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J5" t="inlineStr">
        <is>
          <t>FY2020</t>
        </is>
      </c>
      <c r="K5" t="inlineStr">
        <is>
          <t>FY2021</t>
        </is>
      </c>
      <c r="L5" t="inlineStr">
        <is>
          <t>FY2022</t>
        </is>
      </c>
      <c r="M5" t="inlineStr">
        <is>
          <t>FY2023</t>
        </is>
      </c>
      <c r="N5" t="inlineStr">
        <is>
          <t>FY2024</t>
        </is>
      </c>
      <c r="AP5" t="inlineStr">
        <is>
          <t>FY2020</t>
        </is>
      </c>
      <c r="AQ5" t="inlineStr">
        <is>
          <t>FY2021</t>
        </is>
      </c>
      <c r="AR5" t="inlineStr">
        <is>
          <t>FY2022</t>
        </is>
      </c>
      <c r="AS5" t="inlineStr">
        <is>
          <t>FY2023</t>
        </is>
      </c>
      <c r="AT5" t="inlineStr">
        <is>
          <t>FY2024</t>
        </is>
      </c>
    </row>
    <row r="6">
      <c r="A6" s="5" t="inlineStr">
        <is>
          <t>Total assets</t>
        </is>
      </c>
      <c r="B6" s="5" t="n">
        <v>4894450.4</v>
      </c>
      <c r="C6" s="5" t="n">
        <v>3474169.2</v>
      </c>
      <c r="D6" s="5" t="n">
        <v>3115077.7</v>
      </c>
      <c r="E6" s="5" t="n">
        <v>2281453.7</v>
      </c>
      <c r="F6" s="5" t="n">
        <v>1755034.4</v>
      </c>
      <c r="I6" t="inlineStr">
        <is>
          <t>Total assets</t>
        </is>
      </c>
      <c r="J6" t="n">
        <v>1755034.4</v>
      </c>
      <c r="K6" t="n">
        <v>2281453.7</v>
      </c>
      <c r="L6" t="n">
        <v>3115077.7</v>
      </c>
      <c r="M6" t="n">
        <v>3474169.2</v>
      </c>
      <c r="N6" t="n">
        <v>4894450.4</v>
      </c>
      <c r="AO6" t="inlineStr">
        <is>
          <t>CET1 Ratio</t>
        </is>
      </c>
      <c r="AP6" t="n">
        <v>18.4</v>
      </c>
      <c r="AQ6" t="n">
        <v>21.88</v>
      </c>
      <c r="AR6" t="n">
        <v>19.8</v>
      </c>
      <c r="AS6" t="n">
        <v>22.4</v>
      </c>
    </row>
    <row r="7">
      <c r="A7" s="5" t="inlineStr">
        <is>
          <t>Loans and advances to customers</t>
        </is>
      </c>
      <c r="B7" s="5" t="n">
        <v>1334233.8</v>
      </c>
      <c r="C7" s="5" t="n">
        <v>1196311.6</v>
      </c>
      <c r="D7" s="5" t="n">
        <v>921615.8</v>
      </c>
      <c r="E7" s="5" t="n">
        <v>779823.3</v>
      </c>
      <c r="F7" s="5" t="n">
        <v>651852.8</v>
      </c>
      <c r="I7" t="inlineStr">
        <is>
          <t>Loans and advances to customers</t>
        </is>
      </c>
      <c r="J7" t="n">
        <v>651852.8</v>
      </c>
      <c r="K7" t="n">
        <v>779823.3</v>
      </c>
      <c r="L7" t="n">
        <v>921615.8</v>
      </c>
      <c r="M7" t="n">
        <v>1196311.6</v>
      </c>
      <c r="N7" t="n">
        <v>1334233.8</v>
      </c>
      <c r="AO7" t="inlineStr">
        <is>
          <t>Tier 1 Ratio</t>
        </is>
      </c>
      <c r="AP7" t="n">
        <v>18.4</v>
      </c>
      <c r="AQ7" t="n">
        <v>21.88</v>
      </c>
      <c r="AR7" t="n">
        <v>19.8</v>
      </c>
      <c r="AS7" t="n">
        <v>22.4</v>
      </c>
    </row>
    <row r="8">
      <c r="A8" s="5" t="inlineStr">
        <is>
          <t>Customer deposits</t>
        </is>
      </c>
      <c r="B8" s="5" t="n">
        <v>1238476.6</v>
      </c>
      <c r="C8" s="5" t="n">
        <v>1140155.1</v>
      </c>
      <c r="D8" s="5" t="n">
        <v>1035143.9</v>
      </c>
      <c r="E8" s="5" t="n">
        <v>692107.4</v>
      </c>
      <c r="F8" s="5" t="n">
        <v>641605.3</v>
      </c>
      <c r="I8" t="inlineStr">
        <is>
          <t>Customer deposits</t>
        </is>
      </c>
      <c r="J8" t="n">
        <v>641605.3</v>
      </c>
      <c r="K8" t="n">
        <v>692107.4</v>
      </c>
      <c r="L8" t="n">
        <v>1035143.9</v>
      </c>
      <c r="M8" t="n">
        <v>1140155.1</v>
      </c>
      <c r="N8" t="n">
        <v>1238476.6</v>
      </c>
      <c r="AO8" t="inlineStr">
        <is>
          <t>Total Capital Ratio</t>
        </is>
      </c>
      <c r="AP8" t="n">
        <v>18.4</v>
      </c>
      <c r="AQ8" t="n">
        <v>21.88</v>
      </c>
      <c r="AR8" t="n">
        <v>19.8</v>
      </c>
      <c r="AS8" t="n">
        <v>22.4</v>
      </c>
    </row>
    <row r="9">
      <c r="A9" s="5" t="inlineStr">
        <is>
          <t>Total equity</t>
        </is>
      </c>
      <c r="B9" s="5" t="n">
        <v>627171.1</v>
      </c>
      <c r="C9" s="5" t="n">
        <v>535897.1</v>
      </c>
      <c r="D9" s="5" t="n">
        <v>405955.2</v>
      </c>
      <c r="E9" s="5" t="n">
        <v>281638</v>
      </c>
      <c r="F9" s="5" t="n">
        <v>249045.8</v>
      </c>
      <c r="I9" t="inlineStr">
        <is>
          <t>Total equity</t>
        </is>
      </c>
      <c r="J9" t="n">
        <v>249045.8</v>
      </c>
      <c r="K9" t="n">
        <v>281638</v>
      </c>
      <c r="L9" t="n">
        <v>405955.2</v>
      </c>
      <c r="M9" t="n">
        <v>535897.1</v>
      </c>
      <c r="N9" t="n">
        <v>627171.1</v>
      </c>
      <c r="AO9" t="inlineStr">
        <is>
          <t>Leverage Ratio</t>
        </is>
      </c>
      <c r="AP9" t="n">
        <v>13.07</v>
      </c>
      <c r="AQ9" t="n">
        <v>11.18</v>
      </c>
      <c r="AR9" t="n">
        <v>12</v>
      </c>
      <c r="AS9" t="n">
        <v>15.9</v>
      </c>
    </row>
    <row r="10">
      <c r="AO10" t="inlineStr">
        <is>
          <t>LCR</t>
        </is>
      </c>
      <c r="AQ10" t="n">
        <v>370.6</v>
      </c>
      <c r="AR10" t="n">
        <v>450.5</v>
      </c>
      <c r="AS10" t="n">
        <v>365.6</v>
      </c>
    </row>
    <row r="11">
      <c r="A11" s="3" t="inlineStr">
        <is>
          <t>Profit &amp; Loss Summary (£'000)</t>
        </is>
      </c>
      <c r="AO11" t="inlineStr">
        <is>
          <t>NSFR</t>
        </is>
      </c>
      <c r="AQ11" t="n">
        <v>196.8</v>
      </c>
      <c r="AR11" t="n">
        <v>147.9</v>
      </c>
      <c r="AS11" t="n">
        <v>168.6</v>
      </c>
    </row>
    <row r="12">
      <c r="A12" s="4" t="inlineStr">
        <is>
          <t>Line item</t>
        </is>
      </c>
      <c r="B12" s="4" t="inlineStr">
        <is>
          <t>FY2024</t>
        </is>
      </c>
      <c r="C12" s="4" t="inlineStr">
        <is>
          <t>FY2023</t>
        </is>
      </c>
      <c r="D12" s="4" t="inlineStr">
        <is>
          <t>FY2022</t>
        </is>
      </c>
      <c r="E12" s="4" t="inlineStr">
        <is>
          <t>FY2021</t>
        </is>
      </c>
      <c r="F12" s="4" t="inlineStr">
        <is>
          <t>FY2020</t>
        </is>
      </c>
      <c r="R12" t="inlineStr">
        <is>
          <t>FY2020</t>
        </is>
      </c>
      <c r="S12" t="inlineStr">
        <is>
          <t>FY2021</t>
        </is>
      </c>
      <c r="T12" t="inlineStr">
        <is>
          <t>FY2022</t>
        </is>
      </c>
      <c r="U12" t="inlineStr">
        <is>
          <t>FY2023</t>
        </is>
      </c>
      <c r="V12" t="inlineStr">
        <is>
          <t>FY2024</t>
        </is>
      </c>
    </row>
    <row r="13">
      <c r="A13" s="5" t="inlineStr">
        <is>
          <t>Total operating income / Net operating income</t>
        </is>
      </c>
      <c r="B13" s="5" t="n">
        <v>182688.1</v>
      </c>
      <c r="C13" s="5" t="n">
        <v>160284.1</v>
      </c>
      <c r="D13" s="5" t="n">
        <v>76210.8</v>
      </c>
      <c r="E13" s="5" t="n">
        <v>63100.8</v>
      </c>
      <c r="F13" s="5" t="n">
        <v>32870.6</v>
      </c>
      <c r="Q13" t="inlineStr">
        <is>
          <t>Total operating income / Net operating income</t>
        </is>
      </c>
      <c r="R13" t="n">
        <v>32870.6</v>
      </c>
      <c r="S13" t="n">
        <v>63100.8</v>
      </c>
      <c r="T13" t="n">
        <v>76210.8</v>
      </c>
      <c r="U13" t="n">
        <v>160284.1</v>
      </c>
      <c r="V13" t="n">
        <v>182688.1</v>
      </c>
    </row>
    <row r="14">
      <c r="A14" s="5" t="inlineStr">
        <is>
          <t>Total operating expense</t>
        </is>
      </c>
      <c r="B14" s="5" t="n">
        <v>-47037.5</v>
      </c>
      <c r="C14" s="5" t="n">
        <v>-38465.6</v>
      </c>
      <c r="D14" s="5" t="n">
        <v>-28726.6</v>
      </c>
      <c r="E14" s="5" t="n">
        <v>-25390.1</v>
      </c>
      <c r="F14" s="5" t="n">
        <v>-19761.1</v>
      </c>
      <c r="Q14" t="inlineStr">
        <is>
          <t>Total operating expense</t>
        </is>
      </c>
      <c r="R14" t="n">
        <v>-19761.1</v>
      </c>
      <c r="S14" t="n">
        <v>-25390.1</v>
      </c>
      <c r="T14" t="n">
        <v>-28726.6</v>
      </c>
      <c r="U14" t="n">
        <v>-38465.6</v>
      </c>
      <c r="V14" t="n">
        <v>-47037.5</v>
      </c>
    </row>
    <row r="15">
      <c r="A15" s="5" t="inlineStr">
        <is>
          <t>Profit for the year</t>
        </is>
      </c>
      <c r="B15" s="5" t="n">
        <v>99927.10000000001</v>
      </c>
      <c r="C15" s="5" t="n">
        <v>90221.89999999999</v>
      </c>
      <c r="D15" s="5" t="n">
        <v>36669.1</v>
      </c>
      <c r="E15" s="5" t="n">
        <v>29447</v>
      </c>
      <c r="F15" s="5" t="n">
        <v>10520.4</v>
      </c>
      <c r="Q15" t="inlineStr">
        <is>
          <t>Profit for the year</t>
        </is>
      </c>
      <c r="R15" t="n">
        <v>10520.4</v>
      </c>
      <c r="S15" t="n">
        <v>29447</v>
      </c>
      <c r="T15" t="n">
        <v>36669.1</v>
      </c>
      <c r="U15" t="n">
        <v>90221.89999999999</v>
      </c>
      <c r="V15" t="n">
        <v>99927.10000000001</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Z18" t="inlineStr">
        <is>
          <t>FY2020</t>
        </is>
      </c>
      <c r="AA18" t="inlineStr">
        <is>
          <t>FY2021</t>
        </is>
      </c>
      <c r="AB18" t="inlineStr">
        <is>
          <t>FY2022</t>
        </is>
      </c>
      <c r="AC18" t="inlineStr">
        <is>
          <t>FY2023</t>
        </is>
      </c>
      <c r="AD18" t="inlineStr">
        <is>
          <t>FY2024</t>
        </is>
      </c>
    </row>
    <row r="19">
      <c r="A19" s="5" t="inlineStr">
        <is>
          <t>Opening equity</t>
        </is>
      </c>
      <c r="B19" s="5" t="n">
        <v>535897.1</v>
      </c>
      <c r="C19" s="5" t="n">
        <v>405955.2</v>
      </c>
      <c r="D19" s="5" t="n">
        <v>281638</v>
      </c>
      <c r="E19" s="5" t="n">
        <v>249045.8</v>
      </c>
      <c r="F19" s="5" t="n"/>
      <c r="Y19" t="inlineStr">
        <is>
          <t>Opening equity</t>
        </is>
      </c>
      <c r="AA19" t="n">
        <v>249045.8</v>
      </c>
      <c r="AB19" t="n">
        <v>281638</v>
      </c>
      <c r="AC19" t="n">
        <v>405955.2</v>
      </c>
      <c r="AD19" t="n">
        <v>535897.1</v>
      </c>
    </row>
    <row r="20">
      <c r="A20" s="5" t="inlineStr">
        <is>
          <t>Total comprehensive income for the year</t>
        </is>
      </c>
      <c r="B20" s="5" t="n">
        <v>98894.39999999999</v>
      </c>
      <c r="C20" s="5" t="n">
        <v>91378.3</v>
      </c>
      <c r="D20" s="5" t="n">
        <v>36629.5</v>
      </c>
      <c r="E20" s="5" t="n">
        <v>29509.4</v>
      </c>
      <c r="F20" s="5" t="n">
        <v>10331.9</v>
      </c>
      <c r="Y20" t="inlineStr">
        <is>
          <t>Total comprehensive income for the year</t>
        </is>
      </c>
      <c r="Z20" t="n">
        <v>10331.9</v>
      </c>
      <c r="AA20" t="n">
        <v>29509.4</v>
      </c>
      <c r="AB20" t="n">
        <v>36629.5</v>
      </c>
      <c r="AC20" t="n">
        <v>91378.3</v>
      </c>
      <c r="AD20" t="n">
        <v>98894.39999999999</v>
      </c>
    </row>
    <row r="21">
      <c r="A21" s="5" t="inlineStr">
        <is>
          <t>Other equity movements, net</t>
        </is>
      </c>
      <c r="B21" s="5" t="n">
        <v>-18624.9</v>
      </c>
      <c r="C21" s="5" t="n">
        <v>62347.9</v>
      </c>
      <c r="D21" s="5" t="n">
        <v>52580.5</v>
      </c>
      <c r="E21" s="5" t="n">
        <v>0</v>
      </c>
      <c r="F21" s="5" t="n">
        <v>0</v>
      </c>
      <c r="Y21" t="inlineStr">
        <is>
          <t>Other equity movements, net</t>
        </is>
      </c>
      <c r="Z21" t="n">
        <v>0</v>
      </c>
      <c r="AA21" t="n">
        <v>0</v>
      </c>
      <c r="AB21" t="n">
        <v>52580.5</v>
      </c>
      <c r="AC21" t="n">
        <v>62347.9</v>
      </c>
      <c r="AD21" t="n">
        <v>-18624.9</v>
      </c>
    </row>
    <row r="22">
      <c r="A22" s="5" t="inlineStr">
        <is>
          <t>Closing equity</t>
        </is>
      </c>
      <c r="B22" s="5" t="n">
        <v>627171.1</v>
      </c>
      <c r="C22" s="5" t="n">
        <v>535897.1</v>
      </c>
      <c r="D22" s="5" t="n">
        <v>405955.2</v>
      </c>
      <c r="E22" s="5" t="n">
        <v>281638</v>
      </c>
      <c r="F22" s="5" t="n">
        <v>249045.8</v>
      </c>
      <c r="Y22" t="inlineStr">
        <is>
          <t>Closing equity</t>
        </is>
      </c>
      <c r="Z22" t="n">
        <v>249045.8</v>
      </c>
      <c r="AA22" t="n">
        <v>281638</v>
      </c>
      <c r="AB22" t="n">
        <v>405955.2</v>
      </c>
      <c r="AC22" t="n">
        <v>535897.1</v>
      </c>
      <c r="AD22" t="n">
        <v>627171.1</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AH25" t="inlineStr">
        <is>
          <t>FY2020</t>
        </is>
      </c>
      <c r="AI25" t="inlineStr">
        <is>
          <t>FY2021</t>
        </is>
      </c>
      <c r="AJ25" t="inlineStr">
        <is>
          <t>FY2022</t>
        </is>
      </c>
      <c r="AK25" t="inlineStr">
        <is>
          <t>FY2023</t>
        </is>
      </c>
      <c r="AL25" t="inlineStr">
        <is>
          <t>FY2024</t>
        </is>
      </c>
    </row>
    <row r="26">
      <c r="A26" s="5" t="inlineStr">
        <is>
          <t>Net cash from/(used in) operating activities</t>
        </is>
      </c>
      <c r="B26" s="5" t="n">
        <v>914715.2</v>
      </c>
      <c r="C26" s="5" t="n">
        <v>49148.5</v>
      </c>
      <c r="D26" s="5" t="n">
        <v>117981.6</v>
      </c>
      <c r="E26" s="5" t="n">
        <v>455703.9</v>
      </c>
      <c r="F26" s="5" t="n">
        <v>-307926.5</v>
      </c>
      <c r="AG26" t="inlineStr">
        <is>
          <t>Net cash from/(used in) operating activities</t>
        </is>
      </c>
      <c r="AH26" t="n">
        <v>-307926.5</v>
      </c>
      <c r="AI26" t="n">
        <v>455703.9</v>
      </c>
      <c r="AJ26" t="n">
        <v>117981.6</v>
      </c>
      <c r="AK26" t="n">
        <v>49148.5</v>
      </c>
      <c r="AL26" t="n">
        <v>914715.2</v>
      </c>
    </row>
    <row r="27">
      <c r="A27" s="5" t="inlineStr">
        <is>
          <t>Net cash from/(used in) investing activities</t>
        </is>
      </c>
      <c r="B27" s="5" t="n">
        <v>-1018064.7</v>
      </c>
      <c r="C27" s="5" t="n">
        <v>-250467.3</v>
      </c>
      <c r="D27" s="5" t="n">
        <v>-85936.39999999999</v>
      </c>
      <c r="E27" s="5" t="n">
        <v>-184838.2</v>
      </c>
      <c r="F27" s="5" t="n">
        <v>46043.3</v>
      </c>
      <c r="AG27" t="inlineStr">
        <is>
          <t>Net cash from/(used in) investing activities</t>
        </is>
      </c>
      <c r="AH27" t="n">
        <v>46043.3</v>
      </c>
      <c r="AI27" t="n">
        <v>-184838.2</v>
      </c>
      <c r="AJ27" t="n">
        <v>-85936.39999999999</v>
      </c>
      <c r="AK27" t="n">
        <v>-250467.3</v>
      </c>
      <c r="AL27" t="n">
        <v>-1018064.7</v>
      </c>
    </row>
    <row r="28">
      <c r="A28" s="5" t="inlineStr">
        <is>
          <t>Net cash from/(used in) financing activities</t>
        </is>
      </c>
      <c r="B28" s="5" t="n">
        <v>-22938.6</v>
      </c>
      <c r="C28" s="5" t="n">
        <v>63364.5</v>
      </c>
      <c r="D28" s="5" t="n">
        <v>51487.3</v>
      </c>
      <c r="E28" s="5" t="n">
        <v>-841.1</v>
      </c>
      <c r="F28" s="5" t="n">
        <v>-1036.9</v>
      </c>
      <c r="AG28" t="inlineStr">
        <is>
          <t>Net cash from/(used in) financing activities</t>
        </is>
      </c>
      <c r="AH28" t="n">
        <v>-1036.9</v>
      </c>
      <c r="AI28" t="n">
        <v>-841.1</v>
      </c>
      <c r="AJ28" t="n">
        <v>51487.3</v>
      </c>
      <c r="AK28" t="n">
        <v>63364.5</v>
      </c>
      <c r="AL28" t="n">
        <v>-22938.6</v>
      </c>
    </row>
    <row r="29">
      <c r="A29" s="5" t="inlineStr">
        <is>
          <t>Cash and cash equivalents at end of year</t>
        </is>
      </c>
      <c r="B29" s="5" t="n">
        <v>241803</v>
      </c>
      <c r="C29" s="5" t="n">
        <v>364263.6</v>
      </c>
      <c r="D29" s="5" t="n">
        <v>524595.1</v>
      </c>
      <c r="E29" s="5" t="n">
        <v>392792.6</v>
      </c>
      <c r="F29" s="5" t="n">
        <v>117322.9</v>
      </c>
      <c r="AG29" t="inlineStr">
        <is>
          <t>Cash and cash equivalents at end of year</t>
        </is>
      </c>
      <c r="AH29" t="n">
        <v>117322.9</v>
      </c>
      <c r="AI29" t="n">
        <v>392792.6</v>
      </c>
      <c r="AJ29" t="n">
        <v>524595.1</v>
      </c>
      <c r="AK29" t="n">
        <v>364263.6</v>
      </c>
      <c r="AL29" t="n">
        <v>241803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row>
    <row r="33">
      <c r="A33" s="6" t="inlineStr">
        <is>
          <t>CET1 Ratio</t>
        </is>
      </c>
      <c r="B33" s="6" t="n"/>
      <c r="C33" s="6" t="inlineStr">
        <is>
          <t>22.4%</t>
        </is>
      </c>
      <c r="D33" s="6" t="inlineStr">
        <is>
          <t>19.8%</t>
        </is>
      </c>
      <c r="E33" s="6" t="inlineStr">
        <is>
          <t>21.88%</t>
        </is>
      </c>
      <c r="F33" s="6" t="inlineStr">
        <is>
          <t>18.40%</t>
        </is>
      </c>
    </row>
    <row r="34">
      <c r="A34" s="6" t="inlineStr">
        <is>
          <t>Tier 1 Ratio</t>
        </is>
      </c>
      <c r="B34" s="6" t="n"/>
      <c r="C34" s="6" t="inlineStr">
        <is>
          <t>22.4%</t>
        </is>
      </c>
      <c r="D34" s="6" t="inlineStr">
        <is>
          <t>19.8%</t>
        </is>
      </c>
      <c r="E34" s="6" t="inlineStr">
        <is>
          <t>21.88%</t>
        </is>
      </c>
      <c r="F34" s="6" t="inlineStr">
        <is>
          <t>18.40%</t>
        </is>
      </c>
    </row>
    <row r="35">
      <c r="A35" s="6" t="inlineStr">
        <is>
          <t>Total Capital Ratio</t>
        </is>
      </c>
      <c r="B35" s="6" t="n"/>
      <c r="C35" s="6" t="inlineStr">
        <is>
          <t>22.4%</t>
        </is>
      </c>
      <c r="D35" s="6" t="inlineStr">
        <is>
          <t>19.8%</t>
        </is>
      </c>
      <c r="E35" s="6" t="inlineStr">
        <is>
          <t>21.88%</t>
        </is>
      </c>
      <c r="F35" s="6" t="inlineStr">
        <is>
          <t>18.40%</t>
        </is>
      </c>
    </row>
    <row r="36">
      <c r="A36" s="6" t="inlineStr">
        <is>
          <t>Leverage Ratio</t>
        </is>
      </c>
      <c r="B36" s="6" t="n"/>
      <c r="C36" s="6" t="inlineStr">
        <is>
          <t>15.9%</t>
        </is>
      </c>
      <c r="D36" s="6" t="inlineStr">
        <is>
          <t>12.0%</t>
        </is>
      </c>
      <c r="E36" s="6" t="inlineStr">
        <is>
          <t>11.18%</t>
        </is>
      </c>
      <c r="F36" s="6" t="inlineStr">
        <is>
          <t>13.07%</t>
        </is>
      </c>
    </row>
    <row r="37">
      <c r="A37" s="6" t="inlineStr">
        <is>
          <t>LCR</t>
        </is>
      </c>
      <c r="B37" s="6" t="n"/>
      <c r="C37" s="6" t="inlineStr">
        <is>
          <t>365.6%</t>
        </is>
      </c>
      <c r="D37" s="6" t="inlineStr">
        <is>
          <t>450.5%</t>
        </is>
      </c>
      <c r="E37" s="6" t="inlineStr">
        <is>
          <t>370.6%</t>
        </is>
      </c>
      <c r="F37" s="6" t="n"/>
    </row>
    <row r="38">
      <c r="A38" s="6" t="inlineStr">
        <is>
          <t>NSFR</t>
        </is>
      </c>
      <c r="B38" s="6" t="n"/>
      <c r="C38" s="6" t="inlineStr">
        <is>
          <t>168.6%</t>
        </is>
      </c>
      <c r="D38" s="6" t="inlineStr">
        <is>
          <t>147.9%</t>
        </is>
      </c>
      <c r="E38" s="6" t="inlineStr">
        <is>
          <t>196.8%</t>
        </is>
      </c>
      <c r="F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FY2020-FY2024 (shifted one year earlier than most other banks in this series) since no FY2025 Annual Report has been published yet; Pillar 3 cells are blank for FY2024 (no edition found) and FY2020 LCR/NSFR (not found in any source).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row>
    <row r="4">
      <c r="A4" s="5" t="inlineStr">
        <is>
          <t>Assets</t>
        </is>
      </c>
      <c r="B4" s="6" t="n"/>
      <c r="C4" s="6" t="n"/>
      <c r="D4" s="6" t="n"/>
      <c r="E4" s="6" t="n"/>
      <c r="F4" s="6" t="n"/>
    </row>
    <row r="5">
      <c r="A5" s="6" t="inlineStr">
        <is>
          <t>Cash and cash equivalents / Cash at bank</t>
        </is>
      </c>
      <c r="B5" s="6" t="n">
        <v>241803</v>
      </c>
      <c r="C5" s="6" t="n">
        <v>364263.6</v>
      </c>
      <c r="D5" s="6" t="n">
        <v>524595.1</v>
      </c>
      <c r="E5" s="6" t="n">
        <v>392792.6</v>
      </c>
      <c r="F5" s="6" t="n">
        <v>117322.9</v>
      </c>
    </row>
    <row r="6">
      <c r="A6" s="6" t="inlineStr">
        <is>
          <t>Money market placements</t>
        </is>
      </c>
      <c r="B6" s="6" t="n">
        <v>10589.3</v>
      </c>
      <c r="C6" s="6" t="n">
        <v>5622.5</v>
      </c>
      <c r="D6" s="6" t="n">
        <v>2976.3</v>
      </c>
      <c r="E6" s="6" t="n">
        <v>2905.5</v>
      </c>
      <c r="F6" s="6" t="n">
        <v>4766.1</v>
      </c>
    </row>
    <row r="7">
      <c r="A7" s="6" t="inlineStr">
        <is>
          <t>Investment securities</t>
        </is>
      </c>
      <c r="B7" s="6" t="n">
        <v>1833749.1</v>
      </c>
      <c r="C7" s="6" t="n">
        <v>803837.1</v>
      </c>
      <c r="D7" s="6" t="n">
        <v>590237.8</v>
      </c>
      <c r="E7" s="6" t="n">
        <v>451184.6</v>
      </c>
      <c r="F7" s="6" t="n">
        <v>261076.9</v>
      </c>
    </row>
    <row r="8">
      <c r="A8" s="6" t="inlineStr">
        <is>
          <t>Investment in subsidiary</t>
        </is>
      </c>
      <c r="B8" s="6" t="n">
        <v>17757.9</v>
      </c>
      <c r="C8" s="6" t="n"/>
      <c r="D8" s="6" t="n"/>
      <c r="E8" s="6" t="n"/>
      <c r="F8" s="6" t="n"/>
    </row>
    <row r="9">
      <c r="A9" s="6" t="inlineStr">
        <is>
          <t>Loans and advances to banks</t>
        </is>
      </c>
      <c r="B9" s="6" t="n">
        <v>1418050.3</v>
      </c>
      <c r="C9" s="6" t="n">
        <v>1080914.2</v>
      </c>
      <c r="D9" s="6" t="n">
        <v>1049435.4</v>
      </c>
      <c r="E9" s="6" t="n">
        <v>628250.8</v>
      </c>
      <c r="F9" s="6" t="n">
        <v>690790.5</v>
      </c>
    </row>
    <row r="10">
      <c r="A10" s="6" t="inlineStr">
        <is>
          <t>Loans and advances to customers</t>
        </is>
      </c>
      <c r="B10" s="6" t="n">
        <v>1334233.8</v>
      </c>
      <c r="C10" s="6" t="n">
        <v>1196311.6</v>
      </c>
      <c r="D10" s="6" t="n">
        <v>921615.8</v>
      </c>
      <c r="E10" s="6" t="n">
        <v>779823.3</v>
      </c>
      <c r="F10" s="6" t="n">
        <v>651852.8</v>
      </c>
    </row>
    <row r="11">
      <c r="A11" s="6" t="inlineStr">
        <is>
          <t>Property, plant and equipment</t>
        </is>
      </c>
      <c r="B11" s="6" t="n">
        <v>1623.8</v>
      </c>
      <c r="C11" s="6" t="n">
        <v>894.2</v>
      </c>
      <c r="D11" s="6" t="n">
        <v>904.7</v>
      </c>
      <c r="E11" s="6" t="n">
        <v>698.3</v>
      </c>
      <c r="F11" s="6" t="n">
        <v>904</v>
      </c>
    </row>
    <row r="12">
      <c r="A12" s="6" t="inlineStr">
        <is>
          <t>Right-of-use assets</t>
        </is>
      </c>
      <c r="B12" s="6" t="n">
        <v>5831.2</v>
      </c>
      <c r="C12" s="6" t="n">
        <v>1938.3</v>
      </c>
      <c r="D12" s="6" t="n">
        <v>3167.7</v>
      </c>
      <c r="E12" s="6" t="n">
        <v>3839.4</v>
      </c>
      <c r="F12" s="6" t="n">
        <v>3551.3</v>
      </c>
    </row>
    <row r="13">
      <c r="A13" s="6" t="inlineStr">
        <is>
          <t>Intangible assets</t>
        </is>
      </c>
      <c r="B13" s="6" t="n">
        <v>6868.6</v>
      </c>
      <c r="C13" s="6" t="n">
        <v>3658.5</v>
      </c>
      <c r="D13" s="6" t="n">
        <v>3183.7</v>
      </c>
      <c r="E13" s="6" t="n">
        <v>1980.6</v>
      </c>
      <c r="F13" s="6" t="n">
        <v>1739.7</v>
      </c>
    </row>
    <row r="14">
      <c r="A14" s="6" t="inlineStr">
        <is>
          <t>Other financial/non-financial assets</t>
        </is>
      </c>
      <c r="B14" s="6" t="n">
        <v>20753.2</v>
      </c>
      <c r="C14" s="6" t="n">
        <v>15213.9</v>
      </c>
      <c r="D14" s="6" t="n">
        <v>18961.2</v>
      </c>
      <c r="E14" s="6" t="n">
        <v>19978.7</v>
      </c>
      <c r="F14" s="6" t="n">
        <v>23030.2</v>
      </c>
    </row>
    <row r="15">
      <c r="A15" s="6" t="inlineStr">
        <is>
          <t>Prepaid corporation tax</t>
        </is>
      </c>
      <c r="B15" s="6" t="n">
        <v>388.8</v>
      </c>
      <c r="C15" s="6" t="n">
        <v>146.7</v>
      </c>
      <c r="D15" s="6" t="n"/>
      <c r="E15" s="6" t="n"/>
      <c r="F15" s="6" t="n"/>
    </row>
    <row r="16">
      <c r="A16" s="6" t="inlineStr">
        <is>
          <t>Derivative financial instruments</t>
        </is>
      </c>
      <c r="B16" s="6" t="n">
        <v>2801.5</v>
      </c>
      <c r="C16" s="6" t="n">
        <v>1368.6</v>
      </c>
      <c r="D16" s="6" t="n"/>
      <c r="E16" s="6" t="n"/>
      <c r="F16" s="6" t="n"/>
    </row>
    <row r="17">
      <c r="A17" s="5" t="inlineStr">
        <is>
          <t>Total assets</t>
        </is>
      </c>
      <c r="B17" s="5" t="n">
        <v>4894450.4</v>
      </c>
      <c r="C17" s="5" t="n">
        <v>3474169.2</v>
      </c>
      <c r="D17" s="5" t="n">
        <v>3115077.7</v>
      </c>
      <c r="E17" s="5" t="n">
        <v>2281453.7</v>
      </c>
      <c r="F17" s="5" t="n">
        <v>1755034.4</v>
      </c>
    </row>
    <row r="18">
      <c r="A18" s="5" t="inlineStr">
        <is>
          <t>Liabilities</t>
        </is>
      </c>
      <c r="B18" s="6" t="n"/>
      <c r="C18" s="6" t="n"/>
      <c r="D18" s="6" t="n"/>
      <c r="E18" s="6" t="n"/>
      <c r="F18" s="6" t="n"/>
    </row>
    <row r="19">
      <c r="A19" s="6" t="inlineStr">
        <is>
          <t>Deposits from banks</t>
        </is>
      </c>
      <c r="B19" s="6" t="n">
        <v>2972616.3</v>
      </c>
      <c r="C19" s="6" t="n">
        <v>1771700.8</v>
      </c>
      <c r="D19" s="6" t="n">
        <v>1654616.8</v>
      </c>
      <c r="E19" s="6" t="n">
        <v>1288483.6</v>
      </c>
      <c r="F19" s="6" t="n">
        <v>842073</v>
      </c>
    </row>
    <row r="20">
      <c r="A20" s="6" t="inlineStr">
        <is>
          <t>Deposits from customers</t>
        </is>
      </c>
      <c r="B20" s="6" t="n">
        <v>1238476.6</v>
      </c>
      <c r="C20" s="6" t="n">
        <v>1140155.1</v>
      </c>
      <c r="D20" s="6" t="n">
        <v>1035143.9</v>
      </c>
      <c r="E20" s="6" t="n">
        <v>692107.4</v>
      </c>
      <c r="F20" s="6" t="n">
        <v>641605.3</v>
      </c>
    </row>
    <row r="21">
      <c r="A21" s="6" t="inlineStr">
        <is>
          <t>Lease liabilities</t>
        </is>
      </c>
      <c r="B21" s="6" t="n">
        <v>5807.9</v>
      </c>
      <c r="C21" s="6" t="n">
        <v>1723.2</v>
      </c>
      <c r="D21" s="6" t="n"/>
      <c r="E21" s="6" t="n"/>
      <c r="F21" s="6" t="n"/>
    </row>
    <row r="22">
      <c r="A22" s="6" t="inlineStr">
        <is>
          <t>Other financial/non-financial liabilities</t>
        </is>
      </c>
      <c r="B22" s="6" t="n">
        <v>40611.2</v>
      </c>
      <c r="C22" s="6" t="n">
        <v>22374.6</v>
      </c>
      <c r="D22" s="6" t="n">
        <v>18961.6</v>
      </c>
      <c r="E22" s="6" t="n">
        <v>18847.6</v>
      </c>
      <c r="F22" s="6" t="n">
        <v>22021.1</v>
      </c>
    </row>
    <row r="23">
      <c r="A23" s="6" t="inlineStr">
        <is>
          <t>Deferred tax liability</t>
        </is>
      </c>
      <c r="B23" s="6" t="n">
        <v>1780.7</v>
      </c>
      <c r="C23" s="6" t="n">
        <v>944.5</v>
      </c>
      <c r="D23" s="6" t="n">
        <v>400.2</v>
      </c>
      <c r="E23" s="6" t="n">
        <v>377.1</v>
      </c>
      <c r="F23" s="6" t="n">
        <v>289.2</v>
      </c>
    </row>
    <row r="24">
      <c r="A24" s="6" t="inlineStr">
        <is>
          <t>Derivative financial instruments</t>
        </is>
      </c>
      <c r="B24" s="6" t="n">
        <v>7986.6</v>
      </c>
      <c r="C24" s="6" t="n">
        <v>1373.8</v>
      </c>
      <c r="D24" s="6" t="n"/>
      <c r="E24" s="6" t="n"/>
      <c r="F24" s="6" t="n"/>
    </row>
    <row r="25">
      <c r="A25" s="5" t="inlineStr">
        <is>
          <t>Total liabilities</t>
        </is>
      </c>
      <c r="B25" s="5" t="n">
        <v>4267279.3</v>
      </c>
      <c r="C25" s="5" t="n">
        <v>2938272.1</v>
      </c>
      <c r="D25" s="5" t="n">
        <v>2709122.4</v>
      </c>
      <c r="E25" s="5" t="n">
        <v>1999815.7</v>
      </c>
      <c r="F25" s="5" t="n">
        <v>1505988.6</v>
      </c>
    </row>
    <row r="26">
      <c r="A26" s="5" t="inlineStr">
        <is>
          <t>Equity</t>
        </is>
      </c>
      <c r="B26" s="6" t="n"/>
      <c r="C26" s="6" t="n"/>
      <c r="D26" s="6" t="n"/>
      <c r="E26" s="6" t="n"/>
      <c r="F26" s="6" t="n"/>
    </row>
    <row r="27">
      <c r="A27" s="6" t="inlineStr">
        <is>
          <t>Share capital</t>
        </is>
      </c>
      <c r="B27" s="6" t="n">
        <v>297547.1</v>
      </c>
      <c r="C27" s="6" t="n">
        <v>292475.8</v>
      </c>
      <c r="D27" s="6" t="n">
        <v>225163.5</v>
      </c>
      <c r="E27" s="6" t="n">
        <v>153376.4</v>
      </c>
      <c r="F27" s="6" t="n">
        <v>151804.6</v>
      </c>
    </row>
    <row r="28">
      <c r="A28" s="6" t="inlineStr">
        <is>
          <t>Retained earnings</t>
        </is>
      </c>
      <c r="B28" s="6" t="n">
        <v>333698.6</v>
      </c>
      <c r="C28" s="6" t="n">
        <v>246389.6</v>
      </c>
      <c r="D28" s="6" t="n">
        <v>185105.1</v>
      </c>
      <c r="E28" s="6" t="n">
        <v>132084.4</v>
      </c>
      <c r="F28" s="6" t="n">
        <v>101087.6</v>
      </c>
    </row>
    <row r="29">
      <c r="A29" s="6" t="inlineStr">
        <is>
          <t>Other reserves</t>
        </is>
      </c>
      <c r="B29" s="6" t="n">
        <v>-68.59999999999999</v>
      </c>
      <c r="C29" s="6" t="n">
        <v>969.4</v>
      </c>
      <c r="D29" s="6" t="n">
        <v>-168.8</v>
      </c>
      <c r="E29" s="6" t="n">
        <v>-114.8</v>
      </c>
      <c r="F29" s="6" t="n">
        <v>-176.4</v>
      </c>
    </row>
    <row r="30">
      <c r="A30" s="6" t="inlineStr">
        <is>
          <t>Currency translation reserve</t>
        </is>
      </c>
      <c r="B30" s="6" t="n">
        <v>-4006</v>
      </c>
      <c r="C30" s="6" t="n">
        <v>-3937.8</v>
      </c>
      <c r="D30" s="6" t="n">
        <v>-4144.5</v>
      </c>
      <c r="E30" s="6" t="n">
        <v>-3708</v>
      </c>
      <c r="F30" s="6" t="n">
        <v>-3670</v>
      </c>
    </row>
    <row r="31">
      <c r="A31" s="5" t="inlineStr">
        <is>
          <t>Total equity</t>
        </is>
      </c>
      <c r="B31" s="5" t="n">
        <v>627171.1</v>
      </c>
      <c r="C31" s="5" t="n">
        <v>535897.1</v>
      </c>
      <c r="D31" s="5" t="n">
        <v>405955.2</v>
      </c>
      <c r="E31" s="5" t="n">
        <v>281638</v>
      </c>
      <c r="F31" s="5" t="n">
        <v>249045.8</v>
      </c>
    </row>
    <row r="32">
      <c r="A32" s="5" t="inlineStr">
        <is>
          <t>Total liabilities and equity</t>
        </is>
      </c>
      <c r="B32" s="5" t="n">
        <v>4894450.4</v>
      </c>
      <c r="C32" s="5" t="n">
        <v>3474169.2</v>
      </c>
      <c r="D32" s="5" t="n">
        <v>3115077.7</v>
      </c>
      <c r="E32" s="5" t="n">
        <v>2281453.7</v>
      </c>
      <c r="F32" s="5" t="n">
        <v>1755034.4</v>
      </c>
    </row>
    <row r="34" ht="260" customHeight="1">
      <c r="A34" s="8" t="inlineStr">
        <is>
          <t>Sources - The Access Bank UK Limited's own Statement of Financial Position (Bank column), converted from USD to £ per the FX conversion note on the Cash Flow Statement sheet: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FY2020-FY2024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FY2020 average is newly sourced for this workbook (no earlier bank in this series needed a full FY2020 column).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FY2020's opening cash balance is left blank (not converted) since it would require a 31 December 2019 spot rate, which hasn't been sourced for this project - FY2020's closing balance and flow lines ARE populated, just not its opening balance or a translation plug.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row>
    <row r="4">
      <c r="A4" s="5" t="inlineStr">
        <is>
          <t>Operating income</t>
        </is>
      </c>
      <c r="B4" s="6" t="n"/>
      <c r="C4" s="6" t="n"/>
      <c r="D4" s="6" t="n"/>
      <c r="E4" s="6" t="n"/>
      <c r="F4" s="6" t="n"/>
    </row>
    <row r="5">
      <c r="A5" s="6" t="inlineStr">
        <is>
          <t>Interest income</t>
        </is>
      </c>
      <c r="B5" s="6" t="n">
        <v>283516.2</v>
      </c>
      <c r="C5" s="6" t="n">
        <v>220405.3</v>
      </c>
      <c r="D5" s="6" t="n">
        <v>105009.8</v>
      </c>
      <c r="E5" s="6" t="n">
        <v>73510.8</v>
      </c>
      <c r="F5" s="6" t="n">
        <v>76400.89999999999</v>
      </c>
    </row>
    <row r="6">
      <c r="A6" s="6" t="inlineStr">
        <is>
          <t>Interest expense</t>
        </is>
      </c>
      <c r="B6" s="6" t="n">
        <v>-120537.4</v>
      </c>
      <c r="C6" s="6" t="n">
        <v>-80724.7</v>
      </c>
      <c r="D6" s="6" t="n">
        <v>-24532.6</v>
      </c>
      <c r="E6" s="6" t="n">
        <v>-12787.8</v>
      </c>
      <c r="F6" s="6" t="n">
        <v>-19140.9</v>
      </c>
    </row>
    <row r="7">
      <c r="A7" s="5" t="inlineStr">
        <is>
          <t>Net interest income</t>
        </is>
      </c>
      <c r="B7" s="5" t="n">
        <v>162978.8</v>
      </c>
      <c r="C7" s="5" t="n">
        <v>139680.5</v>
      </c>
      <c r="D7" s="5" t="n">
        <v>80477.2</v>
      </c>
      <c r="E7" s="5" t="n">
        <v>60723</v>
      </c>
      <c r="F7" s="5" t="n">
        <v>57260</v>
      </c>
    </row>
    <row r="8">
      <c r="A8" s="6" t="inlineStr">
        <is>
          <t>Fee and commission income</t>
        </is>
      </c>
      <c r="B8" s="6" t="n">
        <v>25613.9</v>
      </c>
      <c r="C8" s="6" t="n">
        <v>24611.7</v>
      </c>
      <c r="D8" s="6" t="n">
        <v>24246.4</v>
      </c>
      <c r="E8" s="6" t="n">
        <v>19737.6</v>
      </c>
      <c r="F8" s="6" t="n">
        <v>20833.1</v>
      </c>
    </row>
    <row r="9">
      <c r="A9" s="6" t="inlineStr">
        <is>
          <t>Fee and commission expense</t>
        </is>
      </c>
      <c r="B9" s="6" t="n">
        <v>-2262.2</v>
      </c>
      <c r="C9" s="6" t="n">
        <v>-1448.9</v>
      </c>
      <c r="D9" s="6" t="n">
        <v>-1614.3</v>
      </c>
      <c r="E9" s="6" t="n">
        <v>-1345.9</v>
      </c>
      <c r="F9" s="6" t="n">
        <v>-951.2</v>
      </c>
    </row>
    <row r="10">
      <c r="A10" s="5" t="inlineStr">
        <is>
          <t>Net fee and commission income</t>
        </is>
      </c>
      <c r="B10" s="5" t="n">
        <v>23351.7</v>
      </c>
      <c r="C10" s="5" t="n">
        <v>23162.8</v>
      </c>
      <c r="D10" s="5" t="n">
        <v>22632.1</v>
      </c>
      <c r="E10" s="5" t="n">
        <v>18391.7</v>
      </c>
      <c r="F10" s="5" t="n">
        <v>19881.9</v>
      </c>
    </row>
    <row r="11">
      <c r="A11" s="6" t="inlineStr">
        <is>
          <t>Other income</t>
        </is>
      </c>
      <c r="B11" s="6" t="n">
        <v>4834.3</v>
      </c>
      <c r="C11" s="6" t="n">
        <v>4056.8</v>
      </c>
      <c r="D11" s="6" t="n">
        <v>3251.4</v>
      </c>
      <c r="E11" s="6" t="n">
        <v>1726.2</v>
      </c>
      <c r="F11" s="6" t="n">
        <v>1406.7</v>
      </c>
    </row>
    <row r="12">
      <c r="A12" s="6" t="inlineStr">
        <is>
          <t>Other operating income</t>
        </is>
      </c>
      <c r="B12" s="6" t="n"/>
      <c r="C12" s="6" t="n"/>
      <c r="D12" s="6" t="n"/>
      <c r="E12" s="6" t="n">
        <v>5869.8</v>
      </c>
      <c r="F12" s="6" t="n"/>
    </row>
    <row r="13">
      <c r="A13" s="5" t="inlineStr">
        <is>
          <t>Total operating income</t>
        </is>
      </c>
      <c r="B13" s="5" t="n">
        <v>191164.7</v>
      </c>
      <c r="C13" s="5" t="n">
        <v>166900.1</v>
      </c>
      <c r="D13" s="5" t="n"/>
      <c r="E13" s="5" t="n"/>
      <c r="F13" s="5" t="n"/>
    </row>
    <row r="14">
      <c r="A14" s="6" t="inlineStr">
        <is>
          <t>Expected credit loss (ECL) allowance / Provision for expected credit losses</t>
        </is>
      </c>
      <c r="B14" s="6" t="n">
        <v>-8476.6</v>
      </c>
      <c r="C14" s="6" t="n">
        <v>-6616.1</v>
      </c>
      <c r="D14" s="6" t="n">
        <v>-30149.9</v>
      </c>
      <c r="E14" s="6" t="n">
        <v>-23609.8</v>
      </c>
      <c r="F14" s="6" t="n">
        <v>-45677.9</v>
      </c>
    </row>
    <row r="15">
      <c r="A15" s="5" t="inlineStr">
        <is>
          <t>Net operating income</t>
        </is>
      </c>
      <c r="B15" s="5" t="n">
        <v>182688.1</v>
      </c>
      <c r="C15" s="5" t="n">
        <v>160284.1</v>
      </c>
      <c r="D15" s="5" t="n">
        <v>76210.8</v>
      </c>
      <c r="E15" s="5" t="n">
        <v>63100.8</v>
      </c>
      <c r="F15" s="5" t="n">
        <v>32870.6</v>
      </c>
    </row>
    <row r="16">
      <c r="A16" s="5" t="inlineStr">
        <is>
          <t>Operating expenses</t>
        </is>
      </c>
      <c r="B16" s="6" t="n"/>
      <c r="C16" s="6" t="n"/>
      <c r="D16" s="6" t="n"/>
      <c r="E16" s="6" t="n"/>
      <c r="F16" s="6" t="n"/>
    </row>
    <row r="17">
      <c r="A17" s="6" t="inlineStr">
        <is>
          <t>Personnel expenses</t>
        </is>
      </c>
      <c r="B17" s="6" t="n">
        <v>-30320.3</v>
      </c>
      <c r="C17" s="6" t="n">
        <v>-25622.8</v>
      </c>
      <c r="D17" s="6" t="n">
        <v>-18183.2</v>
      </c>
      <c r="E17" s="6" t="n">
        <v>-16270.7</v>
      </c>
      <c r="F17" s="6" t="n">
        <v>-13286.2</v>
      </c>
    </row>
    <row r="18">
      <c r="A18" s="6" t="inlineStr">
        <is>
          <t>Depreciation and amortisation</t>
        </is>
      </c>
      <c r="B18" s="6" t="n">
        <v>-3258.1</v>
      </c>
      <c r="C18" s="6" t="n">
        <v>-2057.3</v>
      </c>
      <c r="D18" s="6" t="n">
        <v>-1850.7</v>
      </c>
      <c r="E18" s="6" t="n">
        <v>-1387.3</v>
      </c>
      <c r="F18" s="6" t="n">
        <v>-1798.7</v>
      </c>
    </row>
    <row r="19">
      <c r="A19" s="6" t="inlineStr">
        <is>
          <t>Other expenses</t>
        </is>
      </c>
      <c r="B19" s="6" t="n">
        <v>-13459</v>
      </c>
      <c r="C19" s="6" t="n">
        <v>-10785.5</v>
      </c>
      <c r="D19" s="6" t="n">
        <v>-8692.6</v>
      </c>
      <c r="E19" s="6" t="n">
        <v>-7732.1</v>
      </c>
      <c r="F19" s="6" t="n">
        <v>-4676.3</v>
      </c>
    </row>
    <row r="20">
      <c r="A20" s="5" t="inlineStr">
        <is>
          <t>Total operating expenses</t>
        </is>
      </c>
      <c r="B20" s="5" t="n">
        <v>-47037.5</v>
      </c>
      <c r="C20" s="5" t="n">
        <v>-38465.6</v>
      </c>
      <c r="D20" s="5" t="n">
        <v>-28726.6</v>
      </c>
      <c r="E20" s="5" t="n">
        <v>-25390.1</v>
      </c>
      <c r="F20" s="5" t="n">
        <v>-19761.1</v>
      </c>
    </row>
    <row r="21">
      <c r="A21" s="5" t="inlineStr">
        <is>
          <t>Profit before tax expense</t>
        </is>
      </c>
      <c r="B21" s="5" t="n">
        <v>135650.6</v>
      </c>
      <c r="C21" s="5" t="n">
        <v>121818.5</v>
      </c>
      <c r="D21" s="5" t="n">
        <v>47484.2</v>
      </c>
      <c r="E21" s="5" t="n">
        <v>37710.8</v>
      </c>
      <c r="F21" s="5" t="n">
        <v>13109.5</v>
      </c>
    </row>
    <row r="22">
      <c r="A22" s="6" t="inlineStr">
        <is>
          <t>Tax expense / Taxation</t>
        </is>
      </c>
      <c r="B22" s="6" t="n">
        <v>-35723.5</v>
      </c>
      <c r="C22" s="6" t="n">
        <v>-31596.5</v>
      </c>
      <c r="D22" s="6" t="n">
        <v>-10815.2</v>
      </c>
      <c r="E22" s="6" t="n">
        <v>-8263.799999999999</v>
      </c>
      <c r="F22" s="6" t="n">
        <v>-2589.1</v>
      </c>
    </row>
    <row r="23">
      <c r="A23" s="5" t="inlineStr">
        <is>
          <t>Profit after tax expense for the year</t>
        </is>
      </c>
      <c r="B23" s="5" t="n">
        <v>99927.10000000001</v>
      </c>
      <c r="C23" s="5" t="n">
        <v>90221.89999999999</v>
      </c>
      <c r="D23" s="5" t="n">
        <v>36669.1</v>
      </c>
      <c r="E23" s="5" t="n">
        <v>29447</v>
      </c>
      <c r="F23" s="5" t="n">
        <v>10520.4</v>
      </c>
    </row>
    <row r="24">
      <c r="A24" s="5" t="inlineStr">
        <is>
          <t>Other comprehensive income/(expense)</t>
        </is>
      </c>
      <c r="B24" s="6" t="n"/>
      <c r="C24" s="6" t="n"/>
      <c r="D24" s="6" t="n"/>
      <c r="E24" s="6" t="n"/>
      <c r="F24" s="6" t="n"/>
    </row>
    <row r="25">
      <c r="A25" s="6" t="inlineStr">
        <is>
          <t>Other comprehensive income on investment securities / net profit on FVOCI securities</t>
        </is>
      </c>
      <c r="B25" s="6" t="n">
        <v>-1032.8</v>
      </c>
      <c r="C25" s="6" t="n">
        <v>1156.4</v>
      </c>
      <c r="D25" s="6" t="n">
        <v>-39.6</v>
      </c>
      <c r="E25" s="6" t="n">
        <v>62.3</v>
      </c>
      <c r="F25" s="6" t="n">
        <v>-188.5</v>
      </c>
    </row>
    <row r="26">
      <c r="A26" s="5" t="inlineStr">
        <is>
          <t>Total comprehensive income for the year, net of tax</t>
        </is>
      </c>
      <c r="B26" s="5" t="n">
        <v>98894.39999999999</v>
      </c>
      <c r="C26" s="5" t="n">
        <v>91378.3</v>
      </c>
      <c r="D26" s="5" t="n">
        <v>36629.5</v>
      </c>
      <c r="E26" s="5" t="n">
        <v>29509.4</v>
      </c>
      <c r="F26" s="5" t="n">
        <v>10331.9</v>
      </c>
    </row>
    <row r="28" ht="260" customHeight="1">
      <c r="A28" s="8" t="inlineStr">
        <is>
          <t>Sources - The Access Bank UK Limited's own Statement of Comprehensive Income (Bank column), converted from USD to £ per the FX conversion note on the Cash Flow Statement sheet: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FY2020-FY2024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FY2020 average is newly sourced for this workbook (no earlier bank in this series needed a full FY2020 column).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FY2020's opening cash balance is left blank (not converted) since it would require a 31 December 2019 spot rate, which hasn't been sourced for this project - FY2020's closing balance and flow lines ARE populated, just not its opening balance or a translation plug.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Other reserves</t>
        </is>
      </c>
      <c r="E3" s="4" t="inlineStr">
        <is>
          <t>Currency translation reserve</t>
        </is>
      </c>
      <c r="F3" s="4" t="inlineStr">
        <is>
          <t>Total equity</t>
        </is>
      </c>
    </row>
    <row r="4">
      <c r="A4" s="5" t="inlineStr">
        <is>
          <t>Balance as at 1 January 2020</t>
        </is>
      </c>
      <c r="B4" s="5" t="n"/>
      <c r="C4" s="5" t="n"/>
      <c r="D4" s="5" t="n"/>
      <c r="E4" s="5" t="n"/>
      <c r="F4" s="5" t="n"/>
    </row>
    <row r="5">
      <c r="A5" s="6" t="inlineStr">
        <is>
          <t>Profit after tax for the year (2020)</t>
        </is>
      </c>
      <c r="B5" s="6" t="n">
        <v>0</v>
      </c>
      <c r="C5" s="6" t="n">
        <v>10520.4</v>
      </c>
      <c r="D5" s="6" t="n">
        <v>0</v>
      </c>
      <c r="E5" s="6" t="n">
        <v>0</v>
      </c>
      <c r="F5" s="6" t="n">
        <v>10520.4</v>
      </c>
    </row>
    <row r="6">
      <c r="A6" s="6" t="inlineStr">
        <is>
          <t>Other comprehensive expense for the year (2020)</t>
        </is>
      </c>
      <c r="B6" s="6" t="n">
        <v>0</v>
      </c>
      <c r="C6" s="6" t="n">
        <v>0</v>
      </c>
      <c r="D6" s="6" t="n">
        <v>-188.5</v>
      </c>
      <c r="E6" s="6" t="n">
        <v>0</v>
      </c>
      <c r="F6" s="6" t="n">
        <v>-188.5</v>
      </c>
    </row>
    <row r="7">
      <c r="A7" s="5" t="inlineStr">
        <is>
          <t>Total comprehensive income for the year (2020)</t>
        </is>
      </c>
      <c r="B7" s="5" t="n">
        <v>0</v>
      </c>
      <c r="C7" s="5" t="n">
        <v>10520.4</v>
      </c>
      <c r="D7" s="5" t="n">
        <v>-188.5</v>
      </c>
      <c r="E7" s="5" t="n">
        <v>0</v>
      </c>
      <c r="F7" s="5" t="n">
        <v>10331.9</v>
      </c>
    </row>
    <row r="8">
      <c r="A8" s="5" t="inlineStr">
        <is>
          <t>Balance as at 31 December 2020</t>
        </is>
      </c>
      <c r="B8" s="5" t="n">
        <v>151804.6</v>
      </c>
      <c r="C8" s="5" t="n">
        <v>101087.6</v>
      </c>
      <c r="D8" s="5" t="n">
        <v>-176.4</v>
      </c>
      <c r="E8" s="5" t="n">
        <v>-3670</v>
      </c>
      <c r="F8" s="5" t="n">
        <v>249045.8</v>
      </c>
    </row>
    <row r="9">
      <c r="A9" s="6" t="inlineStr">
        <is>
          <t>Profit after tax for the year (2021)</t>
        </is>
      </c>
      <c r="B9" s="6" t="n">
        <v>0</v>
      </c>
      <c r="C9" s="6" t="n">
        <v>29447</v>
      </c>
      <c r="D9" s="6" t="n">
        <v>0</v>
      </c>
      <c r="E9" s="6" t="n">
        <v>0</v>
      </c>
      <c r="F9" s="6" t="n">
        <v>29447</v>
      </c>
    </row>
    <row r="10">
      <c r="A10" s="6" t="inlineStr">
        <is>
          <t>Other comprehensive income for the year (2021)</t>
        </is>
      </c>
      <c r="B10" s="6" t="n">
        <v>0</v>
      </c>
      <c r="C10" s="6" t="n">
        <v>0</v>
      </c>
      <c r="D10" s="6" t="n">
        <v>62.3</v>
      </c>
      <c r="E10" s="6" t="n">
        <v>0</v>
      </c>
      <c r="F10" s="6" t="n">
        <v>62.3</v>
      </c>
    </row>
    <row r="11">
      <c r="A11" s="5" t="inlineStr">
        <is>
          <t>Total comprehensive income for the year (2021)</t>
        </is>
      </c>
      <c r="B11" s="5" t="n">
        <v>0</v>
      </c>
      <c r="C11" s="5" t="n">
        <v>29447</v>
      </c>
      <c r="D11" s="5" t="n">
        <v>62.3</v>
      </c>
      <c r="E11" s="5" t="n">
        <v>0</v>
      </c>
      <c r="F11" s="5" t="n">
        <v>29509.4</v>
      </c>
    </row>
    <row r="12">
      <c r="A12" s="5" t="inlineStr">
        <is>
          <t>Balance as at 31 December 2021</t>
        </is>
      </c>
      <c r="B12" s="5" t="n">
        <v>153376.4</v>
      </c>
      <c r="C12" s="5" t="n">
        <v>132084.4</v>
      </c>
      <c r="D12" s="5" t="n">
        <v>-114.8</v>
      </c>
      <c r="E12" s="5" t="n">
        <v>-3708</v>
      </c>
      <c r="F12" s="5" t="n">
        <v>281638</v>
      </c>
    </row>
    <row r="13">
      <c r="A13" s="6" t="inlineStr">
        <is>
          <t>Profit after tax for the year (2022)</t>
        </is>
      </c>
      <c r="B13" s="6" t="n">
        <v>0</v>
      </c>
      <c r="C13" s="6" t="n">
        <v>36669.1</v>
      </c>
      <c r="D13" s="6" t="n">
        <v>0</v>
      </c>
      <c r="E13" s="6" t="n">
        <v>0</v>
      </c>
      <c r="F13" s="6" t="n">
        <v>36669.1</v>
      </c>
    </row>
    <row r="14">
      <c r="A14" s="6" t="inlineStr">
        <is>
          <t>Other comprehensive expense for the year (2022)</t>
        </is>
      </c>
      <c r="B14" s="6" t="n">
        <v>0</v>
      </c>
      <c r="C14" s="6" t="n">
        <v>0</v>
      </c>
      <c r="D14" s="6" t="n">
        <v>-39.6</v>
      </c>
      <c r="E14" s="6" t="n">
        <v>0</v>
      </c>
      <c r="F14" s="6" t="n">
        <v>-39.6</v>
      </c>
    </row>
    <row r="15">
      <c r="A15" s="5" t="inlineStr">
        <is>
          <t>Total comprehensive income for the year (2022)</t>
        </is>
      </c>
      <c r="B15" s="5" t="n">
        <v>0</v>
      </c>
      <c r="C15" s="5" t="n">
        <v>36669.1</v>
      </c>
      <c r="D15" s="5" t="n">
        <v>-39.6</v>
      </c>
      <c r="E15" s="5" t="n">
        <v>0</v>
      </c>
      <c r="F15" s="5" t="n">
        <v>36629.5</v>
      </c>
    </row>
    <row r="16">
      <c r="A16" s="6" t="inlineStr">
        <is>
          <t>Proceeds from shares issued (2022)</t>
        </is>
      </c>
      <c r="B16" s="6" t="n">
        <v>52580.5</v>
      </c>
      <c r="C16" s="6" t="n">
        <v>0</v>
      </c>
      <c r="D16" s="6" t="n">
        <v>0</v>
      </c>
      <c r="E16" s="6" t="n">
        <v>0</v>
      </c>
      <c r="F16" s="6" t="n">
        <v>52580.5</v>
      </c>
    </row>
    <row r="17">
      <c r="A17" s="5" t="inlineStr">
        <is>
          <t>Balance as at 31 December 2022</t>
        </is>
      </c>
      <c r="B17" s="5" t="n">
        <v>225163.5</v>
      </c>
      <c r="C17" s="5" t="n">
        <v>185105.1</v>
      </c>
      <c r="D17" s="5" t="n">
        <v>-168.8</v>
      </c>
      <c r="E17" s="5" t="n">
        <v>-4144.5</v>
      </c>
      <c r="F17" s="5" t="n">
        <v>405955.2</v>
      </c>
    </row>
    <row r="18">
      <c r="A18" s="6" t="inlineStr">
        <is>
          <t>Profit after tax for the year (2023)</t>
        </is>
      </c>
      <c r="B18" s="6" t="n">
        <v>0</v>
      </c>
      <c r="C18" s="6" t="n">
        <v>90221.89999999999</v>
      </c>
      <c r="D18" s="6" t="n">
        <v>0</v>
      </c>
      <c r="E18" s="6" t="n">
        <v>0</v>
      </c>
      <c r="F18" s="6" t="n">
        <v>90221.89999999999</v>
      </c>
    </row>
    <row r="19">
      <c r="A19" s="6" t="inlineStr">
        <is>
          <t>Other comprehensive income for the year (2023)</t>
        </is>
      </c>
      <c r="B19" s="6" t="n">
        <v>0</v>
      </c>
      <c r="C19" s="6" t="n">
        <v>0</v>
      </c>
      <c r="D19" s="6" t="n">
        <v>1156.4</v>
      </c>
      <c r="E19" s="6" t="n">
        <v>0</v>
      </c>
      <c r="F19" s="6" t="n">
        <v>1156.4</v>
      </c>
    </row>
    <row r="20">
      <c r="A20" s="5" t="inlineStr">
        <is>
          <t>Total comprehensive income for the year (2023)</t>
        </is>
      </c>
      <c r="B20" s="5" t="n">
        <v>0</v>
      </c>
      <c r="C20" s="5" t="n">
        <v>90221.89999999999</v>
      </c>
      <c r="D20" s="5" t="n">
        <v>1156.4</v>
      </c>
      <c r="E20" s="5" t="n">
        <v>0</v>
      </c>
      <c r="F20" s="5" t="n">
        <v>91378.3</v>
      </c>
    </row>
    <row r="21">
      <c r="A21" s="6" t="inlineStr">
        <is>
          <t>Proceeds from shares issued (2023)</t>
        </is>
      </c>
      <c r="B21" s="6" t="n">
        <v>80392.3</v>
      </c>
      <c r="C21" s="6" t="n">
        <v>0</v>
      </c>
      <c r="D21" s="6" t="n">
        <v>0</v>
      </c>
      <c r="E21" s="6" t="n">
        <v>0</v>
      </c>
      <c r="F21" s="6" t="n">
        <v>80392.3</v>
      </c>
    </row>
    <row r="22">
      <c r="A22" s="6" t="inlineStr">
        <is>
          <t>Dividends declared (2023)</t>
        </is>
      </c>
      <c r="B22" s="6" t="n">
        <v>0</v>
      </c>
      <c r="C22" s="6" t="n">
        <v>-18044.4</v>
      </c>
      <c r="D22" s="6" t="n">
        <v>0</v>
      </c>
      <c r="E22" s="6" t="n">
        <v>0</v>
      </c>
      <c r="F22" s="6" t="n">
        <v>-18044.4</v>
      </c>
    </row>
    <row r="23">
      <c r="A23" s="5" t="inlineStr">
        <is>
          <t>Balance as at 31 December 2023</t>
        </is>
      </c>
      <c r="B23" s="5" t="n">
        <v>292475.8</v>
      </c>
      <c r="C23" s="5" t="n">
        <v>246389.6</v>
      </c>
      <c r="D23" s="5" t="n">
        <v>969.4</v>
      </c>
      <c r="E23" s="5" t="n">
        <v>-3937.8</v>
      </c>
      <c r="F23" s="5" t="n">
        <v>535897.1</v>
      </c>
    </row>
    <row r="24">
      <c r="A24" s="6" t="inlineStr">
        <is>
          <t>Profit after tax for the year (2024)</t>
        </is>
      </c>
      <c r="B24" s="6" t="n">
        <v>0</v>
      </c>
      <c r="C24" s="6" t="n">
        <v>99927.10000000001</v>
      </c>
      <c r="D24" s="6" t="n">
        <v>0</v>
      </c>
      <c r="E24" s="6" t="n">
        <v>0</v>
      </c>
      <c r="F24" s="6" t="n">
        <v>99927.10000000001</v>
      </c>
    </row>
    <row r="25">
      <c r="A25" s="6" t="inlineStr">
        <is>
          <t>Other comprehensive expense for the year (2024)</t>
        </is>
      </c>
      <c r="B25" s="6" t="n">
        <v>0</v>
      </c>
      <c r="C25" s="6" t="n">
        <v>0</v>
      </c>
      <c r="D25" s="6" t="n">
        <v>-1032.8</v>
      </c>
      <c r="E25" s="6" t="n">
        <v>0</v>
      </c>
      <c r="F25" s="6" t="n">
        <v>-1032.8</v>
      </c>
    </row>
    <row r="26">
      <c r="A26" s="5" t="inlineStr">
        <is>
          <t>Total comprehensive income for the year (2024)</t>
        </is>
      </c>
      <c r="B26" s="5" t="n">
        <v>0</v>
      </c>
      <c r="C26" s="5" t="n">
        <v>99927.10000000001</v>
      </c>
      <c r="D26" s="5" t="n">
        <v>-1032.8</v>
      </c>
      <c r="E26" s="5" t="n">
        <v>0</v>
      </c>
      <c r="F26" s="5" t="n">
        <v>98894.39999999999</v>
      </c>
    </row>
    <row r="27">
      <c r="A27" s="6" t="inlineStr">
        <is>
          <t>Dividends declared (2024)</t>
        </is>
      </c>
      <c r="B27" s="6" t="n">
        <v>0</v>
      </c>
      <c r="C27" s="6" t="n">
        <v>-18624.9</v>
      </c>
      <c r="D27" s="6" t="n">
        <v>0</v>
      </c>
      <c r="E27" s="6" t="n">
        <v>0</v>
      </c>
      <c r="F27" s="6" t="n">
        <v>-18624.9</v>
      </c>
    </row>
    <row r="28">
      <c r="A28" s="5" t="inlineStr">
        <is>
          <t>Balance as at 31 December 2024</t>
        </is>
      </c>
      <c r="B28" s="5" t="n">
        <v>297547.1</v>
      </c>
      <c r="C28" s="5" t="n">
        <v>333698.6</v>
      </c>
      <c r="D28" s="5" t="n">
        <v>-68.59999999999999</v>
      </c>
      <c r="E28" s="5" t="n">
        <v>-4006</v>
      </c>
      <c r="F28" s="5" t="n">
        <v>627171.1</v>
      </c>
    </row>
    <row r="30" ht="280" customHeight="1">
      <c r="A30" s="8" t="inlineStr">
        <is>
          <t>Sources - The Access Bank UK Limited's own Statement of Changes in Equity (Bank basis), converted from USD to £ (Balance rows at that date's BoE spot rate; movement rows at that calendar year's BoE average rate - same FX methodology as the Cash Flow Statement sheet):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FY2020-FY2024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FY2020 average is newly sourced for this workbook (no earlier bank in this series needed a full FY2020 column).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FY2020's opening cash balance is left blank (not converted) since it would require a 31 December 2019 spot rate, which hasn't been sourced for this project - FY2020's closing balance and flow lines ARE populated, just not its opening balance or a translation plug.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The Balance as at 1 January 2020 row is left blank (not converted) since it would require a 31 December 2019 GBP/USD spot rate, which hasn't been sourced for this project - matching the same gap already noted for the Cash Flow Statement's FY2020 opening balance.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row>
    <row r="4">
      <c r="A4" s="5" t="inlineStr">
        <is>
          <t>Operating activities</t>
        </is>
      </c>
      <c r="B4" s="6" t="n"/>
      <c r="C4" s="6" t="n"/>
      <c r="D4" s="6" t="n"/>
      <c r="E4" s="6" t="n"/>
      <c r="F4" s="6" t="n"/>
    </row>
    <row r="5">
      <c r="A5" s="6" t="inlineStr">
        <is>
          <t>Profit before tax (expense) for the year</t>
        </is>
      </c>
      <c r="B5" s="6" t="n">
        <v>135650.6</v>
      </c>
      <c r="C5" s="6" t="n">
        <v>121818.5</v>
      </c>
      <c r="D5" s="6" t="n">
        <v>47484.2</v>
      </c>
      <c r="E5" s="6" t="n">
        <v>37710.8</v>
      </c>
      <c r="F5" s="6" t="n">
        <v>13109.5</v>
      </c>
    </row>
    <row r="6">
      <c r="A6" s="6" t="inlineStr">
        <is>
          <t>Depreciation</t>
        </is>
      </c>
      <c r="B6" s="6" t="n">
        <v>2512.9</v>
      </c>
      <c r="C6" s="6" t="n">
        <v>1447.1</v>
      </c>
      <c r="D6" s="6" t="n">
        <v>1393.1</v>
      </c>
      <c r="E6" s="6" t="n">
        <v>1074.9</v>
      </c>
      <c r="F6" s="6" t="n">
        <v>1357.6</v>
      </c>
    </row>
    <row r="7">
      <c r="A7" s="6" t="inlineStr">
        <is>
          <t>Amortisation</t>
        </is>
      </c>
      <c r="B7" s="6" t="n">
        <v>745.2</v>
      </c>
      <c r="C7" s="6" t="n">
        <v>610.2</v>
      </c>
      <c r="D7" s="6" t="n">
        <v>457.6</v>
      </c>
      <c r="E7" s="6" t="n">
        <v>312.4</v>
      </c>
      <c r="F7" s="6" t="n">
        <v>441</v>
      </c>
    </row>
    <row r="8">
      <c r="A8" s="6" t="inlineStr">
        <is>
          <t>Impairment charge on financial assets</t>
        </is>
      </c>
      <c r="B8" s="6" t="n">
        <v>8476.6</v>
      </c>
      <c r="C8" s="6" t="n">
        <v>6616.1</v>
      </c>
      <c r="D8" s="6" t="n">
        <v>30149.9</v>
      </c>
      <c r="E8" s="6" t="n">
        <v>23609.8</v>
      </c>
      <c r="F8" s="6" t="n">
        <v>45677.9</v>
      </c>
    </row>
    <row r="9">
      <c r="A9" s="6" t="inlineStr">
        <is>
          <t>Interest expense on Lease</t>
        </is>
      </c>
      <c r="B9" s="6" t="n">
        <v>313.9</v>
      </c>
      <c r="C9" s="6" t="n">
        <v>53</v>
      </c>
      <c r="D9" s="6" t="n">
        <v>73.8</v>
      </c>
      <c r="E9" s="6" t="n">
        <v>72.90000000000001</v>
      </c>
      <c r="F9" s="6" t="n"/>
    </row>
    <row r="10">
      <c r="A10" s="6" t="inlineStr">
        <is>
          <t>Write off of property, plant and equipment</t>
        </is>
      </c>
      <c r="B10" s="6" t="n"/>
      <c r="C10" s="6" t="n">
        <v>10.9</v>
      </c>
      <c r="D10" s="6" t="n"/>
      <c r="E10" s="6" t="n"/>
      <c r="F10" s="6" t="n"/>
    </row>
    <row r="11">
      <c r="A11" s="6" t="inlineStr">
        <is>
          <t>Changes in money market placements</t>
        </is>
      </c>
      <c r="B11" s="6" t="n">
        <v>-4767.6</v>
      </c>
      <c r="C11" s="6" t="n">
        <v>-2860.4</v>
      </c>
      <c r="D11" s="6" t="n">
        <v>265.7</v>
      </c>
      <c r="E11" s="6" t="n">
        <v>1877.9</v>
      </c>
      <c r="F11" s="6" t="n">
        <v>13034.2</v>
      </c>
    </row>
    <row r="12">
      <c r="A12" s="6" t="inlineStr">
        <is>
          <t>Changes in loans and advances to banks and customers</t>
        </is>
      </c>
      <c r="B12" s="6" t="n">
        <v>-434751.8</v>
      </c>
      <c r="C12" s="6" t="n">
        <v>-420262.9</v>
      </c>
      <c r="D12" s="6" t="n">
        <v>-418785.2</v>
      </c>
      <c r="E12" s="6" t="n">
        <v>-74231.2</v>
      </c>
      <c r="F12" s="6" t="n">
        <v>-268309.5</v>
      </c>
    </row>
    <row r="13">
      <c r="A13" s="6" t="inlineStr">
        <is>
          <t>Changes in other assets</t>
        </is>
      </c>
      <c r="B13" s="6" t="n">
        <v>-6779.5</v>
      </c>
      <c r="C13" s="6" t="n">
        <v>1316.7</v>
      </c>
      <c r="D13" s="6" t="n">
        <v>-5201.9</v>
      </c>
      <c r="E13" s="6" t="n">
        <v>4323.4</v>
      </c>
      <c r="F13" s="6" t="n">
        <v>-9491.799999999999</v>
      </c>
    </row>
    <row r="14">
      <c r="A14" s="6" t="inlineStr">
        <is>
          <t>Changes in deposits from banks</t>
        </is>
      </c>
      <c r="B14" s="6" t="n">
        <v>1145751.7</v>
      </c>
      <c r="C14" s="6" t="n">
        <v>204308.7</v>
      </c>
      <c r="D14" s="6" t="n">
        <v>209861.8</v>
      </c>
      <c r="E14" s="6" t="n">
        <v>430339.5</v>
      </c>
      <c r="F14" s="6" t="n">
        <v>-161451.2</v>
      </c>
    </row>
    <row r="15">
      <c r="A15" s="6" t="inlineStr">
        <is>
          <t>Changes in deposits from customers</t>
        </is>
      </c>
      <c r="B15" s="6" t="n">
        <v>76911.5</v>
      </c>
      <c r="C15" s="6" t="n">
        <v>160328</v>
      </c>
      <c r="D15" s="6" t="n">
        <v>255957.9</v>
      </c>
      <c r="E15" s="6" t="n">
        <v>43122</v>
      </c>
      <c r="F15" s="6" t="n">
        <v>74423.3</v>
      </c>
    </row>
    <row r="16">
      <c r="A16" s="6" t="inlineStr">
        <is>
          <t>Changes in other liabilities</t>
        </is>
      </c>
      <c r="B16" s="6" t="n">
        <v>25798.3</v>
      </c>
      <c r="C16" s="6" t="n">
        <v>6440.5</v>
      </c>
      <c r="D16" s="6" t="n">
        <v>-636.2</v>
      </c>
      <c r="E16" s="6" t="n">
        <v>-2554</v>
      </c>
      <c r="F16" s="6" t="n">
        <v>-232</v>
      </c>
    </row>
    <row r="17">
      <c r="A17" s="6" t="inlineStr">
        <is>
          <t>Taxation paid</t>
        </is>
      </c>
      <c r="B17" s="6" t="n">
        <v>-35146.6</v>
      </c>
      <c r="C17" s="6" t="n">
        <v>-30677.8</v>
      </c>
      <c r="D17" s="6" t="n">
        <v>-3039.2</v>
      </c>
      <c r="E17" s="6" t="n">
        <v>-9954.5</v>
      </c>
      <c r="F17" s="6" t="n">
        <v>-16485.6</v>
      </c>
    </row>
    <row r="18">
      <c r="A18" s="5" t="inlineStr">
        <is>
          <t>Net cash from/(used in) operating activities</t>
        </is>
      </c>
      <c r="B18" s="5" t="n">
        <v>914715.2</v>
      </c>
      <c r="C18" s="5" t="n">
        <v>49148.5</v>
      </c>
      <c r="D18" s="5" t="n">
        <v>117981.6</v>
      </c>
      <c r="E18" s="5" t="n">
        <v>455703.9</v>
      </c>
      <c r="F18" s="5" t="n">
        <v>-307926.5</v>
      </c>
    </row>
    <row r="19">
      <c r="A19" s="5" t="inlineStr">
        <is>
          <t>Investing activities</t>
        </is>
      </c>
      <c r="B19" s="6" t="n"/>
      <c r="C19" s="6" t="n"/>
      <c r="D19" s="6" t="n"/>
      <c r="E19" s="6" t="n"/>
      <c r="F19" s="6" t="n"/>
    </row>
    <row r="20">
      <c r="A20" s="6" t="inlineStr">
        <is>
          <t>Net purchase of investment securities</t>
        </is>
      </c>
      <c r="B20" s="6" t="n">
        <v>-995784.4</v>
      </c>
      <c r="C20" s="6" t="n">
        <v>-248758.2</v>
      </c>
      <c r="D20" s="6" t="n">
        <v>-84103.2</v>
      </c>
      <c r="E20" s="6" t="n">
        <v>-184194.2</v>
      </c>
      <c r="F20" s="6" t="n">
        <v>46913.9</v>
      </c>
    </row>
    <row r="21">
      <c r="A21" s="6" t="inlineStr">
        <is>
          <t>Purchase of share in subsidiary</t>
        </is>
      </c>
      <c r="B21" s="6" t="n">
        <v>-17387</v>
      </c>
      <c r="C21" s="6" t="n"/>
      <c r="D21" s="6" t="n"/>
      <c r="E21" s="6" t="n"/>
      <c r="F21" s="6" t="n"/>
    </row>
    <row r="22">
      <c r="A22" s="6" t="inlineStr">
        <is>
          <t>Purchase of property, plant and equipment</t>
        </is>
      </c>
      <c r="B22" s="6" t="n">
        <v>-1067.2</v>
      </c>
      <c r="C22" s="6" t="n">
        <v>-389.7</v>
      </c>
      <c r="D22" s="6" t="n">
        <v>-426.4</v>
      </c>
      <c r="E22" s="6" t="n">
        <v>-105.6</v>
      </c>
      <c r="F22" s="6" t="n">
        <v>-579.3</v>
      </c>
    </row>
    <row r="23">
      <c r="A23" s="6" t="inlineStr">
        <is>
          <t>Purchase of intangible assets</t>
        </is>
      </c>
      <c r="B23" s="6" t="n">
        <v>-3826.1</v>
      </c>
      <c r="C23" s="6" t="n">
        <v>-1319.4</v>
      </c>
      <c r="D23" s="6" t="n">
        <v>-1406.8</v>
      </c>
      <c r="E23" s="6" t="n">
        <v>-538.4</v>
      </c>
      <c r="F23" s="6" t="n">
        <v>-291.3</v>
      </c>
    </row>
    <row r="24">
      <c r="A24" s="5" t="inlineStr">
        <is>
          <t>Net cash from/(used in) investing activities</t>
        </is>
      </c>
      <c r="B24" s="5" t="n">
        <v>-1018064.7</v>
      </c>
      <c r="C24" s="5" t="n">
        <v>-250467.3</v>
      </c>
      <c r="D24" s="5" t="n">
        <v>-85936.39999999999</v>
      </c>
      <c r="E24" s="5" t="n">
        <v>-184838.2</v>
      </c>
      <c r="F24" s="5" t="n">
        <v>46043.3</v>
      </c>
    </row>
    <row r="25">
      <c r="A25" s="5" t="inlineStr">
        <is>
          <t>Financing activities</t>
        </is>
      </c>
      <c r="B25" s="6" t="n"/>
      <c r="C25" s="6" t="n"/>
      <c r="D25" s="6" t="n"/>
      <c r="E25" s="6" t="n"/>
      <c r="F25" s="6" t="n"/>
    </row>
    <row r="26">
      <c r="A26" s="6" t="inlineStr">
        <is>
          <t>Issuance of own shares</t>
        </is>
      </c>
      <c r="B26" s="6" t="n"/>
      <c r="C26" s="6" t="n">
        <v>80392.3</v>
      </c>
      <c r="D26" s="6" t="n">
        <v>52580.5</v>
      </c>
      <c r="E26" s="6" t="n"/>
      <c r="F26" s="6" t="n"/>
    </row>
    <row r="27">
      <c r="A27" s="6" t="inlineStr">
        <is>
          <t>Lease payments (combined principal &amp; interest)</t>
        </is>
      </c>
      <c r="B27" s="6" t="n"/>
      <c r="C27" s="6" t="n"/>
      <c r="D27" s="6" t="n">
        <v>-1093.2</v>
      </c>
      <c r="E27" s="6" t="n">
        <v>-841.1</v>
      </c>
      <c r="F27" s="6" t="n">
        <v>-1036.9</v>
      </c>
    </row>
    <row r="28">
      <c r="A28" s="6" t="inlineStr">
        <is>
          <t>Lease payments principal</t>
        </is>
      </c>
      <c r="B28" s="6" t="n">
        <v>-2168.6</v>
      </c>
      <c r="C28" s="6" t="n">
        <v>-1095.2</v>
      </c>
      <c r="D28" s="6" t="n"/>
      <c r="E28" s="6" t="n"/>
      <c r="F28" s="6" t="n"/>
    </row>
    <row r="29">
      <c r="A29" s="6" t="inlineStr">
        <is>
          <t>Lease payments interest</t>
        </is>
      </c>
      <c r="B29" s="6" t="n">
        <v>-70</v>
      </c>
      <c r="C29" s="6" t="n">
        <v>-20.5</v>
      </c>
      <c r="D29" s="6" t="n"/>
      <c r="E29" s="6" t="n"/>
      <c r="F29" s="6" t="n"/>
    </row>
    <row r="30">
      <c r="A30" s="6" t="inlineStr">
        <is>
          <t>Dividends paid</t>
        </is>
      </c>
      <c r="B30" s="6" t="n">
        <v>-20700</v>
      </c>
      <c r="C30" s="6" t="n">
        <v>-15912.1</v>
      </c>
      <c r="D30" s="6" t="n"/>
      <c r="E30" s="6" t="n"/>
      <c r="F30" s="6" t="n"/>
    </row>
    <row r="31">
      <c r="A31" s="5" t="inlineStr">
        <is>
          <t>Net cash from/(used in) financing activities</t>
        </is>
      </c>
      <c r="B31" s="5" t="n">
        <v>-22938.6</v>
      </c>
      <c r="C31" s="5" t="n">
        <v>63364.5</v>
      </c>
      <c r="D31" s="5" t="n">
        <v>51487.3</v>
      </c>
      <c r="E31" s="5" t="n">
        <v>-841.1</v>
      </c>
      <c r="F31" s="5" t="n">
        <v>-1036.9</v>
      </c>
    </row>
    <row r="32">
      <c r="A32" s="5" t="inlineStr">
        <is>
          <t>Net increase/(decrease) in cash and cash equivalents</t>
        </is>
      </c>
      <c r="B32" s="5" t="n">
        <v>-126288.1</v>
      </c>
      <c r="C32" s="5" t="n">
        <v>-137954.2</v>
      </c>
      <c r="D32" s="5" t="n">
        <v>83532.39999999999</v>
      </c>
      <c r="E32" s="5" t="n">
        <v>270024.6</v>
      </c>
      <c r="F32" s="5" t="n">
        <v>-262920.2</v>
      </c>
    </row>
    <row r="33">
      <c r="A33" s="6" t="inlineStr">
        <is>
          <t>Cash and cash equivalents at the beginning of the year</t>
        </is>
      </c>
      <c r="B33" s="6" t="n">
        <v>364263.6</v>
      </c>
      <c r="C33" s="6" t="n">
        <v>524595.1</v>
      </c>
      <c r="D33" s="6" t="n">
        <v>392792.6</v>
      </c>
      <c r="E33" s="6" t="n">
        <v>117322.9</v>
      </c>
      <c r="F33" s="6" t="n"/>
    </row>
    <row r="34">
      <c r="A34" s="6" t="inlineStr">
        <is>
          <t>Effect of exchange rate fluctuations on cash held</t>
        </is>
      </c>
      <c r="B34" s="6" t="n">
        <v>201.5</v>
      </c>
      <c r="C34" s="6" t="n">
        <v>626.2</v>
      </c>
      <c r="D34" s="6" t="n">
        <v>198.1</v>
      </c>
      <c r="E34" s="6" t="n">
        <v>-376.5</v>
      </c>
      <c r="F34" s="6" t="n">
        <v>176.5</v>
      </c>
    </row>
    <row r="35">
      <c r="A35" s="6" t="inlineStr">
        <is>
          <t>Effect of GBP/USD translation (£ conversion artefact - see FX note)</t>
        </is>
      </c>
      <c r="B35" s="6" t="n">
        <v>3626</v>
      </c>
      <c r="C35" s="6" t="n">
        <v>-23003.5</v>
      </c>
      <c r="D35" s="6" t="n">
        <v>48072</v>
      </c>
      <c r="E35" s="6" t="n">
        <v>5821.6</v>
      </c>
      <c r="F35" s="6" t="n"/>
    </row>
    <row r="36">
      <c r="A36" s="5" t="inlineStr">
        <is>
          <t>Cash and cash equivalents at the end of the year</t>
        </is>
      </c>
      <c r="B36" s="5" t="n">
        <v>241803</v>
      </c>
      <c r="C36" s="5" t="n">
        <v>364263.6</v>
      </c>
      <c r="D36" s="5" t="n">
        <v>524595.1</v>
      </c>
      <c r="E36" s="5" t="n">
        <v>392792.6</v>
      </c>
      <c r="F36" s="5" t="n">
        <v>117322.9</v>
      </c>
    </row>
    <row r="38" ht="340" customHeight="1">
      <c r="A38" s="8" t="inlineStr">
        <is>
          <t>Sources - all figures are The Access Bank UK Limited's own Statement of Cash Flows (converted from USD to £, see FX conversion note below):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FY2020-FY2024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FY2020 average is newly sourced for this workbook (no earlier bank in this series needed a full FY2020 column).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FY2020's opening cash balance is left blank (not converted) since it would require a 31 December 2019 spot rate, which hasn't been sourced for this project - FY2020's closing balance and flow lines ARE populated, just not its opening balance or a translation plug.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row>
    <row r="4">
      <c r="A4" s="5" t="inlineStr">
        <is>
          <t>Loan book by product/segment (basis differs by year - see presentation note)</t>
        </is>
      </c>
      <c r="B4" s="6" t="n"/>
      <c r="C4" s="6" t="n"/>
      <c r="D4" s="6" t="n"/>
      <c r="E4" s="6" t="n"/>
      <c r="F4" s="6" t="n"/>
    </row>
    <row r="5">
      <c r="A5" s="6" t="inlineStr">
        <is>
          <t>Loans to corporates (gross)</t>
        </is>
      </c>
      <c r="B5" s="6" t="n">
        <v>1188676.1</v>
      </c>
      <c r="C5" s="6" t="n">
        <v>1089045.5</v>
      </c>
      <c r="D5" s="6" t="n"/>
      <c r="E5" s="6" t="n"/>
      <c r="F5" s="6" t="n"/>
    </row>
    <row r="6">
      <c r="A6" s="6" t="inlineStr">
        <is>
          <t>Loans secured on property (gross)</t>
        </is>
      </c>
      <c r="B6" s="6" t="n">
        <v>103036.6</v>
      </c>
      <c r="C6" s="6" t="n">
        <v>94673.7</v>
      </c>
      <c r="D6" s="6" t="n"/>
      <c r="E6" s="6" t="n"/>
      <c r="F6" s="6" t="n"/>
    </row>
    <row r="7">
      <c r="A7" s="6" t="inlineStr">
        <is>
          <t>Other secured personal loans (gross)</t>
        </is>
      </c>
      <c r="B7" s="6" t="n">
        <v>64148.3</v>
      </c>
      <c r="C7" s="6" t="n">
        <v>33315.4</v>
      </c>
      <c r="D7" s="6" t="n"/>
      <c r="E7" s="6" t="n"/>
      <c r="F7" s="6" t="n"/>
    </row>
    <row r="8">
      <c r="A8" s="6" t="inlineStr">
        <is>
          <t>Retail loans, incl. mortgages (net of allowance)</t>
        </is>
      </c>
      <c r="B8" s="6" t="n"/>
      <c r="C8" s="6" t="n"/>
      <c r="D8" s="6" t="n">
        <v>125256.2</v>
      </c>
      <c r="E8" s="6" t="n">
        <v>108776.4</v>
      </c>
      <c r="F8" s="6" t="n">
        <v>80363.3</v>
      </c>
    </row>
    <row r="9">
      <c r="A9" s="6" t="inlineStr">
        <is>
          <t>Corporate loans, incl. mortgages (net of allowance)</t>
        </is>
      </c>
      <c r="B9" s="6" t="n"/>
      <c r="C9" s="6" t="n"/>
      <c r="D9" s="6" t="n">
        <v>796359.6</v>
      </c>
      <c r="E9" s="6" t="n">
        <v>671046.8</v>
      </c>
      <c r="F9" s="6" t="n">
        <v>571489.5</v>
      </c>
    </row>
    <row r="10">
      <c r="A10" s="5" t="inlineStr">
        <is>
          <t>Total loans and advances to customers (gross FY2023-24 / net FY2020-22)</t>
        </is>
      </c>
      <c r="B10" s="5" t="n">
        <v>1355861</v>
      </c>
      <c r="C10" s="5" t="n">
        <v>1217034.6</v>
      </c>
      <c r="D10" s="5" t="n">
        <v>921615.8</v>
      </c>
      <c r="E10" s="5" t="n">
        <v>779823.3</v>
      </c>
      <c r="F10" s="5" t="n">
        <v>651852.8</v>
      </c>
    </row>
    <row r="11">
      <c r="A11" s="5" t="inlineStr">
        <is>
          <t>Loan book by IFRS 9 stage (gross carrying amount)</t>
        </is>
      </c>
      <c r="B11" s="6" t="n"/>
      <c r="C11" s="6" t="n"/>
      <c r="D11" s="6" t="n"/>
      <c r="E11" s="6" t="n"/>
      <c r="F11" s="6" t="n"/>
    </row>
    <row r="12">
      <c r="A12" s="6" t="inlineStr">
        <is>
          <t>Stage 1 (12-month ECL)</t>
        </is>
      </c>
      <c r="B12" s="6" t="n">
        <v>1239505.3</v>
      </c>
      <c r="C12" s="6" t="n">
        <v>1138323.6</v>
      </c>
      <c r="D12" s="6" t="n">
        <v>855651.4</v>
      </c>
      <c r="E12" s="6" t="n">
        <v>686246.6</v>
      </c>
      <c r="F12" s="6" t="n">
        <v>540993.2</v>
      </c>
    </row>
    <row r="13">
      <c r="A13" s="6" t="inlineStr">
        <is>
          <t>Stage 2 (lifetime ECL, not credit-impaired)</t>
        </is>
      </c>
      <c r="B13" s="6" t="n">
        <v>45984</v>
      </c>
      <c r="C13" s="6" t="n">
        <v>9539.6</v>
      </c>
      <c r="D13" s="6" t="n">
        <v>8887.700000000001</v>
      </c>
      <c r="E13" s="6" t="n">
        <v>11889.2</v>
      </c>
      <c r="F13" s="6" t="n">
        <v>70874.5</v>
      </c>
    </row>
    <row r="14">
      <c r="A14" s="6" t="inlineStr">
        <is>
          <t>Stage 3 (lifetime ECL, credit-impaired)</t>
        </is>
      </c>
      <c r="B14" s="6" t="n">
        <v>70371.7</v>
      </c>
      <c r="C14" s="6" t="n">
        <v>69171.39999999999</v>
      </c>
      <c r="D14" s="6" t="n">
        <v>93186.60000000001</v>
      </c>
      <c r="E14" s="6" t="n">
        <v>137044.6</v>
      </c>
      <c r="F14" s="6" t="n">
        <v>82761</v>
      </c>
    </row>
    <row r="15">
      <c r="A15" s="5" t="inlineStr">
        <is>
          <t>Total gross carrying amount</t>
        </is>
      </c>
      <c r="B15" s="5" t="n">
        <v>1355861</v>
      </c>
      <c r="C15" s="5" t="n">
        <v>1217034.6</v>
      </c>
      <c r="D15" s="5" t="n">
        <v>957725.7</v>
      </c>
      <c r="E15" s="5" t="n">
        <v>835180.4</v>
      </c>
      <c r="F15" s="5" t="n">
        <v>694628.7</v>
      </c>
    </row>
    <row r="16">
      <c r="A16" s="5" t="inlineStr">
        <is>
          <t>Loss allowance by IFRS 9 stage</t>
        </is>
      </c>
      <c r="B16" s="6" t="n"/>
      <c r="C16" s="6" t="n"/>
      <c r="D16" s="6" t="n"/>
      <c r="E16" s="6" t="n"/>
      <c r="F16" s="6" t="n"/>
    </row>
    <row r="17">
      <c r="A17" s="6" t="inlineStr">
        <is>
          <t>Stage 1 loss allowance</t>
        </is>
      </c>
      <c r="B17" s="6" t="n">
        <v>-1089</v>
      </c>
      <c r="C17" s="6" t="n">
        <v>-843</v>
      </c>
      <c r="D17" s="6" t="n">
        <v>-641.3</v>
      </c>
      <c r="E17" s="6" t="n">
        <v>-360</v>
      </c>
      <c r="F17" s="6" t="n">
        <v>-539.2</v>
      </c>
    </row>
    <row r="18">
      <c r="A18" s="6" t="inlineStr">
        <is>
          <t>Stage 2 loss allowance</t>
        </is>
      </c>
      <c r="B18" s="6" t="n">
        <v>-20306.5</v>
      </c>
      <c r="C18" s="6" t="n">
        <v>0</v>
      </c>
      <c r="D18" s="6" t="n">
        <v>-15.2</v>
      </c>
      <c r="E18" s="6" t="n">
        <v>-32.6</v>
      </c>
      <c r="F18" s="6" t="n">
        <v>-6385.2</v>
      </c>
    </row>
    <row r="19">
      <c r="A19" s="6" t="inlineStr">
        <is>
          <t>Stage 3 loss allowance</t>
        </is>
      </c>
      <c r="B19" s="6" t="n">
        <v>-231.7</v>
      </c>
      <c r="C19" s="6" t="n">
        <v>-19880</v>
      </c>
      <c r="D19" s="6" t="n">
        <v>-35453.4</v>
      </c>
      <c r="E19" s="6" t="n">
        <v>-54964.5</v>
      </c>
      <c r="F19" s="6" t="n">
        <v>-35851.5</v>
      </c>
    </row>
    <row r="20">
      <c r="A20" s="5" t="inlineStr">
        <is>
          <t>Total loss allowance</t>
        </is>
      </c>
      <c r="B20" s="5" t="n">
        <v>-21627.2</v>
      </c>
      <c r="C20" s="5" t="n">
        <v>-20723</v>
      </c>
      <c r="D20" s="5" t="n">
        <v>-36109.9</v>
      </c>
      <c r="E20" s="5" t="n">
        <v>-55357.1</v>
      </c>
      <c r="F20" s="5" t="n">
        <v>-42775.8</v>
      </c>
    </row>
    <row r="21">
      <c r="A21" s="5" t="inlineStr">
        <is>
          <t>Asset quality ratios (computed from the £-converted figures above)</t>
        </is>
      </c>
      <c r="B21" s="6" t="n"/>
      <c r="C21" s="6" t="n"/>
      <c r="D21" s="6" t="n"/>
      <c r="E21" s="6" t="n"/>
      <c r="F21" s="6" t="n"/>
    </row>
    <row r="22">
      <c r="A22" s="6" t="inlineStr">
        <is>
          <t>ECL coverage ratio (total loss allowance / total gross carrying amount)</t>
        </is>
      </c>
      <c r="B22" s="6" t="inlineStr">
        <is>
          <t>1.6%</t>
        </is>
      </c>
      <c r="C22" s="6" t="inlineStr">
        <is>
          <t>1.7%</t>
        </is>
      </c>
      <c r="D22" s="6" t="inlineStr">
        <is>
          <t>3.8%</t>
        </is>
      </c>
      <c r="E22" s="6" t="inlineStr">
        <is>
          <t>6.6%</t>
        </is>
      </c>
      <c r="F22" s="6" t="inlineStr">
        <is>
          <t>6.2%</t>
        </is>
      </c>
    </row>
    <row r="23">
      <c r="A23" s="6" t="inlineStr">
        <is>
          <t>Stage 3 / NPL ratio (Stage 3 gross / total gross carrying amount)</t>
        </is>
      </c>
      <c r="B23" s="6" t="inlineStr">
        <is>
          <t>5.2%</t>
        </is>
      </c>
      <c r="C23" s="6" t="inlineStr">
        <is>
          <t>5.7%</t>
        </is>
      </c>
      <c r="D23" s="6" t="inlineStr">
        <is>
          <t>9.7%</t>
        </is>
      </c>
      <c r="E23" s="6" t="inlineStr">
        <is>
          <t>16.4%</t>
        </is>
      </c>
      <c r="F23" s="6" t="inlineStr">
        <is>
          <t>11.9%</t>
        </is>
      </c>
    </row>
    <row r="24">
      <c r="A24" s="6" t="inlineStr">
        <is>
          <t>Stage 3 coverage ratio (Stage 3 loss allowance / Stage 3 gross)</t>
        </is>
      </c>
      <c r="B24" s="6" t="inlineStr">
        <is>
          <t>0.3%</t>
        </is>
      </c>
      <c r="C24" s="6" t="inlineStr">
        <is>
          <t>28.7%</t>
        </is>
      </c>
      <c r="D24" s="6" t="inlineStr">
        <is>
          <t>38.0%</t>
        </is>
      </c>
      <c r="E24" s="6" t="inlineStr">
        <is>
          <t>40.1%</t>
        </is>
      </c>
      <c r="F24" s="6" t="inlineStr">
        <is>
          <t>43.3%</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FY2020-FY2024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FY2020 average is newly sourced for this workbook (no earlier bank in this series needed a full FY2020 column).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FY2020's opening cash balance is left blank (not converted) since it would require a 31 December 2019 spot rate, which hasn't been sourced for this project - FY2020's closing balance and flow lines ARE populated, just not its opening balance or a translation plug.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Common Equity Tier 1 (CET1) capital</t>
        </is>
      </c>
      <c r="B4" s="6" t="n"/>
      <c r="C4" s="6" t="n">
        <v>531687.1</v>
      </c>
      <c r="D4" s="6" t="n">
        <v>402448.5</v>
      </c>
      <c r="E4" s="6" t="n">
        <v>279437.2</v>
      </c>
      <c r="F4" s="6" t="n">
        <v>248093.1</v>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Common Equity Tier 1 (CET1) ratio</t>
        </is>
      </c>
      <c r="B4" s="6" t="n"/>
      <c r="C4" s="6" t="inlineStr">
        <is>
          <t>22.4%</t>
        </is>
      </c>
      <c r="D4" s="6" t="inlineStr">
        <is>
          <t>19.8%</t>
        </is>
      </c>
      <c r="E4" s="6" t="inlineStr">
        <is>
          <t>21.88%</t>
        </is>
      </c>
      <c r="F4" s="6" t="inlineStr">
        <is>
          <t>18.40%</t>
        </is>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Tier 1 capital</t>
        </is>
      </c>
      <c r="B4" s="6" t="n"/>
      <c r="C4" s="6" t="n">
        <v>531687.1</v>
      </c>
      <c r="D4" s="6" t="n">
        <v>402448.5</v>
      </c>
      <c r="E4" s="6" t="n">
        <v>279437.2</v>
      </c>
      <c r="F4" s="6" t="n">
        <v>248093.1</v>
      </c>
    </row>
    <row r="5" ht="60" customHeight="1">
      <c r="A5" s="7" t="inlineStr">
        <is>
          <t>Note: Equal to CET1 capital in every year - the Bank holds no Additional Tier 1 (AT1)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Tier 1 ratio</t>
        </is>
      </c>
      <c r="B4" s="6" t="n"/>
      <c r="C4" s="6" t="inlineStr">
        <is>
          <t>22.4%</t>
        </is>
      </c>
      <c r="D4" s="6" t="inlineStr">
        <is>
          <t>19.8%</t>
        </is>
      </c>
      <c r="E4" s="6" t="inlineStr">
        <is>
          <t>21.88%</t>
        </is>
      </c>
      <c r="F4" s="6" t="inlineStr">
        <is>
          <t>18.40%</t>
        </is>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capital</t>
        </is>
      </c>
      <c r="B4" s="6" t="n"/>
      <c r="C4" s="6" t="n">
        <v>531687.1</v>
      </c>
      <c r="D4" s="6" t="n">
        <v>402448.5</v>
      </c>
      <c r="E4" s="6" t="n">
        <v>279437.2</v>
      </c>
      <c r="F4" s="6" t="n">
        <v>248093.1</v>
      </c>
    </row>
    <row r="5" ht="60" customHeight="1">
      <c r="A5" s="7" t="inlineStr">
        <is>
          <t>Note: Equal to CET1/Tier 1 capital in every year - the Bank holds no AT1 or Tier 2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capital ratio</t>
        </is>
      </c>
      <c r="B4" s="6" t="n"/>
      <c r="C4" s="6" t="inlineStr">
        <is>
          <t>22.4%</t>
        </is>
      </c>
      <c r="D4" s="6" t="inlineStr">
        <is>
          <t>19.8%</t>
        </is>
      </c>
      <c r="E4" s="6" t="inlineStr">
        <is>
          <t>21.88%</t>
        </is>
      </c>
      <c r="F4" s="6" t="inlineStr">
        <is>
          <t>18.40%</t>
        </is>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risk-weighted exposure amount</t>
        </is>
      </c>
      <c r="B4" s="6" t="n"/>
      <c r="C4" s="6" t="n">
        <v>2375798.8</v>
      </c>
      <c r="D4" s="6" t="n">
        <v>2033020.6</v>
      </c>
      <c r="E4" s="6" t="n">
        <v>1277097.8</v>
      </c>
      <c r="F4" s="6" t="n">
        <v>1348332.5</v>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row>
    <row r="4">
      <c r="A4" s="5" t="inlineStr">
        <is>
          <t>Risk-weighted exposure amounts (RWEAs)</t>
        </is>
      </c>
      <c r="B4" s="6" t="n"/>
      <c r="C4" s="6" t="n"/>
      <c r="D4" s="6" t="n"/>
      <c r="E4" s="6" t="n"/>
      <c r="F4" s="6" t="n"/>
    </row>
    <row r="5">
      <c r="A5" s="6" t="inlineStr">
        <is>
          <t>Credit risk (excluding CCR)</t>
        </is>
      </c>
      <c r="B5" s="6" t="n"/>
      <c r="C5" s="6" t="n">
        <v>2145347.2</v>
      </c>
      <c r="D5" s="6" t="n">
        <v>1850231.5</v>
      </c>
      <c r="E5" s="6" t="n">
        <v>1139061.5</v>
      </c>
      <c r="F5" s="6" t="n">
        <v>1223557.6</v>
      </c>
    </row>
    <row r="6">
      <c r="A6" s="6" t="inlineStr">
        <is>
          <t>Counterparty credit risk (CCR)</t>
        </is>
      </c>
      <c r="B6" s="6" t="n"/>
      <c r="C6" s="6" t="n">
        <v>7696.4</v>
      </c>
      <c r="D6" s="6" t="n">
        <v>5454.2</v>
      </c>
      <c r="E6" s="6" t="n">
        <v>619.8</v>
      </c>
      <c r="F6" s="6" t="n">
        <v>6992.2</v>
      </c>
    </row>
    <row r="7">
      <c r="A7" s="6" t="inlineStr">
        <is>
          <t>Of which: credit valuation adjustment (CVA)</t>
        </is>
      </c>
      <c r="B7" s="6" t="n"/>
      <c r="C7" s="6" t="n">
        <v>1727.1</v>
      </c>
      <c r="D7" s="6" t="n">
        <v>684.5</v>
      </c>
      <c r="E7" s="6" t="n">
        <v>147.9</v>
      </c>
      <c r="F7" s="6" t="n">
        <v>2567.2</v>
      </c>
    </row>
    <row r="8">
      <c r="A8" s="6" t="inlineStr">
        <is>
          <t>Operational risk (basic indicator approach)</t>
        </is>
      </c>
      <c r="B8" s="6" t="n"/>
      <c r="C8" s="6" t="n">
        <v>221028.9</v>
      </c>
      <c r="D8" s="6" t="n">
        <v>177334.9</v>
      </c>
      <c r="E8" s="6" t="n">
        <v>137268.7</v>
      </c>
      <c r="F8" s="6" t="n">
        <v>115215.6</v>
      </c>
    </row>
    <row r="9">
      <c r="A9" s="5" t="inlineStr">
        <is>
          <t>Total risk-weighted exposure amount</t>
        </is>
      </c>
      <c r="B9" s="5" t="n"/>
      <c r="C9" s="5" t="n">
        <v>2375798.8</v>
      </c>
      <c r="D9" s="5" t="n">
        <v>2033020.6</v>
      </c>
      <c r="E9" s="5" t="n">
        <v>1277097.8</v>
      </c>
      <c r="F9" s="5" t="n">
        <v>1348332.5</v>
      </c>
    </row>
    <row r="11" ht="170" customHeight="1">
      <c r="A11"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FY2020-FY2024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FY2020 average is newly sourced for this workbook (no earlier bank in this series needed a full FY2020 column).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FY2020's opening cash balance is left blank (not converted) since it would require a 31 December 2019 spot rate, which hasn't been sourced for this project - FY2020's closing balance and flow lines ARE populated, just not its opening balance or a translation plug.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Pillar 3 Disclosures document has been found (same gap already noted on the Pillar 3 metric sheets) - FY2024 cells are blank rather than guessed.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exposure measure</t>
        </is>
      </c>
      <c r="B4" s="6" t="n"/>
      <c r="C4" s="6" t="n">
        <v>3335479.9</v>
      </c>
      <c r="D4" s="6" t="n">
        <v>3357849.1</v>
      </c>
      <c r="E4" s="6" t="n">
        <v>2499781.8</v>
      </c>
      <c r="F4" s="6" t="n">
        <v>1899792.8</v>
      </c>
    </row>
    <row r="5">
      <c r="A5" s="6" t="inlineStr">
        <is>
          <t>Leverage ratio (%)</t>
        </is>
      </c>
      <c r="B5" s="6" t="n"/>
      <c r="C5" s="6" t="inlineStr">
        <is>
          <t>15.9%</t>
        </is>
      </c>
      <c r="D5" s="6" t="inlineStr">
        <is>
          <t>12.0%</t>
        </is>
      </c>
      <c r="E5" s="6" t="inlineStr">
        <is>
          <t>11.18%</t>
        </is>
      </c>
      <c r="F5" s="6" t="inlineStr">
        <is>
          <t>13.07%</t>
        </is>
      </c>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high-quality liquid assets (HQLA), weighted value</t>
        </is>
      </c>
      <c r="B4" s="6" t="n"/>
      <c r="C4" s="6" t="n">
        <v>708481</v>
      </c>
      <c r="D4" s="6" t="n">
        <v>870655.5</v>
      </c>
      <c r="E4" s="6" t="n">
        <v>596938.8</v>
      </c>
      <c r="F4" s="6" t="n"/>
    </row>
    <row r="5">
      <c r="A5" s="6" t="inlineStr">
        <is>
          <t>Total net cash outflows, adjusted value</t>
        </is>
      </c>
      <c r="B5" s="6" t="n"/>
      <c r="C5" s="6" t="n">
        <v>193806.2</v>
      </c>
      <c r="D5" s="6" t="n">
        <v>193268.6</v>
      </c>
      <c r="E5" s="6" t="n">
        <v>161053.2</v>
      </c>
      <c r="F5" s="6" t="n"/>
    </row>
    <row r="6">
      <c r="A6" s="6" t="inlineStr">
        <is>
          <t>Liquidity Coverage Ratio (%)</t>
        </is>
      </c>
      <c r="B6" s="6" t="n"/>
      <c r="C6" s="6" t="inlineStr">
        <is>
          <t>365.6%</t>
        </is>
      </c>
      <c r="D6" s="6" t="inlineStr">
        <is>
          <t>450.5%</t>
        </is>
      </c>
      <c r="E6" s="6" t="inlineStr">
        <is>
          <t>370.6%</t>
        </is>
      </c>
      <c r="F6" s="6" t="n"/>
    </row>
    <row r="7" ht="60" customHeight="1">
      <c r="A7" s="7" t="inlineStr">
        <is>
          <t>Note: FY2021's $ breakdown (HQLA/net cash outflows) is sourced from the FY2022 Pillar 3 report's comparative column - the FY2021 Pillar 3 report itself only states a single narrative LCR percentage (343.9%, a slightly different figure from the 370.6% shown here), not a KM1-style table with a $ breakdown. The two FY2021 percentages differ slightly, most likely because the narrative figure is a different point-in-time/averaging convention than the KM1 template's 'average of preceding twelve months' basis used here - both are the Bank's own disclosures, this workbook uses the KM1-consistent figure.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available stable funding</t>
        </is>
      </c>
      <c r="B4" s="6" t="n"/>
      <c r="C4" s="6" t="n">
        <v>1475757.9</v>
      </c>
      <c r="D4" s="6" t="n">
        <v>1213379.4</v>
      </c>
      <c r="E4" s="6" t="n">
        <v>1318835.1</v>
      </c>
      <c r="F4" s="6" t="n"/>
    </row>
    <row r="5">
      <c r="A5" s="6" t="inlineStr">
        <is>
          <t>Total required stable funding</t>
        </is>
      </c>
      <c r="B5" s="6" t="n"/>
      <c r="C5" s="6" t="n">
        <v>875261.5</v>
      </c>
      <c r="D5" s="6" t="n">
        <v>820509.2</v>
      </c>
      <c r="E5" s="6" t="n">
        <v>670287.7</v>
      </c>
      <c r="F5" s="6" t="n"/>
    </row>
    <row r="6">
      <c r="A6" s="6" t="inlineStr">
        <is>
          <t>Net Stable Funding Ratio (%)</t>
        </is>
      </c>
      <c r="B6" s="6" t="n"/>
      <c r="C6" s="6" t="inlineStr">
        <is>
          <t>168.6%</t>
        </is>
      </c>
      <c r="D6" s="6" t="inlineStr">
        <is>
          <t>147.9%</t>
        </is>
      </c>
      <c r="E6" s="6" t="inlineStr">
        <is>
          <t>196.8%</t>
        </is>
      </c>
      <c r="F6" s="6" t="n"/>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Access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2026-09-02T15:47:32Z</dcterms:created>
  <dcterms:modified xmlns:dcterms="http://purl.org/dc/terms/" xmlns:xsi="http://www.w3.org/2001/XMLSchema-instance" xsi:type="dcterms:W3CDTF">2026-09-02T15:47:32Z</dcterms:modified>
</cp:coreProperties>
</file>