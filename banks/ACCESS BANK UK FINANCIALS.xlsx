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B2E39"/>
        <bgColor rgb="004B2E3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The Access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The Access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The Access Bank UK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FY2024</t>
        </is>
      </c>
      <c r="C5" s="4" t="inlineStr">
        <is>
          <t>FY2023</t>
        </is>
      </c>
      <c r="D5" s="4" t="inlineStr">
        <is>
          <t>FY2022</t>
        </is>
      </c>
      <c r="E5" s="4" t="inlineStr">
        <is>
          <t>FY2021</t>
        </is>
      </c>
      <c r="F5" s="4" t="inlineStr">
        <is>
          <t>FY2020</t>
        </is>
      </c>
      <c r="J5" t="inlineStr">
        <is>
          <t>FY2020</t>
        </is>
      </c>
      <c r="K5" t="inlineStr">
        <is>
          <t>FY2021</t>
        </is>
      </c>
      <c r="L5" t="inlineStr">
        <is>
          <t>FY2022</t>
        </is>
      </c>
      <c r="M5" t="inlineStr">
        <is>
          <t>FY2023</t>
        </is>
      </c>
      <c r="N5" t="inlineStr">
        <is>
          <t>FY2024</t>
        </is>
      </c>
      <c r="R5" t="inlineStr">
        <is>
          <t>FY2020</t>
        </is>
      </c>
      <c r="S5" t="inlineStr">
        <is>
          <t>FY2021</t>
        </is>
      </c>
      <c r="T5" t="inlineStr">
        <is>
          <t>FY2022</t>
        </is>
      </c>
      <c r="U5" t="inlineStr">
        <is>
          <t>FY2023</t>
        </is>
      </c>
      <c r="V5" t="inlineStr">
        <is>
          <t>FY2024</t>
        </is>
      </c>
    </row>
    <row r="6">
      <c r="A6" s="5" t="inlineStr">
        <is>
          <t>Net cash from/(used in) operating activities</t>
        </is>
      </c>
      <c r="B6" s="5" t="n">
        <v>914715.2</v>
      </c>
      <c r="C6" s="5" t="n">
        <v>49148.5</v>
      </c>
      <c r="D6" s="5" t="n">
        <v>117981.6</v>
      </c>
      <c r="E6" s="5" t="n">
        <v>455703.9</v>
      </c>
      <c r="F6" s="5" t="n">
        <v>-307926.5</v>
      </c>
      <c r="I6" t="inlineStr">
        <is>
          <t>Net cash from/(used in) operating activities</t>
        </is>
      </c>
      <c r="J6" t="n">
        <v>-307926.5</v>
      </c>
      <c r="K6" t="n">
        <v>455703.9</v>
      </c>
      <c r="L6" t="n">
        <v>117981.6</v>
      </c>
      <c r="M6" t="n">
        <v>49148.5</v>
      </c>
      <c r="N6" t="n">
        <v>914715.2</v>
      </c>
      <c r="Q6" t="inlineStr">
        <is>
          <t>CET1 Ratio</t>
        </is>
      </c>
      <c r="R6" t="n">
        <v>18.4</v>
      </c>
      <c r="S6" t="n">
        <v>21.88</v>
      </c>
      <c r="T6" t="n">
        <v>19.8</v>
      </c>
      <c r="U6" t="n">
        <v>22.4</v>
      </c>
    </row>
    <row r="7">
      <c r="A7" s="5" t="inlineStr">
        <is>
          <t>Net cash from/(used in) investing activities</t>
        </is>
      </c>
      <c r="B7" s="5" t="n">
        <v>-1018064.7</v>
      </c>
      <c r="C7" s="5" t="n">
        <v>-250467.3</v>
      </c>
      <c r="D7" s="5" t="n">
        <v>-85936.39999999999</v>
      </c>
      <c r="E7" s="5" t="n">
        <v>-184838.2</v>
      </c>
      <c r="F7" s="5" t="n">
        <v>46043.3</v>
      </c>
      <c r="I7" t="inlineStr">
        <is>
          <t>Net cash from/(used in) investing activities</t>
        </is>
      </c>
      <c r="J7" t="n">
        <v>46043.3</v>
      </c>
      <c r="K7" t="n">
        <v>-184838.2</v>
      </c>
      <c r="L7" t="n">
        <v>-85936.39999999999</v>
      </c>
      <c r="M7" t="n">
        <v>-250467.3</v>
      </c>
      <c r="N7" t="n">
        <v>-1018064.7</v>
      </c>
      <c r="Q7" t="inlineStr">
        <is>
          <t>Tier 1 Ratio</t>
        </is>
      </c>
      <c r="R7" t="n">
        <v>18.4</v>
      </c>
      <c r="S7" t="n">
        <v>21.88</v>
      </c>
      <c r="T7" t="n">
        <v>19.8</v>
      </c>
      <c r="U7" t="n">
        <v>22.4</v>
      </c>
    </row>
    <row r="8">
      <c r="A8" s="5" t="inlineStr">
        <is>
          <t>Net cash from/(used in) financing activities</t>
        </is>
      </c>
      <c r="B8" s="5" t="n">
        <v>-22938.6</v>
      </c>
      <c r="C8" s="5" t="n">
        <v>63364.5</v>
      </c>
      <c r="D8" s="5" t="n">
        <v>51487.3</v>
      </c>
      <c r="E8" s="5" t="n">
        <v>-841.1</v>
      </c>
      <c r="F8" s="5" t="n">
        <v>-1036.9</v>
      </c>
      <c r="I8" t="inlineStr">
        <is>
          <t>Net cash from/(used in) financing activities</t>
        </is>
      </c>
      <c r="J8" t="n">
        <v>-1036.9</v>
      </c>
      <c r="K8" t="n">
        <v>-841.1</v>
      </c>
      <c r="L8" t="n">
        <v>51487.3</v>
      </c>
      <c r="M8" t="n">
        <v>63364.5</v>
      </c>
      <c r="N8" t="n">
        <v>-22938.6</v>
      </c>
      <c r="Q8" t="inlineStr">
        <is>
          <t>Total Capital Ratio</t>
        </is>
      </c>
      <c r="R8" t="n">
        <v>18.4</v>
      </c>
      <c r="S8" t="n">
        <v>21.88</v>
      </c>
      <c r="T8" t="n">
        <v>19.8</v>
      </c>
      <c r="U8" t="n">
        <v>22.4</v>
      </c>
    </row>
    <row r="9">
      <c r="A9" s="5" t="inlineStr">
        <is>
          <t>Cash and cash equivalents at end of year</t>
        </is>
      </c>
      <c r="B9" s="5" t="n">
        <v>241803</v>
      </c>
      <c r="C9" s="5" t="n">
        <v>364263.6</v>
      </c>
      <c r="D9" s="5" t="n">
        <v>524595.1</v>
      </c>
      <c r="E9" s="5" t="n">
        <v>392792.6</v>
      </c>
      <c r="F9" s="5" t="n">
        <v>117322.9</v>
      </c>
      <c r="I9" t="inlineStr">
        <is>
          <t>Cash and cash equivalents at end of year</t>
        </is>
      </c>
      <c r="J9" t="n">
        <v>117322.9</v>
      </c>
      <c r="K9" t="n">
        <v>392792.6</v>
      </c>
      <c r="L9" t="n">
        <v>524595.1</v>
      </c>
      <c r="M9" t="n">
        <v>364263.6</v>
      </c>
      <c r="N9" t="n">
        <v>241803</v>
      </c>
      <c r="Q9" t="inlineStr">
        <is>
          <t>Leverage Ratio</t>
        </is>
      </c>
      <c r="R9" t="n">
        <v>13.07</v>
      </c>
      <c r="S9" t="n">
        <v>11.18</v>
      </c>
      <c r="T9" t="n">
        <v>12</v>
      </c>
      <c r="U9" t="n">
        <v>15.9</v>
      </c>
    </row>
    <row r="10">
      <c r="Q10" t="inlineStr">
        <is>
          <t>LCR</t>
        </is>
      </c>
      <c r="S10" t="n">
        <v>370.6</v>
      </c>
      <c r="T10" t="n">
        <v>450.5</v>
      </c>
      <c r="U10" t="n">
        <v>365.6</v>
      </c>
    </row>
    <row r="11">
      <c r="A11" s="3" t="inlineStr">
        <is>
          <t>Pillar 3 Key Metrics</t>
        </is>
      </c>
      <c r="Q11" t="inlineStr">
        <is>
          <t>NSFR</t>
        </is>
      </c>
      <c r="S11" t="n">
        <v>196.8</v>
      </c>
      <c r="T11" t="n">
        <v>147.9</v>
      </c>
      <c r="U11" t="n">
        <v>168.6</v>
      </c>
    </row>
    <row r="12">
      <c r="A12" s="4" t="inlineStr">
        <is>
          <t>Line item</t>
        </is>
      </c>
      <c r="B12" s="4" t="inlineStr">
        <is>
          <t>FY2024</t>
        </is>
      </c>
      <c r="C12" s="4" t="inlineStr">
        <is>
          <t>FY2023</t>
        </is>
      </c>
      <c r="D12" s="4" t="inlineStr">
        <is>
          <t>FY2022</t>
        </is>
      </c>
      <c r="E12" s="4" t="inlineStr">
        <is>
          <t>FY2021</t>
        </is>
      </c>
      <c r="F12" s="4" t="inlineStr">
        <is>
          <t>FY2020</t>
        </is>
      </c>
    </row>
    <row r="13">
      <c r="A13" s="6" t="inlineStr">
        <is>
          <t>CET1 Ratio</t>
        </is>
      </c>
      <c r="B13" s="6" t="n"/>
      <c r="C13" s="6" t="inlineStr">
        <is>
          <t>22.4%</t>
        </is>
      </c>
      <c r="D13" s="6" t="inlineStr">
        <is>
          <t>19.8%</t>
        </is>
      </c>
      <c r="E13" s="6" t="inlineStr">
        <is>
          <t>21.88%</t>
        </is>
      </c>
      <c r="F13" s="6" t="inlineStr">
        <is>
          <t>18.40%</t>
        </is>
      </c>
    </row>
    <row r="14">
      <c r="A14" s="6" t="inlineStr">
        <is>
          <t>Tier 1 Ratio</t>
        </is>
      </c>
      <c r="B14" s="6" t="n"/>
      <c r="C14" s="6" t="inlineStr">
        <is>
          <t>22.4%</t>
        </is>
      </c>
      <c r="D14" s="6" t="inlineStr">
        <is>
          <t>19.8%</t>
        </is>
      </c>
      <c r="E14" s="6" t="inlineStr">
        <is>
          <t>21.88%</t>
        </is>
      </c>
      <c r="F14" s="6" t="inlineStr">
        <is>
          <t>18.40%</t>
        </is>
      </c>
    </row>
    <row r="15">
      <c r="A15" s="6" t="inlineStr">
        <is>
          <t>Total Capital Ratio</t>
        </is>
      </c>
      <c r="B15" s="6" t="n"/>
      <c r="C15" s="6" t="inlineStr">
        <is>
          <t>22.4%</t>
        </is>
      </c>
      <c r="D15" s="6" t="inlineStr">
        <is>
          <t>19.8%</t>
        </is>
      </c>
      <c r="E15" s="6" t="inlineStr">
        <is>
          <t>21.88%</t>
        </is>
      </c>
      <c r="F15" s="6" t="inlineStr">
        <is>
          <t>18.40%</t>
        </is>
      </c>
    </row>
    <row r="16">
      <c r="A16" s="6" t="inlineStr">
        <is>
          <t>Leverage Ratio</t>
        </is>
      </c>
      <c r="B16" s="6" t="n"/>
      <c r="C16" s="6" t="inlineStr">
        <is>
          <t>15.9%</t>
        </is>
      </c>
      <c r="D16" s="6" t="inlineStr">
        <is>
          <t>12.0%</t>
        </is>
      </c>
      <c r="E16" s="6" t="inlineStr">
        <is>
          <t>11.18%</t>
        </is>
      </c>
      <c r="F16" s="6" t="inlineStr">
        <is>
          <t>13.07%</t>
        </is>
      </c>
    </row>
    <row r="17">
      <c r="A17" s="6" t="inlineStr">
        <is>
          <t>LCR</t>
        </is>
      </c>
      <c r="B17" s="6" t="n"/>
      <c r="C17" s="6" t="inlineStr">
        <is>
          <t>365.6%</t>
        </is>
      </c>
      <c r="D17" s="6" t="inlineStr">
        <is>
          <t>450.5%</t>
        </is>
      </c>
      <c r="E17" s="6" t="inlineStr">
        <is>
          <t>370.6%</t>
        </is>
      </c>
      <c r="F17" s="6" t="n"/>
    </row>
    <row r="18">
      <c r="A18" s="6" t="inlineStr">
        <is>
          <t>NSFR</t>
        </is>
      </c>
      <c r="B18" s="6" t="n"/>
      <c r="C18" s="6" t="inlineStr">
        <is>
          <t>168.6%</t>
        </is>
      </c>
      <c r="D18" s="6" t="inlineStr">
        <is>
          <t>147.9%</t>
        </is>
      </c>
      <c r="E18" s="6" t="inlineStr">
        <is>
          <t>196.8%</t>
        </is>
      </c>
      <c r="F18" s="6" t="n"/>
    </row>
    <row r="20" ht="45" customHeight="1">
      <c r="A20"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This workbook covers FY2020-FY2024 (shifted one year earlier than most other banks in this series) since no FY2025 Annual Report has been published yet; Pillar 3 cells are blank for FY2024 (no edition found) and FY2020 LCR/NSFR (not found in any source).</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The Access Bank UK Limited — Statement of Cash Flows</t>
        </is>
      </c>
    </row>
    <row r="2">
      <c r="A2" s="2" t="inlineStr">
        <is>
          <t>£'000, converted from USD - see source note at bottom for FX methodology and rates used. Bank (entity-level) basis throughout.</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row>
    <row r="4">
      <c r="A4" s="5" t="inlineStr">
        <is>
          <t>Operating activities</t>
        </is>
      </c>
      <c r="B4" s="6" t="n"/>
      <c r="C4" s="6" t="n"/>
      <c r="D4" s="6" t="n"/>
      <c r="E4" s="6" t="n"/>
      <c r="F4" s="6" t="n"/>
    </row>
    <row r="5">
      <c r="A5" s="6" t="inlineStr">
        <is>
          <t>Profit before tax (expense) for the year</t>
        </is>
      </c>
      <c r="B5" s="6" t="n">
        <v>135650.6</v>
      </c>
      <c r="C5" s="6" t="n">
        <v>121818.5</v>
      </c>
      <c r="D5" s="6" t="n">
        <v>47484.2</v>
      </c>
      <c r="E5" s="6" t="n">
        <v>37710.8</v>
      </c>
      <c r="F5" s="6" t="n">
        <v>13109.5</v>
      </c>
    </row>
    <row r="6">
      <c r="A6" s="6" t="inlineStr">
        <is>
          <t>Depreciation</t>
        </is>
      </c>
      <c r="B6" s="6" t="n">
        <v>2512.9</v>
      </c>
      <c r="C6" s="6" t="n">
        <v>1447.1</v>
      </c>
      <c r="D6" s="6" t="n">
        <v>1393.1</v>
      </c>
      <c r="E6" s="6" t="n">
        <v>1074.9</v>
      </c>
      <c r="F6" s="6" t="n">
        <v>1357.6</v>
      </c>
    </row>
    <row r="7">
      <c r="A7" s="6" t="inlineStr">
        <is>
          <t>Amortisation</t>
        </is>
      </c>
      <c r="B7" s="6" t="n">
        <v>745.2</v>
      </c>
      <c r="C7" s="6" t="n">
        <v>610.2</v>
      </c>
      <c r="D7" s="6" t="n">
        <v>457.6</v>
      </c>
      <c r="E7" s="6" t="n">
        <v>312.4</v>
      </c>
      <c r="F7" s="6" t="n">
        <v>441</v>
      </c>
    </row>
    <row r="8">
      <c r="A8" s="6" t="inlineStr">
        <is>
          <t>Impairment charge on financial assets</t>
        </is>
      </c>
      <c r="B8" s="6" t="n">
        <v>8476.6</v>
      </c>
      <c r="C8" s="6" t="n">
        <v>6616.1</v>
      </c>
      <c r="D8" s="6" t="n">
        <v>30149.9</v>
      </c>
      <c r="E8" s="6" t="n">
        <v>23609.8</v>
      </c>
      <c r="F8" s="6" t="n">
        <v>45677.9</v>
      </c>
    </row>
    <row r="9">
      <c r="A9" s="6" t="inlineStr">
        <is>
          <t>Interest expense on Lease</t>
        </is>
      </c>
      <c r="B9" s="6" t="n">
        <v>313.9</v>
      </c>
      <c r="C9" s="6" t="n">
        <v>53</v>
      </c>
      <c r="D9" s="6" t="n">
        <v>73.8</v>
      </c>
      <c r="E9" s="6" t="n">
        <v>72.90000000000001</v>
      </c>
      <c r="F9" s="6" t="n"/>
    </row>
    <row r="10">
      <c r="A10" s="6" t="inlineStr">
        <is>
          <t>Write off of property, plant and equipment</t>
        </is>
      </c>
      <c r="B10" s="6" t="n"/>
      <c r="C10" s="6" t="n">
        <v>10.9</v>
      </c>
      <c r="D10" s="6" t="n"/>
      <c r="E10" s="6" t="n"/>
      <c r="F10" s="6" t="n"/>
    </row>
    <row r="11">
      <c r="A11" s="6" t="inlineStr">
        <is>
          <t>Changes in money market placements</t>
        </is>
      </c>
      <c r="B11" s="6" t="n">
        <v>-4767.6</v>
      </c>
      <c r="C11" s="6" t="n">
        <v>-2860.4</v>
      </c>
      <c r="D11" s="6" t="n">
        <v>265.7</v>
      </c>
      <c r="E11" s="6" t="n">
        <v>1877.9</v>
      </c>
      <c r="F11" s="6" t="n">
        <v>13034.2</v>
      </c>
    </row>
    <row r="12">
      <c r="A12" s="6" t="inlineStr">
        <is>
          <t>Changes in loans and advances to banks and customers</t>
        </is>
      </c>
      <c r="B12" s="6" t="n">
        <v>-434751.8</v>
      </c>
      <c r="C12" s="6" t="n">
        <v>-420262.9</v>
      </c>
      <c r="D12" s="6" t="n">
        <v>-418785.2</v>
      </c>
      <c r="E12" s="6" t="n">
        <v>-74231.2</v>
      </c>
      <c r="F12" s="6" t="n">
        <v>-268309.5</v>
      </c>
    </row>
    <row r="13">
      <c r="A13" s="6" t="inlineStr">
        <is>
          <t>Changes in other assets</t>
        </is>
      </c>
      <c r="B13" s="6" t="n">
        <v>-6779.5</v>
      </c>
      <c r="C13" s="6" t="n">
        <v>1316.7</v>
      </c>
      <c r="D13" s="6" t="n">
        <v>-5201.9</v>
      </c>
      <c r="E13" s="6" t="n">
        <v>4323.4</v>
      </c>
      <c r="F13" s="6" t="n">
        <v>-9491.799999999999</v>
      </c>
    </row>
    <row r="14">
      <c r="A14" s="6" t="inlineStr">
        <is>
          <t>Changes in deposits from banks</t>
        </is>
      </c>
      <c r="B14" s="6" t="n">
        <v>1145751.7</v>
      </c>
      <c r="C14" s="6" t="n">
        <v>204308.7</v>
      </c>
      <c r="D14" s="6" t="n">
        <v>209861.8</v>
      </c>
      <c r="E14" s="6" t="n">
        <v>430339.5</v>
      </c>
      <c r="F14" s="6" t="n">
        <v>-161451.2</v>
      </c>
    </row>
    <row r="15">
      <c r="A15" s="6" t="inlineStr">
        <is>
          <t>Changes in deposits from customers</t>
        </is>
      </c>
      <c r="B15" s="6" t="n">
        <v>76911.5</v>
      </c>
      <c r="C15" s="6" t="n">
        <v>160328</v>
      </c>
      <c r="D15" s="6" t="n">
        <v>255957.9</v>
      </c>
      <c r="E15" s="6" t="n">
        <v>43122</v>
      </c>
      <c r="F15" s="6" t="n">
        <v>74423.3</v>
      </c>
    </row>
    <row r="16">
      <c r="A16" s="6" t="inlineStr">
        <is>
          <t>Changes in other liabilities</t>
        </is>
      </c>
      <c r="B16" s="6" t="n">
        <v>25798.3</v>
      </c>
      <c r="C16" s="6" t="n">
        <v>6440.5</v>
      </c>
      <c r="D16" s="6" t="n">
        <v>-636.2</v>
      </c>
      <c r="E16" s="6" t="n">
        <v>-2554</v>
      </c>
      <c r="F16" s="6" t="n">
        <v>-232</v>
      </c>
    </row>
    <row r="17">
      <c r="A17" s="6" t="inlineStr">
        <is>
          <t>Taxation paid</t>
        </is>
      </c>
      <c r="B17" s="6" t="n">
        <v>-35146.6</v>
      </c>
      <c r="C17" s="6" t="n">
        <v>-30677.8</v>
      </c>
      <c r="D17" s="6" t="n">
        <v>-3039.2</v>
      </c>
      <c r="E17" s="6" t="n">
        <v>-9954.5</v>
      </c>
      <c r="F17" s="6" t="n">
        <v>-16485.6</v>
      </c>
    </row>
    <row r="18">
      <c r="A18" s="5" t="inlineStr">
        <is>
          <t>Net cash from/(used in) operating activities</t>
        </is>
      </c>
      <c r="B18" s="5" t="n">
        <v>914715.2</v>
      </c>
      <c r="C18" s="5" t="n">
        <v>49148.5</v>
      </c>
      <c r="D18" s="5" t="n">
        <v>117981.6</v>
      </c>
      <c r="E18" s="5" t="n">
        <v>455703.9</v>
      </c>
      <c r="F18" s="5" t="n">
        <v>-307926.5</v>
      </c>
    </row>
    <row r="19">
      <c r="A19" s="5" t="inlineStr">
        <is>
          <t>Investing activities</t>
        </is>
      </c>
      <c r="B19" s="6" t="n"/>
      <c r="C19" s="6" t="n"/>
      <c r="D19" s="6" t="n"/>
      <c r="E19" s="6" t="n"/>
      <c r="F19" s="6" t="n"/>
    </row>
    <row r="20">
      <c r="A20" s="6" t="inlineStr">
        <is>
          <t>Net purchase of investment securities</t>
        </is>
      </c>
      <c r="B20" s="6" t="n">
        <v>-995784.4</v>
      </c>
      <c r="C20" s="6" t="n">
        <v>-248758.2</v>
      </c>
      <c r="D20" s="6" t="n">
        <v>-84103.2</v>
      </c>
      <c r="E20" s="6" t="n">
        <v>-184194.2</v>
      </c>
      <c r="F20" s="6" t="n">
        <v>46913.9</v>
      </c>
    </row>
    <row r="21">
      <c r="A21" s="6" t="inlineStr">
        <is>
          <t>Purchase of share in subsidiary</t>
        </is>
      </c>
      <c r="B21" s="6" t="n">
        <v>-17387</v>
      </c>
      <c r="C21" s="6" t="n"/>
      <c r="D21" s="6" t="n"/>
      <c r="E21" s="6" t="n"/>
      <c r="F21" s="6" t="n"/>
    </row>
    <row r="22">
      <c r="A22" s="6" t="inlineStr">
        <is>
          <t>Purchase of property, plant and equipment</t>
        </is>
      </c>
      <c r="B22" s="6" t="n">
        <v>-1067.2</v>
      </c>
      <c r="C22" s="6" t="n">
        <v>-389.7</v>
      </c>
      <c r="D22" s="6" t="n">
        <v>-426.4</v>
      </c>
      <c r="E22" s="6" t="n">
        <v>-105.6</v>
      </c>
      <c r="F22" s="6" t="n">
        <v>-579.3</v>
      </c>
    </row>
    <row r="23">
      <c r="A23" s="6" t="inlineStr">
        <is>
          <t>Purchase of intangible assets</t>
        </is>
      </c>
      <c r="B23" s="6" t="n">
        <v>-3826.1</v>
      </c>
      <c r="C23" s="6" t="n">
        <v>-1319.4</v>
      </c>
      <c r="D23" s="6" t="n">
        <v>-1406.8</v>
      </c>
      <c r="E23" s="6" t="n">
        <v>-538.4</v>
      </c>
      <c r="F23" s="6" t="n">
        <v>-291.3</v>
      </c>
    </row>
    <row r="24">
      <c r="A24" s="5" t="inlineStr">
        <is>
          <t>Net cash from/(used in) investing activities</t>
        </is>
      </c>
      <c r="B24" s="5" t="n">
        <v>-1018064.7</v>
      </c>
      <c r="C24" s="5" t="n">
        <v>-250467.3</v>
      </c>
      <c r="D24" s="5" t="n">
        <v>-85936.39999999999</v>
      </c>
      <c r="E24" s="5" t="n">
        <v>-184838.2</v>
      </c>
      <c r="F24" s="5" t="n">
        <v>46043.3</v>
      </c>
    </row>
    <row r="25">
      <c r="A25" s="5" t="inlineStr">
        <is>
          <t>Financing activities</t>
        </is>
      </c>
      <c r="B25" s="6" t="n"/>
      <c r="C25" s="6" t="n"/>
      <c r="D25" s="6" t="n"/>
      <c r="E25" s="6" t="n"/>
      <c r="F25" s="6" t="n"/>
    </row>
    <row r="26">
      <c r="A26" s="6" t="inlineStr">
        <is>
          <t>Issuance of own shares</t>
        </is>
      </c>
      <c r="B26" s="6" t="n"/>
      <c r="C26" s="6" t="n">
        <v>80392.3</v>
      </c>
      <c r="D26" s="6" t="n">
        <v>52580.5</v>
      </c>
      <c r="E26" s="6" t="n"/>
      <c r="F26" s="6" t="n"/>
    </row>
    <row r="27">
      <c r="A27" s="6" t="inlineStr">
        <is>
          <t>Lease payments (combined principal &amp; interest)</t>
        </is>
      </c>
      <c r="B27" s="6" t="n"/>
      <c r="C27" s="6" t="n"/>
      <c r="D27" s="6" t="n">
        <v>-1093.2</v>
      </c>
      <c r="E27" s="6" t="n">
        <v>-841.1</v>
      </c>
      <c r="F27" s="6" t="n">
        <v>-1036.9</v>
      </c>
    </row>
    <row r="28">
      <c r="A28" s="6" t="inlineStr">
        <is>
          <t>Lease payments principal</t>
        </is>
      </c>
      <c r="B28" s="6" t="n">
        <v>-2168.6</v>
      </c>
      <c r="C28" s="6" t="n">
        <v>-1095.2</v>
      </c>
      <c r="D28" s="6" t="n"/>
      <c r="E28" s="6" t="n"/>
      <c r="F28" s="6" t="n"/>
    </row>
    <row r="29">
      <c r="A29" s="6" t="inlineStr">
        <is>
          <t>Lease payments interest</t>
        </is>
      </c>
      <c r="B29" s="6" t="n">
        <v>-70</v>
      </c>
      <c r="C29" s="6" t="n">
        <v>-20.5</v>
      </c>
      <c r="D29" s="6" t="n"/>
      <c r="E29" s="6" t="n"/>
      <c r="F29" s="6" t="n"/>
    </row>
    <row r="30">
      <c r="A30" s="6" t="inlineStr">
        <is>
          <t>Dividends paid</t>
        </is>
      </c>
      <c r="B30" s="6" t="n">
        <v>-20700</v>
      </c>
      <c r="C30" s="6" t="n">
        <v>-15912.1</v>
      </c>
      <c r="D30" s="6" t="n"/>
      <c r="E30" s="6" t="n"/>
      <c r="F30" s="6" t="n"/>
    </row>
    <row r="31">
      <c r="A31" s="5" t="inlineStr">
        <is>
          <t>Net cash from/(used in) financing activities</t>
        </is>
      </c>
      <c r="B31" s="5" t="n">
        <v>-22938.6</v>
      </c>
      <c r="C31" s="5" t="n">
        <v>63364.5</v>
      </c>
      <c r="D31" s="5" t="n">
        <v>51487.3</v>
      </c>
      <c r="E31" s="5" t="n">
        <v>-841.1</v>
      </c>
      <c r="F31" s="5" t="n">
        <v>-1036.9</v>
      </c>
    </row>
    <row r="32">
      <c r="A32" s="5" t="inlineStr">
        <is>
          <t>Net increase/(decrease) in cash and cash equivalents</t>
        </is>
      </c>
      <c r="B32" s="5" t="n">
        <v>-126288.1</v>
      </c>
      <c r="C32" s="5" t="n">
        <v>-137954.2</v>
      </c>
      <c r="D32" s="5" t="n">
        <v>83532.39999999999</v>
      </c>
      <c r="E32" s="5" t="n">
        <v>270024.6</v>
      </c>
      <c r="F32" s="5" t="n">
        <v>-262920.2</v>
      </c>
    </row>
    <row r="33">
      <c r="A33" s="6" t="inlineStr">
        <is>
          <t>Cash and cash equivalents at the beginning of the year</t>
        </is>
      </c>
      <c r="B33" s="6" t="n">
        <v>364263.6</v>
      </c>
      <c r="C33" s="6" t="n">
        <v>524595.1</v>
      </c>
      <c r="D33" s="6" t="n">
        <v>392792.6</v>
      </c>
      <c r="E33" s="6" t="n">
        <v>117322.9</v>
      </c>
      <c r="F33" s="6" t="n"/>
    </row>
    <row r="34">
      <c r="A34" s="6" t="inlineStr">
        <is>
          <t>Effect of exchange rate fluctuations on cash held</t>
        </is>
      </c>
      <c r="B34" s="6" t="n">
        <v>201.5</v>
      </c>
      <c r="C34" s="6" t="n">
        <v>626.2</v>
      </c>
      <c r="D34" s="6" t="n">
        <v>198.1</v>
      </c>
      <c r="E34" s="6" t="n">
        <v>-376.5</v>
      </c>
      <c r="F34" s="6" t="n">
        <v>176.5</v>
      </c>
    </row>
    <row r="35">
      <c r="A35" s="6" t="inlineStr">
        <is>
          <t>Effect of GBP/USD translation (£ conversion artefact - see FX note)</t>
        </is>
      </c>
      <c r="B35" s="6" t="n">
        <v>3626</v>
      </c>
      <c r="C35" s="6" t="n">
        <v>-23003.5</v>
      </c>
      <c r="D35" s="6" t="n">
        <v>48072</v>
      </c>
      <c r="E35" s="6" t="n">
        <v>5821.6</v>
      </c>
      <c r="F35" s="6" t="n"/>
    </row>
    <row r="36">
      <c r="A36" s="5" t="inlineStr">
        <is>
          <t>Cash and cash equivalents at the end of the year</t>
        </is>
      </c>
      <c r="B36" s="5" t="n">
        <v>241803</v>
      </c>
      <c r="C36" s="5" t="n">
        <v>364263.6</v>
      </c>
      <c r="D36" s="5" t="n">
        <v>524595.1</v>
      </c>
      <c r="E36" s="5" t="n">
        <v>392792.6</v>
      </c>
      <c r="F36" s="5" t="n">
        <v>117322.9</v>
      </c>
    </row>
    <row r="38" ht="340" customHeight="1">
      <c r="A38" s="8" t="inlineStr">
        <is>
          <t>Sources - all figures are The Access Bank UK Limited's own Statement of Cash Flows (converted from USD to £, see FX conversion note below):
FY2024: Report &amp; Financial Statements 2024, p.23 (Statement of Cash Flows, Bank column) - https://www.theaccessbankukltd.co.uk/wp-content/uploads/2025/06/AccessBank_AR2024_Financials-AW.pdf
FY2023: Report and Financial Statements 2023, p.21 (Statement of Cash Flows) - https://www.theaccessbankukltd.co.uk/wp-content/uploads/2024/07/ACCESS_BANK_AR_2023_Financial-statements.pdf
FY2022: Report and Statutory Accounts 2022, p.19 (Statement of Cash Flows) - https://www.theaccessbankukltd.co.uk/wp-content/uploads/2023/07/ACCESS_BANK_AR22_Accs.pdf
FY2021 &amp; FY2020: Report and Statutory Accounts 2021, p.17 (Statement of Cash Flows) - https://www.theaccessbankukltd.co.uk/wp-content/uploads/2022/06/ACCESS_BANK_AR_2021_Accounts.pdf
Activity-total rows may be off by up to £0.1k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FY2021-FY2024; FY2020 has no opening balance, see FX note).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FY2020-FY2024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FY2020 average is newly sourced for this workbook (no earlier bank in this series needed a full FY2020 column).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FY2020's opening cash balance is left blank (not converted) since it would require a 31 December 2019 spot rate, which hasn't been sourced for this project - FY2020's closing balance and flow lines ARE populated, just not its opening balance or a translation plug.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presentation differs slightly between report vintages, each year's own as-reported line items/labels are preserved rather than forced into a common shape. FY2023/FY2024 split lease payments into separate 'Lease payments principal' and 'Lease payments interest' rows; FY2020-FY2022 instead show a single combined 'Lease payments' row (FY2022's own report keeps the combined presentation even though FY2023's report restates FY2022 as a split comparative - FY2022's own report's combined figure is used here, per this project's convention of preferring each year's own report). A handful of line items differ by $1-$3 between a year's own primary statement and its appearance as the following year's comparative column (immaterial rounding, e.g. FY2021 'Operating cash flows before movements in working capital' is $86,336,098 in AR2021's own statement vs $86,336,099 in AR2022's comparative) - each year's own primary statement figure is used throughout.</t>
        </is>
      </c>
    </row>
  </sheetData>
  <mergeCells count="1">
    <mergeCell ref="A38:F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CET1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row>
    <row r="4">
      <c r="A4" s="6" t="inlineStr">
        <is>
          <t>Common Equity Tier 1 (CET1) capital</t>
        </is>
      </c>
      <c r="B4" s="6" t="n"/>
      <c r="C4" s="6" t="n">
        <v>531687.1</v>
      </c>
      <c r="D4" s="6" t="n">
        <v>402448.5</v>
      </c>
      <c r="E4" s="6" t="n">
        <v>279437.2</v>
      </c>
      <c r="F4" s="6" t="n">
        <v>248093.1</v>
      </c>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row>
    <row r="4">
      <c r="A4" s="6" t="inlineStr">
        <is>
          <t>Common Equity Tier 1 (CET1) ratio</t>
        </is>
      </c>
      <c r="B4" s="6" t="n"/>
      <c r="C4" s="6" t="inlineStr">
        <is>
          <t>22.4%</t>
        </is>
      </c>
      <c r="D4" s="6" t="inlineStr">
        <is>
          <t>19.8%</t>
        </is>
      </c>
      <c r="E4" s="6" t="inlineStr">
        <is>
          <t>21.88%</t>
        </is>
      </c>
      <c r="F4" s="6" t="inlineStr">
        <is>
          <t>18.40%</t>
        </is>
      </c>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Tier 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row>
    <row r="4">
      <c r="A4" s="6" t="inlineStr">
        <is>
          <t>Tier 1 capital</t>
        </is>
      </c>
      <c r="B4" s="6" t="n"/>
      <c r="C4" s="6" t="n">
        <v>531687.1</v>
      </c>
      <c r="D4" s="6" t="n">
        <v>402448.5</v>
      </c>
      <c r="E4" s="6" t="n">
        <v>279437.2</v>
      </c>
      <c r="F4" s="6" t="n">
        <v>248093.1</v>
      </c>
    </row>
    <row r="5" ht="60" customHeight="1">
      <c r="A5" s="7" t="inlineStr">
        <is>
          <t>Note: Equal to CET1 capital in every year - the Bank holds no Additional Tier 1 (AT1) instruments.</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row>
    <row r="4">
      <c r="A4" s="6" t="inlineStr">
        <is>
          <t>Tier 1 ratio</t>
        </is>
      </c>
      <c r="B4" s="6" t="n"/>
      <c r="C4" s="6" t="inlineStr">
        <is>
          <t>22.4%</t>
        </is>
      </c>
      <c r="D4" s="6" t="inlineStr">
        <is>
          <t>19.8%</t>
        </is>
      </c>
      <c r="E4" s="6" t="inlineStr">
        <is>
          <t>21.88%</t>
        </is>
      </c>
      <c r="F4" s="6" t="inlineStr">
        <is>
          <t>18.40%</t>
        </is>
      </c>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Total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capital</t>
        </is>
      </c>
      <c r="B4" s="6" t="n"/>
      <c r="C4" s="6" t="n">
        <v>531687.1</v>
      </c>
      <c r="D4" s="6" t="n">
        <v>402448.5</v>
      </c>
      <c r="E4" s="6" t="n">
        <v>279437.2</v>
      </c>
      <c r="F4" s="6" t="n">
        <v>248093.1</v>
      </c>
    </row>
    <row r="5" ht="60" customHeight="1">
      <c r="A5" s="7" t="inlineStr">
        <is>
          <t>Note: Equal to CET1/Tier 1 capital in every year - the Bank holds no AT1 or Tier 2 instruments.</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capital ratio</t>
        </is>
      </c>
      <c r="B4" s="6" t="n"/>
      <c r="C4" s="6" t="inlineStr">
        <is>
          <t>22.4%</t>
        </is>
      </c>
      <c r="D4" s="6" t="inlineStr">
        <is>
          <t>19.8%</t>
        </is>
      </c>
      <c r="E4" s="6" t="inlineStr">
        <is>
          <t>21.88%</t>
        </is>
      </c>
      <c r="F4" s="6" t="inlineStr">
        <is>
          <t>18.40%</t>
        </is>
      </c>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Total RWAs</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risk-weighted exposure amount</t>
        </is>
      </c>
      <c r="B4" s="6" t="n"/>
      <c r="C4" s="6" t="n">
        <v>2375798.8</v>
      </c>
      <c r="D4" s="6" t="n">
        <v>2033020.6</v>
      </c>
      <c r="E4" s="6" t="n">
        <v>1277097.8</v>
      </c>
      <c r="F4" s="6" t="n">
        <v>1348332.5</v>
      </c>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Leverage Ratio</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exposure measure</t>
        </is>
      </c>
      <c r="B4" s="6" t="n"/>
      <c r="C4" s="6" t="n">
        <v>3335479.9</v>
      </c>
      <c r="D4" s="6" t="n">
        <v>3357849.1</v>
      </c>
      <c r="E4" s="6" t="n">
        <v>2499781.8</v>
      </c>
      <c r="F4" s="6" t="n">
        <v>1899792.8</v>
      </c>
    </row>
    <row r="5">
      <c r="A5" s="6" t="inlineStr">
        <is>
          <t>Leverage ratio (%)</t>
        </is>
      </c>
      <c r="B5" s="6" t="n"/>
      <c r="C5" s="6" t="inlineStr">
        <is>
          <t>15.9%</t>
        </is>
      </c>
      <c r="D5" s="6" t="inlineStr">
        <is>
          <t>12.0%</t>
        </is>
      </c>
      <c r="E5" s="6" t="inlineStr">
        <is>
          <t>11.18%</t>
        </is>
      </c>
      <c r="F5" s="6" t="inlineStr">
        <is>
          <t>13.07%</t>
        </is>
      </c>
    </row>
    <row r="6" ht="60" customHeight="1">
      <c r="A6" s="7" t="inlineStr">
        <is>
          <t>Note: FY2020/FY2021 source tables (UK LR2, in the FY2021 Pillar 3 report) label this 'including claims on central banks'; FY2022 onward (UK KM1 template) labels it 'excluding claims on central banks'. Despite the differing labels, the FY2021 figure is identical (3,379,955) in both the FY2021 report's own table and the FY2022 report's comparative column, so this appears to be inconsistent wording by the Bank rather than a genuine methodology change - shown here as a single continuous row, flagged for visibility.</t>
        </is>
      </c>
    </row>
    <row r="8" ht="130" customHeight="1">
      <c r="A8"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LCR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high-quality liquid assets (HQLA), weighted value</t>
        </is>
      </c>
      <c r="B4" s="6" t="n"/>
      <c r="C4" s="6" t="n">
        <v>708481</v>
      </c>
      <c r="D4" s="6" t="n">
        <v>870655.5</v>
      </c>
      <c r="E4" s="6" t="n">
        <v>596938.8</v>
      </c>
      <c r="F4" s="6" t="n"/>
    </row>
    <row r="5">
      <c r="A5" s="6" t="inlineStr">
        <is>
          <t>Total net cash outflows, adjusted value</t>
        </is>
      </c>
      <c r="B5" s="6" t="n"/>
      <c r="C5" s="6" t="n">
        <v>193806.2</v>
      </c>
      <c r="D5" s="6" t="n">
        <v>193268.6</v>
      </c>
      <c r="E5" s="6" t="n">
        <v>161053.2</v>
      </c>
      <c r="F5" s="6" t="n"/>
    </row>
    <row r="6">
      <c r="A6" s="6" t="inlineStr">
        <is>
          <t>Liquidity Coverage Ratio (%)</t>
        </is>
      </c>
      <c r="B6" s="6" t="n"/>
      <c r="C6" s="6" t="inlineStr">
        <is>
          <t>365.6%</t>
        </is>
      </c>
      <c r="D6" s="6" t="inlineStr">
        <is>
          <t>450.5%</t>
        </is>
      </c>
      <c r="E6" s="6" t="inlineStr">
        <is>
          <t>370.6%</t>
        </is>
      </c>
      <c r="F6" s="6" t="n"/>
    </row>
    <row r="7" ht="60" customHeight="1">
      <c r="A7" s="7" t="inlineStr">
        <is>
          <t>Note: FY2021's $ breakdown (HQLA/net cash outflows) is sourced from the FY2022 Pillar 3 report's comparative column - the FY2021 Pillar 3 report itself only states a single narrative LCR percentage (343.9%, a slightly different figure from the 370.6% shown here), not a KM1-style table with a $ breakdown. The two FY2021 percentages differ slightly, most likely because the narrative figure is a different point-in-time/averaging convention than the KM1 template's 'average of preceding twelve months' basis used here - both are the Bank's own disclosures, this workbook uses the KM1-consistent figure. FY2020 not found in any source.</t>
        </is>
      </c>
    </row>
    <row r="9" ht="130" customHeight="1">
      <c r="A9"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NSFR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available stable funding</t>
        </is>
      </c>
      <c r="B4" s="6" t="n"/>
      <c r="C4" s="6" t="n">
        <v>1475757.9</v>
      </c>
      <c r="D4" s="6" t="n">
        <v>1213379.4</v>
      </c>
      <c r="E4" s="6" t="n">
        <v>1318835.1</v>
      </c>
      <c r="F4" s="6" t="n"/>
    </row>
    <row r="5">
      <c r="A5" s="6" t="inlineStr">
        <is>
          <t>Total required stable funding</t>
        </is>
      </c>
      <c r="B5" s="6" t="n"/>
      <c r="C5" s="6" t="n">
        <v>875261.5</v>
      </c>
      <c r="D5" s="6" t="n">
        <v>820509.2</v>
      </c>
      <c r="E5" s="6" t="n">
        <v>670287.7</v>
      </c>
      <c r="F5" s="6" t="n"/>
    </row>
    <row r="6">
      <c r="A6" s="6" t="inlineStr">
        <is>
          <t>Net Stable Funding Ratio (%)</t>
        </is>
      </c>
      <c r="B6" s="6" t="n"/>
      <c r="C6" s="6" t="inlineStr">
        <is>
          <t>168.6%</t>
        </is>
      </c>
      <c r="D6" s="6" t="inlineStr">
        <is>
          <t>147.9%</t>
        </is>
      </c>
      <c r="E6" s="6" t="inlineStr">
        <is>
          <t>196.8%</t>
        </is>
      </c>
      <c r="F6" s="6" t="n"/>
    </row>
    <row r="7" ht="60" customHeight="1">
      <c r="A7" s="7" t="inlineStr">
        <is>
          <t>Note: FY2021's $ breakdown is sourced from the FY2022 Pillar 3 report's comparative column (the FY2021 report itself does not tabulate NSFR). FY2020 not found in any source.</t>
        </is>
      </c>
    </row>
    <row r="9" ht="130" customHeight="1">
      <c r="A9"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The Access Bank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disclosure (numeric or qualitative) or UK KM2 template found in any year's Pillar 3 report - not explicitly stated as an exemption, but consistent with the Bank's small size relative to typical MREL-in-scope thresholds.</t>
        </is>
      </c>
    </row>
    <row r="7" ht="15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No FY2024 Pillar 3 Disclosures document has been found (the Bank's Reports page showed only the 2023 edition as of the most recent available Wayback Machine snapshot, 16 Nov 2025) - FY2024 cells are blank rather than guessed. FY2020 LCR/NSFR were not found in any source (narrative-only LCR in the FY2021 Pillar 3 report gives a single FY2021 point figure, no FY2020 comparative; the UK NSFR framework may not yet have covered FY2020) - left blank.</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2026-08-26T20:25:37Z</dcterms:created>
  <dcterms:modified xsi:type="dcterms:W3CDTF">2026-08-26T20:25:37Z</dcterms:modified>
</cp:coreProperties>
</file>