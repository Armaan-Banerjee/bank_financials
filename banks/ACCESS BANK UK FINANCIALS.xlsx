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4B2E39"/>
        <bgColor rgb="004B2E3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The Access Bank UK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'Overview'!K6</f>
            </strRef>
          </tx>
          <spPr>
            <a:ln xmlns:a="http://schemas.openxmlformats.org/drawingml/2006/main">
              <a:prstDash val="solid"/>
            </a:ln>
          </spPr>
          <cat>
            <numRef>
              <f>'Overview'!$L$5:$R$5</f>
            </numRef>
          </cat>
          <val>
            <numRef>
              <f>'Overview'!$L$6:$R$6</f>
            </numRef>
          </val>
        </ser>
        <ser>
          <idx val="1"/>
          <order val="1"/>
          <tx>
            <strRef>
              <f>'Overview'!K7</f>
            </strRef>
          </tx>
          <spPr>
            <a:ln xmlns:a="http://schemas.openxmlformats.org/drawingml/2006/main">
              <a:prstDash val="solid"/>
            </a:ln>
          </spPr>
          <cat>
            <numRef>
              <f>'Overview'!$L$5:$R$5</f>
            </numRef>
          </cat>
          <val>
            <numRef>
              <f>'Overview'!$L$7:$R$7</f>
            </numRef>
          </val>
        </ser>
        <ser>
          <idx val="2"/>
          <order val="2"/>
          <tx>
            <strRef>
              <f>'Overview'!K8</f>
            </strRef>
          </tx>
          <spPr>
            <a:ln xmlns:a="http://schemas.openxmlformats.org/drawingml/2006/main">
              <a:prstDash val="solid"/>
            </a:ln>
          </spPr>
          <cat>
            <numRef>
              <f>'Overview'!$L$5:$R$5</f>
            </numRef>
          </cat>
          <val>
            <numRef>
              <f>'Overview'!$L$8:$R$8</f>
            </numRef>
          </val>
        </ser>
        <ser>
          <idx val="3"/>
          <order val="3"/>
          <tx>
            <strRef>
              <f>'Overview'!K9</f>
            </strRef>
          </tx>
          <spPr>
            <a:ln xmlns:a="http://schemas.openxmlformats.org/drawingml/2006/main">
              <a:prstDash val="solid"/>
            </a:ln>
          </spPr>
          <cat>
            <numRef>
              <f>'Overview'!$L$5:$R$5</f>
            </numRef>
          </cat>
          <val>
            <numRef>
              <f>'Overview'!$L$9:$R$9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The Access Bank UK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'Overview'!U13</f>
            </strRef>
          </tx>
          <spPr>
            <a:ln xmlns:a="http://schemas.openxmlformats.org/drawingml/2006/main">
              <a:prstDash val="solid"/>
            </a:ln>
          </spPr>
          <cat>
            <numRef>
              <f>'Overview'!$V$12:$AB$12</f>
            </numRef>
          </cat>
          <val>
            <numRef>
              <f>'Overview'!$V$13:$AB$13</f>
            </numRef>
          </val>
        </ser>
        <ser>
          <idx val="1"/>
          <order val="1"/>
          <tx>
            <strRef>
              <f>'Overview'!U14</f>
            </strRef>
          </tx>
          <spPr>
            <a:ln xmlns:a="http://schemas.openxmlformats.org/drawingml/2006/main">
              <a:prstDash val="solid"/>
            </a:ln>
          </spPr>
          <cat>
            <numRef>
              <f>'Overview'!$V$12:$AB$12</f>
            </numRef>
          </cat>
          <val>
            <numRef>
              <f>'Overview'!$V$14:$AB$14</f>
            </numRef>
          </val>
        </ser>
        <ser>
          <idx val="2"/>
          <order val="2"/>
          <tx>
            <strRef>
              <f>'Overview'!U15</f>
            </strRef>
          </tx>
          <spPr>
            <a:ln xmlns:a="http://schemas.openxmlformats.org/drawingml/2006/main">
              <a:prstDash val="solid"/>
            </a:ln>
          </spPr>
          <cat>
            <numRef>
              <f>'Overview'!$V$12:$AB$12</f>
            </numRef>
          </cat>
          <val>
            <numRef>
              <f>'Overview'!$V$15:$AB$15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The Access Bank UK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'Overview'!AE19</f>
            </strRef>
          </tx>
          <spPr>
            <a:ln xmlns:a="http://schemas.openxmlformats.org/drawingml/2006/main">
              <a:prstDash val="solid"/>
            </a:ln>
          </spPr>
          <cat>
            <numRef>
              <f>'Overview'!$AF$18:$AK$18</f>
            </numRef>
          </cat>
          <val>
            <numRef>
              <f>'Overview'!$AF$19:$AK$19</f>
            </numRef>
          </val>
        </ser>
        <ser>
          <idx val="1"/>
          <order val="1"/>
          <tx>
            <strRef>
              <f>'Overview'!AE20</f>
            </strRef>
          </tx>
          <spPr>
            <a:ln xmlns:a="http://schemas.openxmlformats.org/drawingml/2006/main">
              <a:prstDash val="solid"/>
            </a:ln>
          </spPr>
          <cat>
            <numRef>
              <f>'Overview'!$AF$18:$AK$18</f>
            </numRef>
          </cat>
          <val>
            <numRef>
              <f>'Overview'!$AF$20:$AK$20</f>
            </numRef>
          </val>
        </ser>
        <ser>
          <idx val="2"/>
          <order val="2"/>
          <tx>
            <strRef>
              <f>'Overview'!AE21</f>
            </strRef>
          </tx>
          <spPr>
            <a:ln xmlns:a="http://schemas.openxmlformats.org/drawingml/2006/main">
              <a:prstDash val="solid"/>
            </a:ln>
          </spPr>
          <cat>
            <numRef>
              <f>'Overview'!$AF$18:$AK$18</f>
            </numRef>
          </cat>
          <val>
            <numRef>
              <f>'Overview'!$AF$21:$AK$21</f>
            </numRef>
          </val>
        </ser>
        <ser>
          <idx val="3"/>
          <order val="3"/>
          <tx>
            <strRef>
              <f>'Overview'!AE22</f>
            </strRef>
          </tx>
          <spPr>
            <a:ln xmlns:a="http://schemas.openxmlformats.org/drawingml/2006/main">
              <a:prstDash val="solid"/>
            </a:ln>
          </spPr>
          <cat>
            <numRef>
              <f>'Overview'!$AF$18:$AK$18</f>
            </numRef>
          </cat>
          <val>
            <numRef>
              <f>'Overview'!$AF$22:$AK$22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The Access Bank UK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'Overview'!AN26</f>
            </strRef>
          </tx>
          <spPr>
            <a:ln xmlns:a="http://schemas.openxmlformats.org/drawingml/2006/main">
              <a:prstDash val="solid"/>
            </a:ln>
          </spPr>
          <cat>
            <numRef>
              <f>'Overview'!$AO$25:$AU$25</f>
            </numRef>
          </cat>
          <val>
            <numRef>
              <f>'Overview'!$AO$26:$AU$26</f>
            </numRef>
          </val>
        </ser>
        <ser>
          <idx val="1"/>
          <order val="1"/>
          <tx>
            <strRef>
              <f>'Overview'!AN27</f>
            </strRef>
          </tx>
          <spPr>
            <a:ln xmlns:a="http://schemas.openxmlformats.org/drawingml/2006/main">
              <a:prstDash val="solid"/>
            </a:ln>
          </spPr>
          <cat>
            <numRef>
              <f>'Overview'!$AO$25:$AU$25</f>
            </numRef>
          </cat>
          <val>
            <numRef>
              <f>'Overview'!$AO$27:$AU$27</f>
            </numRef>
          </val>
        </ser>
        <ser>
          <idx val="2"/>
          <order val="2"/>
          <tx>
            <strRef>
              <f>'Overview'!AN28</f>
            </strRef>
          </tx>
          <spPr>
            <a:ln xmlns:a="http://schemas.openxmlformats.org/drawingml/2006/main">
              <a:prstDash val="solid"/>
            </a:ln>
          </spPr>
          <cat>
            <numRef>
              <f>'Overview'!$AO$25:$AU$25</f>
            </numRef>
          </cat>
          <val>
            <numRef>
              <f>'Overview'!$AO$28:$AU$28</f>
            </numRef>
          </val>
        </ser>
        <ser>
          <idx val="3"/>
          <order val="3"/>
          <tx>
            <strRef>
              <f>'Overview'!AN29</f>
            </strRef>
          </tx>
          <spPr>
            <a:ln xmlns:a="http://schemas.openxmlformats.org/drawingml/2006/main">
              <a:prstDash val="solid"/>
            </a:ln>
          </spPr>
          <cat>
            <numRef>
              <f>'Overview'!$AO$25:$AU$25</f>
            </numRef>
          </cat>
          <val>
            <numRef>
              <f>'Overview'!$AO$29:$AU$29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The Access Bank UK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'Overview'!AX6</f>
            </strRef>
          </tx>
          <spPr>
            <a:ln xmlns:a="http://schemas.openxmlformats.org/drawingml/2006/main">
              <a:prstDash val="solid"/>
            </a:ln>
          </spPr>
          <marker>
            <symbol val="none"/>
            <spPr>
              <a:ln xmlns:a="http://schemas.openxmlformats.org/drawingml/2006/main">
                <a:prstDash val="solid"/>
              </a:ln>
            </spPr>
          </marker>
          <cat>
            <numRef>
              <f>'Overview'!$AY$5:$BD$5</f>
            </numRef>
          </cat>
          <val>
            <numRef>
              <f>'Overview'!$AY$6:$BD$6</f>
            </numRef>
          </val>
          <smooth val="0"/>
        </ser>
        <ser>
          <idx val="1"/>
          <order val="1"/>
          <tx>
            <strRef>
              <f>'Overview'!AX7</f>
            </strRef>
          </tx>
          <spPr>
            <a:ln xmlns:a="http://schemas.openxmlformats.org/drawingml/2006/main">
              <a:prstDash val="solid"/>
            </a:ln>
          </spPr>
          <marker>
            <symbol val="none"/>
            <spPr>
              <a:ln xmlns:a="http://schemas.openxmlformats.org/drawingml/2006/main">
                <a:prstDash val="solid"/>
              </a:ln>
            </spPr>
          </marker>
          <cat>
            <numRef>
              <f>'Overview'!$AY$5:$BD$5</f>
            </numRef>
          </cat>
          <val>
            <numRef>
              <f>'Overview'!$AY$7:$BD$7</f>
            </numRef>
          </val>
          <smooth val="0"/>
        </ser>
        <ser>
          <idx val="2"/>
          <order val="2"/>
          <tx>
            <strRef>
              <f>'Overview'!AX8</f>
            </strRef>
          </tx>
          <spPr>
            <a:ln xmlns:a="http://schemas.openxmlformats.org/drawingml/2006/main">
              <a:prstDash val="solid"/>
            </a:ln>
          </spPr>
          <marker>
            <symbol val="none"/>
            <spPr>
              <a:ln xmlns:a="http://schemas.openxmlformats.org/drawingml/2006/main">
                <a:prstDash val="solid"/>
              </a:ln>
            </spPr>
          </marker>
          <cat>
            <numRef>
              <f>'Overview'!$AY$5:$BD$5</f>
            </numRef>
          </cat>
          <val>
            <numRef>
              <f>'Overview'!$AY$8:$BD$8</f>
            </numRef>
          </val>
          <smooth val="0"/>
        </ser>
        <ser>
          <idx val="3"/>
          <order val="3"/>
          <tx>
            <strRef>
              <f>'Overview'!AX9</f>
            </strRef>
          </tx>
          <spPr>
            <a:ln xmlns:a="http://schemas.openxmlformats.org/drawingml/2006/main">
              <a:prstDash val="solid"/>
            </a:ln>
          </spPr>
          <marker>
            <symbol val="none"/>
            <spPr>
              <a:ln xmlns:a="http://schemas.openxmlformats.org/drawingml/2006/main">
                <a:prstDash val="solid"/>
              </a:ln>
            </spPr>
          </marker>
          <cat>
            <numRef>
              <f>'Overview'!$AY$5:$BD$5</f>
            </numRef>
          </cat>
          <val>
            <numRef>
              <f>'Overview'!$AY$9:$BD$9</f>
            </numRef>
          </val>
          <smooth val="0"/>
        </ser>
        <ser>
          <idx val="4"/>
          <order val="4"/>
          <tx>
            <strRef>
              <f>'Overview'!AX10</f>
            </strRef>
          </tx>
          <spPr>
            <a:ln xmlns:a="http://schemas.openxmlformats.org/drawingml/2006/main">
              <a:prstDash val="solid"/>
            </a:ln>
          </spPr>
          <marker>
            <symbol val="none"/>
            <spPr>
              <a:ln xmlns:a="http://schemas.openxmlformats.org/drawingml/2006/main">
                <a:prstDash val="solid"/>
              </a:ln>
            </spPr>
          </marker>
          <cat>
            <numRef>
              <f>'Overview'!$AY$5:$BD$5</f>
            </numRef>
          </cat>
          <val>
            <numRef>
              <f>'Overview'!$AY$10:$BD$10</f>
            </numRef>
          </val>
          <smooth val="0"/>
        </ser>
        <ser>
          <idx val="5"/>
          <order val="5"/>
          <tx>
            <strRef>
              <f>'Overview'!AX11</f>
            </strRef>
          </tx>
          <spPr>
            <a:ln xmlns:a="http://schemas.openxmlformats.org/drawingml/2006/main">
              <a:prstDash val="solid"/>
            </a:ln>
          </spPr>
          <marker>
            <symbol val="none"/>
            <spPr>
              <a:ln xmlns:a="http://schemas.openxmlformats.org/drawingml/2006/main">
                <a:prstDash val="solid"/>
              </a:ln>
            </spPr>
          </marker>
          <cat>
            <numRef>
              <f>'Overview'!$AY$5:$BD$5</f>
            </numRef>
          </cat>
          <val>
            <numRef>
              <f>'Overview'!$AY$11:$BD$11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D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s>
  <sheetData>
    <row r="1">
      <c r="A1" s="1" t="inlineStr">
        <is>
          <t>The Access Bank UK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L5" t="inlineStr">
        <is>
          <t>FY2019</t>
        </is>
      </c>
      <c r="M5" t="inlineStr">
        <is>
          <t>FY2020</t>
        </is>
      </c>
      <c r="N5" t="inlineStr">
        <is>
          <t>FY2021</t>
        </is>
      </c>
      <c r="O5" t="inlineStr">
        <is>
          <t>FY2022</t>
        </is>
      </c>
      <c r="P5" t="inlineStr">
        <is>
          <t>FY2023</t>
        </is>
      </c>
      <c r="Q5" t="inlineStr">
        <is>
          <t>FY2024</t>
        </is>
      </c>
      <c r="R5" t="inlineStr">
        <is>
          <t>FY2025</t>
        </is>
      </c>
      <c r="AY5" t="inlineStr">
        <is>
          <t>FY2020</t>
        </is>
      </c>
      <c r="AZ5" t="inlineStr">
        <is>
          <t>FY2021</t>
        </is>
      </c>
      <c r="BA5" t="inlineStr">
        <is>
          <t>FY2022</t>
        </is>
      </c>
      <c r="BB5" t="inlineStr">
        <is>
          <t>FY2023</t>
        </is>
      </c>
      <c r="BC5" t="inlineStr">
        <is>
          <t>FY2024</t>
        </is>
      </c>
      <c r="BD5" t="inlineStr">
        <is>
          <t>FY2025</t>
        </is>
      </c>
    </row>
    <row r="6">
      <c r="A6" s="5" t="inlineStr">
        <is>
          <t>Total assets</t>
        </is>
      </c>
      <c r="B6" s="5" t="n">
        <v>3826593.5</v>
      </c>
      <c r="C6" s="5" t="n">
        <v>4894450.4</v>
      </c>
      <c r="D6" s="5" t="n">
        <v>3474169.2</v>
      </c>
      <c r="E6" s="5" t="n">
        <v>3115077.7</v>
      </c>
      <c r="F6" s="5" t="n">
        <v>2281453.7</v>
      </c>
      <c r="G6" s="5" t="n">
        <v>1755034.4</v>
      </c>
      <c r="H6" s="5" t="n">
        <v>1892202.4</v>
      </c>
      <c r="K6" t="inlineStr">
        <is>
          <t>Total assets</t>
        </is>
      </c>
      <c r="L6" t="n">
        <v>1892202.4</v>
      </c>
      <c r="M6" t="n">
        <v>1755034.4</v>
      </c>
      <c r="N6" t="n">
        <v>2281453.7</v>
      </c>
      <c r="O6" t="n">
        <v>3115077.7</v>
      </c>
      <c r="P6" t="n">
        <v>3474169.2</v>
      </c>
      <c r="Q6" t="n">
        <v>4894450.4</v>
      </c>
      <c r="R6" t="n">
        <v>3826593.5</v>
      </c>
      <c r="AX6" t="inlineStr">
        <is>
          <t>CET1 Ratio</t>
        </is>
      </c>
      <c r="AY6" t="n">
        <v>18.4</v>
      </c>
      <c r="AZ6" t="n">
        <v>21.88</v>
      </c>
      <c r="BA6" t="n">
        <v>19.8</v>
      </c>
      <c r="BB6" t="n">
        <v>22.4</v>
      </c>
      <c r="BC6" t="n">
        <v>20.18</v>
      </c>
      <c r="BD6" t="n">
        <v>11.78</v>
      </c>
    </row>
    <row r="7">
      <c r="A7" s="5" t="inlineStr">
        <is>
          <t>Loans and advances to customers</t>
        </is>
      </c>
      <c r="B7" s="5" t="n">
        <v>1258199.7</v>
      </c>
      <c r="C7" s="5" t="n">
        <v>1334233.8</v>
      </c>
      <c r="D7" s="5" t="n">
        <v>1196311.6</v>
      </c>
      <c r="E7" s="5" t="n">
        <v>921615.8</v>
      </c>
      <c r="F7" s="5" t="n">
        <v>779823.3</v>
      </c>
      <c r="G7" s="5" t="n">
        <v>651852.8</v>
      </c>
      <c r="H7" s="5" t="n">
        <v>661685.5</v>
      </c>
      <c r="K7" t="inlineStr">
        <is>
          <t>Loans and advances to customers</t>
        </is>
      </c>
      <c r="L7" t="n">
        <v>661685.5</v>
      </c>
      <c r="M7" t="n">
        <v>651852.8</v>
      </c>
      <c r="N7" t="n">
        <v>779823.3</v>
      </c>
      <c r="O7" t="n">
        <v>921615.8</v>
      </c>
      <c r="P7" t="n">
        <v>1196311.6</v>
      </c>
      <c r="Q7" t="n">
        <v>1334233.8</v>
      </c>
      <c r="R7" t="n">
        <v>1258199.7</v>
      </c>
      <c r="AX7" t="inlineStr">
        <is>
          <t>Tier 1 Ratio</t>
        </is>
      </c>
      <c r="AY7" t="n">
        <v>18.4</v>
      </c>
      <c r="AZ7" t="n">
        <v>21.88</v>
      </c>
      <c r="BA7" t="n">
        <v>19.8</v>
      </c>
      <c r="BB7" t="n">
        <v>22.4</v>
      </c>
      <c r="BC7" t="n">
        <v>20.18</v>
      </c>
      <c r="BD7" t="n">
        <v>19.27</v>
      </c>
    </row>
    <row r="8">
      <c r="A8" s="5" t="inlineStr">
        <is>
          <t>Customer deposits</t>
        </is>
      </c>
      <c r="B8" s="5" t="n">
        <v>1301646.3</v>
      </c>
      <c r="C8" s="5" t="n">
        <v>1238476.6</v>
      </c>
      <c r="D8" s="5" t="n">
        <v>1140155.1</v>
      </c>
      <c r="E8" s="5" t="n">
        <v>1035143.9</v>
      </c>
      <c r="F8" s="5" t="n">
        <v>692107.4</v>
      </c>
      <c r="G8" s="5" t="n">
        <v>641605.3</v>
      </c>
      <c r="H8" s="5" t="n">
        <v>591188.3</v>
      </c>
      <c r="K8" t="inlineStr">
        <is>
          <t>Customer deposits</t>
        </is>
      </c>
      <c r="L8" t="n">
        <v>591188.3</v>
      </c>
      <c r="M8" t="n">
        <v>641605.3</v>
      </c>
      <c r="N8" t="n">
        <v>692107.4</v>
      </c>
      <c r="O8" t="n">
        <v>1035143.9</v>
      </c>
      <c r="P8" t="n">
        <v>1140155.1</v>
      </c>
      <c r="Q8" t="n">
        <v>1238476.6</v>
      </c>
      <c r="R8" t="n">
        <v>1301646.3</v>
      </c>
      <c r="AX8" t="inlineStr">
        <is>
          <t>Total Capital Ratio</t>
        </is>
      </c>
      <c r="AY8" t="n">
        <v>18.4</v>
      </c>
      <c r="AZ8" t="n">
        <v>21.88</v>
      </c>
      <c r="BA8" t="n">
        <v>19.8</v>
      </c>
      <c r="BB8" t="n">
        <v>22.4</v>
      </c>
      <c r="BC8" t="n">
        <v>20.18</v>
      </c>
      <c r="BD8" t="n">
        <v>19.27</v>
      </c>
    </row>
    <row r="9">
      <c r="A9" s="5" t="inlineStr">
        <is>
          <t>Total equity</t>
        </is>
      </c>
      <c r="B9" s="5" t="n">
        <v>853251</v>
      </c>
      <c r="C9" s="5" t="n">
        <v>627171.1</v>
      </c>
      <c r="D9" s="5" t="n">
        <v>535897.1</v>
      </c>
      <c r="E9" s="5" t="n">
        <v>405955.2</v>
      </c>
      <c r="F9" s="5" t="n">
        <v>281638</v>
      </c>
      <c r="G9" s="5" t="n">
        <v>249045.8</v>
      </c>
      <c r="H9" s="5" t="n">
        <v>247508.2</v>
      </c>
      <c r="K9" t="inlineStr">
        <is>
          <t>Total equity</t>
        </is>
      </c>
      <c r="L9" t="n">
        <v>247508.2</v>
      </c>
      <c r="M9" t="n">
        <v>249045.8</v>
      </c>
      <c r="N9" t="n">
        <v>281638</v>
      </c>
      <c r="O9" t="n">
        <v>405955.2</v>
      </c>
      <c r="P9" t="n">
        <v>535897.1</v>
      </c>
      <c r="Q9" t="n">
        <v>627171.1</v>
      </c>
      <c r="R9" t="n">
        <v>853251</v>
      </c>
      <c r="AX9" t="inlineStr">
        <is>
          <t>Leverage Ratio</t>
        </is>
      </c>
      <c r="AY9" t="n">
        <v>13.07</v>
      </c>
      <c r="AZ9" t="n">
        <v>11.18</v>
      </c>
      <c r="BA9" t="n">
        <v>12</v>
      </c>
      <c r="BB9" t="n">
        <v>15.9</v>
      </c>
    </row>
    <row r="10">
      <c r="AX10" t="inlineStr">
        <is>
          <t>LCR</t>
        </is>
      </c>
      <c r="AZ10" t="n">
        <v>370.6</v>
      </c>
      <c r="BA10" t="n">
        <v>450.5</v>
      </c>
      <c r="BB10" t="n">
        <v>365.6</v>
      </c>
      <c r="BC10" t="n">
        <v>176.65</v>
      </c>
      <c r="BD10" t="n">
        <v>199.46</v>
      </c>
    </row>
    <row r="11">
      <c r="A11" s="3" t="inlineStr">
        <is>
          <t>Profit &amp; Loss Summary (£'000)</t>
        </is>
      </c>
      <c r="AX11" t="inlineStr">
        <is>
          <t>NSFR</t>
        </is>
      </c>
      <c r="AZ11" t="n">
        <v>196.8</v>
      </c>
      <c r="BA11" t="n">
        <v>147.9</v>
      </c>
      <c r="BB11" t="n">
        <v>168.6</v>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V12" t="inlineStr">
        <is>
          <t>FY2019</t>
        </is>
      </c>
      <c r="W12" t="inlineStr">
        <is>
          <t>FY2020</t>
        </is>
      </c>
      <c r="X12" t="inlineStr">
        <is>
          <t>FY2021</t>
        </is>
      </c>
      <c r="Y12" t="inlineStr">
        <is>
          <t>FY2022</t>
        </is>
      </c>
      <c r="Z12" t="inlineStr">
        <is>
          <t>FY2023</t>
        </is>
      </c>
      <c r="AA12" t="inlineStr">
        <is>
          <t>FY2024</t>
        </is>
      </c>
      <c r="AB12" t="inlineStr">
        <is>
          <t>FY2025</t>
        </is>
      </c>
    </row>
    <row r="13">
      <c r="A13" s="5" t="inlineStr">
        <is>
          <t>Total operating income / Net operating income</t>
        </is>
      </c>
      <c r="B13" s="5" t="n">
        <v>157103</v>
      </c>
      <c r="C13" s="5" t="n">
        <v>182688.1</v>
      </c>
      <c r="D13" s="5" t="n">
        <v>160284.1</v>
      </c>
      <c r="E13" s="5" t="n">
        <v>76210.8</v>
      </c>
      <c r="F13" s="5" t="n">
        <v>63100.8</v>
      </c>
      <c r="G13" s="5" t="n">
        <v>32870.6</v>
      </c>
      <c r="H13" s="5" t="n">
        <v>66715.39999999999</v>
      </c>
      <c r="U13" t="inlineStr">
        <is>
          <t>Total operating income / Net operating income</t>
        </is>
      </c>
      <c r="V13" t="n">
        <v>66715.39999999999</v>
      </c>
      <c r="W13" t="n">
        <v>32870.6</v>
      </c>
      <c r="X13" t="n">
        <v>63100.8</v>
      </c>
      <c r="Y13" t="n">
        <v>76210.8</v>
      </c>
      <c r="Z13" t="n">
        <v>160284.1</v>
      </c>
      <c r="AA13" t="n">
        <v>182688.1</v>
      </c>
      <c r="AB13" t="n">
        <v>157103</v>
      </c>
    </row>
    <row r="14">
      <c r="A14" s="5" t="inlineStr">
        <is>
          <t>Total operating expense</t>
        </is>
      </c>
      <c r="B14" s="5" t="n">
        <v>-51970</v>
      </c>
      <c r="C14" s="5" t="n">
        <v>-47037.5</v>
      </c>
      <c r="D14" s="5" t="n">
        <v>-38465.6</v>
      </c>
      <c r="E14" s="5" t="n">
        <v>-28726.6</v>
      </c>
      <c r="F14" s="5" t="n">
        <v>-25390.1</v>
      </c>
      <c r="G14" s="5" t="n">
        <v>-19761.1</v>
      </c>
      <c r="H14" s="5" t="n">
        <v>-21951.5</v>
      </c>
      <c r="U14" t="inlineStr">
        <is>
          <t>Total operating expense</t>
        </is>
      </c>
      <c r="V14" t="n">
        <v>-21951.5</v>
      </c>
      <c r="W14" t="n">
        <v>-19761.1</v>
      </c>
      <c r="X14" t="n">
        <v>-25390.1</v>
      </c>
      <c r="Y14" t="n">
        <v>-28726.6</v>
      </c>
      <c r="Z14" t="n">
        <v>-38465.6</v>
      </c>
      <c r="AA14" t="n">
        <v>-47037.5</v>
      </c>
      <c r="AB14" t="n">
        <v>-51970</v>
      </c>
    </row>
    <row r="15">
      <c r="A15" s="5" t="inlineStr">
        <is>
          <t>Profit for the year</t>
        </is>
      </c>
      <c r="B15" s="5" t="n">
        <v>84643.39999999999</v>
      </c>
      <c r="C15" s="5" t="n">
        <v>99927.10000000001</v>
      </c>
      <c r="D15" s="5" t="n">
        <v>90221.89999999999</v>
      </c>
      <c r="E15" s="5" t="n">
        <v>36669.1</v>
      </c>
      <c r="F15" s="5" t="n">
        <v>29447</v>
      </c>
      <c r="G15" s="5" t="n">
        <v>10520.4</v>
      </c>
      <c r="H15" s="5" t="n">
        <v>34694.4</v>
      </c>
      <c r="U15" t="inlineStr">
        <is>
          <t>Profit for the year</t>
        </is>
      </c>
      <c r="V15" t="n">
        <v>34694.4</v>
      </c>
      <c r="W15" t="n">
        <v>10520.4</v>
      </c>
      <c r="X15" t="n">
        <v>29447</v>
      </c>
      <c r="Y15" t="n">
        <v>36669.1</v>
      </c>
      <c r="Z15" t="n">
        <v>90221.89999999999</v>
      </c>
      <c r="AA15" t="n">
        <v>99927.10000000001</v>
      </c>
      <c r="AB15" t="n">
        <v>84643.39999999999</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AF18" t="inlineStr">
        <is>
          <t>FY2020</t>
        </is>
      </c>
      <c r="AG18" t="inlineStr">
        <is>
          <t>FY2021</t>
        </is>
      </c>
      <c r="AH18" t="inlineStr">
        <is>
          <t>FY2022</t>
        </is>
      </c>
      <c r="AI18" t="inlineStr">
        <is>
          <t>FY2023</t>
        </is>
      </c>
      <c r="AJ18" t="inlineStr">
        <is>
          <t>FY2024</t>
        </is>
      </c>
      <c r="AK18" t="inlineStr">
        <is>
          <t>FY2025</t>
        </is>
      </c>
    </row>
    <row r="19">
      <c r="A19" s="5" t="inlineStr">
        <is>
          <t>Opening equity</t>
        </is>
      </c>
      <c r="B19" s="5" t="n">
        <v>627171.1</v>
      </c>
      <c r="C19" s="5" t="n">
        <v>535897.1</v>
      </c>
      <c r="D19" s="5" t="n">
        <v>405955.2</v>
      </c>
      <c r="E19" s="5" t="n">
        <v>281638</v>
      </c>
      <c r="F19" s="5" t="n">
        <v>249045.8</v>
      </c>
      <c r="G19" s="5" t="n"/>
      <c r="AE19" t="inlineStr">
        <is>
          <t>Opening equity</t>
        </is>
      </c>
      <c r="AG19" t="n">
        <v>249045.8</v>
      </c>
      <c r="AH19" t="n">
        <v>281638</v>
      </c>
      <c r="AI19" t="n">
        <v>405955.2</v>
      </c>
      <c r="AJ19" t="n">
        <v>535897.1</v>
      </c>
      <c r="AK19" t="n">
        <v>627171.1</v>
      </c>
    </row>
    <row r="20">
      <c r="A20" s="5" t="inlineStr">
        <is>
          <t>Total comprehensive income for the year</t>
        </is>
      </c>
      <c r="B20" s="5" t="n">
        <v>84614.60000000001</v>
      </c>
      <c r="C20" s="5" t="n">
        <v>98894.39999999999</v>
      </c>
      <c r="D20" s="5" t="n">
        <v>91378.3</v>
      </c>
      <c r="E20" s="5" t="n">
        <v>36629.5</v>
      </c>
      <c r="F20" s="5" t="n">
        <v>29509.4</v>
      </c>
      <c r="G20" s="5" t="n">
        <v>10331.9</v>
      </c>
      <c r="AE20" t="inlineStr">
        <is>
          <t>Total comprehensive income for the year</t>
        </is>
      </c>
      <c r="AF20" t="n">
        <v>10331.9</v>
      </c>
      <c r="AG20" t="n">
        <v>29509.4</v>
      </c>
      <c r="AH20" t="n">
        <v>36629.5</v>
      </c>
      <c r="AI20" t="n">
        <v>91378.3</v>
      </c>
      <c r="AJ20" t="n">
        <v>98894.39999999999</v>
      </c>
      <c r="AK20" t="n">
        <v>84614.60000000001</v>
      </c>
    </row>
    <row r="21">
      <c r="A21" s="5" t="inlineStr">
        <is>
          <t>Other equity movements, net</t>
        </is>
      </c>
      <c r="B21" s="5" t="n">
        <v>190188.7</v>
      </c>
      <c r="C21" s="5" t="n">
        <v>-18624.9</v>
      </c>
      <c r="D21" s="5" t="n">
        <v>62347.9</v>
      </c>
      <c r="E21" s="5" t="n">
        <v>52580.5</v>
      </c>
      <c r="F21" s="5" t="n">
        <v>0</v>
      </c>
      <c r="G21" s="5" t="n">
        <v>0</v>
      </c>
      <c r="AE21" t="inlineStr">
        <is>
          <t>Other equity movements, net</t>
        </is>
      </c>
      <c r="AF21" t="n">
        <v>0</v>
      </c>
      <c r="AG21" t="n">
        <v>0</v>
      </c>
      <c r="AH21" t="n">
        <v>52580.5</v>
      </c>
      <c r="AI21" t="n">
        <v>62347.9</v>
      </c>
      <c r="AJ21" t="n">
        <v>-18624.9</v>
      </c>
      <c r="AK21" t="n">
        <v>190188.7</v>
      </c>
    </row>
    <row r="22">
      <c r="A22" s="5" t="inlineStr">
        <is>
          <t>Closing equity</t>
        </is>
      </c>
      <c r="B22" s="5" t="n">
        <v>853251</v>
      </c>
      <c r="C22" s="5" t="n">
        <v>627171.1</v>
      </c>
      <c r="D22" s="5" t="n">
        <v>535897.1</v>
      </c>
      <c r="E22" s="5" t="n">
        <v>405955.2</v>
      </c>
      <c r="F22" s="5" t="n">
        <v>281638</v>
      </c>
      <c r="G22" s="5" t="n">
        <v>249045.8</v>
      </c>
      <c r="AE22" t="inlineStr">
        <is>
          <t>Closing equity</t>
        </is>
      </c>
      <c r="AF22" t="n">
        <v>249045.8</v>
      </c>
      <c r="AG22" t="n">
        <v>281638</v>
      </c>
      <c r="AH22" t="n">
        <v>405955.2</v>
      </c>
      <c r="AI22" t="n">
        <v>535897.1</v>
      </c>
      <c r="AJ22" t="n">
        <v>627171.1</v>
      </c>
      <c r="AK22" t="n">
        <v>853251</v>
      </c>
    </row>
    <row r="24">
      <c r="A24" s="3" t="inlineStr">
        <is>
          <t>Cash Flow Summary (£'000)</t>
        </is>
      </c>
    </row>
    <row r="25">
      <c r="A25" s="4" t="inlineStr">
        <is>
          <t>Line item</t>
        </is>
      </c>
      <c r="B25" s="4" t="inlineStr">
        <is>
          <t>FY2025</t>
        </is>
      </c>
      <c r="C25" s="4" t="inlineStr">
        <is>
          <t>FY2024</t>
        </is>
      </c>
      <c r="D25" s="4" t="inlineStr">
        <is>
          <t>FY2023</t>
        </is>
      </c>
      <c r="E25" s="4" t="inlineStr">
        <is>
          <t>FY2022</t>
        </is>
      </c>
      <c r="F25" s="4" t="inlineStr">
        <is>
          <t>FY2021</t>
        </is>
      </c>
      <c r="G25" s="4" t="inlineStr">
        <is>
          <t>FY2020</t>
        </is>
      </c>
      <c r="H25" s="4" t="inlineStr">
        <is>
          <t>FY2019</t>
        </is>
      </c>
      <c r="AO25" t="inlineStr">
        <is>
          <t>FY2019</t>
        </is>
      </c>
      <c r="AP25" t="inlineStr">
        <is>
          <t>FY2020</t>
        </is>
      </c>
      <c r="AQ25" t="inlineStr">
        <is>
          <t>FY2021</t>
        </is>
      </c>
      <c r="AR25" t="inlineStr">
        <is>
          <t>FY2022</t>
        </is>
      </c>
      <c r="AS25" t="inlineStr">
        <is>
          <t>FY2023</t>
        </is>
      </c>
      <c r="AT25" t="inlineStr">
        <is>
          <t>FY2024</t>
        </is>
      </c>
      <c r="AU25" t="inlineStr">
        <is>
          <t>FY2025</t>
        </is>
      </c>
    </row>
    <row r="26">
      <c r="A26" s="5" t="inlineStr">
        <is>
          <t>Net cash from/(used in) operating activities</t>
        </is>
      </c>
      <c r="B26" s="5" t="n">
        <v>-656945.3</v>
      </c>
      <c r="C26" s="5" t="n">
        <v>914715.2</v>
      </c>
      <c r="D26" s="5" t="n">
        <v>49148.5</v>
      </c>
      <c r="E26" s="5" t="n">
        <v>117981.6</v>
      </c>
      <c r="F26" s="5" t="n">
        <v>455703.9</v>
      </c>
      <c r="G26" s="5" t="n">
        <v>-307926.5</v>
      </c>
      <c r="H26" s="5" t="n">
        <v>-173436.3</v>
      </c>
      <c r="AN26" t="inlineStr">
        <is>
          <t>Net cash from/(used in) operating activities</t>
        </is>
      </c>
      <c r="AO26" t="n">
        <v>-173436.3</v>
      </c>
      <c r="AP26" t="n">
        <v>-307926.5</v>
      </c>
      <c r="AQ26" t="n">
        <v>455703.9</v>
      </c>
      <c r="AR26" t="n">
        <v>117981.6</v>
      </c>
      <c r="AS26" t="n">
        <v>49148.5</v>
      </c>
      <c r="AT26" t="n">
        <v>914715.2</v>
      </c>
      <c r="AU26" t="n">
        <v>-656945.3</v>
      </c>
    </row>
    <row r="27">
      <c r="A27" s="5" t="inlineStr">
        <is>
          <t>Net cash from/(used in) investing activities</t>
        </is>
      </c>
      <c r="B27" s="5" t="n">
        <v>558230.1</v>
      </c>
      <c r="C27" s="5" t="n">
        <v>-1018064.7</v>
      </c>
      <c r="D27" s="5" t="n">
        <v>-250467.3</v>
      </c>
      <c r="E27" s="5" t="n">
        <v>-85936.39999999999</v>
      </c>
      <c r="F27" s="5" t="n">
        <v>-184838.2</v>
      </c>
      <c r="G27" s="5" t="n">
        <v>46043.3</v>
      </c>
      <c r="H27" s="5" t="n">
        <v>-17280.2</v>
      </c>
      <c r="AN27" t="inlineStr">
        <is>
          <t>Net cash from/(used in) investing activities</t>
        </is>
      </c>
      <c r="AO27" t="n">
        <v>-17280.2</v>
      </c>
      <c r="AP27" t="n">
        <v>46043.3</v>
      </c>
      <c r="AQ27" t="n">
        <v>-184838.2</v>
      </c>
      <c r="AR27" t="n">
        <v>-85936.39999999999</v>
      </c>
      <c r="AS27" t="n">
        <v>-250467.3</v>
      </c>
      <c r="AT27" t="n">
        <v>-1018064.7</v>
      </c>
      <c r="AU27" t="n">
        <v>558230.1</v>
      </c>
    </row>
    <row r="28">
      <c r="A28" s="5" t="inlineStr">
        <is>
          <t>Net cash from/(used in) financing activities</t>
        </is>
      </c>
      <c r="B28" s="5" t="n">
        <v>188436.3</v>
      </c>
      <c r="C28" s="5" t="n">
        <v>-22938.6</v>
      </c>
      <c r="D28" s="5" t="n">
        <v>63364.5</v>
      </c>
      <c r="E28" s="5" t="n">
        <v>51487.3</v>
      </c>
      <c r="F28" s="5" t="n">
        <v>-841.1</v>
      </c>
      <c r="G28" s="5" t="n">
        <v>-1036.9</v>
      </c>
      <c r="H28" s="5" t="n">
        <v>26239.7</v>
      </c>
      <c r="AN28" t="inlineStr">
        <is>
          <t>Net cash from/(used in) financing activities</t>
        </is>
      </c>
      <c r="AO28" t="n">
        <v>26239.7</v>
      </c>
      <c r="AP28" t="n">
        <v>-1036.9</v>
      </c>
      <c r="AQ28" t="n">
        <v>-841.1</v>
      </c>
      <c r="AR28" t="n">
        <v>51487.3</v>
      </c>
      <c r="AS28" t="n">
        <v>63364.5</v>
      </c>
      <c r="AT28" t="n">
        <v>-22938.6</v>
      </c>
      <c r="AU28" t="n">
        <v>188436.3</v>
      </c>
    </row>
    <row r="29">
      <c r="A29" s="5" t="inlineStr">
        <is>
          <t>Cash and cash equivalents at end of year</t>
        </is>
      </c>
      <c r="B29" s="5" t="n">
        <v>316267.8</v>
      </c>
      <c r="C29" s="5" t="n">
        <v>241803</v>
      </c>
      <c r="D29" s="5" t="n">
        <v>364263.6</v>
      </c>
      <c r="E29" s="5" t="n">
        <v>524595.1</v>
      </c>
      <c r="F29" s="5" t="n">
        <v>392792.6</v>
      </c>
      <c r="G29" s="5" t="n">
        <v>117322.9</v>
      </c>
      <c r="H29" s="5" t="n">
        <v>376653.1</v>
      </c>
      <c r="AN29" t="inlineStr">
        <is>
          <t>Cash and cash equivalents at end of year</t>
        </is>
      </c>
      <c r="AO29" t="n">
        <v>376653.1</v>
      </c>
      <c r="AP29" t="n">
        <v>117322.9</v>
      </c>
      <c r="AQ29" t="n">
        <v>392792.6</v>
      </c>
      <c r="AR29" t="n">
        <v>524595.1</v>
      </c>
      <c r="AS29" t="n">
        <v>364263.6</v>
      </c>
      <c r="AT29" t="n">
        <v>241803</v>
      </c>
      <c r="AU29" t="n">
        <v>316267.8</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c r="G32" s="4" t="inlineStr">
        <is>
          <t>FY2020</t>
        </is>
      </c>
    </row>
    <row r="33">
      <c r="A33" s="6" t="inlineStr">
        <is>
          <t>CET1 Ratio</t>
        </is>
      </c>
      <c r="B33" s="6" t="inlineStr">
        <is>
          <t>11.78%</t>
        </is>
      </c>
      <c r="C33" s="6" t="inlineStr">
        <is>
          <t>20.18%</t>
        </is>
      </c>
      <c r="D33" s="6" t="inlineStr">
        <is>
          <t>22.4%</t>
        </is>
      </c>
      <c r="E33" s="6" t="inlineStr">
        <is>
          <t>19.8%</t>
        </is>
      </c>
      <c r="F33" s="6" t="inlineStr">
        <is>
          <t>21.88%</t>
        </is>
      </c>
      <c r="G33" s="6" t="inlineStr">
        <is>
          <t>18.40%</t>
        </is>
      </c>
    </row>
    <row r="34">
      <c r="A34" s="6" t="inlineStr">
        <is>
          <t>Tier 1 Ratio</t>
        </is>
      </c>
      <c r="B34" s="6" t="inlineStr">
        <is>
          <t>19.27%</t>
        </is>
      </c>
      <c r="C34" s="6" t="inlineStr">
        <is>
          <t>20.18%</t>
        </is>
      </c>
      <c r="D34" s="6" t="inlineStr">
        <is>
          <t>22.4%</t>
        </is>
      </c>
      <c r="E34" s="6" t="inlineStr">
        <is>
          <t>19.8%</t>
        </is>
      </c>
      <c r="F34" s="6" t="inlineStr">
        <is>
          <t>21.88%</t>
        </is>
      </c>
      <c r="G34" s="6" t="inlineStr">
        <is>
          <t>18.40%</t>
        </is>
      </c>
    </row>
    <row r="35">
      <c r="A35" s="6" t="inlineStr">
        <is>
          <t>Total Capital Ratio</t>
        </is>
      </c>
      <c r="B35" s="6" t="inlineStr">
        <is>
          <t>19.27%</t>
        </is>
      </c>
      <c r="C35" s="6" t="inlineStr">
        <is>
          <t>20.18%</t>
        </is>
      </c>
      <c r="D35" s="6" t="inlineStr">
        <is>
          <t>22.4%</t>
        </is>
      </c>
      <c r="E35" s="6" t="inlineStr">
        <is>
          <t>19.8%</t>
        </is>
      </c>
      <c r="F35" s="6" t="inlineStr">
        <is>
          <t>21.88%</t>
        </is>
      </c>
      <c r="G35" s="6" t="inlineStr">
        <is>
          <t>18.40%</t>
        </is>
      </c>
    </row>
    <row r="36">
      <c r="A36" s="6" t="inlineStr">
        <is>
          <t>Leverage Ratio</t>
        </is>
      </c>
      <c r="B36" s="6" t="n"/>
      <c r="C36" s="6" t="n"/>
      <c r="D36" s="6" t="inlineStr">
        <is>
          <t>15.9%</t>
        </is>
      </c>
      <c r="E36" s="6" t="inlineStr">
        <is>
          <t>12.0%</t>
        </is>
      </c>
      <c r="F36" s="6" t="inlineStr">
        <is>
          <t>11.18%</t>
        </is>
      </c>
      <c r="G36" s="6" t="inlineStr">
        <is>
          <t>13.07%</t>
        </is>
      </c>
    </row>
    <row r="37">
      <c r="A37" s="6" t="inlineStr">
        <is>
          <t>LCR</t>
        </is>
      </c>
      <c r="B37" s="6" t="inlineStr">
        <is>
          <t>199.46%</t>
        </is>
      </c>
      <c r="C37" s="6" t="inlineStr">
        <is>
          <t>176.65%</t>
        </is>
      </c>
      <c r="D37" s="6" t="inlineStr">
        <is>
          <t>365.6%</t>
        </is>
      </c>
      <c r="E37" s="6" t="inlineStr">
        <is>
          <t>450.5%</t>
        </is>
      </c>
      <c r="F37" s="6" t="inlineStr">
        <is>
          <t>370.6%</t>
        </is>
      </c>
      <c r="G37" s="6" t="n"/>
    </row>
    <row r="38">
      <c r="A38" s="6" t="inlineStr">
        <is>
          <t>NSFR</t>
        </is>
      </c>
      <c r="B38" s="6" t="n"/>
      <c r="C38" s="6" t="n"/>
      <c r="D38" s="6" t="inlineStr">
        <is>
          <t>168.6%</t>
        </is>
      </c>
      <c r="E38" s="6" t="inlineStr">
        <is>
          <t>147.9%</t>
        </is>
      </c>
      <c r="F38" s="6" t="inlineStr">
        <is>
          <t>196.8%</t>
        </is>
      </c>
      <c r="G38" s="6" t="n"/>
    </row>
    <row r="40" ht="104" customHeight="1">
      <c r="A40" s="7" t="inlineStr">
        <is>
          <t>Note: Figures are duplicated from the detail sheets for at-a-glance trend viewing; see each sheet's own source citation. All £ figures are converted from the Bank's native USD reporting (see Cash Flow Statement sheet's FX conversion note) - this conversion was not explicitly requested for this bank but applied for consistency with the rest of the series. This workbook covers FY2019-FY2025; the statement sheets run to FY2025 (extended 18 September 2026 from the Bank's Report &amp; Financial Statements 2025), while the Pillar 3 template sheets stop at FY2023 because no FY2024 and no FY2025 Pillar 3 edition exists - see those sheets' source notes for the evidence and the expected publication lag. Where the FY2024 and FY2025 Annual Reports themselves disclose a capital figure on the Pillar 3 basis it is carried (CET1/Tier 1/Total capital ratios, Tier 1 and Total capital amounts, point-in-time LCR); RWAs, leverage and NSFR are blank for those two years because neither report discloses them. FY2020 LCR/NSFR are blank too (not found in any source). FY2025 is also the first year the CET1 ratio diverges from the Tier 1 ratio (11.78% against 19.27%), following the Bank's first AT1 issuance. 'Total operating income / Net operating income' uses each year's Net operating income (after ECL), the one operating-income-level figure disclosed consistently across all 5 years (see Asset Quality sheet's presentation note on the P&amp;L structure change). Opening equity for FY2020 is not shown (no 31 December 2019 GBP/USD rate sourced) - see the Statement of Changes in Equity sheet's FX caveat.</t>
        </is>
      </c>
    </row>
  </sheetData>
  <mergeCells count="1">
    <mergeCell ref="A40:H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4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The Access Bank UK Limited — Statement of Financial Position</t>
        </is>
      </c>
    </row>
    <row r="2">
      <c r="A2" s="2" t="inlineStr">
        <is>
          <t>£'000, converted from USD, Bank basis - see source note at bottom for FX methodology and rates used.</t>
        </is>
      </c>
    </row>
    <row r="3">
      <c r="A3" s="4" t="inlineStr">
        <is>
          <t>Line item</t>
        </is>
      </c>
      <c r="B3" s="4" t="inlineStr">
        <is>
          <t>FY2025 (£'000, conv. from USD)</t>
        </is>
      </c>
      <c r="C3" s="4" t="inlineStr">
        <is>
          <t>FY2024 (£'000, conv. from USD)</t>
        </is>
      </c>
      <c r="D3" s="4" t="inlineStr">
        <is>
          <t>FY2023 (£'000, conv. from USD)</t>
        </is>
      </c>
      <c r="E3" s="4" t="inlineStr">
        <is>
          <t>FY2022 (£'000, conv. from USD)</t>
        </is>
      </c>
      <c r="F3" s="4" t="inlineStr">
        <is>
          <t>FY2021 (£'000, conv. from USD)</t>
        </is>
      </c>
      <c r="G3" s="4" t="inlineStr">
        <is>
          <t>FY2020 (£'000, conv. from USD)</t>
        </is>
      </c>
      <c r="H3" s="4" t="inlineStr">
        <is>
          <t>FY2019 (£'000, conv. from USD)</t>
        </is>
      </c>
    </row>
    <row r="4">
      <c r="A4" s="5" t="inlineStr">
        <is>
          <t>Assets</t>
        </is>
      </c>
      <c r="B4" s="6" t="n"/>
      <c r="C4" s="6" t="n"/>
      <c r="D4" s="6" t="n"/>
      <c r="E4" s="6" t="n"/>
      <c r="F4" s="6" t="n"/>
      <c r="G4" s="6" t="n"/>
      <c r="H4" s="6" t="n"/>
    </row>
    <row r="5">
      <c r="A5" s="6" t="inlineStr">
        <is>
          <t>Cash and cash equivalents / Cash at bank</t>
        </is>
      </c>
      <c r="B5" s="6" t="n">
        <v>316267.8</v>
      </c>
      <c r="C5" s="6" t="n">
        <v>241803</v>
      </c>
      <c r="D5" s="6" t="n">
        <v>364263.6</v>
      </c>
      <c r="E5" s="6" t="n">
        <v>524595.1</v>
      </c>
      <c r="F5" s="6" t="n">
        <v>392792.6</v>
      </c>
      <c r="G5" s="6" t="n">
        <v>117322.9</v>
      </c>
      <c r="H5" s="6" t="n">
        <v>376653.1</v>
      </c>
    </row>
    <row r="6">
      <c r="A6" s="6" t="inlineStr">
        <is>
          <t>Money market placements</t>
        </is>
      </c>
      <c r="B6" s="6" t="n">
        <v>54367.2</v>
      </c>
      <c r="C6" s="6" t="n">
        <v>10589.3</v>
      </c>
      <c r="D6" s="6" t="n">
        <v>5622.5</v>
      </c>
      <c r="E6" s="6" t="n">
        <v>2976.3</v>
      </c>
      <c r="F6" s="6" t="n">
        <v>2905.5</v>
      </c>
      <c r="G6" s="6" t="n">
        <v>4766.1</v>
      </c>
      <c r="H6" s="6" t="n">
        <v>17592.5</v>
      </c>
    </row>
    <row r="7">
      <c r="A7" s="6" t="inlineStr">
        <is>
          <t>Investment securities - US Treasury bills and government bonds, at FVPL</t>
        </is>
      </c>
      <c r="B7" s="6" t="n">
        <v>764514.4</v>
      </c>
      <c r="C7" s="6" t="n">
        <v>1575247.7</v>
      </c>
      <c r="D7" s="6" t="n">
        <v>800099</v>
      </c>
      <c r="E7" s="6" t="n"/>
      <c r="F7" s="6" t="n"/>
      <c r="G7" s="6" t="n"/>
      <c r="H7" s="6" t="n"/>
    </row>
    <row r="8">
      <c r="A8" s="6" t="inlineStr">
        <is>
          <t>Investment securities - US Treasury bills, at FVOCI</t>
        </is>
      </c>
      <c r="B8" s="6" t="n">
        <v>92808.60000000001</v>
      </c>
      <c r="C8" s="6" t="n">
        <v>255229</v>
      </c>
      <c r="D8" s="6" t="n">
        <v>0</v>
      </c>
      <c r="E8" s="6" t="n"/>
      <c r="F8" s="6" t="n"/>
      <c r="G8" s="6" t="n"/>
      <c r="H8" s="6" t="n"/>
    </row>
    <row r="9">
      <c r="A9" s="6" t="inlineStr">
        <is>
          <t>Investment securities - US Treasury bills and government bonds (measurement basis not separately disclosed pre-FY2023)</t>
        </is>
      </c>
      <c r="B9" s="6" t="n"/>
      <c r="C9" s="6" t="n"/>
      <c r="D9" s="6" t="n"/>
      <c r="E9" s="6" t="n">
        <v>588173.4</v>
      </c>
      <c r="F9" s="6" t="n">
        <v>449301.1</v>
      </c>
      <c r="G9" s="6" t="n">
        <v>259869.2</v>
      </c>
      <c r="H9" s="6" t="n">
        <v>314245.4</v>
      </c>
    </row>
    <row r="10">
      <c r="A10" s="6" t="inlineStr">
        <is>
          <t>Investment securities - Listed equity securities in financial institutions</t>
        </is>
      </c>
      <c r="B10" s="6" t="n">
        <v>4078.7</v>
      </c>
      <c r="C10" s="6" t="n">
        <v>3272.3</v>
      </c>
      <c r="D10" s="6" t="n">
        <v>3738.1</v>
      </c>
      <c r="E10" s="6" t="n">
        <v>2064.4</v>
      </c>
      <c r="F10" s="6" t="n">
        <v>1883.5</v>
      </c>
      <c r="G10" s="6" t="n">
        <v>1207.7</v>
      </c>
      <c r="H10" s="6" t="n">
        <v>1517.3</v>
      </c>
    </row>
    <row r="11">
      <c r="A11" s="5" t="inlineStr">
        <is>
          <t>Total investment securities</t>
        </is>
      </c>
      <c r="B11" s="5" t="n">
        <v>861401.7</v>
      </c>
      <c r="C11" s="5" t="n">
        <v>1833749.1</v>
      </c>
      <c r="D11" s="5" t="n">
        <v>803837.1</v>
      </c>
      <c r="E11" s="5" t="n">
        <v>590237.8</v>
      </c>
      <c r="F11" s="5" t="n">
        <v>451184.6</v>
      </c>
      <c r="G11" s="5" t="n">
        <v>261076.9</v>
      </c>
      <c r="H11" s="5" t="n">
        <v>315762.7</v>
      </c>
    </row>
    <row r="12">
      <c r="A12" s="6" t="inlineStr">
        <is>
          <t>Investment in subsidiary</t>
        </is>
      </c>
      <c r="B12" s="6" t="n">
        <v>312146.8</v>
      </c>
      <c r="C12" s="6" t="n">
        <v>17757.9</v>
      </c>
      <c r="D12" s="6" t="n"/>
      <c r="E12" s="6" t="n"/>
      <c r="F12" s="6" t="n"/>
      <c r="G12" s="6" t="n"/>
      <c r="H12" s="6" t="n"/>
    </row>
    <row r="13">
      <c r="A13" s="6" t="inlineStr">
        <is>
          <t>Loans and advances to banks</t>
        </is>
      </c>
      <c r="B13" s="6" t="n">
        <v>967656.9</v>
      </c>
      <c r="C13" s="6" t="n">
        <v>1418050.3</v>
      </c>
      <c r="D13" s="6" t="n">
        <v>1080914.2</v>
      </c>
      <c r="E13" s="6" t="n">
        <v>1049435.4</v>
      </c>
      <c r="F13" s="6" t="n">
        <v>628250.8</v>
      </c>
      <c r="G13" s="6" t="n">
        <v>690790.5</v>
      </c>
      <c r="H13" s="6" t="n">
        <v>510453.6</v>
      </c>
    </row>
    <row r="14">
      <c r="A14" s="6" t="inlineStr">
        <is>
          <t>Loans and advances to customers</t>
        </is>
      </c>
      <c r="B14" s="6" t="n">
        <v>1258199.7</v>
      </c>
      <c r="C14" s="6" t="n">
        <v>1334233.8</v>
      </c>
      <c r="D14" s="6" t="n">
        <v>1196311.6</v>
      </c>
      <c r="E14" s="6" t="n">
        <v>921615.8</v>
      </c>
      <c r="F14" s="6" t="n">
        <v>779823.3</v>
      </c>
      <c r="G14" s="6" t="n">
        <v>651852.8</v>
      </c>
      <c r="H14" s="6" t="n">
        <v>661685.5</v>
      </c>
    </row>
    <row r="15">
      <c r="A15" s="6" t="inlineStr">
        <is>
          <t>Property, plant and equipment</t>
        </is>
      </c>
      <c r="B15" s="6" t="n">
        <v>3361.1</v>
      </c>
      <c r="C15" s="6" t="n">
        <v>1623.8</v>
      </c>
      <c r="D15" s="6" t="n">
        <v>894.2</v>
      </c>
      <c r="E15" s="6" t="n">
        <v>904.7</v>
      </c>
      <c r="F15" s="6" t="n">
        <v>698.3</v>
      </c>
      <c r="G15" s="6" t="n">
        <v>904</v>
      </c>
      <c r="H15" s="6" t="n">
        <v>2095.7</v>
      </c>
    </row>
    <row r="16">
      <c r="A16" s="6" t="inlineStr">
        <is>
          <t>Right-of-use assets</t>
        </is>
      </c>
      <c r="B16" s="6" t="n">
        <v>8256.200000000001</v>
      </c>
      <c r="C16" s="6" t="n">
        <v>5831.2</v>
      </c>
      <c r="D16" s="6" t="n">
        <v>1938.3</v>
      </c>
      <c r="E16" s="6" t="n">
        <v>3167.7</v>
      </c>
      <c r="F16" s="6" t="n">
        <v>3839.4</v>
      </c>
      <c r="G16" s="6" t="n">
        <v>3551.3</v>
      </c>
      <c r="H16" s="6" t="n"/>
    </row>
    <row r="17">
      <c r="A17" s="6" t="inlineStr">
        <is>
          <t>Intangible assets</t>
        </is>
      </c>
      <c r="B17" s="6" t="n">
        <v>3764.1</v>
      </c>
      <c r="C17" s="6" t="n">
        <v>6868.6</v>
      </c>
      <c r="D17" s="6" t="n">
        <v>3658.5</v>
      </c>
      <c r="E17" s="6" t="n">
        <v>3183.7</v>
      </c>
      <c r="F17" s="6" t="n">
        <v>1980.6</v>
      </c>
      <c r="G17" s="6" t="n">
        <v>1739.7</v>
      </c>
      <c r="H17" s="6" t="n">
        <v>1899.7</v>
      </c>
    </row>
    <row r="18">
      <c r="A18" s="6" t="inlineStr">
        <is>
          <t>Other financial/non-financial assets</t>
        </is>
      </c>
      <c r="B18" s="6" t="n"/>
      <c r="C18" s="6" t="n">
        <v>20753.2</v>
      </c>
      <c r="D18" s="6" t="n">
        <v>15213.9</v>
      </c>
      <c r="E18" s="6" t="n">
        <v>18961.2</v>
      </c>
      <c r="F18" s="6" t="n">
        <v>19978.7</v>
      </c>
      <c r="G18" s="6" t="n">
        <v>23030.2</v>
      </c>
      <c r="H18" s="6" t="n">
        <v>6059.5</v>
      </c>
    </row>
    <row r="19">
      <c r="A19" s="6" t="inlineStr">
        <is>
          <t>Other financial assets (split out separately from FY2025)</t>
        </is>
      </c>
      <c r="B19" s="6" t="n">
        <v>20997.9</v>
      </c>
      <c r="C19" s="6" t="n"/>
      <c r="D19" s="6" t="n"/>
      <c r="E19" s="6" t="n"/>
      <c r="F19" s="6" t="n"/>
      <c r="G19" s="6" t="n"/>
      <c r="H19" s="6" t="n"/>
    </row>
    <row r="20">
      <c r="A20" s="6" t="inlineStr">
        <is>
          <t>Other non-financial assets (split out separately from FY2025)</t>
        </is>
      </c>
      <c r="B20" s="6" t="n">
        <v>6979.5</v>
      </c>
      <c r="C20" s="6" t="n"/>
      <c r="D20" s="6" t="n"/>
      <c r="E20" s="6" t="n"/>
      <c r="F20" s="6" t="n"/>
      <c r="G20" s="6" t="n"/>
      <c r="H20" s="6" t="n"/>
    </row>
    <row r="21">
      <c r="A21" s="6" t="inlineStr">
        <is>
          <t>Prepaid corporation tax</t>
        </is>
      </c>
      <c r="B21" s="6" t="n">
        <v>12153.5</v>
      </c>
      <c r="C21" s="6" t="n">
        <v>388.8</v>
      </c>
      <c r="D21" s="6" t="n">
        <v>146.7</v>
      </c>
      <c r="E21" s="6" t="n"/>
      <c r="F21" s="6" t="n"/>
      <c r="G21" s="6" t="n"/>
      <c r="H21" s="6" t="n"/>
    </row>
    <row r="22">
      <c r="A22" s="6" t="inlineStr">
        <is>
          <t>Derivative financial instruments</t>
        </is>
      </c>
      <c r="B22" s="6" t="n">
        <v>1041</v>
      </c>
      <c r="C22" s="6" t="n">
        <v>2801.5</v>
      </c>
      <c r="D22" s="6" t="n">
        <v>1368.6</v>
      </c>
      <c r="E22" s="6" t="n"/>
      <c r="F22" s="6" t="n"/>
      <c r="G22" s="6" t="n"/>
      <c r="H22" s="6" t="n"/>
    </row>
    <row r="23">
      <c r="A23" s="5" t="inlineStr">
        <is>
          <t>Total assets</t>
        </is>
      </c>
      <c r="B23" s="5" t="n">
        <v>3826593.5</v>
      </c>
      <c r="C23" s="5" t="n">
        <v>4894450.4</v>
      </c>
      <c r="D23" s="5" t="n">
        <v>3474169.2</v>
      </c>
      <c r="E23" s="5" t="n">
        <v>3115077.7</v>
      </c>
      <c r="F23" s="5" t="n">
        <v>2281453.7</v>
      </c>
      <c r="G23" s="5" t="n">
        <v>1755034.4</v>
      </c>
      <c r="H23" s="5" t="n">
        <v>1892202.4</v>
      </c>
    </row>
    <row r="24">
      <c r="A24" s="5" t="inlineStr">
        <is>
          <t>Liabilities</t>
        </is>
      </c>
      <c r="B24" s="6" t="n"/>
      <c r="C24" s="6" t="n"/>
      <c r="D24" s="6" t="n"/>
      <c r="E24" s="6" t="n"/>
      <c r="F24" s="6" t="n"/>
      <c r="G24" s="6" t="n"/>
      <c r="H24" s="6" t="n"/>
    </row>
    <row r="25">
      <c r="A25" s="6" t="inlineStr">
        <is>
          <t>Deposits from banks</t>
        </is>
      </c>
      <c r="B25" s="6" t="n">
        <v>1614208.1</v>
      </c>
      <c r="C25" s="6" t="n">
        <v>2972616.3</v>
      </c>
      <c r="D25" s="6" t="n">
        <v>1771700.8</v>
      </c>
      <c r="E25" s="6" t="n">
        <v>1654616.8</v>
      </c>
      <c r="F25" s="6" t="n">
        <v>1288483.6</v>
      </c>
      <c r="G25" s="6" t="n">
        <v>842073</v>
      </c>
      <c r="H25" s="6" t="n">
        <v>1027714.4</v>
      </c>
    </row>
    <row r="26">
      <c r="A26" s="6" t="inlineStr">
        <is>
          <t>Deposits from customers</t>
        </is>
      </c>
      <c r="B26" s="6" t="n">
        <v>1301646.3</v>
      </c>
      <c r="C26" s="6" t="n">
        <v>1238476.6</v>
      </c>
      <c r="D26" s="6" t="n">
        <v>1140155.1</v>
      </c>
      <c r="E26" s="6" t="n">
        <v>1035143.9</v>
      </c>
      <c r="F26" s="6" t="n">
        <v>692107.4</v>
      </c>
      <c r="G26" s="6" t="n">
        <v>641605.3</v>
      </c>
      <c r="H26" s="6" t="n">
        <v>591188.3</v>
      </c>
    </row>
    <row r="27">
      <c r="A27" s="6" t="inlineStr">
        <is>
          <t>Lease liabilities</t>
        </is>
      </c>
      <c r="B27" s="6" t="n">
        <v>8280</v>
      </c>
      <c r="C27" s="6" t="n">
        <v>5807.9</v>
      </c>
      <c r="D27" s="6" t="n">
        <v>1723.2</v>
      </c>
      <c r="E27" s="6" t="n"/>
      <c r="F27" s="6" t="n"/>
      <c r="G27" s="6" t="n"/>
      <c r="H27" s="6" t="n"/>
    </row>
    <row r="28">
      <c r="A28" s="6" t="inlineStr">
        <is>
          <t>Other financial/non-financial liabilities</t>
        </is>
      </c>
      <c r="B28" s="6" t="n"/>
      <c r="C28" s="6" t="n">
        <v>40611.2</v>
      </c>
      <c r="D28" s="6" t="n">
        <v>22374.6</v>
      </c>
      <c r="E28" s="6" t="n">
        <v>18961.6</v>
      </c>
      <c r="F28" s="6" t="n">
        <v>18847.6</v>
      </c>
      <c r="G28" s="6" t="n">
        <v>22021.1</v>
      </c>
      <c r="H28" s="6" t="n">
        <v>25614.5</v>
      </c>
    </row>
    <row r="29">
      <c r="A29" s="6" t="inlineStr">
        <is>
          <t>Other financial liabilities (split out separately from FY2025)</t>
        </is>
      </c>
      <c r="B29" s="6" t="n">
        <v>10186.6</v>
      </c>
      <c r="C29" s="6" t="n"/>
      <c r="D29" s="6" t="n"/>
      <c r="E29" s="6" t="n"/>
      <c r="F29" s="6" t="n"/>
      <c r="G29" s="6" t="n"/>
      <c r="H29" s="6" t="n"/>
    </row>
    <row r="30">
      <c r="A30" s="6" t="inlineStr">
        <is>
          <t>Other non-financial liabilities (split out separately from FY2025)</t>
        </is>
      </c>
      <c r="B30" s="6" t="n">
        <v>37025.6</v>
      </c>
      <c r="C30" s="6" t="n"/>
      <c r="D30" s="6" t="n"/>
      <c r="E30" s="6" t="n"/>
      <c r="F30" s="6" t="n"/>
      <c r="G30" s="6" t="n"/>
      <c r="H30" s="6" t="n"/>
    </row>
    <row r="31">
      <c r="A31" s="6" t="inlineStr">
        <is>
          <t>Deferred tax liability</t>
        </is>
      </c>
      <c r="B31" s="6" t="n">
        <v>898.3</v>
      </c>
      <c r="C31" s="6" t="n">
        <v>1780.7</v>
      </c>
      <c r="D31" s="6" t="n">
        <v>944.5</v>
      </c>
      <c r="E31" s="6" t="n">
        <v>400.2</v>
      </c>
      <c r="F31" s="6" t="n">
        <v>377.1</v>
      </c>
      <c r="G31" s="6" t="n">
        <v>289.2</v>
      </c>
      <c r="H31" s="6" t="n">
        <v>176.9</v>
      </c>
    </row>
    <row r="32">
      <c r="A32" s="6" t="inlineStr">
        <is>
          <t>Derivative financial instruments</t>
        </is>
      </c>
      <c r="B32" s="6" t="n">
        <v>1097.6</v>
      </c>
      <c r="C32" s="6" t="n">
        <v>7986.6</v>
      </c>
      <c r="D32" s="6" t="n">
        <v>1373.8</v>
      </c>
      <c r="E32" s="6" t="n"/>
      <c r="F32" s="6" t="n"/>
      <c r="G32" s="6" t="n"/>
      <c r="H32" s="6" t="n"/>
    </row>
    <row r="33">
      <c r="A33" s="5" t="inlineStr">
        <is>
          <t>Total liabilities</t>
        </is>
      </c>
      <c r="B33" s="5" t="n">
        <v>2973342.5</v>
      </c>
      <c r="C33" s="5" t="n">
        <v>4267279.3</v>
      </c>
      <c r="D33" s="5" t="n">
        <v>2938272.1</v>
      </c>
      <c r="E33" s="5" t="n">
        <v>2709122.4</v>
      </c>
      <c r="F33" s="5" t="n">
        <v>1999815.7</v>
      </c>
      <c r="G33" s="5" t="n">
        <v>1505988.6</v>
      </c>
      <c r="H33" s="5" t="n">
        <v>1644694.2</v>
      </c>
    </row>
    <row r="34">
      <c r="A34" s="5" t="inlineStr">
        <is>
          <t>Equity</t>
        </is>
      </c>
      <c r="B34" s="6" t="n"/>
      <c r="C34" s="6" t="n"/>
      <c r="D34" s="6" t="n"/>
      <c r="E34" s="6" t="n"/>
      <c r="F34" s="6" t="n"/>
      <c r="G34" s="6" t="n"/>
      <c r="H34" s="6" t="n"/>
    </row>
    <row r="35">
      <c r="A35" s="6" t="inlineStr">
        <is>
          <t>Share capital</t>
        </is>
      </c>
      <c r="B35" s="6" t="n">
        <v>276903.6</v>
      </c>
      <c r="C35" s="6" t="n">
        <v>297547.1</v>
      </c>
      <c r="D35" s="6" t="n">
        <v>292475.8</v>
      </c>
      <c r="E35" s="6" t="n">
        <v>225163.5</v>
      </c>
      <c r="F35" s="6" t="n">
        <v>153376.4</v>
      </c>
      <c r="G35" s="6" t="n">
        <v>151804.6</v>
      </c>
      <c r="H35" s="6" t="n">
        <v>156987.3</v>
      </c>
    </row>
    <row r="36">
      <c r="A36" s="6" t="inlineStr">
        <is>
          <t>Retained earnings</t>
        </is>
      </c>
      <c r="B36" s="6" t="n">
        <v>360804.6</v>
      </c>
      <c r="C36" s="6" t="n">
        <v>333698.6</v>
      </c>
      <c r="D36" s="6" t="n">
        <v>246389.6</v>
      </c>
      <c r="E36" s="6" t="n">
        <v>185105.1</v>
      </c>
      <c r="F36" s="6" t="n">
        <v>132084.4</v>
      </c>
      <c r="G36" s="6" t="n">
        <v>101087.6</v>
      </c>
      <c r="H36" s="6" t="n">
        <v>94315.5</v>
      </c>
    </row>
    <row r="37">
      <c r="A37" s="6" t="inlineStr">
        <is>
          <t>Convertible notes (AT1, first issued 2025)</t>
        </is>
      </c>
      <c r="B37" s="6" t="n">
        <v>219363.5</v>
      </c>
      <c r="C37" s="6" t="n"/>
      <c r="D37" s="6" t="n"/>
      <c r="E37" s="6" t="n"/>
      <c r="F37" s="6" t="n"/>
      <c r="G37" s="6" t="n"/>
      <c r="H37" s="6" t="n"/>
    </row>
    <row r="38">
      <c r="A38" s="6" t="inlineStr">
        <is>
          <t>Other reserves</t>
        </is>
      </c>
      <c r="B38" s="6" t="n">
        <v>-92.2</v>
      </c>
      <c r="C38" s="6" t="n">
        <v>-68.59999999999999</v>
      </c>
      <c r="D38" s="6" t="n">
        <v>969.4</v>
      </c>
      <c r="E38" s="6" t="n">
        <v>-168.8</v>
      </c>
      <c r="F38" s="6" t="n">
        <v>-114.8</v>
      </c>
      <c r="G38" s="6" t="n">
        <v>-176.4</v>
      </c>
      <c r="H38" s="6" t="n">
        <v>0.7</v>
      </c>
    </row>
    <row r="39">
      <c r="A39" s="6" t="inlineStr">
        <is>
          <t>Currency translation reserve</t>
        </is>
      </c>
      <c r="B39" s="6" t="n">
        <v>-3728.4</v>
      </c>
      <c r="C39" s="6" t="n">
        <v>-4006</v>
      </c>
      <c r="D39" s="6" t="n">
        <v>-3937.8</v>
      </c>
      <c r="E39" s="6" t="n">
        <v>-4144.5</v>
      </c>
      <c r="F39" s="6" t="n">
        <v>-3708</v>
      </c>
      <c r="G39" s="6" t="n">
        <v>-3670</v>
      </c>
      <c r="H39" s="6" t="n">
        <v>-3795.3</v>
      </c>
    </row>
    <row r="40">
      <c r="A40" s="5" t="inlineStr">
        <is>
          <t>Total equity</t>
        </is>
      </c>
      <c r="B40" s="5" t="n">
        <v>853251</v>
      </c>
      <c r="C40" s="5" t="n">
        <v>627171.1</v>
      </c>
      <c r="D40" s="5" t="n">
        <v>535897.1</v>
      </c>
      <c r="E40" s="5" t="n">
        <v>405955.2</v>
      </c>
      <c r="F40" s="5" t="n">
        <v>281638</v>
      </c>
      <c r="G40" s="5" t="n">
        <v>249045.8</v>
      </c>
      <c r="H40" s="5" t="n">
        <v>247508.2</v>
      </c>
    </row>
    <row r="41">
      <c r="A41" s="5" t="inlineStr">
        <is>
          <t>Total liabilities and equity</t>
        </is>
      </c>
      <c r="B41" s="5" t="n">
        <v>3826593.5</v>
      </c>
      <c r="C41" s="5" t="n">
        <v>4894450.4</v>
      </c>
      <c r="D41" s="5" t="n">
        <v>3474169.2</v>
      </c>
      <c r="E41" s="5" t="n">
        <v>3115077.7</v>
      </c>
      <c r="F41" s="5" t="n">
        <v>2281453.7</v>
      </c>
      <c r="G41" s="5" t="n">
        <v>1755034.4</v>
      </c>
      <c r="H41" s="5" t="n">
        <v>1892202.4</v>
      </c>
    </row>
    <row r="43" ht="364" customHeight="1">
      <c r="A43" s="8" t="inlineStr">
        <is>
          <t>Sources - The Access Bank UK Limited's own Statement of Financial Position (Bank column), converted from USD to £ per the FX conversion note on the Cash Flow Statement sheet:
FY2025: Report &amp; Financial Statements 2025, p.25 (Bank 31 December 2025 column) - https://www.theaccessbankukltd.co.uk/wp-content/uploads/2026/06/AccessBank_AR2025_Financials_web.pdf
FY2024 &amp; FY2023: Report &amp; Financial Statements 2024, p.21 - https://www.theaccessbankukltd.co.uk/wp-content/uploads/2025/06/AccessBank_AR2024_Financials-AW.pdf
FY2022 &amp; FY2021: Report and Statutory Accounts 2022, p.17 - https://www.theaccessbankukltd.co.uk/wp-content/uploads/2023/07/ACCESS_BANK_AR22_Accs.pdf
FY2020: Report and Statutory Accounts 2021, p.15 (comparative column) - https://www.theaccessbankukltd.co.uk/wp-content/uploads/2022/06/ACCESS_BANK_AR_2021_Accounts.pdf
FY2019: Report and Statutory Accounts 2019, p.12 - https://www.theaccessbankukltd.co.uk/wp-content/uploads/2020/07/ACCE3269_ACCESS_BANK_AR_2019_WEB.pdf
Investment securities breakdown (Bank column) - by issuer type in all years, plus measurement basis (FVPL/FVOCI) where the Bank separately discloses it:
FY2025: Report &amp; Financial Statements 2025, Note 17 'Investment securities', p.42 (Bank column) - https://www.theaccessbankukltd.co.uk/wp-content/uploads/2026/06/AccessBank_AR2025_Financials_web.pdf
FY2024 &amp; FY2023: Report &amp; Financial Statements 2024, Note 16 'Investment securities', p.36 - https://www.theaccessbankukltd.co.uk/wp-content/uploads/2025/06/AccessBank_AR2024_Financials-AW.pdf
FY2022 &amp; FY2021: Report and Statutory Accounts 2022, Note 13 'Investment securities', p.30 - https://www.theaccessbankukltd.co.uk/wp-content/uploads/2023/07/ACCESS_BANK_AR22_Accs.pdf
FY2020: Report and Statutory Accounts 2021, Note 13 'Investment securities' (comparative column) - https://www.theaccessbankukltd.co.uk/wp-content/uploads/2022/06/ACCESS_BANK_AR_2021_Accounts.pdf
FY2019: Report and Statutory Accounts 2019, Note 12 'Investment securities', p.27 - https://www.theaccessbankukltd.co.uk/wp-content/uploads/2020/07/ACCE3269_ACCESS_BANK_AR_2019_WEB.pdf
ENTITY NOTE: The Access Bank UK Limited (Companies House 06365062, FRN 478415) is a UK subsidiary of Access Bank Plc (Nigeria); ultimate parent is Access Holdings Plc (Nigeria). Like Zenith Bank (UK) Limited and United Bank for Africa (UK) Limited elsewhere in this workbook series, it prepares full IFRS financial statements with a genuine Statement of Cash Flows every year - no FRS 101/102 cash-flow exemption applies. The Bank's Own Funds consist entirely of Common Equity Tier 1 (CET1) capital (no AT1 or Tier 2 instruments), so CET1 capital = Tier 1 capital = Total capital in every year shown. The Bank's own website blocks automated page fetches (Cloudflare bot protection on its HTML pages, though direct PDF links work); its 'Our Reports' page was instead read through a text-extraction proxy (2026-09-18) and via multiple Wayback Machine snapshots (2022-2025) to locate every year's Annual Report and Pillar 3 Disclosures PDF. LATEST-EDITION CHECK, 18 SEPTEMBER 2026: the Bank's 'Our Reports' page lists a FY2025 Annual Report and a FY2025 Report &amp; Financial Statements (both uploaded to the Bank's CDN in its 2026/06 folder; the financial statements were signed 23 April 2026 and the PDF was produced 15 June 2026), and this workbook was extended to FY2025 from them on that date. The newest Pillar 3 Disclosures edition on that same page is still the 2023 one - no FY2024 and no FY2025 Pillar 3 edition exists as at 18 September 2026 (see the Pillar 3 sheets' source notes for the evidence). This workbook therefore covers FY2019-FY2025 - 7 years of statements, but Pillar 3 template metrics only to FY2023; FY2024 and FY2025 Pillar 3 cells are filled ONLY from the Annual Report where the Bank itself discloses the figure on the same basis, and are otherwise blank rather than guessed. From FY2024 the Bank's own Statement of Cash Flows is presented on both 'Bank' and 'Group' bases (following the acquisition of an interest in a subsidiary during 2024 - see 'Purchase of share in subsidiary' below); the Bank (entity-level) column is used throughout this workbook for consistency with every earlier year, when Bank and Group were identical since no subsidiary existed. THAT CHOICE MATTERS MUCH MORE FROM FY2025: the Group acquired control of AfrAsia Bank Limited (Mauritius) during 2025 and consolidated it for the first time, so Group total assets ($11,617.1m) are now more than double the Bank's ($5,146.0m). Every FY2025 figure in this workbook is the BANK column, on the same basis as FY2019-FY2024; no Group figure is mixed in.
UNIT PRECISION CHANGES AT FY2025: the FY2019-FY2024 editions print the primary statements in whole US dollars and were transcribed at that precision; the FY2025 edition prints them in $'000. FY2025 source figures below are therefore written as whole dollars with three trailing zeros - that is the precision the Bank published, not a rounding applied here.</t>
        </is>
      </c>
    </row>
    <row r="45" ht="403" customHeight="1">
      <c r="A45" s="8" t="inlineStr">
        <is>
          <t>(continued)
FX CONVERSION NOTE: The Access Bank UK Limited reports in US Dollars. This workbook converts every $ amount to £ for consistency with the rest of this series, following the same methodology established for SMBC Bank International plc, Zenith Bank (UK) Limited and United Bank for Africa (UK) Limited: point-in-time/balance figures (capital, RWA, leverage exposure, HQLA, cash balances) use the Bank of England GBP/USD SPOT rate as at that fiscal year-end (31 December); flow figures (every cash flow statement line item) use the AVERAGE of Bank of England rates over that calendar year - both via poundsterlinglive.com's published Bank of England archive. Rates used (£1 = $X): FY2020 spot 1.3661 / average 1.2837; FY2021 spot 1.3521 / average 1.3752; FY2022 spot 1.2097 / average 1.2362; FY2023 spot 1.2732 / average 1.2439; FY2024 spot 1.2515 / average 1.2782 - identical to the FY2021-FY2024 rates already used for Zenith Bank UK and UBA UK, since all average 1.2782; FY2025 spot 1.3448 / average 1.3193 (the same FY2025 pair already used in build_zenith.py); FY2019 spot 1.3210 / average 1.2767 (Bank of England series XUDLUSS, 31 December 2019; its published calendar-year GBP/USD average). All % ratios (CET1/Tier 1/Total Capital/Leverage/LCR/NSFR ratios) are shown EXACTLY as reported in USD and were NOT converted - a ratio is dimensionless and currency-invariant. Because stocks and flows are converted at different rates, the cash flow statement includes an explicit 'Effect of GBP/USD translation' reconciling line (FY2021-FY2024 only, computed programmatically from the actual converted figures) so opening + all flows + this line = closing exactly in £ terms for those years - this line is purely an artefact of £ translation and has no bearing on the Bank's underlying USD results. This conversion was not explicitly requested for this bank - applied for consistency with the rest of the series, following the same call already confirmed for Zenith Bank UK and UBA UK; flag if £'000 rather than the Bank's native US$'000 presentation is not what's wanted here.
PRESENTATION NOTE: The Bank column (entity-level) is used throughout for consistency with the Cash Flow Statement sheet - Bank and Group are identical for FY2020-FY2023 (no subsidiary existed) and differ only immaterially for FY2024 (following the Access Bank Malta investment - see Investment in Subsidiary note). The Balance Sheet's line-item structure changed between report vintages: FY2024/FY2023 (AR2024) present 'Money market placements', 'Investment in subsidiary', 'Deferred tax liability' and a 'Prepaid corporation tax' asset as separate lines not present in earlier years; FY2022 (AR2022)/FY2021/FY2020 group these differently (e.g. a single 'Cash at bank' line, no separate money-market-placements or investment-securities split visible pre-FY2021 in the same granularity). Each year's own as-reported labels/granularity are preserved rather than forced into a common shape - blank cells indicate that year's report did not disclose that specific line. The P&amp;L's structure also changed: FY2024/FY2023 use a 'Total operating income' / 'Net operating income' (after ECL) structure; FY2022/FY2021/FY2020 use a similar shape but without the 'Total operating income' subtotal line (ECL is deducted one step later, after 'Other income', directly into 'Net operating income').
FY2025 CHANGED THE STRUCTURE AGAIN, and the new/changed lines are carried as their own rows rather than folded into the older ones:
- Balance Sheet: 'Other financial assets' / 'Other non-financial assets' and 'Other financial liabilities' / 'Other non-financial liabilities' are split onto separate faces of the statement from FY2025; FY2019-FY2024 print a single combined line each, so the combined rows are blank for FY2025 and the split rows blank for every earlier year. 'Convertible notes' is a new equity component, first issued in 2025 ($295.0m). The FY2025 edition also prints a 'Deferred tax asset' line and (for the Bank) a 'Corporation tax liability' line as a dash in both its own and its comparative column - nil in both years - so neither is carried as a row here; that is the Bank printing a nil, not a figure this workbook failed to find.
- P&amp;L: interest income is split from FY2025 into 'on assets at amortised cost' and 'on assets at fair value' (FY2019-FY2024 print one 'Interest income' line), and a 'Gain on bargain purchase on business combination' / 'Total income' pair appears - nil for the Bank, $48.1m for the Group.
- Cash Flow: the FY2025 edition moves to an 'Operating cash flows before movements in working capital' presentation that strips interest income and interest expense out of profit before tax and then shows 'Interest received' and 'Interest paid' as their own lines, and it RESTATES the FY2024 comparative onto that basis. Per this project's standing rule each year is taken from its OWN edition, so FY2024 here remains the AR2024 presentation and FY2025 the AR2025 one; the two years' operating-activity line items are therefore not like-for-like, though the Bank states the restatement 'relate[s] solely to the classification of cash flows and ha[s] no impact on total net cash flows'. The FY2025 edition also prints two intermediate subtotals inside operating activities ('Operating cash flows before movements in working capital', $(5,925)k, and an unlabelled working-capital subtotal, $(1,006,230)k). Neither is carried as a row here - every operating line item above the activity total IS carried, so both subtotals are recoverable from the sheet, and omitting them keeps the section summing straight through to 'Net cash from/(used in) operating activities' as it does for every other year.</t>
        </is>
      </c>
    </row>
  </sheetData>
  <mergeCells count="2">
    <mergeCell ref="A43:H43"/>
    <mergeCell ref="A45:H4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The Access Bank UK Limited — Statement of Comprehensive Income</t>
        </is>
      </c>
    </row>
    <row r="2">
      <c r="A2" s="2" t="inlineStr">
        <is>
          <t>£'000, converted from USD, Bank basis - see source note at bottom for FX methodology and rates used.</t>
        </is>
      </c>
    </row>
    <row r="3">
      <c r="A3" s="4" t="inlineStr">
        <is>
          <t>Line item</t>
        </is>
      </c>
      <c r="B3" s="4" t="inlineStr">
        <is>
          <t>FY2025 (£'000, conv. from USD)</t>
        </is>
      </c>
      <c r="C3" s="4" t="inlineStr">
        <is>
          <t>FY2024 (£'000, conv. from USD)</t>
        </is>
      </c>
      <c r="D3" s="4" t="inlineStr">
        <is>
          <t>FY2023 (£'000, conv. from USD)</t>
        </is>
      </c>
      <c r="E3" s="4" t="inlineStr">
        <is>
          <t>FY2022 (£'000, conv. from USD)</t>
        </is>
      </c>
      <c r="F3" s="4" t="inlineStr">
        <is>
          <t>FY2021 (£'000, conv. from USD)</t>
        </is>
      </c>
      <c r="G3" s="4" t="inlineStr">
        <is>
          <t>FY2020 (£'000, conv. from USD)</t>
        </is>
      </c>
      <c r="H3" s="4" t="inlineStr">
        <is>
          <t>FY2019 (£'000, conv. from USD)</t>
        </is>
      </c>
    </row>
    <row r="4">
      <c r="A4" s="5" t="inlineStr">
        <is>
          <t>Operating income</t>
        </is>
      </c>
      <c r="B4" s="6" t="n"/>
      <c r="C4" s="6" t="n"/>
      <c r="D4" s="6" t="n"/>
      <c r="E4" s="6" t="n"/>
      <c r="F4" s="6" t="n"/>
      <c r="G4" s="6" t="n"/>
      <c r="H4" s="6" t="n"/>
    </row>
    <row r="5">
      <c r="A5" s="6" t="inlineStr">
        <is>
          <t>Interest income</t>
        </is>
      </c>
      <c r="B5" s="6" t="n"/>
      <c r="C5" s="6" t="n">
        <v>283516.2</v>
      </c>
      <c r="D5" s="6" t="n">
        <v>220405.3</v>
      </c>
      <c r="E5" s="6" t="n">
        <v>105009.8</v>
      </c>
      <c r="F5" s="6" t="n">
        <v>73510.8</v>
      </c>
      <c r="G5" s="6" t="n">
        <v>76400.89999999999</v>
      </c>
      <c r="H5" s="6" t="n">
        <v>70388.89999999999</v>
      </c>
    </row>
    <row r="6">
      <c r="A6" s="6" t="inlineStr">
        <is>
          <t>Interest income on assets at amortised cost (split out separately from FY2025)</t>
        </is>
      </c>
      <c r="B6" s="6" t="n">
        <v>188230.9</v>
      </c>
      <c r="C6" s="6" t="n"/>
      <c r="D6" s="6" t="n"/>
      <c r="E6" s="6" t="n"/>
      <c r="F6" s="6" t="n"/>
      <c r="G6" s="6" t="n"/>
      <c r="H6" s="6" t="n"/>
    </row>
    <row r="7">
      <c r="A7" s="6" t="inlineStr">
        <is>
          <t>Interest income on assets at fair value (split out separately from FY2025)</t>
        </is>
      </c>
      <c r="B7" s="6" t="n">
        <v>51589.5</v>
      </c>
      <c r="C7" s="6" t="n"/>
      <c r="D7" s="6" t="n"/>
      <c r="E7" s="6" t="n"/>
      <c r="F7" s="6" t="n"/>
      <c r="G7" s="6" t="n"/>
      <c r="H7" s="6" t="n"/>
    </row>
    <row r="8">
      <c r="A8" s="6" t="inlineStr">
        <is>
          <t>Interest expense</t>
        </is>
      </c>
      <c r="B8" s="6" t="n">
        <v>-122956.1</v>
      </c>
      <c r="C8" s="6" t="n">
        <v>-120537.4</v>
      </c>
      <c r="D8" s="6" t="n">
        <v>-80724.7</v>
      </c>
      <c r="E8" s="6" t="n">
        <v>-24532.6</v>
      </c>
      <c r="F8" s="6" t="n">
        <v>-12787.8</v>
      </c>
      <c r="G8" s="6" t="n">
        <v>-19140.9</v>
      </c>
      <c r="H8" s="6" t="n">
        <v>-21853.8</v>
      </c>
    </row>
    <row r="9">
      <c r="A9" s="5" t="inlineStr">
        <is>
          <t>Net interest income</t>
        </is>
      </c>
      <c r="B9" s="5" t="n">
        <v>116864.2</v>
      </c>
      <c r="C9" s="5" t="n">
        <v>162978.8</v>
      </c>
      <c r="D9" s="5" t="n">
        <v>139680.5</v>
      </c>
      <c r="E9" s="5" t="n">
        <v>80477.2</v>
      </c>
      <c r="F9" s="5" t="n">
        <v>60723</v>
      </c>
      <c r="G9" s="5" t="n">
        <v>57260</v>
      </c>
      <c r="H9" s="5" t="n">
        <v>48535.1</v>
      </c>
    </row>
    <row r="10">
      <c r="A10" s="6" t="inlineStr">
        <is>
          <t>Fee and commission income</t>
        </is>
      </c>
      <c r="B10" s="6" t="n">
        <v>34407.6</v>
      </c>
      <c r="C10" s="6" t="n">
        <v>25613.9</v>
      </c>
      <c r="D10" s="6" t="n">
        <v>24611.7</v>
      </c>
      <c r="E10" s="6" t="n">
        <v>24246.4</v>
      </c>
      <c r="F10" s="6" t="n">
        <v>19737.6</v>
      </c>
      <c r="G10" s="6" t="n">
        <v>20833.1</v>
      </c>
      <c r="H10" s="6" t="n">
        <v>17443.9</v>
      </c>
    </row>
    <row r="11">
      <c r="A11" s="6" t="inlineStr">
        <is>
          <t>Fee and commission expense</t>
        </is>
      </c>
      <c r="B11" s="6" t="n">
        <v>-3666.3</v>
      </c>
      <c r="C11" s="6" t="n">
        <v>-2262.2</v>
      </c>
      <c r="D11" s="6" t="n">
        <v>-1448.9</v>
      </c>
      <c r="E11" s="6" t="n">
        <v>-1614.3</v>
      </c>
      <c r="F11" s="6" t="n">
        <v>-1345.9</v>
      </c>
      <c r="G11" s="6" t="n">
        <v>-951.2</v>
      </c>
      <c r="H11" s="6" t="n">
        <v>-185.4</v>
      </c>
    </row>
    <row r="12">
      <c r="A12" s="5" t="inlineStr">
        <is>
          <t>Net fee and commission income</t>
        </is>
      </c>
      <c r="B12" s="5" t="n">
        <v>30741.3</v>
      </c>
      <c r="C12" s="5" t="n">
        <v>23351.7</v>
      </c>
      <c r="D12" s="5" t="n">
        <v>23162.8</v>
      </c>
      <c r="E12" s="5" t="n">
        <v>22632.1</v>
      </c>
      <c r="F12" s="5" t="n">
        <v>18391.7</v>
      </c>
      <c r="G12" s="5" t="n">
        <v>19881.9</v>
      </c>
      <c r="H12" s="5" t="n">
        <v>17258.5</v>
      </c>
    </row>
    <row r="13">
      <c r="A13" s="6" t="inlineStr">
        <is>
          <t>Other income</t>
        </is>
      </c>
      <c r="B13" s="6" t="n">
        <v>22351.2</v>
      </c>
      <c r="C13" s="6" t="n">
        <v>4834.3</v>
      </c>
      <c r="D13" s="6" t="n">
        <v>4056.8</v>
      </c>
      <c r="E13" s="6" t="n">
        <v>3251.4</v>
      </c>
      <c r="F13" s="6" t="n">
        <v>1726.2</v>
      </c>
      <c r="G13" s="6" t="n">
        <v>1406.7</v>
      </c>
      <c r="H13" s="6" t="n">
        <v>1124.1</v>
      </c>
    </row>
    <row r="14">
      <c r="A14" s="6" t="inlineStr">
        <is>
          <t>Other operating income</t>
        </is>
      </c>
      <c r="B14" s="6" t="n"/>
      <c r="C14" s="6" t="n"/>
      <c r="D14" s="6" t="n"/>
      <c r="E14" s="6" t="n"/>
      <c r="F14" s="6" t="n">
        <v>5869.8</v>
      </c>
      <c r="G14" s="6" t="n"/>
      <c r="H14" s="6" t="n"/>
    </row>
    <row r="15">
      <c r="A15" s="5" t="inlineStr">
        <is>
          <t>Total operating income</t>
        </is>
      </c>
      <c r="B15" s="5" t="n">
        <v>169956.8</v>
      </c>
      <c r="C15" s="5" t="n">
        <v>191164.7</v>
      </c>
      <c r="D15" s="5" t="n">
        <v>166900.1</v>
      </c>
      <c r="E15" s="5" t="n"/>
      <c r="F15" s="5" t="n"/>
      <c r="G15" s="5" t="n"/>
      <c r="H15" s="5" t="n">
        <v>66715.39999999999</v>
      </c>
    </row>
    <row r="16">
      <c r="A16" s="6" t="inlineStr">
        <is>
          <t>Expected credit loss (ECL) allowance / Provision for expected credit losses</t>
        </is>
      </c>
      <c r="B16" s="6" t="n">
        <v>-12853.8</v>
      </c>
      <c r="C16" s="6" t="n">
        <v>-8476.6</v>
      </c>
      <c r="D16" s="6" t="n">
        <v>-6616.1</v>
      </c>
      <c r="E16" s="6" t="n">
        <v>-30149.9</v>
      </c>
      <c r="F16" s="6" t="n">
        <v>-23609.8</v>
      </c>
      <c r="G16" s="6" t="n">
        <v>-45677.9</v>
      </c>
      <c r="H16" s="6" t="n">
        <v>-202.2</v>
      </c>
    </row>
    <row r="17">
      <c r="A17" s="5" t="inlineStr">
        <is>
          <t>Net operating income</t>
        </is>
      </c>
      <c r="B17" s="5" t="n">
        <v>157103</v>
      </c>
      <c r="C17" s="5" t="n">
        <v>182688.1</v>
      </c>
      <c r="D17" s="5" t="n">
        <v>160284.1</v>
      </c>
      <c r="E17" s="5" t="n">
        <v>76210.8</v>
      </c>
      <c r="F17" s="5" t="n">
        <v>63100.8</v>
      </c>
      <c r="G17" s="5" t="n">
        <v>32870.6</v>
      </c>
      <c r="H17" s="5" t="n">
        <v>66715.39999999999</v>
      </c>
    </row>
    <row r="18">
      <c r="A18" s="5" t="inlineStr">
        <is>
          <t>Operating expenses</t>
        </is>
      </c>
      <c r="B18" s="6" t="n"/>
      <c r="C18" s="6" t="n"/>
      <c r="D18" s="6" t="n"/>
      <c r="E18" s="6" t="n"/>
      <c r="F18" s="6" t="n"/>
      <c r="G18" s="6" t="n"/>
      <c r="H18" s="6" t="n"/>
    </row>
    <row r="19">
      <c r="A19" s="6" t="inlineStr">
        <is>
          <t>Personnel expenses</t>
        </is>
      </c>
      <c r="B19" s="6" t="n">
        <v>-31379.5</v>
      </c>
      <c r="C19" s="6" t="n">
        <v>-30320.3</v>
      </c>
      <c r="D19" s="6" t="n">
        <v>-25622.8</v>
      </c>
      <c r="E19" s="6" t="n">
        <v>-18183.2</v>
      </c>
      <c r="F19" s="6" t="n">
        <v>-16270.7</v>
      </c>
      <c r="G19" s="6" t="n">
        <v>-13286.2</v>
      </c>
      <c r="H19" s="6" t="n">
        <v>-15289.9</v>
      </c>
    </row>
    <row r="20">
      <c r="A20" s="6" t="inlineStr">
        <is>
          <t>Depreciation and amortisation</t>
        </is>
      </c>
      <c r="B20" s="6" t="n">
        <v>-3149.4</v>
      </c>
      <c r="C20" s="6" t="n">
        <v>-3258.1</v>
      </c>
      <c r="D20" s="6" t="n">
        <v>-2057.3</v>
      </c>
      <c r="E20" s="6" t="n">
        <v>-1850.7</v>
      </c>
      <c r="F20" s="6" t="n">
        <v>-1387.3</v>
      </c>
      <c r="G20" s="6" t="n">
        <v>-1798.7</v>
      </c>
      <c r="H20" s="6" t="n">
        <v>-1380.9</v>
      </c>
    </row>
    <row r="21">
      <c r="A21" s="6" t="inlineStr">
        <is>
          <t>Other expenses</t>
        </is>
      </c>
      <c r="B21" s="6" t="n">
        <v>-17441.1</v>
      </c>
      <c r="C21" s="6" t="n">
        <v>-13459</v>
      </c>
      <c r="D21" s="6" t="n">
        <v>-10785.5</v>
      </c>
      <c r="E21" s="6" t="n">
        <v>-8692.6</v>
      </c>
      <c r="F21" s="6" t="n">
        <v>-7732.1</v>
      </c>
      <c r="G21" s="6" t="n">
        <v>-4676.3</v>
      </c>
      <c r="H21" s="6" t="n">
        <v>-5280.6</v>
      </c>
    </row>
    <row r="22">
      <c r="A22" s="5" t="inlineStr">
        <is>
          <t>Total operating expenses</t>
        </is>
      </c>
      <c r="B22" s="5" t="n">
        <v>-51970</v>
      </c>
      <c r="C22" s="5" t="n">
        <v>-47037.5</v>
      </c>
      <c r="D22" s="5" t="n">
        <v>-38465.6</v>
      </c>
      <c r="E22" s="5" t="n">
        <v>-28726.6</v>
      </c>
      <c r="F22" s="5" t="n">
        <v>-25390.1</v>
      </c>
      <c r="G22" s="5" t="n">
        <v>-19761.1</v>
      </c>
      <c r="H22" s="5" t="n">
        <v>-21951.5</v>
      </c>
    </row>
    <row r="23">
      <c r="A23" s="5" t="inlineStr">
        <is>
          <t>Profit before tax expense</t>
        </is>
      </c>
      <c r="B23" s="5" t="n">
        <v>105133</v>
      </c>
      <c r="C23" s="5" t="n">
        <v>135650.6</v>
      </c>
      <c r="D23" s="5" t="n">
        <v>121818.5</v>
      </c>
      <c r="E23" s="5" t="n">
        <v>47484.2</v>
      </c>
      <c r="F23" s="5" t="n">
        <v>37710.8</v>
      </c>
      <c r="G23" s="5" t="n">
        <v>13109.5</v>
      </c>
      <c r="H23" s="5" t="n">
        <v>44764</v>
      </c>
    </row>
    <row r="24">
      <c r="A24" s="6" t="inlineStr">
        <is>
          <t>Tax expense / Taxation</t>
        </is>
      </c>
      <c r="B24" s="6" t="n">
        <v>-20489.7</v>
      </c>
      <c r="C24" s="6" t="n">
        <v>-35723.5</v>
      </c>
      <c r="D24" s="6" t="n">
        <v>-31596.5</v>
      </c>
      <c r="E24" s="6" t="n">
        <v>-10815.2</v>
      </c>
      <c r="F24" s="6" t="n">
        <v>-8263.799999999999</v>
      </c>
      <c r="G24" s="6" t="n">
        <v>-2589.1</v>
      </c>
      <c r="H24" s="6" t="n">
        <v>-10069.5</v>
      </c>
    </row>
    <row r="25">
      <c r="A25" s="5" t="inlineStr">
        <is>
          <t>Profit after tax expense for the year</t>
        </is>
      </c>
      <c r="B25" s="5" t="n">
        <v>84643.39999999999</v>
      </c>
      <c r="C25" s="5" t="n">
        <v>99927.10000000001</v>
      </c>
      <c r="D25" s="5" t="n">
        <v>90221.89999999999</v>
      </c>
      <c r="E25" s="5" t="n">
        <v>36669.1</v>
      </c>
      <c r="F25" s="5" t="n">
        <v>29447</v>
      </c>
      <c r="G25" s="5" t="n">
        <v>10520.4</v>
      </c>
      <c r="H25" s="5" t="n">
        <v>34694.4</v>
      </c>
    </row>
    <row r="26">
      <c r="A26" s="5" t="inlineStr">
        <is>
          <t>Other comprehensive income/(expense)</t>
        </is>
      </c>
      <c r="B26" s="6" t="n"/>
      <c r="C26" s="6" t="n"/>
      <c r="D26" s="6" t="n"/>
      <c r="E26" s="6" t="n"/>
      <c r="F26" s="6" t="n"/>
      <c r="G26" s="6" t="n"/>
      <c r="H26" s="6" t="n"/>
    </row>
    <row r="27">
      <c r="A27" s="6" t="inlineStr">
        <is>
          <t>Other comprehensive income on investment securities / net profit on FVOCI securities</t>
        </is>
      </c>
      <c r="B27" s="6" t="n">
        <v>-28.8</v>
      </c>
      <c r="C27" s="6" t="n">
        <v>-1032.8</v>
      </c>
      <c r="D27" s="6" t="n">
        <v>1156.4</v>
      </c>
      <c r="E27" s="6" t="n">
        <v>-39.6</v>
      </c>
      <c r="F27" s="6" t="n">
        <v>62.3</v>
      </c>
      <c r="G27" s="6" t="n">
        <v>-188.5</v>
      </c>
      <c r="H27" s="6" t="n">
        <v>171.8</v>
      </c>
    </row>
    <row r="28">
      <c r="A28" s="5" t="inlineStr">
        <is>
          <t>Total comprehensive income for the year, net of tax</t>
        </is>
      </c>
      <c r="B28" s="5" t="n">
        <v>84614.60000000001</v>
      </c>
      <c r="C28" s="5" t="n">
        <v>98894.39999999999</v>
      </c>
      <c r="D28" s="5" t="n">
        <v>91378.3</v>
      </c>
      <c r="E28" s="5" t="n">
        <v>36629.5</v>
      </c>
      <c r="F28" s="5" t="n">
        <v>29509.4</v>
      </c>
      <c r="G28" s="5" t="n">
        <v>10331.9</v>
      </c>
      <c r="H28" s="5" t="n">
        <v>34866.2</v>
      </c>
    </row>
    <row r="30" ht="390" customHeight="1">
      <c r="A30" s="8" t="inlineStr">
        <is>
          <t>Sources - The Access Bank UK Limited's own Statement of Comprehensive Income (Bank column), converted from USD to £ per the FX conversion note on the Cash Flow Statement sheet:
FY2025: Report &amp; Financial Statements 2025, p.24 (Bank 31 December 2025 column) - https://www.theaccessbankukltd.co.uk/wp-content/uploads/2026/06/AccessBank_AR2025_Financials_web.pdf
FY2024 &amp; FY2023: Report &amp; Financial Statements 2024, p.20 - https://www.theaccessbankukltd.co.uk/wp-content/uploads/2025/06/AccessBank_AR2024_Financials-AW.pdf
FY2022 &amp; FY2021: Report and Statutory Accounts 2022, p.16 - https://www.theaccessbankukltd.co.uk/wp-content/uploads/2023/07/ACCESS_BANK_AR22_Accs.pdf
FY2020: Report and Statutory Accounts 2021, p.14 (comparative column) - https://www.theaccessbankukltd.co.uk/wp-content/uploads/2022/06/ACCESS_BANK_AR_2021_Accounts.pdf
FY2019: Report and Statutory Accounts 2019, p.11 - https://www.theaccessbankukltd.co.uk/wp-content/uploads/2020/07/ACCE3269_ACCESS_BANK_AR_2019_WEB.pdf
ENTITY NOTE: The Access Bank UK Limited (Companies House 06365062, FRN 478415) is a UK subsidiary of Access Bank Plc (Nigeria); ultimate parent is Access Holdings Plc (Nigeria). Like Zenith Bank (UK) Limited and United Bank for Africa (UK) Limited elsewhere in this workbook series, it prepares full IFRS financial statements with a genuine Statement of Cash Flows every year - no FRS 101/102 cash-flow exemption applies. The Bank's Own Funds consist entirely of Common Equity Tier 1 (CET1) capital (no AT1 or Tier 2 instruments), so CET1 capital = Tier 1 capital = Total capital in every year shown. The Bank's own website blocks automated page fetches (Cloudflare bot protection on its HTML pages, though direct PDF links work); its 'Our Reports' page was instead read through a text-extraction proxy (2026-09-18) and via multiple Wayback Machine snapshots (2022-2025) to locate every year's Annual Report and Pillar 3 Disclosures PDF. LATEST-EDITION CHECK, 18 SEPTEMBER 2026: the Bank's 'Our Reports' page lists a FY2025 Annual Report and a FY2025 Report &amp; Financial Statements (both uploaded to the Bank's CDN in its 2026/06 folder; the financial statements were signed 23 April 2026 and the PDF was produced 15 June 2026), and this workbook was extended to FY2025 from them on that date. The newest Pillar 3 Disclosures edition on that same page is still the 2023 one - no FY2024 and no FY2025 Pillar 3 edition exists as at 18 September 2026 (see the Pillar 3 sheets' source notes for the evidence). This workbook therefore covers FY2019-FY2025 - 7 years of statements, but Pillar 3 template metrics only to FY2023; FY2024 and FY2025 Pillar 3 cells are filled ONLY from the Annual Report where the Bank itself discloses the figure on the same basis, and are otherwise blank rather than guessed. From FY2024 the Bank's own Statement of Cash Flows is presented on both 'Bank' and 'Group' bases (following the acquisition of an interest in a subsidiary during 2024 - see 'Purchase of share in subsidiary' below); the Bank (entity-level) column is used throughout this workbook for consistency with every earlier year, when Bank and Group were identical since no subsidiary existed. THAT CHOICE MATTERS MUCH MORE FROM FY2025: the Group acquired control of AfrAsia Bank Limited (Mauritius) during 2025 and consolidated it for the first time, so Group total assets ($11,617.1m) are now more than double the Bank's ($5,146.0m). Every FY2025 figure in this workbook is the BANK column, on the same basis as FY2019-FY2024; no Group figure is mixed in.
UNIT PRECISION CHANGES AT FY2025: the FY2019-FY2024 editions print the primary statements in whole US dollars and were transcribed at that precision; the FY2025 edition prints them in $'000. FY2025 source figures below are therefore written as whole dollars with three trailing zeros - that is the precision the Bank published, not a rounding applied here.
FX CONVERSION NOTE: The Access Bank UK Limited reports in US Dollars. This workbook converts every $ amount to £ for consistency with the rest of this series, following the same methodology established for SMBC Bank International plc, Zenith Bank (UK) Limited and United Bank for Africa (UK) Limited: point-in-time/balance figures (capital, RWA, leverage exposure, HQLA, cash balances) use the Bank of England GBP/USD SPOT rate as at that fiscal year-end (31 December); flow figures (every cash flow statement line item) use the AVERAGE of Bank of England rates over that calendar year - both via poundsterlinglive.com's published Bank of England archive. Rates used (£1 = $X): FY2020 spot 1.3661 / average 1.2837; FY2021 spot 1.3521 / average 1.3752; FY2022 spot 1.2097 / average 1.2362; FY2023 spot 1.2732 / average 1.2439; FY2024 spot 1.2515 / average 1.2782 - identical to the FY2021-FY2024 rates already used for Zenith Bank UK and UBA UK, since all average 1.2782; FY2025 spot 1.3448 / average 1.3193 (the same FY2025 pair already used in build_zenith.py); FY2019 spot 1.3210 / average 1.2767 (Bank of England series XUDLUSS, 31 December 2019; its published calendar-year GBP/USD average). All % ratios (CET1/Tier 1/Total Capital/Leverage/LCR/NSFR ratios) are shown EXACTLY as reported in USD and were NOT converted - a ratio is dimensionless and currency-invariant. Because stocks and flows are converted at different rates, the cash flow statement includes an explicit 'Effect of GBP/USD translation' reconciling line (FY2021-FY2024 only, computed programmatically from the actual converted figures) so opening + all flows + this line = closing exactly in £ terms for those years - this line is purely an artefact of £ translation and has no bearing on the Bank's underlying USD results. This conversion was not explicitly requested for this bank - applied for consistency with the rest of the series, following the same call already confirmed for Zenith Bank UK and UBA UK; flag if £'000 rather than the Bank's native US$'000 presentation is not what's wanted here.</t>
        </is>
      </c>
    </row>
    <row r="32" ht="260" customHeight="1">
      <c r="A32" s="8" t="inlineStr">
        <is>
          <t>(continued)
PRESENTATION NOTE: The Bank column (entity-level) is used throughout for consistency with the Cash Flow Statement sheet - Bank and Group are identical for FY2020-FY2023 (no subsidiary existed) and differ only immaterially for FY2024 (following the Access Bank Malta investment - see Investment in Subsidiary note). The Balance Sheet's line-item structure changed between report vintages: FY2024/FY2023 (AR2024) present 'Money market placements', 'Investment in subsidiary', 'Deferred tax liability' and a 'Prepaid corporation tax' asset as separate lines not present in earlier years; FY2022 (AR2022)/FY2021/FY2020 group these differently (e.g. a single 'Cash at bank' line, no separate money-market-placements or investment-securities split visible pre-FY2021 in the same granularity). Each year's own as-reported labels/granularity are preserved rather than forced into a common shape - blank cells indicate that year's report did not disclose that specific line. The P&amp;L's structure also changed: FY2024/FY2023 use a 'Total operating income' / 'Net operating income' (after ECL) structure; FY2022/FY2021/FY2020 use a similar shape but without the 'Total operating income' subtotal line (ECL is deducted one step later, after 'Other income', directly into 'Net operating income').
FY2025 CHANGED THE STRUCTURE AGAIN, and the new/changed lines are carried as their own rows rather than folded into the older ones:
- Balance Sheet: 'Other financial assets' / 'Other non-financial assets' and 'Other financial liabilities' / 'Other non-financial liabilities' are split onto separate faces of the statement from FY2025; FY2019-FY2024 print a single combined line each, so the combined rows are blank for FY2025 and the split rows blank for every earlier year. 'Convertible notes' is a new equity component, first issued in 2025 ($295.0m). The FY2025 edition also prints a 'Deferred tax asset' line and (for the Bank) a 'Corporation tax liability' line as a dash in both its own and its comparative column - nil in both years - so neither is carried as a row here; that is the Bank printing a nil, not a figure this workbook failed to find.
- P&amp;L: interest income is split from FY2025 into 'on assets at amortised cost' and 'on assets at fair value' (FY2019-FY2024 print one 'Interest income' line), and a 'Gain on bargain purchase on business combination' / 'Total income' pair appears - nil for the Bank, $48.1m for the Group.
- Cash Flow: the FY2025 edition moves to an 'Operating cash flows before movements in working capital' presentation that strips interest income and interest expense out of profit before tax and then shows 'Interest received' and 'Interest paid' as their own lines, and it RESTATES the FY2024 comparative onto that basis. Per this project's standing rule each year is taken from its OWN edition, so FY2024 here remains the AR2024 presentation and FY2025 the AR2025 one; the two years' operating-activity line items are therefore not like-for-like, though the Bank states the restatement 'relate[s] solely to the classification of cash flows and ha[s] no impact on total net cash flows'. The FY2025 edition also prints two intermediate subtotals inside operating activities ('Operating cash flows before movements in working capital', $(5,925)k, and an unlabelled working-capital subtotal, $(1,006,230)k). Neither is carried as a row here - every operating line item above the activity total IS carried, so both subtotals are recoverable from the sheet, and omitting them keeps the section summing straight through to 'Net cash from/(used in) operating activities' as it does for every other year.</t>
        </is>
      </c>
    </row>
  </sheetData>
  <mergeCells count="2">
    <mergeCell ref="A32:H32"/>
    <mergeCell ref="A30:H3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7"/>
  <sheetViews>
    <sheetView workbookViewId="0">
      <pane ySplit="4" topLeftCell="A5" activePane="bottomLeft" state="frozen"/>
      <selection pane="bottomLeft"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The Access Bank UK Limited — Statement of Changes in Equity</t>
        </is>
      </c>
    </row>
    <row r="2">
      <c r="A2" s="2" t="inlineStr">
        <is>
          <t>£'000, converted from USD, Bank basis - chronological, oldest to newest. See source note for FX methodology/caveat.</t>
        </is>
      </c>
    </row>
    <row r="3">
      <c r="A3" s="4" t="inlineStr">
        <is>
          <t>Movement</t>
        </is>
      </c>
      <c r="B3" s="4" t="inlineStr">
        <is>
          <t>Share capital</t>
        </is>
      </c>
      <c r="C3" s="4" t="inlineStr">
        <is>
          <t>Retained earnings</t>
        </is>
      </c>
      <c r="D3" s="4" t="inlineStr">
        <is>
          <t>Convertible notes</t>
        </is>
      </c>
      <c r="E3" s="4" t="inlineStr">
        <is>
          <t>Other reserves</t>
        </is>
      </c>
      <c r="F3" s="4" t="inlineStr">
        <is>
          <t>Currency translation reserve</t>
        </is>
      </c>
      <c r="G3" s="4" t="inlineStr">
        <is>
          <t>Total equity</t>
        </is>
      </c>
    </row>
    <row r="4">
      <c r="A4" s="5" t="inlineStr">
        <is>
          <t>Balance as at 1 January 2019</t>
        </is>
      </c>
      <c r="B4" s="5" t="n"/>
      <c r="C4" s="5" t="n"/>
      <c r="D4" s="5" t="n"/>
      <c r="E4" s="5" t="n"/>
      <c r="F4" s="5" t="n"/>
      <c r="G4" s="5" t="n"/>
    </row>
    <row r="5">
      <c r="A5" s="6" t="inlineStr">
        <is>
          <t>Profit after tax for the year (2019)</t>
        </is>
      </c>
      <c r="B5" s="6" t="n">
        <v>0</v>
      </c>
      <c r="C5" s="6" t="n">
        <v>34694.4</v>
      </c>
      <c r="D5" s="6" t="n"/>
      <c r="E5" s="6" t="n">
        <v>0</v>
      </c>
      <c r="F5" s="6" t="n">
        <v>0</v>
      </c>
      <c r="G5" s="6" t="n">
        <v>34694.4</v>
      </c>
    </row>
    <row r="6">
      <c r="A6" s="6" t="inlineStr">
        <is>
          <t>Other comprehensive income for the year (2019)</t>
        </is>
      </c>
      <c r="B6" s="6" t="n">
        <v>0</v>
      </c>
      <c r="C6" s="6" t="n">
        <v>0</v>
      </c>
      <c r="D6" s="6" t="n"/>
      <c r="E6" s="6" t="n">
        <v>171.8</v>
      </c>
      <c r="F6" s="6" t="n">
        <v>0</v>
      </c>
      <c r="G6" s="6" t="n">
        <v>171.8</v>
      </c>
    </row>
    <row r="7">
      <c r="A7" s="6" t="inlineStr">
        <is>
          <t>Translation impact on SOCI (2019)</t>
        </is>
      </c>
      <c r="B7" s="6" t="n">
        <v>0</v>
      </c>
      <c r="C7" s="6" t="n">
        <v>0</v>
      </c>
      <c r="D7" s="6" t="n"/>
      <c r="E7" s="6" t="n">
        <v>0</v>
      </c>
      <c r="F7" s="6" t="n">
        <v>-940.7</v>
      </c>
      <c r="G7" s="6" t="n">
        <v>-940.7</v>
      </c>
    </row>
    <row r="8">
      <c r="A8" s="5" t="inlineStr">
        <is>
          <t>Total comprehensive income for the year (2019)</t>
        </is>
      </c>
      <c r="B8" s="5" t="n">
        <v>0</v>
      </c>
      <c r="C8" s="5" t="n">
        <v>34694.4</v>
      </c>
      <c r="D8" s="5" t="n"/>
      <c r="E8" s="5" t="n">
        <v>171.8</v>
      </c>
      <c r="F8" s="5" t="n">
        <v>-940.7</v>
      </c>
      <c r="G8" s="5" t="n">
        <v>33925.5</v>
      </c>
    </row>
    <row r="9">
      <c r="A9" s="6" t="inlineStr">
        <is>
          <t>Proceeds from shares issued (2019)</t>
        </is>
      </c>
      <c r="B9" s="6" t="n">
        <v>26239.7</v>
      </c>
      <c r="C9" s="6" t="n">
        <v>0</v>
      </c>
      <c r="D9" s="6" t="n"/>
      <c r="E9" s="6" t="n">
        <v>0</v>
      </c>
      <c r="F9" s="6" t="n">
        <v>0</v>
      </c>
      <c r="G9" s="6" t="n">
        <v>26239.7</v>
      </c>
    </row>
    <row r="10">
      <c r="A10" s="6" t="inlineStr">
        <is>
          <t>Translation impact on share capital (2019)</t>
        </is>
      </c>
      <c r="B10" s="6" t="n">
        <v>-2172.6</v>
      </c>
      <c r="C10" s="6" t="n">
        <v>0</v>
      </c>
      <c r="D10" s="6" t="n"/>
      <c r="E10" s="6" t="n">
        <v>0</v>
      </c>
      <c r="F10" s="6" t="n">
        <v>0</v>
      </c>
      <c r="G10" s="6" t="n">
        <v>-2172.6</v>
      </c>
    </row>
    <row r="11">
      <c r="A11" s="5" t="inlineStr">
        <is>
          <t>Balance as at 31 December 2019</t>
        </is>
      </c>
      <c r="B11" s="5" t="n">
        <v>156987.3</v>
      </c>
      <c r="C11" s="5" t="n">
        <v>94315.5</v>
      </c>
      <c r="D11" s="5" t="n"/>
      <c r="E11" s="5" t="n">
        <v>0.7</v>
      </c>
      <c r="F11" s="5" t="n">
        <v>-3795.3</v>
      </c>
      <c r="G11" s="5" t="n">
        <v>247508.2</v>
      </c>
    </row>
    <row r="12">
      <c r="A12" s="5" t="inlineStr">
        <is>
          <t>Balance as at 1 January 2020</t>
        </is>
      </c>
      <c r="B12" s="5" t="n">
        <v>156987.3</v>
      </c>
      <c r="C12" s="5" t="n">
        <v>94315.5</v>
      </c>
      <c r="D12" s="5" t="n"/>
      <c r="E12" s="5" t="n">
        <v>0.7</v>
      </c>
      <c r="F12" s="5" t="n">
        <v>-3795.3</v>
      </c>
      <c r="G12" s="5" t="n">
        <v>247508.2</v>
      </c>
    </row>
    <row r="13">
      <c r="A13" s="6" t="inlineStr">
        <is>
          <t>Profit after tax for the year (2020)</t>
        </is>
      </c>
      <c r="B13" s="6" t="n">
        <v>0</v>
      </c>
      <c r="C13" s="6" t="n">
        <v>10520.4</v>
      </c>
      <c r="D13" s="6" t="n"/>
      <c r="E13" s="6" t="n">
        <v>0</v>
      </c>
      <c r="F13" s="6" t="n">
        <v>0</v>
      </c>
      <c r="G13" s="6" t="n">
        <v>10520.4</v>
      </c>
    </row>
    <row r="14">
      <c r="A14" s="6" t="inlineStr">
        <is>
          <t>Other comprehensive expense for the year (2020)</t>
        </is>
      </c>
      <c r="B14" s="6" t="n">
        <v>0</v>
      </c>
      <c r="C14" s="6" t="n">
        <v>0</v>
      </c>
      <c r="D14" s="6" t="n"/>
      <c r="E14" s="6" t="n">
        <v>-188.5</v>
      </c>
      <c r="F14" s="6" t="n">
        <v>0</v>
      </c>
      <c r="G14" s="6" t="n">
        <v>-188.5</v>
      </c>
    </row>
    <row r="15">
      <c r="A15" s="5" t="inlineStr">
        <is>
          <t>Total comprehensive income for the year (2020)</t>
        </is>
      </c>
      <c r="B15" s="5" t="n">
        <v>0</v>
      </c>
      <c r="C15" s="5" t="n">
        <v>10520.4</v>
      </c>
      <c r="D15" s="5" t="n"/>
      <c r="E15" s="5" t="n">
        <v>-188.5</v>
      </c>
      <c r="F15" s="5" t="n">
        <v>0</v>
      </c>
      <c r="G15" s="5" t="n">
        <v>10331.9</v>
      </c>
    </row>
    <row r="16">
      <c r="A16" s="5" t="inlineStr">
        <is>
          <t>Balance as at 31 December 2020</t>
        </is>
      </c>
      <c r="B16" s="5" t="n">
        <v>151804.6</v>
      </c>
      <c r="C16" s="5" t="n">
        <v>101087.6</v>
      </c>
      <c r="D16" s="5" t="n"/>
      <c r="E16" s="5" t="n">
        <v>-176.4</v>
      </c>
      <c r="F16" s="5" t="n">
        <v>-3670</v>
      </c>
      <c r="G16" s="5" t="n">
        <v>249045.8</v>
      </c>
    </row>
    <row r="17">
      <c r="A17" s="6" t="inlineStr">
        <is>
          <t>Profit after tax for the year (2021)</t>
        </is>
      </c>
      <c r="B17" s="6" t="n">
        <v>0</v>
      </c>
      <c r="C17" s="6" t="n">
        <v>29447</v>
      </c>
      <c r="D17" s="6" t="n"/>
      <c r="E17" s="6" t="n">
        <v>0</v>
      </c>
      <c r="F17" s="6" t="n">
        <v>0</v>
      </c>
      <c r="G17" s="6" t="n">
        <v>29447</v>
      </c>
    </row>
    <row r="18">
      <c r="A18" s="6" t="inlineStr">
        <is>
          <t>Other comprehensive income for the year (2021)</t>
        </is>
      </c>
      <c r="B18" s="6" t="n">
        <v>0</v>
      </c>
      <c r="C18" s="6" t="n">
        <v>0</v>
      </c>
      <c r="D18" s="6" t="n"/>
      <c r="E18" s="6" t="n">
        <v>62.3</v>
      </c>
      <c r="F18" s="6" t="n">
        <v>0</v>
      </c>
      <c r="G18" s="6" t="n">
        <v>62.3</v>
      </c>
    </row>
    <row r="19">
      <c r="A19" s="5" t="inlineStr">
        <is>
          <t>Total comprehensive income for the year (2021)</t>
        </is>
      </c>
      <c r="B19" s="5" t="n">
        <v>0</v>
      </c>
      <c r="C19" s="5" t="n">
        <v>29447</v>
      </c>
      <c r="D19" s="5" t="n"/>
      <c r="E19" s="5" t="n">
        <v>62.3</v>
      </c>
      <c r="F19" s="5" t="n">
        <v>0</v>
      </c>
      <c r="G19" s="5" t="n">
        <v>29509.4</v>
      </c>
    </row>
    <row r="20">
      <c r="A20" s="5" t="inlineStr">
        <is>
          <t>Balance as at 31 December 2021</t>
        </is>
      </c>
      <c r="B20" s="5" t="n">
        <v>153376.4</v>
      </c>
      <c r="C20" s="5" t="n">
        <v>132084.4</v>
      </c>
      <c r="D20" s="5" t="n"/>
      <c r="E20" s="5" t="n">
        <v>-114.8</v>
      </c>
      <c r="F20" s="5" t="n">
        <v>-3708</v>
      </c>
      <c r="G20" s="5" t="n">
        <v>281638</v>
      </c>
    </row>
    <row r="21">
      <c r="A21" s="6" t="inlineStr">
        <is>
          <t>Profit after tax for the year (2022)</t>
        </is>
      </c>
      <c r="B21" s="6" t="n">
        <v>0</v>
      </c>
      <c r="C21" s="6" t="n">
        <v>36669.1</v>
      </c>
      <c r="D21" s="6" t="n"/>
      <c r="E21" s="6" t="n">
        <v>0</v>
      </c>
      <c r="F21" s="6" t="n">
        <v>0</v>
      </c>
      <c r="G21" s="6" t="n">
        <v>36669.1</v>
      </c>
    </row>
    <row r="22">
      <c r="A22" s="6" t="inlineStr">
        <is>
          <t>Other comprehensive expense for the year (2022)</t>
        </is>
      </c>
      <c r="B22" s="6" t="n">
        <v>0</v>
      </c>
      <c r="C22" s="6" t="n">
        <v>0</v>
      </c>
      <c r="D22" s="6" t="n"/>
      <c r="E22" s="6" t="n">
        <v>-39.6</v>
      </c>
      <c r="F22" s="6" t="n">
        <v>0</v>
      </c>
      <c r="G22" s="6" t="n">
        <v>-39.6</v>
      </c>
    </row>
    <row r="23">
      <c r="A23" s="5" t="inlineStr">
        <is>
          <t>Total comprehensive income for the year (2022)</t>
        </is>
      </c>
      <c r="B23" s="5" t="n">
        <v>0</v>
      </c>
      <c r="C23" s="5" t="n">
        <v>36669.1</v>
      </c>
      <c r="D23" s="5" t="n"/>
      <c r="E23" s="5" t="n">
        <v>-39.6</v>
      </c>
      <c r="F23" s="5" t="n">
        <v>0</v>
      </c>
      <c r="G23" s="5" t="n">
        <v>36629.5</v>
      </c>
    </row>
    <row r="24">
      <c r="A24" s="6" t="inlineStr">
        <is>
          <t>Proceeds from shares issued (2022)</t>
        </is>
      </c>
      <c r="B24" s="6" t="n">
        <v>52580.5</v>
      </c>
      <c r="C24" s="6" t="n">
        <v>0</v>
      </c>
      <c r="D24" s="6" t="n"/>
      <c r="E24" s="6" t="n">
        <v>0</v>
      </c>
      <c r="F24" s="6" t="n">
        <v>0</v>
      </c>
      <c r="G24" s="6" t="n">
        <v>52580.5</v>
      </c>
    </row>
    <row r="25">
      <c r="A25" s="5" t="inlineStr">
        <is>
          <t>Balance as at 31 December 2022</t>
        </is>
      </c>
      <c r="B25" s="5" t="n">
        <v>225163.5</v>
      </c>
      <c r="C25" s="5" t="n">
        <v>185105.1</v>
      </c>
      <c r="D25" s="5" t="n"/>
      <c r="E25" s="5" t="n">
        <v>-168.8</v>
      </c>
      <c r="F25" s="5" t="n">
        <v>-4144.5</v>
      </c>
      <c r="G25" s="5" t="n">
        <v>405955.2</v>
      </c>
    </row>
    <row r="26">
      <c r="A26" s="6" t="inlineStr">
        <is>
          <t>Profit after tax for the year (2023)</t>
        </is>
      </c>
      <c r="B26" s="6" t="n">
        <v>0</v>
      </c>
      <c r="C26" s="6" t="n">
        <v>90221.89999999999</v>
      </c>
      <c r="D26" s="6" t="n"/>
      <c r="E26" s="6" t="n">
        <v>0</v>
      </c>
      <c r="F26" s="6" t="n">
        <v>0</v>
      </c>
      <c r="G26" s="6" t="n">
        <v>90221.89999999999</v>
      </c>
    </row>
    <row r="27">
      <c r="A27" s="6" t="inlineStr">
        <is>
          <t>Other comprehensive income for the year (2023)</t>
        </is>
      </c>
      <c r="B27" s="6" t="n">
        <v>0</v>
      </c>
      <c r="C27" s="6" t="n">
        <v>0</v>
      </c>
      <c r="D27" s="6" t="n"/>
      <c r="E27" s="6" t="n">
        <v>1156.4</v>
      </c>
      <c r="F27" s="6" t="n">
        <v>0</v>
      </c>
      <c r="G27" s="6" t="n">
        <v>1156.4</v>
      </c>
    </row>
    <row r="28">
      <c r="A28" s="5" t="inlineStr">
        <is>
          <t>Total comprehensive income for the year (2023)</t>
        </is>
      </c>
      <c r="B28" s="5" t="n">
        <v>0</v>
      </c>
      <c r="C28" s="5" t="n">
        <v>90221.89999999999</v>
      </c>
      <c r="D28" s="5" t="n"/>
      <c r="E28" s="5" t="n">
        <v>1156.4</v>
      </c>
      <c r="F28" s="5" t="n">
        <v>0</v>
      </c>
      <c r="G28" s="5" t="n">
        <v>91378.3</v>
      </c>
    </row>
    <row r="29">
      <c r="A29" s="6" t="inlineStr">
        <is>
          <t>Proceeds from shares issued (2023)</t>
        </is>
      </c>
      <c r="B29" s="6" t="n">
        <v>80392.3</v>
      </c>
      <c r="C29" s="6" t="n">
        <v>0</v>
      </c>
      <c r="D29" s="6" t="n"/>
      <c r="E29" s="6" t="n">
        <v>0</v>
      </c>
      <c r="F29" s="6" t="n">
        <v>0</v>
      </c>
      <c r="G29" s="6" t="n">
        <v>80392.3</v>
      </c>
    </row>
    <row r="30">
      <c r="A30" s="6" t="inlineStr">
        <is>
          <t>Dividends declared (2023)</t>
        </is>
      </c>
      <c r="B30" s="6" t="n">
        <v>0</v>
      </c>
      <c r="C30" s="6" t="n">
        <v>-18044.4</v>
      </c>
      <c r="D30" s="6" t="n"/>
      <c r="E30" s="6" t="n">
        <v>0</v>
      </c>
      <c r="F30" s="6" t="n">
        <v>0</v>
      </c>
      <c r="G30" s="6" t="n">
        <v>-18044.4</v>
      </c>
    </row>
    <row r="31">
      <c r="A31" s="5" t="inlineStr">
        <is>
          <t>Balance as at 31 December 2023</t>
        </is>
      </c>
      <c r="B31" s="5" t="n">
        <v>292475.8</v>
      </c>
      <c r="C31" s="5" t="n">
        <v>246389.6</v>
      </c>
      <c r="D31" s="5" t="n"/>
      <c r="E31" s="5" t="n">
        <v>969.4</v>
      </c>
      <c r="F31" s="5" t="n">
        <v>-3937.8</v>
      </c>
      <c r="G31" s="5" t="n">
        <v>535897.1</v>
      </c>
    </row>
    <row r="32">
      <c r="A32" s="6" t="inlineStr">
        <is>
          <t>Profit after tax for the year (2024)</t>
        </is>
      </c>
      <c r="B32" s="6" t="n">
        <v>0</v>
      </c>
      <c r="C32" s="6" t="n">
        <v>99927.10000000001</v>
      </c>
      <c r="D32" s="6" t="n"/>
      <c r="E32" s="6" t="n">
        <v>0</v>
      </c>
      <c r="F32" s="6" t="n">
        <v>0</v>
      </c>
      <c r="G32" s="6" t="n">
        <v>99927.10000000001</v>
      </c>
    </row>
    <row r="33">
      <c r="A33" s="6" t="inlineStr">
        <is>
          <t>Other comprehensive expense for the year (2024)</t>
        </is>
      </c>
      <c r="B33" s="6" t="n">
        <v>0</v>
      </c>
      <c r="C33" s="6" t="n">
        <v>0</v>
      </c>
      <c r="D33" s="6" t="n"/>
      <c r="E33" s="6" t="n">
        <v>-1032.8</v>
      </c>
      <c r="F33" s="6" t="n">
        <v>0</v>
      </c>
      <c r="G33" s="6" t="n">
        <v>-1032.8</v>
      </c>
    </row>
    <row r="34">
      <c r="A34" s="5" t="inlineStr">
        <is>
          <t>Total comprehensive income for the year (2024)</t>
        </is>
      </c>
      <c r="B34" s="5" t="n">
        <v>0</v>
      </c>
      <c r="C34" s="5" t="n">
        <v>99927.10000000001</v>
      </c>
      <c r="D34" s="5" t="n"/>
      <c r="E34" s="5" t="n">
        <v>-1032.8</v>
      </c>
      <c r="F34" s="5" t="n">
        <v>0</v>
      </c>
      <c r="G34" s="5" t="n">
        <v>98894.39999999999</v>
      </c>
    </row>
    <row r="35">
      <c r="A35" s="6" t="inlineStr">
        <is>
          <t>Dividends declared (2024)</t>
        </is>
      </c>
      <c r="B35" s="6" t="n">
        <v>0</v>
      </c>
      <c r="C35" s="6" t="n">
        <v>-18624.9</v>
      </c>
      <c r="D35" s="6" t="n"/>
      <c r="E35" s="6" t="n">
        <v>0</v>
      </c>
      <c r="F35" s="6" t="n">
        <v>0</v>
      </c>
      <c r="G35" s="6" t="n">
        <v>-18624.9</v>
      </c>
    </row>
    <row r="36">
      <c r="A36" s="5" t="inlineStr">
        <is>
          <t>Balance as at 31 December 2024</t>
        </is>
      </c>
      <c r="B36" s="5" t="n">
        <v>297547.1</v>
      </c>
      <c r="C36" s="5" t="n">
        <v>333698.6</v>
      </c>
      <c r="D36" s="5" t="n"/>
      <c r="E36" s="5" t="n">
        <v>-68.59999999999999</v>
      </c>
      <c r="F36" s="5" t="n">
        <v>-4006</v>
      </c>
      <c r="G36" s="5" t="n">
        <v>627171.1</v>
      </c>
    </row>
    <row r="37">
      <c r="A37" s="6" t="inlineStr">
        <is>
          <t>Profit after tax for the year (2025)</t>
        </is>
      </c>
      <c r="B37" s="6" t="n">
        <v>0</v>
      </c>
      <c r="C37" s="6" t="n">
        <v>84643.39999999999</v>
      </c>
      <c r="D37" s="6" t="n">
        <v>0</v>
      </c>
      <c r="E37" s="6" t="n">
        <v>0</v>
      </c>
      <c r="F37" s="6" t="n">
        <v>0</v>
      </c>
      <c r="G37" s="6" t="n">
        <v>84643.39999999999</v>
      </c>
    </row>
    <row r="38">
      <c r="A38" s="6" t="inlineStr">
        <is>
          <t>Other comprehensive expense for the year (2025)</t>
        </is>
      </c>
      <c r="B38" s="6" t="n">
        <v>0</v>
      </c>
      <c r="C38" s="6" t="n">
        <v>0</v>
      </c>
      <c r="D38" s="6" t="n">
        <v>0</v>
      </c>
      <c r="E38" s="6" t="n">
        <v>-28.8</v>
      </c>
      <c r="F38" s="6" t="n">
        <v>0</v>
      </c>
      <c r="G38" s="6" t="n">
        <v>-28.8</v>
      </c>
    </row>
    <row r="39">
      <c r="A39" s="5" t="inlineStr">
        <is>
          <t>Total comprehensive income for the year (2025)</t>
        </is>
      </c>
      <c r="B39" s="5" t="n">
        <v>0</v>
      </c>
      <c r="C39" s="5" t="n">
        <v>84643.39999999999</v>
      </c>
      <c r="D39" s="5" t="n">
        <v>0</v>
      </c>
      <c r="E39" s="5" t="n">
        <v>-28.8</v>
      </c>
      <c r="F39" s="5" t="n">
        <v>0</v>
      </c>
      <c r="G39" s="5" t="n">
        <v>84614.60000000001</v>
      </c>
    </row>
    <row r="40">
      <c r="A40" s="6" t="inlineStr">
        <is>
          <t>Convertible notes issued (2025)</t>
        </is>
      </c>
      <c r="B40" s="6" t="n">
        <v>0</v>
      </c>
      <c r="C40" s="6" t="n">
        <v>0</v>
      </c>
      <c r="D40" s="6" t="n">
        <v>223603.4</v>
      </c>
      <c r="E40" s="6" t="n">
        <v>0</v>
      </c>
      <c r="F40" s="6" t="n">
        <v>0</v>
      </c>
      <c r="G40" s="6" t="n">
        <v>223603.4</v>
      </c>
    </row>
    <row r="41">
      <c r="A41" s="6" t="inlineStr">
        <is>
          <t>Dividends declared (2025)</t>
        </is>
      </c>
      <c r="B41" s="6" t="n">
        <v>0</v>
      </c>
      <c r="C41" s="6" t="n">
        <v>-23663.3</v>
      </c>
      <c r="D41" s="6" t="n">
        <v>0</v>
      </c>
      <c r="E41" s="6" t="n">
        <v>0</v>
      </c>
      <c r="F41" s="6" t="n">
        <v>0</v>
      </c>
      <c r="G41" s="6" t="n">
        <v>-23663.3</v>
      </c>
    </row>
    <row r="42">
      <c r="A42" s="6" t="inlineStr">
        <is>
          <t>Interest paid on convertible notes (2025)</t>
        </is>
      </c>
      <c r="B42" s="6" t="n">
        <v>0</v>
      </c>
      <c r="C42" s="6" t="n">
        <v>-9751.4</v>
      </c>
      <c r="D42" s="6" t="n">
        <v>0</v>
      </c>
      <c r="E42" s="6" t="n">
        <v>0</v>
      </c>
      <c r="F42" s="6" t="n">
        <v>0</v>
      </c>
      <c r="G42" s="6" t="n">
        <v>-9751.4</v>
      </c>
    </row>
    <row r="43">
      <c r="A43" s="5" t="inlineStr">
        <is>
          <t>Balance as at 31 December 2025</t>
        </is>
      </c>
      <c r="B43" s="5" t="n">
        <v>276903.6</v>
      </c>
      <c r="C43" s="5" t="n">
        <v>360804.6</v>
      </c>
      <c r="D43" s="5" t="n">
        <v>219363.5</v>
      </c>
      <c r="E43" s="5" t="n">
        <v>-92.2</v>
      </c>
      <c r="F43" s="5" t="n">
        <v>-3728.4</v>
      </c>
      <c r="G43" s="5" t="n">
        <v>853251</v>
      </c>
    </row>
    <row r="45" ht="325" customHeight="1">
      <c r="A45" s="8" t="inlineStr">
        <is>
          <t>Sources - The Access Bank UK Limited's own Statement of Changes in Equity (Bank basis), converted from USD to £ (Balance rows at that date's BoE spot rate; movement rows at that calendar year's BoE average rate - same FX methodology as the Cash Flow Statement sheet):
2025 movements: Report &amp; Financial Statements 2025, p.26 (Bank block, year ended 31 December 2025) - https://www.theaccessbankukltd.co.uk/wp-content/uploads/2026/06/AccessBank_AR2025_Financials_web.pdf
2024 &amp; 2023 movements: Report &amp; Financial Statements 2024, p.22 - https://www.theaccessbankukltd.co.uk/wp-content/uploads/2025/06/AccessBank_AR2024_Financials-AW.pdf
2022 &amp; 2021 movements: Report and Statutory Accounts 2022, p.18 - https://www.theaccessbankukltd.co.uk/wp-content/uploads/2023/07/ACCESS_BANK_AR22_Accs.pdf
2020 movements: Report and Statutory Accounts 2021, p.16 (comparative column) - https://www.theaccessbankukltd.co.uk/wp-content/uploads/2022/06/ACCESS_BANK_AR_2021_Accounts.pdf
2019 movements: Report and Statutory Accounts 2019, p.13 - https://www.theaccessbankukltd.co.uk/wp-content/uploads/2020/07/ACCE3269_ACCESS_BANK_AR_2019_WEB.pdf
ENTITY NOTE: The Access Bank UK Limited (Companies House 06365062, FRN 478415) is a UK subsidiary of Access Bank Plc (Nigeria); ultimate parent is Access Holdings Plc (Nigeria). Like Zenith Bank (UK) Limited and United Bank for Africa (UK) Limited elsewhere in this workbook series, it prepares full IFRS financial statements with a genuine Statement of Cash Flows every year - no FRS 101/102 cash-flow exemption applies. The Bank's Own Funds consist entirely of Common Equity Tier 1 (CET1) capital (no AT1 or Tier 2 instruments), so CET1 capital = Tier 1 capital = Total capital in every year shown. The Bank's own website blocks automated page fetches (Cloudflare bot protection on its HTML pages, though direct PDF links work); its 'Our Reports' page was instead read through a text-extraction proxy (2026-09-18) and via multiple Wayback Machine snapshots (2022-2025) to locate every year's Annual Report and Pillar 3 Disclosures PDF. LATEST-EDITION CHECK, 18 SEPTEMBER 2026: the Bank's 'Our Reports' page lists a FY2025 Annual Report and a FY2025 Report &amp; Financial Statements (both uploaded to the Bank's CDN in its 2026/06 folder; the financial statements were signed 23 April 2026 and the PDF was produced 15 June 2026), and this workbook was extended to FY2025 from them on that date. The newest Pillar 3 Disclosures edition on that same page is still the 2023 one - no FY2024 and no FY2025 Pillar 3 edition exists as at 18 September 2026 (see the Pillar 3 sheets' source notes for the evidence). This workbook therefore covers FY2019-FY2025 - 7 years of statements, but Pillar 3 template metrics only to FY2023; FY2024 and FY2025 Pillar 3 cells are filled ONLY from the Annual Report where the Bank itself discloses the figure on the same basis, and are otherwise blank rather than guessed. From FY2024 the Bank's own Statement of Cash Flows is presented on both 'Bank' and 'Group' bases (following the acquisition of an interest in a subsidiary during 2024 - see 'Purchase of share in subsidiary' below); the Bank (entity-level) column is used throughout this workbook for consistency with every earlier year, when Bank and Group were identical since no subsidiary existed. THAT CHOICE MATTERS MUCH MORE FROM FY2025: the Group acquired control of AfrAsia Bank Limited (Mauritius) during 2025 and consolidated it for the first time, so Group total assets ($11,617.1m) are now more than double the Bank's ($5,146.0m). Every FY2025 figure in this workbook is the BANK column, on the same basis as FY2019-FY2024; no Group figure is mixed in.
UNIT PRECISION CHANGES AT FY2025: the FY2019-FY2024 editions print the primary statements in whole US dollars and were transcribed at that precision; the FY2025 edition prints them in $'000. FY2025 source figures below are therefore written as whole dollars with three trailing zeros - that is the precision the Bank published, not a rounding applied here.</t>
        </is>
      </c>
    </row>
    <row r="47" ht="280" customHeight="1">
      <c r="A47" s="8" t="inlineStr">
        <is>
          <t>(continued)
FX CONVERSION NOTE: The Access Bank UK Limited reports in US Dollars. This workbook converts every $ amount to £ for consistency with the rest of this series, following the same methodology established for SMBC Bank International plc, Zenith Bank (UK) Limited and United Bank for Africa (UK) Limited: point-in-time/balance figures (capital, RWA, leverage exposure, HQLA, cash balances) use the Bank of England GBP/USD SPOT rate as at that fiscal year-end (31 December); flow figures (every cash flow statement line item) use the AVERAGE of Bank of England rates over that calendar year - both via poundsterlinglive.com's published Bank of England archive. Rates used (£1 = $X): FY2020 spot 1.3661 / average 1.2837; FY2021 spot 1.3521 / average 1.3752; FY2022 spot 1.2097 / average 1.2362; FY2023 spot 1.2732 / average 1.2439; FY2024 spot 1.2515 / average 1.2782 - identical to the FY2021-FY2024 rates already used for Zenith Bank UK and UBA UK, since all average 1.2782; FY2025 spot 1.3448 / average 1.3193 (the same FY2025 pair already used in build_zenith.py); FY2019 spot 1.3210 / average 1.2767 (Bank of England series XUDLUSS, 31 December 2019; its published calendar-year GBP/USD average). All % ratios (CET1/Tier 1/Total Capital/Leverage/LCR/NSFR ratios) are shown EXACTLY as reported in USD and were NOT converted - a ratio is dimensionless and currency-invariant. Because stocks and flows are converted at different rates, the cash flow statement includes an explicit 'Effect of GBP/USD translation' reconciling line (FY2021-FY2024 only, computed programmatically from the actual converted figures) so opening + all flows + this line = closing exactly in £ terms for those years - this line is purely an artefact of £ translation and has no bearing on the Bank's underlying USD results. This conversion was not explicitly requested for this bank - applied for consistency with the rest of the series, following the same call already confirmed for Zenith Bank UK and UBA UK; flag if £'000 rather than the Bank's native US$'000 presentation is not what's wanted here.
EQUITY SHEET FX CAVEAT: because this roll-forward mixes point-in-time Balance rows (spot rate) with in-year movement rows (average rate) - the same two-rate approach used for the Cash Flow Statement - each period's £ closing balance will differ very slightly from £ opening balance + £ movements (unlike the Cash Flow Statement, this sheet has no natural 'FX translation' line to absorb the difference, so no plug row is shown here). The underlying USD figures (see rows above) tie out exactly in every period; this is purely a £ presentation artefact of using two different conversion rates, not a data quality issue.
PRESENTATION NOTE: FY2022's own statement labels its 'Proceeds from shares issued' row as part of a combined 'Total comprehensive income for the year' total (which would overstate that label); this workbook instead reports 'Total comprehensive income for the year (2022)' as profit + OCI only (excluding the share issuance), with 'Proceeds from shares issued' shown as its own separate row immediately after - the Balance at 31 December 2022 row still ties to the sum of all rows in between, this is a relabeling for clarity only, not a change to any figure.</t>
        </is>
      </c>
    </row>
  </sheetData>
  <mergeCells count="2">
    <mergeCell ref="A47:G47"/>
    <mergeCell ref="A45:G4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The Access Bank UK Limited — Statement of Cash Flows</t>
        </is>
      </c>
    </row>
    <row r="2">
      <c r="A2" s="2" t="inlineStr">
        <is>
          <t>£'000, converted from USD - see source note at bottom for FX methodology and rates used. Bank (entity-level) basis throughout.</t>
        </is>
      </c>
    </row>
    <row r="3">
      <c r="A3" s="4" t="inlineStr">
        <is>
          <t>Line item</t>
        </is>
      </c>
      <c r="B3" s="4" t="inlineStr">
        <is>
          <t>FY2025 (£'000, conv. from USD)</t>
        </is>
      </c>
      <c r="C3" s="4" t="inlineStr">
        <is>
          <t>FY2024 (£'000, conv. from USD)</t>
        </is>
      </c>
      <c r="D3" s="4" t="inlineStr">
        <is>
          <t>FY2023 (£'000, conv. from USD)</t>
        </is>
      </c>
      <c r="E3" s="4" t="inlineStr">
        <is>
          <t>FY2022 (£'000, conv. from USD)</t>
        </is>
      </c>
      <c r="F3" s="4" t="inlineStr">
        <is>
          <t>FY2021 (£'000, conv. from USD)</t>
        </is>
      </c>
      <c r="G3" s="4" t="inlineStr">
        <is>
          <t>FY2020 (£'000, conv. from USD)</t>
        </is>
      </c>
      <c r="H3" s="4" t="inlineStr">
        <is>
          <t>FY2019 (£'000, conv. from USD)</t>
        </is>
      </c>
    </row>
    <row r="4">
      <c r="A4" s="5" t="inlineStr">
        <is>
          <t>Operating activities</t>
        </is>
      </c>
      <c r="B4" s="6" t="n"/>
      <c r="C4" s="6" t="n"/>
      <c r="D4" s="6" t="n"/>
      <c r="E4" s="6" t="n"/>
      <c r="F4" s="6" t="n"/>
      <c r="G4" s="6" t="n"/>
      <c r="H4" s="6" t="n"/>
    </row>
    <row r="5">
      <c r="A5" s="6" t="inlineStr">
        <is>
          <t>Profit before tax (expense) for the year</t>
        </is>
      </c>
      <c r="B5" s="6" t="n">
        <v>105133</v>
      </c>
      <c r="C5" s="6" t="n">
        <v>135650.6</v>
      </c>
      <c r="D5" s="6" t="n">
        <v>121818.5</v>
      </c>
      <c r="E5" s="6" t="n">
        <v>47484.2</v>
      </c>
      <c r="F5" s="6" t="n">
        <v>37710.8</v>
      </c>
      <c r="G5" s="6" t="n">
        <v>13109.5</v>
      </c>
      <c r="H5" s="6" t="n">
        <v>44764</v>
      </c>
    </row>
    <row r="6">
      <c r="A6" s="6" t="inlineStr">
        <is>
          <t>Depreciation</t>
        </is>
      </c>
      <c r="B6" s="6" t="n">
        <v>2513.5</v>
      </c>
      <c r="C6" s="6" t="n">
        <v>2512.9</v>
      </c>
      <c r="D6" s="6" t="n">
        <v>1447.1</v>
      </c>
      <c r="E6" s="6" t="n">
        <v>1393.1</v>
      </c>
      <c r="F6" s="6" t="n">
        <v>1074.9</v>
      </c>
      <c r="G6" s="6" t="n">
        <v>1357.6</v>
      </c>
      <c r="H6" s="6" t="n">
        <v>238.7</v>
      </c>
    </row>
    <row r="7">
      <c r="A7" s="6" t="inlineStr">
        <is>
          <t>Amortisation</t>
        </is>
      </c>
      <c r="B7" s="6" t="n">
        <v>635.9</v>
      </c>
      <c r="C7" s="6" t="n">
        <v>745.2</v>
      </c>
      <c r="D7" s="6" t="n">
        <v>610.2</v>
      </c>
      <c r="E7" s="6" t="n">
        <v>457.6</v>
      </c>
      <c r="F7" s="6" t="n">
        <v>312.4</v>
      </c>
      <c r="G7" s="6" t="n">
        <v>441</v>
      </c>
      <c r="H7" s="6" t="n">
        <v>359.5</v>
      </c>
    </row>
    <row r="8">
      <c r="A8" s="6" t="inlineStr">
        <is>
          <t>Dividend income (FY2025 presentation - see presentation note)</t>
        </is>
      </c>
      <c r="B8" s="6" t="n">
        <v>-18514.4</v>
      </c>
      <c r="C8" s="6" t="n"/>
      <c r="D8" s="6" t="n"/>
      <c r="E8" s="6" t="n"/>
      <c r="F8" s="6" t="n"/>
      <c r="G8" s="6" t="n"/>
      <c r="H8" s="6" t="n"/>
    </row>
    <row r="9">
      <c r="A9" s="6" t="inlineStr">
        <is>
          <t>Convertible notes interest (FY2025 presentation - see presentation note)</t>
        </is>
      </c>
      <c r="B9" s="6" t="n">
        <v>9751.4</v>
      </c>
      <c r="C9" s="6" t="n"/>
      <c r="D9" s="6" t="n"/>
      <c r="E9" s="6" t="n"/>
      <c r="F9" s="6" t="n"/>
      <c r="G9" s="6" t="n"/>
      <c r="H9" s="6" t="n"/>
    </row>
    <row r="10">
      <c r="A10" s="6" t="inlineStr">
        <is>
          <t>Impairment charge on financial assets</t>
        </is>
      </c>
      <c r="B10" s="6" t="n">
        <v>12853.8</v>
      </c>
      <c r="C10" s="6" t="n">
        <v>8476.6</v>
      </c>
      <c r="D10" s="6" t="n">
        <v>6616.1</v>
      </c>
      <c r="E10" s="6" t="n">
        <v>30149.9</v>
      </c>
      <c r="F10" s="6" t="n">
        <v>23609.8</v>
      </c>
      <c r="G10" s="6" t="n">
        <v>45677.9</v>
      </c>
      <c r="H10" s="6" t="n">
        <v>221.6</v>
      </c>
    </row>
    <row r="11">
      <c r="A11" s="6" t="inlineStr">
        <is>
          <t>Interest income (FY2025 presentation - see presentation note)</t>
        </is>
      </c>
      <c r="B11" s="6" t="n">
        <v>-239820.4</v>
      </c>
      <c r="C11" s="6" t="n"/>
      <c r="D11" s="6" t="n"/>
      <c r="E11" s="6" t="n"/>
      <c r="F11" s="6" t="n"/>
      <c r="G11" s="6" t="n"/>
      <c r="H11" s="6" t="n"/>
    </row>
    <row r="12">
      <c r="A12" s="6" t="inlineStr">
        <is>
          <t>Interest expense (FY2025 presentation - see presentation note)</t>
        </is>
      </c>
      <c r="B12" s="6" t="n">
        <v>122956.1</v>
      </c>
      <c r="C12" s="6" t="n"/>
      <c r="D12" s="6" t="n"/>
      <c r="E12" s="6" t="n"/>
      <c r="F12" s="6" t="n"/>
      <c r="G12" s="6" t="n"/>
      <c r="H12" s="6" t="n"/>
    </row>
    <row r="13">
      <c r="A13" s="6" t="inlineStr">
        <is>
          <t>Interest expense on Lease</t>
        </is>
      </c>
      <c r="B13" s="6" t="n"/>
      <c r="C13" s="6" t="n">
        <v>313.9</v>
      </c>
      <c r="D13" s="6" t="n">
        <v>53</v>
      </c>
      <c r="E13" s="6" t="n">
        <v>73.8</v>
      </c>
      <c r="F13" s="6" t="n">
        <v>72.90000000000001</v>
      </c>
      <c r="G13" s="6" t="n"/>
      <c r="H13" s="6" t="n"/>
    </row>
    <row r="14">
      <c r="A14" s="6" t="inlineStr">
        <is>
          <t>Write off of property, plant and equipment</t>
        </is>
      </c>
      <c r="B14" s="6" t="n"/>
      <c r="C14" s="6" t="n"/>
      <c r="D14" s="6" t="n">
        <v>10.9</v>
      </c>
      <c r="E14" s="6" t="n"/>
      <c r="F14" s="6" t="n"/>
      <c r="G14" s="6" t="n"/>
      <c r="H14" s="6" t="n"/>
    </row>
    <row r="15">
      <c r="A15" s="6" t="inlineStr">
        <is>
          <t>Changes in money market placements</t>
        </is>
      </c>
      <c r="B15" s="6" t="n">
        <v>-45021.6</v>
      </c>
      <c r="C15" s="6" t="n">
        <v>-4767.6</v>
      </c>
      <c r="D15" s="6" t="n">
        <v>-2860.4</v>
      </c>
      <c r="E15" s="6" t="n">
        <v>265.7</v>
      </c>
      <c r="F15" s="6" t="n">
        <v>1877.9</v>
      </c>
      <c r="G15" s="6" t="n">
        <v>13034.2</v>
      </c>
      <c r="H15" s="6" t="n">
        <v>142015.6</v>
      </c>
    </row>
    <row r="16">
      <c r="A16" s="6" t="inlineStr">
        <is>
          <t>Changes in loans and advances to banks and customers</t>
        </is>
      </c>
      <c r="B16" s="6" t="n">
        <v>321582.7</v>
      </c>
      <c r="C16" s="6" t="n">
        <v>-434751.8</v>
      </c>
      <c r="D16" s="6" t="n">
        <v>-420262.9</v>
      </c>
      <c r="E16" s="6" t="n">
        <v>-418785.2</v>
      </c>
      <c r="F16" s="6" t="n">
        <v>-74231.2</v>
      </c>
      <c r="G16" s="6" t="n">
        <v>-268309.5</v>
      </c>
      <c r="H16" s="6" t="n">
        <v>-333508.6</v>
      </c>
    </row>
    <row r="17">
      <c r="A17" s="6" t="inlineStr">
        <is>
          <t>Changes in other assets</t>
        </is>
      </c>
      <c r="B17" s="6" t="n">
        <v>-19253.4</v>
      </c>
      <c r="C17" s="6" t="n">
        <v>-6779.5</v>
      </c>
      <c r="D17" s="6" t="n">
        <v>1316.7</v>
      </c>
      <c r="E17" s="6" t="n">
        <v>-5201.9</v>
      </c>
      <c r="F17" s="6" t="n">
        <v>4323.4</v>
      </c>
      <c r="G17" s="6" t="n">
        <v>-9491.799999999999</v>
      </c>
      <c r="H17" s="6" t="n">
        <v>-448.2</v>
      </c>
    </row>
    <row r="18">
      <c r="A18" s="6" t="inlineStr">
        <is>
          <t>Changes in deposits from banks</t>
        </is>
      </c>
      <c r="B18" s="6" t="n">
        <v>-1168204.4</v>
      </c>
      <c r="C18" s="6" t="n">
        <v>1145751.7</v>
      </c>
      <c r="D18" s="6" t="n">
        <v>204308.7</v>
      </c>
      <c r="E18" s="6" t="n">
        <v>209861.8</v>
      </c>
      <c r="F18" s="6" t="n">
        <v>430339.5</v>
      </c>
      <c r="G18" s="6" t="n">
        <v>-161451.2</v>
      </c>
      <c r="H18" s="6" t="n">
        <v>-152736.7</v>
      </c>
    </row>
    <row r="19">
      <c r="A19" s="6" t="inlineStr">
        <is>
          <t>Changes in deposits from customers</t>
        </is>
      </c>
      <c r="B19" s="6" t="n">
        <v>149698.3</v>
      </c>
      <c r="C19" s="6" t="n">
        <v>76911.5</v>
      </c>
      <c r="D19" s="6" t="n">
        <v>160328</v>
      </c>
      <c r="E19" s="6" t="n">
        <v>255957.9</v>
      </c>
      <c r="F19" s="6" t="n">
        <v>43122</v>
      </c>
      <c r="G19" s="6" t="n">
        <v>74423.3</v>
      </c>
      <c r="H19" s="6" t="n">
        <v>128718.7</v>
      </c>
    </row>
    <row r="20">
      <c r="A20" s="6" t="inlineStr">
        <is>
          <t>Changes in other liabilities</t>
        </is>
      </c>
      <c r="B20" s="6" t="n">
        <v>2989.5</v>
      </c>
      <c r="C20" s="6" t="n">
        <v>25798.3</v>
      </c>
      <c r="D20" s="6" t="n">
        <v>6440.5</v>
      </c>
      <c r="E20" s="6" t="n">
        <v>-636.2</v>
      </c>
      <c r="F20" s="6" t="n">
        <v>-2554</v>
      </c>
      <c r="G20" s="6" t="n">
        <v>-232</v>
      </c>
      <c r="H20" s="6" t="n">
        <v>5562.1</v>
      </c>
    </row>
    <row r="21">
      <c r="A21" s="6" t="inlineStr">
        <is>
          <t>Lease payments interest (within operating activities from FY2025)</t>
        </is>
      </c>
      <c r="B21" s="6" t="n">
        <v>-308.5</v>
      </c>
      <c r="C21" s="6" t="n"/>
      <c r="D21" s="6" t="n"/>
      <c r="E21" s="6" t="n"/>
      <c r="F21" s="6" t="n"/>
      <c r="G21" s="6" t="n"/>
      <c r="H21" s="6" t="n"/>
    </row>
    <row r="22">
      <c r="A22" s="6" t="inlineStr">
        <is>
          <t>Interest received (FY2025 presentation - see presentation note)</t>
        </is>
      </c>
      <c r="B22" s="6" t="n">
        <v>247215.9</v>
      </c>
      <c r="C22" s="6" t="n"/>
      <c r="D22" s="6" t="n"/>
      <c r="E22" s="6" t="n"/>
      <c r="F22" s="6" t="n"/>
      <c r="G22" s="6" t="n"/>
      <c r="H22" s="6" t="n"/>
    </row>
    <row r="23">
      <c r="A23" s="6" t="inlineStr">
        <is>
          <t>Interest paid (FY2025 presentation - see presentation note)</t>
        </is>
      </c>
      <c r="B23" s="6" t="n">
        <v>-126373.1</v>
      </c>
      <c r="C23" s="6" t="n"/>
      <c r="D23" s="6" t="n"/>
      <c r="E23" s="6" t="n"/>
      <c r="F23" s="6" t="n"/>
      <c r="G23" s="6" t="n"/>
      <c r="H23" s="6" t="n"/>
    </row>
    <row r="24">
      <c r="A24" s="6" t="inlineStr">
        <is>
          <t>Dividend received (FY2025 presentation - see presentation note)</t>
        </is>
      </c>
      <c r="B24" s="6" t="n">
        <v>18514.4</v>
      </c>
      <c r="C24" s="6" t="n"/>
      <c r="D24" s="6" t="n"/>
      <c r="E24" s="6" t="n"/>
      <c r="F24" s="6" t="n"/>
      <c r="G24" s="6" t="n"/>
      <c r="H24" s="6" t="n"/>
    </row>
    <row r="25">
      <c r="A25" s="6" t="inlineStr">
        <is>
          <t>Taxation paid</t>
        </is>
      </c>
      <c r="B25" s="6" t="n">
        <v>-33294.2</v>
      </c>
      <c r="C25" s="6" t="n">
        <v>-35146.6</v>
      </c>
      <c r="D25" s="6" t="n">
        <v>-30677.8</v>
      </c>
      <c r="E25" s="6" t="n">
        <v>-3039.2</v>
      </c>
      <c r="F25" s="6" t="n">
        <v>-9954.5</v>
      </c>
      <c r="G25" s="6" t="n">
        <v>-16485.6</v>
      </c>
      <c r="H25" s="6" t="n">
        <v>-8622.9</v>
      </c>
    </row>
    <row r="26">
      <c r="A26" s="5" t="inlineStr">
        <is>
          <t>Net cash from/(used in) operating activities</t>
        </is>
      </c>
      <c r="B26" s="5" t="n">
        <v>-656945.3</v>
      </c>
      <c r="C26" s="5" t="n">
        <v>914715.2</v>
      </c>
      <c r="D26" s="5" t="n">
        <v>49148.5</v>
      </c>
      <c r="E26" s="5" t="n">
        <v>117981.6</v>
      </c>
      <c r="F26" s="5" t="n">
        <v>455703.9</v>
      </c>
      <c r="G26" s="5" t="n">
        <v>-307926.5</v>
      </c>
      <c r="H26" s="5" t="n">
        <v>-173436.3</v>
      </c>
    </row>
    <row r="27">
      <c r="A27" s="5" t="inlineStr">
        <is>
          <t>Investing activities</t>
        </is>
      </c>
      <c r="B27" s="6" t="n"/>
      <c r="C27" s="6" t="n"/>
      <c r="D27" s="6" t="n"/>
      <c r="E27" s="6" t="n"/>
      <c r="F27" s="6" t="n"/>
      <c r="G27" s="6" t="n"/>
      <c r="H27" s="6" t="n"/>
    </row>
    <row r="28">
      <c r="A28" s="6" t="inlineStr">
        <is>
          <t>Net purchase of investment securities</t>
        </is>
      </c>
      <c r="B28" s="6" t="n">
        <v>861459.9</v>
      </c>
      <c r="C28" s="6" t="n">
        <v>-995784.4</v>
      </c>
      <c r="D28" s="6" t="n">
        <v>-248758.2</v>
      </c>
      <c r="E28" s="6" t="n">
        <v>-84103.2</v>
      </c>
      <c r="F28" s="6" t="n">
        <v>-184194.2</v>
      </c>
      <c r="G28" s="6" t="n">
        <v>46913.9</v>
      </c>
      <c r="H28" s="6" t="n">
        <v>-16353.4</v>
      </c>
    </row>
    <row r="29">
      <c r="A29" s="6" t="inlineStr">
        <is>
          <t>Purchase of share in subsidiary / Net purchase of share in subsidiary</t>
        </is>
      </c>
      <c r="B29" s="6" t="n">
        <v>-301334.8</v>
      </c>
      <c r="C29" s="6" t="n">
        <v>-17387</v>
      </c>
      <c r="D29" s="6" t="n"/>
      <c r="E29" s="6" t="n"/>
      <c r="F29" s="6" t="n"/>
      <c r="G29" s="6" t="n"/>
      <c r="H29" s="6" t="n"/>
    </row>
    <row r="30">
      <c r="A30" s="6" t="inlineStr">
        <is>
          <t>Purchase of property, plant and equipment</t>
        </is>
      </c>
      <c r="B30" s="6" t="n">
        <v>-756.5</v>
      </c>
      <c r="C30" s="6" t="n">
        <v>-1067.2</v>
      </c>
      <c r="D30" s="6" t="n">
        <v>-389.7</v>
      </c>
      <c r="E30" s="6" t="n">
        <v>-426.4</v>
      </c>
      <c r="F30" s="6" t="n">
        <v>-105.6</v>
      </c>
      <c r="G30" s="6" t="n">
        <v>-579.3</v>
      </c>
      <c r="H30" s="6" t="n">
        <v>-313.9</v>
      </c>
    </row>
    <row r="31">
      <c r="A31" s="6" t="inlineStr">
        <is>
          <t>Purchase of intangible assets</t>
        </is>
      </c>
      <c r="B31" s="6" t="n">
        <v>-1138.5</v>
      </c>
      <c r="C31" s="6" t="n">
        <v>-3826.1</v>
      </c>
      <c r="D31" s="6" t="n">
        <v>-1319.4</v>
      </c>
      <c r="E31" s="6" t="n">
        <v>-1406.8</v>
      </c>
      <c r="F31" s="6" t="n">
        <v>-538.4</v>
      </c>
      <c r="G31" s="6" t="n">
        <v>-291.3</v>
      </c>
      <c r="H31" s="6" t="n">
        <v>-613</v>
      </c>
    </row>
    <row r="32">
      <c r="A32" s="5" t="inlineStr">
        <is>
          <t>Net cash from/(used in) investing activities</t>
        </is>
      </c>
      <c r="B32" s="5" t="n">
        <v>558230.1</v>
      </c>
      <c r="C32" s="5" t="n">
        <v>-1018064.7</v>
      </c>
      <c r="D32" s="5" t="n">
        <v>-250467.3</v>
      </c>
      <c r="E32" s="5" t="n">
        <v>-85936.39999999999</v>
      </c>
      <c r="F32" s="5" t="n">
        <v>-184838.2</v>
      </c>
      <c r="G32" s="5" t="n">
        <v>46043.3</v>
      </c>
      <c r="H32" s="5" t="n">
        <v>-17280.2</v>
      </c>
    </row>
    <row r="33">
      <c r="A33" s="5" t="inlineStr">
        <is>
          <t>Financing activities</t>
        </is>
      </c>
      <c r="B33" s="6" t="n"/>
      <c r="C33" s="6" t="n"/>
      <c r="D33" s="6" t="n"/>
      <c r="E33" s="6" t="n"/>
      <c r="F33" s="6" t="n"/>
      <c r="G33" s="6" t="n"/>
      <c r="H33" s="6" t="n"/>
    </row>
    <row r="34">
      <c r="A34" s="6" t="inlineStr">
        <is>
          <t>Issuance of own shares</t>
        </is>
      </c>
      <c r="B34" s="6" t="n"/>
      <c r="C34" s="6" t="n"/>
      <c r="D34" s="6" t="n">
        <v>80392.3</v>
      </c>
      <c r="E34" s="6" t="n">
        <v>52580.5</v>
      </c>
      <c r="F34" s="6" t="n"/>
      <c r="G34" s="6" t="n"/>
      <c r="H34" s="6" t="n">
        <v>26239.7</v>
      </c>
    </row>
    <row r="35">
      <c r="A35" s="6" t="inlineStr">
        <is>
          <t>Issuance of convertible notes</t>
        </is>
      </c>
      <c r="B35" s="6" t="n">
        <v>223603.4</v>
      </c>
      <c r="C35" s="6" t="n"/>
      <c r="D35" s="6" t="n"/>
      <c r="E35" s="6" t="n"/>
      <c r="F35" s="6" t="n"/>
      <c r="G35" s="6" t="n"/>
      <c r="H35" s="6" t="n"/>
    </row>
    <row r="36">
      <c r="A36" s="6" t="inlineStr">
        <is>
          <t>Convertible notes interest (within financing activities)</t>
        </is>
      </c>
      <c r="B36" s="6" t="n">
        <v>-9751.4</v>
      </c>
      <c r="C36" s="6" t="n"/>
      <c r="D36" s="6" t="n"/>
      <c r="E36" s="6" t="n"/>
      <c r="F36" s="6" t="n"/>
      <c r="G36" s="6" t="n"/>
      <c r="H36" s="6" t="n"/>
    </row>
    <row r="37">
      <c r="A37" s="6" t="inlineStr">
        <is>
          <t>Lease payments (combined principal &amp; interest)</t>
        </is>
      </c>
      <c r="B37" s="6" t="n"/>
      <c r="C37" s="6" t="n"/>
      <c r="D37" s="6" t="n"/>
      <c r="E37" s="6" t="n">
        <v>-1093.2</v>
      </c>
      <c r="F37" s="6" t="n">
        <v>-841.1</v>
      </c>
      <c r="G37" s="6" t="n">
        <v>-1036.9</v>
      </c>
      <c r="H37" s="6" t="n"/>
    </row>
    <row r="38">
      <c r="A38" s="6" t="inlineStr">
        <is>
          <t>Lease payments principal</t>
        </is>
      </c>
      <c r="B38" s="6" t="n">
        <v>-1752.4</v>
      </c>
      <c r="C38" s="6" t="n">
        <v>-2168.6</v>
      </c>
      <c r="D38" s="6" t="n">
        <v>-1095.2</v>
      </c>
      <c r="E38" s="6" t="n"/>
      <c r="F38" s="6" t="n"/>
      <c r="G38" s="6" t="n"/>
      <c r="H38" s="6" t="n"/>
    </row>
    <row r="39">
      <c r="A39" s="6" t="inlineStr">
        <is>
          <t>Lease payments interest</t>
        </is>
      </c>
      <c r="B39" s="6" t="n"/>
      <c r="C39" s="6" t="n">
        <v>-70</v>
      </c>
      <c r="D39" s="6" t="n">
        <v>-20.5</v>
      </c>
      <c r="E39" s="6" t="n"/>
      <c r="F39" s="6" t="n"/>
      <c r="G39" s="6" t="n"/>
      <c r="H39" s="6" t="n"/>
    </row>
    <row r="40">
      <c r="A40" s="6" t="inlineStr">
        <is>
          <t>Dividends paid</t>
        </is>
      </c>
      <c r="B40" s="6" t="n">
        <v>-23663.3</v>
      </c>
      <c r="C40" s="6" t="n">
        <v>-20700</v>
      </c>
      <c r="D40" s="6" t="n">
        <v>-15912.1</v>
      </c>
      <c r="E40" s="6" t="n"/>
      <c r="F40" s="6" t="n"/>
      <c r="G40" s="6" t="n"/>
      <c r="H40" s="6" t="n"/>
    </row>
    <row r="41">
      <c r="A41" s="5" t="inlineStr">
        <is>
          <t>Net cash from/(used in) financing activities</t>
        </is>
      </c>
      <c r="B41" s="5" t="n">
        <v>188436.3</v>
      </c>
      <c r="C41" s="5" t="n">
        <v>-22938.6</v>
      </c>
      <c r="D41" s="5" t="n">
        <v>63364.5</v>
      </c>
      <c r="E41" s="5" t="n">
        <v>51487.3</v>
      </c>
      <c r="F41" s="5" t="n">
        <v>-841.1</v>
      </c>
      <c r="G41" s="5" t="n">
        <v>-1036.9</v>
      </c>
      <c r="H41" s="5" t="n">
        <v>26239.7</v>
      </c>
    </row>
    <row r="42">
      <c r="A42" s="5" t="inlineStr">
        <is>
          <t>Net increase/(decrease) in cash and cash equivalents</t>
        </is>
      </c>
      <c r="B42" s="5" t="n">
        <v>89721.10000000001</v>
      </c>
      <c r="C42" s="5" t="n">
        <v>-126288.1</v>
      </c>
      <c r="D42" s="5" t="n">
        <v>-137954.2</v>
      </c>
      <c r="E42" s="5" t="n">
        <v>83532.39999999999</v>
      </c>
      <c r="F42" s="5" t="n">
        <v>270024.6</v>
      </c>
      <c r="G42" s="5" t="n">
        <v>-262920.2</v>
      </c>
      <c r="H42" s="5" t="n">
        <v>-164476.8</v>
      </c>
    </row>
    <row r="43">
      <c r="A43" s="6" t="inlineStr">
        <is>
          <t>Cash and cash equivalents at the beginning of the year</t>
        </is>
      </c>
      <c r="B43" s="6" t="n">
        <v>241802.6</v>
      </c>
      <c r="C43" s="6" t="n">
        <v>364263.6</v>
      </c>
      <c r="D43" s="6" t="n">
        <v>524595.1</v>
      </c>
      <c r="E43" s="6" t="n">
        <v>392792.6</v>
      </c>
      <c r="F43" s="6" t="n">
        <v>117322.9</v>
      </c>
      <c r="G43" s="6" t="n">
        <v>376653.1</v>
      </c>
      <c r="H43" s="6" t="n"/>
    </row>
    <row r="44">
      <c r="A44" s="6" t="inlineStr">
        <is>
          <t>Effect of exchange rate fluctuations on cash held</t>
        </is>
      </c>
      <c r="B44" s="6" t="n">
        <v>3283.6</v>
      </c>
      <c r="C44" s="6" t="n">
        <v>201.5</v>
      </c>
      <c r="D44" s="6" t="n">
        <v>626.2</v>
      </c>
      <c r="E44" s="6" t="n">
        <v>198.1</v>
      </c>
      <c r="F44" s="6" t="n">
        <v>-376.5</v>
      </c>
      <c r="G44" s="6" t="n">
        <v>176.5</v>
      </c>
      <c r="H44" s="6" t="n">
        <v>-2767.5</v>
      </c>
    </row>
    <row r="45">
      <c r="A45" s="6" t="inlineStr">
        <is>
          <t>Effect of GBP/USD translation (£ conversion artefact - see FX note)</t>
        </is>
      </c>
      <c r="B45" s="6" t="n">
        <v>-18539.5</v>
      </c>
      <c r="C45" s="6" t="n">
        <v>3626</v>
      </c>
      <c r="D45" s="6" t="n">
        <v>-23003.5</v>
      </c>
      <c r="E45" s="6" t="n">
        <v>48072</v>
      </c>
      <c r="F45" s="6" t="n">
        <v>5821.6</v>
      </c>
      <c r="G45" s="6" t="n">
        <v>3413.5</v>
      </c>
      <c r="H45" s="6" t="n"/>
    </row>
    <row r="46">
      <c r="A46" s="5" t="inlineStr">
        <is>
          <t>Cash and cash equivalents at the end of the year</t>
        </is>
      </c>
      <c r="B46" s="5" t="n">
        <v>316267.8</v>
      </c>
      <c r="C46" s="5" t="n">
        <v>241803</v>
      </c>
      <c r="D46" s="5" t="n">
        <v>364263.6</v>
      </c>
      <c r="E46" s="5" t="n">
        <v>524595.1</v>
      </c>
      <c r="F46" s="5" t="n">
        <v>392792.6</v>
      </c>
      <c r="G46" s="5" t="n">
        <v>117322.9</v>
      </c>
      <c r="H46" s="5" t="n">
        <v>376653.1</v>
      </c>
    </row>
    <row r="48" ht="340" customHeight="1">
      <c r="A48" s="8" t="inlineStr">
        <is>
          <t>Sources - all figures are The Access Bank UK Limited's own Statement of Cash Flows (converted from USD to £, see FX conversion note below):
FY2025: Report &amp; Financial Statements 2025, p.27 (Statement of Cash Flows, Bank 31 December 2025 column) - https://www.theaccessbankukltd.co.uk/wp-content/uploads/2026/06/AccessBank_AR2025_Financials_web.pdf
FY2024: Report &amp; Financial Statements 2024, p.23 (Statement of Cash Flows, Bank column) - https://www.theaccessbankukltd.co.uk/wp-content/uploads/2025/06/AccessBank_AR2024_Financials-AW.pdf
FY2023: Report and Financial Statements 2023, p.21 (Statement of Cash Flows) - https://www.theaccessbankukltd.co.uk/wp-content/uploads/2024/07/ACCESS_BANK_AR_2023_Financial-statements.pdf
FY2022: Report and Statutory Accounts 2022, p.19 (Statement of Cash Flows) - https://www.theaccessbankukltd.co.uk/wp-content/uploads/2023/07/ACCESS_BANK_AR22_Accs.pdf
FY2021 &amp; FY2020: Report and Statutory Accounts 2021, p.17 (Statement of Cash Flows) - https://www.theaccessbankukltd.co.uk/wp-content/uploads/2022/06/ACCESS_BANK_AR_2021_Accounts.pdf
FY2019: Report and Statutory Accounts 2019, p.14 (Statement of Cash Flows) - https://www.theaccessbankukltd.co.uk/wp-content/uploads/2020/07/ACCE3269_ACCESS_BANK_AR_2019_WEB.pdf
Activity-total rows may be off by up to £0.1k from summing the visible line items above them, since each £ line is independently rounded to 1 decimal place before summing; the full statement ties exactly end-to-end via the net change, opening balance, exchange-rate-effect and translation-effect lines (verified to the penny in £'000 terms for FY2021-FY2024; FY2020 has no opening balance, see FX note).
ENTITY NOTE: The Access Bank UK Limited (Companies House 06365062, FRN 478415) is a UK subsidiary of Access Bank Plc (Nigeria); ultimate parent is Access Holdings Plc (Nigeria). Like Zenith Bank (UK) Limited and United Bank for Africa (UK) Limited elsewhere in this workbook series, it prepares full IFRS financial statements with a genuine Statement of Cash Flows every year - no FRS 101/102 cash-flow exemption applies. The Bank's Own Funds consist entirely of Common Equity Tier 1 (CET1) capital (no AT1 or Tier 2 instruments), so CET1 capital = Tier 1 capital = Total capital in every year shown. The Bank's own website blocks automated page fetches (Cloudflare bot protection on its HTML pages, though direct PDF links work); its 'Our Reports' page was instead read through a text-extraction proxy (2026-09-18) and via multiple Wayback Machine snapshots (2022-2025) to locate every year's Annual Report and Pillar 3 Disclosures PDF. LATEST-EDITION CHECK, 18 SEPTEMBER 2026: the Bank's 'Our Reports' page lists a FY2025 Annual Report and a FY2025 Report &amp; Financial Statements (both uploaded to the Bank's CDN in its 2026/06 folder; the financial statements were signed 23 April 2026 and the PDF was produced 15 June 2026), and this workbook was extended to FY2025 from them on that date. The newest Pillar 3 Disclosures edition on that same page is still the 2023 one - no FY2024 and no FY2025 Pillar 3 edition exists as at 18 September 2026 (see the Pillar 3 sheets' source notes for the evidence). This workbook therefore covers FY2019-FY2025 - 7 years of statements, but Pillar 3 template metrics only to FY2023; FY2024 and FY2025 Pillar 3 cells are filled ONLY from the Annual Report where the Bank itself discloses the figure on the same basis, and are otherwise blank rather than guessed. From FY2024 the Bank's own Statement of Cash Flows is presented on both 'Bank' and 'Group' bases (following the acquisition of an interest in a subsidiary during 2024 - see 'Purchase of share in subsidiary' below); the Bank (entity-level) column is used throughout this workbook for consistency with every earlier year, when Bank and Group were identical since no subsidiary existed. THAT CHOICE MATTERS MUCH MORE FROM FY2025: the Group acquired control of AfrAsia Bank Limited (Mauritius) during 2025 and consolidated it for the first time, so Group total assets ($11,617.1m) are now more than double the Bank's ($5,146.0m). Every FY2025 figure in this workbook is the BANK column, on the same basis as FY2019-FY2024; no Group figure is mixed in.
UNIT PRECISION CHANGES AT FY2025: the FY2019-FY2024 editions print the primary statements in whole US dollars and were transcribed at that precision; the FY2025 edition prints them in $'000. FY2025 source figures below are therefore written as whole dollars with three trailing zeros - that is the precision the Bank published, not a rounding applied here.</t>
        </is>
      </c>
    </row>
    <row r="50" ht="340" customHeight="1">
      <c r="A50" s="8" t="inlineStr">
        <is>
          <t>(continued)
FX CONVERSION NOTE: The Access Bank UK Limited reports in US Dollars. This workbook converts every $ amount to £ for consistency with the rest of this series, following the same methodology established for SMBC Bank International plc, Zenith Bank (UK) Limited and United Bank for Africa (UK) Limited: point-in-time/balance figures (capital, RWA, leverage exposure, HQLA, cash balances) use the Bank of England GBP/USD SPOT rate as at that fiscal year-end (31 December); flow figures (every cash flow statement line item) use the AVERAGE of Bank of England rates over that calendar year - both via poundsterlinglive.com's published Bank of England archive. Rates used (£1 = $X): FY2020 spot 1.3661 / average 1.2837; FY2021 spot 1.3521 / average 1.3752; FY2022 spot 1.2097 / average 1.2362; FY2023 spot 1.2732 / average 1.2439; FY2024 spot 1.2515 / average 1.2782 - identical to the FY2021-FY2024 rates already used for Zenith Bank UK and UBA UK, since all average 1.2782; FY2025 spot 1.3448 / average 1.3193 (the same FY2025 pair already used in build_zenith.py); FY2019 spot 1.3210 / average 1.2767 (Bank of England series XUDLUSS, 31 December 2019; its published calendar-year GBP/USD average). All % ratios (CET1/Tier 1/Total Capital/Leverage/LCR/NSFR ratios) are shown EXACTLY as reported in USD and were NOT converted - a ratio is dimensionless and currency-invariant. Because stocks and flows are converted at different rates, the cash flow statement includes an explicit 'Effect of GBP/USD translation' reconciling line (FY2021-FY2024 only, computed programmatically from the actual converted figures) so opening + all flows + this line = closing exactly in £ terms for those years - this line is purely an artefact of £ translation and has no bearing on the Bank's underlying USD results. This conversion was not explicitly requested for this bank - applied for consistency with the rest of the series, following the same call already confirmed for Zenith Bank UK and UBA UK; flag if £'000 rather than the Bank's native US$'000 presentation is not what's wanted here.
PRESENTATION NOTE: presentation differs slightly between report vintages, each year's own as-reported line items/labels are preserved rather than forced into a common shape. FY2023/FY2024 split lease payments into separate 'Lease payments principal' and 'Lease payments interest' rows; FY2020-FY2022 instead show a single combined 'Lease payments' row (FY2022's own report keeps the combined presentation even though FY2023's report restates FY2022 as a split comparative - FY2022's own report's combined figure is used here, per this project's convention of preferring each year's own report). A handful of line items differ by $1-$3 between a year's own primary statement and its appearance as the following year's comparative column (immaterial rounding, e.g. FY2021 'Operating cash flows before movements in working capital' is $86,336,098 in AR2021's own statement vs $86,336,099 in AR2022's comparative) - each year's own primary statement figure is used throughout.</t>
        </is>
      </c>
    </row>
  </sheetData>
  <mergeCells count="2">
    <mergeCell ref="A50:H50"/>
    <mergeCell ref="A48:H4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The Access Bank UK Limited — Asset Quality / Credit Risk Disclosures</t>
        </is>
      </c>
    </row>
    <row r="2">
      <c r="A2" s="2" t="inlineStr">
        <is>
          <t>£'000, converted from USD, Group basis - see source note for FX methodology and product/stage basis caveats.</t>
        </is>
      </c>
    </row>
    <row r="3">
      <c r="A3" s="4" t="inlineStr">
        <is>
          <t>Line item</t>
        </is>
      </c>
      <c r="B3" s="4" t="inlineStr">
        <is>
          <t>FY2025 (£'000, conv. from USD)</t>
        </is>
      </c>
      <c r="C3" s="4" t="inlineStr">
        <is>
          <t>FY2024 (£'000, conv. from USD)</t>
        </is>
      </c>
      <c r="D3" s="4" t="inlineStr">
        <is>
          <t>FY2023 (£'000, conv. from USD)</t>
        </is>
      </c>
      <c r="E3" s="4" t="inlineStr">
        <is>
          <t>FY2022 (£'000, conv. from USD)</t>
        </is>
      </c>
      <c r="F3" s="4" t="inlineStr">
        <is>
          <t>FY2021 (£'000, conv. from USD)</t>
        </is>
      </c>
      <c r="G3" s="4" t="inlineStr">
        <is>
          <t>FY2020 (£'000, conv. from USD)</t>
        </is>
      </c>
      <c r="H3" s="4" t="inlineStr">
        <is>
          <t>FY2019 (£'000, conv. from USD)</t>
        </is>
      </c>
    </row>
    <row r="4">
      <c r="A4" s="5" t="inlineStr">
        <is>
          <t>Loan book by product/segment (basis differs by year - see presentation note)</t>
        </is>
      </c>
      <c r="B4" s="6" t="n"/>
      <c r="C4" s="6" t="n"/>
      <c r="D4" s="6" t="n"/>
      <c r="E4" s="6" t="n"/>
      <c r="F4" s="6" t="n"/>
      <c r="G4" s="6" t="n"/>
      <c r="H4" s="6" t="n"/>
    </row>
    <row r="5">
      <c r="A5" s="6" t="inlineStr">
        <is>
          <t>Loans to corporates (gross)</t>
        </is>
      </c>
      <c r="B5" s="6" t="n">
        <v>1068692.7</v>
      </c>
      <c r="C5" s="6" t="n">
        <v>1188676.1</v>
      </c>
      <c r="D5" s="6" t="n">
        <v>1089045.5</v>
      </c>
      <c r="E5" s="6" t="n"/>
      <c r="F5" s="6" t="n"/>
      <c r="G5" s="6" t="n"/>
      <c r="H5" s="6" t="n"/>
    </row>
    <row r="6">
      <c r="A6" s="6" t="inlineStr">
        <is>
          <t>Loans secured on property (gross)</t>
        </is>
      </c>
      <c r="B6" s="6" t="n">
        <v>115287.8</v>
      </c>
      <c r="C6" s="6" t="n">
        <v>103036.6</v>
      </c>
      <c r="D6" s="6" t="n">
        <v>94673.7</v>
      </c>
      <c r="E6" s="6" t="n"/>
      <c r="F6" s="6" t="n"/>
      <c r="G6" s="6" t="n"/>
      <c r="H6" s="6" t="n"/>
    </row>
    <row r="7">
      <c r="A7" s="6" t="inlineStr">
        <is>
          <t>Other secured personal loans (gross)</t>
        </is>
      </c>
      <c r="B7" s="6" t="n">
        <v>89583.60000000001</v>
      </c>
      <c r="C7" s="6" t="n">
        <v>64148.3</v>
      </c>
      <c r="D7" s="6" t="n">
        <v>33315.4</v>
      </c>
      <c r="E7" s="6" t="n"/>
      <c r="F7" s="6" t="n"/>
      <c r="G7" s="6" t="n"/>
      <c r="H7" s="6" t="n"/>
    </row>
    <row r="8">
      <c r="A8" s="6" t="inlineStr">
        <is>
          <t>Retail loans, incl. mortgages (net of allowance)</t>
        </is>
      </c>
      <c r="B8" s="6" t="n"/>
      <c r="C8" s="6" t="n"/>
      <c r="D8" s="6" t="n"/>
      <c r="E8" s="6" t="n">
        <v>125256.2</v>
      </c>
      <c r="F8" s="6" t="n">
        <v>108776.4</v>
      </c>
      <c r="G8" s="6" t="n">
        <v>80363.3</v>
      </c>
      <c r="H8" s="6" t="n">
        <v>83790.10000000001</v>
      </c>
    </row>
    <row r="9">
      <c r="A9" s="6" t="inlineStr">
        <is>
          <t>Corporate loans, incl. mortgages (net of allowance)</t>
        </is>
      </c>
      <c r="B9" s="6" t="n"/>
      <c r="C9" s="6" t="n"/>
      <c r="D9" s="6" t="n"/>
      <c r="E9" s="6" t="n">
        <v>796359.6</v>
      </c>
      <c r="F9" s="6" t="n">
        <v>671046.8</v>
      </c>
      <c r="G9" s="6" t="n">
        <v>571489.5</v>
      </c>
      <c r="H9" s="6" t="n">
        <v>577895.4</v>
      </c>
    </row>
    <row r="10">
      <c r="A10" s="5" t="inlineStr">
        <is>
          <t>Total loans and advances to customers (gross FY2023-25 / net FY2019-22)</t>
        </is>
      </c>
      <c r="B10" s="5" t="n">
        <v>1273564.1</v>
      </c>
      <c r="C10" s="5" t="n">
        <v>1355861</v>
      </c>
      <c r="D10" s="5" t="n">
        <v>1217034.6</v>
      </c>
      <c r="E10" s="5" t="n">
        <v>921615.8</v>
      </c>
      <c r="F10" s="5" t="n">
        <v>779823.3</v>
      </c>
      <c r="G10" s="5" t="n">
        <v>651852.8</v>
      </c>
      <c r="H10" s="5" t="n">
        <v>661685.5</v>
      </c>
    </row>
    <row r="11">
      <c r="A11" s="5" t="inlineStr">
        <is>
          <t>Loan book by IFRS 9 stage (gross carrying amount)</t>
        </is>
      </c>
      <c r="B11" s="6" t="n"/>
      <c r="C11" s="6" t="n"/>
      <c r="D11" s="6" t="n"/>
      <c r="E11" s="6" t="n"/>
      <c r="F11" s="6" t="n"/>
      <c r="G11" s="6" t="n"/>
      <c r="H11" s="6" t="n"/>
    </row>
    <row r="12">
      <c r="A12" s="6" t="inlineStr">
        <is>
          <t>Stage 1 (12-month ECL)</t>
        </is>
      </c>
      <c r="B12" s="6" t="n">
        <v>1147726.1</v>
      </c>
      <c r="C12" s="6" t="n">
        <v>1239505.3</v>
      </c>
      <c r="D12" s="6" t="n">
        <v>1138323.6</v>
      </c>
      <c r="E12" s="6" t="n">
        <v>855651.4</v>
      </c>
      <c r="F12" s="6" t="n">
        <v>686246.6</v>
      </c>
      <c r="G12" s="6" t="n">
        <v>540993.2</v>
      </c>
      <c r="H12" s="6" t="n">
        <v>621201.2</v>
      </c>
    </row>
    <row r="13">
      <c r="A13" s="6" t="inlineStr">
        <is>
          <t>Stage 2 (lifetime ECL, not credit-impaired)</t>
        </is>
      </c>
      <c r="B13" s="6" t="n">
        <v>72566.2</v>
      </c>
      <c r="C13" s="6" t="n">
        <v>45984</v>
      </c>
      <c r="D13" s="6" t="n">
        <v>9539.6</v>
      </c>
      <c r="E13" s="6" t="n">
        <v>8887.700000000001</v>
      </c>
      <c r="F13" s="6" t="n">
        <v>11889.2</v>
      </c>
      <c r="G13" s="6" t="n">
        <v>70874.5</v>
      </c>
      <c r="H13" s="6" t="n">
        <v>28789.3</v>
      </c>
    </row>
    <row r="14">
      <c r="A14" s="6" t="inlineStr">
        <is>
          <t>Stage 3 (lifetime ECL, credit-impaired)</t>
        </is>
      </c>
      <c r="B14" s="6" t="n">
        <v>53271.9</v>
      </c>
      <c r="C14" s="6" t="n">
        <v>70371.7</v>
      </c>
      <c r="D14" s="6" t="n">
        <v>69171.39999999999</v>
      </c>
      <c r="E14" s="6" t="n">
        <v>93186.60000000001</v>
      </c>
      <c r="F14" s="6" t="n">
        <v>137044.6</v>
      </c>
      <c r="G14" s="6" t="n">
        <v>82761</v>
      </c>
      <c r="H14" s="6" t="n">
        <v>12113</v>
      </c>
    </row>
    <row r="15">
      <c r="A15" s="5" t="inlineStr">
        <is>
          <t>Total gross carrying amount</t>
        </is>
      </c>
      <c r="B15" s="5" t="n">
        <v>1273564.1</v>
      </c>
      <c r="C15" s="5" t="n">
        <v>1355861</v>
      </c>
      <c r="D15" s="5" t="n">
        <v>1217034.6</v>
      </c>
      <c r="E15" s="5" t="n">
        <v>957725.7</v>
      </c>
      <c r="F15" s="5" t="n">
        <v>835180.4</v>
      </c>
      <c r="G15" s="5" t="n">
        <v>694628.7</v>
      </c>
      <c r="H15" s="5" t="n">
        <v>662103.5</v>
      </c>
    </row>
    <row r="16">
      <c r="A16" s="5" t="inlineStr">
        <is>
          <t>Loss allowance by IFRS 9 stage</t>
        </is>
      </c>
      <c r="B16" s="6" t="n"/>
      <c r="C16" s="6" t="n"/>
      <c r="D16" s="6" t="n"/>
      <c r="E16" s="6" t="n"/>
      <c r="F16" s="6" t="n"/>
      <c r="G16" s="6" t="n"/>
      <c r="H16" s="6" t="n"/>
    </row>
    <row r="17">
      <c r="A17" s="6" t="inlineStr">
        <is>
          <t>Stage 1 loss allowance</t>
        </is>
      </c>
      <c r="B17" s="6" t="n">
        <v>-2306.7</v>
      </c>
      <c r="C17" s="6" t="n">
        <v>-1089</v>
      </c>
      <c r="D17" s="6" t="n">
        <v>-843</v>
      </c>
      <c r="E17" s="6" t="n">
        <v>-641.3</v>
      </c>
      <c r="F17" s="6" t="n">
        <v>-360</v>
      </c>
      <c r="G17" s="6" t="n">
        <v>-539.2</v>
      </c>
      <c r="H17" s="6" t="n">
        <v>-114.4</v>
      </c>
    </row>
    <row r="18">
      <c r="A18" s="6" t="inlineStr">
        <is>
          <t>Stage 2 loss allowance</t>
        </is>
      </c>
      <c r="B18" s="6" t="n">
        <v>-190.4</v>
      </c>
      <c r="C18" s="6" t="n">
        <v>-20306.5</v>
      </c>
      <c r="D18" s="6" t="n">
        <v>0</v>
      </c>
      <c r="E18" s="6" t="n">
        <v>-15.2</v>
      </c>
      <c r="F18" s="6" t="n">
        <v>-32.6</v>
      </c>
      <c r="G18" s="6" t="n">
        <v>-6385.2</v>
      </c>
      <c r="H18" s="6" t="n">
        <v>-303.6</v>
      </c>
    </row>
    <row r="19">
      <c r="A19" s="6" t="inlineStr">
        <is>
          <t>Stage 3 loss allowance</t>
        </is>
      </c>
      <c r="B19" s="6" t="n">
        <v>-12867.3</v>
      </c>
      <c r="C19" s="6" t="n">
        <v>-231.7</v>
      </c>
      <c r="D19" s="6" t="n">
        <v>-19880</v>
      </c>
      <c r="E19" s="6" t="n">
        <v>-35453.4</v>
      </c>
      <c r="F19" s="6" t="n">
        <v>-54964.5</v>
      </c>
      <c r="G19" s="6" t="n">
        <v>-35851.5</v>
      </c>
      <c r="H19" s="6" t="n">
        <v>0</v>
      </c>
    </row>
    <row r="20">
      <c r="A20" s="5" t="inlineStr">
        <is>
          <t>Total loss allowance</t>
        </is>
      </c>
      <c r="B20" s="5" t="n">
        <v>-15364.4</v>
      </c>
      <c r="C20" s="5" t="n">
        <v>-21627.2</v>
      </c>
      <c r="D20" s="5" t="n">
        <v>-20723</v>
      </c>
      <c r="E20" s="5" t="n">
        <v>-36109.9</v>
      </c>
      <c r="F20" s="5" t="n">
        <v>-55357.1</v>
      </c>
      <c r="G20" s="5" t="n">
        <v>-42775.8</v>
      </c>
      <c r="H20" s="5" t="n">
        <v>-417.9</v>
      </c>
    </row>
    <row r="21">
      <c r="A21" s="5" t="inlineStr">
        <is>
          <t>Asset quality ratios (computed from the £-converted figures above)</t>
        </is>
      </c>
      <c r="B21" s="6" t="n"/>
      <c r="C21" s="6" t="n"/>
      <c r="D21" s="6" t="n"/>
      <c r="E21" s="6" t="n"/>
      <c r="F21" s="6" t="n"/>
      <c r="G21" s="6" t="n"/>
      <c r="H21" s="6" t="n"/>
    </row>
    <row r="22">
      <c r="A22" s="6" t="inlineStr">
        <is>
          <t>ECL coverage ratio (total loss allowance / total gross carrying amount)</t>
        </is>
      </c>
      <c r="B22" s="6" t="inlineStr">
        <is>
          <t>1.2%</t>
        </is>
      </c>
      <c r="C22" s="6" t="inlineStr">
        <is>
          <t>1.6%</t>
        </is>
      </c>
      <c r="D22" s="6" t="inlineStr">
        <is>
          <t>1.7%</t>
        </is>
      </c>
      <c r="E22" s="6" t="inlineStr">
        <is>
          <t>3.8%</t>
        </is>
      </c>
      <c r="F22" s="6" t="inlineStr">
        <is>
          <t>6.6%</t>
        </is>
      </c>
      <c r="G22" s="6" t="inlineStr">
        <is>
          <t>6.2%</t>
        </is>
      </c>
      <c r="H22" s="6" t="inlineStr">
        <is>
          <t>0.1%</t>
        </is>
      </c>
    </row>
    <row r="23">
      <c r="A23" s="6" t="inlineStr">
        <is>
          <t>Stage 3 / NPL ratio (Stage 3 gross / total gross carrying amount)</t>
        </is>
      </c>
      <c r="B23" s="6" t="inlineStr">
        <is>
          <t>4.2%</t>
        </is>
      </c>
      <c r="C23" s="6" t="inlineStr">
        <is>
          <t>5.2%</t>
        </is>
      </c>
      <c r="D23" s="6" t="inlineStr">
        <is>
          <t>5.7%</t>
        </is>
      </c>
      <c r="E23" s="6" t="inlineStr">
        <is>
          <t>9.7%</t>
        </is>
      </c>
      <c r="F23" s="6" t="inlineStr">
        <is>
          <t>16.4%</t>
        </is>
      </c>
      <c r="G23" s="6" t="inlineStr">
        <is>
          <t>11.9%</t>
        </is>
      </c>
      <c r="H23" s="6" t="inlineStr">
        <is>
          <t>1.8%</t>
        </is>
      </c>
    </row>
    <row r="24">
      <c r="A24" s="6" t="inlineStr">
        <is>
          <t>Stage 3 coverage ratio (Stage 3 loss allowance / Stage 3 gross)</t>
        </is>
      </c>
      <c r="B24" s="6" t="inlineStr">
        <is>
          <t>24.2%</t>
        </is>
      </c>
      <c r="C24" s="6" t="inlineStr">
        <is>
          <t>0.3%</t>
        </is>
      </c>
      <c r="D24" s="6" t="inlineStr">
        <is>
          <t>28.7%</t>
        </is>
      </c>
      <c r="E24" s="6" t="inlineStr">
        <is>
          <t>38.0%</t>
        </is>
      </c>
      <c r="F24" s="6" t="inlineStr">
        <is>
          <t>40.1%</t>
        </is>
      </c>
      <c r="G24" s="6" t="inlineStr">
        <is>
          <t>43.3%</t>
        </is>
      </c>
      <c r="H24" s="6" t="inlineStr">
        <is>
          <t>0.0%</t>
        </is>
      </c>
    </row>
    <row r="26" ht="300" customHeight="1">
      <c r="A26" s="8" t="inlineStr">
        <is>
          <t>Sources - The Access Bank UK Limited's own Note 27/24 'Financial instruments - Credit risk' (Group basis; immaterially different from Bank basis in every year - see entity note), converted from USD to £ at that year's BoE spot rate (point-in-time balances, same as the Balance Sheet sheet's convention):
FY2025 (product split): Report &amp; Financial Statements 2025, Note 19 'Loans and advances to customers', p.42, Bank column - https://www.theaccessbankukltd.co.uk/wp-content/uploads/2026/06/AccessBank_AR2025_Financials_web.pdf
FY2025 (IFRS 9 staging and loss allowance): Report &amp; Financial Statements 2025, Note 28d 'Credit risk exposure', p.62, 'Loans to customers - Bank 2025' ECL staging table - https://www.theaccessbankukltd.co.uk/wp-content/uploads/2026/06/AccessBank_AR2025_Financials_web.pdf
FY2024 &amp; FY2023: Report &amp; Financial Statements 2024, p.51-52 (Note 27d, Loans to customers ECL staging table) - https://www.theaccessbankukltd.co.uk/wp-content/uploads/2025/06/AccessBank_AR2024_Financials-AW.pdf
FY2022 &amp; FY2021: Report and Statutory Accounts 2022, p.43 (Note 24d) - https://www.theaccessbankukltd.co.uk/wp-content/uploads/2023/07/ACCESS_BANK_AR22_Accs.pdf
FY2020: Report and Statutory Accounts 2021, p.42 (Note 24d, comparative column) - https://www.theaccessbankukltd.co.uk/wp-content/uploads/2022/06/ACCESS_BANK_AR_2021_Accounts.pdf
FY2019: Report and Statutory Accounts 2019, p.37 (Note 23d) - https://www.theaccessbankukltd.co.uk/wp-content/uploads/2020/07/ACCE3269_ACCESS_BANK_AR_2019_WEB.pdf
ENTITY NOTE: The Access Bank UK Limited (Companies House 06365062, FRN 478415) is a UK subsidiary of Access Bank Plc (Nigeria); ultimate parent is Access Holdings Plc (Nigeria). Like Zenith Bank (UK) Limited and United Bank for Africa (UK) Limited elsewhere in this workbook series, it prepares full IFRS financial statements with a genuine Statement of Cash Flows every year - no FRS 101/102 cash-flow exemption applies. The Bank's Own Funds consist entirely of Common Equity Tier 1 (CET1) capital (no AT1 or Tier 2 instruments), so CET1 capital = Tier 1 capital = Total capital in every year shown. The Bank's own website blocks automated page fetches (Cloudflare bot protection on its HTML pages, though direct PDF links work); its 'Our Reports' page was instead read through a text-extraction proxy (2026-09-18) and via multiple Wayback Machine snapshots (2022-2025) to locate every year's Annual Report and Pillar 3 Disclosures PDF. LATEST-EDITION CHECK, 18 SEPTEMBER 2026: the Bank's 'Our Reports' page lists a FY2025 Annual Report and a FY2025 Report &amp; Financial Statements (both uploaded to the Bank's CDN in its 2026/06 folder; the financial statements were signed 23 April 2026 and the PDF was produced 15 June 2026), and this workbook was extended to FY2025 from them on that date. The newest Pillar 3 Disclosures edition on that same page is still the 2023 one - no FY2024 and no FY2025 Pillar 3 edition exists as at 18 September 2026 (see the Pillar 3 sheets' source notes for the evidence). This workbook therefore covers FY2019-FY2025 - 7 years of statements, but Pillar 3 template metrics only to FY2023; FY2024 and FY2025 Pillar 3 cells are filled ONLY from the Annual Report where the Bank itself discloses the figure on the same basis, and are otherwise blank rather than guessed. From FY2024 the Bank's own Statement of Cash Flows is presented on both 'Bank' and 'Group' bases (following the acquisition of an interest in a subsidiary during 2024 - see 'Purchase of share in subsidiary' below); the Bank (entity-level) column is used throughout this workbook for consistency with every earlier year, when Bank and Group were identical since no subsidiary existed. THAT CHOICE MATTERS MUCH MORE FROM FY2025: the Group acquired control of AfrAsia Bank Limited (Mauritius) during 2025 and consolidated it for the first time, so Group total assets ($11,617.1m) are now more than double the Bank's ($5,146.0m). Every FY2025 figure in this workbook is the BANK column, on the same basis as FY2019-FY2024; no Group figure is mixed in.
UNIT PRECISION CHANGES AT FY2025: the FY2019-FY2024 editions print the primary statements in whole US dollars and were transcribed at that precision; the FY2025 edition prints them in $'000. FY2025 source figures below are therefore written as whole dollars with three trailing zeros - that is the precision the Bank published, not a rounding applied here.</t>
        </is>
      </c>
    </row>
    <row r="28" ht="300" customHeight="1">
      <c r="A28" s="8" t="inlineStr">
        <is>
          <t>(continued)
FX CONVERSION NOTE: The Access Bank UK Limited reports in US Dollars. This workbook converts every $ amount to £ for consistency with the rest of this series, following the same methodology established for SMBC Bank International plc, Zenith Bank (UK) Limited and United Bank for Africa (UK) Limited: point-in-time/balance figures (capital, RWA, leverage exposure, HQLA, cash balances) use the Bank of England GBP/USD SPOT rate as at that fiscal year-end (31 December); flow figures (every cash flow statement line item) use the AVERAGE of Bank of England rates over that calendar year - both via poundsterlinglive.com's published Bank of England archive. Rates used (£1 = $X): FY2020 spot 1.3661 / average 1.2837; FY2021 spot 1.3521 / average 1.3752; FY2022 spot 1.2097 / average 1.2362; FY2023 spot 1.2732 / average 1.2439; FY2024 spot 1.2515 / average 1.2782 - identical to the FY2021-FY2024 rates already used for Zenith Bank UK and UBA UK, since all average 1.2782; FY2025 spot 1.3448 / average 1.3193 (the same FY2025 pair already used in build_zenith.py); FY2019 spot 1.3210 / average 1.2767 (Bank of England series XUDLUSS, 31 December 2019; its published calendar-year GBP/USD average). All % ratios (CET1/Tier 1/Total Capital/Leverage/LCR/NSFR ratios) are shown EXACTLY as reported in USD and were NOT converted - a ratio is dimensionless and currency-invariant. Because stocks and flows are converted at different rates, the cash flow statement includes an explicit 'Effect of GBP/USD translation' reconciling line (FY2021-FY2024 only, computed programmatically from the actual converted figures) so opening + all flows + this line = closing exactly in £ terms for those years - this line is purely an artefact of £ translation and has no bearing on the Bank's underlying USD results. This conversion was not explicitly requested for this bank - applied for consistency with the rest of the series, following the same call already confirmed for Zenith Bank UK and UBA UK; flag if £'000 rather than the Bank's native US$'000 presentation is not what's wanted here.
PRESENTATION NOTE: the loan-book-by-product split is NOT presented on a consistent basis across all 5 years - FY2024/FY2023 disclose a GROSS product split (Loans to corporates / secured on property / other secured personal loans, from Note 18/17); FY2022/FY2021/FY2020 only disclose a NET-of-allowance Retail/Corporate split (from the credit risk exposure table), not a gross one at that granularity - each row is labelled to make this explicit, and the 'Total loans and advances to customers' row for each year sums exactly to whichever rows are populated for that year (gross FY2023-24, net FY2020-22) - do not compare that total row directly across the gross/net boundary. The by-IFRS-9-stage breakdown below IS on a consistent gross basis for all 5 years and ties to each year's own Balance Sheet 'Loans and advances to customers' gross figure. FY2024's Stage 3 loss allowance coverage (0.3%) is much lower than FY2023's (28.7%) - both figures are as directly reported; the Bank's own notes attribute this to a large trade-finance Stage 3 exposure ($49.9m) that is substantially collateralised by credit insurance, so most of its gross balance is not provisioned for - flagged here for visibility rather than smoothed over. FY2025 reverses that: the credit insurance on the Bank's impaired trade loans fell from $46.4m to $1.2m, and Stage 3 coverage returns to 24.2%.
ENTITY BASIS, AND WHY FY2025 IS EXPLICITLY THE BANK COLUMN. Through FY2024 the Bank and Group ECL tables were the same figures, which is why this sheet's subtitle says Group. From FY2025 they are not: the Group consolidated AfrAsia Bank Limited (Mauritius) for the first time and its gross customer loan book is $3,154.9m against the Bank's $1,712.7m. Every FY2025 figure on this sheet is the BANK column, matching the Bank basis used on every other sheet in this workbook and on every earlier year here.
FY2025's own edition ALSO RESTATES FY2024's staging split (Stage 1 1,532,806 / Stage 2 57,549 / Stage 3 106,506 $'000, against the AR2024's own 1,551,241 / 57,549 / 88,070). The FY2024 column above is the AR2024's own figures, per this project's each-year-from-its-own-edition rule; the restated comparative is recorded here rather than substituted.
ROUNDING: each £ figure is converted from the Bank's USD and independently rounded to one decimal place before any total is read, so a TOTAL row can differ from the sum of the rows above it by up to £0.1k (FY2025's 'Total gross carrying amount' is one such case). The underlying USD figures tie exactly.</t>
        </is>
      </c>
    </row>
  </sheetData>
  <mergeCells count="2">
    <mergeCell ref="A28:H28"/>
    <mergeCell ref="A26:H2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The Access Bank UK Limited - KM1 Key Metrics</t>
        </is>
      </c>
    </row>
    <row r="2">
      <c r="A2" s="2" t="inlineStr">
        <is>
          <t>The Bank's own published KM1 key-metrics template, in its own row order, row numbers, labels and precision. Amounts in US DOLLARS ($'000) as published - this sheet is NOT converted to sterling, unlike the other Pillar 3 sheets in this workbook. Each column is taken from that year's own edition; FY2021 was recovered from an image. See the sources note for the six rows on which a later edition's comparative disagrees with the year's own edition.</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row>
    <row r="4">
      <c r="A4" s="6" t="inlineStr">
        <is>
          <t>[No UK KM1 published for this year - see note below]</t>
        </is>
      </c>
      <c r="B4" s="6" t="inlineStr">
        <is>
          <t>Not published - no Pillar 3 edition for this year (newest is 2023); checked 18 Sep 2026</t>
        </is>
      </c>
      <c r="C4" s="6" t="inlineStr">
        <is>
          <t>Not published - no Pillar 3 edition for this year (newest is 2023); checked 18 Sep 2026</t>
        </is>
      </c>
      <c r="D4" s="6" t="n"/>
      <c r="E4" s="6" t="n"/>
      <c r="F4" s="6" t="n"/>
      <c r="G4" s="6" t="n"/>
    </row>
    <row r="5">
      <c r="A5" s="5" t="inlineStr">
        <is>
          <t>Available own funds (amounts)</t>
        </is>
      </c>
      <c r="B5" s="6" t="n"/>
      <c r="C5" s="6" t="n"/>
      <c r="D5" s="6" t="n"/>
      <c r="E5" s="6" t="n"/>
      <c r="F5" s="6" t="n"/>
      <c r="G5" s="6" t="n"/>
    </row>
    <row r="6">
      <c r="A6" s="6" t="inlineStr">
        <is>
          <t>1  Common Equity Tier 1 (CET1) capital ($'000)</t>
        </is>
      </c>
      <c r="B6" s="6" t="n"/>
      <c r="C6" s="6" t="n"/>
      <c r="D6" s="6" t="n">
        <v>676944</v>
      </c>
      <c r="E6" s="6" t="n">
        <v>486842</v>
      </c>
      <c r="F6" s="6" t="n">
        <v>377827</v>
      </c>
      <c r="G6" s="6" t="n">
        <v>338920</v>
      </c>
    </row>
    <row r="7">
      <c r="A7" s="6" t="inlineStr">
        <is>
          <t>2  Tier 1 capital ($'000)</t>
        </is>
      </c>
      <c r="B7" s="6" t="n"/>
      <c r="C7" s="6" t="n"/>
      <c r="D7" s="6" t="n">
        <v>676944</v>
      </c>
      <c r="E7" s="6" t="n">
        <v>486842</v>
      </c>
      <c r="F7" s="6" t="n">
        <v>377827</v>
      </c>
      <c r="G7" s="6" t="n">
        <v>338920</v>
      </c>
    </row>
    <row r="8">
      <c r="A8" s="6" t="inlineStr">
        <is>
          <t>3  Total capital ($'000)</t>
        </is>
      </c>
      <c r="B8" s="6" t="n"/>
      <c r="C8" s="6" t="n"/>
      <c r="D8" s="6" t="n">
        <v>676944</v>
      </c>
      <c r="E8" s="6" t="n">
        <v>486842</v>
      </c>
      <c r="F8" s="6" t="n">
        <v>377827</v>
      </c>
      <c r="G8" s="6" t="n">
        <v>338920</v>
      </c>
    </row>
    <row r="9">
      <c r="A9" s="5" t="inlineStr">
        <is>
          <t>Risk-weighted exposure amounts</t>
        </is>
      </c>
      <c r="B9" s="6" t="n"/>
      <c r="C9" s="6" t="n"/>
      <c r="D9" s="6" t="n"/>
      <c r="E9" s="6" t="n"/>
      <c r="F9" s="6" t="n"/>
      <c r="G9" s="6" t="n"/>
    </row>
    <row r="10">
      <c r="A10" s="6" t="inlineStr">
        <is>
          <t>4  Total risk-weighted exposure amount ($'000)</t>
        </is>
      </c>
      <c r="B10" s="6" t="n"/>
      <c r="C10" s="6" t="n"/>
      <c r="D10" s="6" t="n">
        <v>3024867</v>
      </c>
      <c r="E10" s="6" t="n">
        <v>2459345</v>
      </c>
      <c r="F10" s="6" t="n">
        <v>1726764</v>
      </c>
      <c r="G10" s="6" t="n">
        <v>1841957</v>
      </c>
    </row>
    <row r="11">
      <c r="A11" s="5" t="inlineStr">
        <is>
          <t>Capital ratios (as a percentage of risk-weighted exposure amount)</t>
        </is>
      </c>
      <c r="B11" s="6" t="n"/>
      <c r="C11" s="6" t="n"/>
      <c r="D11" s="6" t="n"/>
      <c r="E11" s="6" t="n"/>
      <c r="F11" s="6" t="n"/>
      <c r="G11" s="6" t="n"/>
    </row>
    <row r="12">
      <c r="A12" s="6" t="inlineStr">
        <is>
          <t>5  Common Equity Tier 1 ratio (%)</t>
        </is>
      </c>
      <c r="B12" s="6" t="n"/>
      <c r="C12" s="6" t="n"/>
      <c r="D12" s="6" t="inlineStr">
        <is>
          <t>22.4%</t>
        </is>
      </c>
      <c r="E12" s="6" t="inlineStr">
        <is>
          <t>19.8%</t>
        </is>
      </c>
      <c r="F12" s="6" t="inlineStr">
        <is>
          <t>21.88%</t>
        </is>
      </c>
      <c r="G12" s="6" t="inlineStr">
        <is>
          <t>18.40%</t>
        </is>
      </c>
    </row>
    <row r="13">
      <c r="A13" s="6" t="inlineStr">
        <is>
          <t>6  Tier 1 ratio (%)</t>
        </is>
      </c>
      <c r="B13" s="6" t="n"/>
      <c r="C13" s="6" t="n"/>
      <c r="D13" s="6" t="inlineStr">
        <is>
          <t>22.4%</t>
        </is>
      </c>
      <c r="E13" s="6" t="inlineStr">
        <is>
          <t>19.8%</t>
        </is>
      </c>
      <c r="F13" s="6" t="inlineStr">
        <is>
          <t>21.88%</t>
        </is>
      </c>
      <c r="G13" s="6" t="inlineStr">
        <is>
          <t>18.40%</t>
        </is>
      </c>
    </row>
    <row r="14">
      <c r="A14" s="6" t="inlineStr">
        <is>
          <t>7  Total capital ratio (%)</t>
        </is>
      </c>
      <c r="B14" s="6" t="n"/>
      <c r="C14" s="6" t="n"/>
      <c r="D14" s="6" t="inlineStr">
        <is>
          <t>22.4%</t>
        </is>
      </c>
      <c r="E14" s="6" t="inlineStr">
        <is>
          <t>19.8%</t>
        </is>
      </c>
      <c r="F14" s="6" t="inlineStr">
        <is>
          <t>21.88%</t>
        </is>
      </c>
      <c r="G14" s="6" t="inlineStr">
        <is>
          <t>18.40%</t>
        </is>
      </c>
    </row>
    <row r="15">
      <c r="A15" s="5" t="inlineStr">
        <is>
          <t>Additional own funds requirements based on SREP (as a percentage of risk-weighted exposure amount)</t>
        </is>
      </c>
      <c r="B15" s="6" t="n"/>
      <c r="C15" s="6" t="n"/>
      <c r="D15" s="6" t="n"/>
      <c r="E15" s="6" t="n"/>
      <c r="F15" s="6" t="n"/>
      <c r="G15" s="6" t="n"/>
    </row>
    <row r="16">
      <c r="A16" s="6" t="inlineStr">
        <is>
          <t>UK 7a  Additional CET1 SREP requirements (%)</t>
        </is>
      </c>
      <c r="B16" s="6" t="n"/>
      <c r="C16" s="6" t="n"/>
      <c r="D16" s="6" t="inlineStr">
        <is>
          <t>5.2%</t>
        </is>
      </c>
      <c r="E16" s="6" t="inlineStr">
        <is>
          <t>5.2%</t>
        </is>
      </c>
      <c r="F16" s="6" t="inlineStr">
        <is>
          <t>7.69%</t>
        </is>
      </c>
      <c r="G16" s="6" t="n"/>
    </row>
    <row r="17">
      <c r="A17" s="6" t="inlineStr">
        <is>
          <t>UK 7d  Total SREP own funds requirements (%)</t>
        </is>
      </c>
      <c r="B17" s="6" t="n"/>
      <c r="C17" s="6" t="n"/>
      <c r="D17" s="6" t="inlineStr">
        <is>
          <t>13.2%</t>
        </is>
      </c>
      <c r="E17" s="6" t="inlineStr">
        <is>
          <t>13.2%</t>
        </is>
      </c>
      <c r="F17" s="6" t="inlineStr">
        <is>
          <t>15.69%</t>
        </is>
      </c>
      <c r="G17" s="6" t="n"/>
    </row>
    <row r="18">
      <c r="A18" s="5" t="inlineStr">
        <is>
          <t>Combined buffer requirement (as a percentage of risk-weighted exposure amount)</t>
        </is>
      </c>
      <c r="B18" s="6" t="n"/>
      <c r="C18" s="6" t="n"/>
      <c r="D18" s="6" t="n"/>
      <c r="E18" s="6" t="n"/>
      <c r="F18" s="6" t="n"/>
      <c r="G18" s="6" t="n"/>
    </row>
    <row r="19">
      <c r="A19" s="6" t="inlineStr">
        <is>
          <t>8  Capital conservation buffer (%)</t>
        </is>
      </c>
      <c r="B19" s="6" t="n"/>
      <c r="C19" s="6" t="n"/>
      <c r="D19" s="6" t="inlineStr">
        <is>
          <t>2.5%</t>
        </is>
      </c>
      <c r="E19" s="6" t="inlineStr">
        <is>
          <t>2.5%</t>
        </is>
      </c>
      <c r="F19" s="6" t="inlineStr">
        <is>
          <t>2.50%</t>
        </is>
      </c>
      <c r="G19" s="6" t="inlineStr">
        <is>
          <t>2.50%</t>
        </is>
      </c>
    </row>
    <row r="20">
      <c r="A20" s="6" t="inlineStr">
        <is>
          <t>9  Institution specific countercyclical capital buffer (%)</t>
        </is>
      </c>
      <c r="B20" s="6" t="n"/>
      <c r="C20" s="6" t="n"/>
      <c r="D20" s="6" t="inlineStr">
        <is>
          <t>0.1%</t>
        </is>
      </c>
      <c r="E20" s="6" t="inlineStr">
        <is>
          <t>0.0%</t>
        </is>
      </c>
      <c r="F20" s="6" t="inlineStr">
        <is>
          <t>0.02%</t>
        </is>
      </c>
      <c r="G20" s="6" t="inlineStr">
        <is>
          <t>0.02%</t>
        </is>
      </c>
    </row>
    <row r="21">
      <c r="A21" s="6" t="inlineStr">
        <is>
          <t>11  Combined buffer requirement (%)</t>
        </is>
      </c>
      <c r="B21" s="6" t="n"/>
      <c r="C21" s="6" t="n"/>
      <c r="D21" s="6" t="inlineStr">
        <is>
          <t>2.6%</t>
        </is>
      </c>
      <c r="E21" s="6" t="inlineStr">
        <is>
          <t>2.5%</t>
        </is>
      </c>
      <c r="F21" s="6" t="inlineStr">
        <is>
          <t>2.52%</t>
        </is>
      </c>
      <c r="G21" s="6" t="inlineStr">
        <is>
          <t>2.52%</t>
        </is>
      </c>
    </row>
    <row r="22">
      <c r="A22" s="6" t="inlineStr">
        <is>
          <t>UK 11a  Overall capital requirements (%)</t>
        </is>
      </c>
      <c r="B22" s="6" t="n"/>
      <c r="C22" s="6" t="n"/>
      <c r="D22" s="6" t="inlineStr">
        <is>
          <t>15.8%</t>
        </is>
      </c>
      <c r="E22" s="6" t="inlineStr">
        <is>
          <t>15.7%</t>
        </is>
      </c>
      <c r="F22" s="6" t="inlineStr">
        <is>
          <t>18.21%</t>
        </is>
      </c>
      <c r="G22" s="6" t="n"/>
    </row>
    <row r="23">
      <c r="A23" s="6" t="inlineStr">
        <is>
          <t>12  CET1 available after meeting the total SREP own funds requirements (%)</t>
        </is>
      </c>
      <c r="B23" s="6" t="n"/>
      <c r="C23" s="6" t="n"/>
      <c r="D23" s="6" t="inlineStr">
        <is>
          <t>9.2%</t>
        </is>
      </c>
      <c r="E23" s="6" t="inlineStr">
        <is>
          <t>6.6%</t>
        </is>
      </c>
      <c r="F23" s="6" t="inlineStr">
        <is>
          <t>6.19%</t>
        </is>
      </c>
      <c r="G23" s="6" t="n"/>
    </row>
    <row r="24">
      <c r="A24" s="5" t="inlineStr">
        <is>
          <t>Leverage ratio</t>
        </is>
      </c>
      <c r="B24" s="6" t="n"/>
      <c r="C24" s="6" t="n"/>
      <c r="D24" s="6" t="n"/>
      <c r="E24" s="6" t="n"/>
      <c r="F24" s="6" t="n"/>
      <c r="G24" s="6" t="n"/>
    </row>
    <row r="25">
      <c r="A25" s="6" t="inlineStr">
        <is>
          <t>13  Total exposure measure excluding claims on central banks ($'000)</t>
        </is>
      </c>
      <c r="B25" s="6" t="n"/>
      <c r="C25" s="6" t="n"/>
      <c r="D25" s="6" t="n">
        <v>4246733</v>
      </c>
      <c r="E25" s="6" t="n"/>
      <c r="F25" s="6" t="n"/>
      <c r="G25" s="6" t="n"/>
    </row>
    <row r="26">
      <c r="A26" s="6" t="inlineStr">
        <is>
          <t>14  Leverage ratio excluding claims on central banks (%)</t>
        </is>
      </c>
      <c r="B26" s="6" t="n"/>
      <c r="C26" s="6" t="n"/>
      <c r="D26" s="6" t="inlineStr">
        <is>
          <t>15.9%</t>
        </is>
      </c>
      <c r="E26" s="6" t="n"/>
      <c r="F26" s="6" t="n"/>
      <c r="G26" s="6" t="n"/>
    </row>
    <row r="27">
      <c r="A27" s="6" t="inlineStr">
        <is>
          <t>13  Total Basel III Leverage Ratio exposure method ($'000)</t>
        </is>
      </c>
      <c r="B27" s="6" t="n"/>
      <c r="C27" s="6" t="n"/>
      <c r="D27" s="6" t="n"/>
      <c r="E27" s="6" t="n">
        <v>4061990</v>
      </c>
      <c r="F27" s="6" t="n">
        <v>3379955</v>
      </c>
      <c r="G27" s="6" t="n">
        <v>2595307</v>
      </c>
    </row>
    <row r="28">
      <c r="A28" s="6" t="inlineStr">
        <is>
          <t>14  Basel III Leverage ratio (%)</t>
        </is>
      </c>
      <c r="B28" s="6" t="n"/>
      <c r="C28" s="6" t="n"/>
      <c r="D28" s="6" t="n"/>
      <c r="E28" s="6" t="inlineStr">
        <is>
          <t>12.0%</t>
        </is>
      </c>
      <c r="F28" s="6" t="inlineStr">
        <is>
          <t>11.18%</t>
        </is>
      </c>
      <c r="G28" s="6" t="inlineStr">
        <is>
          <t>13.07%</t>
        </is>
      </c>
    </row>
    <row r="29">
      <c r="A29" s="5" t="inlineStr">
        <is>
          <t>Liquidity Coverage Ratio</t>
        </is>
      </c>
      <c r="B29" s="6" t="n"/>
      <c r="C29" s="6" t="n"/>
      <c r="D29" s="6" t="n"/>
      <c r="E29" s="6" t="n"/>
      <c r="F29" s="6" t="n"/>
      <c r="G29" s="6" t="n"/>
    </row>
    <row r="30">
      <c r="A30" s="6" t="inlineStr">
        <is>
          <t>15  Total high-quality liquid assets (HQLA) (Weighted value - average) ($'000)</t>
        </is>
      </c>
      <c r="B30" s="6" t="n"/>
      <c r="C30" s="6" t="n"/>
      <c r="D30" s="6" t="n">
        <v>902038</v>
      </c>
      <c r="E30" s="6" t="n">
        <v>1053232</v>
      </c>
      <c r="F30" s="6" t="n"/>
      <c r="G30" s="6" t="n"/>
    </row>
    <row r="31">
      <c r="A31" s="6" t="inlineStr">
        <is>
          <t>UK 16a  Cash outflows - Total weighted value ($'000)</t>
        </is>
      </c>
      <c r="B31" s="6" t="n"/>
      <c r="C31" s="6" t="n"/>
      <c r="D31" s="6" t="n">
        <v>987015</v>
      </c>
      <c r="E31" s="6" t="n">
        <v>935189</v>
      </c>
      <c r="F31" s="6" t="n"/>
      <c r="G31" s="6" t="n"/>
    </row>
    <row r="32">
      <c r="A32" s="6" t="inlineStr">
        <is>
          <t>UK 16b  Cash inflows - Total weighted value ($'000)</t>
        </is>
      </c>
      <c r="B32" s="6" t="n"/>
      <c r="C32" s="6" t="n"/>
      <c r="D32" s="6" t="n">
        <v>896548</v>
      </c>
      <c r="E32" s="6" t="n">
        <v>732155</v>
      </c>
      <c r="F32" s="6" t="n"/>
      <c r="G32" s="6" t="n"/>
    </row>
    <row r="33">
      <c r="A33" s="6" t="inlineStr">
        <is>
          <t>16  Total net cash outflows (adjusted value) ($'000)</t>
        </is>
      </c>
      <c r="B33" s="6" t="n"/>
      <c r="C33" s="6" t="n"/>
      <c r="D33" s="6" t="n">
        <v>246754</v>
      </c>
      <c r="E33" s="6" t="n">
        <v>233797</v>
      </c>
      <c r="F33" s="6" t="n"/>
      <c r="G33" s="6" t="n"/>
    </row>
    <row r="34">
      <c r="A34" s="6" t="inlineStr">
        <is>
          <t>17  Liquidity coverage ratio (%) (average of preceding twelve months)</t>
        </is>
      </c>
      <c r="B34" s="6" t="n"/>
      <c r="C34" s="6" t="n"/>
      <c r="D34" s="6" t="inlineStr">
        <is>
          <t>365.6%</t>
        </is>
      </c>
      <c r="E34" s="6" t="inlineStr">
        <is>
          <t>450.5%</t>
        </is>
      </c>
      <c r="F34" s="6" t="inlineStr">
        <is>
          <t>343.85%</t>
        </is>
      </c>
      <c r="G34" s="6" t="inlineStr">
        <is>
          <t>346.76%</t>
        </is>
      </c>
    </row>
    <row r="35">
      <c r="A35" s="5" t="inlineStr">
        <is>
          <t>Net Stable Funding Ratio</t>
        </is>
      </c>
      <c r="B35" s="6" t="n"/>
      <c r="C35" s="6" t="n"/>
      <c r="D35" s="6" t="n"/>
      <c r="E35" s="6" t="n"/>
      <c r="F35" s="6" t="n"/>
      <c r="G35" s="6" t="n"/>
    </row>
    <row r="36">
      <c r="A36" s="6" t="inlineStr">
        <is>
          <t>18  Total available stable funding ($'000)</t>
        </is>
      </c>
      <c r="B36" s="6" t="n"/>
      <c r="C36" s="6" t="n"/>
      <c r="D36" s="6" t="n">
        <v>1878935</v>
      </c>
      <c r="E36" s="6" t="n">
        <v>1467825</v>
      </c>
      <c r="F36" s="6" t="n"/>
      <c r="G36" s="6" t="n"/>
    </row>
    <row r="37">
      <c r="A37" s="6" t="inlineStr">
        <is>
          <t>19  Total required stable funding ($'000)</t>
        </is>
      </c>
      <c r="B37" s="6" t="n"/>
      <c r="C37" s="6" t="n"/>
      <c r="D37" s="6" t="n">
        <v>1114383</v>
      </c>
      <c r="E37" s="6" t="n">
        <v>992570</v>
      </c>
      <c r="F37" s="6" t="n"/>
      <c r="G37" s="6" t="n"/>
    </row>
    <row r="38">
      <c r="A38" s="6" t="inlineStr">
        <is>
          <t>20  NSFR ratio (%) (average of preceding four quarters)</t>
        </is>
      </c>
      <c r="B38" s="6" t="n"/>
      <c r="C38" s="6" t="n"/>
      <c r="D38" s="6" t="inlineStr">
        <is>
          <t>168.6%</t>
        </is>
      </c>
      <c r="E38" s="6" t="inlineStr">
        <is>
          <t>147.9%</t>
        </is>
      </c>
      <c r="F38" s="6" t="inlineStr">
        <is>
          <t>213.70%</t>
        </is>
      </c>
      <c r="G38" s="6" t="inlineStr">
        <is>
          <t>173.76%</t>
        </is>
      </c>
    </row>
    <row r="40" ht="390" customHeight="1">
      <c r="A40" s="8" t="inlineStr">
        <is>
          <t>Sources - The Access Bank UK Limited's own KM1 key-metrics template in EACH YEAR'S OWN Pillar 3 edition. Figures are in US DOLLARS ($'000) exactly as published and are NOT converted to sterling, unlike every other Pillar 3 sheet in this workbook - a KM1 reproduces a published template, so it keeps the published currency. All ratios are as printed, including the Bank's own precision (two decimals in the FY2020/FY2021 editions, one decimal from FY2022).
ENTITY: a single basis in every year. Each edition states: "These disclosures relate only to The Access Bank UK Limited, which has no trading subsidiaries, and therefore does not report on a consolidated basis." No figure of the Nigerian parent (Access Bank Plc) or of Access Holdings Plc appears here.
FY2023: Pillar 3 Disclosures 2023, p.6, Section 1.7 'UK KM1 - Key metrics template', column a (31-Dec-23) - https://www.theaccessbankukltd.co.uk/wp-content/uploads/2025/06/PIllar-3-2023.pdf
FY2022: Pillar 3 Disclosures 2022, pp.6-7, Section 1.7 'KM1 - Key metrics template', 2022 column - https://www.theaccessbankukltd.co.uk/wp-content/uploads/2024/01/PILLAR-3-DISCLOSURES-2022-Final.pdf
FY2021: Pillar 3 Disclosures 2021, p.7, Section 1.7 'KM1 - Key metrics template', Dec-21 column - https://www.theaccessbankukltd.co.uk/wp-content/uploads/2022/10/PILLAR-3-DISCLOSURES-2021-Final.pdf
FY2020: Pillar 3 Disclosures 2020, p.7, Section 1.7 'Key Metrics', Dec-20 column - https://www.theaccessbankukltd.co.uk/wp-content/uploads/2022/06/PILLAR-3-DISCLOSURES-2020-Clean.pdf
FY2021 WAS READ FROM AN IMAGE, NOT FROM TEXT. The FY2021 edition embeds its KM1 as a picture (an 861x637 bitmap) rather than as text, so every text extraction of that page returns the heading 'KM1 - Key metrics template' and the trailing note about 'the above ratios' with nothing in between. The page was rendered at 300dpi and read directly, and each figure was transcribed twice from two independent renderings - the full page and the embedded bitmap at its native resolution - which agree digit for digit. The same edition's CC1 and LR2 tables are ordinary text, which is why this table's absence from our extracts looked like an absence of disclosure. research/km1_inventory.jsonl currently records this document as NO_KM1_FOUND and is wrong on that point.
WHY NO COLUMN IS TAKEN FROM A LATER EDITION'S COMPARATIVE - THIS BANK IS THE DEMONSTRATION.
The FY2022 edition's 2021 comparative disagrees with the FY2021 edition's own Dec-21 column on six rows, while capital, RWAs, capital ratios and leverage agree exactly: UK 7a 7.69% against 6.1%, UK 7d 15.69% against 14.1%, UK 11a 18.21% against 16.6%, row 12 6.19% against 7.8%, row 17 343.85% against 370.6%, and row 20 213.70% against 196.8%. Both editions are internally consistent under the Bank's own printed definition that row 12 is the difference between the total capital ratio and the total SREP own funds requirement (21.88 - 15.69 = 6.19; 21.9 - 14.1 = 7.8), so the FY2021 SREP requirement was genuinely restated between editions rather than mistyped. Note also that the FY2022 edition's 2021 SREP figures coincide with the FY2021 edition's Dec-20 column (6.11 / 14.11 / 16.63) - a near-match of the kind that makes a wrongly-read column look entirely plausible. The figures above are each edition's own year.
THE LEVERAGE ROWS CARRY TWO DIFFERENT CAPTIONS AND ARE NOT MERGED (the 1 January 2022 basis break).
The FY2020, FY2021 and FY2022 editions caption rows 13 and 14 'Total Basel III Leverage Ratio exposure method' and 'Basel III Leverage ratio (%)'. The FY2023 edition captions the same row numbers 'Total exposure measure excluding claims on central banks' and 'Leverage ratio excluding claims on central banks'. Both captions are kept as separate rows above rather than run together as one series. The FY2022 figure is identical under either caption (4,061,990), which is precisely why merging them would look safe.
ROW SETS DIFFER BY EDITION - THESE BLANKS ARE NOT-PRINTED, NOT NOT-FOUND.
Rows 15, UK 16a, UK 16b, 16, 18 and 19 appear only in the FY2022 and FY2023 editions; the FY2021 and FY2020 editions disclose liquidity as a single LCR ratio row and a single NSFR ratio row. The FY2020 edition additionally prints no UK 7a, UK 7d, UK 11a or row 12. Neither edition prints UK 7b or UK 7c in any year - this Bank discloses only the CET1 and total SREP requirements.</t>
        </is>
      </c>
    </row>
    <row r="42" ht="390" customHeight="1">
      <c r="A42" s="8" t="inlineStr">
        <is>
          <t>(continued)
SOURCE DEFECTS, REPRODUCED AND FLAGGED (rule 7).
1. The FY2020 edition captions its risk-weighted assets section '($m)' while the figures printed under it are plainly $'000 (1,841,957 is $1.84bn, not $1.84 trillion); its leverage row is captioned '($m)' the same way. The figures are carried as $'000, the unit the magnitudes and every adjacent edition confirm, and the caption defect is recorded rather than silently corrected.
2. The FY2020 edition's row labels are its own and differ from the template's: 'Common Equity Tier (CET 1)', 'TIer 1 Ratio (%)' (with that capitalisation), and row 11 as 'Total of bank CET1 specific buffer requirement'. Its section headings likewise read 'Available capital' and 'Additional CET 1 buffer requirement as a percentage of RWA'. The template's canonical labels are used for the sheet's rows because the row NUMBERS and measures are the Bank's own; the label variants are recorded here.
3. The FY2023 edition prints the five-column template's column letters as 'a' and 'e' over 31-Dec-23 and 31-Dec-22 - two populated columns of a five-column template, not a two-column table.
FY2025, FY2024 AND FY2019 ARE BLANK, FOR DIFFERENT REASONS.
FY2025 and FY2024: no Pillar 3 edition exists for either year. Re-verified 18 September 2026 against the Bank's own 'Our Reports' page, which lists exactly one Pillar 3 entry (the 2023 edition) alongside a current FY2025 Annual Report - so the page is up to date and it is the Pillar 3 series that has stopped. A Wayback CDX sweep of the whole domain filtered on 'pillar' returns the same five documents, newest 2023, and 56 plausible 2024/2025 filenames probed under the Bank's CDN all returned non-200. See p3_sources() for the full evidence, the publication lag, and what the Annual Report does and does not substitute.
FY2019: the Bank's FY2019 Pillar 3 edition has not been located. The FY2020 edition prints a Dec-19 comparative column, and it is deliberately NOT used here for the reason demonstrated above. FY2019 therefore carries no column on this sheet, while the single-metric sheets continue to show that comparative under their own citation.
EXPECTED VERIFIER OUTPUT - TWO DISAGREEMENTS THAT ARE CORRECT AND MUST NOT BE 'FIXED'.
scripts/verify_workbook.py reports KM1 row 17 FY2021 (343.85%) and row 20 FY2021 (213.70%) as disagreeing with the LCR and NSFR sheets (370.6% and 196.8%). Both sides are deliberate and both are right for what they are: this sheet takes FY2021 from the FY2021 edition's own Dec-21 column, while those metric sheets cite the FY2022 edition's 2021 comparative, as their own source notes say. The gap IS the restatement documented above - the checker found it independently, from the other direction. Everything else reconciles, and the amount rows are skipped by design because this sheet is in USD and the metric sheets are in converted sterling.
LATEST-EDITION CHECK, 18 SEPTEMBER 2026 - THE INDEX WAS READ THIS TIME, AND IT IS A REAL NEGATIVE.
A 2026-09-16 attempt recorded here previously that the check was BLOCKED rather than negative: the Bank's HTML surface returns HTTP 403 behind a Cloudflare 'Just a moment...' interstitial to every User-Agent tried, and web.archive.org was 'Temporarily Offline' that day, so no claim about newer editions could be made. That block is still in place on the HTML surface, but the page WAS read on 18 September 2026 through a text-extraction proxy, and the archive was reachable. Both routes and a direct CDN probe agree:
- Newest ANNUAL REPORT: 2025 (two documents, 'Annual Report 2025' and 'Report and Financial Statements 2025', both in the Bank's 2026/06 CDN folder; the financial statements were signed 23 April 2026 and the PDF produced 15 June 2026). This was NEWER than the workbook held, and every statement sheet in this workbook has been extended to FY2025 from it.
- Newest PILLAR 3: still the 2023 edition. No FY2024 and no FY2025 edition exists, so this sheet's FY2025 and FY2024 columns stay empty.
The proxy render was calibrated before being relied on (map rule 22): two of the PDF URLs it produced were fetched straight from the Bank's own host and returned HTTP 200, Content-Type application/pdf and %PDF-1.7 magic bytes, so the link set it reported is the Bank's own.</t>
        </is>
      </c>
    </row>
  </sheetData>
  <mergeCells count="2">
    <mergeCell ref="A40:G40"/>
    <mergeCell ref="A42:G4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The Access Bank UK Limited — CET1 Capital</t>
        </is>
      </c>
    </row>
    <row r="2">
      <c r="A2" s="2" t="inlineStr">
        <is>
          <t>£'000 (conv. from USD)</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Common Equity Tier 1 (CET1) capital</t>
        </is>
      </c>
      <c r="B4" s="6" t="inlineStr">
        <is>
          <t>Not disclosed - no Pillar 3 edition; the Annual Report's Capital Resources table prints Tier 1 only</t>
        </is>
      </c>
      <c r="C4" s="6" t="n">
        <v>599900.9</v>
      </c>
      <c r="D4" s="6" t="n">
        <v>531687.1</v>
      </c>
      <c r="E4" s="6" t="n">
        <v>402448.5</v>
      </c>
      <c r="F4" s="6" t="n">
        <v>279437.2</v>
      </c>
      <c r="G4" s="6" t="n">
        <v>248093.1</v>
      </c>
    </row>
    <row r="5" ht="65" customHeight="1">
      <c r="A5" s="7" t="inlineStr">
        <is>
          <t>Note: FY2025 IS THE FIRST YEAR CET1, TIER 1 AND TOTAL CAPITAL ARE NOT THE SAME NUMBER. For FY2020-FY2024 the Bank held no AT1 and no Tier 2 instruments, so one figure served all three and all three ratios were identical. During 2025 it issued $295.0m of convertible notes, carried as a separate equity component and treated as AT1: its FY2025 capital-management note redefines capital to include 'AT1 capital', and its own KPI table prints a CET1 ratio of 11.78% against a Tier 1 ratio of 19.27%. FY2025 is therefore BLANK on this sheet: the Annual Report's Capital Resources table builds to a single 'Total regulatory capital' under the heading 'Tier one capital' and prints no CET1 amount, and no FY2025 Pillar 3 edition exists. Subtracting the convertible notes from Tier 1 to manufacture a CET1 figure is refused - it would not reproduce the Bank's own 11.78% ratio and is not a disclosure the Bank made.</t>
        </is>
      </c>
    </row>
    <row r="7" ht="234" customHeight="1">
      <c r="A7" s="8" t="inlineStr">
        <is>
          <t>Sources - The Access Bank UK Limited Pillar 3 Disclosures (UK KM1 - Key Metrics template, or the equivalent UK CC1/LR2 tables for FY2020/FY2021 which pre-date the Bank's KM1 template), converted from USD to £ where a $ amount (see FX conversion note on the Cash Flow Statement sheet; % ratios are unconverted):
FY2023 &amp; FY2022: Pillar 3 Disclosures 2023, p.6 (Section 1.7, Key Metrics) - https://www.theaccessbankukltd.co.uk/wp-content/uploads/2025/06/PIllar-3-2023.pdf
FY2021 (capital/leverage): Pillar 3 Disclosures 2021, p.15 (UK CC1) &amp; p.21 (LR2) - https://www.theaccessbankukltd.co.uk/wp-content/uploads/2022/10/PILLAR-3-DISCLOSURES-2021-Final.pdf
FY2021 (LCR/NSFR) &amp; FY2020 (capital/leverage): Pillar 3 Disclosures 2022, p.6-7 (Section 1.7 comparative column) &amp; Pillar 3 Disclosures 2021, p.15 (UK CC1) &amp; p.21 (LR2) - https://www.theaccessbankukltd.co.uk/wp-content/uploads/2024/01/PILLAR-3-DISCLOSURES-2022-Final.pdf
FY2019: Pillar 3 Disclosures 2020, p.6 (Section 1.7 FY2019 comparative) and p.17/p.20 (Pillar 1 / leverage comparatives) - https://www.theaccessbankukltd.co.uk/wp-content/uploads/2022/06/PILLAR-3-DISCLOSURES-2020-Clean.pdf
FY2025 (Tier 1 / Total capital amount): Report &amp; Financial Statements 2025, p.81, Note 28g 'Capital management', 'Capital Resources' table, Bank 31 December 2025 column - Total regulatory capital $788,303 thousand - https://www.theaccessbankukltd.co.uk/wp-content/uploads/2026/06/AccessBank_AR2025_Financials_web.pdf
FY2025 (CET1, Tier 1 and LCR ratios): Report &amp; Financial Statements 2025, p.4, Key Performance Indicators table, Bank 2025 column - CET1 Capital Ratio 11.78%, Tier 1 Capital Ratio 19.27%, Liquidity Coverage Ratio 199.46% - https://www.theaccessbankukltd.co.uk/wp-content/uploads/2026/06/AccessBank_AR2025_Financials_web.pdf
FY2024 (capital amounts): Report &amp; Financial Statements 2024, p.59, Note 27g 'Capital management (Bank)', 'Capital Resources' table - Total tier 1 capital / Total regulatory capital $750,775,693 (shown here as 750,776 $'000 before conversion) - https://www.theaccessbankukltd.co.uk/wp-content/uploads/2025/06/AccessBank_AR2024_Financials-AW.pdf
SOURCE DEFECT, REPRODUCED NOT CORRECTED: the FY2025 edition's Note 28g narrative says 'Total regulatory capital as at 31 December 2025 including 2025 profit after tax was $793,036 thousand (2024: $750,776 thousand) for the Bank', while the itemised Capital Resources table immediately below it foots to $788,303 thousand (2024: $750,775). The two disagree by $4,733 thousand for 2025 and by rounding only for 2024. The TABLE figure is used here because it is the build-up the Bank shows its working for, and because the FY2024 column above was taken from the equivalent table in the previous edition; the narrative's number is recorded rather than reconciled away.</t>
        </is>
      </c>
    </row>
    <row r="9" ht="286" customHeight="1">
      <c r="A9" s="8" t="inlineStr">
        <is>
          <t>(continued)
NO FY2024 AND NO FY2025 PILLAR 3 DISCLOSURES DOCUMENT EXISTS - and that finding is now written INTO the FY2025/FY2024 cells of KM1, Total RWAs, RWA Breakdown, Leverage Ratio, NSFR and (FY2025) CET1 Capital, not only into these notes, because a note is invisible to the coverage census and those columns otherwise read as untouched gaps. The evidence is unchanged and is set out immediately below. Independently re-confirmed a third time on 18 September 2026 in the gap-fill round: the 'Our Reports' page was re-fetched with a browser User-Agent over HTTP/1.1 (HTTP 200, text/html, 197,098 bytes), every .pdf href parsed, and it still carries exactly one Pillar 3 entry - 'Pillar 3 Disclosures 2023' at .../2025/06/PIllar-3-2023.pdf - beside 'Annual Report 2025' and 'Report and Financial Statements 2025'; a fresh Wayback CDX sweep of the domain filtered on 'pillar' still returns exactly five documents, newest the 2023 edition; and the WordPress REST media endpoint is still closed (HTTP 401, 'itsec_rest_api_access_restricted') on both /wp-json/wp/v2/media and the ?rest_route= form. Re-verified 18 September 2026 against the Bank's OWN site: its 'Our Reports' page (https://www.theaccessbankukltd.co.uk/about-us/our-reports/) carries exactly one Pillar 3 entry, 'Pillar 3 Disclosures 2023', while the same page was already carrying the FY2025 Annual Report and FY2025 Report &amp; Financial Statements - so the page is current and the Pillar 3 series is what has stopped, not our reading of it. THE PROXY IS NO LONGER NEEDED AND THE 403 IS NOT A REAL BLOCK (established 2026-09-18, second pass, and recorded because the same wrong conclusion will otherwise be drawn again): the page returns 403 to a plain curl, to curl -L, and to curl --http1.1 -L, but returns HTTP 200 with 197,459 bytes of real HTML as soon as a browser User-Agent and an Accept: text/html header are sent over HTTP/1.1. No cookie warm-up is required (one was tried and changed nothing). Cloudflare here is filtering on request HEADERS, not challenging the client. The page was re-read that way, directly from the Bank's own host with no intermediary, and every .pdf href extracted - 25 documents, of which EXACTLY ONE is a Pillar 3 ('.../2025/06/PIllar-3-2023.pdf'), alongside Annual Reports running from 2011 to 2025. That is the same result the proxy gave, now on first-hand evidence. The Bank's WordPress REST media endpoint, which would have listed unlinked uploads too, is closed (HTTP 401, 'itsec_rest_api_access_restricted'), so the reports page is the best enumeration available. A Wayback CDX sweep of the whole domain filtered on 'pillar' returns exactly five documents, the newest still the 2023 edition, and 56 further plausible 2024/2025 filenames probed under the Bank's /wp-content/uploads/ CDN (2025/06, 2025/07, 2025/12, 2026/01, 2026/05, 2026/06, 2026/07 folders) all returned non-200. Three independent routes agree. Publication lag for the next look: the Bank published its FY2025 Annual Report in June 2026 (signed 23 April 2026) and its 2023 Pillar 3 in the 2025/06 folder, i.e. its Pillar 3 has been running roughly 18 months behind year-end, so a FY2024 edition would already be overdue and a FY2025 one would not be expected before mid-2027.
For FY2024 and FY2025 the Annual Report substitutes ONLY where the basis is verified identical. The AR's capital table is the same basis as the Pillar 3: the FY2024 edition's FY2023 comparative of $676,943,850 reproduces the FY2023 Pillar 3 CET1/Tier 1/Total capital figure of 676,944 $'000 EXACTLY, and the note confirms 'the Bank's regulatory capital consists only of Tier 1 capital'. The AR's Tier 1 Capital Ratio (20.18% for FY2024) likewise ties to the Pillar 3 basis (its FY2023 figure, 22.38%, matches the workbook's 22.4%).</t>
        </is>
      </c>
    </row>
    <row r="11" ht="169" customHeight="1">
      <c r="A11" s="8" t="inlineStr">
        <is>
          <t>(continued)
NOT substituted for FY2024 or FY2025, and left blank rather than derived: Total RWAs (neither Annual Report gives an RWA figure; back-solving $750,775,693 / 20.18% is refused because the ratio is rounded to 2dp, which spans an RWA range of roughly $3,719.5m-$3,721.3m, and the same objection applies to $788,303k / 19.27%); Leverage Ratio (neither AR discloses a leverage ratio or a leverage exposure measure - total assets is NOT the exposure measure, which includes off-balance-sheet items); and NSFR (neither AR contains a quantitative NSFR disclosure - the FY2025 edition mentions the Net Stable Funding Ratio exactly once, in a sentence saying PRA liquidity limits 'are fully met at all times', with no figure; a richness control on the same document returns 33 hits for 'cash flow' and 16 for 'total assets', so that single hit is a fact about the document, not about the extraction). ALL THREE OF THOSE NEGATIVES WERE RE-ESTABLISHED INDEPENDENTLY ON 2026-09-18 against freshly downloaded copies of AccessBank_AR2025_web.pdf (13,090,810 bytes), AccessBank_AR2025_Financials_web.pdf (2,443,676 bytes) and the FY2024 narrative edition AccessBank_AR2024-AW4-1-v2.pdf (4,689,255 bytes), all text-native. In the FY2025 Financials edition (478,570 characters extracted) the phrase 'Risk Weighted Assets' occurs only twice and both are definitional - once in the sentence defining how the Tier 1 Capital Ratio is computed, once in Note 27/28 saying the PRA sets a minimum ratio of regulatory capital to risk-weighted assets - with no RWA AMOUNT printed anywhere; 'leverage ratio' occurs not at all; and the Net Stable Funding Ratio occurs once, in the sentence about PRA liquidity limits being 'fully met at all times'. The Key Performance Indicators table (printed under 'Key Performance Indicators') gives Bank/Group RATIOS only - LCR 199.46/195.71, CET1 ratio 11.78/11.72, Tier 1 ratio 19.27/15.58 - and no denominators. FY2020 LCR/NSFR were not found in any source (narrative-only LCR in the FY2021 Pillar 3 report gives a single FY2021 point figure, no FY2020 comparative; the UK NSFR framework may not yet have covered FY2020) - left blank.</t>
        </is>
      </c>
    </row>
  </sheetData>
  <mergeCells count="4">
    <mergeCell ref="A11:G11"/>
    <mergeCell ref="A7:G7"/>
    <mergeCell ref="A5:G5"/>
    <mergeCell ref="A9:G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The Access Bank UK Limited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Common Equity Tier 1 (CET1) ratio</t>
        </is>
      </c>
      <c r="B4" s="6" t="inlineStr">
        <is>
          <t>11.78%</t>
        </is>
      </c>
      <c r="C4" s="6" t="inlineStr">
        <is>
          <t>20.18%</t>
        </is>
      </c>
      <c r="D4" s="6" t="inlineStr">
        <is>
          <t>22.4%</t>
        </is>
      </c>
      <c r="E4" s="6" t="inlineStr">
        <is>
          <t>19.8%</t>
        </is>
      </c>
      <c r="F4" s="6" t="inlineStr">
        <is>
          <t>21.88%</t>
        </is>
      </c>
      <c r="G4" s="6" t="inlineStr">
        <is>
          <t>18.40%</t>
        </is>
      </c>
    </row>
    <row r="5" ht="39" customHeight="1">
      <c r="A5" s="7" t="inlineStr">
        <is>
          <t>Note: FY2025 IS THE FIRST YEAR CET1, TIER 1 AND TOTAL CAPITAL ARE NOT THE SAME NUMBER. For FY2020-FY2024 the Bank held no AT1 and no Tier 2 instruments, so one figure served all three and all three ratios were identical. During 2025 it issued $295.0m of convertible notes, carried as a separate equity component and treated as AT1: its FY2025 capital-management note redefines capital to include 'AT1 capital', and its own KPI table prints a CET1 ratio of 11.78% against a Tier 1 ratio of 19.27%.</t>
        </is>
      </c>
    </row>
    <row r="7" ht="234" customHeight="1">
      <c r="A7" s="8" t="inlineStr">
        <is>
          <t>Sources - The Access Bank UK Limited Pillar 3 Disclosures (UK KM1 - Key Metrics template, or the equivalent UK CC1/LR2 tables for FY2020/FY2021 which pre-date the Bank's KM1 template), converted from USD to £ where a $ amount (see FX conversion note on the Cash Flow Statement sheet; % ratios are unconverted):
FY2023 &amp; FY2022: Pillar 3 Disclosures 2023, p.6 (Section 1.7, Key Metrics) - https://www.theaccessbankukltd.co.uk/wp-content/uploads/2025/06/PIllar-3-2023.pdf
FY2021 (capital/leverage): Pillar 3 Disclosures 2021, p.15 (UK CC1) &amp; p.21 (LR2) - https://www.theaccessbankukltd.co.uk/wp-content/uploads/2022/10/PILLAR-3-DISCLOSURES-2021-Final.pdf
FY2021 (LCR/NSFR) &amp; FY2020 (capital/leverage): Pillar 3 Disclosures 2022, p.6-7 (Section 1.7 comparative column) &amp; Pillar 3 Disclosures 2021, p.15 (UK CC1) &amp; p.21 (LR2) - https://www.theaccessbankukltd.co.uk/wp-content/uploads/2024/01/PILLAR-3-DISCLOSURES-2022-Final.pdf
FY2019: Pillar 3 Disclosures 2020, p.6 (Section 1.7 FY2019 comparative) and p.17/p.20 (Pillar 1 / leverage comparatives) - https://www.theaccessbankukltd.co.uk/wp-content/uploads/2022/06/PILLAR-3-DISCLOSURES-2020-Clean.pdf
FY2025 (Tier 1 / Total capital amount): Report &amp; Financial Statements 2025, p.81, Note 28g 'Capital management', 'Capital Resources' table, Bank 31 December 2025 column - Total regulatory capital $788,303 thousand - https://www.theaccessbankukltd.co.uk/wp-content/uploads/2026/06/AccessBank_AR2025_Financials_web.pdf
FY2025 (CET1, Tier 1 and LCR ratios): Report &amp; Financial Statements 2025, p.4, Key Performance Indicators table, Bank 2025 column - CET1 Capital Ratio 11.78%, Tier 1 Capital Ratio 19.27%, Liquidity Coverage Ratio 199.46% - https://www.theaccessbankukltd.co.uk/wp-content/uploads/2026/06/AccessBank_AR2025_Financials_web.pdf
FY2024 (capital amounts): Report &amp; Financial Statements 2024, p.59, Note 27g 'Capital management (Bank)', 'Capital Resources' table - Total tier 1 capital / Total regulatory capital $750,775,693 (shown here as 750,776 $'000 before conversion) - https://www.theaccessbankukltd.co.uk/wp-content/uploads/2025/06/AccessBank_AR2024_Financials-AW.pdf
SOURCE DEFECT, REPRODUCED NOT CORRECTED: the FY2025 edition's Note 28g narrative says 'Total regulatory capital as at 31 December 2025 including 2025 profit after tax was $793,036 thousand (2024: $750,776 thousand) for the Bank', while the itemised Capital Resources table immediately below it foots to $788,303 thousand (2024: $750,775). The two disagree by $4,733 thousand for 2025 and by rounding only for 2024. The TABLE figure is used here because it is the build-up the Bank shows its working for, and because the FY2024 column above was taken from the equivalent table in the previous edition; the narrative's number is recorded rather than reconciled away.</t>
        </is>
      </c>
    </row>
    <row r="9" ht="286" customHeight="1">
      <c r="A9" s="8" t="inlineStr">
        <is>
          <t>(continued)
NO FY2024 AND NO FY2025 PILLAR 3 DISCLOSURES DOCUMENT EXISTS - and that finding is now written INTO the FY2025/FY2024 cells of KM1, Total RWAs, RWA Breakdown, Leverage Ratio, NSFR and (FY2025) CET1 Capital, not only into these notes, because a note is invisible to the coverage census and those columns otherwise read as untouched gaps. The evidence is unchanged and is set out immediately below. Independently re-confirmed a third time on 18 September 2026 in the gap-fill round: the 'Our Reports' page was re-fetched with a browser User-Agent over HTTP/1.1 (HTTP 200, text/html, 197,098 bytes), every .pdf href parsed, and it still carries exactly one Pillar 3 entry - 'Pillar 3 Disclosures 2023' at .../2025/06/PIllar-3-2023.pdf - beside 'Annual Report 2025' and 'Report and Financial Statements 2025'; a fresh Wayback CDX sweep of the domain filtered on 'pillar' still returns exactly five documents, newest the 2023 edition; and the WordPress REST media endpoint is still closed (HTTP 401, 'itsec_rest_api_access_restricted') on both /wp-json/wp/v2/media and the ?rest_route= form. Re-verified 18 September 2026 against the Bank's OWN site: its 'Our Reports' page (https://www.theaccessbankukltd.co.uk/about-us/our-reports/) carries exactly one Pillar 3 entry, 'Pillar 3 Disclosures 2023', while the same page was already carrying the FY2025 Annual Report and FY2025 Report &amp; Financial Statements - so the page is current and the Pillar 3 series is what has stopped, not our reading of it. THE PROXY IS NO LONGER NEEDED AND THE 403 IS NOT A REAL BLOCK (established 2026-09-18, second pass, and recorded because the same wrong conclusion will otherwise be drawn again): the page returns 403 to a plain curl, to curl -L, and to curl --http1.1 -L, but returns HTTP 200 with 197,459 bytes of real HTML as soon as a browser User-Agent and an Accept: text/html header are sent over HTTP/1.1. No cookie warm-up is required (one was tried and changed nothing). Cloudflare here is filtering on request HEADERS, not challenging the client. The page was re-read that way, directly from the Bank's own host with no intermediary, and every .pdf href extracted - 25 documents, of which EXACTLY ONE is a Pillar 3 ('.../2025/06/PIllar-3-2023.pdf'), alongside Annual Reports running from 2011 to 2025. That is the same result the proxy gave, now on first-hand evidence. The Bank's WordPress REST media endpoint, which would have listed unlinked uploads too, is closed (HTTP 401, 'itsec_rest_api_access_restricted'), so the reports page is the best enumeration available. A Wayback CDX sweep of the whole domain filtered on 'pillar' returns exactly five documents, the newest still the 2023 edition, and 56 further plausible 2024/2025 filenames probed under the Bank's /wp-content/uploads/ CDN (2025/06, 2025/07, 2025/12, 2026/01, 2026/05, 2026/06, 2026/07 folders) all returned non-200. Three independent routes agree. Publication lag for the next look: the Bank published its FY2025 Annual Report in June 2026 (signed 23 April 2026) and its 2023 Pillar 3 in the 2025/06 folder, i.e. its Pillar 3 has been running roughly 18 months behind year-end, so a FY2024 edition would already be overdue and a FY2025 one would not be expected before mid-2027.
For FY2024 and FY2025 the Annual Report substitutes ONLY where the basis is verified identical. The AR's capital table is the same basis as the Pillar 3: the FY2024 edition's FY2023 comparative of $676,943,850 reproduces the FY2023 Pillar 3 CET1/Tier 1/Total capital figure of 676,944 $'000 EXACTLY, and the note confirms 'the Bank's regulatory capital consists only of Tier 1 capital'. The AR's Tier 1 Capital Ratio (20.18% for FY2024) likewise ties to the Pillar 3 basis (its FY2023 figure, 22.38%, matches the workbook's 22.4%).</t>
        </is>
      </c>
    </row>
    <row r="11" ht="169" customHeight="1">
      <c r="A11" s="8" t="inlineStr">
        <is>
          <t>(continued)
NOT substituted for FY2024 or FY2025, and left blank rather than derived: Total RWAs (neither Annual Report gives an RWA figure; back-solving $750,775,693 / 20.18% is refused because the ratio is rounded to 2dp, which spans an RWA range of roughly $3,719.5m-$3,721.3m, and the same objection applies to $788,303k / 19.27%); Leverage Ratio (neither AR discloses a leverage ratio or a leverage exposure measure - total assets is NOT the exposure measure, which includes off-balance-sheet items); and NSFR (neither AR contains a quantitative NSFR disclosure - the FY2025 edition mentions the Net Stable Funding Ratio exactly once, in a sentence saying PRA liquidity limits 'are fully met at all times', with no figure; a richness control on the same document returns 33 hits for 'cash flow' and 16 for 'total assets', so that single hit is a fact about the document, not about the extraction). ALL THREE OF THOSE NEGATIVES WERE RE-ESTABLISHED INDEPENDENTLY ON 2026-09-18 against freshly downloaded copies of AccessBank_AR2025_web.pdf (13,090,810 bytes), AccessBank_AR2025_Financials_web.pdf (2,443,676 bytes) and the FY2024 narrative edition AccessBank_AR2024-AW4-1-v2.pdf (4,689,255 bytes), all text-native. In the FY2025 Financials edition (478,570 characters extracted) the phrase 'Risk Weighted Assets' occurs only twice and both are definitional - once in the sentence defining how the Tier 1 Capital Ratio is computed, once in Note 27/28 saying the PRA sets a minimum ratio of regulatory capital to risk-weighted assets - with no RWA AMOUNT printed anywhere; 'leverage ratio' occurs not at all; and the Net Stable Funding Ratio occurs once, in the sentence about PRA liquidity limits being 'fully met at all times'. The Key Performance Indicators table (printed under 'Key Performance Indicators') gives Bank/Group RATIOS only - LCR 199.46/195.71, CET1 ratio 11.78/11.72, Tier 1 ratio 19.27/15.58 - and no denominators. FY2020 LCR/NSFR were not found in any source (narrative-only LCR in the FY2021 Pillar 3 report gives a single FY2021 point figure, no FY2020 comparative; the UK NSFR framework may not yet have covered FY2020) - left blank.</t>
        </is>
      </c>
    </row>
  </sheetData>
  <mergeCells count="4">
    <mergeCell ref="A11:G11"/>
    <mergeCell ref="A7:G7"/>
    <mergeCell ref="A5:G5"/>
    <mergeCell ref="A9:G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The Access Bank UK Limited — Tier 1 Capital</t>
        </is>
      </c>
    </row>
    <row r="2">
      <c r="A2" s="2" t="inlineStr">
        <is>
          <t>£'000 (conv. from USD)</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Tier 1 capital</t>
        </is>
      </c>
      <c r="B4" s="6" t="n">
        <v>586186</v>
      </c>
      <c r="C4" s="6" t="n">
        <v>599900.9</v>
      </c>
      <c r="D4" s="6" t="n">
        <v>531687.1</v>
      </c>
      <c r="E4" s="6" t="n">
        <v>402448.5</v>
      </c>
      <c r="F4" s="6" t="n">
        <v>279437.2</v>
      </c>
      <c r="G4" s="6" t="n">
        <v>248093.1</v>
      </c>
    </row>
    <row r="5" ht="52" customHeight="1">
      <c r="A5" s="7" t="inlineStr">
        <is>
          <t>Note: Equal to CET1 capital for FY2020-FY2024 - the Bank held no Additional Tier 1 (AT1) instruments in those years. FY2025 IS THE FIRST YEAR CET1, TIER 1 AND TOTAL CAPITAL ARE NOT THE SAME NUMBER. For FY2020-FY2024 the Bank held no AT1 and no Tier 2 instruments, so one figure served all three and all three ratios were identical. During 2025 it issued $295.0m of convertible notes, carried as a separate equity component and treated as AT1: its FY2025 capital-management note redefines capital to include 'AT1 capital', and its own KPI table prints a CET1 ratio of 11.78% against a Tier 1 ratio of 19.27%.</t>
        </is>
      </c>
    </row>
    <row r="7" ht="234" customHeight="1">
      <c r="A7" s="8" t="inlineStr">
        <is>
          <t>Sources - The Access Bank UK Limited Pillar 3 Disclosures (UK KM1 - Key Metrics template, or the equivalent UK CC1/LR2 tables for FY2020/FY2021 which pre-date the Bank's KM1 template), converted from USD to £ where a $ amount (see FX conversion note on the Cash Flow Statement sheet; % ratios are unconverted):
FY2023 &amp; FY2022: Pillar 3 Disclosures 2023, p.6 (Section 1.7, Key Metrics) - https://www.theaccessbankukltd.co.uk/wp-content/uploads/2025/06/PIllar-3-2023.pdf
FY2021 (capital/leverage): Pillar 3 Disclosures 2021, p.15 (UK CC1) &amp; p.21 (LR2) - https://www.theaccessbankukltd.co.uk/wp-content/uploads/2022/10/PILLAR-3-DISCLOSURES-2021-Final.pdf
FY2021 (LCR/NSFR) &amp; FY2020 (capital/leverage): Pillar 3 Disclosures 2022, p.6-7 (Section 1.7 comparative column) &amp; Pillar 3 Disclosures 2021, p.15 (UK CC1) &amp; p.21 (LR2) - https://www.theaccessbankukltd.co.uk/wp-content/uploads/2024/01/PILLAR-3-DISCLOSURES-2022-Final.pdf
FY2019: Pillar 3 Disclosures 2020, p.6 (Section 1.7 FY2019 comparative) and p.17/p.20 (Pillar 1 / leverage comparatives) - https://www.theaccessbankukltd.co.uk/wp-content/uploads/2022/06/PILLAR-3-DISCLOSURES-2020-Clean.pdf
FY2025 (Tier 1 / Total capital amount): Report &amp; Financial Statements 2025, p.81, Note 28g 'Capital management', 'Capital Resources' table, Bank 31 December 2025 column - Total regulatory capital $788,303 thousand - https://www.theaccessbankukltd.co.uk/wp-content/uploads/2026/06/AccessBank_AR2025_Financials_web.pdf
FY2025 (CET1, Tier 1 and LCR ratios): Report &amp; Financial Statements 2025, p.4, Key Performance Indicators table, Bank 2025 column - CET1 Capital Ratio 11.78%, Tier 1 Capital Ratio 19.27%, Liquidity Coverage Ratio 199.46% - https://www.theaccessbankukltd.co.uk/wp-content/uploads/2026/06/AccessBank_AR2025_Financials_web.pdf
FY2024 (capital amounts): Report &amp; Financial Statements 2024, p.59, Note 27g 'Capital management (Bank)', 'Capital Resources' table - Total tier 1 capital / Total regulatory capital $750,775,693 (shown here as 750,776 $'000 before conversion) - https://www.theaccessbankukltd.co.uk/wp-content/uploads/2025/06/AccessBank_AR2024_Financials-AW.pdf
SOURCE DEFECT, REPRODUCED NOT CORRECTED: the FY2025 edition's Note 28g narrative says 'Total regulatory capital as at 31 December 2025 including 2025 profit after tax was $793,036 thousand (2024: $750,776 thousand) for the Bank', while the itemised Capital Resources table immediately below it foots to $788,303 thousand (2024: $750,775). The two disagree by $4,733 thousand for 2025 and by rounding only for 2024. The TABLE figure is used here because it is the build-up the Bank shows its working for, and because the FY2024 column above was taken from the equivalent table in the previous edition; the narrative's number is recorded rather than reconciled away.</t>
        </is>
      </c>
    </row>
    <row r="9" ht="286" customHeight="1">
      <c r="A9" s="8" t="inlineStr">
        <is>
          <t>(continued)
NO FY2024 AND NO FY2025 PILLAR 3 DISCLOSURES DOCUMENT EXISTS - and that finding is now written INTO the FY2025/FY2024 cells of KM1, Total RWAs, RWA Breakdown, Leverage Ratio, NSFR and (FY2025) CET1 Capital, not only into these notes, because a note is invisible to the coverage census and those columns otherwise read as untouched gaps. The evidence is unchanged and is set out immediately below. Independently re-confirmed a third time on 18 September 2026 in the gap-fill round: the 'Our Reports' page was re-fetched with a browser User-Agent over HTTP/1.1 (HTTP 200, text/html, 197,098 bytes), every .pdf href parsed, and it still carries exactly one Pillar 3 entry - 'Pillar 3 Disclosures 2023' at .../2025/06/PIllar-3-2023.pdf - beside 'Annual Report 2025' and 'Report and Financial Statements 2025'; a fresh Wayback CDX sweep of the domain filtered on 'pillar' still returns exactly five documents, newest the 2023 edition; and the WordPress REST media endpoint is still closed (HTTP 401, 'itsec_rest_api_access_restricted') on both /wp-json/wp/v2/media and the ?rest_route= form. Re-verified 18 September 2026 against the Bank's OWN site: its 'Our Reports' page (https://www.theaccessbankukltd.co.uk/about-us/our-reports/) carries exactly one Pillar 3 entry, 'Pillar 3 Disclosures 2023', while the same page was already carrying the FY2025 Annual Report and FY2025 Report &amp; Financial Statements - so the page is current and the Pillar 3 series is what has stopped, not our reading of it. THE PROXY IS NO LONGER NEEDED AND THE 403 IS NOT A REAL BLOCK (established 2026-09-18, second pass, and recorded because the same wrong conclusion will otherwise be drawn again): the page returns 403 to a plain curl, to curl -L, and to curl --http1.1 -L, but returns HTTP 200 with 197,459 bytes of real HTML as soon as a browser User-Agent and an Accept: text/html header are sent over HTTP/1.1. No cookie warm-up is required (one was tried and changed nothing). Cloudflare here is filtering on request HEADERS, not challenging the client. The page was re-read that way, directly from the Bank's own host with no intermediary, and every .pdf href extracted - 25 documents, of which EXACTLY ONE is a Pillar 3 ('.../2025/06/PIllar-3-2023.pdf'), alongside Annual Reports running from 2011 to 2025. That is the same result the proxy gave, now on first-hand evidence. The Bank's WordPress REST media endpoint, which would have listed unlinked uploads too, is closed (HTTP 401, 'itsec_rest_api_access_restricted'), so the reports page is the best enumeration available. A Wayback CDX sweep of the whole domain filtered on 'pillar' returns exactly five documents, the newest still the 2023 edition, and 56 further plausible 2024/2025 filenames probed under the Bank's /wp-content/uploads/ CDN (2025/06, 2025/07, 2025/12, 2026/01, 2026/05, 2026/06, 2026/07 folders) all returned non-200. Three independent routes agree. Publication lag for the next look: the Bank published its FY2025 Annual Report in June 2026 (signed 23 April 2026) and its 2023 Pillar 3 in the 2025/06 folder, i.e. its Pillar 3 has been running roughly 18 months behind year-end, so a FY2024 edition would already be overdue and a FY2025 one would not be expected before mid-2027.
For FY2024 and FY2025 the Annual Report substitutes ONLY where the basis is verified identical. The AR's capital table is the same basis as the Pillar 3: the FY2024 edition's FY2023 comparative of $676,943,850 reproduces the FY2023 Pillar 3 CET1/Tier 1/Total capital figure of 676,944 $'000 EXACTLY, and the note confirms 'the Bank's regulatory capital consists only of Tier 1 capital'. The AR's Tier 1 Capital Ratio (20.18% for FY2024) likewise ties to the Pillar 3 basis (its FY2023 figure, 22.38%, matches the workbook's 22.4%).</t>
        </is>
      </c>
    </row>
    <row r="11" ht="169" customHeight="1">
      <c r="A11" s="8" t="inlineStr">
        <is>
          <t>(continued)
NOT substituted for FY2024 or FY2025, and left blank rather than derived: Total RWAs (neither Annual Report gives an RWA figure; back-solving $750,775,693 / 20.18% is refused because the ratio is rounded to 2dp, which spans an RWA range of roughly $3,719.5m-$3,721.3m, and the same objection applies to $788,303k / 19.27%); Leverage Ratio (neither AR discloses a leverage ratio or a leverage exposure measure - total assets is NOT the exposure measure, which includes off-balance-sheet items); and NSFR (neither AR contains a quantitative NSFR disclosure - the FY2025 edition mentions the Net Stable Funding Ratio exactly once, in a sentence saying PRA liquidity limits 'are fully met at all times', with no figure; a richness control on the same document returns 33 hits for 'cash flow' and 16 for 'total assets', so that single hit is a fact about the document, not about the extraction). ALL THREE OF THOSE NEGATIVES WERE RE-ESTABLISHED INDEPENDENTLY ON 2026-09-18 against freshly downloaded copies of AccessBank_AR2025_web.pdf (13,090,810 bytes), AccessBank_AR2025_Financials_web.pdf (2,443,676 bytes) and the FY2024 narrative edition AccessBank_AR2024-AW4-1-v2.pdf (4,689,255 bytes), all text-native. In the FY2025 Financials edition (478,570 characters extracted) the phrase 'Risk Weighted Assets' occurs only twice and both are definitional - once in the sentence defining how the Tier 1 Capital Ratio is computed, once in Note 27/28 saying the PRA sets a minimum ratio of regulatory capital to risk-weighted assets - with no RWA AMOUNT printed anywhere; 'leverage ratio' occurs not at all; and the Net Stable Funding Ratio occurs once, in the sentence about PRA liquidity limits being 'fully met at all times'. The Key Performance Indicators table (printed under 'Key Performance Indicators') gives Bank/Group RATIOS only - LCR 199.46/195.71, CET1 ratio 11.78/11.72, Tier 1 ratio 19.27/15.58 - and no denominators. FY2020 LCR/NSFR were not found in any source (narrative-only LCR in the FY2021 Pillar 3 report gives a single FY2021 point figure, no FY2020 comparative; the UK NSFR framework may not yet have covered FY2020) - left blank.</t>
        </is>
      </c>
    </row>
  </sheetData>
  <mergeCells count="4">
    <mergeCell ref="A11:G11"/>
    <mergeCell ref="A7:G7"/>
    <mergeCell ref="A5:G5"/>
    <mergeCell ref="A9:G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The Access Bank UK Limited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Tier 1 ratio</t>
        </is>
      </c>
      <c r="B4" s="6" t="inlineStr">
        <is>
          <t>19.27%</t>
        </is>
      </c>
      <c r="C4" s="6" t="inlineStr">
        <is>
          <t>20.18%</t>
        </is>
      </c>
      <c r="D4" s="6" t="inlineStr">
        <is>
          <t>22.4%</t>
        </is>
      </c>
      <c r="E4" s="6" t="inlineStr">
        <is>
          <t>19.8%</t>
        </is>
      </c>
      <c r="F4" s="6" t="inlineStr">
        <is>
          <t>21.88%</t>
        </is>
      </c>
      <c r="G4" s="6" t="inlineStr">
        <is>
          <t>18.40%</t>
        </is>
      </c>
    </row>
    <row r="5" ht="39" customHeight="1">
      <c r="A5" s="7" t="inlineStr">
        <is>
          <t>Note: FY2025 IS THE FIRST YEAR CET1, TIER 1 AND TOTAL CAPITAL ARE NOT THE SAME NUMBER. For FY2020-FY2024 the Bank held no AT1 and no Tier 2 instruments, so one figure served all three and all three ratios were identical. During 2025 it issued $295.0m of convertible notes, carried as a separate equity component and treated as AT1: its FY2025 capital-management note redefines capital to include 'AT1 capital', and its own KPI table prints a CET1 ratio of 11.78% against a Tier 1 ratio of 19.27%.</t>
        </is>
      </c>
    </row>
    <row r="7" ht="234" customHeight="1">
      <c r="A7" s="8" t="inlineStr">
        <is>
          <t>Sources - The Access Bank UK Limited Pillar 3 Disclosures (UK KM1 - Key Metrics template, or the equivalent UK CC1/LR2 tables for FY2020/FY2021 which pre-date the Bank's KM1 template), converted from USD to £ where a $ amount (see FX conversion note on the Cash Flow Statement sheet; % ratios are unconverted):
FY2023 &amp; FY2022: Pillar 3 Disclosures 2023, p.6 (Section 1.7, Key Metrics) - https://www.theaccessbankukltd.co.uk/wp-content/uploads/2025/06/PIllar-3-2023.pdf
FY2021 (capital/leverage): Pillar 3 Disclosures 2021, p.15 (UK CC1) &amp; p.21 (LR2) - https://www.theaccessbankukltd.co.uk/wp-content/uploads/2022/10/PILLAR-3-DISCLOSURES-2021-Final.pdf
FY2021 (LCR/NSFR) &amp; FY2020 (capital/leverage): Pillar 3 Disclosures 2022, p.6-7 (Section 1.7 comparative column) &amp; Pillar 3 Disclosures 2021, p.15 (UK CC1) &amp; p.21 (LR2) - https://www.theaccessbankukltd.co.uk/wp-content/uploads/2024/01/PILLAR-3-DISCLOSURES-2022-Final.pdf
FY2019: Pillar 3 Disclosures 2020, p.6 (Section 1.7 FY2019 comparative) and p.17/p.20 (Pillar 1 / leverage comparatives) - https://www.theaccessbankukltd.co.uk/wp-content/uploads/2022/06/PILLAR-3-DISCLOSURES-2020-Clean.pdf
FY2025 (Tier 1 / Total capital amount): Report &amp; Financial Statements 2025, p.81, Note 28g 'Capital management', 'Capital Resources' table, Bank 31 December 2025 column - Total regulatory capital $788,303 thousand - https://www.theaccessbankukltd.co.uk/wp-content/uploads/2026/06/AccessBank_AR2025_Financials_web.pdf
FY2025 (CET1, Tier 1 and LCR ratios): Report &amp; Financial Statements 2025, p.4, Key Performance Indicators table, Bank 2025 column - CET1 Capital Ratio 11.78%, Tier 1 Capital Ratio 19.27%, Liquidity Coverage Ratio 199.46% - https://www.theaccessbankukltd.co.uk/wp-content/uploads/2026/06/AccessBank_AR2025_Financials_web.pdf
FY2024 (capital amounts): Report &amp; Financial Statements 2024, p.59, Note 27g 'Capital management (Bank)', 'Capital Resources' table - Total tier 1 capital / Total regulatory capital $750,775,693 (shown here as 750,776 $'000 before conversion) - https://www.theaccessbankukltd.co.uk/wp-content/uploads/2025/06/AccessBank_AR2024_Financials-AW.pdf
SOURCE DEFECT, REPRODUCED NOT CORRECTED: the FY2025 edition's Note 28g narrative says 'Total regulatory capital as at 31 December 2025 including 2025 profit after tax was $793,036 thousand (2024: $750,776 thousand) for the Bank', while the itemised Capital Resources table immediately below it foots to $788,303 thousand (2024: $750,775). The two disagree by $4,733 thousand for 2025 and by rounding only for 2024. The TABLE figure is used here because it is the build-up the Bank shows its working for, and because the FY2024 column above was taken from the equivalent table in the previous edition; the narrative's number is recorded rather than reconciled away.</t>
        </is>
      </c>
    </row>
    <row r="9" ht="286" customHeight="1">
      <c r="A9" s="8" t="inlineStr">
        <is>
          <t>(continued)
NO FY2024 AND NO FY2025 PILLAR 3 DISCLOSURES DOCUMENT EXISTS - and that finding is now written INTO the FY2025/FY2024 cells of KM1, Total RWAs, RWA Breakdown, Leverage Ratio, NSFR and (FY2025) CET1 Capital, not only into these notes, because a note is invisible to the coverage census and those columns otherwise read as untouched gaps. The evidence is unchanged and is set out immediately below. Independently re-confirmed a third time on 18 September 2026 in the gap-fill round: the 'Our Reports' page was re-fetched with a browser User-Agent over HTTP/1.1 (HTTP 200, text/html, 197,098 bytes), every .pdf href parsed, and it still carries exactly one Pillar 3 entry - 'Pillar 3 Disclosures 2023' at .../2025/06/PIllar-3-2023.pdf - beside 'Annual Report 2025' and 'Report and Financial Statements 2025'; a fresh Wayback CDX sweep of the domain filtered on 'pillar' still returns exactly five documents, newest the 2023 edition; and the WordPress REST media endpoint is still closed (HTTP 401, 'itsec_rest_api_access_restricted') on both /wp-json/wp/v2/media and the ?rest_route= form. Re-verified 18 September 2026 against the Bank's OWN site: its 'Our Reports' page (https://www.theaccessbankukltd.co.uk/about-us/our-reports/) carries exactly one Pillar 3 entry, 'Pillar 3 Disclosures 2023', while the same page was already carrying the FY2025 Annual Report and FY2025 Report &amp; Financial Statements - so the page is current and the Pillar 3 series is what has stopped, not our reading of it. THE PROXY IS NO LONGER NEEDED AND THE 403 IS NOT A REAL BLOCK (established 2026-09-18, second pass, and recorded because the same wrong conclusion will otherwise be drawn again): the page returns 403 to a plain curl, to curl -L, and to curl --http1.1 -L, but returns HTTP 200 with 197,459 bytes of real HTML as soon as a browser User-Agent and an Accept: text/html header are sent over HTTP/1.1. No cookie warm-up is required (one was tried and changed nothing). Cloudflare here is filtering on request HEADERS, not challenging the client. The page was re-read that way, directly from the Bank's own host with no intermediary, and every .pdf href extracted - 25 documents, of which EXACTLY ONE is a Pillar 3 ('.../2025/06/PIllar-3-2023.pdf'), alongside Annual Reports running from 2011 to 2025. That is the same result the proxy gave, now on first-hand evidence. The Bank's WordPress REST media endpoint, which would have listed unlinked uploads too, is closed (HTTP 401, 'itsec_rest_api_access_restricted'), so the reports page is the best enumeration available. A Wayback CDX sweep of the whole domain filtered on 'pillar' returns exactly five documents, the newest still the 2023 edition, and 56 further plausible 2024/2025 filenames probed under the Bank's /wp-content/uploads/ CDN (2025/06, 2025/07, 2025/12, 2026/01, 2026/05, 2026/06, 2026/07 folders) all returned non-200. Three independent routes agree. Publication lag for the next look: the Bank published its FY2025 Annual Report in June 2026 (signed 23 April 2026) and its 2023 Pillar 3 in the 2025/06 folder, i.e. its Pillar 3 has been running roughly 18 months behind year-end, so a FY2024 edition would already be overdue and a FY2025 one would not be expected before mid-2027.
For FY2024 and FY2025 the Annual Report substitutes ONLY where the basis is verified identical. The AR's capital table is the same basis as the Pillar 3: the FY2024 edition's FY2023 comparative of $676,943,850 reproduces the FY2023 Pillar 3 CET1/Tier 1/Total capital figure of 676,944 $'000 EXACTLY, and the note confirms 'the Bank's regulatory capital consists only of Tier 1 capital'. The AR's Tier 1 Capital Ratio (20.18% for FY2024) likewise ties to the Pillar 3 basis (its FY2023 figure, 22.38%, matches the workbook's 22.4%).</t>
        </is>
      </c>
    </row>
    <row r="11" ht="169" customHeight="1">
      <c r="A11" s="8" t="inlineStr">
        <is>
          <t>(continued)
NOT substituted for FY2024 or FY2025, and left blank rather than derived: Total RWAs (neither Annual Report gives an RWA figure; back-solving $750,775,693 / 20.18% is refused because the ratio is rounded to 2dp, which spans an RWA range of roughly $3,719.5m-$3,721.3m, and the same objection applies to $788,303k / 19.27%); Leverage Ratio (neither AR discloses a leverage ratio or a leverage exposure measure - total assets is NOT the exposure measure, which includes off-balance-sheet items); and NSFR (neither AR contains a quantitative NSFR disclosure - the FY2025 edition mentions the Net Stable Funding Ratio exactly once, in a sentence saying PRA liquidity limits 'are fully met at all times', with no figure; a richness control on the same document returns 33 hits for 'cash flow' and 16 for 'total assets', so that single hit is a fact about the document, not about the extraction). ALL THREE OF THOSE NEGATIVES WERE RE-ESTABLISHED INDEPENDENTLY ON 2026-09-18 against freshly downloaded copies of AccessBank_AR2025_web.pdf (13,090,810 bytes), AccessBank_AR2025_Financials_web.pdf (2,443,676 bytes) and the FY2024 narrative edition AccessBank_AR2024-AW4-1-v2.pdf (4,689,255 bytes), all text-native. In the FY2025 Financials edition (478,570 characters extracted) the phrase 'Risk Weighted Assets' occurs only twice and both are definitional - once in the sentence defining how the Tier 1 Capital Ratio is computed, once in Note 27/28 saying the PRA sets a minimum ratio of regulatory capital to risk-weighted assets - with no RWA AMOUNT printed anywhere; 'leverage ratio' occurs not at all; and the Net Stable Funding Ratio occurs once, in the sentence about PRA liquidity limits being 'fully met at all times'. The Key Performance Indicators table (printed under 'Key Performance Indicators') gives Bank/Group RATIOS only - LCR 199.46/195.71, CET1 ratio 11.78/11.72, Tier 1 ratio 19.27/15.58 - and no denominators. FY2020 LCR/NSFR were not found in any source (narrative-only LCR in the FY2021 Pillar 3 report gives a single FY2021 point figure, no FY2020 comparative; the UK NSFR framework may not yet have covered FY2020) - left blank.</t>
        </is>
      </c>
    </row>
  </sheetData>
  <mergeCells count="4">
    <mergeCell ref="A11:G11"/>
    <mergeCell ref="A7:G7"/>
    <mergeCell ref="A5:G5"/>
    <mergeCell ref="A9:G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The Access Bank UK Limited — Total Capital</t>
        </is>
      </c>
    </row>
    <row r="2">
      <c r="A2" s="2" t="inlineStr">
        <is>
          <t>£'000 (conv. from USD)</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capital</t>
        </is>
      </c>
      <c r="B4" s="6" t="n">
        <v>586186</v>
      </c>
      <c r="C4" s="6" t="n">
        <v>599900.9</v>
      </c>
      <c r="D4" s="6" t="n">
        <v>531687.1</v>
      </c>
      <c r="E4" s="6" t="n">
        <v>402448.5</v>
      </c>
      <c r="F4" s="6" t="n">
        <v>279437.2</v>
      </c>
      <c r="G4" s="6" t="n">
        <v>248093.1</v>
      </c>
    </row>
    <row r="5" ht="65" customHeight="1">
      <c r="A5" s="7" t="inlineStr">
        <is>
          <t>Note: Equal to Tier 1 capital in every year shown, including FY2025 - the Bank's own capital-management note states in every edition that 'the Bank's regulatory capital consists only of Tier 1 capital', so it holds no Tier 2. FY2025 IS THE FIRST YEAR CET1, TIER 1 AND TOTAL CAPITAL ARE NOT THE SAME NUMBER. For FY2020-FY2024 the Bank held no AT1 and no Tier 2 instruments, so one figure served all three and all three ratios were identical. During 2025 it issued $295.0m of convertible notes, carried as a separate equity component and treated as AT1: its FY2025 capital-management note redefines capital to include 'AT1 capital', and its own KPI table prints a CET1 ratio of 11.78% against a Tier 1 ratio of 19.27%. The AT1 issuance therefore splits CET1 away from Tier 1 without splitting Tier 1 away from Total capital.</t>
        </is>
      </c>
    </row>
    <row r="7" ht="234" customHeight="1">
      <c r="A7" s="8" t="inlineStr">
        <is>
          <t>Sources - The Access Bank UK Limited Pillar 3 Disclosures (UK KM1 - Key Metrics template, or the equivalent UK CC1/LR2 tables for FY2020/FY2021 which pre-date the Bank's KM1 template), converted from USD to £ where a $ amount (see FX conversion note on the Cash Flow Statement sheet; % ratios are unconverted):
FY2023 &amp; FY2022: Pillar 3 Disclosures 2023, p.6 (Section 1.7, Key Metrics) - https://www.theaccessbankukltd.co.uk/wp-content/uploads/2025/06/PIllar-3-2023.pdf
FY2021 (capital/leverage): Pillar 3 Disclosures 2021, p.15 (UK CC1) &amp; p.21 (LR2) - https://www.theaccessbankukltd.co.uk/wp-content/uploads/2022/10/PILLAR-3-DISCLOSURES-2021-Final.pdf
FY2021 (LCR/NSFR) &amp; FY2020 (capital/leverage): Pillar 3 Disclosures 2022, p.6-7 (Section 1.7 comparative column) &amp; Pillar 3 Disclosures 2021, p.15 (UK CC1) &amp; p.21 (LR2) - https://www.theaccessbankukltd.co.uk/wp-content/uploads/2024/01/PILLAR-3-DISCLOSURES-2022-Final.pdf
FY2019: Pillar 3 Disclosures 2020, p.6 (Section 1.7 FY2019 comparative) and p.17/p.20 (Pillar 1 / leverage comparatives) - https://www.theaccessbankukltd.co.uk/wp-content/uploads/2022/06/PILLAR-3-DISCLOSURES-2020-Clean.pdf
FY2025 (Tier 1 / Total capital amount): Report &amp; Financial Statements 2025, p.81, Note 28g 'Capital management', 'Capital Resources' table, Bank 31 December 2025 column - Total regulatory capital $788,303 thousand - https://www.theaccessbankukltd.co.uk/wp-content/uploads/2026/06/AccessBank_AR2025_Financials_web.pdf
FY2025 (CET1, Tier 1 and LCR ratios): Report &amp; Financial Statements 2025, p.4, Key Performance Indicators table, Bank 2025 column - CET1 Capital Ratio 11.78%, Tier 1 Capital Ratio 19.27%, Liquidity Coverage Ratio 199.46% - https://www.theaccessbankukltd.co.uk/wp-content/uploads/2026/06/AccessBank_AR2025_Financials_web.pdf
FY2024 (capital amounts): Report &amp; Financial Statements 2024, p.59, Note 27g 'Capital management (Bank)', 'Capital Resources' table - Total tier 1 capital / Total regulatory capital $750,775,693 (shown here as 750,776 $'000 before conversion) - https://www.theaccessbankukltd.co.uk/wp-content/uploads/2025/06/AccessBank_AR2024_Financials-AW.pdf
SOURCE DEFECT, REPRODUCED NOT CORRECTED: the FY2025 edition's Note 28g narrative says 'Total regulatory capital as at 31 December 2025 including 2025 profit after tax was $793,036 thousand (2024: $750,776 thousand) for the Bank', while the itemised Capital Resources table immediately below it foots to $788,303 thousand (2024: $750,775). The two disagree by $4,733 thousand for 2025 and by rounding only for 2024. The TABLE figure is used here because it is the build-up the Bank shows its working for, and because the FY2024 column above was taken from the equivalent table in the previous edition; the narrative's number is recorded rather than reconciled away.</t>
        </is>
      </c>
    </row>
    <row r="9" ht="286" customHeight="1">
      <c r="A9" s="8" t="inlineStr">
        <is>
          <t>(continued)
NO FY2024 AND NO FY2025 PILLAR 3 DISCLOSURES DOCUMENT EXISTS - and that finding is now written INTO the FY2025/FY2024 cells of KM1, Total RWAs, RWA Breakdown, Leverage Ratio, NSFR and (FY2025) CET1 Capital, not only into these notes, because a note is invisible to the coverage census and those columns otherwise read as untouched gaps. The evidence is unchanged and is set out immediately below. Independently re-confirmed a third time on 18 September 2026 in the gap-fill round: the 'Our Reports' page was re-fetched with a browser User-Agent over HTTP/1.1 (HTTP 200, text/html, 197,098 bytes), every .pdf href parsed, and it still carries exactly one Pillar 3 entry - 'Pillar 3 Disclosures 2023' at .../2025/06/PIllar-3-2023.pdf - beside 'Annual Report 2025' and 'Report and Financial Statements 2025'; a fresh Wayback CDX sweep of the domain filtered on 'pillar' still returns exactly five documents, newest the 2023 edition; and the WordPress REST media endpoint is still closed (HTTP 401, 'itsec_rest_api_access_restricted') on both /wp-json/wp/v2/media and the ?rest_route= form. Re-verified 18 September 2026 against the Bank's OWN site: its 'Our Reports' page (https://www.theaccessbankukltd.co.uk/about-us/our-reports/) carries exactly one Pillar 3 entry, 'Pillar 3 Disclosures 2023', while the same page was already carrying the FY2025 Annual Report and FY2025 Report &amp; Financial Statements - so the page is current and the Pillar 3 series is what has stopped, not our reading of it. THE PROXY IS NO LONGER NEEDED AND THE 403 IS NOT A REAL BLOCK (established 2026-09-18, second pass, and recorded because the same wrong conclusion will otherwise be drawn again): the page returns 403 to a plain curl, to curl -L, and to curl --http1.1 -L, but returns HTTP 200 with 197,459 bytes of real HTML as soon as a browser User-Agent and an Accept: text/html header are sent over HTTP/1.1. No cookie warm-up is required (one was tried and changed nothing). Cloudflare here is filtering on request HEADERS, not challenging the client. The page was re-read that way, directly from the Bank's own host with no intermediary, and every .pdf href extracted - 25 documents, of which EXACTLY ONE is a Pillar 3 ('.../2025/06/PIllar-3-2023.pdf'), alongside Annual Reports running from 2011 to 2025. That is the same result the proxy gave, now on first-hand evidence. The Bank's WordPress REST media endpoint, which would have listed unlinked uploads too, is closed (HTTP 401, 'itsec_rest_api_access_restricted'), so the reports page is the best enumeration available. A Wayback CDX sweep of the whole domain filtered on 'pillar' returns exactly five documents, the newest still the 2023 edition, and 56 further plausible 2024/2025 filenames probed under the Bank's /wp-content/uploads/ CDN (2025/06, 2025/07, 2025/12, 2026/01, 2026/05, 2026/06, 2026/07 folders) all returned non-200. Three independent routes agree. Publication lag for the next look: the Bank published its FY2025 Annual Report in June 2026 (signed 23 April 2026) and its 2023 Pillar 3 in the 2025/06 folder, i.e. its Pillar 3 has been running roughly 18 months behind year-end, so a FY2024 edition would already be overdue and a FY2025 one would not be expected before mid-2027.
For FY2024 and FY2025 the Annual Report substitutes ONLY where the basis is verified identical. The AR's capital table is the same basis as the Pillar 3: the FY2024 edition's FY2023 comparative of $676,943,850 reproduces the FY2023 Pillar 3 CET1/Tier 1/Total capital figure of 676,944 $'000 EXACTLY, and the note confirms 'the Bank's regulatory capital consists only of Tier 1 capital'. The AR's Tier 1 Capital Ratio (20.18% for FY2024) likewise ties to the Pillar 3 basis (its FY2023 figure, 22.38%, matches the workbook's 22.4%).</t>
        </is>
      </c>
    </row>
    <row r="11" ht="169" customHeight="1">
      <c r="A11" s="8" t="inlineStr">
        <is>
          <t>(continued)
NOT substituted for FY2024 or FY2025, and left blank rather than derived: Total RWAs (neither Annual Report gives an RWA figure; back-solving $750,775,693 / 20.18% is refused because the ratio is rounded to 2dp, which spans an RWA range of roughly $3,719.5m-$3,721.3m, and the same objection applies to $788,303k / 19.27%); Leverage Ratio (neither AR discloses a leverage ratio or a leverage exposure measure - total assets is NOT the exposure measure, which includes off-balance-sheet items); and NSFR (neither AR contains a quantitative NSFR disclosure - the FY2025 edition mentions the Net Stable Funding Ratio exactly once, in a sentence saying PRA liquidity limits 'are fully met at all times', with no figure; a richness control on the same document returns 33 hits for 'cash flow' and 16 for 'total assets', so that single hit is a fact about the document, not about the extraction). ALL THREE OF THOSE NEGATIVES WERE RE-ESTABLISHED INDEPENDENTLY ON 2026-09-18 against freshly downloaded copies of AccessBank_AR2025_web.pdf (13,090,810 bytes), AccessBank_AR2025_Financials_web.pdf (2,443,676 bytes) and the FY2024 narrative edition AccessBank_AR2024-AW4-1-v2.pdf (4,689,255 bytes), all text-native. In the FY2025 Financials edition (478,570 characters extracted) the phrase 'Risk Weighted Assets' occurs only twice and both are definitional - once in the sentence defining how the Tier 1 Capital Ratio is computed, once in Note 27/28 saying the PRA sets a minimum ratio of regulatory capital to risk-weighted assets - with no RWA AMOUNT printed anywhere; 'leverage ratio' occurs not at all; and the Net Stable Funding Ratio occurs once, in the sentence about PRA liquidity limits being 'fully met at all times'. The Key Performance Indicators table (printed under 'Key Performance Indicators') gives Bank/Group RATIOS only - LCR 199.46/195.71, CET1 ratio 11.78/11.72, Tier 1 ratio 19.27/15.58 - and no denominators. FY2020 LCR/NSFR were not found in any source (narrative-only LCR in the FY2021 Pillar 3 report gives a single FY2021 point figure, no FY2020 comparative; the UK NSFR framework may not yet have covered FY2020) - left blank.</t>
        </is>
      </c>
    </row>
  </sheetData>
  <mergeCells count="4">
    <mergeCell ref="A11:G11"/>
    <mergeCell ref="A7:G7"/>
    <mergeCell ref="A5:G5"/>
    <mergeCell ref="A9:G9"/>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The Access Bank UK Limited — Total Capital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capital ratio</t>
        </is>
      </c>
      <c r="B4" s="6" t="inlineStr">
        <is>
          <t>19.27%</t>
        </is>
      </c>
      <c r="C4" s="6" t="inlineStr">
        <is>
          <t>20.18%</t>
        </is>
      </c>
      <c r="D4" s="6" t="inlineStr">
        <is>
          <t>22.4%</t>
        </is>
      </c>
      <c r="E4" s="6" t="inlineStr">
        <is>
          <t>19.8%</t>
        </is>
      </c>
      <c r="F4" s="6" t="inlineStr">
        <is>
          <t>21.88%</t>
        </is>
      </c>
      <c r="G4" s="6" t="inlineStr">
        <is>
          <t>18.40%</t>
        </is>
      </c>
    </row>
    <row r="5" ht="39" customHeight="1">
      <c r="A5" s="7" t="inlineStr">
        <is>
          <t>Note: Equal to the Tier 1 ratio in every year shown - no Tier 2 instruments. FY2025 IS THE FIRST YEAR CET1, TIER 1 AND TOTAL CAPITAL ARE NOT THE SAME NUMBER. For FY2020-FY2024 the Bank held no AT1 and no Tier 2 instruments, so one figure served all three and all three ratios were identical. During 2025 it issued $295.0m of convertible notes, carried as a separate equity component and treated as AT1: its FY2025 capital-management note redefines capital to include 'AT1 capital', and its own KPI table prints a CET1 ratio of 11.78% against a Tier 1 ratio of 19.27%.</t>
        </is>
      </c>
    </row>
    <row r="7" ht="234" customHeight="1">
      <c r="A7" s="8" t="inlineStr">
        <is>
          <t>Sources - The Access Bank UK Limited Pillar 3 Disclosures (UK KM1 - Key Metrics template, or the equivalent UK CC1/LR2 tables for FY2020/FY2021 which pre-date the Bank's KM1 template), converted from USD to £ where a $ amount (see FX conversion note on the Cash Flow Statement sheet; % ratios are unconverted):
FY2023 &amp; FY2022: Pillar 3 Disclosures 2023, p.6 (Section 1.7, Key Metrics) - https://www.theaccessbankukltd.co.uk/wp-content/uploads/2025/06/PIllar-3-2023.pdf
FY2021 (capital/leverage): Pillar 3 Disclosures 2021, p.15 (UK CC1) &amp; p.21 (LR2) - https://www.theaccessbankukltd.co.uk/wp-content/uploads/2022/10/PILLAR-3-DISCLOSURES-2021-Final.pdf
FY2021 (LCR/NSFR) &amp; FY2020 (capital/leverage): Pillar 3 Disclosures 2022, p.6-7 (Section 1.7 comparative column) &amp; Pillar 3 Disclosures 2021, p.15 (UK CC1) &amp; p.21 (LR2) - https://www.theaccessbankukltd.co.uk/wp-content/uploads/2024/01/PILLAR-3-DISCLOSURES-2022-Final.pdf
FY2019: Pillar 3 Disclosures 2020, p.6 (Section 1.7 FY2019 comparative) and p.17/p.20 (Pillar 1 / leverage comparatives) - https://www.theaccessbankukltd.co.uk/wp-content/uploads/2022/06/PILLAR-3-DISCLOSURES-2020-Clean.pdf
FY2025 (Tier 1 / Total capital amount): Report &amp; Financial Statements 2025, p.81, Note 28g 'Capital management', 'Capital Resources' table, Bank 31 December 2025 column - Total regulatory capital $788,303 thousand - https://www.theaccessbankukltd.co.uk/wp-content/uploads/2026/06/AccessBank_AR2025_Financials_web.pdf
FY2025 (CET1, Tier 1 and LCR ratios): Report &amp; Financial Statements 2025, p.4, Key Performance Indicators table, Bank 2025 column - CET1 Capital Ratio 11.78%, Tier 1 Capital Ratio 19.27%, Liquidity Coverage Ratio 199.46% - https://www.theaccessbankukltd.co.uk/wp-content/uploads/2026/06/AccessBank_AR2025_Financials_web.pdf
FY2024 (capital amounts): Report &amp; Financial Statements 2024, p.59, Note 27g 'Capital management (Bank)', 'Capital Resources' table - Total tier 1 capital / Total regulatory capital $750,775,693 (shown here as 750,776 $'000 before conversion) - https://www.theaccessbankukltd.co.uk/wp-content/uploads/2025/06/AccessBank_AR2024_Financials-AW.pdf
SOURCE DEFECT, REPRODUCED NOT CORRECTED: the FY2025 edition's Note 28g narrative says 'Total regulatory capital as at 31 December 2025 including 2025 profit after tax was $793,036 thousand (2024: $750,776 thousand) for the Bank', while the itemised Capital Resources table immediately below it foots to $788,303 thousand (2024: $750,775). The two disagree by $4,733 thousand for 2025 and by rounding only for 2024. The TABLE figure is used here because it is the build-up the Bank shows its working for, and because the FY2024 column above was taken from the equivalent table in the previous edition; the narrative's number is recorded rather than reconciled away.</t>
        </is>
      </c>
    </row>
    <row r="9" ht="286" customHeight="1">
      <c r="A9" s="8" t="inlineStr">
        <is>
          <t>(continued)
NO FY2024 AND NO FY2025 PILLAR 3 DISCLOSURES DOCUMENT EXISTS - and that finding is now written INTO the FY2025/FY2024 cells of KM1, Total RWAs, RWA Breakdown, Leverage Ratio, NSFR and (FY2025) CET1 Capital, not only into these notes, because a note is invisible to the coverage census and those columns otherwise read as untouched gaps. The evidence is unchanged and is set out immediately below. Independently re-confirmed a third time on 18 September 2026 in the gap-fill round: the 'Our Reports' page was re-fetched with a browser User-Agent over HTTP/1.1 (HTTP 200, text/html, 197,098 bytes), every .pdf href parsed, and it still carries exactly one Pillar 3 entry - 'Pillar 3 Disclosures 2023' at .../2025/06/PIllar-3-2023.pdf - beside 'Annual Report 2025' and 'Report and Financial Statements 2025'; a fresh Wayback CDX sweep of the domain filtered on 'pillar' still returns exactly five documents, newest the 2023 edition; and the WordPress REST media endpoint is still closed (HTTP 401, 'itsec_rest_api_access_restricted') on both /wp-json/wp/v2/media and the ?rest_route= form. Re-verified 18 September 2026 against the Bank's OWN site: its 'Our Reports' page (https://www.theaccessbankukltd.co.uk/about-us/our-reports/) carries exactly one Pillar 3 entry, 'Pillar 3 Disclosures 2023', while the same page was already carrying the FY2025 Annual Report and FY2025 Report &amp; Financial Statements - so the page is current and the Pillar 3 series is what has stopped, not our reading of it. THE PROXY IS NO LONGER NEEDED AND THE 403 IS NOT A REAL BLOCK (established 2026-09-18, second pass, and recorded because the same wrong conclusion will otherwise be drawn again): the page returns 403 to a plain curl, to curl -L, and to curl --http1.1 -L, but returns HTTP 200 with 197,459 bytes of real HTML as soon as a browser User-Agent and an Accept: text/html header are sent over HTTP/1.1. No cookie warm-up is required (one was tried and changed nothing). Cloudflare here is filtering on request HEADERS, not challenging the client. The page was re-read that way, directly from the Bank's own host with no intermediary, and every .pdf href extracted - 25 documents, of which EXACTLY ONE is a Pillar 3 ('.../2025/06/PIllar-3-2023.pdf'), alongside Annual Reports running from 2011 to 2025. That is the same result the proxy gave, now on first-hand evidence. The Bank's WordPress REST media endpoint, which would have listed unlinked uploads too, is closed (HTTP 401, 'itsec_rest_api_access_restricted'), so the reports page is the best enumeration available. A Wayback CDX sweep of the whole domain filtered on 'pillar' returns exactly five documents, the newest still the 2023 edition, and 56 further plausible 2024/2025 filenames probed under the Bank's /wp-content/uploads/ CDN (2025/06, 2025/07, 2025/12, 2026/01, 2026/05, 2026/06, 2026/07 folders) all returned non-200. Three independent routes agree. Publication lag for the next look: the Bank published its FY2025 Annual Report in June 2026 (signed 23 April 2026) and its 2023 Pillar 3 in the 2025/06 folder, i.e. its Pillar 3 has been running roughly 18 months behind year-end, so a FY2024 edition would already be overdue and a FY2025 one would not be expected before mid-2027.
For FY2024 and FY2025 the Annual Report substitutes ONLY where the basis is verified identical. The AR's capital table is the same basis as the Pillar 3: the FY2024 edition's FY2023 comparative of $676,943,850 reproduces the FY2023 Pillar 3 CET1/Tier 1/Total capital figure of 676,944 $'000 EXACTLY, and the note confirms 'the Bank's regulatory capital consists only of Tier 1 capital'. The AR's Tier 1 Capital Ratio (20.18% for FY2024) likewise ties to the Pillar 3 basis (its FY2023 figure, 22.38%, matches the workbook's 22.4%).</t>
        </is>
      </c>
    </row>
    <row r="11" ht="169" customHeight="1">
      <c r="A11" s="8" t="inlineStr">
        <is>
          <t>(continued)
NOT substituted for FY2024 or FY2025, and left blank rather than derived: Total RWAs (neither Annual Report gives an RWA figure; back-solving $750,775,693 / 20.18% is refused because the ratio is rounded to 2dp, which spans an RWA range of roughly $3,719.5m-$3,721.3m, and the same objection applies to $788,303k / 19.27%); Leverage Ratio (neither AR discloses a leverage ratio or a leverage exposure measure - total assets is NOT the exposure measure, which includes off-balance-sheet items); and NSFR (neither AR contains a quantitative NSFR disclosure - the FY2025 edition mentions the Net Stable Funding Ratio exactly once, in a sentence saying PRA liquidity limits 'are fully met at all times', with no figure; a richness control on the same document returns 33 hits for 'cash flow' and 16 for 'total assets', so that single hit is a fact about the document, not about the extraction). ALL THREE OF THOSE NEGATIVES WERE RE-ESTABLISHED INDEPENDENTLY ON 2026-09-18 against freshly downloaded copies of AccessBank_AR2025_web.pdf (13,090,810 bytes), AccessBank_AR2025_Financials_web.pdf (2,443,676 bytes) and the FY2024 narrative edition AccessBank_AR2024-AW4-1-v2.pdf (4,689,255 bytes), all text-native. In the FY2025 Financials edition (478,570 characters extracted) the phrase 'Risk Weighted Assets' occurs only twice and both are definitional - once in the sentence defining how the Tier 1 Capital Ratio is computed, once in Note 27/28 saying the PRA sets a minimum ratio of regulatory capital to risk-weighted assets - with no RWA AMOUNT printed anywhere; 'leverage ratio' occurs not at all; and the Net Stable Funding Ratio occurs once, in the sentence about PRA liquidity limits being 'fully met at all times'. The Key Performance Indicators table (printed under 'Key Performance Indicators') gives Bank/Group RATIOS only - LCR 199.46/195.71, CET1 ratio 11.78/11.72, Tier 1 ratio 19.27/15.58 - and no denominators. FY2020 LCR/NSFR were not found in any source (narrative-only LCR in the FY2021 Pillar 3 report gives a single FY2021 point figure, no FY2020 comparative; the UK NSFR framework may not yet have covered FY2020) - left blank.</t>
        </is>
      </c>
    </row>
  </sheetData>
  <mergeCells count="4">
    <mergeCell ref="A11:G11"/>
    <mergeCell ref="A7:G7"/>
    <mergeCell ref="A5:G5"/>
    <mergeCell ref="A9:G9"/>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The Access Bank UK Limited — Total RWAs</t>
        </is>
      </c>
    </row>
    <row r="2">
      <c r="A2" s="2" t="inlineStr">
        <is>
          <t>£'000 (conv. from USD)</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risk-weighted exposure amount</t>
        </is>
      </c>
      <c r="B4" s="6" t="inlineStr">
        <is>
          <t>Not disclosed - no Pillar 3 edition and no RWA figure in the Annual Report</t>
        </is>
      </c>
      <c r="C4" s="6" t="inlineStr">
        <is>
          <t>Not disclosed - no Pillar 3 edition and no RWA figure in the Annual Report</t>
        </is>
      </c>
      <c r="D4" s="6" t="n">
        <v>2375798.8</v>
      </c>
      <c r="E4" s="6" t="n">
        <v>2033020.6</v>
      </c>
      <c r="F4" s="6" t="n">
        <v>1277097.8</v>
      </c>
      <c r="G4" s="6" t="n">
        <v>1348332.5</v>
      </c>
    </row>
    <row r="6" ht="234" customHeight="1">
      <c r="A6" s="8" t="inlineStr">
        <is>
          <t>Sources - The Access Bank UK Limited Pillar 3 Disclosures (UK KM1 - Key Metrics template, or the equivalent UK CC1/LR2 tables for FY2020/FY2021 which pre-date the Bank's KM1 template), converted from USD to £ where a $ amount (see FX conversion note on the Cash Flow Statement sheet; % ratios are unconverted):
FY2023 &amp; FY2022: Pillar 3 Disclosures 2023, p.6 (Section 1.7, Key Metrics) - https://www.theaccessbankukltd.co.uk/wp-content/uploads/2025/06/PIllar-3-2023.pdf
FY2021 (capital/leverage): Pillar 3 Disclosures 2021, p.15 (UK CC1) &amp; p.21 (LR2) - https://www.theaccessbankukltd.co.uk/wp-content/uploads/2022/10/PILLAR-3-DISCLOSURES-2021-Final.pdf
FY2021 (LCR/NSFR) &amp; FY2020 (capital/leverage): Pillar 3 Disclosures 2022, p.6-7 (Section 1.7 comparative column) &amp; Pillar 3 Disclosures 2021, p.15 (UK CC1) &amp; p.21 (LR2) - https://www.theaccessbankukltd.co.uk/wp-content/uploads/2024/01/PILLAR-3-DISCLOSURES-2022-Final.pdf
FY2019: Pillar 3 Disclosures 2020, p.6 (Section 1.7 FY2019 comparative) and p.17/p.20 (Pillar 1 / leverage comparatives) - https://www.theaccessbankukltd.co.uk/wp-content/uploads/2022/06/PILLAR-3-DISCLOSURES-2020-Clean.pdf
FY2025 (Tier 1 / Total capital amount): Report &amp; Financial Statements 2025, p.81, Note 28g 'Capital management', 'Capital Resources' table, Bank 31 December 2025 column - Total regulatory capital $788,303 thousand - https://www.theaccessbankukltd.co.uk/wp-content/uploads/2026/06/AccessBank_AR2025_Financials_web.pdf
FY2025 (CET1, Tier 1 and LCR ratios): Report &amp; Financial Statements 2025, p.4, Key Performance Indicators table, Bank 2025 column - CET1 Capital Ratio 11.78%, Tier 1 Capital Ratio 19.27%, Liquidity Coverage Ratio 199.46% - https://www.theaccessbankukltd.co.uk/wp-content/uploads/2026/06/AccessBank_AR2025_Financials_web.pdf
FY2024 (capital amounts): Report &amp; Financial Statements 2024, p.59, Note 27g 'Capital management (Bank)', 'Capital Resources' table - Total tier 1 capital / Total regulatory capital $750,775,693 (shown here as 750,776 $'000 before conversion) - https://www.theaccessbankukltd.co.uk/wp-content/uploads/2025/06/AccessBank_AR2024_Financials-AW.pdf
SOURCE DEFECT, REPRODUCED NOT CORRECTED: the FY2025 edition's Note 28g narrative says 'Total regulatory capital as at 31 December 2025 including 2025 profit after tax was $793,036 thousand (2024: $750,776 thousand) for the Bank', while the itemised Capital Resources table immediately below it foots to $788,303 thousand (2024: $750,775). The two disagree by $4,733 thousand for 2025 and by rounding only for 2024. The TABLE figure is used here because it is the build-up the Bank shows its working for, and because the FY2024 column above was taken from the equivalent table in the previous edition; the narrative's number is recorded rather than reconciled away.</t>
        </is>
      </c>
    </row>
    <row r="8" ht="286" customHeight="1">
      <c r="A8" s="8" t="inlineStr">
        <is>
          <t>(continued)
NO FY2024 AND NO FY2025 PILLAR 3 DISCLOSURES DOCUMENT EXISTS - and that finding is now written INTO the FY2025/FY2024 cells of KM1, Total RWAs, RWA Breakdown, Leverage Ratio, NSFR and (FY2025) CET1 Capital, not only into these notes, because a note is invisible to the coverage census and those columns otherwise read as untouched gaps. The evidence is unchanged and is set out immediately below. Independently re-confirmed a third time on 18 September 2026 in the gap-fill round: the 'Our Reports' page was re-fetched with a browser User-Agent over HTTP/1.1 (HTTP 200, text/html, 197,098 bytes), every .pdf href parsed, and it still carries exactly one Pillar 3 entry - 'Pillar 3 Disclosures 2023' at .../2025/06/PIllar-3-2023.pdf - beside 'Annual Report 2025' and 'Report and Financial Statements 2025'; a fresh Wayback CDX sweep of the domain filtered on 'pillar' still returns exactly five documents, newest the 2023 edition; and the WordPress REST media endpoint is still closed (HTTP 401, 'itsec_rest_api_access_restricted') on both /wp-json/wp/v2/media and the ?rest_route= form. Re-verified 18 September 2026 against the Bank's OWN site: its 'Our Reports' page (https://www.theaccessbankukltd.co.uk/about-us/our-reports/) carries exactly one Pillar 3 entry, 'Pillar 3 Disclosures 2023', while the same page was already carrying the FY2025 Annual Report and FY2025 Report &amp; Financial Statements - so the page is current and the Pillar 3 series is what has stopped, not our reading of it. THE PROXY IS NO LONGER NEEDED AND THE 403 IS NOT A REAL BLOCK (established 2026-09-18, second pass, and recorded because the same wrong conclusion will otherwise be drawn again): the page returns 403 to a plain curl, to curl -L, and to curl --http1.1 -L, but returns HTTP 200 with 197,459 bytes of real HTML as soon as a browser User-Agent and an Accept: text/html header are sent over HTTP/1.1. No cookie warm-up is required (one was tried and changed nothing). Cloudflare here is filtering on request HEADERS, not challenging the client. The page was re-read that way, directly from the Bank's own host with no intermediary, and every .pdf href extracted - 25 documents, of which EXACTLY ONE is a Pillar 3 ('.../2025/06/PIllar-3-2023.pdf'), alongside Annual Reports running from 2011 to 2025. That is the same result the proxy gave, now on first-hand evidence. The Bank's WordPress REST media endpoint, which would have listed unlinked uploads too, is closed (HTTP 401, 'itsec_rest_api_access_restricted'), so the reports page is the best enumeration available. A Wayback CDX sweep of the whole domain filtered on 'pillar' returns exactly five documents, the newest still the 2023 edition, and 56 further plausible 2024/2025 filenames probed under the Bank's /wp-content/uploads/ CDN (2025/06, 2025/07, 2025/12, 2026/01, 2026/05, 2026/06, 2026/07 folders) all returned non-200. Three independent routes agree. Publication lag for the next look: the Bank published its FY2025 Annual Report in June 2026 (signed 23 April 2026) and its 2023 Pillar 3 in the 2025/06 folder, i.e. its Pillar 3 has been running roughly 18 months behind year-end, so a FY2024 edition would already be overdue and a FY2025 one would not be expected before mid-2027.
For FY2024 and FY2025 the Annual Report substitutes ONLY where the basis is verified identical. The AR's capital table is the same basis as the Pillar 3: the FY2024 edition's FY2023 comparative of $676,943,850 reproduces the FY2023 Pillar 3 CET1/Tier 1/Total capital figure of 676,944 $'000 EXACTLY, and the note confirms 'the Bank's regulatory capital consists only of Tier 1 capital'. The AR's Tier 1 Capital Ratio (20.18% for FY2024) likewise ties to the Pillar 3 basis (its FY2023 figure, 22.38%, matches the workbook's 22.4%).</t>
        </is>
      </c>
    </row>
    <row r="10" ht="169" customHeight="1">
      <c r="A10" s="8" t="inlineStr">
        <is>
          <t>(continued)
NOT substituted for FY2024 or FY2025, and left blank rather than derived: Total RWAs (neither Annual Report gives an RWA figure; back-solving $750,775,693 / 20.18% is refused because the ratio is rounded to 2dp, which spans an RWA range of roughly $3,719.5m-$3,721.3m, and the same objection applies to $788,303k / 19.27%); Leverage Ratio (neither AR discloses a leverage ratio or a leverage exposure measure - total assets is NOT the exposure measure, which includes off-balance-sheet items); and NSFR (neither AR contains a quantitative NSFR disclosure - the FY2025 edition mentions the Net Stable Funding Ratio exactly once, in a sentence saying PRA liquidity limits 'are fully met at all times', with no figure; a richness control on the same document returns 33 hits for 'cash flow' and 16 for 'total assets', so that single hit is a fact about the document, not about the extraction). ALL THREE OF THOSE NEGATIVES WERE RE-ESTABLISHED INDEPENDENTLY ON 2026-09-18 against freshly downloaded copies of AccessBank_AR2025_web.pdf (13,090,810 bytes), AccessBank_AR2025_Financials_web.pdf (2,443,676 bytes) and the FY2024 narrative edition AccessBank_AR2024-AW4-1-v2.pdf (4,689,255 bytes), all text-native. In the FY2025 Financials edition (478,570 characters extracted) the phrase 'Risk Weighted Assets' occurs only twice and both are definitional - once in the sentence defining how the Tier 1 Capital Ratio is computed, once in Note 27/28 saying the PRA sets a minimum ratio of regulatory capital to risk-weighted assets - with no RWA AMOUNT printed anywhere; 'leverage ratio' occurs not at all; and the Net Stable Funding Ratio occurs once, in the sentence about PRA liquidity limits being 'fully met at all times'. The Key Performance Indicators table (printed under 'Key Performance Indicators') gives Bank/Group RATIOS only - LCR 199.46/195.71, CET1 ratio 11.78/11.72, Tier 1 ratio 19.27/15.58 - and no denominators. FY2020 LCR/NSFR were not found in any source (narrative-only LCR in the FY2021 Pillar 3 report gives a single FY2021 point figure, no FY2020 comparative; the UK NSFR framework may not yet have covered FY2020) - left blank.</t>
        </is>
      </c>
    </row>
  </sheetData>
  <mergeCells count="3">
    <mergeCell ref="A8:G8"/>
    <mergeCell ref="A6:G6"/>
    <mergeCell ref="A10:G10"/>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The Access Bank UK Limited — RWA Breakdown (UK OV1)</t>
        </is>
      </c>
    </row>
    <row r="2">
      <c r="A2" s="2" t="inlineStr">
        <is>
          <t>£'000, converted from USD - see source note for FX methodology.</t>
        </is>
      </c>
    </row>
    <row r="3">
      <c r="A3" s="4" t="inlineStr">
        <is>
          <t>Line item</t>
        </is>
      </c>
      <c r="B3" s="4" t="inlineStr">
        <is>
          <t>FY2025 (£'000, conv. from USD)</t>
        </is>
      </c>
      <c r="C3" s="4" t="inlineStr">
        <is>
          <t>FY2024 (£'000, conv. from USD)</t>
        </is>
      </c>
      <c r="D3" s="4" t="inlineStr">
        <is>
          <t>FY2023 (£'000, conv. from USD)</t>
        </is>
      </c>
      <c r="E3" s="4" t="inlineStr">
        <is>
          <t>FY2022 (£'000, conv. from USD)</t>
        </is>
      </c>
      <c r="F3" s="4" t="inlineStr">
        <is>
          <t>FY2021 (£'000, conv. from USD)</t>
        </is>
      </c>
      <c r="G3" s="4" t="inlineStr">
        <is>
          <t>FY2020 (£'000, conv. from USD)</t>
        </is>
      </c>
    </row>
    <row r="4">
      <c r="A4" s="6" t="inlineStr">
        <is>
          <t>[No FY2025/FY2024 UK OV1 published - see note below]</t>
        </is>
      </c>
      <c r="B4" s="6" t="inlineStr">
        <is>
          <t>Not disclosed - no Pillar 3 edition and no RWA figure in the Annual Report</t>
        </is>
      </c>
      <c r="C4" s="6" t="inlineStr">
        <is>
          <t>Not disclosed - no Pillar 3 edition and no RWA figure in the Annual Report</t>
        </is>
      </c>
      <c r="D4" s="6" t="n"/>
      <c r="E4" s="6" t="n"/>
      <c r="F4" s="6" t="n"/>
      <c r="G4" s="6" t="n"/>
    </row>
    <row r="5">
      <c r="A5" s="5" t="inlineStr">
        <is>
          <t>Risk-weighted exposure amounts (RWEAs)</t>
        </is>
      </c>
      <c r="B5" s="6" t="n"/>
      <c r="C5" s="6" t="n"/>
      <c r="D5" s="6" t="n"/>
      <c r="E5" s="6" t="n"/>
      <c r="F5" s="6" t="n"/>
      <c r="G5" s="6" t="n"/>
    </row>
    <row r="6">
      <c r="A6" s="6" t="inlineStr">
        <is>
          <t>Credit risk (excluding CCR)</t>
        </is>
      </c>
      <c r="B6" s="6" t="n"/>
      <c r="C6" s="6" t="n"/>
      <c r="D6" s="6" t="n">
        <v>2145347.2</v>
      </c>
      <c r="E6" s="6" t="n">
        <v>1850231.5</v>
      </c>
      <c r="F6" s="6" t="n">
        <v>1139061.5</v>
      </c>
      <c r="G6" s="6" t="n">
        <v>1223557.6</v>
      </c>
    </row>
    <row r="7">
      <c r="A7" s="6" t="inlineStr">
        <is>
          <t>Counterparty credit risk (CCR)</t>
        </is>
      </c>
      <c r="B7" s="6" t="n"/>
      <c r="C7" s="6" t="n"/>
      <c r="D7" s="6" t="n">
        <v>7696.4</v>
      </c>
      <c r="E7" s="6" t="n">
        <v>5454.2</v>
      </c>
      <c r="F7" s="6" t="n">
        <v>619.8</v>
      </c>
      <c r="G7" s="6" t="n">
        <v>6992.2</v>
      </c>
    </row>
    <row r="8">
      <c r="A8" s="6" t="inlineStr">
        <is>
          <t>Of which: credit valuation adjustment (CVA)</t>
        </is>
      </c>
      <c r="B8" s="6" t="n"/>
      <c r="C8" s="6" t="n"/>
      <c r="D8" s="6" t="n">
        <v>1727.1</v>
      </c>
      <c r="E8" s="6" t="n">
        <v>684.5</v>
      </c>
      <c r="F8" s="6" t="n">
        <v>147.9</v>
      </c>
      <c r="G8" s="6" t="n">
        <v>2567.2</v>
      </c>
    </row>
    <row r="9">
      <c r="A9" s="6" t="inlineStr">
        <is>
          <t>Operational risk (basic indicator approach)</t>
        </is>
      </c>
      <c r="B9" s="6" t="n"/>
      <c r="C9" s="6" t="n"/>
      <c r="D9" s="6" t="n">
        <v>221028.9</v>
      </c>
      <c r="E9" s="6" t="n">
        <v>177334.9</v>
      </c>
      <c r="F9" s="6" t="n">
        <v>137268.7</v>
      </c>
      <c r="G9" s="6" t="n">
        <v>115215.6</v>
      </c>
    </row>
    <row r="10">
      <c r="A10" s="5" t="inlineStr">
        <is>
          <t>Total risk-weighted exposure amount</t>
        </is>
      </c>
      <c r="B10" s="5" t="n"/>
      <c r="C10" s="5" t="n"/>
      <c r="D10" s="5" t="n">
        <v>2375798.8</v>
      </c>
      <c r="E10" s="5" t="n">
        <v>2033020.6</v>
      </c>
      <c r="F10" s="5" t="n">
        <v>1277097.8</v>
      </c>
      <c r="G10" s="5" t="n">
        <v>1348332.5</v>
      </c>
    </row>
    <row r="12" ht="247" customHeight="1">
      <c r="A12" s="8" t="inlineStr">
        <is>
          <t>Sources - The Access Bank UK Limited's own OV1 (Overview of risk weighted exposure amounts) table, converted from USD to £ at that year's BoE spot rate:
FY2023 &amp; FY2022: Pillar 3 Disclosures 2023, p.6 (Section 4.3, OV1) - https://www.theaccessbankukltd.co.uk/wp-content/uploads/2025/06/PIllar-3-2023.pdf
FY2021 &amp; FY2020: Pillar 3 Disclosures 2022, p.15 (Section 4.3, OV1) - https://www.theaccessbankukltd.co.uk/wp-content/uploads/2024/01/PILLAR-3-DISCLOSURES-2022-Final.pdf
ENTITY NOTE: The Access Bank UK Limited (Companies House 06365062, FRN 478415) is a UK subsidiary of Access Bank Plc (Nigeria); ultimate parent is Access Holdings Plc (Nigeria). Like Zenith Bank (UK) Limited and United Bank for Africa (UK) Limited elsewhere in this workbook series, it prepares full IFRS financial statements with a genuine Statement of Cash Flows every year - no FRS 101/102 cash-flow exemption applies. The Bank's Own Funds consist entirely of Common Equity Tier 1 (CET1) capital (no AT1 or Tier 2 instruments), so CET1 capital = Tier 1 capital = Total capital in every year shown. The Bank's own website blocks automated page fetches (Cloudflare bot protection on its HTML pages, though direct PDF links work); its 'Our Reports' page was instead read through a text-extraction proxy (2026-09-18) and via multiple Wayback Machine snapshots (2022-2025) to locate every year's Annual Report and Pillar 3 Disclosures PDF. LATEST-EDITION CHECK, 18 SEPTEMBER 2026: the Bank's 'Our Reports' page lists a FY2025 Annual Report and a FY2025 Report &amp; Financial Statements (both uploaded to the Bank's CDN in its 2026/06 folder; the financial statements were signed 23 April 2026 and the PDF was produced 15 June 2026), and this workbook was extended to FY2025 from them on that date. The newest Pillar 3 Disclosures edition on that same page is still the 2023 one - no FY2024 and no FY2025 Pillar 3 edition exists as at 18 September 2026 (see the Pillar 3 sheets' source notes for the evidence). This workbook therefore covers FY2019-FY2025 - 7 years of statements, but Pillar 3 template metrics only to FY2023; FY2024 and FY2025 Pillar 3 cells are filled ONLY from the Annual Report where the Bank itself discloses the figure on the same basis, and are otherwise blank rather than guessed. From FY2024 the Bank's own Statement of Cash Flows is presented on both 'Bank' and 'Group' bases (following the acquisition of an interest in a subsidiary during 2024 - see 'Purchase of share in subsidiary' below); the Bank (entity-level) column is used throughout this workbook for consistency with every earlier year, when Bank and Group were identical since no subsidiary existed. THAT CHOICE MATTERS MUCH MORE FROM FY2025: the Group acquired control of AfrAsia Bank Limited (Mauritius) during 2025 and consolidated it for the first time, so Group total assets ($11,617.1m) are now more than double the Bank's ($5,146.0m). Every FY2025 figure in this workbook is the BANK column, on the same basis as FY2019-FY2024; no Group figure is mixed in.
UNIT PRECISION CHANGES AT FY2025: the FY2019-FY2024 editions print the primary statements in whole US dollars and were transcribed at that precision; the FY2025 edition prints them in $'000. FY2025 source figures below are therefore written as whole dollars with three trailing zeros - that is the precision the Bank published, not a rounding applied here.</t>
        </is>
      </c>
    </row>
    <row r="14" ht="234" customHeight="1">
      <c r="A14" s="8" t="inlineStr">
        <is>
          <t>(continued)
FX CONVERSION NOTE: The Access Bank UK Limited reports in US Dollars. This workbook converts every $ amount to £ for consistency with the rest of this series, following the same methodology established for SMBC Bank International plc, Zenith Bank (UK) Limited and United Bank for Africa (UK) Limited: point-in-time/balance figures (capital, RWA, leverage exposure, HQLA, cash balances) use the Bank of England GBP/USD SPOT rate as at that fiscal year-end (31 December); flow figures (every cash flow statement line item) use the AVERAGE of Bank of England rates over that calendar year - both via poundsterlinglive.com's published Bank of England archive. Rates used (£1 = $X): FY2020 spot 1.3661 / average 1.2837; FY2021 spot 1.3521 / average 1.3752; FY2022 spot 1.2097 / average 1.2362; FY2023 spot 1.2732 / average 1.2439; FY2024 spot 1.2515 / average 1.2782 - identical to the FY2021-FY2024 rates already used for Zenith Bank UK and UBA UK, since all average 1.2782; FY2025 spot 1.3448 / average 1.3193 (the same FY2025 pair already used in build_zenith.py); FY2019 spot 1.3210 / average 1.2767 (Bank of England series XUDLUSS, 31 December 2019; its published calendar-year GBP/USD average). All % ratios (CET1/Tier 1/Total Capital/Leverage/LCR/NSFR ratios) are shown EXACTLY as reported in USD and were NOT converted - a ratio is dimensionless and currency-invariant. Because stocks and flows are converted at different rates, the cash flow statement includes an explicit 'Effect of GBP/USD translation' reconciling line (FY2021-FY2024 only, computed programmatically from the actual converted figures) so opening + all flows + this line = closing exactly in £ terms for those years - this line is purely an artefact of £ translation and has no bearing on the Bank's underlying USD results. This conversion was not explicitly requested for this bank - applied for consistency with the rest of the series, following the same call already confirmed for Zenith Bank UK and UBA UK; flag if £'000 rather than the Bank's native US$'000 presentation is not what's wanted here.
No FY2024 and no FY2025 Pillar 3 Disclosures document exists (same gap documented on the Pillar 3 metric sheets, re-verified against the Bank's own Reports page on 18 September 2026) - those cells are blank rather than guessed, and neither Annual Report prints an RWA breakdown or an RWA total. The Bank has no market risk RWA requirement in any year shown (its own Pillar 3 reports state market risk is below the CRR de minimis threshold - it holds no trading book) - not a missing-disclosure gap, a genuine nil. 'Of which: credit valuation adjustment (CVA)' is a memo sub-item already included WITHIN 'Counterparty credit risk (CCR)' above it (per the OV1 template's own structure), not an additional component - it will appear to double-count against the Total row in a naive DATA-sum reconciliation check; this is expected and matches the Bank's own table structure.</t>
        </is>
      </c>
    </row>
  </sheetData>
  <mergeCells count="2">
    <mergeCell ref="A14:G14"/>
    <mergeCell ref="A12:G1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The Access Bank UK Limited — Leverage Ratio</t>
        </is>
      </c>
    </row>
    <row r="2">
      <c r="A2" s="2" t="inlineStr">
        <is>
          <t>£'000 / % (conv. from USD)</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exposure measure</t>
        </is>
      </c>
      <c r="B4" s="6" t="n"/>
      <c r="C4" s="6" t="n"/>
      <c r="D4" s="6" t="n">
        <v>3335479.9</v>
      </c>
      <c r="E4" s="6" t="n">
        <v>3357849.1</v>
      </c>
      <c r="F4" s="6" t="n">
        <v>2499781.8</v>
      </c>
      <c r="G4" s="6" t="n">
        <v>1899792.8</v>
      </c>
    </row>
    <row r="5">
      <c r="A5" s="6" t="inlineStr">
        <is>
          <t>Leverage ratio (%) - FY2022 onward excluding claims on central banks (UK KM1); FY2020-FY2021 including claims on central banks (UK LR2); see note</t>
        </is>
      </c>
      <c r="B5" s="6" t="inlineStr">
        <is>
          <t>Not disclosed - no Pillar 3 edition; the Annual Report gives no leverage ratio or exposure measure</t>
        </is>
      </c>
      <c r="C5" s="6" t="inlineStr">
        <is>
          <t>Not disclosed - no Pillar 3 edition; the Annual Report gives no leverage ratio or exposure measure</t>
        </is>
      </c>
      <c r="D5" s="6" t="inlineStr">
        <is>
          <t>15.9%</t>
        </is>
      </c>
      <c r="E5" s="6" t="inlineStr">
        <is>
          <t>12.0%</t>
        </is>
      </c>
      <c r="F5" s="6" t="inlineStr">
        <is>
          <t>11.18%</t>
        </is>
      </c>
      <c r="G5" s="6" t="inlineStr">
        <is>
          <t>13.07%</t>
        </is>
      </c>
    </row>
    <row r="6" ht="39" customHeight="1">
      <c r="A6" s="7" t="inlineStr">
        <is>
          <t>Note: FY2020/FY2021 source tables (UK LR2, in the FY2021 Pillar 3 report) label this 'including claims on central banks'; FY2022 onward (UK KM1 template) labels it 'excluding claims on central banks'. Despite the differing labels, the FY2021 figure is identical (3,379,955) in both the FY2021 report's own table and the FY2022 report's comparative column, so this appears to be inconsistent wording by the Bank rather than a genuine methodology change - shown here as a single continuous row, flagged for visibility.</t>
        </is>
      </c>
    </row>
    <row r="8" ht="234" customHeight="1">
      <c r="A8" s="8" t="inlineStr">
        <is>
          <t>Sources - The Access Bank UK Limited Pillar 3 Disclosures (UK KM1 - Key Metrics template, or the equivalent UK CC1/LR2 tables for FY2020/FY2021 which pre-date the Bank's KM1 template), converted from USD to £ where a $ amount (see FX conversion note on the Cash Flow Statement sheet; % ratios are unconverted):
FY2023 &amp; FY2022: Pillar 3 Disclosures 2023, p.6 (Section 1.7, Key Metrics) - https://www.theaccessbankukltd.co.uk/wp-content/uploads/2025/06/PIllar-3-2023.pdf
FY2021 (capital/leverage): Pillar 3 Disclosures 2021, p.15 (UK CC1) &amp; p.21 (LR2) - https://www.theaccessbankukltd.co.uk/wp-content/uploads/2022/10/PILLAR-3-DISCLOSURES-2021-Final.pdf
FY2021 (LCR/NSFR) &amp; FY2020 (capital/leverage): Pillar 3 Disclosures 2022, p.6-7 (Section 1.7 comparative column) &amp; Pillar 3 Disclosures 2021, p.15 (UK CC1) &amp; p.21 (LR2) - https://www.theaccessbankukltd.co.uk/wp-content/uploads/2024/01/PILLAR-3-DISCLOSURES-2022-Final.pdf
FY2019: Pillar 3 Disclosures 2020, p.6 (Section 1.7 FY2019 comparative) and p.17/p.20 (Pillar 1 / leverage comparatives) - https://www.theaccessbankukltd.co.uk/wp-content/uploads/2022/06/PILLAR-3-DISCLOSURES-2020-Clean.pdf
FY2025 (Tier 1 / Total capital amount): Report &amp; Financial Statements 2025, p.81, Note 28g 'Capital management', 'Capital Resources' table, Bank 31 December 2025 column - Total regulatory capital $788,303 thousand - https://www.theaccessbankukltd.co.uk/wp-content/uploads/2026/06/AccessBank_AR2025_Financials_web.pdf
FY2025 (CET1, Tier 1 and LCR ratios): Report &amp; Financial Statements 2025, p.4, Key Performance Indicators table, Bank 2025 column - CET1 Capital Ratio 11.78%, Tier 1 Capital Ratio 19.27%, Liquidity Coverage Ratio 199.46% - https://www.theaccessbankukltd.co.uk/wp-content/uploads/2026/06/AccessBank_AR2025_Financials_web.pdf
FY2024 (capital amounts): Report &amp; Financial Statements 2024, p.59, Note 27g 'Capital management (Bank)', 'Capital Resources' table - Total tier 1 capital / Total regulatory capital $750,775,693 (shown here as 750,776 $'000 before conversion) - https://www.theaccessbankukltd.co.uk/wp-content/uploads/2025/06/AccessBank_AR2024_Financials-AW.pdf
SOURCE DEFECT, REPRODUCED NOT CORRECTED: the FY2025 edition's Note 28g narrative says 'Total regulatory capital as at 31 December 2025 including 2025 profit after tax was $793,036 thousand (2024: $750,776 thousand) for the Bank', while the itemised Capital Resources table immediately below it foots to $788,303 thousand (2024: $750,775). The two disagree by $4,733 thousand for 2025 and by rounding only for 2024. The TABLE figure is used here because it is the build-up the Bank shows its working for, and because the FY2024 column above was taken from the equivalent table in the previous edition; the narrative's number is recorded rather than reconciled away.</t>
        </is>
      </c>
    </row>
    <row r="10" ht="286" customHeight="1">
      <c r="A10" s="8" t="inlineStr">
        <is>
          <t>(continued)
NO FY2024 AND NO FY2025 PILLAR 3 DISCLOSURES DOCUMENT EXISTS - and that finding is now written INTO the FY2025/FY2024 cells of KM1, Total RWAs, RWA Breakdown, Leverage Ratio, NSFR and (FY2025) CET1 Capital, not only into these notes, because a note is invisible to the coverage census and those columns otherwise read as untouched gaps. The evidence is unchanged and is set out immediately below. Independently re-confirmed a third time on 18 September 2026 in the gap-fill round: the 'Our Reports' page was re-fetched with a browser User-Agent over HTTP/1.1 (HTTP 200, text/html, 197,098 bytes), every .pdf href parsed, and it still carries exactly one Pillar 3 entry - 'Pillar 3 Disclosures 2023' at .../2025/06/PIllar-3-2023.pdf - beside 'Annual Report 2025' and 'Report and Financial Statements 2025'; a fresh Wayback CDX sweep of the domain filtered on 'pillar' still returns exactly five documents, newest the 2023 edition; and the WordPress REST media endpoint is still closed (HTTP 401, 'itsec_rest_api_access_restricted') on both /wp-json/wp/v2/media and the ?rest_route= form. Re-verified 18 September 2026 against the Bank's OWN site: its 'Our Reports' page (https://www.theaccessbankukltd.co.uk/about-us/our-reports/) carries exactly one Pillar 3 entry, 'Pillar 3 Disclosures 2023', while the same page was already carrying the FY2025 Annual Report and FY2025 Report &amp; Financial Statements - so the page is current and the Pillar 3 series is what has stopped, not our reading of it. THE PROXY IS NO LONGER NEEDED AND THE 403 IS NOT A REAL BLOCK (established 2026-09-18, second pass, and recorded because the same wrong conclusion will otherwise be drawn again): the page returns 403 to a plain curl, to curl -L, and to curl --http1.1 -L, but returns HTTP 200 with 197,459 bytes of real HTML as soon as a browser User-Agent and an Accept: text/html header are sent over HTTP/1.1. No cookie warm-up is required (one was tried and changed nothing). Cloudflare here is filtering on request HEADERS, not challenging the client. The page was re-read that way, directly from the Bank's own host with no intermediary, and every .pdf href extracted - 25 documents, of which EXACTLY ONE is a Pillar 3 ('.../2025/06/PIllar-3-2023.pdf'), alongside Annual Reports running from 2011 to 2025. That is the same result the proxy gave, now on first-hand evidence. The Bank's WordPress REST media endpoint, which would have listed unlinked uploads too, is closed (HTTP 401, 'itsec_rest_api_access_restricted'), so the reports page is the best enumeration available. A Wayback CDX sweep of the whole domain filtered on 'pillar' returns exactly five documents, the newest still the 2023 edition, and 56 further plausible 2024/2025 filenames probed under the Bank's /wp-content/uploads/ CDN (2025/06, 2025/07, 2025/12, 2026/01, 2026/05, 2026/06, 2026/07 folders) all returned non-200. Three independent routes agree. Publication lag for the next look: the Bank published its FY2025 Annual Report in June 2026 (signed 23 April 2026) and its 2023 Pillar 3 in the 2025/06 folder, i.e. its Pillar 3 has been running roughly 18 months behind year-end, so a FY2024 edition would already be overdue and a FY2025 one would not be expected before mid-2027.
For FY2024 and FY2025 the Annual Report substitutes ONLY where the basis is verified identical. The AR's capital table is the same basis as the Pillar 3: the FY2024 edition's FY2023 comparative of $676,943,850 reproduces the FY2023 Pillar 3 CET1/Tier 1/Total capital figure of 676,944 $'000 EXACTLY, and the note confirms 'the Bank's regulatory capital consists only of Tier 1 capital'. The AR's Tier 1 Capital Ratio (20.18% for FY2024) likewise ties to the Pillar 3 basis (its FY2023 figure, 22.38%, matches the workbook's 22.4%).</t>
        </is>
      </c>
    </row>
    <row r="12" ht="169" customHeight="1">
      <c r="A12" s="8" t="inlineStr">
        <is>
          <t>(continued)
NOT substituted for FY2024 or FY2025, and left blank rather than derived: Total RWAs (neither Annual Report gives an RWA figure; back-solving $750,775,693 / 20.18% is refused because the ratio is rounded to 2dp, which spans an RWA range of roughly $3,719.5m-$3,721.3m, and the same objection applies to $788,303k / 19.27%); Leverage Ratio (neither AR discloses a leverage ratio or a leverage exposure measure - total assets is NOT the exposure measure, which includes off-balance-sheet items); and NSFR (neither AR contains a quantitative NSFR disclosure - the FY2025 edition mentions the Net Stable Funding Ratio exactly once, in a sentence saying PRA liquidity limits 'are fully met at all times', with no figure; a richness control on the same document returns 33 hits for 'cash flow' and 16 for 'total assets', so that single hit is a fact about the document, not about the extraction). ALL THREE OF THOSE NEGATIVES WERE RE-ESTABLISHED INDEPENDENTLY ON 2026-09-18 against freshly downloaded copies of AccessBank_AR2025_web.pdf (13,090,810 bytes), AccessBank_AR2025_Financials_web.pdf (2,443,676 bytes) and the FY2024 narrative edition AccessBank_AR2024-AW4-1-v2.pdf (4,689,255 bytes), all text-native. In the FY2025 Financials edition (478,570 characters extracted) the phrase 'Risk Weighted Assets' occurs only twice and both are definitional - once in the sentence defining how the Tier 1 Capital Ratio is computed, once in Note 27/28 saying the PRA sets a minimum ratio of regulatory capital to risk-weighted assets - with no RWA AMOUNT printed anywhere; 'leverage ratio' occurs not at all; and the Net Stable Funding Ratio occurs once, in the sentence about PRA liquidity limits being 'fully met at all times'. The Key Performance Indicators table (printed under 'Key Performance Indicators') gives Bank/Group RATIOS only - LCR 199.46/195.71, CET1 ratio 11.78/11.72, Tier 1 ratio 19.27/15.58 - and no denominators. FY2020 LCR/NSFR were not found in any source (narrative-only LCR in the FY2021 Pillar 3 report gives a single FY2021 point figure, no FY2020 comparative; the UK NSFR framework may not yet have covered FY2020) - left blank.</t>
        </is>
      </c>
    </row>
  </sheetData>
  <mergeCells count="4">
    <mergeCell ref="A8:G8"/>
    <mergeCell ref="A6:G6"/>
    <mergeCell ref="A10:G10"/>
    <mergeCell ref="A12:G1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The Access Bank UK Limited — LCR</t>
        </is>
      </c>
    </row>
    <row r="2">
      <c r="A2" s="2" t="inlineStr">
        <is>
          <t>£'000 / % (conv. from USD)</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high-quality liquid assets (HQLA), weighted value</t>
        </is>
      </c>
      <c r="B4" s="6" t="n"/>
      <c r="C4" s="6" t="n"/>
      <c r="D4" s="6" t="n">
        <v>708481</v>
      </c>
      <c r="E4" s="6" t="n">
        <v>870655.5</v>
      </c>
      <c r="F4" s="6" t="n">
        <v>596938.8</v>
      </c>
    </row>
    <row r="5">
      <c r="A5" s="6" t="inlineStr">
        <is>
          <t>Total net cash outflows, adjusted value</t>
        </is>
      </c>
      <c r="B5" s="6" t="n"/>
      <c r="C5" s="6" t="n"/>
      <c r="D5" s="6" t="n">
        <v>193806.2</v>
      </c>
      <c r="E5" s="6" t="n">
        <v>193268.6</v>
      </c>
      <c r="F5" s="6" t="n">
        <v>161053.2</v>
      </c>
    </row>
    <row r="6">
      <c r="A6" s="6" t="inlineStr">
        <is>
          <t>Liquidity Coverage Ratio (%) (KM1, average of preceding 12 months)</t>
        </is>
      </c>
      <c r="B6" s="6" t="n"/>
      <c r="C6" s="6" t="n"/>
      <c r="D6" s="6" t="inlineStr">
        <is>
          <t>365.6%</t>
        </is>
      </c>
      <c r="E6" s="6" t="inlineStr">
        <is>
          <t>450.5%</t>
        </is>
      </c>
      <c r="F6" s="6" t="inlineStr">
        <is>
          <t>370.6%</t>
        </is>
      </c>
    </row>
    <row r="7">
      <c r="A7" s="6" t="inlineStr">
        <is>
          <t>Liquidity Coverage Ratio (%) (point-in-time at 31 December)</t>
        </is>
      </c>
      <c r="B7" s="6" t="inlineStr">
        <is>
          <t>199.46%</t>
        </is>
      </c>
      <c r="C7" s="6" t="inlineStr">
        <is>
          <t>176.65%</t>
        </is>
      </c>
      <c r="D7" s="6" t="inlineStr">
        <is>
          <t>275.47%</t>
        </is>
      </c>
      <c r="E7" s="6" t="n"/>
      <c r="F7" s="6" t="n"/>
    </row>
    <row r="8" ht="117" customHeight="1">
      <c r="A8" s="7" t="inlineStr">
        <is>
          <t>Note: TWO DIFFERENT BASES, deliberately kept on separate rows. The KM1 row is the Bank's 'average of preceding twelve months' figure and is the basis used for FY2021-FY2023. The point-in-time row is the Bank's year-end spot LCR. They are NOT comparable: for FY2023 the Bank discloses BOTH - 365.6% on the KM1 average basis (Pillar 3 Disclosures 2023, p.6 row 17) and 275.5% at 31 December 2023 (same document, Section 8 narrative), a 90-point gap. FY2024 and FY2025 have no Pillar 3 report, so for each of those years only the point-in-time figure exists (176.65% per the Annual Report 2024 KPI table; 199.46% per the Report &amp; Financial Statements 2025 KPI table, p.4, Bank 2025 column); both are shown on the point-in-time row and the KM1 average row is left BLANK for FY2024 and FY2025 rather than continued with a different-basis number. An earlier revision of this workbook placed 176.65% directly in the KM1 average row, which made the ratio appear to fall 365.6% -&gt; 176.65%; the like-for-like point-in-time move is 275.47% -&gt; 176.65%. FY2021's $ breakdown (HQLA/net cash outflows) is sourced from the FY2022 Pillar 3 report's comparative column - the FY2021 Pillar 3 report itself only states a single narrative LCR percentage (343.9%), not a KM1-style table with a $ breakdown; that narrative figure is again a different convention from the 370.6% KM1 figure shown here. FY2020 not found in any source.</t>
        </is>
      </c>
    </row>
    <row r="10" ht="260" customHeight="1">
      <c r="A10" s="8" t="inlineStr">
        <is>
          <t>Sources - The Access Bank UK Limited Pillar 3 Disclosures (UK KM1 - Key Metrics template, or the equivalent UK CC1/LR2 tables for FY2020/FY2021 which pre-date the Bank's KM1 template), converted from USD to £ where a $ amount (see FX conversion note on the Cash Flow Statement sheet; % ratios are unconverted):
FY2023 &amp; FY2022: Pillar 3 Disclosures 2023, p.6 (Section 1.7, Key Metrics) - https://www.theaccessbankukltd.co.uk/wp-content/uploads/2025/06/PIllar-3-2023.pdf
FY2021 (capital/leverage): Pillar 3 Disclosures 2021, p.15 (UK CC1) &amp; p.21 (LR2) - https://www.theaccessbankukltd.co.uk/wp-content/uploads/2022/10/PILLAR-3-DISCLOSURES-2021-Final.pdf
FY2021 (LCR/NSFR) &amp; FY2020 (capital/leverage): Pillar 3 Disclosures 2022, p.6-7 (Section 1.7 comparative column) &amp; Pillar 3 Disclosures 2021, p.15 (UK CC1) &amp; p.21 (LR2) - https://www.theaccessbankukltd.co.uk/wp-content/uploads/2024/01/PILLAR-3-DISCLOSURES-2022-Final.pdf
FY2019: Pillar 3 Disclosures 2020, p.6 (Section 1.7 FY2019 comparative) and p.17/p.20 (Pillar 1 / leverage comparatives) - https://www.theaccessbankukltd.co.uk/wp-content/uploads/2022/06/PILLAR-3-DISCLOSURES-2020-Clean.pdf
FY2025 (Tier 1 / Total capital amount): Report &amp; Financial Statements 2025, p.81, Note 28g 'Capital management', 'Capital Resources' table, Bank 31 December 2025 column - Total regulatory capital $788,303 thousand - https://www.theaccessbankukltd.co.uk/wp-content/uploads/2026/06/AccessBank_AR2025_Financials_web.pdf
FY2025 (CET1, Tier 1 and LCR ratios): Report &amp; Financial Statements 2025, p.4, Key Performance Indicators table, Bank 2025 column - CET1 Capital Ratio 11.78%, Tier 1 Capital Ratio 19.27%, Liquidity Coverage Ratio 199.46% - https://www.theaccessbankukltd.co.uk/wp-content/uploads/2026/06/AccessBank_AR2025_Financials_web.pdf
FY2024 (capital amounts): Report &amp; Financial Statements 2024, p.59, Note 27g 'Capital management (Bank)', 'Capital Resources' table - Total tier 1 capital / Total regulatory capital $750,775,693 (shown here as 750,776 $'000 before conversion) - https://www.theaccessbankukltd.co.uk/wp-content/uploads/2025/06/AccessBank_AR2024_Financials-AW.pdf
SOURCE DEFECT, REPRODUCED NOT CORRECTED: the FY2025 edition's Note 28g narrative says 'Total regulatory capital as at 31 December 2025 including 2025 profit after tax was $793,036 thousand (2024: $750,776 thousand) for the Bank', while the itemised Capital Resources table immediately below it foots to $788,303 thousand (2024: $750,775). The two disagree by $4,733 thousand for 2025 and by rounding only for 2024. The TABLE figure is used here because it is the build-up the Bank shows its working for, and because the FY2024 column above was taken from the equivalent table in the previous edition; the narrative's number is recorded rather than reconciled away.</t>
        </is>
      </c>
    </row>
    <row r="12" ht="325" customHeight="1">
      <c r="A12" s="8" t="inlineStr">
        <is>
          <t>(continued)
NO FY2024 AND NO FY2025 PILLAR 3 DISCLOSURES DOCUMENT EXISTS - and that finding is now written INTO the FY2025/FY2024 cells of KM1, Total RWAs, RWA Breakdown, Leverage Ratio, NSFR and (FY2025) CET1 Capital, not only into these notes, because a note is invisible to the coverage census and those columns otherwise read as untouched gaps. The evidence is unchanged and is set out immediately below. Independently re-confirmed a third time on 18 September 2026 in the gap-fill round: the 'Our Reports' page was re-fetched with a browser User-Agent over HTTP/1.1 (HTTP 200, text/html, 197,098 bytes), every .pdf href parsed, and it still carries exactly one Pillar 3 entry - 'Pillar 3 Disclosures 2023' at .../2025/06/PIllar-3-2023.pdf - beside 'Annual Report 2025' and 'Report and Financial Statements 2025'; a fresh Wayback CDX sweep of the domain filtered on 'pillar' still returns exactly five documents, newest the 2023 edition; and the WordPress REST media endpoint is still closed (HTTP 401, 'itsec_rest_api_access_restricted') on both /wp-json/wp/v2/media and the ?rest_route= form. Re-verified 18 September 2026 against the Bank's OWN site: its 'Our Reports' page (https://www.theaccessbankukltd.co.uk/about-us/our-reports/) carries exactly one Pillar 3 entry, 'Pillar 3 Disclosures 2023', while the same page was already carrying the FY2025 Annual Report and FY2025 Report &amp; Financial Statements - so the page is current and the Pillar 3 series is what has stopped, not our reading of it. THE PROXY IS NO LONGER NEEDED AND THE 403 IS NOT A REAL BLOCK (established 2026-09-18, second pass, and recorded because the same wrong conclusion will otherwise be drawn again): the page returns 403 to a plain curl, to curl -L, and to curl --http1.1 -L, but returns HTTP 200 with 197,459 bytes of real HTML as soon as a browser User-Agent and an Accept: text/html header are sent over HTTP/1.1. No cookie warm-up is required (one was tried and changed nothing). Cloudflare here is filtering on request HEADERS, not challenging the client. The page was re-read that way, directly from the Bank's own host with no intermediary, and every .pdf href extracted - 25 documents, of which EXACTLY ONE is a Pillar 3 ('.../2025/06/PIllar-3-2023.pdf'), alongside Annual Reports running from 2011 to 2025. That is the same result the proxy gave, now on first-hand evidence. The Bank's WordPress REST media endpoint, which would have listed unlinked uploads too, is closed (HTTP 401, 'itsec_rest_api_access_restricted'), so the reports page is the best enumeration available. A Wayback CDX sweep of the whole domain filtered on 'pillar' returns exactly five documents, the newest still the 2023 edition, and 56 further plausible 2024/2025 filenames probed under the Bank's /wp-content/uploads/ CDN (2025/06, 2025/07, 2025/12, 2026/01, 2026/05, 2026/06, 2026/07 folders) all returned non-200. Three independent routes agree. Publication lag for the next look: the Bank published its FY2025 Annual Report in June 2026 (signed 23 April 2026) and its 2023 Pillar 3 in the 2025/06 folder, i.e. its Pillar 3 has been running roughly 18 months behind year-end, so a FY2024 edition would already be overdue and a FY2025 one would not be expected before mid-2027.
For FY2024 and FY2025 the Annual Report substitutes ONLY where the basis is verified identical. The AR's capital table is the same basis as the Pillar 3: the FY2024 edition's FY2023 comparative of $676,943,850 reproduces the FY2023 Pillar 3 CET1/Tier 1/Total capital figure of 676,944 $'000 EXACTLY, and the note confirms 'the Bank's regulatory capital consists only of Tier 1 capital'. The AR's Tier 1 Capital Ratio (20.18% for FY2024) likewise ties to the Pillar 3 basis (its FY2023 figure, 22.38%, matches the workbook's 22.4%).</t>
        </is>
      </c>
    </row>
    <row r="14" ht="182" customHeight="1">
      <c r="A14" s="8" t="inlineStr">
        <is>
          <t>(continued)
NOT substituted for FY2024 or FY2025, and left blank rather than derived: Total RWAs (neither Annual Report gives an RWA figure; back-solving $750,775,693 / 20.18% is refused because the ratio is rounded to 2dp, which spans an RWA range of roughly $3,719.5m-$3,721.3m, and the same objection applies to $788,303k / 19.27%); Leverage Ratio (neither AR discloses a leverage ratio or a leverage exposure measure - total assets is NOT the exposure measure, which includes off-balance-sheet items); and NSFR (neither AR contains a quantitative NSFR disclosure - the FY2025 edition mentions the Net Stable Funding Ratio exactly once, in a sentence saying PRA liquidity limits 'are fully met at all times', with no figure; a richness control on the same document returns 33 hits for 'cash flow' and 16 for 'total assets', so that single hit is a fact about the document, not about the extraction). ALL THREE OF THOSE NEGATIVES WERE RE-ESTABLISHED INDEPENDENTLY ON 2026-09-18 against freshly downloaded copies of AccessBank_AR2025_web.pdf (13,090,810 bytes), AccessBank_AR2025_Financials_web.pdf (2,443,676 bytes) and the FY2024 narrative edition AccessBank_AR2024-AW4-1-v2.pdf (4,689,255 bytes), all text-native. In the FY2025 Financials edition (478,570 characters extracted) the phrase 'Risk Weighted Assets' occurs only twice and both are definitional - once in the sentence defining how the Tier 1 Capital Ratio is computed, once in Note 27/28 saying the PRA sets a minimum ratio of regulatory capital to risk-weighted assets - with no RWA AMOUNT printed anywhere; 'leverage ratio' occurs not at all; and the Net Stable Funding Ratio occurs once, in the sentence about PRA liquidity limits being 'fully met at all times'. The Key Performance Indicators table (printed under 'Key Performance Indicators') gives Bank/Group RATIOS only - LCR 199.46/195.71, CET1 ratio 11.78/11.72, Tier 1 ratio 19.27/15.58 - and no denominators. FY2020 LCR/NSFR were not found in any source (narrative-only LCR in the FY2021 Pillar 3 report gives a single FY2021 point figure, no FY2020 comparative; the UK NSFR framework may not yet have covered FY2020) - left blank.</t>
        </is>
      </c>
    </row>
  </sheetData>
  <mergeCells count="4">
    <mergeCell ref="A8:F8"/>
    <mergeCell ref="A14:F14"/>
    <mergeCell ref="A10:F10"/>
    <mergeCell ref="A12:F1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The Access Bank UK Limited — NSFR</t>
        </is>
      </c>
    </row>
    <row r="2">
      <c r="A2" s="2" t="inlineStr">
        <is>
          <t>£'000 / % (conv. from USD)</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available stable funding</t>
        </is>
      </c>
      <c r="B4" s="6" t="n"/>
      <c r="C4" s="6" t="n"/>
      <c r="D4" s="6" t="n">
        <v>1475757.9</v>
      </c>
      <c r="E4" s="6" t="n">
        <v>1213379.4</v>
      </c>
      <c r="F4" s="6" t="n">
        <v>1318835.1</v>
      </c>
    </row>
    <row r="5">
      <c r="A5" s="6" t="inlineStr">
        <is>
          <t>Total required stable funding</t>
        </is>
      </c>
      <c r="B5" s="6" t="n"/>
      <c r="C5" s="6" t="n"/>
      <c r="D5" s="6" t="n">
        <v>875261.5</v>
      </c>
      <c r="E5" s="6" t="n">
        <v>820509.2</v>
      </c>
      <c r="F5" s="6" t="n">
        <v>670287.7</v>
      </c>
    </row>
    <row r="6">
      <c r="A6" s="6" t="inlineStr">
        <is>
          <t>Net Stable Funding Ratio (%)</t>
        </is>
      </c>
      <c r="B6" s="6" t="inlineStr">
        <is>
          <t>Not disclosed - no Pillar 3 edition; the Annual Report gives no quantitative NSFR</t>
        </is>
      </c>
      <c r="C6" s="6" t="inlineStr">
        <is>
          <t>Not disclosed - no Pillar 3 edition; the Annual Report gives no quantitative NSFR</t>
        </is>
      </c>
      <c r="D6" s="6" t="inlineStr">
        <is>
          <t>168.6%</t>
        </is>
      </c>
      <c r="E6" s="6" t="inlineStr">
        <is>
          <t>147.9%</t>
        </is>
      </c>
      <c r="F6" s="6" t="inlineStr">
        <is>
          <t>196.8%</t>
        </is>
      </c>
    </row>
    <row r="7" ht="30" customHeight="1">
      <c r="A7" s="7" t="inlineStr">
        <is>
          <t>Note: FY2021's $ breakdown is sourced from the FY2022 Pillar 3 report's comparative column (the FY2021 report itself does not tabulate NSFR). FY2020 not found in any source.</t>
        </is>
      </c>
    </row>
    <row r="9" ht="260" customHeight="1">
      <c r="A9" s="8" t="inlineStr">
        <is>
          <t>Sources - The Access Bank UK Limited Pillar 3 Disclosures (UK KM1 - Key Metrics template, or the equivalent UK CC1/LR2 tables for FY2020/FY2021 which pre-date the Bank's KM1 template), converted from USD to £ where a $ amount (see FX conversion note on the Cash Flow Statement sheet; % ratios are unconverted):
FY2023 &amp; FY2022: Pillar 3 Disclosures 2023, p.6 (Section 1.7, Key Metrics) - https://www.theaccessbankukltd.co.uk/wp-content/uploads/2025/06/PIllar-3-2023.pdf
FY2021 (capital/leverage): Pillar 3 Disclosures 2021, p.15 (UK CC1) &amp; p.21 (LR2) - https://www.theaccessbankukltd.co.uk/wp-content/uploads/2022/10/PILLAR-3-DISCLOSURES-2021-Final.pdf
FY2021 (LCR/NSFR) &amp; FY2020 (capital/leverage): Pillar 3 Disclosures 2022, p.6-7 (Section 1.7 comparative column) &amp; Pillar 3 Disclosures 2021, p.15 (UK CC1) &amp; p.21 (LR2) - https://www.theaccessbankukltd.co.uk/wp-content/uploads/2024/01/PILLAR-3-DISCLOSURES-2022-Final.pdf
FY2019: Pillar 3 Disclosures 2020, p.6 (Section 1.7 FY2019 comparative) and p.17/p.20 (Pillar 1 / leverage comparatives) - https://www.theaccessbankukltd.co.uk/wp-content/uploads/2022/06/PILLAR-3-DISCLOSURES-2020-Clean.pdf
FY2025 (Tier 1 / Total capital amount): Report &amp; Financial Statements 2025, p.81, Note 28g 'Capital management', 'Capital Resources' table, Bank 31 December 2025 column - Total regulatory capital $788,303 thousand - https://www.theaccessbankukltd.co.uk/wp-content/uploads/2026/06/AccessBank_AR2025_Financials_web.pdf
FY2025 (CET1, Tier 1 and LCR ratios): Report &amp; Financial Statements 2025, p.4, Key Performance Indicators table, Bank 2025 column - CET1 Capital Ratio 11.78%, Tier 1 Capital Ratio 19.27%, Liquidity Coverage Ratio 199.46% - https://www.theaccessbankukltd.co.uk/wp-content/uploads/2026/06/AccessBank_AR2025_Financials_web.pdf
FY2024 (capital amounts): Report &amp; Financial Statements 2024, p.59, Note 27g 'Capital management (Bank)', 'Capital Resources' table - Total tier 1 capital / Total regulatory capital $750,775,693 (shown here as 750,776 $'000 before conversion) - https://www.theaccessbankukltd.co.uk/wp-content/uploads/2025/06/AccessBank_AR2024_Financials-AW.pdf
SOURCE DEFECT, REPRODUCED NOT CORRECTED: the FY2025 edition's Note 28g narrative says 'Total regulatory capital as at 31 December 2025 including 2025 profit after tax was $793,036 thousand (2024: $750,776 thousand) for the Bank', while the itemised Capital Resources table immediately below it foots to $788,303 thousand (2024: $750,775). The two disagree by $4,733 thousand for 2025 and by rounding only for 2024. The TABLE figure is used here because it is the build-up the Bank shows its working for, and because the FY2024 column above was taken from the equivalent table in the previous edition; the narrative's number is recorded rather than reconciled away.</t>
        </is>
      </c>
    </row>
    <row r="11" ht="325" customHeight="1">
      <c r="A11" s="8" t="inlineStr">
        <is>
          <t>(continued)
NO FY2024 AND NO FY2025 PILLAR 3 DISCLOSURES DOCUMENT EXISTS - and that finding is now written INTO the FY2025/FY2024 cells of KM1, Total RWAs, RWA Breakdown, Leverage Ratio, NSFR and (FY2025) CET1 Capital, not only into these notes, because a note is invisible to the coverage census and those columns otherwise read as untouched gaps. The evidence is unchanged and is set out immediately below. Independently re-confirmed a third time on 18 September 2026 in the gap-fill round: the 'Our Reports' page was re-fetched with a browser User-Agent over HTTP/1.1 (HTTP 200, text/html, 197,098 bytes), every .pdf href parsed, and it still carries exactly one Pillar 3 entry - 'Pillar 3 Disclosures 2023' at .../2025/06/PIllar-3-2023.pdf - beside 'Annual Report 2025' and 'Report and Financial Statements 2025'; a fresh Wayback CDX sweep of the domain filtered on 'pillar' still returns exactly five documents, newest the 2023 edition; and the WordPress REST media endpoint is still closed (HTTP 401, 'itsec_rest_api_access_restricted') on both /wp-json/wp/v2/media and the ?rest_route= form. Re-verified 18 September 2026 against the Bank's OWN site: its 'Our Reports' page (https://www.theaccessbankukltd.co.uk/about-us/our-reports/) carries exactly one Pillar 3 entry, 'Pillar 3 Disclosures 2023', while the same page was already carrying the FY2025 Annual Report and FY2025 Report &amp; Financial Statements - so the page is current and the Pillar 3 series is what has stopped, not our reading of it. THE PROXY IS NO LONGER NEEDED AND THE 403 IS NOT A REAL BLOCK (established 2026-09-18, second pass, and recorded because the same wrong conclusion will otherwise be drawn again): the page returns 403 to a plain curl, to curl -L, and to curl --http1.1 -L, but returns HTTP 200 with 197,459 bytes of real HTML as soon as a browser User-Agent and an Accept: text/html header are sent over HTTP/1.1. No cookie warm-up is required (one was tried and changed nothing). Cloudflare here is filtering on request HEADERS, not challenging the client. The page was re-read that way, directly from the Bank's own host with no intermediary, and every .pdf href extracted - 25 documents, of which EXACTLY ONE is a Pillar 3 ('.../2025/06/PIllar-3-2023.pdf'), alongside Annual Reports running from 2011 to 2025. That is the same result the proxy gave, now on first-hand evidence. The Bank's WordPress REST media endpoint, which would have listed unlinked uploads too, is closed (HTTP 401, 'itsec_rest_api_access_restricted'), so the reports page is the best enumeration available. A Wayback CDX sweep of the whole domain filtered on 'pillar' returns exactly five documents, the newest still the 2023 edition, and 56 further plausible 2024/2025 filenames probed under the Bank's /wp-content/uploads/ CDN (2025/06, 2025/07, 2025/12, 2026/01, 2026/05, 2026/06, 2026/07 folders) all returned non-200. Three independent routes agree. Publication lag for the next look: the Bank published its FY2025 Annual Report in June 2026 (signed 23 April 2026) and its 2023 Pillar 3 in the 2025/06 folder, i.e. its Pillar 3 has been running roughly 18 months behind year-end, so a FY2024 edition would already be overdue and a FY2025 one would not be expected before mid-2027.
For FY2024 and FY2025 the Annual Report substitutes ONLY where the basis is verified identical. The AR's capital table is the same basis as the Pillar 3: the FY2024 edition's FY2023 comparative of $676,943,850 reproduces the FY2023 Pillar 3 CET1/Tier 1/Total capital figure of 676,944 $'000 EXACTLY, and the note confirms 'the Bank's regulatory capital consists only of Tier 1 capital'. The AR's Tier 1 Capital Ratio (20.18% for FY2024) likewise ties to the Pillar 3 basis (its FY2023 figure, 22.38%, matches the workbook's 22.4%).</t>
        </is>
      </c>
    </row>
    <row r="13" ht="182" customHeight="1">
      <c r="A13" s="8" t="inlineStr">
        <is>
          <t>(continued)
NOT substituted for FY2024 or FY2025, and left blank rather than derived: Total RWAs (neither Annual Report gives an RWA figure; back-solving $750,775,693 / 20.18% is refused because the ratio is rounded to 2dp, which spans an RWA range of roughly $3,719.5m-$3,721.3m, and the same objection applies to $788,303k / 19.27%); Leverage Ratio (neither AR discloses a leverage ratio or a leverage exposure measure - total assets is NOT the exposure measure, which includes off-balance-sheet items); and NSFR (neither AR contains a quantitative NSFR disclosure - the FY2025 edition mentions the Net Stable Funding Ratio exactly once, in a sentence saying PRA liquidity limits 'are fully met at all times', with no figure; a richness control on the same document returns 33 hits for 'cash flow' and 16 for 'total assets', so that single hit is a fact about the document, not about the extraction). ALL THREE OF THOSE NEGATIVES WERE RE-ESTABLISHED INDEPENDENTLY ON 2026-09-18 against freshly downloaded copies of AccessBank_AR2025_web.pdf (13,090,810 bytes), AccessBank_AR2025_Financials_web.pdf (2,443,676 bytes) and the FY2024 narrative edition AccessBank_AR2024-AW4-1-v2.pdf (4,689,255 bytes), all text-native. In the FY2025 Financials edition (478,570 characters extracted) the phrase 'Risk Weighted Assets' occurs only twice and both are definitional - once in the sentence defining how the Tier 1 Capital Ratio is computed, once in Note 27/28 saying the PRA sets a minimum ratio of regulatory capital to risk-weighted assets - with no RWA AMOUNT printed anywhere; 'leverage ratio' occurs not at all; and the Net Stable Funding Ratio occurs once, in the sentence about PRA liquidity limits being 'fully met at all times'. The Key Performance Indicators table (printed under 'Key Performance Indicators') gives Bank/Group RATIOS only - LCR 199.46/195.71, CET1 ratio 11.78/11.72, Tier 1 ratio 19.27/15.58 - and no denominators. FY2020 LCR/NSFR were not found in any source (narrative-only LCR in the FY2021 Pillar 3 report gives a single FY2021 point figure, no FY2020 comparative; the UK NSFR framework may not yet have covered FY2020) - left blank.</t>
        </is>
      </c>
    </row>
  </sheetData>
  <mergeCells count="4">
    <mergeCell ref="A13:F13"/>
    <mergeCell ref="A11:F11"/>
    <mergeCell ref="A7:F7"/>
    <mergeCell ref="A9:F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The Access Bank UK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MREL Ratio</t>
        </is>
      </c>
      <c r="B4" s="6" t="inlineStr">
        <is>
          <t>Not published – no MREL figure in Access Bank UK Annual Report FY2025 (text search, 2026-09-19); no FY2025 Pillar 3 exists.</t>
        </is>
      </c>
      <c r="C4" s="6" t="inlineStr">
        <is>
          <t>Not published – no MREL figure in Access Bank UK Annual Report FY2024 (text search, 2026-09-19); no FY2024 Pillar 3 exists.</t>
        </is>
      </c>
      <c r="D4" s="6" t="inlineStr">
        <is>
          <t>Not published – no MREL figure or KM2 in Access Bank UK Pillar 3 FY2023 or Annual Report (text search, 2026-09-19).</t>
        </is>
      </c>
      <c r="E4" s="6" t="inlineStr">
        <is>
          <t>Not published – no MREL figure or KM2 in Access Bank UK Pillar 3 FY2022 or Annual Report (text search, 2026-09-19).</t>
        </is>
      </c>
      <c r="F4" s="6" t="inlineStr">
        <is>
          <t>Not published – no MREL figure or KM2 in Access Bank UK Pillar 3 FY2021 or Annual Report (text search, 2026-09-19).</t>
        </is>
      </c>
      <c r="G4" s="6" t="inlineStr">
        <is>
          <t>Not published – no MREL figure or KM2 in Access Bank UK Pillar 3 FY2020 or Annual Report (text search, 2026-09-19).</t>
        </is>
      </c>
      <c r="H4" s="6" t="inlineStr">
        <is>
          <t>Not published – no MREL figure in Access Bank UK Annual Report FY2019 (text search, 2026-09-19); FY2020 Pillar 3 (Dec-19 comparatives) has none.</t>
        </is>
      </c>
    </row>
    <row r="5" ht="30" customHeight="1">
      <c r="A5" s="7" t="inlineStr">
        <is>
          <t>Note: No MREL disclosure (numeric or qualitative) or UK KM2 template found in any year's Pillar 3 report - not explicitly stated as an exemption, but consistent with the Bank's small size relative to typical MREL-in-scope thresholds.</t>
        </is>
      </c>
    </row>
    <row r="7" ht="234" customHeight="1">
      <c r="A7" s="8" t="inlineStr">
        <is>
          <t>Sources - The Access Bank UK Limited Pillar 3 Disclosures (UK KM1 - Key Metrics template, or the equivalent UK CC1/LR2 tables for FY2020/FY2021 which pre-date the Bank's KM1 template), converted from USD to £ where a $ amount (see FX conversion note on the Cash Flow Statement sheet; % ratios are unconverted):
FY2023 &amp; FY2022: Pillar 3 Disclosures 2023, p.6 (Section 1.7, Key Metrics) - https://www.theaccessbankukltd.co.uk/wp-content/uploads/2025/06/PIllar-3-2023.pdf
FY2021 (capital/leverage): Pillar 3 Disclosures 2021, p.15 (UK CC1) &amp; p.21 (LR2) - https://www.theaccessbankukltd.co.uk/wp-content/uploads/2022/10/PILLAR-3-DISCLOSURES-2021-Final.pdf
FY2021 (LCR/NSFR) &amp; FY2020 (capital/leverage): Pillar 3 Disclosures 2022, p.6-7 (Section 1.7 comparative column) &amp; Pillar 3 Disclosures 2021, p.15 (UK CC1) &amp; p.21 (LR2) - https://www.theaccessbankukltd.co.uk/wp-content/uploads/2024/01/PILLAR-3-DISCLOSURES-2022-Final.pdf
FY2019: Pillar 3 Disclosures 2020, p.6 (Section 1.7 FY2019 comparative) and p.17/p.20 (Pillar 1 / leverage comparatives) - https://www.theaccessbankukltd.co.uk/wp-content/uploads/2022/06/PILLAR-3-DISCLOSURES-2020-Clean.pdf
FY2025 (Tier 1 / Total capital amount): Report &amp; Financial Statements 2025, p.81, Note 28g 'Capital management', 'Capital Resources' table, Bank 31 December 2025 column - Total regulatory capital $788,303 thousand - https://www.theaccessbankukltd.co.uk/wp-content/uploads/2026/06/AccessBank_AR2025_Financials_web.pdf
FY2025 (CET1, Tier 1 and LCR ratios): Report &amp; Financial Statements 2025, p.4, Key Performance Indicators table, Bank 2025 column - CET1 Capital Ratio 11.78%, Tier 1 Capital Ratio 19.27%, Liquidity Coverage Ratio 199.46% - https://www.theaccessbankukltd.co.uk/wp-content/uploads/2026/06/AccessBank_AR2025_Financials_web.pdf
FY2024 (capital amounts): Report &amp; Financial Statements 2024, p.59, Note 27g 'Capital management (Bank)', 'Capital Resources' table - Total tier 1 capital / Total regulatory capital $750,775,693 (shown here as 750,776 $'000 before conversion) - https://www.theaccessbankukltd.co.uk/wp-content/uploads/2025/06/AccessBank_AR2024_Financials-AW.pdf
SOURCE DEFECT, REPRODUCED NOT CORRECTED: the FY2025 edition's Note 28g narrative says 'Total regulatory capital as at 31 December 2025 including 2025 profit after tax was $793,036 thousand (2024: $750,776 thousand) for the Bank', while the itemised Capital Resources table immediately below it foots to $788,303 thousand (2024: $750,775). The two disagree by $4,733 thousand for 2025 and by rounding only for 2024. The TABLE figure is used here because it is the build-up the Bank shows its working for, and because the FY2024 column above was taken from the equivalent table in the previous edition; the narrative's number is recorded rather than reconciled away.</t>
        </is>
      </c>
    </row>
    <row r="9" ht="403" customHeight="1">
      <c r="A9" s="8" t="inlineStr">
        <is>
          <t>(continued)
NO FY2024 AND NO FY2025 PILLAR 3 DISCLOSURES DOCUMENT EXISTS - and that finding is now written INTO the FY2025/FY2024 cells of KM1, Total RWAs, RWA Breakdown, Leverage Ratio, NSFR and (FY2025) CET1 Capital, not only into these notes, because a note is invisible to the coverage census and those columns otherwise read as untouched gaps. The evidence is unchanged and is set out immediately below. Independently re-confirmed a third time on 18 September 2026 in the gap-fill round: the 'Our Reports' page was re-fetched with a browser User-Agent over HTTP/1.1 (HTTP 200, text/html, 197,098 bytes), every .pdf href parsed, and it still carries exactly one Pillar 3 entry - 'Pillar 3 Disclosures 2023' at .../2025/06/PIllar-3-2023.pdf - beside 'Annual Report 2025' and 'Report and Financial Statements 2025'; a fresh Wayback CDX sweep of the domain filtered on 'pillar' still returns exactly five documents, newest the 2023 edition; and the WordPress REST media endpoint is still closed (HTTP 401, 'itsec_rest_api_access_restricted') on both /wp-json/wp/v2/media and the ?rest_route= form. Re-verified 18 September 2026 against the Bank's OWN site: its 'Our Reports' page (https://www.theaccessbankukltd.co.uk/about-us/our-reports/) carries exactly one Pillar 3 entry, 'Pillar 3 Disclosures 2023', while the same page was already carrying the FY2025 Annual Report and FY2025 Report &amp; Financial Statements - so the page is current and the Pillar 3 series is what has stopped, not our reading of it. THE PROXY IS NO LONGER NEEDED AND THE 403 IS NOT A REAL BLOCK (established 2026-09-18, second pass, and recorded because the same wrong conclusion will otherwise be drawn again): the page returns 403 to a plain curl, to curl -L, and to curl --http1.1 -L, but returns HTTP 200 with 197,459 bytes of real HTML as soon as a browser User-Agent and an Accept: text/html header are sent over HTTP/1.1. No cookie warm-up is required (one was tried and changed nothing). Cloudflare here is filtering on request HEADERS, not challenging the client. The page was re-read that way, directly from the Bank's own host with no intermediary, and every .pdf href extracted - 25 documents, of which EXACTLY ONE is a Pillar 3 ('.../2025/06/PIllar-3-2023.pdf'), alongside Annual Reports running from 2011 to 2025. That is the same result the proxy gave, now on first-hand evidence. The Bank's WordPress REST media endpoint, which would have listed unlinked uploads too, is closed (HTTP 401, 'itsec_rest_api_access_restricted'), so the reports page is the best enumeration available. A Wayback CDX sweep of the whole domain filtered on 'pillar' returns exactly five documents, the newest still the 2023 edition, and 56 further plausible 2024/2025 filenames probed under the Bank's /wp-content/uploads/ CDN (2025/06, 2025/07, 2025/12, 2026/01, 2026/05, 2026/06, 2026/07 folders) all returned non-200. Three independent routes agree. Publication lag for the next look: the Bank published its FY2025 Annual Report in June 2026 (signed 23 April 2026) and its 2023 Pillar 3 in the 2025/06 folder, i.e. its Pillar 3 has been running roughly 18 months behind year-end, so a FY2024 edition would already be overdue and a FY2025 one would not be expected before mid-2027.
For FY2024 and FY2025 the Annual Report substitutes ONLY where the basis is verified identical. The AR's capital table is the same basis as the Pillar 3: the FY2024 edition's FY2023 comparative of $676,943,850 reproduces the FY2023 Pillar 3 CET1/Tier 1/Total capital figure of 676,944 $'000 EXACTLY, and the note confirms 'the Bank's regulatory capital consists only of Tier 1 capital'. The AR's Tier 1 Capital Ratio (20.18% for FY2024) likewise ties to the Pillar 3 basis (its FY2023 figure, 22.38%, matches the workbook's 22.4%).
NOT substituted for FY2024 or FY2025, and left blank rather than derived: Total RWAs (neither Annual Report gives an RWA figure; back-solving $750,775,693 / 20.18% is refused because the ratio is rounded to 2dp, which spans an RWA range of roughly $3,719.5m-$3,721.3m, and the same objection applies to $788,303k / 19.27%); Leverage Ratio (neither AR discloses a leverage ratio or a leverage exposure measure - total assets is NOT the exposure measure, which includes off-balance-sheet items); and NSFR (neither AR contains a quantitative NSFR disclosure - the FY2025 edition mentions the Net Stable Funding Ratio exactly once, in a sentence saying PRA liquidity limits 'are fully met at all times', with no figure; a richness control on the same document returns 33 hits for 'cash flow' and 16 for 'total assets', so that single hit is a fact about the document, not about the extraction). ALL THREE OF THOSE NEGATIVES WERE RE-ESTABLISHED INDEPENDENTLY ON 2026-09-18 against freshly downloaded copies of AccessBank_AR2025_web.pdf (13,090,810 bytes), AccessBank_AR2025_Financials_web.pdf (2,443,676 bytes) and the FY2024 narrative edition AccessBank_AR2024-AW4-1-v2.pdf (4,689,255 bytes), all text-native. In the FY2025 Financials edition (478,570 characters extracted) the phrase 'Risk Weighted Assets' occurs only twice and both are definitional - once in the sentence defining how the Tier 1 Capital Ratio is computed, once in Note 27/28 saying the PRA sets a minimum ratio of regulatory capital to risk-weighted assets - with no RWA AMOUNT printed anywhere; 'leverage ratio' occurs not at all; and the Net Stable Funding Ratio occurs once, in the sentence about PRA liquidity limits being 'fully met at all times'. The Key Performance Indicators table (printed under 'Key Performance Indicators') gives Bank/Group RATIOS only - LCR 199.46/195.71, CET1 ratio 11.78/11.72, Tier 1 ratio 19.27/15.58 - and no denominators. FY2020 LCR/NSFR were not found in any source (narrative-only LCR in the FY2021 Pillar 3 report gives a single FY2021 point figure, no FY2020 comparative; the UK NSFR framework may not yet have covered FY2020) - left blank.</t>
        </is>
      </c>
    </row>
  </sheetData>
  <mergeCells count="3">
    <mergeCell ref="A7:H7"/>
    <mergeCell ref="A9:H9"/>
    <mergeCell ref="A5:H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2026-10-10T15:08:17Z</dcterms:created>
  <dcterms:modified xmlns:dcterms="http://purl.org/dc/terms/" xmlns:xsi="http://www.w3.org/2001/XMLSchema-instance" xsi:type="dcterms:W3CDTF">2026-10-10T15:08:17Z</dcterms:modified>
</cp:coreProperties>
</file>