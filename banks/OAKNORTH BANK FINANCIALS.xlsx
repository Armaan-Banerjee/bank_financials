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ser>
          <idx val="4"/>
          <order val="4"/>
          <tx>
            <strRef>
              <f>'Overview'!Q10</f>
            </strRef>
          </tx>
          <spPr>
            <a:ln xmlns:a="http://schemas.openxmlformats.org/drawingml/2006/main">
              <a:prstDash val="solid"/>
            </a:ln>
          </spPr>
          <marker>
            <symbol val="none"/>
            <spPr>
              <a:ln xmlns:a="http://schemas.openxmlformats.org/drawingml/2006/main">
                <a:prstDash val="solid"/>
              </a:ln>
            </spPr>
          </marker>
          <cat>
            <numRef>
              <f>'Overview'!$R$5:$V$5</f>
            </numRef>
          </cat>
          <val>
            <numRef>
              <f>'Overview'!$R$10:$V$10</f>
            </numRef>
          </val>
          <smooth val="0"/>
        </ser>
        <ser>
          <idx val="5"/>
          <order val="5"/>
          <tx>
            <strRef>
              <f>'Overview'!Q11</f>
            </strRef>
          </tx>
          <spPr>
            <a:ln xmlns:a="http://schemas.openxmlformats.org/drawingml/2006/main">
              <a:prstDash val="solid"/>
            </a:ln>
          </spPr>
          <marker>
            <symbol val="none"/>
            <spPr>
              <a:ln xmlns:a="http://schemas.openxmlformats.org/drawingml/2006/mai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44</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OakNorth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flows generated from operating activities</t>
        </is>
      </c>
      <c r="B6" s="5" t="n">
        <v>117717</v>
      </c>
      <c r="C6" s="5" t="n">
        <v>1071146</v>
      </c>
      <c r="D6" s="5" t="n">
        <v>443437</v>
      </c>
      <c r="E6" s="5" t="n">
        <v>833221</v>
      </c>
      <c r="F6" s="5" t="n">
        <v>41609</v>
      </c>
      <c r="I6" t="inlineStr">
        <is>
          <t>Net cash flows generated from operating activities</t>
        </is>
      </c>
      <c r="J6" t="n">
        <v>41609</v>
      </c>
      <c r="K6" t="n">
        <v>833221</v>
      </c>
      <c r="L6" t="n">
        <v>443437</v>
      </c>
      <c r="M6" t="n">
        <v>1071146</v>
      </c>
      <c r="N6" t="n">
        <v>117717</v>
      </c>
      <c r="Q6" t="inlineStr">
        <is>
          <t>CET1 Ratio</t>
        </is>
      </c>
      <c r="R6" t="n">
        <v>20.5</v>
      </c>
      <c r="S6" t="n">
        <v>18.7</v>
      </c>
      <c r="T6" t="n">
        <v>18.6</v>
      </c>
      <c r="U6" t="n">
        <v>17.3</v>
      </c>
      <c r="V6" t="n">
        <v>15.5</v>
      </c>
    </row>
    <row r="7">
      <c r="A7" s="5" t="inlineStr">
        <is>
          <t>Net cash flows from/(used in) investing activities</t>
        </is>
      </c>
      <c r="B7" s="5" t="n">
        <v>-199308</v>
      </c>
      <c r="C7" s="5" t="n">
        <v>5341</v>
      </c>
      <c r="D7" s="5" t="n">
        <v>5418</v>
      </c>
      <c r="E7" s="5" t="n">
        <v>-25277</v>
      </c>
      <c r="F7" s="5" t="n">
        <v>-60343</v>
      </c>
      <c r="I7" t="inlineStr">
        <is>
          <t>Net cash flows from/(used in) investing activities</t>
        </is>
      </c>
      <c r="J7" t="n">
        <v>-60343</v>
      </c>
      <c r="K7" t="n">
        <v>-25277</v>
      </c>
      <c r="L7" t="n">
        <v>5418</v>
      </c>
      <c r="M7" t="n">
        <v>5341</v>
      </c>
      <c r="N7" t="n">
        <v>-199308</v>
      </c>
      <c r="Q7" t="inlineStr">
        <is>
          <t>Tier 1 Ratio</t>
        </is>
      </c>
      <c r="R7" t="n">
        <v>20.5</v>
      </c>
      <c r="S7" t="n">
        <v>18.7</v>
      </c>
      <c r="T7" t="n">
        <v>18.6</v>
      </c>
      <c r="U7" t="n">
        <v>17.3</v>
      </c>
      <c r="V7" t="n">
        <v>15.5</v>
      </c>
    </row>
    <row r="8">
      <c r="A8" s="5" t="inlineStr">
        <is>
          <t>Net cash flows from/(used in) financing activities</t>
        </is>
      </c>
      <c r="B8" s="5" t="n">
        <v>-343239</v>
      </c>
      <c r="C8" s="5" t="n">
        <v>109608</v>
      </c>
      <c r="D8" s="5" t="n">
        <v>-19099</v>
      </c>
      <c r="E8" s="5" t="n">
        <v>-6499</v>
      </c>
      <c r="F8" s="5" t="n">
        <v>14136</v>
      </c>
      <c r="I8" t="inlineStr">
        <is>
          <t>Net cash flows from/(used in) financing activities</t>
        </is>
      </c>
      <c r="J8" t="n">
        <v>14136</v>
      </c>
      <c r="K8" t="n">
        <v>-6499</v>
      </c>
      <c r="L8" t="n">
        <v>-19099</v>
      </c>
      <c r="M8" t="n">
        <v>109608</v>
      </c>
      <c r="N8" t="n">
        <v>-343239</v>
      </c>
      <c r="Q8" t="inlineStr">
        <is>
          <t>Total Capital Ratio</t>
        </is>
      </c>
      <c r="R8" t="n">
        <v>22.1</v>
      </c>
      <c r="S8" t="n">
        <v>20.1</v>
      </c>
      <c r="T8" t="n">
        <v>19.3</v>
      </c>
      <c r="U8" t="n">
        <v>20.5</v>
      </c>
      <c r="V8" t="n">
        <v>18.4</v>
      </c>
    </row>
    <row r="9">
      <c r="A9" s="5" t="inlineStr">
        <is>
          <t>Cash and cash equivalents at end of year</t>
        </is>
      </c>
      <c r="B9" s="5" t="n">
        <v>2468732</v>
      </c>
      <c r="C9" s="5" t="n">
        <v>2888497</v>
      </c>
      <c r="D9" s="5" t="n">
        <v>1702560</v>
      </c>
      <c r="E9" s="5" t="n">
        <v>1273218</v>
      </c>
      <c r="F9" s="5" t="n">
        <v>476393</v>
      </c>
      <c r="I9" t="inlineStr">
        <is>
          <t>Cash and cash equivalents at end of year</t>
        </is>
      </c>
      <c r="J9" t="n">
        <v>476393</v>
      </c>
      <c r="K9" t="n">
        <v>1273218</v>
      </c>
      <c r="L9" t="n">
        <v>1702560</v>
      </c>
      <c r="M9" t="n">
        <v>2888497</v>
      </c>
      <c r="N9" t="n">
        <v>2468732</v>
      </c>
      <c r="Q9" t="inlineStr">
        <is>
          <t>Leverage Ratio</t>
        </is>
      </c>
      <c r="R9" t="n">
        <v>21.4</v>
      </c>
      <c r="S9" t="n">
        <v>14.5</v>
      </c>
      <c r="T9" t="n">
        <v>19.1</v>
      </c>
      <c r="U9" t="n">
        <v>18.1</v>
      </c>
      <c r="V9" t="n">
        <v>16</v>
      </c>
    </row>
    <row r="10">
      <c r="Q10" t="inlineStr">
        <is>
          <t>LCR</t>
        </is>
      </c>
      <c r="S10" t="n">
        <v>351</v>
      </c>
      <c r="T10" t="n">
        <v>385</v>
      </c>
      <c r="U10" t="n">
        <v>489</v>
      </c>
      <c r="V10" t="n">
        <v>478</v>
      </c>
    </row>
    <row r="11">
      <c r="A11" s="3" t="inlineStr">
        <is>
          <t>Pillar 3 Key Metrics</t>
        </is>
      </c>
      <c r="Q11" t="inlineStr">
        <is>
          <t>NSFR</t>
        </is>
      </c>
      <c r="S11" t="n">
        <v>154</v>
      </c>
      <c r="T11" t="n">
        <v>161</v>
      </c>
      <c r="U11" t="n">
        <v>190</v>
      </c>
      <c r="V11" t="n">
        <v>190</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15.5%</t>
        </is>
      </c>
      <c r="C13" s="6" t="inlineStr">
        <is>
          <t>17.3%</t>
        </is>
      </c>
      <c r="D13" s="6" t="inlineStr">
        <is>
          <t>18.6%</t>
        </is>
      </c>
      <c r="E13" s="6" t="inlineStr">
        <is>
          <t>18.7%</t>
        </is>
      </c>
      <c r="F13" s="6" t="inlineStr">
        <is>
          <t>20.5%</t>
        </is>
      </c>
    </row>
    <row r="14">
      <c r="A14" s="6" t="inlineStr">
        <is>
          <t>Tier 1 Ratio</t>
        </is>
      </c>
      <c r="B14" s="6" t="inlineStr">
        <is>
          <t>15.5%</t>
        </is>
      </c>
      <c r="C14" s="6" t="inlineStr">
        <is>
          <t>17.3%</t>
        </is>
      </c>
      <c r="D14" s="6" t="inlineStr">
        <is>
          <t>18.6%</t>
        </is>
      </c>
      <c r="E14" s="6" t="inlineStr">
        <is>
          <t>18.7%</t>
        </is>
      </c>
      <c r="F14" s="6" t="inlineStr">
        <is>
          <t>20.5%</t>
        </is>
      </c>
    </row>
    <row r="15">
      <c r="A15" s="6" t="inlineStr">
        <is>
          <t>Total Capital Ratio</t>
        </is>
      </c>
      <c r="B15" s="6" t="inlineStr">
        <is>
          <t>18.4%</t>
        </is>
      </c>
      <c r="C15" s="6" t="inlineStr">
        <is>
          <t>20.5%</t>
        </is>
      </c>
      <c r="D15" s="6" t="inlineStr">
        <is>
          <t>19.3%</t>
        </is>
      </c>
      <c r="E15" s="6" t="inlineStr">
        <is>
          <t>20.1%</t>
        </is>
      </c>
      <c r="F15" s="6" t="inlineStr">
        <is>
          <t>22.1%</t>
        </is>
      </c>
    </row>
    <row r="16">
      <c r="A16" s="6" t="inlineStr">
        <is>
          <t>Leverage Ratio</t>
        </is>
      </c>
      <c r="B16" s="6" t="inlineStr">
        <is>
          <t>16.0%</t>
        </is>
      </c>
      <c r="C16" s="6" t="inlineStr">
        <is>
          <t>18.1%</t>
        </is>
      </c>
      <c r="D16" s="6" t="inlineStr">
        <is>
          <t>19.1%</t>
        </is>
      </c>
      <c r="E16" s="6" t="inlineStr">
        <is>
          <t>14.5%</t>
        </is>
      </c>
      <c r="F16" s="6" t="inlineStr">
        <is>
          <t>21.4%</t>
        </is>
      </c>
    </row>
    <row r="17">
      <c r="A17" s="6" t="inlineStr">
        <is>
          <t>LCR</t>
        </is>
      </c>
      <c r="B17" s="6" t="inlineStr">
        <is>
          <t>478%</t>
        </is>
      </c>
      <c r="C17" s="6" t="inlineStr">
        <is>
          <t>489%</t>
        </is>
      </c>
      <c r="D17" s="6" t="inlineStr">
        <is>
          <t>385%</t>
        </is>
      </c>
      <c r="E17" s="6" t="inlineStr">
        <is>
          <t>351%</t>
        </is>
      </c>
      <c r="F17" s="6" t="inlineStr">
        <is>
          <t>Not disclosed</t>
        </is>
      </c>
    </row>
    <row r="18">
      <c r="A18" s="6" t="inlineStr">
        <is>
          <t>NSFR</t>
        </is>
      </c>
      <c r="B18" s="6" t="inlineStr">
        <is>
          <t>190%</t>
        </is>
      </c>
      <c r="C18" s="6" t="inlineStr">
        <is>
          <t>190%</t>
        </is>
      </c>
      <c r="D18" s="6" t="inlineStr">
        <is>
          <t>161%</t>
        </is>
      </c>
      <c r="E18" s="6" t="inlineStr">
        <is>
          <t>154%</t>
        </is>
      </c>
      <c r="F18" s="6" t="inlineStr">
        <is>
          <t>Not disclosed</t>
        </is>
      </c>
    </row>
    <row r="20" ht="45" customHeight="1">
      <c r="A20" s="7" t="inlineStr">
        <is>
          <t>Note: OakNorth's official Pillar 3 archive is annual. This WF-018 workbook therefore contains the standard annual 13-sheet structure; no interim/14th worksheet is added in this pass.</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OakNorth Bank plc — Consolidated Statement of Cash Flows</t>
        </is>
      </c>
    </row>
    <row r="2">
      <c r="A2" s="2" t="inlineStr">
        <is>
          <t>Bank Group basis for FY2022–FY2025; standalone Bank basis for FY2021,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Reconciliation of profit before tax to operating cash flows</t>
        </is>
      </c>
      <c r="B4" s="6" t="n"/>
      <c r="C4" s="6" t="n"/>
      <c r="D4" s="6" t="n"/>
      <c r="E4" s="6" t="n"/>
      <c r="F4" s="6" t="n"/>
    </row>
    <row r="5">
      <c r="A5" s="6" t="inlineStr">
        <is>
          <t>Profit before tax</t>
        </is>
      </c>
      <c r="B5" s="6" t="n">
        <v>222529</v>
      </c>
      <c r="C5" s="6" t="n">
        <v>214794</v>
      </c>
      <c r="D5" s="6" t="n">
        <v>187333</v>
      </c>
      <c r="E5" s="6" t="n">
        <v>152336</v>
      </c>
      <c r="F5" s="6" t="n">
        <v>134540</v>
      </c>
    </row>
    <row r="6">
      <c r="A6" s="6" t="inlineStr">
        <is>
          <t>Adjustments for non-cash items</t>
        </is>
      </c>
      <c r="B6" s="6" t="n">
        <v>20707</v>
      </c>
      <c r="C6" s="6" t="n">
        <v>11139</v>
      </c>
      <c r="D6" s="6" t="n">
        <v>30215</v>
      </c>
      <c r="E6" s="6" t="n">
        <v>7056</v>
      </c>
      <c r="F6" s="6" t="n">
        <v>646</v>
      </c>
    </row>
    <row r="7">
      <c r="A7" s="6" t="inlineStr">
        <is>
          <t>Net change in other assets and liabilities</t>
        </is>
      </c>
      <c r="B7" s="6" t="n">
        <v>41185</v>
      </c>
      <c r="C7" s="6" t="n">
        <v>4665</v>
      </c>
      <c r="D7" s="6" t="n">
        <v>-30857</v>
      </c>
      <c r="E7" s="6" t="n">
        <v>-14137</v>
      </c>
      <c r="F7" s="6" t="n">
        <v>-2050</v>
      </c>
    </row>
    <row r="8">
      <c r="A8" s="6" t="inlineStr">
        <is>
          <t>Increase in loan receivables</t>
        </is>
      </c>
      <c r="B8" s="6" t="n">
        <v>-496341</v>
      </c>
      <c r="C8" s="6" t="n">
        <v>-573437</v>
      </c>
      <c r="D8" s="6" t="n">
        <v>-714507</v>
      </c>
      <c r="E8" s="6" t="n">
        <v>-251805</v>
      </c>
      <c r="F8" s="6" t="n">
        <v>-390362</v>
      </c>
    </row>
    <row r="9">
      <c r="A9" s="6" t="inlineStr">
        <is>
          <t>Increase in customer deposits</t>
        </is>
      </c>
      <c r="B9" s="6" t="n">
        <v>408891</v>
      </c>
      <c r="C9" s="6" t="n">
        <v>1463663</v>
      </c>
      <c r="D9" s="6" t="n">
        <v>1026092</v>
      </c>
      <c r="E9" s="6" t="n">
        <v>969657</v>
      </c>
      <c r="F9" s="6" t="n">
        <v>329975</v>
      </c>
    </row>
    <row r="10">
      <c r="A10" s="6" t="inlineStr">
        <is>
          <t>(Increase)/decrease in derivatives held for risk management</t>
        </is>
      </c>
      <c r="B10" s="6" t="n">
        <v>-29903</v>
      </c>
      <c r="C10" s="6" t="n">
        <v>7655</v>
      </c>
      <c r="D10" s="6" t="n">
        <v>-2530</v>
      </c>
      <c r="E10" s="6" t="n"/>
      <c r="F10" s="6" t="n"/>
    </row>
    <row r="11">
      <c r="A11" s="6" t="inlineStr">
        <is>
          <t>Income taxes paid</t>
        </is>
      </c>
      <c r="B11" s="6" t="n">
        <v>-49351</v>
      </c>
      <c r="C11" s="6" t="n">
        <v>-57333</v>
      </c>
      <c r="D11" s="6" t="n">
        <v>-52840</v>
      </c>
      <c r="E11" s="6" t="n">
        <v>-39766</v>
      </c>
      <c r="F11" s="6" t="n">
        <v>-31850</v>
      </c>
    </row>
    <row r="12">
      <c r="A12" s="6" t="inlineStr">
        <is>
          <t>Other operating adjustments not separately shown</t>
        </is>
      </c>
      <c r="B12" s="6" t="n"/>
      <c r="C12" s="6" t="n"/>
      <c r="D12" s="6" t="n">
        <v>531</v>
      </c>
      <c r="E12" s="6" t="n">
        <v>9880</v>
      </c>
      <c r="F12" s="6" t="n">
        <v>710</v>
      </c>
    </row>
    <row r="13">
      <c r="A13" s="5" t="inlineStr">
        <is>
          <t>Net cash flows generated from operating activities</t>
        </is>
      </c>
      <c r="B13" s="5" t="n">
        <v>117717</v>
      </c>
      <c r="C13" s="5" t="n">
        <v>1071146</v>
      </c>
      <c r="D13" s="5" t="n">
        <v>443437</v>
      </c>
      <c r="E13" s="5" t="n">
        <v>833221</v>
      </c>
      <c r="F13" s="5" t="n">
        <v>41609</v>
      </c>
    </row>
    <row r="14">
      <c r="A14" s="5" t="inlineStr">
        <is>
          <t>Investing activities</t>
        </is>
      </c>
      <c r="B14" s="6" t="n"/>
      <c r="C14" s="6" t="n"/>
      <c r="D14" s="6" t="n"/>
      <c r="E14" s="6" t="n"/>
      <c r="F14" s="6" t="n"/>
    </row>
    <row r="15">
      <c r="A15" s="6" t="inlineStr">
        <is>
          <t>Purchase of intangible assets</t>
        </is>
      </c>
      <c r="B15" s="6" t="n">
        <v>-7832</v>
      </c>
      <c r="C15" s="6" t="n">
        <v>-5279</v>
      </c>
      <c r="D15" s="6" t="n">
        <v>-2961</v>
      </c>
      <c r="E15" s="6" t="n">
        <v>-4358</v>
      </c>
      <c r="F15" s="6" t="n"/>
    </row>
    <row r="16">
      <c r="A16" s="6" t="inlineStr">
        <is>
          <t>Purchase of tangible assets</t>
        </is>
      </c>
      <c r="B16" s="6" t="n">
        <v>-299</v>
      </c>
      <c r="C16" s="6" t="n">
        <v>-75</v>
      </c>
      <c r="D16" s="6" t="n">
        <v>-18</v>
      </c>
      <c r="E16" s="6" t="n">
        <v>-19</v>
      </c>
      <c r="F16" s="6" t="n">
        <v>-57</v>
      </c>
    </row>
    <row r="17">
      <c r="A17" s="6" t="inlineStr">
        <is>
          <t>Acquisition of subsidiary, net of cash acquired</t>
        </is>
      </c>
      <c r="B17" s="6" t="n"/>
      <c r="C17" s="6" t="n"/>
      <c r="D17" s="6" t="n"/>
      <c r="E17" s="6" t="n">
        <v>-10475</v>
      </c>
      <c r="F17" s="6" t="n"/>
    </row>
    <row r="18">
      <c r="A18" s="6" t="inlineStr">
        <is>
          <t>Purchase of investment securities</t>
        </is>
      </c>
      <c r="B18" s="6" t="n">
        <v>-621941</v>
      </c>
      <c r="C18" s="6" t="n">
        <v>-820024</v>
      </c>
      <c r="D18" s="6" t="n">
        <v>-897488</v>
      </c>
      <c r="E18" s="6" t="n">
        <v>-202501</v>
      </c>
      <c r="F18" s="6" t="n">
        <v>-191086</v>
      </c>
    </row>
    <row r="19">
      <c r="A19" s="6" t="inlineStr">
        <is>
          <t>Proceeds from sale/maturity of investment securities</t>
        </is>
      </c>
      <c r="B19" s="6" t="n">
        <v>409522</v>
      </c>
      <c r="C19" s="6" t="n">
        <v>830700</v>
      </c>
      <c r="D19" s="6" t="n">
        <v>905244</v>
      </c>
      <c r="E19" s="6" t="n">
        <v>191000</v>
      </c>
      <c r="F19" s="6" t="n">
        <v>126771</v>
      </c>
    </row>
    <row r="20">
      <c r="A20" s="6" t="inlineStr">
        <is>
          <t>Interest received on investment securities</t>
        </is>
      </c>
      <c r="B20" s="6" t="n">
        <v>21152</v>
      </c>
      <c r="C20" s="6" t="n"/>
      <c r="D20" s="6" t="n">
        <v>623</v>
      </c>
      <c r="E20" s="6" t="n">
        <v>1076</v>
      </c>
      <c r="F20" s="6" t="n">
        <v>4029</v>
      </c>
    </row>
    <row r="21">
      <c r="A21" s="6" t="inlineStr">
        <is>
          <t>Other investing cash flows and classification differences</t>
        </is>
      </c>
      <c r="B21" s="6" t="n">
        <v>90</v>
      </c>
      <c r="C21" s="6" t="n">
        <v>19</v>
      </c>
      <c r="D21" s="6" t="n">
        <v>18</v>
      </c>
      <c r="E21" s="6" t="n"/>
      <c r="F21" s="6" t="n"/>
    </row>
    <row r="22">
      <c r="A22" s="5" t="inlineStr">
        <is>
          <t>Net cash flows from/(used in) investing activities</t>
        </is>
      </c>
      <c r="B22" s="5" t="n">
        <v>-199308</v>
      </c>
      <c r="C22" s="5" t="n">
        <v>5341</v>
      </c>
      <c r="D22" s="5" t="n">
        <v>5418</v>
      </c>
      <c r="E22" s="5" t="n">
        <v>-25277</v>
      </c>
      <c r="F22" s="5" t="n">
        <v>-60343</v>
      </c>
    </row>
    <row r="23">
      <c r="A23" s="5" t="inlineStr">
        <is>
          <t>Financing activities</t>
        </is>
      </c>
      <c r="B23" s="6" t="n"/>
      <c r="C23" s="6" t="n"/>
      <c r="D23" s="6" t="n"/>
      <c r="E23" s="6" t="n"/>
      <c r="F23" s="6" t="n"/>
    </row>
    <row r="24">
      <c r="A24" s="6" t="inlineStr">
        <is>
          <t>Increase in borrowings from Bank of England facilities</t>
        </is>
      </c>
      <c r="B24" s="6" t="n">
        <v>15000</v>
      </c>
      <c r="C24" s="6" t="n"/>
      <c r="D24" s="6" t="n"/>
      <c r="E24" s="6" t="n"/>
      <c r="F24" s="6" t="n"/>
    </row>
    <row r="25">
      <c r="A25" s="6" t="inlineStr">
        <is>
          <t>Repayment of borrowings from Bank of England facilities</t>
        </is>
      </c>
      <c r="B25" s="6" t="n">
        <v>-210000</v>
      </c>
      <c r="C25" s="6" t="n"/>
      <c r="D25" s="6" t="n"/>
      <c r="E25" s="6" t="n"/>
      <c r="F25" s="6" t="n"/>
    </row>
    <row r="26">
      <c r="A26" s="6" t="inlineStr">
        <is>
          <t>Increase in subordinated debt</t>
        </is>
      </c>
      <c r="B26" s="6" t="n"/>
      <c r="C26" s="6" t="n">
        <v>150000</v>
      </c>
      <c r="D26" s="6" t="n">
        <v>30000</v>
      </c>
      <c r="E26" s="6" t="n"/>
      <c r="F26" s="6" t="n"/>
    </row>
    <row r="27">
      <c r="A27" s="6" t="inlineStr">
        <is>
          <t>Increase in intercompany borrowings</t>
        </is>
      </c>
      <c r="B27" s="6" t="n">
        <v>4541</v>
      </c>
      <c r="C27" s="6" t="n">
        <v>6326</v>
      </c>
      <c r="D27" s="6" t="n">
        <v>11660</v>
      </c>
      <c r="E27" s="6" t="n"/>
      <c r="F27" s="6" t="n"/>
    </row>
    <row r="28">
      <c r="A28" s="6" t="inlineStr">
        <is>
          <t>Repayment/decrease of intercompany borrowings</t>
        </is>
      </c>
      <c r="B28" s="6" t="n">
        <v>-7041</v>
      </c>
      <c r="C28" s="6" t="n">
        <v>-9772</v>
      </c>
      <c r="D28" s="6" t="n"/>
      <c r="E28" s="6" t="n"/>
      <c r="F28" s="6" t="n"/>
    </row>
    <row r="29">
      <c r="A29" s="6" t="inlineStr">
        <is>
          <t>Interest paid on borrowings and subordinated debt</t>
        </is>
      </c>
      <c r="B29" s="6" t="n">
        <v>-24084</v>
      </c>
      <c r="C29" s="6" t="n">
        <v>-15538</v>
      </c>
      <c r="D29" s="6" t="n">
        <v>-10073</v>
      </c>
      <c r="E29" s="6" t="n">
        <v>-5449</v>
      </c>
      <c r="F29" s="6" t="n">
        <v>-3964</v>
      </c>
    </row>
    <row r="30">
      <c r="A30" s="6" t="inlineStr">
        <is>
          <t>Cash outflow on lease liabilities</t>
        </is>
      </c>
      <c r="B30" s="6" t="n">
        <v>-1456</v>
      </c>
      <c r="C30" s="6" t="n">
        <v>-1408</v>
      </c>
      <c r="D30" s="6" t="n">
        <v>-686</v>
      </c>
      <c r="E30" s="6" t="n">
        <v>-1050</v>
      </c>
      <c r="F30" s="6" t="n"/>
    </row>
    <row r="31">
      <c r="A31" s="6" t="inlineStr">
        <is>
          <t>Payment of dividend to parent</t>
        </is>
      </c>
      <c r="B31" s="6" t="n">
        <v>-120000</v>
      </c>
      <c r="C31" s="6" t="n">
        <v>-20000</v>
      </c>
      <c r="D31" s="6" t="n"/>
      <c r="E31" s="6" t="n"/>
      <c r="F31" s="6" t="n"/>
    </row>
    <row r="32">
      <c r="A32" s="6" t="inlineStr">
        <is>
          <t>Repayment of subordinated debt</t>
        </is>
      </c>
      <c r="B32" s="6" t="n"/>
      <c r="C32" s="6" t="n"/>
      <c r="D32" s="6" t="n">
        <v>-50000</v>
      </c>
      <c r="E32" s="6" t="n"/>
      <c r="F32" s="6" t="n"/>
    </row>
    <row r="33">
      <c r="A33" s="6" t="inlineStr">
        <is>
          <t>Other financing cash flows and classification differences</t>
        </is>
      </c>
      <c r="B33" s="6" t="n">
        <v>-199</v>
      </c>
      <c r="C33" s="6" t="n"/>
      <c r="D33" s="6" t="n"/>
      <c r="E33" s="6" t="n"/>
      <c r="F33" s="6" t="n"/>
    </row>
    <row r="34">
      <c r="A34" s="6" t="inlineStr">
        <is>
          <t>Increase in TFS borrowings</t>
        </is>
      </c>
      <c r="B34" s="6" t="n"/>
      <c r="C34" s="6" t="n"/>
      <c r="D34" s="6" t="n"/>
      <c r="E34" s="6" t="n"/>
      <c r="F34" s="6" t="n">
        <v>18100</v>
      </c>
    </row>
    <row r="35">
      <c r="A35" s="5" t="inlineStr">
        <is>
          <t>Net cash flows from/(used in) financing activities</t>
        </is>
      </c>
      <c r="B35" s="5" t="n">
        <v>-343239</v>
      </c>
      <c r="C35" s="5" t="n">
        <v>109608</v>
      </c>
      <c r="D35" s="5" t="n">
        <v>-19099</v>
      </c>
      <c r="E35" s="5" t="n">
        <v>-6499</v>
      </c>
      <c r="F35" s="5" t="n">
        <v>14136</v>
      </c>
    </row>
    <row r="36">
      <c r="A36" s="5" t="inlineStr">
        <is>
          <t>Net increase/(decrease) in cash and cash equivalents</t>
        </is>
      </c>
      <c r="B36" s="5" t="n">
        <v>-424920</v>
      </c>
      <c r="C36" s="5" t="n">
        <v>1186076</v>
      </c>
      <c r="D36" s="5" t="n">
        <v>429738</v>
      </c>
      <c r="E36" s="5" t="n">
        <v>801445</v>
      </c>
      <c r="F36" s="5" t="n">
        <v>-4598</v>
      </c>
    </row>
    <row r="37">
      <c r="A37" s="6" t="inlineStr">
        <is>
          <t>Cash and cash equivalents at beginning of year</t>
        </is>
      </c>
      <c r="B37" s="6" t="n">
        <v>2893652</v>
      </c>
      <c r="C37" s="6" t="n">
        <v>1707576</v>
      </c>
      <c r="D37" s="6" t="n">
        <v>1277838</v>
      </c>
      <c r="E37" s="6" t="n">
        <v>476393</v>
      </c>
      <c r="F37" s="6" t="n">
        <v>480991</v>
      </c>
    </row>
    <row r="38">
      <c r="A38" s="5" t="inlineStr">
        <is>
          <t>Cash and cash equivalents at end of year</t>
        </is>
      </c>
      <c r="B38" s="5" t="n">
        <v>2468732</v>
      </c>
      <c r="C38" s="5" t="n">
        <v>2893652</v>
      </c>
      <c r="D38" s="5" t="n">
        <v>1707576</v>
      </c>
      <c r="E38" s="5" t="n">
        <v>1277838</v>
      </c>
      <c r="F38" s="5" t="n">
        <v>476393</v>
      </c>
    </row>
    <row r="39">
      <c r="A39" s="5" t="inlineStr">
        <is>
          <t>Reconciliation to cash at banks</t>
        </is>
      </c>
      <c r="B39" s="6" t="n"/>
      <c r="C39" s="6" t="n"/>
      <c r="D39" s="6" t="n"/>
      <c r="E39" s="6" t="n"/>
      <c r="F39" s="6" t="n"/>
    </row>
    <row r="40">
      <c r="A40" s="6" t="inlineStr">
        <is>
          <t>Cash and balances at central bank</t>
        </is>
      </c>
      <c r="B40" s="6" t="n">
        <v>2199053</v>
      </c>
      <c r="C40" s="6" t="n">
        <v>2689013</v>
      </c>
      <c r="D40" s="6" t="n">
        <v>1637314</v>
      </c>
      <c r="E40" s="6" t="n">
        <v>1235711</v>
      </c>
      <c r="F40" s="6" t="n">
        <v>446374</v>
      </c>
    </row>
    <row r="41">
      <c r="A41" s="6" t="inlineStr">
        <is>
          <t>Loans and advances to banks</t>
        </is>
      </c>
      <c r="B41" s="6" t="n">
        <v>77587</v>
      </c>
      <c r="C41" s="6" t="n">
        <v>75477</v>
      </c>
      <c r="D41" s="6" t="n">
        <v>33458</v>
      </c>
      <c r="E41" s="6" t="n">
        <v>37507</v>
      </c>
      <c r="F41" s="6" t="n">
        <v>30019</v>
      </c>
    </row>
    <row r="42">
      <c r="A42" s="6" t="inlineStr">
        <is>
          <t>Investment securities (US money market funds)</t>
        </is>
      </c>
      <c r="B42" s="6" t="n">
        <v>192092</v>
      </c>
      <c r="C42" s="6" t="n">
        <v>124007</v>
      </c>
      <c r="D42" s="6" t="n">
        <v>31788</v>
      </c>
      <c r="E42" s="6" t="n"/>
      <c r="F42" s="6" t="n"/>
    </row>
    <row r="43">
      <c r="A43" s="5" t="inlineStr">
        <is>
          <t>Total cash and cash equivalents</t>
        </is>
      </c>
      <c r="B43" s="5" t="n">
        <v>2468732</v>
      </c>
      <c r="C43" s="5" t="n">
        <v>2888497</v>
      </c>
      <c r="D43" s="5" t="n">
        <v>1702560</v>
      </c>
      <c r="E43" s="5" t="n">
        <v>1273218</v>
      </c>
      <c r="F43" s="5" t="n">
        <v>476393</v>
      </c>
    </row>
    <row r="45" ht="155" customHeight="1">
      <c r="A45"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The 2022–2025 reports present both Bank Group and standalone Bank columns; this sheet uses the Bank Group column for those years. The 2021 report predates the ASK Partners consolidation and presents OakNorth Bank plc standalone figures, which are used for FY2021. Blank cells mean the line was not separately disclosed under that year's presentation; they are not zeros.</t>
        </is>
      </c>
    </row>
  </sheetData>
  <mergeCells count="1">
    <mergeCell ref="A45:F4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988868</v>
      </c>
      <c r="C4" s="6" t="n">
        <v>952901</v>
      </c>
      <c r="D4" s="6" t="n">
        <v>853523</v>
      </c>
      <c r="E4" s="6" t="n">
        <v>719977</v>
      </c>
      <c r="F4" s="6" t="n">
        <v>628446</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15.5%</t>
        </is>
      </c>
      <c r="C4" s="6" t="inlineStr">
        <is>
          <t>17.3%</t>
        </is>
      </c>
      <c r="D4" s="6" t="inlineStr">
        <is>
          <t>18.6%</t>
        </is>
      </c>
      <c r="E4" s="6" t="inlineStr">
        <is>
          <t>18.7%</t>
        </is>
      </c>
      <c r="F4" s="6" t="inlineStr">
        <is>
          <t>20.5%</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988868</v>
      </c>
      <c r="C4" s="6" t="n">
        <v>952901</v>
      </c>
      <c r="D4" s="6" t="n">
        <v>853523</v>
      </c>
      <c r="E4" s="6" t="n">
        <v>719977</v>
      </c>
      <c r="F4" s="6" t="n">
        <v>628446</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15.5%</t>
        </is>
      </c>
      <c r="C4" s="6" t="inlineStr">
        <is>
          <t>17.3%</t>
        </is>
      </c>
      <c r="D4" s="6" t="inlineStr">
        <is>
          <t>18.6%</t>
        </is>
      </c>
      <c r="E4" s="6" t="inlineStr">
        <is>
          <t>18.7%</t>
        </is>
      </c>
      <c r="F4" s="6" t="inlineStr">
        <is>
          <t>20.5%</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1168868</v>
      </c>
      <c r="C4" s="6" t="n">
        <v>1132901</v>
      </c>
      <c r="D4" s="6" t="n">
        <v>883523</v>
      </c>
      <c r="E4" s="6" t="n">
        <v>769977</v>
      </c>
      <c r="F4" s="6" t="n">
        <v>678446</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18.4%</t>
        </is>
      </c>
      <c r="C4" s="6" t="inlineStr">
        <is>
          <t>20.5%</t>
        </is>
      </c>
      <c r="D4" s="6" t="inlineStr">
        <is>
          <t>19.3%</t>
        </is>
      </c>
      <c r="E4" s="6" t="inlineStr">
        <is>
          <t>20.1%</t>
        </is>
      </c>
      <c r="F4" s="6" t="inlineStr">
        <is>
          <t>22.1%</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6363514</v>
      </c>
      <c r="C4" s="6" t="n">
        <v>5517819</v>
      </c>
      <c r="D4" s="6" t="n">
        <v>4577382</v>
      </c>
      <c r="E4" s="6" t="n">
        <v>3840274</v>
      </c>
      <c r="F4" s="6" t="n">
        <v>3065585</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exposure measure excluding central banks</t>
        </is>
      </c>
      <c r="B4" s="6" t="n">
        <v>6177019</v>
      </c>
      <c r="C4" s="6" t="n">
        <v>5262074</v>
      </c>
      <c r="D4" s="6" t="n">
        <v>4463419</v>
      </c>
      <c r="E4" s="6" t="n">
        <v>4954910</v>
      </c>
      <c r="F4" s="6" t="n">
        <v>3855405</v>
      </c>
    </row>
    <row r="5">
      <c r="A5" s="6" t="inlineStr">
        <is>
          <t>Leverage ratio excluding central banks</t>
        </is>
      </c>
      <c r="B5" s="6" t="inlineStr">
        <is>
          <t>16.0%</t>
        </is>
      </c>
      <c r="C5" s="6" t="inlineStr">
        <is>
          <t>18.1%</t>
        </is>
      </c>
      <c r="D5" s="6" t="inlineStr">
        <is>
          <t>19.1%</t>
        </is>
      </c>
      <c r="E5" s="6" t="inlineStr">
        <is>
          <t>14.5%</t>
        </is>
      </c>
      <c r="F5" s="6" t="inlineStr">
        <is>
          <t>21.4%</t>
        </is>
      </c>
    </row>
    <row r="6">
      <c r="A6" s="6" t="inlineStr">
        <is>
          <t>Leverage ratio exposure measure including central banks</t>
        </is>
      </c>
      <c r="B6" s="6" t="n">
        <v>8361483</v>
      </c>
      <c r="C6" s="6" t="n">
        <v>7951087</v>
      </c>
      <c r="D6" s="6" t="n">
        <v>6100733</v>
      </c>
      <c r="E6" s="6" t="n"/>
      <c r="F6" s="6" t="n"/>
    </row>
    <row r="7">
      <c r="A7" s="6" t="inlineStr">
        <is>
          <t>Leverage ratio including central banks</t>
        </is>
      </c>
      <c r="B7" s="6" t="inlineStr">
        <is>
          <t>11.8%</t>
        </is>
      </c>
      <c r="C7" s="6" t="inlineStr">
        <is>
          <t>12.0%</t>
        </is>
      </c>
      <c r="D7" s="6" t="inlineStr">
        <is>
          <t>14.0%</t>
        </is>
      </c>
      <c r="E7" s="6" t="n"/>
      <c r="F7" s="6" t="n"/>
    </row>
    <row r="8" ht="60"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t>
        </is>
      </c>
    </row>
    <row r="10" ht="155"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8:F8"/>
    <mergeCell ref="A10:F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value-average</t>
        </is>
      </c>
      <c r="B4" s="6" t="n">
        <v>2609639</v>
      </c>
      <c r="C4" s="6" t="n">
        <v>1876341</v>
      </c>
      <c r="D4" s="6" t="n">
        <v>1441255</v>
      </c>
      <c r="E4" s="6" t="n">
        <v>556199</v>
      </c>
      <c r="F4" s="6" t="inlineStr">
        <is>
          <t>Not disclosed</t>
        </is>
      </c>
    </row>
    <row r="5">
      <c r="A5" s="6" t="inlineStr">
        <is>
          <t>Total net cash outflows, adjusted value</t>
        </is>
      </c>
      <c r="B5" s="6" t="n">
        <v>555901</v>
      </c>
      <c r="C5" s="6" t="n">
        <v>384055</v>
      </c>
      <c r="D5" s="6" t="n">
        <v>374177</v>
      </c>
      <c r="E5" s="6" t="n">
        <v>158569</v>
      </c>
      <c r="F5" s="6" t="inlineStr">
        <is>
          <t>Not disclosed</t>
        </is>
      </c>
    </row>
    <row r="6">
      <c r="A6" s="6" t="inlineStr">
        <is>
          <t>Liquidity Coverage Ratio</t>
        </is>
      </c>
      <c r="B6" s="6" t="inlineStr">
        <is>
          <t>478%</t>
        </is>
      </c>
      <c r="C6" s="6" t="inlineStr">
        <is>
          <t>489%</t>
        </is>
      </c>
      <c r="D6" s="6" t="inlineStr">
        <is>
          <t>385%</t>
        </is>
      </c>
      <c r="E6" s="6" t="inlineStr">
        <is>
          <t>351%</t>
        </is>
      </c>
      <c r="F6" s="6" t="inlineStr">
        <is>
          <t>Not publicly disclosed</t>
        </is>
      </c>
    </row>
    <row r="7" ht="60" customHeight="1">
      <c r="A7" s="7" t="inlineStr">
        <is>
          <t>Note: The 2022–2025 LCR figures are the reported average/weighted-value disclosures. The FY2021 Pillar 3 report does not contain a comparable LCR key-metrics disclosure.</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6855628</v>
      </c>
      <c r="C4" s="6" t="n">
        <v>6303663</v>
      </c>
      <c r="D4" s="6" t="n">
        <v>4831446</v>
      </c>
      <c r="E4" s="6" t="n">
        <v>3748427</v>
      </c>
      <c r="F4" s="6" t="inlineStr">
        <is>
          <t>Not disclosed</t>
        </is>
      </c>
    </row>
    <row r="5">
      <c r="A5" s="6" t="inlineStr">
        <is>
          <t>Total required stable funding</t>
        </is>
      </c>
      <c r="B5" s="6" t="n">
        <v>3608230</v>
      </c>
      <c r="C5" s="6" t="n">
        <v>3324269</v>
      </c>
      <c r="D5" s="6" t="n">
        <v>2993447</v>
      </c>
      <c r="E5" s="6" t="n">
        <v>2436946</v>
      </c>
      <c r="F5" s="6" t="inlineStr">
        <is>
          <t>Not disclosed</t>
        </is>
      </c>
    </row>
    <row r="6">
      <c r="A6" s="6" t="inlineStr">
        <is>
          <t>Net Stable Funding Ratio</t>
        </is>
      </c>
      <c r="B6" s="6" t="inlineStr">
        <is>
          <t>190%</t>
        </is>
      </c>
      <c r="C6" s="6" t="inlineStr">
        <is>
          <t>190%</t>
        </is>
      </c>
      <c r="D6" s="6" t="inlineStr">
        <is>
          <t>161%</t>
        </is>
      </c>
      <c r="E6" s="6" t="inlineStr">
        <is>
          <t>154%</t>
        </is>
      </c>
      <c r="F6" s="6" t="inlineStr">
        <is>
          <t>Not publicly disclosed</t>
        </is>
      </c>
    </row>
    <row r="7" ht="60" customHeight="1">
      <c r="A7" s="7" t="inlineStr">
        <is>
          <t>Note: UK NSFR disclosures began from 1 January 2022; no FY2021 NSFR disclosure exists in OakNorth's official Pillar 3 report.</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 MREL ratio is presented in OakNorth's five annual Pillar 3 disclosures. This is a documented non-disclosure, not a zero.</t>
        </is>
      </c>
    </row>
    <row r="7" ht="155"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The 2025 disclosure states that the prudential disclosures are on a consolidated Bank Group basis, while the 2022–2024 reports describe the relevant regulatory templates as solo/Bank basis. The 2021 figures are the standalone Bank figures.</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2026-08-29T09:58:29Z</dcterms:created>
  <dcterms:modified xmlns:dcterms="http://purl.org/dc/terms/" xmlns:xsi="http://www.w3.org/2001/XMLSchema-instance" xsi:type="dcterms:W3CDTF">2026-08-29T09:58:29Z</dcterms:modified>
</cp:coreProperties>
</file>