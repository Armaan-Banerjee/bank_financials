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NatWest Markets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NatWest Markets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NatWest Markets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NatWest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NatWest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ser>
          <idx val="2"/>
          <order val="2"/>
          <tx>
            <strRef>
              <f>'Overview'!AO8</f>
            </strRef>
          </tx>
          <spPr>
            <a:ln>
              <a:prstDash val="solid"/>
            </a:ln>
          </spPr>
          <marker>
            <symbol val="none"/>
            <spPr>
              <a:ln>
                <a:prstDash val="solid"/>
              </a:ln>
            </spPr>
          </marker>
          <cat>
            <numRef>
              <f>'Overview'!$AP$5:$AT$5</f>
            </numRef>
          </cat>
          <val>
            <numRef>
              <f>'Overview'!$AP$8:$AT$8</f>
            </numRef>
          </val>
          <smooth val="0"/>
        </ser>
        <ser>
          <idx val="3"/>
          <order val="3"/>
          <tx>
            <strRef>
              <f>'Overview'!AO9</f>
            </strRef>
          </tx>
          <spPr>
            <a:ln>
              <a:prstDash val="solid"/>
            </a:ln>
          </spPr>
          <marker>
            <symbol val="none"/>
            <spPr>
              <a:ln>
                <a:prstDash val="solid"/>
              </a:ln>
            </spPr>
          </marker>
          <cat>
            <numRef>
              <f>'Overview'!$AP$5:$AT$5</f>
            </numRef>
          </cat>
          <val>
            <numRef>
              <f>'Overview'!$AP$9:$AT$9</f>
            </numRef>
          </val>
          <smooth val="0"/>
        </ser>
        <ser>
          <idx val="4"/>
          <order val="4"/>
          <tx>
            <strRef>
              <f>'Overview'!AO10</f>
            </strRef>
          </tx>
          <spPr>
            <a:ln>
              <a:prstDash val="solid"/>
            </a:ln>
          </spPr>
          <marker>
            <symbol val="none"/>
            <spPr>
              <a:ln>
                <a:prstDash val="solid"/>
              </a:ln>
            </spPr>
          </marker>
          <cat>
            <numRef>
              <f>'Overview'!$AP$5:$AT$5</f>
            </numRef>
          </cat>
          <val>
            <numRef>
              <f>'Overview'!$AP$10:$AT$10</f>
            </numRef>
          </val>
          <smooth val="0"/>
        </ser>
        <ser>
          <idx val="5"/>
          <order val="5"/>
          <tx>
            <strRef>
              <f>'Overview'!AO11</f>
            </strRef>
          </tx>
          <spPr>
            <a:ln>
              <a:prstDash val="solid"/>
            </a:ln>
          </spPr>
          <marker>
            <symbol val="none"/>
            <spPr>
              <a:l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1112022/natwest-markets-plc-q3-pillar-3-supplement.pdf" TargetMode="External" Id="rId1" /><Relationship Type="http://schemas.openxmlformats.org/officeDocument/2006/relationships/hyperlink" Target="https://investors.natwestgroup.com/~/media/Files/R/RBS-IR-V2/results-center/28042023/natwest-markets-plc-pillar-3-q1-2023.pdf" TargetMode="External" Id="rId2" /><Relationship Type="http://schemas.openxmlformats.org/officeDocument/2006/relationships/hyperlink" Target="https://investors.natwestgroup.com/~/media/Files/R/RBS-IR-V2/results-center/29072022/natwest-marketsplc-pillar-3-supplement.pdf" TargetMode="External" Id="rId3" /><Relationship Type="http://schemas.openxmlformats.org/officeDocument/2006/relationships/hyperlink" Target="https://investors.natwestgroup.com/~/media/Files/R/RBS-IR-V2/results-center/11112022/natwest-markets-plc-q3-pillar-3-supplement.pdf" TargetMode="External" Id="rId4" /><Relationship Type="http://schemas.openxmlformats.org/officeDocument/2006/relationships/hyperlink" Target="https://investors.natwestgroup.com/~/media/Files/R/RBS-IR-V2/results-center/28042023/natwest-markets-plc-pillar-3-q1-2023.pdf" TargetMode="External" Id="rId5" /><Relationship Type="http://schemas.openxmlformats.org/officeDocument/2006/relationships/hyperlink" Target="https://investors.natwestgroup.com/~/media/Files/R/RBS-IR-V2/results-center/2023/natwest-markets-plc-pillar-3-h1-2023.pdf" TargetMode="External" Id="rId6" /><Relationship Type="http://schemas.openxmlformats.org/officeDocument/2006/relationships/hyperlink" Target="https://investors.natwestgroup.com/~/media/Files/R/RBS-IR-V2/results-center/13-11-2023/natwest-markets-plc-pillar-3-q3-2023.pdf" TargetMode="External" Id="rId7" /><Relationship Type="http://schemas.openxmlformats.org/officeDocument/2006/relationships/hyperlink" Target="https://investors.natwestgroup.com/~/media/Files/R/RBS-IR-V2/results-center/2024/natwest-markets-plc-pillar-3-q1-2024.pdf" TargetMode="External" Id="rId8" /><Relationship Type="http://schemas.openxmlformats.org/officeDocument/2006/relationships/hyperlink" Target="https://investors.natwestgroup.com/~/media/Files/R/RBS-IR-V2/results-center/2024/nwm-plc-pillar-3-hy-2024.pdf" TargetMode="External" Id="rId9" /><Relationship Type="http://schemas.openxmlformats.org/officeDocument/2006/relationships/hyperlink" Target="https://investors.natwestgroup.com/~/media/Files/R/RBS-IR-V2/results-center/12112024/nwm-plc-pillar-3-q3-2024.pdf" TargetMode="External" Id="rId10" /><Relationship Type="http://schemas.openxmlformats.org/officeDocument/2006/relationships/hyperlink" Target="https://investors.natwestgroup.com/~/media/Files/R/RBS-IR-V2/results-center/13052025/nwm-pillar3-report.pdf" TargetMode="External" Id="rId11" /><Relationship Type="http://schemas.openxmlformats.org/officeDocument/2006/relationships/hyperlink" Target="https://investors.natwestgroup.com/~/media/Files/R/RBS-IR-V2/results-center/11-08-2025/nwm-pillar3-h1-report.pdf" TargetMode="External" Id="rId12" /><Relationship Type="http://schemas.openxmlformats.org/officeDocument/2006/relationships/hyperlink" Target="https://investors.natwestgroup.com/~/media/Files/R/RBS-IR-V2/results-center/11112025/11112025-nwm-pillar-3-report.pdf" TargetMode="External" Id="rId13" /><Relationship Type="http://schemas.openxmlformats.org/officeDocument/2006/relationships/hyperlink" Target="https://investors.natwestgroup.com/~/media/Files/R/RBS-IR-V2/results-center/11112022/natwest-markets-plc-q3-pillar-3-supplement.pdf" TargetMode="External" Id="rId14" /><Relationship Type="http://schemas.openxmlformats.org/officeDocument/2006/relationships/hyperlink" Target="https://investors.natwestgroup.com/~/media/Files/R/RBS-IR-V2/results-center/28042023/natwest-markets-plc-pillar-3-q1-2023.pdf" TargetMode="External" Id="rId15" /><Relationship Type="http://schemas.openxmlformats.org/officeDocument/2006/relationships/hyperlink" Target="https://investors.natwestgroup.com/~/media/Files/R/RBS-IR-V2/results-center/29072022/natwest-marketsplc-pillar-3-supplement.pdf" TargetMode="External" Id="rId16" /><Relationship Type="http://schemas.openxmlformats.org/officeDocument/2006/relationships/hyperlink" Target="https://investors.natwestgroup.com/~/media/Files/R/RBS-IR-V2/results-center/11112022/natwest-markets-plc-q3-pillar-3-supplement.pdf" TargetMode="External" Id="rId17" /><Relationship Type="http://schemas.openxmlformats.org/officeDocument/2006/relationships/hyperlink" Target="https://investors.natwestgroup.com/~/media/Files/R/RBS-IR-V2/results-center/28042023/natwest-markets-plc-pillar-3-q1-2023.pdf" TargetMode="External" Id="rId18" /><Relationship Type="http://schemas.openxmlformats.org/officeDocument/2006/relationships/hyperlink" Target="https://investors.natwestgroup.com/~/media/Files/R/RBS-IR-V2/results-center/2023/natwest-markets-plc-pillar-3-h1-2023.pdf" TargetMode="External" Id="rId19" /><Relationship Type="http://schemas.openxmlformats.org/officeDocument/2006/relationships/hyperlink" Target="https://investors.natwestgroup.com/~/media/Files/R/RBS-IR-V2/results-center/13-11-2023/natwest-markets-plc-pillar-3-q3-2023.pdf" TargetMode="External" Id="rId20" /><Relationship Type="http://schemas.openxmlformats.org/officeDocument/2006/relationships/hyperlink" Target="https://investors.natwestgroup.com/~/media/Files/R/RBS-IR-V2/results-center/2024/natwest-markets-plc-pillar-3-q1-2024.pdf" TargetMode="External" Id="rId21" /><Relationship Type="http://schemas.openxmlformats.org/officeDocument/2006/relationships/hyperlink" Target="https://investors.natwestgroup.com/~/media/Files/R/RBS-IR-V2/results-center/2024/nwm-plc-pillar-3-hy-2024.pdf" TargetMode="External" Id="rId22" /><Relationship Type="http://schemas.openxmlformats.org/officeDocument/2006/relationships/hyperlink" Target="https://investors.natwestgroup.com/~/media/Files/R/RBS-IR-V2/results-center/12112024/nwm-plc-pillar-3-q3-2024.pdf" TargetMode="External" Id="rId23" /><Relationship Type="http://schemas.openxmlformats.org/officeDocument/2006/relationships/hyperlink" Target="https://investors.natwestgroup.com/~/media/Files/R/RBS-IR-V2/results-center/13052025/nwm-pillar3-report.pdf" TargetMode="External" Id="rId24" /><Relationship Type="http://schemas.openxmlformats.org/officeDocument/2006/relationships/hyperlink" Target="https://investors.natwestgroup.com/~/media/Files/R/RBS-IR-V2/results-center/11-08-2025/nwm-pillar3-h1-report.pdf" TargetMode="External" Id="rId25" /><Relationship Type="http://schemas.openxmlformats.org/officeDocument/2006/relationships/hyperlink" Target="https://investors.natwestgroup.com/~/media/Files/R/RBS-IR-V2/results-center/11112025/11112025-nwm-pillar-3-report.pdf" TargetMode="External" Id="rId26" /><Relationship Type="http://schemas.openxmlformats.org/officeDocument/2006/relationships/hyperlink" Target="https://investors.natwestgroup.com/~/media/Files/R/RBS-IR-V2/results-center/11112022/natwest-markets-plc-q3-pillar-3-supplement.pdf" TargetMode="External" Id="rId27" /><Relationship Type="http://schemas.openxmlformats.org/officeDocument/2006/relationships/hyperlink" Target="https://investors.natwestgroup.com/~/media/Files/R/RBS-IR-V2/results-center/28042023/natwest-markets-plc-pillar-3-q1-2023.pdf" TargetMode="External" Id="rId28" /><Relationship Type="http://schemas.openxmlformats.org/officeDocument/2006/relationships/hyperlink" Target="https://investors.natwestgroup.com/~/media/Files/R/RBS-IR-V2/results-center/29072022/natwest-marketsplc-pillar-3-supplement.pdf" TargetMode="External" Id="rId29" /><Relationship Type="http://schemas.openxmlformats.org/officeDocument/2006/relationships/hyperlink" Target="https://investors.natwestgroup.com/~/media/Files/R/RBS-IR-V2/results-center/11112022/natwest-markets-plc-q3-pillar-3-supplement.pdf" TargetMode="External" Id="rId30" /><Relationship Type="http://schemas.openxmlformats.org/officeDocument/2006/relationships/hyperlink" Target="https://investors.natwestgroup.com/~/media/Files/R/RBS-IR-V2/results-center/28042023/natwest-markets-plc-pillar-3-q1-2023.pdf" TargetMode="External" Id="rId31" /><Relationship Type="http://schemas.openxmlformats.org/officeDocument/2006/relationships/hyperlink" Target="https://investors.natwestgroup.com/~/media/Files/R/RBS-IR-V2/results-center/2023/natwest-markets-plc-pillar-3-h1-2023.pdf" TargetMode="External" Id="rId32" /><Relationship Type="http://schemas.openxmlformats.org/officeDocument/2006/relationships/hyperlink" Target="https://investors.natwestgroup.com/~/media/Files/R/RBS-IR-V2/results-center/13-11-2023/natwest-markets-plc-pillar-3-q3-2023.pdf" TargetMode="External" Id="rId33" /><Relationship Type="http://schemas.openxmlformats.org/officeDocument/2006/relationships/hyperlink" Target="https://investors.natwestgroup.com/~/media/Files/R/RBS-IR-V2/results-center/2024/natwest-markets-plc-pillar-3-q1-2024.pdf" TargetMode="External" Id="rId34" /><Relationship Type="http://schemas.openxmlformats.org/officeDocument/2006/relationships/hyperlink" Target="https://investors.natwestgroup.com/~/media/Files/R/RBS-IR-V2/results-center/2024/nwm-plc-pillar-3-hy-2024.pdf" TargetMode="External" Id="rId35" /><Relationship Type="http://schemas.openxmlformats.org/officeDocument/2006/relationships/hyperlink" Target="https://investors.natwestgroup.com/~/media/Files/R/RBS-IR-V2/results-center/12112024/nwm-plc-pillar-3-q3-2024.pdf" TargetMode="External" Id="rId36" /><Relationship Type="http://schemas.openxmlformats.org/officeDocument/2006/relationships/hyperlink" Target="https://investors.natwestgroup.com/~/media/Files/R/RBS-IR-V2/results-center/13052025/nwm-pillar3-report.pdf" TargetMode="External" Id="rId37" /><Relationship Type="http://schemas.openxmlformats.org/officeDocument/2006/relationships/hyperlink" Target="https://investors.natwestgroup.com/~/media/Files/R/RBS-IR-V2/results-center/11-08-2025/nwm-pillar3-h1-report.pdf" TargetMode="External" Id="rId38" /><Relationship Type="http://schemas.openxmlformats.org/officeDocument/2006/relationships/hyperlink" Target="https://investors.natwestgroup.com/~/media/Files/R/RBS-IR-V2/results-center/11112025/11112025-nwm-pillar-3-report.pdf" TargetMode="External" Id="rId39" /><Relationship Type="http://schemas.openxmlformats.org/officeDocument/2006/relationships/hyperlink" Target="https://investors.natwestgroup.com/~/media/Files/R/RBS-IR-V2/results-center/11112022/natwest-markets-plc-q3-pillar-3-supplement.pdf" TargetMode="External" Id="rId40" /><Relationship Type="http://schemas.openxmlformats.org/officeDocument/2006/relationships/hyperlink" Target="https://investors.natwestgroup.com/~/media/Files/R/RBS-IR-V2/results-center/28042023/natwest-markets-plc-pillar-3-q1-2023.pdf" TargetMode="External" Id="rId41" /><Relationship Type="http://schemas.openxmlformats.org/officeDocument/2006/relationships/hyperlink" Target="https://investors.natwestgroup.com/~/media/Files/R/RBS-IR-V2/results-center/29072022/natwest-marketsplc-pillar-3-supplement.pdf" TargetMode="External" Id="rId42" /><Relationship Type="http://schemas.openxmlformats.org/officeDocument/2006/relationships/hyperlink" Target="https://investors.natwestgroup.com/~/media/Files/R/RBS-IR-V2/results-center/11112022/natwest-markets-plc-q3-pillar-3-supplement.pdf" TargetMode="External" Id="rId43" /><Relationship Type="http://schemas.openxmlformats.org/officeDocument/2006/relationships/hyperlink" Target="https://investors.natwestgroup.com/~/media/Files/R/RBS-IR-V2/results-center/28042023/natwest-markets-plc-pillar-3-q1-2023.pdf" TargetMode="External" Id="rId44" /><Relationship Type="http://schemas.openxmlformats.org/officeDocument/2006/relationships/hyperlink" Target="https://investors.natwestgroup.com/~/media/Files/R/RBS-IR-V2/results-center/2023/natwest-markets-plc-pillar-3-h1-2023.pdf" TargetMode="External" Id="rId45" /><Relationship Type="http://schemas.openxmlformats.org/officeDocument/2006/relationships/hyperlink" Target="https://investors.natwestgroup.com/~/media/Files/R/RBS-IR-V2/results-center/13-11-2023/natwest-markets-plc-pillar-3-q3-2023.pdf" TargetMode="External" Id="rId46" /><Relationship Type="http://schemas.openxmlformats.org/officeDocument/2006/relationships/hyperlink" Target="https://investors.natwestgroup.com/~/media/Files/R/RBS-IR-V2/results-center/2024/natwest-markets-plc-pillar-3-q1-2024.pdf" TargetMode="External" Id="rId47" /><Relationship Type="http://schemas.openxmlformats.org/officeDocument/2006/relationships/hyperlink" Target="https://investors.natwestgroup.com/~/media/Files/R/RBS-IR-V2/results-center/2024/nwm-plc-pillar-3-hy-2024.pdf" TargetMode="External" Id="rId48" /><Relationship Type="http://schemas.openxmlformats.org/officeDocument/2006/relationships/hyperlink" Target="https://investors.natwestgroup.com/~/media/Files/R/RBS-IR-V2/results-center/12112024/nwm-plc-pillar-3-q3-2024.pdf" TargetMode="External" Id="rId49" /><Relationship Type="http://schemas.openxmlformats.org/officeDocument/2006/relationships/hyperlink" Target="https://investors.natwestgroup.com/~/media/Files/R/RBS-IR-V2/results-center/13052025/nwm-pillar3-report.pdf" TargetMode="External" Id="rId50" /><Relationship Type="http://schemas.openxmlformats.org/officeDocument/2006/relationships/hyperlink" Target="https://investors.natwestgroup.com/~/media/Files/R/RBS-IR-V2/results-center/11-08-2025/nwm-pillar3-h1-report.pdf" TargetMode="External" Id="rId51" /><Relationship Type="http://schemas.openxmlformats.org/officeDocument/2006/relationships/hyperlink" Target="https://investors.natwestgroup.com/~/media/Files/R/RBS-IR-V2/results-center/11112025/11112025-nwm-pillar-3-report.pdf" TargetMode="External" Id="rId52" /><Relationship Type="http://schemas.openxmlformats.org/officeDocument/2006/relationships/hyperlink" Target="https://investors.natwestgroup.com/~/media/Files/R/RBS-IR-V2/results-center/11112022/natwest-markets-plc-q3-pillar-3-supplement.pdf" TargetMode="External" Id="rId53" /><Relationship Type="http://schemas.openxmlformats.org/officeDocument/2006/relationships/hyperlink" Target="https://investors.natwestgroup.com/~/media/Files/R/RBS-IR-V2/results-center/28042023/natwest-markets-plc-pillar-3-q1-2023.pdf" TargetMode="External" Id="rId54" /><Relationship Type="http://schemas.openxmlformats.org/officeDocument/2006/relationships/hyperlink" Target="https://investors.natwestgroup.com/~/media/Files/R/RBS-IR-V2/results-center/29072022/natwest-marketsplc-pillar-3-supplement.pdf" TargetMode="External" Id="rId55" /><Relationship Type="http://schemas.openxmlformats.org/officeDocument/2006/relationships/hyperlink" Target="https://investors.natwestgroup.com/~/media/Files/R/RBS-IR-V2/results-center/11112022/natwest-markets-plc-q3-pillar-3-supplement.pdf" TargetMode="External" Id="rId56" /><Relationship Type="http://schemas.openxmlformats.org/officeDocument/2006/relationships/hyperlink" Target="https://investors.natwestgroup.com/~/media/Files/R/RBS-IR-V2/results-center/28042023/natwest-markets-plc-pillar-3-q1-2023.pdf" TargetMode="External" Id="rId57" /><Relationship Type="http://schemas.openxmlformats.org/officeDocument/2006/relationships/hyperlink" Target="https://investors.natwestgroup.com/~/media/Files/R/RBS-IR-V2/results-center/2023/natwest-markets-plc-pillar-3-h1-2023.pdf" TargetMode="External" Id="rId58" /><Relationship Type="http://schemas.openxmlformats.org/officeDocument/2006/relationships/hyperlink" Target="https://investors.natwestgroup.com/~/media/Files/R/RBS-IR-V2/results-center/13-11-2023/natwest-markets-plc-pillar-3-q3-2023.pdf" TargetMode="External" Id="rId59" /><Relationship Type="http://schemas.openxmlformats.org/officeDocument/2006/relationships/hyperlink" Target="https://investors.natwestgroup.com/~/media/Files/R/RBS-IR-V2/results-center/2024/natwest-markets-plc-pillar-3-q1-2024.pdf" TargetMode="External" Id="rId60" /><Relationship Type="http://schemas.openxmlformats.org/officeDocument/2006/relationships/hyperlink" Target="https://investors.natwestgroup.com/~/media/Files/R/RBS-IR-V2/results-center/2024/nwm-plc-pillar-3-hy-2024.pdf" TargetMode="External" Id="rId61" /><Relationship Type="http://schemas.openxmlformats.org/officeDocument/2006/relationships/hyperlink" Target="https://investors.natwestgroup.com/~/media/Files/R/RBS-IR-V2/results-center/12112024/nwm-plc-pillar-3-q3-2024.pdf" TargetMode="External" Id="rId62" /><Relationship Type="http://schemas.openxmlformats.org/officeDocument/2006/relationships/hyperlink" Target="https://investors.natwestgroup.com/~/media/Files/R/RBS-IR-V2/results-center/13052025/nwm-pillar3-report.pdf" TargetMode="External" Id="rId63" /><Relationship Type="http://schemas.openxmlformats.org/officeDocument/2006/relationships/hyperlink" Target="https://investors.natwestgroup.com/~/media/Files/R/RBS-IR-V2/results-center/11-08-2025/nwm-pillar3-h1-report.pdf" TargetMode="External" Id="rId64" /><Relationship Type="http://schemas.openxmlformats.org/officeDocument/2006/relationships/hyperlink" Target="https://investors.natwestgroup.com/~/media/Files/R/RBS-IR-V2/results-center/11112025/11112025-nwm-pillar-3-report.pdf" TargetMode="External" Id="rId65" /><Relationship Type="http://schemas.openxmlformats.org/officeDocument/2006/relationships/hyperlink" Target="https://investors.natwestgroup.com/~/media/Files/R/RBS-IR-V2/results-center/11112022/natwest-markets-plc-q3-pillar-3-supplement.pdf" TargetMode="External" Id="rId66" /><Relationship Type="http://schemas.openxmlformats.org/officeDocument/2006/relationships/hyperlink" Target="https://investors.natwestgroup.com/~/media/Files/R/RBS-IR-V2/results-center/28042023/natwest-markets-plc-pillar-3-q1-2023.pdf" TargetMode="External" Id="rId67" /><Relationship Type="http://schemas.openxmlformats.org/officeDocument/2006/relationships/hyperlink" Target="https://investors.natwestgroup.com/~/media/Files/R/RBS-IR-V2/results-center/29072022/natwest-marketsplc-pillar-3-supplement.pdf" TargetMode="External" Id="rId68" /><Relationship Type="http://schemas.openxmlformats.org/officeDocument/2006/relationships/hyperlink" Target="https://investors.natwestgroup.com/~/media/Files/R/RBS-IR-V2/results-center/11112022/natwest-markets-plc-q3-pillar-3-supplement.pdf" TargetMode="External" Id="rId69" /><Relationship Type="http://schemas.openxmlformats.org/officeDocument/2006/relationships/hyperlink" Target="https://investors.natwestgroup.com/~/media/Files/R/RBS-IR-V2/results-center/28042023/natwest-markets-plc-pillar-3-q1-2023.pdf" TargetMode="External" Id="rId70" /><Relationship Type="http://schemas.openxmlformats.org/officeDocument/2006/relationships/hyperlink" Target="https://investors.natwestgroup.com/~/media/Files/R/RBS-IR-V2/results-center/2023/natwest-markets-plc-pillar-3-h1-2023.pdf" TargetMode="External" Id="rId71" /><Relationship Type="http://schemas.openxmlformats.org/officeDocument/2006/relationships/hyperlink" Target="https://investors.natwestgroup.com/~/media/Files/R/RBS-IR-V2/results-center/13-11-2023/natwest-markets-plc-pillar-3-q3-2023.pdf" TargetMode="External" Id="rId72" /><Relationship Type="http://schemas.openxmlformats.org/officeDocument/2006/relationships/hyperlink" Target="https://investors.natwestgroup.com/~/media/Files/R/RBS-IR-V2/results-center/2024/natwest-markets-plc-pillar-3-q1-2024.pdf" TargetMode="External" Id="rId73" /><Relationship Type="http://schemas.openxmlformats.org/officeDocument/2006/relationships/hyperlink" Target="https://investors.natwestgroup.com/~/media/Files/R/RBS-IR-V2/results-center/2024/nwm-plc-pillar-3-hy-2024.pdf" TargetMode="External" Id="rId74" /><Relationship Type="http://schemas.openxmlformats.org/officeDocument/2006/relationships/hyperlink" Target="https://investors.natwestgroup.com/~/media/Files/R/RBS-IR-V2/results-center/12112024/nwm-plc-pillar-3-q3-2024.pdf" TargetMode="External" Id="rId75" /><Relationship Type="http://schemas.openxmlformats.org/officeDocument/2006/relationships/hyperlink" Target="https://investors.natwestgroup.com/~/media/Files/R/RBS-IR-V2/results-center/13052025/nwm-pillar3-report.pdf" TargetMode="External" Id="rId76" /><Relationship Type="http://schemas.openxmlformats.org/officeDocument/2006/relationships/hyperlink" Target="https://investors.natwestgroup.com/~/media/Files/R/RBS-IR-V2/results-center/11-08-2025/nwm-pillar3-h1-report.pdf" TargetMode="External" Id="rId77" /><Relationship Type="http://schemas.openxmlformats.org/officeDocument/2006/relationships/hyperlink" Target="https://investors.natwestgroup.com/~/media/Files/R/RBS-IR-V2/results-center/11112025/11112025-nwm-pillar-3-report.pdf" TargetMode="External" Id="rId78" /><Relationship Type="http://schemas.openxmlformats.org/officeDocument/2006/relationships/hyperlink" Target="https://investors.natwestgroup.com/~/media/Files/R/RBS-IR-V2/results-center/11112022/natwest-markets-plc-q3-pillar-3-supplement.pdf" TargetMode="External" Id="rId79" /><Relationship Type="http://schemas.openxmlformats.org/officeDocument/2006/relationships/hyperlink" Target="https://investors.natwestgroup.com/~/media/Files/R/RBS-IR-V2/results-center/28042023/natwest-markets-plc-pillar-3-q1-2023.pdf" TargetMode="External" Id="rId80" /><Relationship Type="http://schemas.openxmlformats.org/officeDocument/2006/relationships/hyperlink" Target="https://investors.natwestgroup.com/~/media/Files/R/RBS-IR-V2/results-center/29072022/natwest-marketsplc-pillar-3-supplement.pdf" TargetMode="External" Id="rId81" /><Relationship Type="http://schemas.openxmlformats.org/officeDocument/2006/relationships/hyperlink" Target="https://investors.natwestgroup.com/~/media/Files/R/RBS-IR-V2/results-center/11112022/natwest-markets-plc-q3-pillar-3-supplement.pdf" TargetMode="External" Id="rId82" /><Relationship Type="http://schemas.openxmlformats.org/officeDocument/2006/relationships/hyperlink" Target="https://investors.natwestgroup.com/~/media/Files/R/RBS-IR-V2/results-center/28042023/natwest-markets-plc-pillar-3-q1-2023.pdf" TargetMode="External" Id="rId83" /><Relationship Type="http://schemas.openxmlformats.org/officeDocument/2006/relationships/hyperlink" Target="https://investors.natwestgroup.com/~/media/Files/R/RBS-IR-V2/results-center/2023/natwest-markets-plc-pillar-3-h1-2023.pdf" TargetMode="External" Id="rId84" /><Relationship Type="http://schemas.openxmlformats.org/officeDocument/2006/relationships/hyperlink" Target="https://investors.natwestgroup.com/~/media/Files/R/RBS-IR-V2/results-center/13-11-2023/natwest-markets-plc-pillar-3-q3-2023.pdf" TargetMode="External" Id="rId85" /><Relationship Type="http://schemas.openxmlformats.org/officeDocument/2006/relationships/hyperlink" Target="https://investors.natwestgroup.com/~/media/Files/R/RBS-IR-V2/results-center/2024/natwest-markets-plc-pillar-3-q1-2024.pdf" TargetMode="External" Id="rId86" /><Relationship Type="http://schemas.openxmlformats.org/officeDocument/2006/relationships/hyperlink" Target="https://investors.natwestgroup.com/~/media/Files/R/RBS-IR-V2/results-center/2024/nwm-plc-pillar-3-hy-2024.pdf" TargetMode="External" Id="rId87" /><Relationship Type="http://schemas.openxmlformats.org/officeDocument/2006/relationships/hyperlink" Target="https://investors.natwestgroup.com/~/media/Files/R/RBS-IR-V2/results-center/12112024/nwm-plc-pillar-3-q3-2024.pdf" TargetMode="External" Id="rId88" /><Relationship Type="http://schemas.openxmlformats.org/officeDocument/2006/relationships/hyperlink" Target="https://investors.natwestgroup.com/~/media/Files/R/RBS-IR-V2/results-center/13052025/nwm-pillar3-report.pdf" TargetMode="External" Id="rId89" /><Relationship Type="http://schemas.openxmlformats.org/officeDocument/2006/relationships/hyperlink" Target="https://investors.natwestgroup.com/~/media/Files/R/RBS-IR-V2/results-center/11-08-2025/nwm-pillar3-h1-report.pdf" TargetMode="External" Id="rId90" /><Relationship Type="http://schemas.openxmlformats.org/officeDocument/2006/relationships/hyperlink" Target="https://investors.natwestgroup.com/~/media/Files/R/RBS-IR-V2/results-center/11112025/11112025-nwm-pillar-3-report.pdf" TargetMode="External" Id="rId91" /><Relationship Type="http://schemas.openxmlformats.org/officeDocument/2006/relationships/hyperlink" Target="https://investors.natwestgroup.com/~/media/Files/R/RBS-IR-V2/results-center/11112022/natwest-markets-plc-q3-pillar-3-supplement.pdf" TargetMode="External" Id="rId92" /><Relationship Type="http://schemas.openxmlformats.org/officeDocument/2006/relationships/hyperlink" Target="https://investors.natwestgroup.com/~/media/Files/R/RBS-IR-V2/results-center/28042023/natwest-markets-plc-pillar-3-q1-2023.pdf" TargetMode="External" Id="rId93" /><Relationship Type="http://schemas.openxmlformats.org/officeDocument/2006/relationships/hyperlink" Target="https://investors.natwestgroup.com/~/media/Files/R/RBS-IR-V2/results-center/29072022/natwest-marketsplc-pillar-3-supplement.pdf" TargetMode="External" Id="rId94" /><Relationship Type="http://schemas.openxmlformats.org/officeDocument/2006/relationships/hyperlink" Target="https://investors.natwestgroup.com/~/media/Files/R/RBS-IR-V2/results-center/11112022/natwest-markets-plc-q3-pillar-3-supplement.pdf" TargetMode="External" Id="rId95" /><Relationship Type="http://schemas.openxmlformats.org/officeDocument/2006/relationships/hyperlink" Target="https://investors.natwestgroup.com/~/media/Files/R/RBS-IR-V2/results-center/28042023/natwest-markets-plc-pillar-3-q1-2023.pdf" TargetMode="External" Id="rId96" /><Relationship Type="http://schemas.openxmlformats.org/officeDocument/2006/relationships/hyperlink" Target="https://investors.natwestgroup.com/~/media/Files/R/RBS-IR-V2/results-center/2023/natwest-markets-plc-pillar-3-h1-2023.pdf" TargetMode="External" Id="rId97" /><Relationship Type="http://schemas.openxmlformats.org/officeDocument/2006/relationships/hyperlink" Target="https://investors.natwestgroup.com/~/media/Files/R/RBS-IR-V2/results-center/13-11-2023/natwest-markets-plc-pillar-3-q3-2023.pdf" TargetMode="External" Id="rId98" /><Relationship Type="http://schemas.openxmlformats.org/officeDocument/2006/relationships/hyperlink" Target="https://investors.natwestgroup.com/~/media/Files/R/RBS-IR-V2/results-center/2024/natwest-markets-plc-pillar-3-q1-2024.pdf" TargetMode="External" Id="rId99" /><Relationship Type="http://schemas.openxmlformats.org/officeDocument/2006/relationships/hyperlink" Target="https://investors.natwestgroup.com/~/media/Files/R/RBS-IR-V2/results-center/2024/nwm-plc-pillar-3-hy-2024.pdf" TargetMode="External" Id="rId100" /><Relationship Type="http://schemas.openxmlformats.org/officeDocument/2006/relationships/hyperlink" Target="https://investors.natwestgroup.com/~/media/Files/R/RBS-IR-V2/results-center/12112024/nwm-plc-pillar-3-q3-2024.pdf" TargetMode="External" Id="rId101" /><Relationship Type="http://schemas.openxmlformats.org/officeDocument/2006/relationships/hyperlink" Target="https://investors.natwestgroup.com/~/media/Files/R/RBS-IR-V2/results-center/13052025/nwm-pillar3-report.pdf" TargetMode="External" Id="rId102" /><Relationship Type="http://schemas.openxmlformats.org/officeDocument/2006/relationships/hyperlink" Target="https://investors.natwestgroup.com/~/media/Files/R/RBS-IR-V2/results-center/11-08-2025/nwm-pillar3-h1-report.pdf" TargetMode="External" Id="rId103" /><Relationship Type="http://schemas.openxmlformats.org/officeDocument/2006/relationships/hyperlink" Target="https://investors.natwestgroup.com/~/media/Files/R/RBS-IR-V2/results-center/11112025/11112025-nwm-pillar-3-report.pdf" TargetMode="External" Id="rId104" /><Relationship Type="http://schemas.openxmlformats.org/officeDocument/2006/relationships/hyperlink" Target="https://investors.natwestgroup.com/~/media/Files/R/RBS-IR-V2/results-center/28042023/natwest-markets-plc-pillar-3-q1-2023.pdf" TargetMode="External" Id="rId105" /><Relationship Type="http://schemas.openxmlformats.org/officeDocument/2006/relationships/hyperlink" Target="https://investors.natwestgroup.com/~/media/Files/R/RBS-IR-V2/results-center/29072022/natwest-marketsplc-pillar-3-supplement.pdf" TargetMode="External" Id="rId106" /><Relationship Type="http://schemas.openxmlformats.org/officeDocument/2006/relationships/hyperlink" Target="https://investors.natwestgroup.com/~/media/Files/R/RBS-IR-V2/results-center/11112022/natwest-markets-plc-q3-pillar-3-supplement.pdf" TargetMode="External" Id="rId107" /><Relationship Type="http://schemas.openxmlformats.org/officeDocument/2006/relationships/hyperlink" Target="https://investors.natwestgroup.com/~/media/Files/R/RBS-IR-V2/results-center/28042023/natwest-markets-plc-pillar-3-q1-2023.pdf" TargetMode="External" Id="rId108" /><Relationship Type="http://schemas.openxmlformats.org/officeDocument/2006/relationships/hyperlink" Target="https://investors.natwestgroup.com/~/media/Files/R/RBS-IR-V2/results-center/2023/natwest-markets-plc-pillar-3-h1-2023.pdf" TargetMode="External" Id="rId109" /><Relationship Type="http://schemas.openxmlformats.org/officeDocument/2006/relationships/hyperlink" Target="https://investors.natwestgroup.com/~/media/Files/R/RBS-IR-V2/results-center/13-11-2023/natwest-markets-plc-pillar-3-q3-2023.pdf" TargetMode="External" Id="rId110" /><Relationship Type="http://schemas.openxmlformats.org/officeDocument/2006/relationships/hyperlink" Target="https://investors.natwestgroup.com/~/media/Files/R/RBS-IR-V2/results-center/2024/natwest-markets-plc-pillar-3-q1-2024.pdf" TargetMode="External" Id="rId111" /><Relationship Type="http://schemas.openxmlformats.org/officeDocument/2006/relationships/hyperlink" Target="https://investors.natwestgroup.com/~/media/Files/R/RBS-IR-V2/results-center/2024/nwm-plc-pillar-3-hy-2024.pdf" TargetMode="External" Id="rId112" /><Relationship Type="http://schemas.openxmlformats.org/officeDocument/2006/relationships/hyperlink" Target="https://investors.natwestgroup.com/~/media/Files/R/RBS-IR-V2/results-center/12112024/nwm-plc-pillar-3-q3-2024.pdf" TargetMode="External" Id="rId113" /><Relationship Type="http://schemas.openxmlformats.org/officeDocument/2006/relationships/hyperlink" Target="https://investors.natwestgroup.com/~/media/Files/R/RBS-IR-V2/results-center/13052025/nwm-pillar3-report.pdf" TargetMode="External" Id="rId114" /><Relationship Type="http://schemas.openxmlformats.org/officeDocument/2006/relationships/hyperlink" Target="https://investors.natwestgroup.com/~/media/Files/R/RBS-IR-V2/results-center/11-08-2025/nwm-pillar3-h1-report.pdf" TargetMode="External" Id="rId115" /><Relationship Type="http://schemas.openxmlformats.org/officeDocument/2006/relationships/hyperlink" Target="https://investors.natwestgroup.com/~/media/Files/R/RBS-IR-V2/results-center/11112025/11112025-nwm-pillar-3-report.pdf" TargetMode="External" Id="rId116" /><Relationship Type="http://schemas.openxmlformats.org/officeDocument/2006/relationships/hyperlink" Target="https://investors.natwestgroup.com/~/media/Files/R/RBS-IR-V2/results-center/28042023/natwest-markets-plc-pillar-3-q1-2023.pdf" TargetMode="External" Id="rId117" /><Relationship Type="http://schemas.openxmlformats.org/officeDocument/2006/relationships/hyperlink" Target="https://investors.natwestgroup.com/~/media/Files/R/RBS-IR-V2/results-center/29072022/natwest-marketsplc-pillar-3-supplement.pdf" TargetMode="External" Id="rId118" /><Relationship Type="http://schemas.openxmlformats.org/officeDocument/2006/relationships/hyperlink" Target="https://investors.natwestgroup.com/~/media/Files/R/RBS-IR-V2/results-center/11112022/natwest-markets-plc-q3-pillar-3-supplement.pdf" TargetMode="External" Id="rId119" /><Relationship Type="http://schemas.openxmlformats.org/officeDocument/2006/relationships/hyperlink" Target="https://investors.natwestgroup.com/~/media/Files/R/RBS-IR-V2/results-center/28042023/natwest-markets-plc-pillar-3-q1-2023.pdf" TargetMode="External" Id="rId120" /><Relationship Type="http://schemas.openxmlformats.org/officeDocument/2006/relationships/hyperlink" Target="https://investors.natwestgroup.com/~/media/Files/R/RBS-IR-V2/results-center/2023/natwest-markets-plc-pillar-3-h1-2023.pdf" TargetMode="External" Id="rId121" /><Relationship Type="http://schemas.openxmlformats.org/officeDocument/2006/relationships/hyperlink" Target="https://investors.natwestgroup.com/~/media/Files/R/RBS-IR-V2/results-center/13-11-2023/natwest-markets-plc-pillar-3-q3-2023.pdf" TargetMode="External" Id="rId122" /><Relationship Type="http://schemas.openxmlformats.org/officeDocument/2006/relationships/hyperlink" Target="https://investors.natwestgroup.com/~/media/Files/R/RBS-IR-V2/results-center/2024/natwest-markets-plc-pillar-3-q1-2024.pdf" TargetMode="External" Id="rId123" /><Relationship Type="http://schemas.openxmlformats.org/officeDocument/2006/relationships/hyperlink" Target="https://investors.natwestgroup.com/~/media/Files/R/RBS-IR-V2/results-center/2024/nwm-plc-pillar-3-hy-2024.pdf" TargetMode="External" Id="rId124" /><Relationship Type="http://schemas.openxmlformats.org/officeDocument/2006/relationships/hyperlink" Target="https://investors.natwestgroup.com/~/media/Files/R/RBS-IR-V2/results-center/12112024/nwm-plc-pillar-3-q3-2024.pdf" TargetMode="External" Id="rId125" /><Relationship Type="http://schemas.openxmlformats.org/officeDocument/2006/relationships/hyperlink" Target="https://investors.natwestgroup.com/~/media/Files/R/RBS-IR-V2/results-center/13052025/nwm-pillar3-report.pdf" TargetMode="External" Id="rId126" /><Relationship Type="http://schemas.openxmlformats.org/officeDocument/2006/relationships/hyperlink" Target="https://investors.natwestgroup.com/~/media/Files/R/RBS-IR-V2/results-center/11-08-2025/nwm-pillar3-h1-report.pdf" TargetMode="External" Id="rId127" /><Relationship Type="http://schemas.openxmlformats.org/officeDocument/2006/relationships/hyperlink" Target="https://investors.natwestgroup.com/~/media/Files/R/RBS-IR-V2/results-center/11112025/11112025-nwm-pillar-3-report.pdf" TargetMode="External" Id="rId128" /><Relationship Type="http://schemas.openxmlformats.org/officeDocument/2006/relationships/hyperlink" Target="https://investors.natwestgroup.com/~/media/Files/R/RBS-IR-V2/results-center/28042023/natwest-markets-plc-pillar-3-q1-2023.pdf" TargetMode="External" Id="rId129" /><Relationship Type="http://schemas.openxmlformats.org/officeDocument/2006/relationships/hyperlink" Target="https://investors.natwestgroup.com/~/media/Files/R/RBS-IR-V2/results-center/2023/natwest-markets-plc-pillar-3-h1-2023.pdf" TargetMode="External" Id="rId130" /><Relationship Type="http://schemas.openxmlformats.org/officeDocument/2006/relationships/hyperlink" Target="https://investors.natwestgroup.com/~/media/Files/R/RBS-IR-V2/results-center/13-11-2023/natwest-markets-plc-pillar-3-q3-2023.pdf" TargetMode="External" Id="rId131" /><Relationship Type="http://schemas.openxmlformats.org/officeDocument/2006/relationships/hyperlink" Target="https://investors.natwestgroup.com/~/media/Files/R/RBS-IR-V2/results-center/2024/natwest-markets-plc-pillar-3-q1-2024.pdf" TargetMode="External" Id="rId132" /><Relationship Type="http://schemas.openxmlformats.org/officeDocument/2006/relationships/hyperlink" Target="https://investors.natwestgroup.com/~/media/Files/R/RBS-IR-V2/results-center/2024/nwm-plc-pillar-3-hy-2024.pdf" TargetMode="External" Id="rId133" /><Relationship Type="http://schemas.openxmlformats.org/officeDocument/2006/relationships/hyperlink" Target="https://investors.natwestgroup.com/~/media/Files/R/RBS-IR-V2/results-center/12112024/nwm-plc-pillar-3-q3-2024.pdf" TargetMode="External" Id="rId134" /><Relationship Type="http://schemas.openxmlformats.org/officeDocument/2006/relationships/hyperlink" Target="https://investors.natwestgroup.com/~/media/Files/R/RBS-IR-V2/results-center/13052025/nwm-pillar3-report.pdf" TargetMode="External" Id="rId135" /><Relationship Type="http://schemas.openxmlformats.org/officeDocument/2006/relationships/hyperlink" Target="https://investors.natwestgroup.com/~/media/Files/R/RBS-IR-V2/results-center/11-08-2025/nwm-pillar3-h1-report.pdf" TargetMode="External" Id="rId136" /><Relationship Type="http://schemas.openxmlformats.org/officeDocument/2006/relationships/hyperlink" Target="https://investors.natwestgroup.com/~/media/Files/R/RBS-IR-V2/results-center/11112025/11112025-nwm-pillar-3-report.pdf" TargetMode="External" Id="rId137" /><Relationship Type="http://schemas.openxmlformats.org/officeDocument/2006/relationships/hyperlink" Target="https://investors.natwestgroup.com/~/media/Files/R/RBS-IR-V2/results-center/11112022/natwest-markets-plc-q3-pillar-3-supplement.pdf" TargetMode="External" Id="rId138" /><Relationship Type="http://schemas.openxmlformats.org/officeDocument/2006/relationships/hyperlink" Target="https://investors.natwestgroup.com/~/media/Files/R/RBS-IR-V2/results-center/28042023/natwest-markets-plc-pillar-3-q1-2023.pdf" TargetMode="External" Id="rId139" /><Relationship Type="http://schemas.openxmlformats.org/officeDocument/2006/relationships/hyperlink" Target="https://investors.natwestgroup.com/~/media/Files/R/RBS-IR-V2/results-center/29072022/natwest-marketsplc-pillar-3-supplement.pdf" TargetMode="External" Id="rId140" /><Relationship Type="http://schemas.openxmlformats.org/officeDocument/2006/relationships/hyperlink" Target="https://investors.natwestgroup.com/~/media/Files/R/RBS-IR-V2/results-center/11112022/natwest-markets-plc-q3-pillar-3-supplement.pdf" TargetMode="External" Id="rId141" /><Relationship Type="http://schemas.openxmlformats.org/officeDocument/2006/relationships/hyperlink" Target="https://investors.natwestgroup.com/~/media/Files/R/RBS-IR-V2/results-center/28042023/natwest-markets-plc-pillar-3-q1-2023.pdf" TargetMode="External" Id="rId142" /><Relationship Type="http://schemas.openxmlformats.org/officeDocument/2006/relationships/hyperlink" Target="https://investors.natwestgroup.com/~/media/Files/R/RBS-IR-V2/results-center/2023/natwest-markets-plc-pillar-3-h1-2023.pdf" TargetMode="External" Id="rId143" /><Relationship Type="http://schemas.openxmlformats.org/officeDocument/2006/relationships/hyperlink" Target="https://investors.natwestgroup.com/~/media/Files/R/RBS-IR-V2/results-center/13-11-2023/natwest-markets-plc-pillar-3-q3-2023.pdf" TargetMode="External" Id="rId144" /><Relationship Type="http://schemas.openxmlformats.org/officeDocument/2006/relationships/hyperlink" Target="https://investors.natwestgroup.com/~/media/Files/R/RBS-IR-V2/results-center/2024/natwest-markets-plc-pillar-3-q1-2024.pdf" TargetMode="External" Id="rId145" /><Relationship Type="http://schemas.openxmlformats.org/officeDocument/2006/relationships/hyperlink" Target="https://investors.natwestgroup.com/~/media/Files/R/RBS-IR-V2/results-center/2024/nwm-plc-pillar-3-hy-2024.pdf" TargetMode="External" Id="rId146" /><Relationship Type="http://schemas.openxmlformats.org/officeDocument/2006/relationships/hyperlink" Target="https://investors.natwestgroup.com/~/media/Files/R/RBS-IR-V2/results-center/12112024/nwm-plc-pillar-3-q3-2024.pdf" TargetMode="External" Id="rId147" /><Relationship Type="http://schemas.openxmlformats.org/officeDocument/2006/relationships/hyperlink" Target="https://investors.natwestgroup.com/~/media/Files/R/RBS-IR-V2/results-center/13052025/nwm-pillar3-report.pdf" TargetMode="External" Id="rId148" /><Relationship Type="http://schemas.openxmlformats.org/officeDocument/2006/relationships/hyperlink" Target="https://investors.natwestgroup.com/~/media/Files/R/RBS-IR-V2/results-center/11-08-2025/nwm-pillar3-h1-report.pdf" TargetMode="External" Id="rId149" /><Relationship Type="http://schemas.openxmlformats.org/officeDocument/2006/relationships/hyperlink" Target="https://investors.natwestgroup.com/~/media/Files/R/RBS-IR-V2/results-center/11112025/11112025-nwm-pillar-3-report.pdf" TargetMode="External" Id="rId150" /></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NatWest Markets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136288</v>
      </c>
      <c r="C6" s="5" t="n">
        <v>152937</v>
      </c>
      <c r="D6" s="5" t="n">
        <v>150658</v>
      </c>
      <c r="E6" s="5" t="n">
        <v>169061</v>
      </c>
      <c r="F6" s="5" t="n">
        <v>182554</v>
      </c>
      <c r="I6" t="inlineStr">
        <is>
          <t>Total assets</t>
        </is>
      </c>
      <c r="J6" t="n">
        <v>182554</v>
      </c>
      <c r="K6" t="n">
        <v>169061</v>
      </c>
      <c r="L6" t="n">
        <v>150658</v>
      </c>
      <c r="M6" t="n">
        <v>152937</v>
      </c>
      <c r="N6" t="n">
        <v>136288</v>
      </c>
      <c r="AO6" t="inlineStr">
        <is>
          <t>CET1 Ratio</t>
        </is>
      </c>
      <c r="AP6" t="n">
        <v>17.9</v>
      </c>
      <c r="AQ6" t="n">
        <v>17.2</v>
      </c>
      <c r="AR6" t="n">
        <v>17.1</v>
      </c>
      <c r="AS6" t="n">
        <v>18.2</v>
      </c>
      <c r="AT6" t="n">
        <v>18.4</v>
      </c>
    </row>
    <row r="7">
      <c r="A7" s="5" t="inlineStr">
        <is>
          <t>Loans to customers (amortised cost)</t>
        </is>
      </c>
      <c r="B7" s="5" t="n">
        <v>22154</v>
      </c>
      <c r="C7" s="5" t="n">
        <v>17089</v>
      </c>
      <c r="D7" s="5" t="n">
        <v>12104</v>
      </c>
      <c r="E7" s="5" t="n">
        <v>9154</v>
      </c>
      <c r="F7" s="5" t="n">
        <v>6810</v>
      </c>
      <c r="I7" t="inlineStr">
        <is>
          <t>Loans to customers (amortised cost)</t>
        </is>
      </c>
      <c r="J7" t="n">
        <v>6810</v>
      </c>
      <c r="K7" t="n">
        <v>9154</v>
      </c>
      <c r="L7" t="n">
        <v>12104</v>
      </c>
      <c r="M7" t="n">
        <v>17089</v>
      </c>
      <c r="N7" t="n">
        <v>22154</v>
      </c>
      <c r="AO7" t="inlineStr">
        <is>
          <t>Tier 1 Ratio</t>
        </is>
      </c>
      <c r="AP7" t="n">
        <v>21</v>
      </c>
      <c r="AQ7" t="n">
        <v>20.4</v>
      </c>
      <c r="AR7" t="n">
        <v>20.2</v>
      </c>
      <c r="AS7" t="n">
        <v>24.3</v>
      </c>
      <c r="AT7" t="n">
        <v>23</v>
      </c>
    </row>
    <row r="8">
      <c r="A8" s="5" t="inlineStr">
        <is>
          <t>Customer deposits</t>
        </is>
      </c>
      <c r="B8" s="5" t="n">
        <v>2824</v>
      </c>
      <c r="C8" s="5" t="n">
        <v>2350</v>
      </c>
      <c r="D8" s="5" t="n">
        <v>3060</v>
      </c>
      <c r="E8" s="5" t="n">
        <v>2665</v>
      </c>
      <c r="F8" s="5" t="n">
        <v>1510</v>
      </c>
      <c r="I8" t="inlineStr">
        <is>
          <t>Customer deposits</t>
        </is>
      </c>
      <c r="J8" t="n">
        <v>1510</v>
      </c>
      <c r="K8" t="n">
        <v>2665</v>
      </c>
      <c r="L8" t="n">
        <v>3060</v>
      </c>
      <c r="M8" t="n">
        <v>2350</v>
      </c>
      <c r="N8" t="n">
        <v>2824</v>
      </c>
      <c r="AO8" t="inlineStr">
        <is>
          <t>Total Capital Ratio</t>
        </is>
      </c>
      <c r="AP8" t="n">
        <v>25.9</v>
      </c>
      <c r="AQ8" t="n">
        <v>25.7</v>
      </c>
      <c r="AR8" t="n">
        <v>23</v>
      </c>
      <c r="AS8" t="n">
        <v>27.8</v>
      </c>
      <c r="AT8" t="n">
        <v>26</v>
      </c>
    </row>
    <row r="9">
      <c r="A9" s="5" t="inlineStr">
        <is>
          <t>Total equity</t>
        </is>
      </c>
      <c r="B9" s="5" t="n">
        <v>6880</v>
      </c>
      <c r="C9" s="5" t="n">
        <v>6819</v>
      </c>
      <c r="D9" s="5" t="n">
        <v>6313</v>
      </c>
      <c r="E9" s="5" t="n">
        <v>6518</v>
      </c>
      <c r="F9" s="5" t="n">
        <v>7349</v>
      </c>
      <c r="I9" t="inlineStr">
        <is>
          <t>Total equity</t>
        </is>
      </c>
      <c r="J9" t="n">
        <v>7349</v>
      </c>
      <c r="K9" t="n">
        <v>6518</v>
      </c>
      <c r="L9" t="n">
        <v>6313</v>
      </c>
      <c r="M9" t="n">
        <v>6819</v>
      </c>
      <c r="N9" t="n">
        <v>6880</v>
      </c>
      <c r="AO9" t="inlineStr">
        <is>
          <t>Leverage Ratio</t>
        </is>
      </c>
      <c r="AP9" t="n">
        <v>4.3</v>
      </c>
      <c r="AQ9" t="n">
        <v>5.4</v>
      </c>
      <c r="AR9" t="n">
        <v>5</v>
      </c>
      <c r="AS9" t="n">
        <v>5.5</v>
      </c>
      <c r="AT9" t="n">
        <v>5</v>
      </c>
    </row>
    <row r="10">
      <c r="AO10" t="inlineStr">
        <is>
          <t>LCR</t>
        </is>
      </c>
      <c r="AQ10" t="n">
        <v>226</v>
      </c>
      <c r="AR10" t="n">
        <v>240</v>
      </c>
      <c r="AS10" t="n">
        <v>192</v>
      </c>
      <c r="AT10" t="n">
        <v>198</v>
      </c>
    </row>
    <row r="11">
      <c r="A11" s="3" t="inlineStr">
        <is>
          <t>Profit &amp; Loss Summary (£m)</t>
        </is>
      </c>
      <c r="AO11" t="inlineStr">
        <is>
          <t>NSFR</t>
        </is>
      </c>
      <c r="AQ11" t="n">
        <v>133</v>
      </c>
      <c r="AR11" t="n">
        <v>127</v>
      </c>
      <c r="AS11" t="n">
        <v>120</v>
      </c>
      <c r="AT11" t="n">
        <v>121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1471</v>
      </c>
      <c r="C13" s="5" t="n">
        <v>1237</v>
      </c>
      <c r="D13" s="5" t="n">
        <v>1069</v>
      </c>
      <c r="E13" s="5" t="n">
        <v>689</v>
      </c>
      <c r="F13" s="5" t="n">
        <v>401</v>
      </c>
      <c r="Q13" t="inlineStr">
        <is>
          <t>Total income</t>
        </is>
      </c>
      <c r="R13" t="n">
        <v>401</v>
      </c>
      <c r="S13" t="n">
        <v>689</v>
      </c>
      <c r="T13" t="n">
        <v>1069</v>
      </c>
      <c r="U13" t="n">
        <v>1237</v>
      </c>
      <c r="V13" t="n">
        <v>1471</v>
      </c>
    </row>
    <row r="14">
      <c r="A14" s="5" t="inlineStr">
        <is>
          <t>Operating expenses</t>
        </is>
      </c>
      <c r="B14" s="5" t="n">
        <v>-1308</v>
      </c>
      <c r="C14" s="5" t="n">
        <v>-1208</v>
      </c>
      <c r="D14" s="5" t="n">
        <v>-1142</v>
      </c>
      <c r="E14" s="5" t="n">
        <v>-1128</v>
      </c>
      <c r="F14" s="5" t="n">
        <v>-1150</v>
      </c>
      <c r="Q14" t="inlineStr">
        <is>
          <t>Operating expenses</t>
        </is>
      </c>
      <c r="R14" t="n">
        <v>-1150</v>
      </c>
      <c r="S14" t="n">
        <v>-1128</v>
      </c>
      <c r="T14" t="n">
        <v>-1142</v>
      </c>
      <c r="U14" t="n">
        <v>-1208</v>
      </c>
      <c r="V14" t="n">
        <v>-1308</v>
      </c>
    </row>
    <row r="15">
      <c r="A15" s="5" t="inlineStr">
        <is>
          <t>Profit/(loss) for the year</t>
        </is>
      </c>
      <c r="B15" s="5" t="n">
        <v>275</v>
      </c>
      <c r="C15" s="5" t="n">
        <v>63</v>
      </c>
      <c r="D15" s="5" t="n">
        <v>-98</v>
      </c>
      <c r="E15" s="5" t="n">
        <v>-264</v>
      </c>
      <c r="F15" s="5" t="n">
        <v>-491</v>
      </c>
      <c r="Q15" t="inlineStr">
        <is>
          <t>Profit/(loss) for the year</t>
        </is>
      </c>
      <c r="R15" t="n">
        <v>-491</v>
      </c>
      <c r="S15" t="n">
        <v>-264</v>
      </c>
      <c r="T15" t="n">
        <v>-98</v>
      </c>
      <c r="U15" t="n">
        <v>63</v>
      </c>
      <c r="V15" t="n">
        <v>275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6819</v>
      </c>
      <c r="C19" s="5" t="n">
        <v>6313</v>
      </c>
      <c r="D19" s="5" t="n">
        <v>6518</v>
      </c>
      <c r="E19" s="5" t="n">
        <v>7349</v>
      </c>
      <c r="F19" s="5" t="n">
        <v>9152</v>
      </c>
      <c r="Y19" t="inlineStr">
        <is>
          <t>Opening equity</t>
        </is>
      </c>
      <c r="Z19" t="n">
        <v>9152</v>
      </c>
      <c r="AA19" t="n">
        <v>7349</v>
      </c>
      <c r="AB19" t="n">
        <v>6518</v>
      </c>
      <c r="AC19" t="n">
        <v>6313</v>
      </c>
      <c r="AD19" t="n">
        <v>6819</v>
      </c>
    </row>
    <row r="20">
      <c r="A20" s="5" t="inlineStr">
        <is>
          <t>Total comprehensive income/(loss) for the year (NWM Plc basis)</t>
        </is>
      </c>
      <c r="B20" s="5" t="n">
        <v>411</v>
      </c>
      <c r="C20" s="5" t="n">
        <v>-29</v>
      </c>
      <c r="D20" s="5" t="n">
        <v>-232</v>
      </c>
      <c r="E20" s="5" t="n">
        <v>-329</v>
      </c>
      <c r="F20" s="5" t="n">
        <v>-690</v>
      </c>
      <c r="Y20" t="inlineStr">
        <is>
          <t>Total comprehensive income/(loss) for the year (NWM Plc basis)</t>
        </is>
      </c>
      <c r="Z20" t="n">
        <v>-690</v>
      </c>
      <c r="AA20" t="n">
        <v>-329</v>
      </c>
      <c r="AB20" t="n">
        <v>-232</v>
      </c>
      <c r="AC20" t="n">
        <v>-29</v>
      </c>
      <c r="AD20" t="n">
        <v>411</v>
      </c>
    </row>
    <row r="21">
      <c r="A21" s="5" t="inlineStr">
        <is>
          <t>Other equity movements, net</t>
        </is>
      </c>
      <c r="B21" s="5" t="n">
        <v>-350</v>
      </c>
      <c r="C21" s="5" t="n">
        <v>535</v>
      </c>
      <c r="D21" s="5" t="n">
        <v>27</v>
      </c>
      <c r="E21" s="5" t="n">
        <v>-502</v>
      </c>
      <c r="F21" s="5" t="n">
        <v>-1113</v>
      </c>
      <c r="Y21" t="inlineStr">
        <is>
          <t>Other equity movements, net</t>
        </is>
      </c>
      <c r="Z21" t="n">
        <v>-1113</v>
      </c>
      <c r="AA21" t="n">
        <v>-502</v>
      </c>
      <c r="AB21" t="n">
        <v>27</v>
      </c>
      <c r="AC21" t="n">
        <v>535</v>
      </c>
      <c r="AD21" t="n">
        <v>-350</v>
      </c>
    </row>
    <row r="22">
      <c r="A22" s="5" t="inlineStr">
        <is>
          <t>Closing equity</t>
        </is>
      </c>
      <c r="B22" s="5" t="n">
        <v>6880</v>
      </c>
      <c r="C22" s="5" t="n">
        <v>6819</v>
      </c>
      <c r="D22" s="5" t="n">
        <v>6313</v>
      </c>
      <c r="E22" s="5" t="n">
        <v>6518</v>
      </c>
      <c r="F22" s="5" t="n">
        <v>7349</v>
      </c>
      <c r="Y22" t="inlineStr">
        <is>
          <t>Closing equity</t>
        </is>
      </c>
      <c r="Z22" t="n">
        <v>7349</v>
      </c>
      <c r="AA22" t="n">
        <v>6518</v>
      </c>
      <c r="AB22" t="n">
        <v>6313</v>
      </c>
      <c r="AC22" t="n">
        <v>6819</v>
      </c>
      <c r="AD22" t="n">
        <v>6880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-2465</v>
      </c>
      <c r="C26" s="5" t="n">
        <v>-268</v>
      </c>
      <c r="D26" s="5" t="n">
        <v>-676</v>
      </c>
      <c r="E26" s="5" t="n">
        <v>5395</v>
      </c>
      <c r="F26" s="5" t="n">
        <v>1055</v>
      </c>
      <c r="AG26" t="inlineStr">
        <is>
          <t>Net cash from/(used in) operating activities</t>
        </is>
      </c>
      <c r="AH26" t="n">
        <v>1055</v>
      </c>
      <c r="AI26" t="n">
        <v>5395</v>
      </c>
      <c r="AJ26" t="n">
        <v>-676</v>
      </c>
      <c r="AK26" t="n">
        <v>-268</v>
      </c>
      <c r="AL26" t="n">
        <v>-2465</v>
      </c>
    </row>
    <row r="27">
      <c r="A27" s="5" t="inlineStr">
        <is>
          <t>Net cash from/(used in) investing activities</t>
        </is>
      </c>
      <c r="B27" s="5" t="n">
        <v>-242</v>
      </c>
      <c r="C27" s="5" t="n">
        <v>-1768</v>
      </c>
      <c r="D27" s="5" t="n">
        <v>-2096</v>
      </c>
      <c r="E27" s="5" t="n">
        <v>-2500</v>
      </c>
      <c r="F27" s="5" t="n">
        <v>231</v>
      </c>
      <c r="AG27" t="inlineStr">
        <is>
          <t>Net cash from/(used in) investing activities</t>
        </is>
      </c>
      <c r="AH27" t="n">
        <v>231</v>
      </c>
      <c r="AI27" t="n">
        <v>-2500</v>
      </c>
      <c r="AJ27" t="n">
        <v>-2096</v>
      </c>
      <c r="AK27" t="n">
        <v>-1768</v>
      </c>
      <c r="AL27" t="n">
        <v>-242</v>
      </c>
    </row>
    <row r="28">
      <c r="A28" s="5" t="inlineStr">
        <is>
          <t>Net cash from/(used in) financing activities</t>
        </is>
      </c>
      <c r="B28" s="5" t="n">
        <v>-555</v>
      </c>
      <c r="C28" s="5" t="n">
        <v>1609</v>
      </c>
      <c r="D28" s="5" t="n">
        <v>-827</v>
      </c>
      <c r="E28" s="5" t="n">
        <v>-1877</v>
      </c>
      <c r="F28" s="5" t="n">
        <v>-2636</v>
      </c>
      <c r="AG28" t="inlineStr">
        <is>
          <t>Net cash from/(used in) financing activities</t>
        </is>
      </c>
      <c r="AH28" t="n">
        <v>-2636</v>
      </c>
      <c r="AI28" t="n">
        <v>-1877</v>
      </c>
      <c r="AJ28" t="n">
        <v>-827</v>
      </c>
      <c r="AK28" t="n">
        <v>1609</v>
      </c>
      <c r="AL28" t="n">
        <v>-555</v>
      </c>
    </row>
    <row r="29">
      <c r="A29" s="5" t="inlineStr">
        <is>
          <t>Cash and cash equivalents at end of year</t>
        </is>
      </c>
      <c r="B29" s="5" t="n">
        <v>13122</v>
      </c>
      <c r="C29" s="5" t="n">
        <v>16270</v>
      </c>
      <c r="D29" s="5" t="n">
        <v>16988</v>
      </c>
      <c r="E29" s="5" t="n">
        <v>20923</v>
      </c>
      <c r="F29" s="5" t="n">
        <v>19214</v>
      </c>
      <c r="AG29" t="inlineStr">
        <is>
          <t>Cash and cash equivalents at end of year</t>
        </is>
      </c>
      <c r="AH29" t="n">
        <v>19214</v>
      </c>
      <c r="AI29" t="n">
        <v>20923</v>
      </c>
      <c r="AJ29" t="n">
        <v>16988</v>
      </c>
      <c r="AK29" t="n">
        <v>16270</v>
      </c>
      <c r="AL29" t="n">
        <v>13122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18.4%</t>
        </is>
      </c>
      <c r="C33" s="6" t="inlineStr">
        <is>
          <t>18.2%</t>
        </is>
      </c>
      <c r="D33" s="6" t="inlineStr">
        <is>
          <t>17.1%</t>
        </is>
      </c>
      <c r="E33" s="6" t="inlineStr">
        <is>
          <t>17.2%</t>
        </is>
      </c>
      <c r="F33" s="6" t="inlineStr">
        <is>
          <t>17.9%</t>
        </is>
      </c>
    </row>
    <row r="34">
      <c r="A34" s="6" t="inlineStr">
        <is>
          <t>Tier 1 Ratio</t>
        </is>
      </c>
      <c r="B34" s="6" t="inlineStr">
        <is>
          <t>23.0%</t>
        </is>
      </c>
      <c r="C34" s="6" t="inlineStr">
        <is>
          <t>24.3%</t>
        </is>
      </c>
      <c r="D34" s="6" t="inlineStr">
        <is>
          <t>20.2%</t>
        </is>
      </c>
      <c r="E34" s="6" t="inlineStr">
        <is>
          <t>20.4%</t>
        </is>
      </c>
      <c r="F34" s="6" t="inlineStr">
        <is>
          <t>21.0%</t>
        </is>
      </c>
    </row>
    <row r="35">
      <c r="A35" s="6" t="inlineStr">
        <is>
          <t>Total Capital Ratio</t>
        </is>
      </c>
      <c r="B35" s="6" t="inlineStr">
        <is>
          <t>26.0%</t>
        </is>
      </c>
      <c r="C35" s="6" t="inlineStr">
        <is>
          <t>27.8%</t>
        </is>
      </c>
      <c r="D35" s="6" t="inlineStr">
        <is>
          <t>23.0%</t>
        </is>
      </c>
      <c r="E35" s="6" t="inlineStr">
        <is>
          <t>25.7%</t>
        </is>
      </c>
      <c r="F35" s="6" t="inlineStr">
        <is>
          <t>25.9%</t>
        </is>
      </c>
    </row>
    <row r="36">
      <c r="A36" s="6" t="inlineStr">
        <is>
          <t>Leverage Ratio</t>
        </is>
      </c>
      <c r="B36" s="6" t="inlineStr">
        <is>
          <t>5.0%</t>
        </is>
      </c>
      <c r="C36" s="6" t="inlineStr">
        <is>
          <t>5.5%</t>
        </is>
      </c>
      <c r="D36" s="6" t="inlineStr">
        <is>
          <t>5.0%</t>
        </is>
      </c>
      <c r="E36" s="6" t="inlineStr">
        <is>
          <t>5.4%</t>
        </is>
      </c>
      <c r="F36" s="6" t="inlineStr">
        <is>
          <t>4.3%</t>
        </is>
      </c>
    </row>
    <row r="37">
      <c r="A37" s="6" t="inlineStr">
        <is>
          <t>LCR</t>
        </is>
      </c>
      <c r="B37" s="6" t="inlineStr">
        <is>
          <t>198%</t>
        </is>
      </c>
      <c r="C37" s="6" t="inlineStr">
        <is>
          <t>192%</t>
        </is>
      </c>
      <c r="D37" s="6" t="inlineStr">
        <is>
          <t>240%</t>
        </is>
      </c>
      <c r="E37" s="6" t="inlineStr">
        <is>
          <t>226%</t>
        </is>
      </c>
      <c r="F37" s="6" t="n"/>
    </row>
    <row r="38">
      <c r="A38" s="6" t="inlineStr">
        <is>
          <t>NSFR</t>
        </is>
      </c>
      <c r="B38" s="6" t="inlineStr">
        <is>
          <t>121%</t>
        </is>
      </c>
      <c r="C38" s="6" t="inlineStr">
        <is>
          <t>120%</t>
        </is>
      </c>
      <c r="D38" s="6" t="inlineStr">
        <is>
          <t>127%</t>
        </is>
      </c>
      <c r="E38" s="6" t="inlineStr">
        <is>
          <t>133%</t>
        </is>
      </c>
      <c r="F38" s="6" t="n"/>
    </row>
    <row r="40" ht="45" customHeight="1">
      <c r="A40" s="7" t="inlineStr">
        <is>
          <t>Note: This workbook covers NatWest Markets Plc (company SC090312, FRN 121882), formerly The Royal Bank of Scotland Public Limited Company. It is distinct from the current Royal Bank of Scotland plc (company SC083026) workbook. FY2021 LCR/NSFR are blank because the official large-subsidiary supplement did not provide standalone NWM Plc figures.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Balance Sheet</t>
        </is>
      </c>
    </row>
    <row r="2">
      <c r="A2" s="2" t="inlineStr">
        <is>
          <t>NWM Plc entity basis (not NWM Group consolidated). £m. NWM Plc carries no non-controlling interests in any year, so Owners' equity = Total equity throughout.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9357</v>
      </c>
      <c r="C5" s="6" t="n">
        <v>11069</v>
      </c>
      <c r="D5" s="6" t="n">
        <v>8607</v>
      </c>
      <c r="E5" s="6" t="n">
        <v>13467</v>
      </c>
      <c r="F5" s="6" t="n">
        <v>12294</v>
      </c>
    </row>
    <row r="6">
      <c r="A6" s="6" t="inlineStr">
        <is>
          <t>Trading assets</t>
        </is>
      </c>
      <c r="B6" s="6" t="n">
        <v>22087</v>
      </c>
      <c r="C6" s="6" t="n">
        <v>26186</v>
      </c>
      <c r="D6" s="6" t="n">
        <v>28411</v>
      </c>
      <c r="E6" s="6" t="n">
        <v>27301</v>
      </c>
      <c r="F6" s="6" t="n">
        <v>41222</v>
      </c>
    </row>
    <row r="7">
      <c r="A7" s="6" t="inlineStr">
        <is>
          <t>Derivatives</t>
        </is>
      </c>
      <c r="B7" s="6" t="n">
        <v>57793</v>
      </c>
      <c r="C7" s="6" t="n">
        <v>74982</v>
      </c>
      <c r="D7" s="6" t="n">
        <v>75832</v>
      </c>
      <c r="E7" s="6" t="n">
        <v>96258</v>
      </c>
      <c r="F7" s="6" t="n">
        <v>103042</v>
      </c>
    </row>
    <row r="8">
      <c r="A8" s="6" t="inlineStr">
        <is>
          <t>Settlement balances</t>
        </is>
      </c>
      <c r="B8" s="6" t="n">
        <v>490</v>
      </c>
      <c r="C8" s="6" t="n">
        <v>550</v>
      </c>
      <c r="D8" s="6" t="n">
        <v>2168</v>
      </c>
      <c r="E8" s="6" t="n">
        <v>1686</v>
      </c>
      <c r="F8" s="6" t="n">
        <v>795</v>
      </c>
    </row>
    <row r="9">
      <c r="A9" s="6" t="inlineStr">
        <is>
          <t>Loans to banks (amortised cost)</t>
        </is>
      </c>
      <c r="B9" s="6" t="n">
        <v>603</v>
      </c>
      <c r="C9" s="6" t="n">
        <v>897</v>
      </c>
      <c r="D9" s="6" t="n">
        <v>910</v>
      </c>
      <c r="E9" s="6" t="n">
        <v>815</v>
      </c>
      <c r="F9" s="6" t="n">
        <v>712</v>
      </c>
    </row>
    <row r="10">
      <c r="A10" s="6" t="inlineStr">
        <is>
          <t>Loans to customers (amortised cost)</t>
        </is>
      </c>
      <c r="B10" s="6" t="n">
        <v>22154</v>
      </c>
      <c r="C10" s="6" t="n">
        <v>17089</v>
      </c>
      <c r="D10" s="6" t="n">
        <v>12104</v>
      </c>
      <c r="E10" s="6" t="n">
        <v>9154</v>
      </c>
      <c r="F10" s="6" t="n">
        <v>6810</v>
      </c>
    </row>
    <row r="11">
      <c r="A11" s="6" t="inlineStr">
        <is>
          <t>Amounts due from holding company and fellow subsidiaries</t>
        </is>
      </c>
      <c r="B11" s="6" t="n">
        <v>3611</v>
      </c>
      <c r="C11" s="6" t="n">
        <v>3341</v>
      </c>
      <c r="D11" s="6" t="n">
        <v>6472</v>
      </c>
      <c r="E11" s="6" t="n">
        <v>6665</v>
      </c>
      <c r="F11" s="6" t="n">
        <v>6723</v>
      </c>
    </row>
    <row r="12">
      <c r="A12" s="6" t="inlineStr">
        <is>
          <t>Other financial assets</t>
        </is>
      </c>
      <c r="B12" s="6" t="n">
        <v>17354</v>
      </c>
      <c r="C12" s="6" t="n">
        <v>16081</v>
      </c>
      <c r="D12" s="6" t="n">
        <v>13444</v>
      </c>
      <c r="E12" s="6" t="n">
        <v>10377</v>
      </c>
      <c r="F12" s="6" t="n">
        <v>7743</v>
      </c>
    </row>
    <row r="13">
      <c r="A13" s="6" t="inlineStr">
        <is>
          <t>Investments in group undertakings</t>
        </is>
      </c>
      <c r="B13" s="6" t="n">
        <v>2403</v>
      </c>
      <c r="C13" s="6" t="n">
        <v>2263</v>
      </c>
      <c r="D13" s="6" t="n">
        <v>2320</v>
      </c>
      <c r="E13" s="6" t="n">
        <v>2626</v>
      </c>
      <c r="F13" s="6" t="n">
        <v>2481</v>
      </c>
    </row>
    <row r="14">
      <c r="A14" s="6" t="inlineStr">
        <is>
          <t>Other assets</t>
        </is>
      </c>
      <c r="B14" s="6" t="n">
        <v>436</v>
      </c>
      <c r="C14" s="6" t="n">
        <v>479</v>
      </c>
      <c r="D14" s="6" t="n">
        <v>390</v>
      </c>
      <c r="E14" s="6" t="n">
        <v>712</v>
      </c>
      <c r="F14" s="6" t="n">
        <v>732</v>
      </c>
    </row>
    <row r="15">
      <c r="A15" s="5" t="inlineStr">
        <is>
          <t>Total assets</t>
        </is>
      </c>
      <c r="B15" s="5" t="n">
        <v>136288</v>
      </c>
      <c r="C15" s="5" t="n">
        <v>152937</v>
      </c>
      <c r="D15" s="5" t="n">
        <v>150658</v>
      </c>
      <c r="E15" s="5" t="n">
        <v>169061</v>
      </c>
      <c r="F15" s="5" t="n">
        <v>182554</v>
      </c>
    </row>
    <row r="16">
      <c r="A16" s="5" t="inlineStr">
        <is>
          <t>Liabilities</t>
        </is>
      </c>
      <c r="B16" s="6" t="n"/>
      <c r="C16" s="6" t="n"/>
      <c r="D16" s="6" t="n"/>
      <c r="E16" s="6" t="n"/>
      <c r="F16" s="6" t="n"/>
    </row>
    <row r="17">
      <c r="A17" s="6" t="inlineStr">
        <is>
          <t>Bank deposits</t>
        </is>
      </c>
      <c r="B17" s="6" t="n">
        <v>7650</v>
      </c>
      <c r="C17" s="6" t="n">
        <v>4069</v>
      </c>
      <c r="D17" s="6" t="n">
        <v>1909</v>
      </c>
      <c r="E17" s="6" t="n">
        <v>2936</v>
      </c>
      <c r="F17" s="6" t="n">
        <v>1808</v>
      </c>
    </row>
    <row r="18">
      <c r="A18" s="6" t="inlineStr">
        <is>
          <t>Customer deposits</t>
        </is>
      </c>
      <c r="B18" s="6" t="n">
        <v>2824</v>
      </c>
      <c r="C18" s="6" t="n">
        <v>2350</v>
      </c>
      <c r="D18" s="6" t="n">
        <v>3060</v>
      </c>
      <c r="E18" s="6" t="n">
        <v>2665</v>
      </c>
      <c r="F18" s="6" t="n">
        <v>1510</v>
      </c>
    </row>
    <row r="19">
      <c r="A19" s="6" t="inlineStr">
        <is>
          <t>Amounts due to holding company and fellow subsidiaries</t>
        </is>
      </c>
      <c r="B19" s="6" t="n">
        <v>8278</v>
      </c>
      <c r="C19" s="6" t="n">
        <v>10757</v>
      </c>
      <c r="D19" s="6" t="n">
        <v>14385</v>
      </c>
      <c r="E19" s="6" t="n">
        <v>12867</v>
      </c>
      <c r="F19" s="6" t="n">
        <v>10978</v>
      </c>
    </row>
    <row r="20">
      <c r="A20" s="6" t="inlineStr">
        <is>
          <t>Settlement balances</t>
        </is>
      </c>
      <c r="B20" s="6" t="n">
        <v>501</v>
      </c>
      <c r="C20" s="6" t="n">
        <v>444</v>
      </c>
      <c r="D20" s="6" t="n">
        <v>400</v>
      </c>
      <c r="E20" s="6" t="n">
        <v>1133</v>
      </c>
      <c r="F20" s="6" t="n">
        <v>1028</v>
      </c>
    </row>
    <row r="21">
      <c r="A21" s="6" t="inlineStr">
        <is>
          <t>Trading liabilities</t>
        </is>
      </c>
      <c r="B21" s="6" t="n">
        <v>25916</v>
      </c>
      <c r="C21" s="6" t="n">
        <v>30130</v>
      </c>
      <c r="D21" s="6" t="n">
        <v>34079</v>
      </c>
      <c r="E21" s="6" t="n">
        <v>33225</v>
      </c>
      <c r="F21" s="6" t="n">
        <v>47119</v>
      </c>
    </row>
    <row r="22">
      <c r="A22" s="6" t="inlineStr">
        <is>
          <t>Derivatives (liability)</t>
        </is>
      </c>
      <c r="B22" s="6" t="n">
        <v>52166</v>
      </c>
      <c r="C22" s="6" t="n">
        <v>70016</v>
      </c>
      <c r="D22" s="6" t="n">
        <v>69404</v>
      </c>
      <c r="E22" s="6" t="n">
        <v>90754</v>
      </c>
      <c r="F22" s="6" t="n">
        <v>95096</v>
      </c>
    </row>
    <row r="23">
      <c r="A23" s="6" t="inlineStr">
        <is>
          <t>Other financial liabilities</t>
        </is>
      </c>
      <c r="B23" s="6" t="n">
        <v>31740</v>
      </c>
      <c r="C23" s="6" t="n">
        <v>27966</v>
      </c>
      <c r="D23" s="6" t="n">
        <v>20655</v>
      </c>
      <c r="E23" s="6" t="n">
        <v>18396</v>
      </c>
      <c r="F23" s="6" t="n">
        <v>16877</v>
      </c>
    </row>
    <row r="24">
      <c r="A24" s="6" t="inlineStr">
        <is>
          <t>Other liabilities</t>
        </is>
      </c>
      <c r="B24" s="6" t="n">
        <v>333</v>
      </c>
      <c r="C24" s="6" t="n">
        <v>386</v>
      </c>
      <c r="D24" s="6" t="n">
        <v>453</v>
      </c>
      <c r="E24" s="6" t="n">
        <v>567</v>
      </c>
      <c r="F24" s="6" t="n">
        <v>789</v>
      </c>
    </row>
    <row r="25">
      <c r="A25" s="5" t="inlineStr">
        <is>
          <t>Total liabilities</t>
        </is>
      </c>
      <c r="B25" s="5" t="n">
        <v>129408</v>
      </c>
      <c r="C25" s="5" t="n">
        <v>146118</v>
      </c>
      <c r="D25" s="5" t="n">
        <v>144345</v>
      </c>
      <c r="E25" s="5" t="n">
        <v>162543</v>
      </c>
      <c r="F25" s="5" t="n">
        <v>175205</v>
      </c>
    </row>
    <row r="26">
      <c r="A26" s="5" t="inlineStr">
        <is>
          <t>Equity</t>
        </is>
      </c>
      <c r="B26" s="6" t="n"/>
      <c r="C26" s="6" t="n"/>
      <c r="D26" s="6" t="n"/>
      <c r="E26" s="6" t="n"/>
      <c r="F26" s="6" t="n"/>
    </row>
    <row r="27">
      <c r="A27" s="6" t="inlineStr">
        <is>
          <t>Called-up share capital</t>
        </is>
      </c>
      <c r="B27" s="6" t="n">
        <v>400</v>
      </c>
      <c r="C27" s="6" t="n">
        <v>400</v>
      </c>
      <c r="D27" s="6" t="n">
        <v>400</v>
      </c>
      <c r="E27" s="6" t="n">
        <v>400</v>
      </c>
      <c r="F27" s="6" t="n">
        <v>400</v>
      </c>
    </row>
    <row r="28">
      <c r="A28" s="6" t="inlineStr">
        <is>
          <t>Paid-in equity</t>
        </is>
      </c>
      <c r="B28" s="6" t="n">
        <v>1192</v>
      </c>
      <c r="C28" s="6" t="n">
        <v>1496</v>
      </c>
      <c r="D28" s="6" t="n">
        <v>904</v>
      </c>
      <c r="E28" s="6" t="n">
        <v>904</v>
      </c>
      <c r="F28" s="6" t="n">
        <v>904</v>
      </c>
    </row>
    <row r="29">
      <c r="A29" s="6" t="inlineStr">
        <is>
          <t>Share premium account</t>
        </is>
      </c>
      <c r="B29" s="6" t="n">
        <v>1946</v>
      </c>
      <c r="C29" s="6" t="n">
        <v>1946</v>
      </c>
      <c r="D29" s="6" t="n">
        <v>1946</v>
      </c>
      <c r="E29" s="6" t="n">
        <v>1946</v>
      </c>
      <c r="F29" s="6" t="n">
        <v>1946</v>
      </c>
    </row>
    <row r="30">
      <c r="A30" s="6" t="inlineStr">
        <is>
          <t>FVOCI reserve</t>
        </is>
      </c>
      <c r="B30" s="6" t="n">
        <v>19</v>
      </c>
      <c r="C30" s="6" t="n">
        <v>9</v>
      </c>
      <c r="D30" s="6" t="n">
        <v>0</v>
      </c>
      <c r="E30" s="6" t="n">
        <v>-2</v>
      </c>
      <c r="F30" s="6" t="n">
        <v>18</v>
      </c>
    </row>
    <row r="31">
      <c r="A31" s="6" t="inlineStr">
        <is>
          <t>Cash flow hedging reserve</t>
        </is>
      </c>
      <c r="B31" s="6" t="n">
        <v>-97</v>
      </c>
      <c r="C31" s="6" t="n">
        <v>-204</v>
      </c>
      <c r="D31" s="6" t="n">
        <v>-187</v>
      </c>
      <c r="E31" s="6" t="n">
        <v>-284</v>
      </c>
      <c r="F31" s="6" t="n">
        <v>46</v>
      </c>
    </row>
    <row r="32">
      <c r="A32" s="6" t="inlineStr">
        <is>
          <t>Foreign exchange reserve</t>
        </is>
      </c>
      <c r="B32" s="6" t="n">
        <v>-117</v>
      </c>
      <c r="C32" s="6" t="n">
        <v>-142</v>
      </c>
      <c r="D32" s="6" t="n">
        <v>-157</v>
      </c>
      <c r="E32" s="6" t="n">
        <v>-78</v>
      </c>
      <c r="F32" s="6" t="n">
        <v>-218</v>
      </c>
    </row>
    <row r="33">
      <c r="A33" s="6" t="inlineStr">
        <is>
          <t>Retained earnings</t>
        </is>
      </c>
      <c r="B33" s="6" t="n">
        <v>3537</v>
      </c>
      <c r="C33" s="6" t="n">
        <v>3314</v>
      </c>
      <c r="D33" s="6" t="n">
        <v>3407</v>
      </c>
      <c r="E33" s="6" t="n">
        <v>3632</v>
      </c>
      <c r="F33" s="6" t="n">
        <v>4253</v>
      </c>
    </row>
    <row r="34">
      <c r="A34" s="5" t="inlineStr">
        <is>
          <t>Total equity</t>
        </is>
      </c>
      <c r="B34" s="5" t="n">
        <v>6880</v>
      </c>
      <c r="C34" s="5" t="n">
        <v>6819</v>
      </c>
      <c r="D34" s="5" t="n">
        <v>6313</v>
      </c>
      <c r="E34" s="5" t="n">
        <v>6518</v>
      </c>
      <c r="F34" s="5" t="n">
        <v>7349</v>
      </c>
    </row>
    <row r="35">
      <c r="A35" s="5" t="inlineStr">
        <is>
          <t>Total liabilities and equity</t>
        </is>
      </c>
      <c r="B35" s="5" t="n">
        <v>136288</v>
      </c>
      <c r="C35" s="5" t="n">
        <v>152937</v>
      </c>
      <c r="D35" s="5" t="n">
        <v>150658</v>
      </c>
      <c r="E35" s="5" t="n">
        <v>169061</v>
      </c>
      <c r="F35" s="5" t="n">
        <v>182554</v>
      </c>
    </row>
    <row r="37" ht="260" customHeight="1">
      <c r="A37"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NatWest Markets Plc — Profit &amp; Loss</t>
        </is>
      </c>
    </row>
    <row r="2">
      <c r="A2" s="2" t="inlineStr">
        <is>
          <t>NWM Group consolidated basis (see sources note - NWM Plc publishes no standalone entity income statement).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 (NWM Group consolidated basis)</t>
        </is>
      </c>
      <c r="B4" s="6" t="n"/>
      <c r="C4" s="6" t="n"/>
      <c r="D4" s="6" t="n"/>
      <c r="E4" s="6" t="n"/>
      <c r="F4" s="6" t="n"/>
    </row>
    <row r="5">
      <c r="A5" s="6" t="inlineStr">
        <is>
          <t>Interest receivable</t>
        </is>
      </c>
      <c r="B5" s="6" t="n">
        <v>2585</v>
      </c>
      <c r="C5" s="6" t="n">
        <v>2720</v>
      </c>
      <c r="D5" s="6" t="n">
        <v>2186</v>
      </c>
      <c r="E5" s="6" t="n">
        <v>745</v>
      </c>
      <c r="F5" s="6" t="n">
        <v>343</v>
      </c>
    </row>
    <row r="6">
      <c r="A6" s="6" t="inlineStr">
        <is>
          <t>Interest payable</t>
        </is>
      </c>
      <c r="B6" s="6" t="n">
        <v>-2097</v>
      </c>
      <c r="C6" s="6" t="n">
        <v>-2288</v>
      </c>
      <c r="D6" s="6" t="n">
        <v>-1831</v>
      </c>
      <c r="E6" s="6" t="n">
        <v>-654</v>
      </c>
      <c r="F6" s="6" t="n">
        <v>-335</v>
      </c>
    </row>
    <row r="7">
      <c r="A7" s="5" t="inlineStr">
        <is>
          <t>Net interest income</t>
        </is>
      </c>
      <c r="B7" s="5" t="n">
        <v>488</v>
      </c>
      <c r="C7" s="5" t="n">
        <v>432</v>
      </c>
      <c r="D7" s="5" t="n">
        <v>355</v>
      </c>
      <c r="E7" s="5" t="n">
        <v>91</v>
      </c>
      <c r="F7" s="5" t="n">
        <v>8</v>
      </c>
    </row>
    <row r="8">
      <c r="A8" s="6" t="inlineStr">
        <is>
          <t>Fees and commissions receivable</t>
        </is>
      </c>
      <c r="B8" s="6" t="n">
        <v>417</v>
      </c>
      <c r="C8" s="6" t="n">
        <v>476</v>
      </c>
      <c r="D8" s="6" t="n">
        <v>377</v>
      </c>
      <c r="E8" s="6" t="n">
        <v>349</v>
      </c>
      <c r="F8" s="6" t="n">
        <v>262</v>
      </c>
    </row>
    <row r="9">
      <c r="A9" s="6" t="inlineStr">
        <is>
          <t>Fees and commissions payable</t>
        </is>
      </c>
      <c r="B9" s="6" t="n">
        <v>-188</v>
      </c>
      <c r="C9" s="6" t="n">
        <v>-213</v>
      </c>
      <c r="D9" s="6" t="n">
        <v>-175</v>
      </c>
      <c r="E9" s="6" t="n">
        <v>-158</v>
      </c>
      <c r="F9" s="6" t="n">
        <v>-104</v>
      </c>
    </row>
    <row r="10">
      <c r="A10" s="6" t="inlineStr">
        <is>
          <t>Income from trading activities</t>
        </is>
      </c>
      <c r="B10" s="6" t="n">
        <v>658</v>
      </c>
      <c r="C10" s="6" t="n">
        <v>585</v>
      </c>
      <c r="D10" s="6" t="n">
        <v>477</v>
      </c>
      <c r="E10" s="6" t="n">
        <v>389</v>
      </c>
      <c r="F10" s="6" t="n">
        <v>263</v>
      </c>
    </row>
    <row r="11">
      <c r="A11" s="6" t="inlineStr">
        <is>
          <t>Other operating income</t>
        </is>
      </c>
      <c r="B11" s="6" t="n">
        <v>96</v>
      </c>
      <c r="C11" s="6" t="n">
        <v>-43</v>
      </c>
      <c r="D11" s="6" t="n">
        <v>35</v>
      </c>
      <c r="E11" s="6" t="n">
        <v>18</v>
      </c>
      <c r="F11" s="6" t="n">
        <v>-28</v>
      </c>
    </row>
    <row r="12">
      <c r="A12" s="5" t="inlineStr">
        <is>
          <t>Non-interest income</t>
        </is>
      </c>
      <c r="B12" s="5" t="n">
        <v>983</v>
      </c>
      <c r="C12" s="5" t="n">
        <v>805</v>
      </c>
      <c r="D12" s="5" t="n">
        <v>714</v>
      </c>
      <c r="E12" s="5" t="n">
        <v>598</v>
      </c>
      <c r="F12" s="5" t="n">
        <v>393</v>
      </c>
    </row>
    <row r="13">
      <c r="A13" s="5" t="inlineStr">
        <is>
          <t>Total income</t>
        </is>
      </c>
      <c r="B13" s="5" t="n">
        <v>1471</v>
      </c>
      <c r="C13" s="5" t="n">
        <v>1237</v>
      </c>
      <c r="D13" s="5" t="n">
        <v>1069</v>
      </c>
      <c r="E13" s="5" t="n">
        <v>689</v>
      </c>
      <c r="F13" s="5" t="n">
        <v>401</v>
      </c>
    </row>
    <row r="14">
      <c r="A14" s="6" t="inlineStr">
        <is>
          <t>Staff costs</t>
        </is>
      </c>
      <c r="B14" s="6" t="n">
        <v>-506</v>
      </c>
      <c r="C14" s="6" t="n">
        <v>-452</v>
      </c>
      <c r="D14" s="6" t="n">
        <v>-418</v>
      </c>
      <c r="E14" s="6" t="n">
        <v>-400</v>
      </c>
      <c r="F14" s="6" t="n">
        <v>-498</v>
      </c>
    </row>
    <row r="15">
      <c r="A15" s="6" t="inlineStr">
        <is>
          <t>Premises and equipment</t>
        </is>
      </c>
      <c r="B15" s="6" t="n">
        <v>-79</v>
      </c>
      <c r="C15" s="6" t="n">
        <v>-75</v>
      </c>
      <c r="D15" s="6" t="n">
        <v>-66</v>
      </c>
      <c r="E15" s="6" t="n">
        <v>-60</v>
      </c>
      <c r="F15" s="6" t="n">
        <v>-110</v>
      </c>
    </row>
    <row r="16">
      <c r="A16" s="6" t="inlineStr">
        <is>
          <t>Other administrative expenses</t>
        </is>
      </c>
      <c r="B16" s="6" t="n">
        <v>-711</v>
      </c>
      <c r="C16" s="6" t="n">
        <v>-671</v>
      </c>
      <c r="D16" s="6" t="n">
        <v>-642</v>
      </c>
      <c r="E16" s="6" t="n">
        <v>-652</v>
      </c>
      <c r="F16" s="6" t="n">
        <v>-522</v>
      </c>
    </row>
    <row r="17">
      <c r="A17" s="6" t="inlineStr">
        <is>
          <t>Depreciation and amortisation</t>
        </is>
      </c>
      <c r="B17" s="6" t="n">
        <v>-12</v>
      </c>
      <c r="C17" s="6" t="n">
        <v>-10</v>
      </c>
      <c r="D17" s="6" t="n">
        <v>-16</v>
      </c>
      <c r="E17" s="6" t="n">
        <v>-16</v>
      </c>
      <c r="F17" s="6" t="n">
        <v>-20</v>
      </c>
    </row>
    <row r="18">
      <c r="A18" s="5" t="inlineStr">
        <is>
          <t>Operating expenses</t>
        </is>
      </c>
      <c r="B18" s="5" t="n">
        <v>-1308</v>
      </c>
      <c r="C18" s="5" t="n">
        <v>-1208</v>
      </c>
      <c r="D18" s="5" t="n">
        <v>-1142</v>
      </c>
      <c r="E18" s="5" t="n">
        <v>-1128</v>
      </c>
      <c r="F18" s="5" t="n">
        <v>-1150</v>
      </c>
    </row>
    <row r="19">
      <c r="A19" s="5" t="inlineStr">
        <is>
          <t>Profit/(loss) before impairment losses/releases</t>
        </is>
      </c>
      <c r="B19" s="5" t="n">
        <v>163</v>
      </c>
      <c r="C19" s="5" t="n">
        <v>29</v>
      </c>
      <c r="D19" s="5" t="n">
        <v>-73</v>
      </c>
      <c r="E19" s="5" t="n">
        <v>-439</v>
      </c>
      <c r="F19" s="5" t="n">
        <v>-749</v>
      </c>
    </row>
    <row r="20">
      <c r="A20" s="6" t="inlineStr">
        <is>
          <t>Impairment (losses)/releases</t>
        </is>
      </c>
      <c r="B20" s="6" t="n">
        <v>-3</v>
      </c>
      <c r="C20" s="6" t="n">
        <v>8</v>
      </c>
      <c r="D20" s="6" t="n">
        <v>-2</v>
      </c>
      <c r="E20" s="6" t="n">
        <v>-8</v>
      </c>
      <c r="F20" s="6" t="n">
        <v>35</v>
      </c>
    </row>
    <row r="21">
      <c r="A21" s="5" t="inlineStr">
        <is>
          <t>Operating profit/(loss) before tax</t>
        </is>
      </c>
      <c r="B21" s="5" t="n">
        <v>160</v>
      </c>
      <c r="C21" s="5" t="n">
        <v>37</v>
      </c>
      <c r="D21" s="5" t="n">
        <v>-75</v>
      </c>
      <c r="E21" s="5" t="n">
        <v>-447</v>
      </c>
      <c r="F21" s="5" t="n">
        <v>-714</v>
      </c>
    </row>
    <row r="22">
      <c r="A22" s="6" t="inlineStr">
        <is>
          <t>Tax credit/(charge)</t>
        </is>
      </c>
      <c r="B22" s="6" t="n">
        <v>115</v>
      </c>
      <c r="C22" s="6" t="n">
        <v>26</v>
      </c>
      <c r="D22" s="6" t="n">
        <v>-23</v>
      </c>
      <c r="E22" s="6" t="n">
        <v>183</v>
      </c>
      <c r="F22" s="6" t="n">
        <v>223</v>
      </c>
    </row>
    <row r="23">
      <c r="A23" s="5" t="inlineStr">
        <is>
          <t>Profit/(loss) for the year</t>
        </is>
      </c>
      <c r="B23" s="5" t="n">
        <v>275</v>
      </c>
      <c r="C23" s="5" t="n">
        <v>63</v>
      </c>
      <c r="D23" s="5" t="n">
        <v>-98</v>
      </c>
      <c r="E23" s="5" t="n">
        <v>-264</v>
      </c>
      <c r="F23" s="5" t="n">
        <v>-491</v>
      </c>
    </row>
    <row r="24">
      <c r="A24" s="5" t="inlineStr">
        <is>
          <t>Other comprehensive income/(loss), net of tax</t>
        </is>
      </c>
      <c r="B24" s="6" t="n"/>
      <c r="C24" s="6" t="n"/>
      <c r="D24" s="6" t="n"/>
      <c r="E24" s="6" t="n"/>
      <c r="F24" s="6" t="n"/>
    </row>
    <row r="25">
      <c r="A25" s="6" t="inlineStr">
        <is>
          <t>Remeasurement of retirement benefit schemes</t>
        </is>
      </c>
      <c r="B25" s="6" t="n">
        <v>5</v>
      </c>
      <c r="C25" s="6" t="n">
        <v>-13</v>
      </c>
      <c r="D25" s="6" t="n">
        <v>-113</v>
      </c>
      <c r="E25" s="6" t="n">
        <v>-68</v>
      </c>
      <c r="F25" s="6" t="n">
        <v>36</v>
      </c>
    </row>
    <row r="26">
      <c r="A26" s="6" t="inlineStr">
        <is>
          <t>Changes in FV of financial liabilities designated at FVTPL (own credit risk)</t>
        </is>
      </c>
      <c r="B26" s="6" t="n">
        <v>-17</v>
      </c>
      <c r="C26" s="6" t="n">
        <v>-33</v>
      </c>
      <c r="D26" s="6" t="n">
        <v>-39</v>
      </c>
      <c r="E26" s="6" t="n">
        <v>50</v>
      </c>
      <c r="F26" s="6" t="n">
        <v>-29</v>
      </c>
    </row>
    <row r="27">
      <c r="A27" s="6" t="inlineStr">
        <is>
          <t>FVOCI financial assets (items not qualifying for reclassification)</t>
        </is>
      </c>
      <c r="B27" s="6" t="n">
        <v>3</v>
      </c>
      <c r="C27" s="6" t="n">
        <v>14</v>
      </c>
      <c r="D27" s="6" t="n">
        <v>7</v>
      </c>
      <c r="E27" s="6" t="n">
        <v>-2</v>
      </c>
      <c r="F27" s="6" t="n">
        <v>2</v>
      </c>
    </row>
    <row r="28">
      <c r="A28" s="6" t="inlineStr">
        <is>
          <t>Tax (items not qualifying for reclassification)</t>
        </is>
      </c>
      <c r="B28" s="6" t="n">
        <v>-8</v>
      </c>
      <c r="C28" s="6" t="n">
        <v>23</v>
      </c>
      <c r="D28" s="6" t="n">
        <v>42</v>
      </c>
      <c r="E28" s="6" t="n">
        <v>32</v>
      </c>
      <c r="F28" s="6" t="n">
        <v>-10</v>
      </c>
    </row>
    <row r="29">
      <c r="A29" s="6" t="inlineStr">
        <is>
          <t>FVOCI financial assets (items qualifying for reclassification)</t>
        </is>
      </c>
      <c r="B29" s="6" t="n">
        <v>16</v>
      </c>
      <c r="C29" s="6" t="n">
        <v>5</v>
      </c>
      <c r="D29" s="6" t="n">
        <v>5</v>
      </c>
      <c r="E29" s="6" t="n">
        <v>-31</v>
      </c>
      <c r="F29" s="6" t="n">
        <v>-2</v>
      </c>
    </row>
    <row r="30">
      <c r="A30" s="6" t="inlineStr">
        <is>
          <t>Cash flow hedges</t>
        </is>
      </c>
      <c r="B30" s="6" t="n">
        <v>127</v>
      </c>
      <c r="C30" s="6" t="n">
        <v>-29</v>
      </c>
      <c r="D30" s="6" t="n">
        <v>178</v>
      </c>
      <c r="E30" s="6" t="n">
        <v>-475</v>
      </c>
      <c r="F30" s="6" t="n">
        <v>-206</v>
      </c>
    </row>
    <row r="31">
      <c r="A31" s="6" t="inlineStr">
        <is>
          <t>Currency translation</t>
        </is>
      </c>
      <c r="B31" s="6" t="n">
        <v>23</v>
      </c>
      <c r="C31" s="6" t="n">
        <v>-14</v>
      </c>
      <c r="D31" s="6" t="n">
        <v>-132</v>
      </c>
      <c r="E31" s="6" t="n">
        <v>245</v>
      </c>
      <c r="F31" s="6" t="n">
        <v>-124</v>
      </c>
    </row>
    <row r="32">
      <c r="A32" s="6" t="inlineStr">
        <is>
          <t>Tax (items qualifying for reclassification)</t>
        </is>
      </c>
      <c r="B32" s="6" t="n">
        <v>-46</v>
      </c>
      <c r="C32" s="6" t="n">
        <v>16</v>
      </c>
      <c r="D32" s="6" t="n">
        <v>-48</v>
      </c>
      <c r="E32" s="6" t="n">
        <v>142</v>
      </c>
      <c r="F32" s="6" t="n">
        <v>45</v>
      </c>
    </row>
    <row r="33">
      <c r="A33" s="5" t="inlineStr">
        <is>
          <t>Other comprehensive income/(loss) after tax</t>
        </is>
      </c>
      <c r="B33" s="5" t="n">
        <v>103</v>
      </c>
      <c r="C33" s="5" t="n">
        <v>-31</v>
      </c>
      <c r="D33" s="5" t="n">
        <v>-100</v>
      </c>
      <c r="E33" s="5" t="n">
        <v>-107</v>
      </c>
      <c r="F33" s="5" t="n">
        <v>-288</v>
      </c>
    </row>
    <row r="34">
      <c r="A34" s="5" t="inlineStr">
        <is>
          <t>Total comprehensive income/(loss) for the year</t>
        </is>
      </c>
      <c r="B34" s="5" t="n">
        <v>378</v>
      </c>
      <c r="C34" s="5" t="n">
        <v>32</v>
      </c>
      <c r="D34" s="5" t="n">
        <v>-198</v>
      </c>
      <c r="E34" s="5" t="n">
        <v>-371</v>
      </c>
      <c r="F34" s="5" t="n">
        <v>-779</v>
      </c>
    </row>
    <row r="36" ht="280" customHeight="1">
      <c r="A36"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NatWest Markets Plc — Statement of Changes in Equity</t>
        </is>
      </c>
    </row>
    <row r="2">
      <c r="A2" s="2" t="inlineStr">
        <is>
          <t>Chronological roll-forward, oldest to newest, NWM Plc entity basis. £m. Equity reconciliation ladder confirmed: every year's own closing balance ties exactly to both the next year's own opening balance and that year's own Balance Sheet Total equity - zero plug rows needed anywhere across all 5 years. NWM Plc carries no Merger reserve or non-controlling interests balance in any year, so both are omitted as columns.</t>
        </is>
      </c>
    </row>
    <row r="3">
      <c r="A3" s="4" t="inlineStr">
        <is>
          <t>Movement</t>
        </is>
      </c>
      <c r="B3" s="4" t="inlineStr">
        <is>
          <t>Called-up share capital</t>
        </is>
      </c>
      <c r="C3" s="4" t="inlineStr">
        <is>
          <t>Paid-in equity</t>
        </is>
      </c>
      <c r="D3" s="4" t="inlineStr">
        <is>
          <t>Share premium</t>
        </is>
      </c>
      <c r="E3" s="4" t="inlineStr">
        <is>
          <t>FVOCI reserve</t>
        </is>
      </c>
      <c r="F3" s="4" t="inlineStr">
        <is>
          <t>Cash flow hedging reserve</t>
        </is>
      </c>
      <c r="G3" s="4" t="inlineStr">
        <is>
          <t>Foreign exchange reserve</t>
        </is>
      </c>
      <c r="H3" s="4" t="inlineStr">
        <is>
          <t>Retained earnings</t>
        </is>
      </c>
      <c r="I3" s="4" t="inlineStr">
        <is>
          <t>Total equity</t>
        </is>
      </c>
    </row>
    <row r="4">
      <c r="A4" s="5" t="inlineStr">
        <is>
          <t>At 1 January 2021 (FY2021 opening)</t>
        </is>
      </c>
      <c r="B4" s="5" t="n">
        <v>400</v>
      </c>
      <c r="C4" s="5" t="n">
        <v>904</v>
      </c>
      <c r="D4" s="5" t="n">
        <v>1759</v>
      </c>
      <c r="E4" s="5" t="n">
        <v>14</v>
      </c>
      <c r="F4" s="5" t="n">
        <v>201</v>
      </c>
      <c r="G4" s="5" t="n">
        <v>-192</v>
      </c>
      <c r="H4" s="5" t="n">
        <v>6066</v>
      </c>
      <c r="I4" s="5" t="n">
        <v>9152</v>
      </c>
    </row>
    <row r="5">
      <c r="A5" s="6" t="inlineStr">
        <is>
          <t>Redemption of preference shares (share premium)</t>
        </is>
      </c>
      <c r="B5" s="6" t="n"/>
      <c r="C5" s="6" t="n"/>
      <c r="D5" s="6" t="n">
        <v>187</v>
      </c>
      <c r="E5" s="6" t="n"/>
      <c r="F5" s="6" t="n"/>
      <c r="G5" s="6" t="n"/>
      <c r="H5" s="6" t="n"/>
      <c r="I5" s="6" t="n">
        <v>187</v>
      </c>
    </row>
    <row r="6">
      <c r="A6" s="6" t="inlineStr">
        <is>
          <t>FVOCI reserve: unrealised gains, realised losses, tax</t>
        </is>
      </c>
      <c r="B6" s="6" t="n"/>
      <c r="C6" s="6" t="n"/>
      <c r="D6" s="6" t="n"/>
      <c r="E6" s="6" t="n">
        <v>4</v>
      </c>
      <c r="F6" s="6" t="n"/>
      <c r="G6" s="6" t="n"/>
      <c r="H6" s="6" t="n"/>
      <c r="I6" s="6" t="n">
        <v>4</v>
      </c>
    </row>
    <row r="7">
      <c r="A7" s="6" t="inlineStr">
        <is>
          <t>Cash flow hedging reserve: recognised, transferred, tax</t>
        </is>
      </c>
      <c r="B7" s="6" t="n"/>
      <c r="C7" s="6" t="n"/>
      <c r="D7" s="6" t="n"/>
      <c r="E7" s="6" t="n"/>
      <c r="F7" s="6" t="n">
        <v>-155</v>
      </c>
      <c r="G7" s="6" t="n"/>
      <c r="H7" s="6" t="n"/>
      <c r="I7" s="6" t="n">
        <v>-155</v>
      </c>
    </row>
    <row r="8">
      <c r="A8" s="6" t="inlineStr">
        <is>
          <t>Foreign exchange reserve: retranslation, hedges, tax</t>
        </is>
      </c>
      <c r="B8" s="6" t="n"/>
      <c r="C8" s="6" t="n"/>
      <c r="D8" s="6" t="n"/>
      <c r="E8" s="6" t="n"/>
      <c r="F8" s="6" t="n"/>
      <c r="G8" s="6" t="n">
        <v>-26</v>
      </c>
      <c r="H8" s="6" t="n"/>
      <c r="I8" s="6" t="n">
        <v>-26</v>
      </c>
    </row>
    <row r="9">
      <c r="A9" s="6" t="inlineStr">
        <is>
          <t>Loss attributable to ordinary shareholders and other equity holders</t>
        </is>
      </c>
      <c r="B9" s="6" t="n"/>
      <c r="C9" s="6" t="n"/>
      <c r="D9" s="6" t="n"/>
      <c r="E9" s="6" t="n"/>
      <c r="F9" s="6" t="n"/>
      <c r="G9" s="6" t="n"/>
      <c r="H9" s="6" t="n">
        <v>-527</v>
      </c>
      <c r="I9" s="6" t="n">
        <v>-527</v>
      </c>
    </row>
    <row r="10">
      <c r="A10" s="6" t="inlineStr">
        <is>
          <t>Ordinary dividends paid</t>
        </is>
      </c>
      <c r="B10" s="6" t="n"/>
      <c r="C10" s="6" t="n"/>
      <c r="D10" s="6" t="n"/>
      <c r="E10" s="6" t="n"/>
      <c r="F10" s="6" t="n"/>
      <c r="G10" s="6" t="n"/>
      <c r="H10" s="6" t="n">
        <v>-1000</v>
      </c>
      <c r="I10" s="6" t="n">
        <v>-1000</v>
      </c>
    </row>
    <row r="11">
      <c r="A11" s="6" t="inlineStr">
        <is>
          <t>Paid-in equity dividends paid</t>
        </is>
      </c>
      <c r="B11" s="6" t="n"/>
      <c r="C11" s="6" t="n"/>
      <c r="D11" s="6" t="n"/>
      <c r="E11" s="6" t="n"/>
      <c r="F11" s="6" t="n"/>
      <c r="G11" s="6" t="n"/>
      <c r="H11" s="6" t="n">
        <v>-63</v>
      </c>
      <c r="I11" s="6" t="n">
        <v>-63</v>
      </c>
    </row>
    <row r="12">
      <c r="A12" s="6" t="inlineStr">
        <is>
          <t>Redemption of preference shares (retained earnings)</t>
        </is>
      </c>
      <c r="B12" s="6" t="n"/>
      <c r="C12" s="6" t="n"/>
      <c r="D12" s="6" t="n"/>
      <c r="E12" s="6" t="n"/>
      <c r="F12" s="6" t="n"/>
      <c r="G12" s="6" t="n"/>
      <c r="H12" s="6" t="n">
        <v>-188</v>
      </c>
      <c r="I12" s="6" t="n">
        <v>-188</v>
      </c>
    </row>
    <row r="13">
      <c r="A13" s="6" t="inlineStr">
        <is>
          <t>Realised losses on FVOCI equity shares, gross and tax</t>
        </is>
      </c>
      <c r="B13" s="6" t="n"/>
      <c r="C13" s="6" t="n"/>
      <c r="D13" s="6" t="n"/>
      <c r="E13" s="6" t="n"/>
      <c r="F13" s="6" t="n"/>
      <c r="G13" s="6" t="n"/>
      <c r="H13" s="6" t="n">
        <v>-2</v>
      </c>
      <c r="I13" s="6" t="n">
        <v>-2</v>
      </c>
    </row>
    <row r="14">
      <c r="A14" s="6" t="inlineStr">
        <is>
          <t>Remeasurement of retirement benefit schemes, net of tax</t>
        </is>
      </c>
      <c r="B14" s="6" t="n"/>
      <c r="C14" s="6" t="n"/>
      <c r="D14" s="6" t="n"/>
      <c r="E14" s="6" t="n"/>
      <c r="F14" s="6" t="n"/>
      <c r="G14" s="6" t="n"/>
      <c r="H14" s="6" t="n">
        <v>22</v>
      </c>
      <c r="I14" s="6" t="n">
        <v>22</v>
      </c>
    </row>
    <row r="15">
      <c r="A15" s="6" t="inlineStr">
        <is>
          <t>Changes in FV of credit in financial liabilities at FVTPL, net of tax</t>
        </is>
      </c>
      <c r="B15" s="6" t="n"/>
      <c r="C15" s="6" t="n"/>
      <c r="D15" s="6" t="n"/>
      <c r="E15" s="6" t="n"/>
      <c r="F15" s="6" t="n"/>
      <c r="G15" s="6" t="n"/>
      <c r="H15" s="6" t="n">
        <v>-8</v>
      </c>
      <c r="I15" s="6" t="n">
        <v>-8</v>
      </c>
    </row>
    <row r="16">
      <c r="A16" s="6" t="inlineStr">
        <is>
          <t>Share-based payments</t>
        </is>
      </c>
      <c r="B16" s="6" t="n"/>
      <c r="C16" s="6" t="n"/>
      <c r="D16" s="6" t="n"/>
      <c r="E16" s="6" t="n"/>
      <c r="F16" s="6" t="n"/>
      <c r="G16" s="6" t="n"/>
      <c r="H16" s="6" t="n">
        <v>-47</v>
      </c>
      <c r="I16" s="6" t="n">
        <v>-47</v>
      </c>
    </row>
    <row r="17">
      <c r="A17" s="5" t="inlineStr">
        <is>
          <t>At 31 December 2021 (FY2021 closing)</t>
        </is>
      </c>
      <c r="B17" s="5" t="n">
        <v>400</v>
      </c>
      <c r="C17" s="5" t="n">
        <v>904</v>
      </c>
      <c r="D17" s="5" t="n">
        <v>1946</v>
      </c>
      <c r="E17" s="5" t="n">
        <v>18</v>
      </c>
      <c r="F17" s="5" t="n">
        <v>46</v>
      </c>
      <c r="G17" s="5" t="n">
        <v>-218</v>
      </c>
      <c r="H17" s="5" t="n">
        <v>4253</v>
      </c>
      <c r="I17" s="5" t="n">
        <v>7349</v>
      </c>
    </row>
    <row r="18">
      <c r="A18" s="6" t="inlineStr">
        <is>
          <t>FVOCI reserve: unrealised losses, realised gains, tax</t>
        </is>
      </c>
      <c r="B18" s="6" t="n"/>
      <c r="C18" s="6" t="n"/>
      <c r="D18" s="6" t="n"/>
      <c r="E18" s="6" t="n">
        <v>-20</v>
      </c>
      <c r="F18" s="6" t="n"/>
      <c r="G18" s="6" t="n"/>
      <c r="H18" s="6" t="n"/>
      <c r="I18" s="6" t="n">
        <v>-20</v>
      </c>
    </row>
    <row r="19">
      <c r="A19" s="6" t="inlineStr">
        <is>
          <t>Cash flow hedging reserve: recognised, transferred, tax</t>
        </is>
      </c>
      <c r="B19" s="6" t="n"/>
      <c r="C19" s="6" t="n"/>
      <c r="D19" s="6" t="n"/>
      <c r="E19" s="6" t="n"/>
      <c r="F19" s="6" t="n">
        <v>-330</v>
      </c>
      <c r="G19" s="6" t="n"/>
      <c r="H19" s="6" t="n"/>
      <c r="I19" s="6" t="n">
        <v>-330</v>
      </c>
    </row>
    <row r="20">
      <c r="A20" s="6" t="inlineStr">
        <is>
          <t>Foreign exchange reserve: retranslation, hedges, tax</t>
        </is>
      </c>
      <c r="B20" s="6" t="n"/>
      <c r="C20" s="6" t="n"/>
      <c r="D20" s="6" t="n"/>
      <c r="E20" s="6" t="n"/>
      <c r="F20" s="6" t="n"/>
      <c r="G20" s="6" t="n">
        <v>140</v>
      </c>
      <c r="H20" s="6" t="n"/>
      <c r="I20" s="6" t="n">
        <v>140</v>
      </c>
    </row>
    <row r="21">
      <c r="A21" s="6" t="inlineStr">
        <is>
          <t>Loss attributable to ordinary shareholders and other equity holders</t>
        </is>
      </c>
      <c r="B21" s="6" t="n"/>
      <c r="C21" s="6" t="n"/>
      <c r="D21" s="6" t="n"/>
      <c r="E21" s="6" t="n"/>
      <c r="F21" s="6" t="n"/>
      <c r="G21" s="6" t="n"/>
      <c r="H21" s="6" t="n">
        <v>-79</v>
      </c>
      <c r="I21" s="6" t="n">
        <v>-79</v>
      </c>
    </row>
    <row r="22">
      <c r="A22" s="6" t="inlineStr">
        <is>
          <t>Ordinary dividends paid</t>
        </is>
      </c>
      <c r="B22" s="6" t="n"/>
      <c r="C22" s="6" t="n"/>
      <c r="D22" s="6" t="n"/>
      <c r="E22" s="6" t="n"/>
      <c r="F22" s="6" t="n"/>
      <c r="G22" s="6" t="n"/>
      <c r="H22" s="6" t="n">
        <v>-430</v>
      </c>
      <c r="I22" s="6" t="n">
        <v>-430</v>
      </c>
    </row>
    <row r="23">
      <c r="A23" s="6" t="inlineStr">
        <is>
          <t>Paid-in equity dividends paid</t>
        </is>
      </c>
      <c r="B23" s="6" t="n"/>
      <c r="C23" s="6" t="n"/>
      <c r="D23" s="6" t="n"/>
      <c r="E23" s="6" t="n"/>
      <c r="F23" s="6" t="n"/>
      <c r="G23" s="6" t="n"/>
      <c r="H23" s="6" t="n">
        <v>-70</v>
      </c>
      <c r="I23" s="6" t="n">
        <v>-70</v>
      </c>
    </row>
    <row r="24">
      <c r="A24" s="6" t="inlineStr">
        <is>
          <t>Realised gains on FVOCI equity shares, gross and tax</t>
        </is>
      </c>
      <c r="B24" s="6" t="n"/>
      <c r="C24" s="6" t="n"/>
      <c r="D24" s="6" t="n"/>
      <c r="E24" s="6" t="n"/>
      <c r="F24" s="6" t="n"/>
      <c r="G24" s="6" t="n"/>
      <c r="H24" s="6" t="n">
        <v>16</v>
      </c>
      <c r="I24" s="6" t="n">
        <v>16</v>
      </c>
    </row>
    <row r="25">
      <c r="A25" s="6" t="inlineStr">
        <is>
          <t>Remeasurement of retirement benefit schemes, net of tax</t>
        </is>
      </c>
      <c r="B25" s="6" t="n"/>
      <c r="C25" s="6" t="n"/>
      <c r="D25" s="6" t="n"/>
      <c r="E25" s="6" t="n"/>
      <c r="F25" s="6" t="n"/>
      <c r="G25" s="6" t="n"/>
      <c r="H25" s="6" t="n">
        <v>-45</v>
      </c>
      <c r="I25" s="6" t="n">
        <v>-45</v>
      </c>
    </row>
    <row r="26">
      <c r="A26" s="6" t="inlineStr">
        <is>
          <t>Changes in FV of credit in financial liabilities at FVTPL, net of tax</t>
        </is>
      </c>
      <c r="B26" s="6" t="n"/>
      <c r="C26" s="6" t="n"/>
      <c r="D26" s="6" t="n"/>
      <c r="E26" s="6" t="n"/>
      <c r="F26" s="6" t="n"/>
      <c r="G26" s="6" t="n"/>
      <c r="H26" s="6" t="n">
        <v>5</v>
      </c>
      <c r="I26" s="6" t="n">
        <v>5</v>
      </c>
    </row>
    <row r="27">
      <c r="A27" s="6" t="inlineStr">
        <is>
          <t>Share-based payments</t>
        </is>
      </c>
      <c r="B27" s="6" t="n"/>
      <c r="C27" s="6" t="n"/>
      <c r="D27" s="6" t="n"/>
      <c r="E27" s="6" t="n"/>
      <c r="F27" s="6" t="n"/>
      <c r="G27" s="6" t="n"/>
      <c r="H27" s="6" t="n">
        <v>-18</v>
      </c>
      <c r="I27" s="6" t="n">
        <v>-18</v>
      </c>
    </row>
    <row r="28">
      <c r="A28" s="5" t="inlineStr">
        <is>
          <t>At 31 December 2022 (FY2022 closing)</t>
        </is>
      </c>
      <c r="B28" s="5" t="n">
        <v>400</v>
      </c>
      <c r="C28" s="5" t="n">
        <v>904</v>
      </c>
      <c r="D28" s="5" t="n">
        <v>1946</v>
      </c>
      <c r="E28" s="5" t="n">
        <v>-2</v>
      </c>
      <c r="F28" s="5" t="n">
        <v>-284</v>
      </c>
      <c r="G28" s="5" t="n">
        <v>-78</v>
      </c>
      <c r="H28" s="5" t="n">
        <v>3632</v>
      </c>
      <c r="I28" s="5" t="n">
        <v>6518</v>
      </c>
    </row>
    <row r="29">
      <c r="A29" s="6" t="inlineStr">
        <is>
          <t>FVOCI reserve: unrealised gains, realised losses, tax</t>
        </is>
      </c>
      <c r="B29" s="6" t="n"/>
      <c r="C29" s="6" t="n"/>
      <c r="D29" s="6" t="n"/>
      <c r="E29" s="6" t="n">
        <v>2</v>
      </c>
      <c r="F29" s="6" t="n"/>
      <c r="G29" s="6" t="n"/>
      <c r="H29" s="6" t="n"/>
      <c r="I29" s="6" t="n">
        <v>2</v>
      </c>
    </row>
    <row r="30">
      <c r="A30" s="6" t="inlineStr">
        <is>
          <t>Cash flow hedging reserve: recognised, transferred, tax</t>
        </is>
      </c>
      <c r="B30" s="6" t="n"/>
      <c r="C30" s="6" t="n"/>
      <c r="D30" s="6" t="n"/>
      <c r="E30" s="6" t="n"/>
      <c r="F30" s="6" t="n">
        <v>97</v>
      </c>
      <c r="G30" s="6" t="n"/>
      <c r="H30" s="6" t="n"/>
      <c r="I30" s="6" t="n">
        <v>97</v>
      </c>
    </row>
    <row r="31">
      <c r="A31" s="6" t="inlineStr">
        <is>
          <t>Foreign exchange reserve: retranslation, hedges, recycled</t>
        </is>
      </c>
      <c r="B31" s="6" t="n"/>
      <c r="C31" s="6" t="n"/>
      <c r="D31" s="6" t="n"/>
      <c r="E31" s="6" t="n"/>
      <c r="F31" s="6" t="n"/>
      <c r="G31" s="6" t="n">
        <v>-79</v>
      </c>
      <c r="H31" s="6" t="n"/>
      <c r="I31" s="6" t="n">
        <v>-79</v>
      </c>
    </row>
    <row r="32">
      <c r="A32" s="6" t="inlineStr">
        <is>
          <t>Loss attributable to ordinary shareholders and other equity holders</t>
        </is>
      </c>
      <c r="B32" s="6" t="n"/>
      <c r="C32" s="6" t="n"/>
      <c r="D32" s="6" t="n"/>
      <c r="E32" s="6" t="n"/>
      <c r="F32" s="6" t="n"/>
      <c r="G32" s="6" t="n"/>
      <c r="H32" s="6" t="n">
        <v>-169</v>
      </c>
      <c r="I32" s="6" t="n">
        <v>-169</v>
      </c>
    </row>
    <row r="33">
      <c r="A33" s="6" t="inlineStr">
        <is>
          <t>Paid-in equity dividends paid</t>
        </is>
      </c>
      <c r="B33" s="6" t="n"/>
      <c r="C33" s="6" t="n"/>
      <c r="D33" s="6" t="n"/>
      <c r="E33" s="6" t="n"/>
      <c r="F33" s="6" t="n"/>
      <c r="G33" s="6" t="n"/>
      <c r="H33" s="6" t="n">
        <v>-70</v>
      </c>
      <c r="I33" s="6" t="n">
        <v>-70</v>
      </c>
    </row>
    <row r="34">
      <c r="A34" s="6" t="inlineStr">
        <is>
          <t>Capital contribution (indemnity claim against parent, NatWest Group plc)</t>
        </is>
      </c>
      <c r="B34" s="6" t="n"/>
      <c r="C34" s="6" t="n"/>
      <c r="D34" s="6" t="n"/>
      <c r="E34" s="6" t="n"/>
      <c r="F34" s="6" t="n"/>
      <c r="G34" s="6" t="n"/>
      <c r="H34" s="6" t="n">
        <v>115</v>
      </c>
      <c r="I34" s="6" t="n">
        <v>115</v>
      </c>
    </row>
    <row r="35">
      <c r="A35" s="6" t="inlineStr">
        <is>
          <t>Remeasurement of retirement benefit schemes, net of tax</t>
        </is>
      </c>
      <c r="B35" s="6" t="n"/>
      <c r="C35" s="6" t="n"/>
      <c r="D35" s="6" t="n"/>
      <c r="E35" s="6" t="n"/>
      <c r="F35" s="6" t="n"/>
      <c r="G35" s="6" t="n"/>
      <c r="H35" s="6" t="n">
        <v>-73</v>
      </c>
      <c r="I35" s="6" t="n">
        <v>-73</v>
      </c>
    </row>
    <row r="36">
      <c r="A36" s="6" t="inlineStr">
        <is>
          <t>Changes in FV of credit in financial liabilities at FVTPL, net of tax</t>
        </is>
      </c>
      <c r="B36" s="6" t="n"/>
      <c r="C36" s="6" t="n"/>
      <c r="D36" s="6" t="n"/>
      <c r="E36" s="6" t="n"/>
      <c r="F36" s="6" t="n"/>
      <c r="G36" s="6" t="n"/>
      <c r="H36" s="6" t="n">
        <v>-10</v>
      </c>
      <c r="I36" s="6" t="n">
        <v>-10</v>
      </c>
    </row>
    <row r="37">
      <c r="A37" s="6" t="inlineStr">
        <is>
          <t>Share-based payments</t>
        </is>
      </c>
      <c r="B37" s="6" t="n"/>
      <c r="C37" s="6" t="n"/>
      <c r="D37" s="6" t="n"/>
      <c r="E37" s="6" t="n"/>
      <c r="F37" s="6" t="n"/>
      <c r="G37" s="6" t="n"/>
      <c r="H37" s="6" t="n">
        <v>-18</v>
      </c>
      <c r="I37" s="6" t="n">
        <v>-18</v>
      </c>
    </row>
    <row r="38">
      <c r="A38" s="5" t="inlineStr">
        <is>
          <t>At 31 December 2023 (FY2023 closing)</t>
        </is>
      </c>
      <c r="B38" s="5" t="n">
        <v>400</v>
      </c>
      <c r="C38" s="5" t="n">
        <v>904</v>
      </c>
      <c r="D38" s="5" t="n">
        <v>1946</v>
      </c>
      <c r="E38" s="5" t="n">
        <v>0</v>
      </c>
      <c r="F38" s="5" t="n">
        <v>-187</v>
      </c>
      <c r="G38" s="5" t="n">
        <v>-157</v>
      </c>
      <c r="H38" s="5" t="n">
        <v>3407</v>
      </c>
      <c r="I38" s="5" t="n">
        <v>6313</v>
      </c>
    </row>
    <row r="39">
      <c r="A39" s="6" t="inlineStr">
        <is>
          <t>Paid-in equity issued</t>
        </is>
      </c>
      <c r="B39" s="6" t="n"/>
      <c r="C39" s="6" t="n">
        <v>592</v>
      </c>
      <c r="D39" s="6" t="n"/>
      <c r="E39" s="6" t="n"/>
      <c r="F39" s="6" t="n"/>
      <c r="G39" s="6" t="n"/>
      <c r="H39" s="6" t="n"/>
      <c r="I39" s="6" t="n">
        <v>592</v>
      </c>
    </row>
    <row r="40">
      <c r="A40" s="6" t="inlineStr">
        <is>
          <t>FVOCI reserve: unrealised gains, realised losses, tax</t>
        </is>
      </c>
      <c r="B40" s="6" t="n"/>
      <c r="C40" s="6" t="n"/>
      <c r="D40" s="6" t="n"/>
      <c r="E40" s="6" t="n">
        <v>9</v>
      </c>
      <c r="F40" s="6" t="n"/>
      <c r="G40" s="6" t="n"/>
      <c r="H40" s="6" t="n"/>
      <c r="I40" s="6" t="n">
        <v>9</v>
      </c>
    </row>
    <row r="41">
      <c r="A41" s="6" t="inlineStr">
        <is>
          <t>Cash flow hedging reserve: recognised, transferred, tax</t>
        </is>
      </c>
      <c r="B41" s="6" t="n"/>
      <c r="C41" s="6" t="n"/>
      <c r="D41" s="6" t="n"/>
      <c r="E41" s="6" t="n"/>
      <c r="F41" s="6" t="n">
        <v>-17</v>
      </c>
      <c r="G41" s="6" t="n"/>
      <c r="H41" s="6" t="n"/>
      <c r="I41" s="6" t="n">
        <v>-17</v>
      </c>
    </row>
    <row r="42">
      <c r="A42" s="6" t="inlineStr">
        <is>
          <t>Foreign exchange reserve: retranslation, hedges, recycled</t>
        </is>
      </c>
      <c r="B42" s="6" t="n"/>
      <c r="C42" s="6" t="n"/>
      <c r="D42" s="6" t="n"/>
      <c r="E42" s="6" t="n"/>
      <c r="F42" s="6" t="n"/>
      <c r="G42" s="6" t="n">
        <v>15</v>
      </c>
      <c r="H42" s="6" t="n"/>
      <c r="I42" s="6" t="n">
        <v>15</v>
      </c>
    </row>
    <row r="43">
      <c r="A43" s="6" t="inlineStr">
        <is>
          <t>Loss attributable to ordinary shareholders and other equity holders</t>
        </is>
      </c>
      <c r="B43" s="6" t="n"/>
      <c r="C43" s="6" t="n"/>
      <c r="D43" s="6" t="n"/>
      <c r="E43" s="6" t="n"/>
      <c r="F43" s="6" t="n"/>
      <c r="G43" s="6" t="n"/>
      <c r="H43" s="6" t="n">
        <v>-33</v>
      </c>
      <c r="I43" s="6" t="n">
        <v>-33</v>
      </c>
    </row>
    <row r="44">
      <c r="A44" s="6" t="inlineStr">
        <is>
          <t>Paid-in equity dividends paid</t>
        </is>
      </c>
      <c r="B44" s="6" t="n"/>
      <c r="C44" s="6" t="n"/>
      <c r="D44" s="6" t="n"/>
      <c r="E44" s="6" t="n"/>
      <c r="F44" s="6" t="n"/>
      <c r="G44" s="6" t="n"/>
      <c r="H44" s="6" t="n">
        <v>-73</v>
      </c>
      <c r="I44" s="6" t="n">
        <v>-73</v>
      </c>
    </row>
    <row r="45">
      <c r="A45" s="6" t="inlineStr">
        <is>
          <t>Realised gains on FVOCI equity shares, gross and tax</t>
        </is>
      </c>
      <c r="B45" s="6" t="n"/>
      <c r="C45" s="6" t="n"/>
      <c r="D45" s="6" t="n"/>
      <c r="E45" s="6" t="n"/>
      <c r="F45" s="6" t="n"/>
      <c r="G45" s="6" t="n"/>
      <c r="H45" s="6" t="n">
        <v>9</v>
      </c>
      <c r="I45" s="6" t="n">
        <v>9</v>
      </c>
    </row>
    <row r="46">
      <c r="A46" s="6" t="inlineStr">
        <is>
          <t>Remeasurement of retirement benefit schemes, net of tax</t>
        </is>
      </c>
      <c r="B46" s="6" t="n"/>
      <c r="C46" s="6" t="n"/>
      <c r="D46" s="6" t="n"/>
      <c r="E46" s="6" t="n"/>
      <c r="F46" s="6" t="n"/>
      <c r="G46" s="6" t="n"/>
      <c r="H46" s="6" t="n">
        <v>3</v>
      </c>
      <c r="I46" s="6" t="n">
        <v>3</v>
      </c>
    </row>
    <row r="47">
      <c r="A47" s="6" t="inlineStr">
        <is>
          <t>Changes in FV of credit in financial liabilities at FVTPL, net of tax</t>
        </is>
      </c>
      <c r="B47" s="6" t="n"/>
      <c r="C47" s="6" t="n"/>
      <c r="D47" s="6" t="n"/>
      <c r="E47" s="6" t="n"/>
      <c r="F47" s="6" t="n"/>
      <c r="G47" s="6" t="n"/>
      <c r="H47" s="6" t="n">
        <v>-6</v>
      </c>
      <c r="I47" s="6" t="n">
        <v>-6</v>
      </c>
    </row>
    <row r="48">
      <c r="A48" s="6" t="inlineStr">
        <is>
          <t>Share-based payments</t>
        </is>
      </c>
      <c r="B48" s="6" t="n"/>
      <c r="C48" s="6" t="n"/>
      <c r="D48" s="6" t="n"/>
      <c r="E48" s="6" t="n"/>
      <c r="F48" s="6" t="n"/>
      <c r="G48" s="6" t="n"/>
      <c r="H48" s="6" t="n">
        <v>7</v>
      </c>
      <c r="I48" s="6" t="n">
        <v>7</v>
      </c>
    </row>
    <row r="49">
      <c r="A49" s="5" t="inlineStr">
        <is>
          <t>At 31 December 2024 (FY2024 closing)</t>
        </is>
      </c>
      <c r="B49" s="5" t="n">
        <v>400</v>
      </c>
      <c r="C49" s="5" t="n">
        <v>1496</v>
      </c>
      <c r="D49" s="5" t="n">
        <v>1946</v>
      </c>
      <c r="E49" s="5" t="n">
        <v>9</v>
      </c>
      <c r="F49" s="5" t="n">
        <v>-204</v>
      </c>
      <c r="G49" s="5" t="n">
        <v>-142</v>
      </c>
      <c r="H49" s="5" t="n">
        <v>3314</v>
      </c>
      <c r="I49" s="5" t="n">
        <v>6819</v>
      </c>
    </row>
    <row r="50">
      <c r="A50" s="6" t="inlineStr">
        <is>
          <t>Paid-in equity redeemed / issued</t>
        </is>
      </c>
      <c r="B50" s="6" t="n"/>
      <c r="C50" s="6" t="n">
        <v>-304</v>
      </c>
      <c r="D50" s="6" t="n"/>
      <c r="E50" s="6" t="n"/>
      <c r="F50" s="6" t="n"/>
      <c r="G50" s="6" t="n"/>
      <c r="H50" s="6" t="n"/>
      <c r="I50" s="6" t="n">
        <v>-304</v>
      </c>
    </row>
    <row r="51">
      <c r="A51" s="6" t="inlineStr">
        <is>
          <t>FVOCI reserve: unrealised gains, realised losses, tax</t>
        </is>
      </c>
      <c r="B51" s="6" t="n"/>
      <c r="C51" s="6" t="n"/>
      <c r="D51" s="6" t="n"/>
      <c r="E51" s="6" t="n">
        <v>10</v>
      </c>
      <c r="F51" s="6" t="n"/>
      <c r="G51" s="6" t="n"/>
      <c r="H51" s="6" t="n"/>
      <c r="I51" s="6" t="n">
        <v>10</v>
      </c>
    </row>
    <row r="52">
      <c r="A52" s="6" t="inlineStr">
        <is>
          <t>Cash flow hedging reserve: recognised, reclassified to P&amp;L, tax</t>
        </is>
      </c>
      <c r="B52" s="6" t="n"/>
      <c r="C52" s="6" t="n"/>
      <c r="D52" s="6" t="n"/>
      <c r="E52" s="6" t="n"/>
      <c r="F52" s="6" t="n">
        <v>107</v>
      </c>
      <c r="G52" s="6" t="n"/>
      <c r="H52" s="6" t="n"/>
      <c r="I52" s="6" t="n">
        <v>107</v>
      </c>
    </row>
    <row r="53">
      <c r="A53" s="6" t="inlineStr">
        <is>
          <t>Foreign exchange reserve: retranslation, hedges, recycled</t>
        </is>
      </c>
      <c r="B53" s="6" t="n"/>
      <c r="C53" s="6" t="n"/>
      <c r="D53" s="6" t="n"/>
      <c r="E53" s="6" t="n"/>
      <c r="F53" s="6" t="n"/>
      <c r="G53" s="6" t="n">
        <v>25</v>
      </c>
      <c r="H53" s="6" t="n"/>
      <c r="I53" s="6" t="n">
        <v>25</v>
      </c>
    </row>
    <row r="54">
      <c r="A54" s="6" t="inlineStr">
        <is>
          <t>Profit attributable to ordinary shareholders and other equity holders</t>
        </is>
      </c>
      <c r="B54" s="6" t="n"/>
      <c r="C54" s="6" t="n"/>
      <c r="D54" s="6" t="n"/>
      <c r="E54" s="6" t="n"/>
      <c r="F54" s="6" t="n"/>
      <c r="G54" s="6" t="n"/>
      <c r="H54" s="6" t="n">
        <v>265</v>
      </c>
      <c r="I54" s="6" t="n">
        <v>265</v>
      </c>
    </row>
    <row r="55">
      <c r="A55" s="6" t="inlineStr">
        <is>
          <t>Paid-in equity dividends paid</t>
        </is>
      </c>
      <c r="B55" s="6" t="n"/>
      <c r="C55" s="6" t="n"/>
      <c r="D55" s="6" t="n"/>
      <c r="E55" s="6" t="n"/>
      <c r="F55" s="6" t="n"/>
      <c r="G55" s="6" t="n"/>
      <c r="H55" s="6" t="n">
        <v>-108</v>
      </c>
      <c r="I55" s="6" t="n">
        <v>-108</v>
      </c>
    </row>
    <row r="56">
      <c r="A56" s="6" t="inlineStr">
        <is>
          <t>Redemption/reclassification of paid-in equity</t>
        </is>
      </c>
      <c r="B56" s="6" t="n"/>
      <c r="C56" s="6" t="n"/>
      <c r="D56" s="6" t="n"/>
      <c r="E56" s="6" t="n"/>
      <c r="F56" s="6" t="n"/>
      <c r="G56" s="6" t="n"/>
      <c r="H56" s="6" t="n">
        <v>59</v>
      </c>
      <c r="I56" s="6" t="n">
        <v>59</v>
      </c>
    </row>
    <row r="57">
      <c r="A57" s="6" t="inlineStr">
        <is>
          <t>Realised losses on FVOCI equity shares, tax</t>
        </is>
      </c>
      <c r="B57" s="6" t="n"/>
      <c r="C57" s="6" t="n"/>
      <c r="D57" s="6" t="n"/>
      <c r="E57" s="6" t="n"/>
      <c r="F57" s="6" t="n"/>
      <c r="G57" s="6" t="n"/>
      <c r="H57" s="6" t="n">
        <v>-6</v>
      </c>
      <c r="I57" s="6" t="n">
        <v>-6</v>
      </c>
    </row>
    <row r="58">
      <c r="A58" s="6" t="inlineStr">
        <is>
          <t>Remeasurement of retirement benefit schemes, net of tax</t>
        </is>
      </c>
      <c r="B58" s="6" t="n"/>
      <c r="C58" s="6" t="n"/>
      <c r="D58" s="6" t="n"/>
      <c r="E58" s="6" t="n"/>
      <c r="F58" s="6" t="n"/>
      <c r="G58" s="6" t="n"/>
      <c r="H58" s="6" t="n">
        <v>4</v>
      </c>
      <c r="I58" s="6" t="n">
        <v>4</v>
      </c>
    </row>
    <row r="59">
      <c r="A59" s="6" t="inlineStr">
        <is>
          <t>Share-based payments</t>
        </is>
      </c>
      <c r="B59" s="6" t="n"/>
      <c r="C59" s="6" t="n"/>
      <c r="D59" s="6" t="n"/>
      <c r="E59" s="6" t="n"/>
      <c r="F59" s="6" t="n"/>
      <c r="G59" s="6" t="n"/>
      <c r="H59" s="6" t="n">
        <v>7</v>
      </c>
      <c r="I59" s="6" t="n">
        <v>7</v>
      </c>
    </row>
    <row r="60">
      <c r="A60" s="6" t="inlineStr">
        <is>
          <t>Sharing in success</t>
        </is>
      </c>
      <c r="B60" s="6" t="n"/>
      <c r="C60" s="6" t="n"/>
      <c r="D60" s="6" t="n"/>
      <c r="E60" s="6" t="n"/>
      <c r="F60" s="6" t="n"/>
      <c r="G60" s="6" t="n"/>
      <c r="H60" s="6" t="n">
        <v>2</v>
      </c>
      <c r="I60" s="6" t="n">
        <v>2</v>
      </c>
    </row>
    <row r="61">
      <c r="A61" s="5" t="inlineStr">
        <is>
          <t>At 31 December 2025 (FY2025 closing)</t>
        </is>
      </c>
      <c r="B61" s="5" t="n">
        <v>400</v>
      </c>
      <c r="C61" s="5" t="n">
        <v>1192</v>
      </c>
      <c r="D61" s="5" t="n">
        <v>1946</v>
      </c>
      <c r="E61" s="5" t="n">
        <v>19</v>
      </c>
      <c r="F61" s="5" t="n">
        <v>-97</v>
      </c>
      <c r="G61" s="5" t="n">
        <v>-117</v>
      </c>
      <c r="H61" s="5" t="n">
        <v>3537</v>
      </c>
      <c r="I61" s="5" t="n">
        <v>6880</v>
      </c>
    </row>
    <row r="63" ht="150" customHeight="1">
      <c r="A63"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t>
        </is>
      </c>
    </row>
  </sheetData>
  <mergeCells count="1">
    <mergeCell ref="A63:I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NatWest Markets Plc — Cash Flow Statement</t>
        </is>
      </c>
    </row>
    <row r="2">
      <c r="A2" s="2" t="inlineStr">
        <is>
          <t>NWM Plc consolidated basis, £m. Figures are the NWM Plc column of each year's audited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profit/(loss) before tax</t>
        </is>
      </c>
      <c r="B5" s="6" t="n">
        <v>186</v>
      </c>
      <c r="C5" s="6" t="n">
        <v>-32</v>
      </c>
      <c r="D5" s="6" t="n">
        <v>-141</v>
      </c>
      <c r="E5" s="6" t="n">
        <v>-264</v>
      </c>
      <c r="F5" s="6" t="n">
        <v>-702</v>
      </c>
    </row>
    <row r="6">
      <c r="A6" s="6" t="inlineStr">
        <is>
          <t>Non-cash and other items</t>
        </is>
      </c>
      <c r="B6" s="6" t="n">
        <v>-895</v>
      </c>
      <c r="C6" s="6" t="n">
        <v>-104</v>
      </c>
      <c r="D6" s="6" t="n">
        <v>21</v>
      </c>
      <c r="E6" s="6" t="n"/>
      <c r="F6" s="6" t="n"/>
    </row>
    <row r="7">
      <c r="A7" s="6" t="inlineStr">
        <is>
          <t>Impairment losses/(releases)</t>
        </is>
      </c>
      <c r="B7" s="6" t="n"/>
      <c r="C7" s="6" t="n"/>
      <c r="D7" s="6" t="n"/>
      <c r="E7" s="6" t="n">
        <v>-1</v>
      </c>
      <c r="F7" s="6" t="n">
        <v>-36</v>
      </c>
    </row>
    <row r="8">
      <c r="A8" s="6" t="inlineStr">
        <is>
          <t>Depreciation and amortisation</t>
        </is>
      </c>
      <c r="B8" s="6" t="n"/>
      <c r="C8" s="6" t="n"/>
      <c r="D8" s="6" t="n"/>
      <c r="E8" s="6" t="n">
        <v>6</v>
      </c>
      <c r="F8" s="6" t="n">
        <v>9</v>
      </c>
    </row>
    <row r="9">
      <c r="A9" s="6" t="inlineStr">
        <is>
          <t>Other non-cash items and fair-value movements</t>
        </is>
      </c>
      <c r="B9" s="6" t="n"/>
      <c r="C9" s="6" t="n"/>
      <c r="D9" s="6" t="n"/>
      <c r="E9" s="6" t="n">
        <v>-637</v>
      </c>
      <c r="F9" s="6" t="n">
        <v>-103</v>
      </c>
    </row>
    <row r="10">
      <c r="A10" s="6" t="inlineStr">
        <is>
          <t>Changes in operating assets and liabilities</t>
        </is>
      </c>
      <c r="B10" s="6" t="n">
        <v>-1864</v>
      </c>
      <c r="C10" s="6" t="n">
        <v>-51</v>
      </c>
      <c r="D10" s="6" t="n">
        <v>-672</v>
      </c>
      <c r="E10" s="6" t="n">
        <v>5883</v>
      </c>
      <c r="F10" s="6" t="n">
        <v>1130</v>
      </c>
    </row>
    <row r="11">
      <c r="A11" s="6" t="inlineStr">
        <is>
          <t>Income taxes received/(paid)</t>
        </is>
      </c>
      <c r="B11" s="6" t="n">
        <v>108</v>
      </c>
      <c r="C11" s="6" t="n">
        <v>-81</v>
      </c>
      <c r="D11" s="6" t="n">
        <v>116</v>
      </c>
      <c r="E11" s="6" t="n">
        <v>144</v>
      </c>
      <c r="F11" s="6" t="n">
        <v>55</v>
      </c>
    </row>
    <row r="12">
      <c r="A12" s="6" t="inlineStr">
        <is>
          <t>Other detailed operating adjustments (reported residual)</t>
        </is>
      </c>
      <c r="B12" s="6" t="n"/>
      <c r="C12" s="6" t="n"/>
      <c r="D12" s="6" t="n"/>
      <c r="E12" s="6" t="n">
        <v>264</v>
      </c>
      <c r="F12" s="6" t="n">
        <v>702</v>
      </c>
    </row>
    <row r="13">
      <c r="A13" s="5" t="inlineStr">
        <is>
          <t>Net cash flows from operating activities</t>
        </is>
      </c>
      <c r="B13" s="5" t="n">
        <v>-2465</v>
      </c>
      <c r="C13" s="5" t="n">
        <v>-268</v>
      </c>
      <c r="D13" s="5" t="n">
        <v>-676</v>
      </c>
      <c r="E13" s="5" t="n">
        <v>5395</v>
      </c>
      <c r="F13" s="5" t="n">
        <v>1055</v>
      </c>
    </row>
    <row r="14">
      <c r="A14" s="5" t="inlineStr">
        <is>
          <t>Investing activities</t>
        </is>
      </c>
      <c r="B14" s="6" t="n"/>
      <c r="C14" s="6" t="n"/>
      <c r="D14" s="6" t="n"/>
      <c r="E14" s="6" t="n"/>
      <c r="F14" s="6" t="n"/>
    </row>
    <row r="15">
      <c r="A15" s="6" t="inlineStr">
        <is>
          <t>Sale and maturity of other financial assets</t>
        </is>
      </c>
      <c r="B15" s="6" t="n">
        <v>8623</v>
      </c>
      <c r="C15" s="6" t="n">
        <v>4622</v>
      </c>
      <c r="D15" s="6" t="n">
        <v>3752</v>
      </c>
      <c r="E15" s="6" t="n">
        <v>4797</v>
      </c>
      <c r="F15" s="6" t="n">
        <v>3842</v>
      </c>
    </row>
    <row r="16">
      <c r="A16" s="6" t="inlineStr">
        <is>
          <t>Purchase of other financial assets</t>
        </is>
      </c>
      <c r="B16" s="6" t="n">
        <v>-9833</v>
      </c>
      <c r="C16" s="6" t="n">
        <v>-7364</v>
      </c>
      <c r="D16" s="6" t="n">
        <v>-6771</v>
      </c>
      <c r="E16" s="6" t="n">
        <v>-7601</v>
      </c>
      <c r="F16" s="6" t="n">
        <v>-3822</v>
      </c>
    </row>
    <row r="17">
      <c r="A17" s="6" t="inlineStr">
        <is>
          <t>Income received on other financial assets</t>
        </is>
      </c>
      <c r="B17" s="6" t="n">
        <v>871</v>
      </c>
      <c r="C17" s="6" t="n">
        <v>882</v>
      </c>
      <c r="D17" s="6" t="n">
        <v>573</v>
      </c>
      <c r="E17" s="6" t="n">
        <v>252</v>
      </c>
      <c r="F17" s="6" t="n">
        <v>146</v>
      </c>
    </row>
    <row r="18">
      <c r="A18" s="6" t="inlineStr">
        <is>
          <t>Dividends received from subsidiaries</t>
        </is>
      </c>
      <c r="B18" s="6" t="n">
        <v>98</v>
      </c>
      <c r="C18" s="6" t="n">
        <v>94</v>
      </c>
      <c r="D18" s="6" t="n">
        <v>349</v>
      </c>
      <c r="E18" s="6" t="n">
        <v>53</v>
      </c>
      <c r="F18" s="6" t="n">
        <v>65</v>
      </c>
    </row>
    <row r="19">
      <c r="A19" s="6" t="inlineStr">
        <is>
          <t>Sale of property, plant and equipment</t>
        </is>
      </c>
      <c r="B19" s="6" t="n"/>
      <c r="C19" s="6" t="n"/>
      <c r="D19" s="6" t="n">
        <v>1</v>
      </c>
      <c r="E19" s="6" t="n"/>
      <c r="F19" s="6" t="n"/>
    </row>
    <row r="20">
      <c r="A20" s="6" t="inlineStr">
        <is>
          <t>Purchase of property, plant and equipment</t>
        </is>
      </c>
      <c r="B20" s="6" t="n">
        <v>-1</v>
      </c>
      <c r="C20" s="6" t="n">
        <v>-1</v>
      </c>
      <c r="D20" s="6" t="n"/>
      <c r="E20" s="6" t="n"/>
      <c r="F20" s="6" t="n"/>
    </row>
    <row r="21">
      <c r="A21" s="6" t="inlineStr">
        <is>
          <t>Other investing activities (reported residual)</t>
        </is>
      </c>
      <c r="B21" s="6" t="n"/>
      <c r="C21" s="6" t="n">
        <v>-1</v>
      </c>
      <c r="D21" s="6" t="n"/>
      <c r="E21" s="6" t="n">
        <v>-1</v>
      </c>
      <c r="F21" s="6" t="n"/>
    </row>
    <row r="22">
      <c r="A22" s="5" t="inlineStr">
        <is>
          <t>Net cash flows from investing activities</t>
        </is>
      </c>
      <c r="B22" s="5" t="n">
        <v>-242</v>
      </c>
      <c r="C22" s="5" t="n">
        <v>-1768</v>
      </c>
      <c r="D22" s="5" t="n">
        <v>-2096</v>
      </c>
      <c r="E22" s="5" t="n">
        <v>-2500</v>
      </c>
      <c r="F22" s="5" t="n">
        <v>231</v>
      </c>
    </row>
    <row r="23">
      <c r="A23" s="5" t="inlineStr">
        <is>
          <t>Financing activities</t>
        </is>
      </c>
      <c r="B23" s="6" t="n"/>
      <c r="C23" s="6" t="n"/>
      <c r="D23" s="6" t="n"/>
      <c r="E23" s="6" t="n"/>
      <c r="F23" s="6" t="n"/>
    </row>
    <row r="24">
      <c r="A24" s="6" t="inlineStr">
        <is>
          <t>Issue of paid-in equity</t>
        </is>
      </c>
      <c r="B24" s="6" t="n">
        <v>600</v>
      </c>
      <c r="C24" s="6" t="n">
        <v>592</v>
      </c>
      <c r="D24" s="6" t="n"/>
      <c r="E24" s="6" t="n"/>
      <c r="F24" s="6" t="n"/>
    </row>
    <row r="25">
      <c r="A25" s="6" t="inlineStr">
        <is>
          <t>Redemption of paid-in equity</t>
        </is>
      </c>
      <c r="B25" s="6" t="n">
        <v>-845</v>
      </c>
      <c r="C25" s="6" t="n"/>
      <c r="D25" s="6" t="n"/>
      <c r="E25" s="6" t="n"/>
      <c r="F25" s="6" t="n"/>
    </row>
    <row r="26">
      <c r="A26" s="6" t="inlineStr">
        <is>
          <t>Issue/(redemption) of subordinated liabilities</t>
        </is>
      </c>
      <c r="B26" s="6" t="n">
        <v>-67</v>
      </c>
      <c r="C26" s="6" t="n">
        <v>22</v>
      </c>
      <c r="D26" s="6" t="n">
        <v>-652</v>
      </c>
      <c r="E26" s="6" t="n">
        <v>-350</v>
      </c>
      <c r="F26" s="6" t="n">
        <v>-339</v>
      </c>
    </row>
    <row r="27">
      <c r="A27" s="6" t="inlineStr">
        <is>
          <t>Issue/(maturity) of MRELs</t>
        </is>
      </c>
      <c r="B27" s="6" t="n">
        <v>104</v>
      </c>
      <c r="C27" s="6" t="n">
        <v>1247</v>
      </c>
      <c r="D27" s="6" t="n">
        <v>-45</v>
      </c>
      <c r="E27" s="6" t="n">
        <v>-1027</v>
      </c>
      <c r="F27" s="6" t="n">
        <v>-1234</v>
      </c>
    </row>
    <row r="28">
      <c r="A28" s="6" t="inlineStr">
        <is>
          <t>Interest paid on MRELs and subordinated liabilities</t>
        </is>
      </c>
      <c r="B28" s="6" t="n">
        <v>-306</v>
      </c>
      <c r="C28" s="6" t="n">
        <v>-261</v>
      </c>
      <c r="D28" s="6" t="n">
        <v>-232</v>
      </c>
      <c r="E28" s="6" t="n">
        <v>-210</v>
      </c>
      <c r="F28" s="6" t="n">
        <v>-166</v>
      </c>
    </row>
    <row r="29">
      <c r="A29" s="6" t="inlineStr">
        <is>
          <t>Dividends paid</t>
        </is>
      </c>
      <c r="B29" s="6" t="n">
        <v>-108</v>
      </c>
      <c r="C29" s="6" t="n">
        <v>-73</v>
      </c>
      <c r="D29" s="6" t="n">
        <v>-70</v>
      </c>
      <c r="E29" s="6" t="n">
        <v>-500</v>
      </c>
      <c r="F29" s="6" t="n">
        <v>-1063</v>
      </c>
    </row>
    <row r="30">
      <c r="A30" s="6" t="inlineStr">
        <is>
          <t>Capital contribution</t>
        </is>
      </c>
      <c r="B30" s="6" t="n"/>
      <c r="C30" s="6" t="n"/>
      <c r="D30" s="6" t="n">
        <v>115</v>
      </c>
      <c r="E30" s="6" t="n"/>
      <c r="F30" s="6" t="n"/>
    </row>
    <row r="31">
      <c r="A31" s="6" t="inlineStr">
        <is>
          <t>Other financing activities (reported residual)</t>
        </is>
      </c>
      <c r="B31" s="6" t="n">
        <v>67</v>
      </c>
      <c r="C31" s="6" t="n">
        <v>82</v>
      </c>
      <c r="D31" s="6" t="n">
        <v>57</v>
      </c>
      <c r="E31" s="6" t="n">
        <v>210</v>
      </c>
      <c r="F31" s="6" t="n">
        <v>166</v>
      </c>
    </row>
    <row r="32">
      <c r="A32" s="5" t="inlineStr">
        <is>
          <t>Net cash flows from financing activities</t>
        </is>
      </c>
      <c r="B32" s="5" t="n">
        <v>-555</v>
      </c>
      <c r="C32" s="5" t="n">
        <v>1609</v>
      </c>
      <c r="D32" s="5" t="n">
        <v>-827</v>
      </c>
      <c r="E32" s="5" t="n">
        <v>-1877</v>
      </c>
      <c r="F32" s="5" t="n">
        <v>-2636</v>
      </c>
    </row>
    <row r="33">
      <c r="A33" s="6" t="inlineStr">
        <is>
          <t>Effects of exchange rate on cash and cash equivalents</t>
        </is>
      </c>
      <c r="B33" s="6" t="n">
        <v>114</v>
      </c>
      <c r="C33" s="6" t="n">
        <v>-291</v>
      </c>
      <c r="D33" s="6" t="n">
        <v>-336</v>
      </c>
      <c r="E33" s="6" t="n">
        <v>691</v>
      </c>
      <c r="F33" s="6" t="n">
        <v>-721</v>
      </c>
    </row>
    <row r="34">
      <c r="A34" s="5" t="inlineStr">
        <is>
          <t>Net decrease in cash and cash equivalents</t>
        </is>
      </c>
      <c r="B34" s="5" t="n">
        <v>-3148</v>
      </c>
      <c r="C34" s="5" t="n">
        <v>-718</v>
      </c>
      <c r="D34" s="5" t="n">
        <v>-3935</v>
      </c>
      <c r="E34" s="5" t="n">
        <v>1709</v>
      </c>
      <c r="F34" s="5" t="n">
        <v>-2071</v>
      </c>
    </row>
    <row r="35">
      <c r="A35" s="6" t="inlineStr">
        <is>
          <t>Cash and cash equivalents at 1 January</t>
        </is>
      </c>
      <c r="B35" s="6" t="n">
        <v>16270</v>
      </c>
      <c r="C35" s="6" t="n">
        <v>16988</v>
      </c>
      <c r="D35" s="6" t="n">
        <v>20923</v>
      </c>
      <c r="E35" s="6" t="n">
        <v>19214</v>
      </c>
      <c r="F35" s="6" t="n">
        <v>21285</v>
      </c>
    </row>
    <row r="36">
      <c r="A36" s="5" t="inlineStr">
        <is>
          <t>Cash and cash equivalents at 31 December</t>
        </is>
      </c>
      <c r="B36" s="5" t="n">
        <v>13122</v>
      </c>
      <c r="C36" s="5" t="n">
        <v>16270</v>
      </c>
      <c r="D36" s="5" t="n">
        <v>16988</v>
      </c>
      <c r="E36" s="5" t="n">
        <v>20923</v>
      </c>
      <c r="F36" s="5" t="n">
        <v>19214</v>
      </c>
    </row>
    <row r="38" ht="150" customHeight="1">
      <c r="A38" s="8" t="inlineStr">
        <is>
          <t>Sources — NatWest Markets Plc (NWM Plc), entity/group basis as stated in each source:
FY2025: NWM Plc Annual Report and Accounts, p.79 — https://investors.natwestgroup.com/~/media/Files/R/RBS-IR-V2/results-center/13022026/nwm-annual-report.pdf
FY2024: NWM Plc Annual Report and Accounts, p.87 — https://investors.natwestgroup.com/~/media/Files/R/RBS-IR-V2/results-center/14022025/nwm-annual-report.pdf
FY2023: NWM Plc Annual Report and Accounts, p.93 — https://investors.natwestgroup.com/~/media/Files/R/RBS-IR-V2/results-center/16022024/nwmp-annual-report.pdf
FY2022: NWM Plc Annual Report and Accounts, p.100–101 — https://investors.natwestgroup.com/~/media/Files/R/RBS-IR-V2/results-center/17022023/nwmp-annual-report.pdf
FY2021: NWM Plc Annual Report and Accounts, p.108–109 — https://investors.natwestgroup.com/~/media/Files/R/RBS-IR-V2/results-center/18022022/nwm-plc-annual-report-2021.pdf</t>
        </is>
      </c>
    </row>
  </sheetData>
  <mergeCells count="1">
    <mergeCell ref="A38:F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NatWest Markets Plc — Asset Quality</t>
        </is>
      </c>
    </row>
    <row r="2">
      <c r="A2" s="2" t="inlineStr">
        <is>
          <t>NWM Plc entity basis, Note 14 (Loan impairment provisions). £m. This trading/wholesale bank's credit-loss exposure is small relative to its balance sheet (Stage 3 loans are consistently under 0.3% of total loans within ECL scope).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NWM Plc loans (amortised cost), by IFRS 9 stage</t>
        </is>
      </c>
      <c r="B4" s="6" t="n"/>
      <c r="C4" s="6" t="n"/>
      <c r="D4" s="6" t="n"/>
      <c r="E4" s="6" t="n"/>
      <c r="F4" s="6" t="n"/>
    </row>
    <row r="5">
      <c r="A5" s="6" t="inlineStr">
        <is>
          <t>Stage 1</t>
        </is>
      </c>
      <c r="B5" s="6" t="n">
        <v>22708</v>
      </c>
      <c r="C5" s="6" t="n">
        <v>17789</v>
      </c>
      <c r="D5" s="6" t="n">
        <v>12584</v>
      </c>
      <c r="E5" s="6" t="n">
        <v>9713</v>
      </c>
      <c r="F5" s="6" t="n">
        <v>7444</v>
      </c>
    </row>
    <row r="6">
      <c r="A6" s="6" t="inlineStr">
        <is>
          <t>Stage 2</t>
        </is>
      </c>
      <c r="B6" s="6" t="n">
        <v>107</v>
      </c>
      <c r="C6" s="6" t="n">
        <v>253</v>
      </c>
      <c r="D6" s="6" t="n">
        <v>436</v>
      </c>
      <c r="E6" s="6" t="n">
        <v>228</v>
      </c>
      <c r="F6" s="6" t="n">
        <v>104</v>
      </c>
    </row>
    <row r="7">
      <c r="A7" s="6" t="inlineStr">
        <is>
          <t>Stage 3</t>
        </is>
      </c>
      <c r="B7" s="6" t="n">
        <v>22</v>
      </c>
      <c r="C7" s="6" t="n">
        <v>25</v>
      </c>
      <c r="D7" s="6" t="n">
        <v>25</v>
      </c>
      <c r="E7" s="6" t="n">
        <v>49</v>
      </c>
      <c r="F7" s="6" t="n">
        <v>61</v>
      </c>
    </row>
    <row r="8">
      <c r="A8" s="6" t="inlineStr">
        <is>
          <t xml:space="preserve">  of which: individual</t>
        </is>
      </c>
      <c r="B8" s="6" t="n">
        <v>15</v>
      </c>
      <c r="C8" s="6" t="n">
        <v>18</v>
      </c>
      <c r="D8" s="6" t="n">
        <v>17</v>
      </c>
      <c r="E8" s="6" t="n">
        <v>37</v>
      </c>
      <c r="F8" s="6" t="n">
        <v>53</v>
      </c>
    </row>
    <row r="9">
      <c r="A9" s="6" t="inlineStr">
        <is>
          <t xml:space="preserve">  of which: collective</t>
        </is>
      </c>
      <c r="B9" s="6" t="n">
        <v>7</v>
      </c>
      <c r="C9" s="6" t="n">
        <v>7</v>
      </c>
      <c r="D9" s="6" t="n">
        <v>8</v>
      </c>
      <c r="E9" s="6" t="n">
        <v>12</v>
      </c>
      <c r="F9" s="6" t="n">
        <v>8</v>
      </c>
    </row>
    <row r="10">
      <c r="A10" s="6" t="inlineStr">
        <is>
          <t>Inter-Group</t>
        </is>
      </c>
      <c r="B10" s="6" t="n">
        <v>1733</v>
      </c>
      <c r="C10" s="6" t="n">
        <v>1839</v>
      </c>
      <c r="D10" s="6" t="n">
        <v>2623</v>
      </c>
      <c r="E10" s="6" t="n">
        <v>2324</v>
      </c>
      <c r="F10" s="6" t="n">
        <v>2605</v>
      </c>
    </row>
    <row r="11">
      <c r="A11" s="5" t="inlineStr">
        <is>
          <t>Total loans within ECL scope</t>
        </is>
      </c>
      <c r="B11" s="5" t="n">
        <v>24570</v>
      </c>
      <c r="C11" s="5" t="n">
        <v>19906</v>
      </c>
      <c r="D11" s="5" t="n">
        <v>15668</v>
      </c>
      <c r="E11" s="5" t="n">
        <v>12314</v>
      </c>
      <c r="F11" s="5" t="n">
        <v>10214</v>
      </c>
    </row>
    <row r="12">
      <c r="A12" s="5" t="inlineStr">
        <is>
          <t>ECL provisions</t>
        </is>
      </c>
      <c r="B12" s="6" t="n"/>
      <c r="C12" s="6" t="n"/>
      <c r="D12" s="6" t="n"/>
      <c r="E12" s="6" t="n"/>
      <c r="F12" s="6" t="n"/>
    </row>
    <row r="13">
      <c r="A13" s="6" t="inlineStr">
        <is>
          <t>Stage 1 ECL provision</t>
        </is>
      </c>
      <c r="B13" s="6" t="n">
        <v>22</v>
      </c>
      <c r="C13" s="6" t="n">
        <v>21</v>
      </c>
      <c r="D13" s="6" t="n">
        <v>17</v>
      </c>
      <c r="E13" s="6" t="n">
        <v>15</v>
      </c>
      <c r="F13" s="6" t="n">
        <v>6</v>
      </c>
    </row>
    <row r="14">
      <c r="A14" s="6" t="inlineStr">
        <is>
          <t>Stage 2 ECL provision</t>
        </is>
      </c>
      <c r="B14" s="6" t="n">
        <v>4</v>
      </c>
      <c r="C14" s="6" t="n">
        <v>4</v>
      </c>
      <c r="D14" s="6" t="n">
        <v>7</v>
      </c>
      <c r="E14" s="6" t="n">
        <v>3</v>
      </c>
      <c r="F14" s="6" t="n">
        <v>2</v>
      </c>
    </row>
    <row r="15">
      <c r="A15" s="6" t="inlineStr">
        <is>
          <t>Stage 3 ECL provision</t>
        </is>
      </c>
      <c r="B15" s="6" t="n">
        <v>15</v>
      </c>
      <c r="C15" s="6" t="n">
        <v>16</v>
      </c>
      <c r="D15" s="6" t="n">
        <v>24</v>
      </c>
      <c r="E15" s="6" t="n">
        <v>26</v>
      </c>
      <c r="F15" s="6" t="n">
        <v>36</v>
      </c>
    </row>
    <row r="16">
      <c r="A16" s="6" t="inlineStr">
        <is>
          <t>Inter-Group ECL provision</t>
        </is>
      </c>
      <c r="B16" s="6" t="n">
        <v>2</v>
      </c>
      <c r="C16" s="6" t="n">
        <v>2</v>
      </c>
      <c r="D16" s="6" t="n">
        <v>3</v>
      </c>
      <c r="E16" s="6" t="n">
        <v>4</v>
      </c>
      <c r="F16" s="6" t="n">
        <v>1</v>
      </c>
    </row>
    <row r="17">
      <c r="A17" s="5" t="inlineStr">
        <is>
          <t>Total ECL provisions</t>
        </is>
      </c>
      <c r="B17" s="5" t="n">
        <v>43</v>
      </c>
      <c r="C17" s="5" t="n">
        <v>43</v>
      </c>
      <c r="D17" s="5" t="n">
        <v>51</v>
      </c>
      <c r="E17" s="5" t="n">
        <v>48</v>
      </c>
      <c r="F17" s="5" t="n">
        <v>45</v>
      </c>
    </row>
    <row r="18">
      <c r="A18" s="5" t="inlineStr">
        <is>
          <t>ECL provision coverage ratios</t>
        </is>
      </c>
      <c r="B18" s="6" t="n"/>
      <c r="C18" s="6" t="n"/>
      <c r="D18" s="6" t="n"/>
      <c r="E18" s="6" t="n"/>
      <c r="F18" s="6" t="n"/>
    </row>
    <row r="19">
      <c r="A19" s="6" t="inlineStr">
        <is>
          <t>Stage 1 coverage</t>
        </is>
      </c>
      <c r="B19" s="6" t="inlineStr">
        <is>
          <t>0.10%</t>
        </is>
      </c>
      <c r="C19" s="6" t="inlineStr">
        <is>
          <t>0.12%</t>
        </is>
      </c>
      <c r="D19" s="6" t="inlineStr">
        <is>
          <t>0.14%</t>
        </is>
      </c>
      <c r="E19" s="6" t="inlineStr">
        <is>
          <t>0.15%</t>
        </is>
      </c>
      <c r="F19" s="6" t="inlineStr">
        <is>
          <t>0.08%</t>
        </is>
      </c>
    </row>
    <row r="20">
      <c r="A20" s="6" t="inlineStr">
        <is>
          <t>Stage 2 coverage</t>
        </is>
      </c>
      <c r="B20" s="6" t="inlineStr">
        <is>
          <t>3.74%</t>
        </is>
      </c>
      <c r="C20" s="6" t="inlineStr">
        <is>
          <t>1.58%</t>
        </is>
      </c>
      <c r="D20" s="6" t="inlineStr">
        <is>
          <t>1.61%</t>
        </is>
      </c>
      <c r="E20" s="6" t="inlineStr">
        <is>
          <t>1.32%</t>
        </is>
      </c>
      <c r="F20" s="6" t="inlineStr">
        <is>
          <t>1.92%</t>
        </is>
      </c>
    </row>
    <row r="21">
      <c r="A21" s="6" t="inlineStr">
        <is>
          <t>Stage 3 coverage</t>
        </is>
      </c>
      <c r="B21" s="6" t="inlineStr">
        <is>
          <t>68.18%</t>
        </is>
      </c>
      <c r="C21" s="6" t="inlineStr">
        <is>
          <t>64.00%</t>
        </is>
      </c>
      <c r="D21" s="6" t="inlineStr">
        <is>
          <t>96.00%</t>
        </is>
      </c>
      <c r="E21" s="6" t="inlineStr">
        <is>
          <t>53.06%</t>
        </is>
      </c>
      <c r="F21" s="6" t="inlineStr">
        <is>
          <t>59.02%</t>
        </is>
      </c>
    </row>
    <row r="22">
      <c r="A22" s="6" t="inlineStr">
        <is>
          <t>Total coverage (NPL-adjacent ratio)</t>
        </is>
      </c>
      <c r="B22" s="6" t="inlineStr">
        <is>
          <t>0.18%</t>
        </is>
      </c>
      <c r="C22" s="6" t="inlineStr">
        <is>
          <t>0.23%</t>
        </is>
      </c>
      <c r="D22" s="6" t="inlineStr">
        <is>
          <t>0.37%</t>
        </is>
      </c>
      <c r="E22" s="6" t="inlineStr">
        <is>
          <t>0.44%</t>
        </is>
      </c>
      <c r="F22" s="6" t="inlineStr">
        <is>
          <t>0.58%</t>
        </is>
      </c>
    </row>
    <row r="24" ht="340" customHeight="1">
      <c r="A24" s="8" t="inlineStr">
        <is>
          <t>Sources - NWM Plc Annual Report and Accounts, NWM Group/NWM Plc dual-column financial statements:
FY2025: Annual Report and Accounts 2025, Consolidated income statement p.75, Balance sheet p.76, Statement of changes in equity p.77-78 - https://investors.natwestgroup.com/~/media/Files/R/RBS-IR-V2/results-center/13022026/nwm-annual-report.pdf
FY2024: Annual Report and Accounts 2024, Consolidated income statement p.83, Balance sheet p.84, Statement of changes in equity p.85-86 - https://investors.natwestgroup.com/~/media/Files/R/RBS-IR-V2/results-center/14022025/nwm-annual-report.pdf
FY2023: Annual Report and Accounts 2023, Consolidated income statement p.90, Balance sheet p.91, Statement of changes in equity p.92 - https://investors.natwestgroup.com/~/media/Files/R/RBS-IR-V2/results-center/16022024/nwmp-annual-report.pdf
FY2022: Annual Report and Accounts 2022, Consolidated income statement p.97, Balance sheet p.98, Statement of changes in equity p.99 - https://investors.natwestgroup.com/~/media/Files/R/RBS-IR-V2/results-center/17022023/nwmp-annual-report.pdf
FY2021: Annual Report and Accounts 2021, Consolidated income statement/statement of comprehensive income p.104-105, Balance sheet and Statement of changes in equity p.106-107 - https://investors.natwestgroup.com/~/media/Files/R/RBS-IR-V2/results-center/18022022/nwm-plc-annual-report-2021.pdf
Entity: NatWest Markets Plc (NWM Plc), company SC090312. The Balance Sheet and Statement of Changes in Equity below are the NWM Plc entity column of each year's audited financial statements (which present NWM Group consolidated and NWM Plc entity figures side by side). Profit &amp; Loss is necessarily NWM Group consolidated basis - NWM Plc's own Annual Report and Accounts publishes only a single 'Consolidated income statement' (no standalone NWM Plc-entity income statement or statement of comprehensive income); NWM Plc's own operating profit/(loss) before tax is disclosed only via the cash-flow reconciliation (see the Cash Flow Statement sheet) and differs from the Group figure shown here.
Asset Quality specifically: FY2025/FY2024: Annual Report and Accounts 2025, Note 14 'Loan impairment provisions', p.128. FY2023/FY2022: Annual Report and Accounts 2023, Note 14, p.142. FY2021: Annual Report and Accounts 2021, Note 14, p.79 (page numbering per the source PDF's own extraction; document prints '14 Loan impairment provisions' without a separate page header on this occasion).
DATA QUALITY FLAG: 'Total loans within ECL scope' (which includes an 'Inter-Group' sub-line) does not tie exactly to the Balance Sheet's 'Loans to banks' + 'Loans to customers' lines in any year - a genuine scope/netting difference between this note and the primary statement lines, not a transcription error. 'Total coverage' is the source document's own disclosed 'Total' coverage row (not independently derived - it does not exactly equal Total ECL provisions / Total loans within ECL scope due to rounding within the underlying stage-level percentages).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3952</v>
      </c>
      <c r="C4" s="6" t="n">
        <v>3779</v>
      </c>
      <c r="D4" s="6" t="n">
        <v>3776</v>
      </c>
      <c r="E4" s="6" t="n">
        <v>3682</v>
      </c>
      <c r="F4" s="6" t="n">
        <v>4072</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18.4%</t>
        </is>
      </c>
      <c r="C4" s="6" t="inlineStr">
        <is>
          <t>18.2%</t>
        </is>
      </c>
      <c r="D4" s="6" t="inlineStr">
        <is>
          <t>17.1%</t>
        </is>
      </c>
      <c r="E4" s="6" t="inlineStr">
        <is>
          <t>17.2%</t>
        </is>
      </c>
      <c r="F4" s="6" t="inlineStr">
        <is>
          <t>17.9%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4926</v>
      </c>
      <c r="C4" s="6" t="n">
        <v>5067</v>
      </c>
      <c r="D4" s="6" t="n">
        <v>4455</v>
      </c>
      <c r="E4" s="6" t="n">
        <v>4361</v>
      </c>
      <c r="F4" s="6" t="n">
        <v>4755</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23.0%</t>
        </is>
      </c>
      <c r="C4" s="6" t="inlineStr">
        <is>
          <t>24.3%</t>
        </is>
      </c>
      <c r="D4" s="6" t="inlineStr">
        <is>
          <t>20.2%</t>
        </is>
      </c>
      <c r="E4" s="6" t="inlineStr">
        <is>
          <t>20.4%</t>
        </is>
      </c>
      <c r="F4" s="6" t="inlineStr">
        <is>
          <t>21.0%</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5576</v>
      </c>
      <c r="C4" s="6" t="n">
        <v>5779</v>
      </c>
      <c r="D4" s="6" t="n">
        <v>5072</v>
      </c>
      <c r="E4" s="6" t="n">
        <v>5502</v>
      </c>
      <c r="F4" s="6" t="n">
        <v>5870</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26.0%</t>
        </is>
      </c>
      <c r="C4" s="6" t="inlineStr">
        <is>
          <t>27.8%</t>
        </is>
      </c>
      <c r="D4" s="6" t="inlineStr">
        <is>
          <t>23.0%</t>
        </is>
      </c>
      <c r="E4" s="6" t="inlineStr">
        <is>
          <t>25.7%</t>
        </is>
      </c>
      <c r="F4" s="6" t="inlineStr">
        <is>
          <t>25.9%</t>
        </is>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21457</v>
      </c>
      <c r="C4" s="6" t="n">
        <v>20812</v>
      </c>
      <c r="D4" s="6" t="n">
        <v>22099</v>
      </c>
      <c r="E4" s="6" t="n">
        <v>21422</v>
      </c>
      <c r="F4" s="6" t="n">
        <v>22686</v>
      </c>
    </row>
    <row r="6" ht="125" customHeight="1">
      <c r="A6"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NatWest Markets Plc — RWA Breakdown</t>
        </is>
      </c>
    </row>
    <row r="2">
      <c r="A2" s="2" t="inlineStr">
        <is>
          <t>NWM Plc entity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7215</v>
      </c>
      <c r="C4" s="6" t="n">
        <v>5892</v>
      </c>
      <c r="D4" s="6" t="n">
        <v>5600</v>
      </c>
      <c r="E4" s="6" t="n">
        <v>5682</v>
      </c>
      <c r="F4" s="6" t="n">
        <v>4488</v>
      </c>
    </row>
    <row r="5">
      <c r="A5" s="6" t="inlineStr">
        <is>
          <t>Counterparty credit risk</t>
        </is>
      </c>
      <c r="B5" s="6" t="n">
        <v>5839</v>
      </c>
      <c r="C5" s="6" t="n">
        <v>5712</v>
      </c>
      <c r="D5" s="6" t="n">
        <v>6409</v>
      </c>
      <c r="E5" s="6" t="n">
        <v>5587</v>
      </c>
      <c r="F5" s="6" t="n">
        <v>6602</v>
      </c>
    </row>
    <row r="6">
      <c r="A6" s="6" t="inlineStr">
        <is>
          <t>Settlement risk</t>
        </is>
      </c>
      <c r="B6" s="6" t="n"/>
      <c r="C6" s="6" t="n"/>
      <c r="D6" s="6" t="n">
        <v>2</v>
      </c>
      <c r="E6" s="6" t="n"/>
      <c r="F6" s="6" t="n">
        <v>1</v>
      </c>
    </row>
    <row r="7">
      <c r="A7" s="6" t="inlineStr">
        <is>
          <t>Securitisation exposures (non-trading/banking book, after the cap)</t>
        </is>
      </c>
      <c r="B7" s="6" t="n">
        <v>3261</v>
      </c>
      <c r="C7" s="6" t="n">
        <v>3101</v>
      </c>
      <c r="D7" s="6" t="n">
        <v>2400</v>
      </c>
      <c r="E7" s="6" t="n">
        <v>1523</v>
      </c>
      <c r="F7" s="6" t="n">
        <v>1202</v>
      </c>
    </row>
    <row r="8">
      <c r="A8" s="6" t="inlineStr">
        <is>
          <t>Position, foreign exchange and commodities risk (market risk)</t>
        </is>
      </c>
      <c r="B8" s="6" t="n">
        <v>3425</v>
      </c>
      <c r="C8" s="6" t="n">
        <v>5099</v>
      </c>
      <c r="D8" s="6" t="n">
        <v>6366</v>
      </c>
      <c r="E8" s="6" t="n">
        <v>7152</v>
      </c>
      <c r="F8" s="6" t="n">
        <v>6934</v>
      </c>
    </row>
    <row r="9">
      <c r="A9" s="6" t="inlineStr">
        <is>
          <t>Operational risk</t>
        </is>
      </c>
      <c r="B9" s="6" t="n">
        <v>1711</v>
      </c>
      <c r="C9" s="6" t="n">
        <v>1002</v>
      </c>
      <c r="D9" s="6" t="n">
        <v>1322</v>
      </c>
      <c r="E9" s="6" t="n">
        <v>1478</v>
      </c>
      <c r="F9" s="6" t="n">
        <v>2020</v>
      </c>
    </row>
    <row r="10">
      <c r="A10" s="6" t="inlineStr">
        <is>
          <t>Other risk exposure amount</t>
        </is>
      </c>
      <c r="B10" s="6" t="n">
        <v>6</v>
      </c>
      <c r="C10" s="6" t="n">
        <v>6</v>
      </c>
      <c r="D10" s="6" t="n"/>
      <c r="E10" s="6" t="n"/>
      <c r="F10" s="6" t="n"/>
    </row>
    <row r="11">
      <c r="A11" s="6" t="inlineStr">
        <is>
          <t>Memo: amounts below thresholds for deduction, subject to 250% risk-weight (non-additive FY2022-FY2025; additive within FY2021's Total - see note)</t>
        </is>
      </c>
      <c r="B11" s="6" t="n">
        <v>1413</v>
      </c>
      <c r="C11" s="6" t="n">
        <v>1325</v>
      </c>
      <c r="D11" s="6" t="n">
        <v>1337</v>
      </c>
      <c r="E11" s="6" t="n">
        <v>1373</v>
      </c>
      <c r="F11" s="6" t="n">
        <v>1439</v>
      </c>
    </row>
    <row r="12">
      <c r="A12" s="5" t="inlineStr">
        <is>
          <t>Total</t>
        </is>
      </c>
      <c r="B12" s="5" t="n">
        <v>21457</v>
      </c>
      <c r="C12" s="5" t="n">
        <v>20812</v>
      </c>
      <c r="D12" s="5" t="n">
        <v>22099</v>
      </c>
      <c r="E12" s="5" t="n">
        <v>21422</v>
      </c>
      <c r="F12" s="5" t="n">
        <v>22686</v>
      </c>
    </row>
    <row r="14" ht="260" customHeight="1">
      <c r="A14"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p.26-27 — https://investors.natwestgroup.com/~/media/Files/R/RBS-IR-V2/results-center/18022022/nwg-pillar-3-supplement-2021.pdf
RWA Breakdown specifically: FY2025/FY2024/FY2023/FY2022: NWM Plc Pillar 3 Report, 'UK OV1: Overview of risk-weighted exposure amounts'. FY2021: NatWest Group Pillar 3 Report 2021, 'OV1: CAP: RWAs and MCR summary - NatWest Group and large subsidiaries', NWM Plc column, p.26-27 - https://investors.natwestgroup.com/~/media/Files/R/RBS-IR-V2/results-center/18022022/nwg-pillar-3-supplement-2021.pdf
DATA QUALITY FLAG: FY2021's Total (22,686) = the sum of all rows above INCLUDING the 'Amounts below thresholds' memo line (4,488+6,602+1+1,202+6,934+2,020+1,439); FY2022-FY2025's Totals exclude that memo line from the sum (it is already embedded within 'Credit risk'/rows 1-2 per those years' own footnote) - a genuine template difference between the large-subsidiary supplement used pre-2022 and NWM Plc's own standalone Pillar 3 report used from FY2022, not a transcription error.</t>
        </is>
      </c>
    </row>
  </sheetData>
  <mergeCells count="1">
    <mergeCell ref="A14:F1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97880</v>
      </c>
      <c r="C4" s="6" t="n">
        <v>92859</v>
      </c>
      <c r="D4" s="6" t="n">
        <v>89929</v>
      </c>
      <c r="E4" s="6" t="n">
        <v>81083</v>
      </c>
      <c r="F4" s="6" t="n">
        <v>110603</v>
      </c>
    </row>
    <row r="5">
      <c r="A5" s="6" t="inlineStr">
        <is>
          <t>Leverage ratio</t>
        </is>
      </c>
      <c r="B5" s="6" t="inlineStr">
        <is>
          <t>5.0%</t>
        </is>
      </c>
      <c r="C5" s="6" t="inlineStr">
        <is>
          <t>5.5%</t>
        </is>
      </c>
      <c r="D5" s="6" t="inlineStr">
        <is>
          <t>5.0%</t>
        </is>
      </c>
      <c r="E5" s="6" t="inlineStr">
        <is>
          <t>5.4%</t>
        </is>
      </c>
      <c r="F5" s="6" t="inlineStr">
        <is>
          <t>4.3%</t>
        </is>
      </c>
    </row>
    <row r="6" ht="60" customHeight="1">
      <c r="A6" s="7" t="inlineStr">
        <is>
          <t>Note: FY2021 uses the CRR leverage ratio; FY2022 onward uses the PRA UK leverage-ratio presentation. These bases are not directly comparable.</t>
        </is>
      </c>
    </row>
    <row r="8" ht="125" customHeight="1">
      <c r="A8"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198%</t>
        </is>
      </c>
      <c r="C4" s="6" t="inlineStr">
        <is>
          <t>192%</t>
        </is>
      </c>
      <c r="D4" s="6" t="inlineStr">
        <is>
          <t>240%</t>
        </is>
      </c>
      <c r="E4" s="6" t="inlineStr">
        <is>
          <t>226%</t>
        </is>
      </c>
      <c r="F4" s="6" t="inlineStr">
        <is>
          <t>205%</t>
        </is>
      </c>
    </row>
    <row r="5" ht="60" customHeight="1">
      <c r="A5" s="7" t="inlineStr">
        <is>
          <t>Note: FY2021 is NWM Plc's own headline LCR (2021 Annual Report and Accounts, p.37), not a NatWest Group figure. The 2021 large-subsidiary supplement does not repeat the standalone LCR, but the annual report's Financial review explicitly reports it.</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121%</t>
        </is>
      </c>
      <c r="C4" s="6" t="inlineStr">
        <is>
          <t>120%</t>
        </is>
      </c>
      <c r="D4" s="6" t="inlineStr">
        <is>
          <t>127%</t>
        </is>
      </c>
      <c r="E4" s="6" t="inlineStr">
        <is>
          <t>133%</t>
        </is>
      </c>
      <c r="F4" s="6" t="n"/>
    </row>
    <row r="5" ht="60" customHeight="1">
      <c r="A5" s="7" t="inlineStr">
        <is>
          <t>Note: NWM Plc's standalone NSFR is not included in the 2021 large-subsidiary supplement; FY2021 is left blank rather than substituted with a NatWest Group figure.</t>
        </is>
      </c>
    </row>
    <row r="7" ht="125" customHeight="1">
      <c r="A7" s="8" t="inlineStr">
        <is>
          <t>Sources — NatWest Markets Plc (NWM Plc), entity/group basis as stated in each source:
FY2025: NWM Plc Pillar 3 Report, p.7 — https://investors.natwestgroup.com/~/media/Files/R/RBS-IR-V2/results-center/13022026/nwm-pillar-3-report.pdf
FY2024: NWM Plc Pillar 3 Report, p.7 — https://investors.natwestgroup.com/~/media/Files/R/RBS-IR-V2/results-center/14022025/nwm-pillar-3-report.pdf
FY2023: NWM Plc Pillar 3 Report, p.6 — https://investors.natwestgroup.com/~/media/Files/R/RBS-IR-V2/results-center/16022024/nwmp-pillar-3-report.pdf
FY2022: NWM Plc Pillar 3 Report, p.8 — https://investors.natwestgroup.com/~/media/Files/R/RBS-IR-V2/results-center/17022023/nwmp-pillar-3-report.pdf
FY2021: NWM Plc Pillar 3 Report, p.16 — https://investors.natwestgroup.com/~/media/Files/R/RBS-IR-V2/results-center/18022022/nwg-pillar-3-supplement-2021.pdf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NatWest Markets Plc — MREL Ratio</t>
        </is>
      </c>
    </row>
    <row r="2">
      <c r="A2" s="2" t="inlineStr">
        <is>
          <t>% of RWAs</t>
        </is>
      </c>
    </row>
    <row r="3">
      <c r="A3" s="4" t="inlineStr">
        <is>
          <t>Metric</t>
        </is>
      </c>
      <c r="B3" s="4" t="inlineStr">
        <is>
          <t>FY2025</t>
        </is>
      </c>
      <c r="C3" s="4" t="inlineStr">
        <is>
          <t>FY2024</t>
        </is>
      </c>
      <c r="D3" s="4" t="inlineStr">
        <is>
          <t>FY2023</t>
        </is>
      </c>
      <c r="E3" s="4" t="inlineStr">
        <is>
          <t>FY2022</t>
        </is>
      </c>
      <c r="F3" s="4" t="inlineStr">
        <is>
          <t>FY2021</t>
        </is>
      </c>
    </row>
    <row r="4">
      <c r="A4" s="6" t="inlineStr">
        <is>
          <t>Minimum requirement for own funds and eligible liabilities (MREL) ratio</t>
        </is>
      </c>
      <c r="B4" s="6" t="inlineStr">
        <is>
          <t>45.6%</t>
        </is>
      </c>
      <c r="C4" s="6" t="inlineStr">
        <is>
          <t>48.2%</t>
        </is>
      </c>
      <c r="D4" s="6" t="inlineStr">
        <is>
          <t>34.5%</t>
        </is>
      </c>
      <c r="E4" s="6" t="inlineStr">
        <is>
          <t>40.4%</t>
        </is>
      </c>
      <c r="F4" s="6" t="inlineStr">
        <is>
          <t>42.1%</t>
        </is>
      </c>
    </row>
    <row r="5" ht="60" customHeight="1">
      <c r="A5" s="7" t="inlineStr">
        <is>
          <t>Note: NWM Plc's own Annual Report performance highlights disclose this ratio in every year. It includes total regulatory capital, non-eligible capital and downstreamed internal MREL; it is not a NatWest Group parent figure.</t>
        </is>
      </c>
    </row>
    <row r="7" ht="125" customHeight="1">
      <c r="A7" s="8" t="inlineStr">
        <is>
          <t>Sources — NWM Plc Annual Report and Accounts, performance highlights (all metrics explicitly relate to NWM Plc):
FY2025: p.2 — https://investors.natwestgroup.com/~/media/Files/R/RBS-IR-V2/results-center/13022026/nwm-annual-report.pdf
FY2024: p.2 — https://investors.natwestgroup.com/~/media/Files/R/RBS-IR-V2/results-center/14022025/nwm-annual-report.pdf
FY2023: p.2 — https://investors.natwestgroup.com/~/media/Files/R/RBS-IR-V2/results-center/16022024/nwmp-annual-report.pdf
FY2022: p.2 — https://investors.natwestgroup.com/~/media/Files/R/RBS-IR-V2/results-center/17022023/nwmp-annual-report.pdf
FY2021: p.2 — https://investors.natwestgroup.com/~/media/Files/R/RBS-IR-V2/results-center/18022022/nwm-plc-annual-report-2021.pdf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NatWest Markets Plc — Interim Pillar 3</t>
        </is>
      </c>
    </row>
    <row r="2">
      <c r="A2" s="2" t="inlineStr">
        <is>
          <t>NatWest Markets Plc entity-level quarterly KM1 disclosures, 2021–2025</t>
        </is>
      </c>
    </row>
    <row r="4">
      <c r="A4" s="4" t="inlineStr">
        <is>
          <t>Metric</t>
        </is>
      </c>
      <c r="B4" s="4" t="inlineStr">
        <is>
          <t>Unit</t>
        </is>
      </c>
      <c r="C4" s="4" t="inlineStr">
        <is>
          <t>Basis</t>
        </is>
      </c>
      <c r="D4" s="4" t="inlineStr">
        <is>
          <t>2021-09-30</t>
        </is>
      </c>
      <c r="E4" s="4" t="inlineStr">
        <is>
          <t>2022-03-31</t>
        </is>
      </c>
      <c r="F4" s="4" t="inlineStr">
        <is>
          <t>2022-06-30</t>
        </is>
      </c>
      <c r="G4" s="4" t="inlineStr">
        <is>
          <t>2022-09-30</t>
        </is>
      </c>
      <c r="H4" s="4" t="inlineStr">
        <is>
          <t>2023-03-31</t>
        </is>
      </c>
      <c r="I4" s="4" t="inlineStr">
        <is>
          <t>2023-06-30</t>
        </is>
      </c>
      <c r="J4" s="4" t="inlineStr">
        <is>
          <t>2023-09-30</t>
        </is>
      </c>
      <c r="K4" s="4" t="inlineStr">
        <is>
          <t>2024-03-31</t>
        </is>
      </c>
      <c r="L4" s="4" t="inlineStr">
        <is>
          <t>2024-06-30</t>
        </is>
      </c>
      <c r="M4" s="4" t="inlineStr">
        <is>
          <t>2024-09-30</t>
        </is>
      </c>
      <c r="N4" s="4" t="inlineStr">
        <is>
          <t>2025-03-31</t>
        </is>
      </c>
      <c r="O4" s="4" t="inlineStr">
        <is>
          <t>2025-06-30</t>
        </is>
      </c>
      <c r="P4" s="4" t="inlineStr">
        <is>
          <t>2025-09-30</t>
        </is>
      </c>
    </row>
    <row r="5">
      <c r="A5" s="6" t="inlineStr">
        <is>
          <t>CET1 capital</t>
        </is>
      </c>
      <c r="B5" s="6" t="inlineStr">
        <is>
          <t>£m</t>
        </is>
      </c>
      <c r="C5" s="6" t="inlineStr">
        <is>
          <t>NWM Plc consolidated basis</t>
        </is>
      </c>
      <c r="D5" s="9" t="n">
        <v>4553</v>
      </c>
      <c r="E5" s="9" t="n">
        <v>4005</v>
      </c>
      <c r="F5" s="9" t="n">
        <v>3837</v>
      </c>
      <c r="G5" s="9" t="n">
        <v>3714</v>
      </c>
      <c r="H5" s="9" t="n">
        <v>3676</v>
      </c>
      <c r="I5" s="9" t="n">
        <v>3542</v>
      </c>
      <c r="J5" s="9" t="n">
        <v>3523</v>
      </c>
      <c r="K5" s="9" t="n">
        <v>3901</v>
      </c>
      <c r="L5" s="9" t="n">
        <v>3840</v>
      </c>
      <c r="M5" s="9" t="n">
        <v>3720</v>
      </c>
      <c r="N5" s="9" t="n">
        <v>3743</v>
      </c>
      <c r="O5" s="9" t="n">
        <v>3627</v>
      </c>
      <c r="P5" s="9" t="n">
        <v>3801</v>
      </c>
    </row>
    <row r="6">
      <c r="A6" s="6" t="inlineStr">
        <is>
          <t>Tier 1 capital</t>
        </is>
      </c>
      <c r="B6" s="6" t="inlineStr">
        <is>
          <t>£m</t>
        </is>
      </c>
      <c r="C6" s="6" t="inlineStr">
        <is>
          <t>NWM Plc consolidated basis</t>
        </is>
      </c>
      <c r="D6" s="9" t="n">
        <v>5231</v>
      </c>
      <c r="E6" s="9" t="n">
        <v>4686</v>
      </c>
      <c r="F6" s="9" t="n">
        <v>4514</v>
      </c>
      <c r="G6" s="9" t="n">
        <v>4393</v>
      </c>
      <c r="H6" s="9" t="n">
        <v>4355</v>
      </c>
      <c r="I6" s="9" t="n">
        <v>4221</v>
      </c>
      <c r="J6" s="9" t="n">
        <v>4202</v>
      </c>
      <c r="K6" s="9" t="n">
        <v>4580</v>
      </c>
      <c r="L6" s="9" t="n">
        <v>4519</v>
      </c>
      <c r="M6" s="9" t="n">
        <v>4416</v>
      </c>
      <c r="N6" s="9" t="n">
        <v>5280</v>
      </c>
      <c r="O6" s="9" t="n">
        <v>5508</v>
      </c>
      <c r="P6" s="9" t="n">
        <v>4776</v>
      </c>
    </row>
    <row r="7">
      <c r="A7" s="6" t="inlineStr">
        <is>
          <t>Total capital</t>
        </is>
      </c>
      <c r="B7" s="6" t="inlineStr">
        <is>
          <t>£m</t>
        </is>
      </c>
      <c r="C7" s="6" t="inlineStr">
        <is>
          <t>NWM Plc consolidated basis</t>
        </is>
      </c>
      <c r="D7" s="9" t="n">
        <v>6463</v>
      </c>
      <c r="E7" s="9" t="n">
        <v>5764</v>
      </c>
      <c r="F7" s="9" t="n">
        <v>5597</v>
      </c>
      <c r="G7" s="9" t="n">
        <v>5538</v>
      </c>
      <c r="H7" s="9" t="n">
        <v>5475</v>
      </c>
      <c r="I7" s="9" t="n">
        <v>4841</v>
      </c>
      <c r="J7" s="9" t="n">
        <v>4828</v>
      </c>
      <c r="K7" s="9" t="n">
        <v>5274</v>
      </c>
      <c r="L7" s="9" t="n">
        <v>5198</v>
      </c>
      <c r="M7" s="9" t="n">
        <v>5066</v>
      </c>
      <c r="N7" s="9" t="n">
        <v>5963</v>
      </c>
      <c r="O7" s="9" t="n">
        <v>6144</v>
      </c>
      <c r="P7" s="9" t="n">
        <v>5425</v>
      </c>
    </row>
    <row r="8">
      <c r="A8" s="6" t="inlineStr">
        <is>
          <t>Total risk-weighted exposure amount</t>
        </is>
      </c>
      <c r="B8" s="6" t="inlineStr">
        <is>
          <t>£m</t>
        </is>
      </c>
      <c r="C8" s="6" t="inlineStr">
        <is>
          <t>NWM Plc consolidated basis</t>
        </is>
      </c>
      <c r="D8" s="9" t="n">
        <v>24582</v>
      </c>
      <c r="E8" s="9" t="n">
        <v>24063</v>
      </c>
      <c r="F8" s="9" t="n">
        <v>23456</v>
      </c>
      <c r="G8" s="9" t="n">
        <v>24873</v>
      </c>
      <c r="H8" s="9" t="n">
        <v>20173</v>
      </c>
      <c r="I8" s="9" t="n">
        <v>20159</v>
      </c>
      <c r="J8" s="9" t="n">
        <v>23392</v>
      </c>
      <c r="K8" s="9" t="n">
        <v>21506</v>
      </c>
      <c r="L8" s="9" t="n">
        <v>20542</v>
      </c>
      <c r="M8" s="9" t="n">
        <v>21476</v>
      </c>
      <c r="N8" s="9" t="n">
        <v>21705</v>
      </c>
      <c r="O8" s="9" t="n">
        <v>21243</v>
      </c>
      <c r="P8" s="9" t="n">
        <v>21678</v>
      </c>
    </row>
    <row r="9">
      <c r="A9" s="6" t="inlineStr">
        <is>
          <t>CET1 ratio</t>
        </is>
      </c>
      <c r="B9" s="6" t="inlineStr">
        <is>
          <t>%</t>
        </is>
      </c>
      <c r="C9" s="6" t="inlineStr">
        <is>
          <t>NWM Plc consolidated basis</t>
        </is>
      </c>
      <c r="D9" s="9" t="inlineStr">
        <is>
          <t>19.4%</t>
        </is>
      </c>
      <c r="E9" s="9" t="inlineStr">
        <is>
          <t>16.6%</t>
        </is>
      </c>
      <c r="F9" s="9" t="inlineStr">
        <is>
          <t>16.4%</t>
        </is>
      </c>
      <c r="G9" s="9" t="inlineStr">
        <is>
          <t>14.9%</t>
        </is>
      </c>
      <c r="H9" s="9" t="inlineStr">
        <is>
          <t>18.2%</t>
        </is>
      </c>
      <c r="I9" s="9" t="inlineStr">
        <is>
          <t>17.6%</t>
        </is>
      </c>
      <c r="J9" s="9" t="inlineStr">
        <is>
          <t>15.1%</t>
        </is>
      </c>
      <c r="K9" s="9" t="inlineStr">
        <is>
          <t>18.1%</t>
        </is>
      </c>
      <c r="L9" s="9" t="inlineStr">
        <is>
          <t>18.7%</t>
        </is>
      </c>
      <c r="M9" s="9" t="inlineStr">
        <is>
          <t>17.3%</t>
        </is>
      </c>
      <c r="N9" s="9" t="inlineStr">
        <is>
          <t>17.2%</t>
        </is>
      </c>
      <c r="O9" s="9" t="inlineStr">
        <is>
          <t>17.1%</t>
        </is>
      </c>
      <c r="P9" s="9" t="inlineStr">
        <is>
          <t>17.5%</t>
        </is>
      </c>
    </row>
    <row r="10">
      <c r="A10" s="6" t="inlineStr">
        <is>
          <t>Tier 1 ratio</t>
        </is>
      </c>
      <c r="B10" s="6" t="inlineStr">
        <is>
          <t>%</t>
        </is>
      </c>
      <c r="C10" s="6" t="inlineStr">
        <is>
          <t>NWM Plc consolidated basis</t>
        </is>
      </c>
      <c r="D10" s="9" t="inlineStr">
        <is>
          <t>22.3%</t>
        </is>
      </c>
      <c r="E10" s="9" t="inlineStr">
        <is>
          <t>19.5%</t>
        </is>
      </c>
      <c r="F10" s="9" t="inlineStr">
        <is>
          <t>19.2%</t>
        </is>
      </c>
      <c r="G10" s="9" t="inlineStr">
        <is>
          <t>17.7%</t>
        </is>
      </c>
      <c r="H10" s="9" t="inlineStr">
        <is>
          <t>21.6%</t>
        </is>
      </c>
      <c r="I10" s="9" t="inlineStr">
        <is>
          <t>20.9%</t>
        </is>
      </c>
      <c r="J10" s="9" t="inlineStr">
        <is>
          <t>18.0%</t>
        </is>
      </c>
      <c r="K10" s="9" t="inlineStr">
        <is>
          <t>21.3%</t>
        </is>
      </c>
      <c r="L10" s="9" t="inlineStr">
        <is>
          <t>22.0%</t>
        </is>
      </c>
      <c r="M10" s="9" t="inlineStr">
        <is>
          <t>20.6%</t>
        </is>
      </c>
      <c r="N10" s="9" t="inlineStr">
        <is>
          <t>24.3%</t>
        </is>
      </c>
      <c r="O10" s="9" t="inlineStr">
        <is>
          <t>25.9%</t>
        </is>
      </c>
      <c r="P10" s="9" t="inlineStr">
        <is>
          <t>22.0%</t>
        </is>
      </c>
    </row>
    <row r="11">
      <c r="A11" s="6" t="inlineStr">
        <is>
          <t>Total capital ratio</t>
        </is>
      </c>
      <c r="B11" s="6" t="inlineStr">
        <is>
          <t>%</t>
        </is>
      </c>
      <c r="C11" s="6" t="inlineStr">
        <is>
          <t>NWM Plc consolidated basis</t>
        </is>
      </c>
      <c r="D11" s="9" t="inlineStr">
        <is>
          <t>27.6%</t>
        </is>
      </c>
      <c r="E11" s="9" t="inlineStr">
        <is>
          <t>24.0%</t>
        </is>
      </c>
      <c r="F11" s="9" t="inlineStr">
        <is>
          <t>23.9%</t>
        </is>
      </c>
      <c r="G11" s="9" t="inlineStr">
        <is>
          <t>22.3%</t>
        </is>
      </c>
      <c r="H11" s="9" t="inlineStr">
        <is>
          <t>27.1%</t>
        </is>
      </c>
      <c r="I11" s="9" t="inlineStr">
        <is>
          <t>24.0%</t>
        </is>
      </c>
      <c r="J11" s="9" t="inlineStr">
        <is>
          <t>20.6%</t>
        </is>
      </c>
      <c r="K11" s="9" t="inlineStr">
        <is>
          <t>24.5%</t>
        </is>
      </c>
      <c r="L11" s="9" t="inlineStr">
        <is>
          <t>25.3%</t>
        </is>
      </c>
      <c r="M11" s="9" t="inlineStr">
        <is>
          <t>23.6%</t>
        </is>
      </c>
      <c r="N11" s="9" t="inlineStr">
        <is>
          <t>27.5%</t>
        </is>
      </c>
      <c r="O11" s="9" t="inlineStr">
        <is>
          <t>28.9%</t>
        </is>
      </c>
      <c r="P11" s="9" t="inlineStr">
        <is>
          <t>25.0%</t>
        </is>
      </c>
    </row>
    <row r="12">
      <c r="A12" s="6" t="inlineStr">
        <is>
          <t>Liquidity coverage ratio (12-month average)</t>
        </is>
      </c>
      <c r="B12" s="6" t="inlineStr">
        <is>
          <t>%</t>
        </is>
      </c>
      <c r="C12" s="6" t="inlineStr">
        <is>
          <t>NWM Plc consolidated basis</t>
        </is>
      </c>
      <c r="D12" s="9" t="inlineStr">
        <is>
          <t>238%</t>
        </is>
      </c>
      <c r="E12" s="9" t="inlineStr">
        <is>
          <t>219%</t>
        </is>
      </c>
      <c r="F12" s="9" t="inlineStr">
        <is>
          <t>218%</t>
        </is>
      </c>
      <c r="G12" s="9" t="inlineStr">
        <is>
          <t>216%</t>
        </is>
      </c>
      <c r="H12" s="9" t="inlineStr">
        <is>
          <t>247%</t>
        </is>
      </c>
      <c r="I12" s="9" t="inlineStr">
        <is>
          <t>253%</t>
        </is>
      </c>
      <c r="J12" s="9" t="inlineStr">
        <is>
          <t>255%</t>
        </is>
      </c>
      <c r="K12" s="9" t="inlineStr">
        <is>
          <t>219%</t>
        </is>
      </c>
      <c r="L12" s="9" t="inlineStr">
        <is>
          <t>203%</t>
        </is>
      </c>
      <c r="M12" s="9" t="inlineStr">
        <is>
          <t>189%</t>
        </is>
      </c>
      <c r="N12" s="9" t="inlineStr">
        <is>
          <t>189%</t>
        </is>
      </c>
      <c r="O12" s="9" t="inlineStr">
        <is>
          <t>193%</t>
        </is>
      </c>
      <c r="P12" s="9" t="inlineStr">
        <is>
          <t>196%</t>
        </is>
      </c>
    </row>
    <row r="13">
      <c r="A13" s="6" t="inlineStr">
        <is>
          <t>Leverage exposure measure excluding claims on central banks</t>
        </is>
      </c>
      <c r="B13" s="6" t="inlineStr">
        <is>
          <t>£m</t>
        </is>
      </c>
      <c r="C13" s="6" t="inlineStr">
        <is>
          <t>NWM Plc consolidated basis</t>
        </is>
      </c>
      <c r="D13" s="6" t="n"/>
      <c r="E13" s="9" t="n">
        <v>100712</v>
      </c>
      <c r="F13" s="9" t="n">
        <v>102238</v>
      </c>
      <c r="G13" s="9" t="n">
        <v>99515</v>
      </c>
      <c r="H13" s="9" t="n">
        <v>77259</v>
      </c>
      <c r="I13" s="9" t="n">
        <v>78064</v>
      </c>
      <c r="J13" s="9" t="n">
        <v>85706</v>
      </c>
      <c r="K13" s="9" t="n">
        <v>91464</v>
      </c>
      <c r="L13" s="9" t="n">
        <v>86275</v>
      </c>
      <c r="M13" s="9" t="n">
        <v>96209</v>
      </c>
      <c r="N13" s="9" t="n">
        <v>97377</v>
      </c>
      <c r="O13" s="9" t="n">
        <v>98840</v>
      </c>
      <c r="P13" s="9" t="n">
        <v>106006</v>
      </c>
    </row>
    <row r="14">
      <c r="A14" s="6" t="inlineStr">
        <is>
          <t>Leverage ratio excluding claims on central banks</t>
        </is>
      </c>
      <c r="B14" s="6" t="inlineStr">
        <is>
          <t>%</t>
        </is>
      </c>
      <c r="C14" s="6" t="inlineStr">
        <is>
          <t>NWM Plc consolidated basis</t>
        </is>
      </c>
      <c r="D14" s="6" t="n"/>
      <c r="E14" s="9" t="inlineStr">
        <is>
          <t>4.7%</t>
        </is>
      </c>
      <c r="F14" s="9" t="inlineStr">
        <is>
          <t>4.4%</t>
        </is>
      </c>
      <c r="G14" s="9" t="inlineStr">
        <is>
          <t>4.4%</t>
        </is>
      </c>
      <c r="H14" s="9" t="inlineStr">
        <is>
          <t>5.6%</t>
        </is>
      </c>
      <c r="I14" s="9" t="inlineStr">
        <is>
          <t>5.4%</t>
        </is>
      </c>
      <c r="J14" s="9" t="inlineStr">
        <is>
          <t>4.9%</t>
        </is>
      </c>
      <c r="K14" s="9" t="inlineStr">
        <is>
          <t>5.0%</t>
        </is>
      </c>
      <c r="L14" s="9" t="inlineStr">
        <is>
          <t>5.2%</t>
        </is>
      </c>
      <c r="M14" s="9" t="inlineStr">
        <is>
          <t>4.6%</t>
        </is>
      </c>
      <c r="N14" s="9" t="inlineStr">
        <is>
          <t>5.4%</t>
        </is>
      </c>
      <c r="O14" s="9" t="inlineStr">
        <is>
          <t>5.6%</t>
        </is>
      </c>
      <c r="P14" s="9" t="inlineStr">
        <is>
          <t>4.5%</t>
        </is>
      </c>
    </row>
    <row r="15">
      <c r="A15" s="6" t="inlineStr">
        <is>
          <t>Net stable funding ratio (4-quarter average)</t>
        </is>
      </c>
      <c r="B15" s="6" t="inlineStr">
        <is>
          <t>%</t>
        </is>
      </c>
      <c r="C15" s="6" t="inlineStr">
        <is>
          <t>NWM Plc consolidated basis</t>
        </is>
      </c>
      <c r="D15" s="6" t="n"/>
      <c r="E15" s="6" t="n"/>
      <c r="F15" s="6" t="n"/>
      <c r="G15" s="6" t="n"/>
      <c r="H15" s="9" t="inlineStr">
        <is>
          <t>137%</t>
        </is>
      </c>
      <c r="I15" s="9" t="inlineStr">
        <is>
          <t>137%</t>
        </is>
      </c>
      <c r="J15" s="9" t="inlineStr">
        <is>
          <t>135%</t>
        </is>
      </c>
      <c r="K15" s="9" t="inlineStr">
        <is>
          <t>121%</t>
        </is>
      </c>
      <c r="L15" s="9" t="inlineStr">
        <is>
          <t>118%</t>
        </is>
      </c>
      <c r="M15" s="9" t="inlineStr">
        <is>
          <t>117%</t>
        </is>
      </c>
      <c r="N15" s="9" t="inlineStr">
        <is>
          <t>120%</t>
        </is>
      </c>
      <c r="O15" s="9" t="inlineStr">
        <is>
          <t>121%</t>
        </is>
      </c>
      <c r="P15" s="9" t="inlineStr">
        <is>
          <t>120%</t>
        </is>
      </c>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2021-09-30</t>
        </is>
      </c>
      <c r="B20" s="6" t="inlineStr">
        <is>
          <t>Quarterly Pillar 3 disclosure</t>
        </is>
      </c>
      <c r="C20" s="9" t="inlineStr">
        <is>
          <t>Q3 2022 Pillar 3 Supplement</t>
        </is>
      </c>
      <c r="D20" s="6" t="inlineStr">
        <is>
          <t>p.7 — UK KM1 table</t>
        </is>
      </c>
    </row>
    <row r="21">
      <c r="A21" s="6" t="inlineStr">
        <is>
          <t>2022-03-31</t>
        </is>
      </c>
      <c r="B21" s="6" t="inlineStr">
        <is>
          <t>Quarterly Pillar 3 disclosure</t>
        </is>
      </c>
      <c r="C21" s="9" t="inlineStr">
        <is>
          <t>Q1 2023 Pillar 3 Report</t>
        </is>
      </c>
      <c r="D21" s="6" t="inlineStr">
        <is>
          <t>p.7 — UK KM1 table</t>
        </is>
      </c>
    </row>
    <row r="22">
      <c r="A22" s="6" t="inlineStr">
        <is>
          <t>2022-06-30</t>
        </is>
      </c>
      <c r="B22" s="6" t="inlineStr">
        <is>
          <t>Quarterly Pillar 3 disclosure</t>
        </is>
      </c>
      <c r="C22" s="9" t="inlineStr">
        <is>
          <t>Q3 2022 Pillar 3 Supplement</t>
        </is>
      </c>
      <c r="D22" s="6" t="inlineStr">
        <is>
          <t>p.7 — UK KM1 table</t>
        </is>
      </c>
    </row>
    <row r="23">
      <c r="A23" s="6" t="inlineStr">
        <is>
          <t>2022-09-30</t>
        </is>
      </c>
      <c r="B23" s="6" t="inlineStr">
        <is>
          <t>Quarterly Pillar 3 disclosure</t>
        </is>
      </c>
      <c r="C23" s="9" t="inlineStr">
        <is>
          <t>Q3 2022 Pillar 3 Supplement</t>
        </is>
      </c>
      <c r="D23" s="6" t="inlineStr">
        <is>
          <t>p.7 — UK KM1 table</t>
        </is>
      </c>
    </row>
    <row r="24">
      <c r="A24" s="6" t="inlineStr">
        <is>
          <t>2023-03-31</t>
        </is>
      </c>
      <c r="B24" s="6" t="inlineStr">
        <is>
          <t>Quarterly Pillar 3 disclosure</t>
        </is>
      </c>
      <c r="C24" s="9" t="inlineStr">
        <is>
          <t>Q1 2023 Pillar 3 Report</t>
        </is>
      </c>
      <c r="D24" s="6" t="inlineStr">
        <is>
          <t>p.7 — UK KM1 table</t>
        </is>
      </c>
    </row>
    <row r="25">
      <c r="A25" s="6" t="inlineStr">
        <is>
          <t>2023-06-30</t>
        </is>
      </c>
      <c r="B25" s="6" t="inlineStr">
        <is>
          <t>Quarterly Pillar 3 disclosure</t>
        </is>
      </c>
      <c r="C25" s="9" t="inlineStr">
        <is>
          <t>H1 2023 Pillar 3 Report</t>
        </is>
      </c>
      <c r="D25" s="6" t="inlineStr">
        <is>
          <t>p.7 — UK KM1 table</t>
        </is>
      </c>
    </row>
    <row r="26">
      <c r="A26" s="6" t="inlineStr">
        <is>
          <t>2023-09-30</t>
        </is>
      </c>
      <c r="B26" s="6" t="inlineStr">
        <is>
          <t>Quarterly Pillar 3 disclosure</t>
        </is>
      </c>
      <c r="C26" s="9" t="inlineStr">
        <is>
          <t>Q3 2023 Pillar 3 Report</t>
        </is>
      </c>
      <c r="D26" s="6" t="inlineStr">
        <is>
          <t>p.7 — UK KM1 table</t>
        </is>
      </c>
    </row>
    <row r="27">
      <c r="A27" s="6" t="inlineStr">
        <is>
          <t>2024-03-31</t>
        </is>
      </c>
      <c r="B27" s="6" t="inlineStr">
        <is>
          <t>Quarterly Pillar 3 disclosure</t>
        </is>
      </c>
      <c r="C27" s="9" t="inlineStr">
        <is>
          <t>Q1 2024 Pillar 3 Report</t>
        </is>
      </c>
      <c r="D27" s="6" t="inlineStr">
        <is>
          <t>p.7 — UK KM1 table</t>
        </is>
      </c>
    </row>
    <row r="28">
      <c r="A28" s="6" t="inlineStr">
        <is>
          <t>2024-06-30</t>
        </is>
      </c>
      <c r="B28" s="6" t="inlineStr">
        <is>
          <t>Quarterly Pillar 3 disclosure</t>
        </is>
      </c>
      <c r="C28" s="9" t="inlineStr">
        <is>
          <t>H1 2024 Pillar 3 Report</t>
        </is>
      </c>
      <c r="D28" s="6" t="inlineStr">
        <is>
          <t>p.7 — UK KM1 table</t>
        </is>
      </c>
    </row>
    <row r="29">
      <c r="A29" s="6" t="inlineStr">
        <is>
          <t>2024-09-30</t>
        </is>
      </c>
      <c r="B29" s="6" t="inlineStr">
        <is>
          <t>Quarterly Pillar 3 disclosure</t>
        </is>
      </c>
      <c r="C29" s="9" t="inlineStr">
        <is>
          <t>Q3 2024 Pillar 3 Report</t>
        </is>
      </c>
      <c r="D29" s="6" t="inlineStr">
        <is>
          <t>p.7 — UK KM1 table</t>
        </is>
      </c>
    </row>
    <row r="30">
      <c r="A30" s="6" t="inlineStr">
        <is>
          <t>2025-03-31</t>
        </is>
      </c>
      <c r="B30" s="6" t="inlineStr">
        <is>
          <t>Quarterly Pillar 3 disclosure</t>
        </is>
      </c>
      <c r="C30" s="9" t="inlineStr">
        <is>
          <t>Q1 2025 Pillar 3 Report</t>
        </is>
      </c>
      <c r="D30" s="6" t="inlineStr">
        <is>
          <t>p.7 — UK KM1 table</t>
        </is>
      </c>
    </row>
    <row r="31">
      <c r="A31" s="6" t="inlineStr">
        <is>
          <t>2025-06-30</t>
        </is>
      </c>
      <c r="B31" s="6" t="inlineStr">
        <is>
          <t>Quarterly Pillar 3 disclosure</t>
        </is>
      </c>
      <c r="C31" s="9" t="inlineStr">
        <is>
          <t>H1 2025 Pillar 3 Report</t>
        </is>
      </c>
      <c r="D31" s="6" t="inlineStr">
        <is>
          <t>p.7 — UK KM1 table</t>
        </is>
      </c>
    </row>
    <row r="32">
      <c r="A32" s="6" t="inlineStr">
        <is>
          <t>2025-09-30</t>
        </is>
      </c>
      <c r="B32" s="6" t="inlineStr">
        <is>
          <t>Quarterly Pillar 3 disclosure</t>
        </is>
      </c>
      <c r="C32" s="9" t="inlineStr">
        <is>
          <t>Q3 2025 Pillar 3 Report</t>
        </is>
      </c>
      <c r="D32" s="6" t="inlineStr">
        <is>
          <t>p.7 — UK KM1 table</t>
        </is>
      </c>
    </row>
    <row r="34" ht="60" customHeight="1">
      <c r="A34" s="10" t="inlineStr">
        <is>
          <t>Note: Official NWM Plc reports provide comparable quarter-end KM1 observations for September 2021 and March/June/September 2022–2025. No standalone March or June 2021 interim KM1 report was located. Leverage and NSFR were not disclosed in the September 2021 comparative; NSFR was introduced in the 2023 disclosures. Values are not substituted from NatWest Group.</t>
        </is>
      </c>
    </row>
  </sheetData>
  <mergeCells count="1">
    <mergeCell ref="A34:P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D6" r:id="rId14"/>
    <hyperlink xmlns:r="http://schemas.openxmlformats.org/officeDocument/2006/relationships" ref="E6" r:id="rId15"/>
    <hyperlink xmlns:r="http://schemas.openxmlformats.org/officeDocument/2006/relationships" ref="F6" r:id="rId16"/>
    <hyperlink xmlns:r="http://schemas.openxmlformats.org/officeDocument/2006/relationships" ref="G6" r:id="rId17"/>
    <hyperlink xmlns:r="http://schemas.openxmlformats.org/officeDocument/2006/relationships" ref="H6" r:id="rId18"/>
    <hyperlink xmlns:r="http://schemas.openxmlformats.org/officeDocument/2006/relationships" ref="I6" r:id="rId19"/>
    <hyperlink xmlns:r="http://schemas.openxmlformats.org/officeDocument/2006/relationships" ref="J6" r:id="rId20"/>
    <hyperlink xmlns:r="http://schemas.openxmlformats.org/officeDocument/2006/relationships" ref="K6" r:id="rId21"/>
    <hyperlink xmlns:r="http://schemas.openxmlformats.org/officeDocument/2006/relationships" ref="L6" r:id="rId22"/>
    <hyperlink xmlns:r="http://schemas.openxmlformats.org/officeDocument/2006/relationships" ref="M6" r:id="rId23"/>
    <hyperlink xmlns:r="http://schemas.openxmlformats.org/officeDocument/2006/relationships" ref="N6" r:id="rId24"/>
    <hyperlink xmlns:r="http://schemas.openxmlformats.org/officeDocument/2006/relationships" ref="O6" r:id="rId25"/>
    <hyperlink xmlns:r="http://schemas.openxmlformats.org/officeDocument/2006/relationships" ref="P6" r:id="rId26"/>
    <hyperlink xmlns:r="http://schemas.openxmlformats.org/officeDocument/2006/relationships" ref="D7" r:id="rId27"/>
    <hyperlink xmlns:r="http://schemas.openxmlformats.org/officeDocument/2006/relationships" ref="E7" r:id="rId28"/>
    <hyperlink xmlns:r="http://schemas.openxmlformats.org/officeDocument/2006/relationships" ref="F7" r:id="rId29"/>
    <hyperlink xmlns:r="http://schemas.openxmlformats.org/officeDocument/2006/relationships" ref="G7" r:id="rId30"/>
    <hyperlink xmlns:r="http://schemas.openxmlformats.org/officeDocument/2006/relationships" ref="H7" r:id="rId31"/>
    <hyperlink xmlns:r="http://schemas.openxmlformats.org/officeDocument/2006/relationships" ref="I7" r:id="rId32"/>
    <hyperlink xmlns:r="http://schemas.openxmlformats.org/officeDocument/2006/relationships" ref="J7" r:id="rId33"/>
    <hyperlink xmlns:r="http://schemas.openxmlformats.org/officeDocument/2006/relationships" ref="K7" r:id="rId34"/>
    <hyperlink xmlns:r="http://schemas.openxmlformats.org/officeDocument/2006/relationships" ref="L7" r:id="rId35"/>
    <hyperlink xmlns:r="http://schemas.openxmlformats.org/officeDocument/2006/relationships" ref="M7" r:id="rId36"/>
    <hyperlink xmlns:r="http://schemas.openxmlformats.org/officeDocument/2006/relationships" ref="N7" r:id="rId37"/>
    <hyperlink xmlns:r="http://schemas.openxmlformats.org/officeDocument/2006/relationships" ref="O7" r:id="rId38"/>
    <hyperlink xmlns:r="http://schemas.openxmlformats.org/officeDocument/2006/relationships" ref="P7" r:id="rId39"/>
    <hyperlink xmlns:r="http://schemas.openxmlformats.org/officeDocument/2006/relationships" ref="D8" r:id="rId40"/>
    <hyperlink xmlns:r="http://schemas.openxmlformats.org/officeDocument/2006/relationships" ref="E8" r:id="rId41"/>
    <hyperlink xmlns:r="http://schemas.openxmlformats.org/officeDocument/2006/relationships" ref="F8" r:id="rId42"/>
    <hyperlink xmlns:r="http://schemas.openxmlformats.org/officeDocument/2006/relationships" ref="G8" r:id="rId43"/>
    <hyperlink xmlns:r="http://schemas.openxmlformats.org/officeDocument/2006/relationships" ref="H8" r:id="rId44"/>
    <hyperlink xmlns:r="http://schemas.openxmlformats.org/officeDocument/2006/relationships" ref="I8" r:id="rId45"/>
    <hyperlink xmlns:r="http://schemas.openxmlformats.org/officeDocument/2006/relationships" ref="J8" r:id="rId46"/>
    <hyperlink xmlns:r="http://schemas.openxmlformats.org/officeDocument/2006/relationships" ref="K8" r:id="rId47"/>
    <hyperlink xmlns:r="http://schemas.openxmlformats.org/officeDocument/2006/relationships" ref="L8" r:id="rId48"/>
    <hyperlink xmlns:r="http://schemas.openxmlformats.org/officeDocument/2006/relationships" ref="M8" r:id="rId49"/>
    <hyperlink xmlns:r="http://schemas.openxmlformats.org/officeDocument/2006/relationships" ref="N8" r:id="rId50"/>
    <hyperlink xmlns:r="http://schemas.openxmlformats.org/officeDocument/2006/relationships" ref="O8" r:id="rId51"/>
    <hyperlink xmlns:r="http://schemas.openxmlformats.org/officeDocument/2006/relationships" ref="P8" r:id="rId52"/>
    <hyperlink xmlns:r="http://schemas.openxmlformats.org/officeDocument/2006/relationships" ref="D9" r:id="rId53"/>
    <hyperlink xmlns:r="http://schemas.openxmlformats.org/officeDocument/2006/relationships" ref="E9" r:id="rId54"/>
    <hyperlink xmlns:r="http://schemas.openxmlformats.org/officeDocument/2006/relationships" ref="F9" r:id="rId55"/>
    <hyperlink xmlns:r="http://schemas.openxmlformats.org/officeDocument/2006/relationships" ref="G9" r:id="rId56"/>
    <hyperlink xmlns:r="http://schemas.openxmlformats.org/officeDocument/2006/relationships" ref="H9" r:id="rId57"/>
    <hyperlink xmlns:r="http://schemas.openxmlformats.org/officeDocument/2006/relationships" ref="I9" r:id="rId58"/>
    <hyperlink xmlns:r="http://schemas.openxmlformats.org/officeDocument/2006/relationships" ref="J9" r:id="rId59"/>
    <hyperlink xmlns:r="http://schemas.openxmlformats.org/officeDocument/2006/relationships" ref="K9" r:id="rId60"/>
    <hyperlink xmlns:r="http://schemas.openxmlformats.org/officeDocument/2006/relationships" ref="L9" r:id="rId61"/>
    <hyperlink xmlns:r="http://schemas.openxmlformats.org/officeDocument/2006/relationships" ref="M9" r:id="rId62"/>
    <hyperlink xmlns:r="http://schemas.openxmlformats.org/officeDocument/2006/relationships" ref="N9" r:id="rId63"/>
    <hyperlink xmlns:r="http://schemas.openxmlformats.org/officeDocument/2006/relationships" ref="O9" r:id="rId64"/>
    <hyperlink xmlns:r="http://schemas.openxmlformats.org/officeDocument/2006/relationships" ref="P9" r:id="rId65"/>
    <hyperlink xmlns:r="http://schemas.openxmlformats.org/officeDocument/2006/relationships" ref="D10" r:id="rId66"/>
    <hyperlink xmlns:r="http://schemas.openxmlformats.org/officeDocument/2006/relationships" ref="E10" r:id="rId67"/>
    <hyperlink xmlns:r="http://schemas.openxmlformats.org/officeDocument/2006/relationships" ref="F10" r:id="rId68"/>
    <hyperlink xmlns:r="http://schemas.openxmlformats.org/officeDocument/2006/relationships" ref="G10" r:id="rId69"/>
    <hyperlink xmlns:r="http://schemas.openxmlformats.org/officeDocument/2006/relationships" ref="H10" r:id="rId70"/>
    <hyperlink xmlns:r="http://schemas.openxmlformats.org/officeDocument/2006/relationships" ref="I10" r:id="rId71"/>
    <hyperlink xmlns:r="http://schemas.openxmlformats.org/officeDocument/2006/relationships" ref="J10" r:id="rId72"/>
    <hyperlink xmlns:r="http://schemas.openxmlformats.org/officeDocument/2006/relationships" ref="K10" r:id="rId73"/>
    <hyperlink xmlns:r="http://schemas.openxmlformats.org/officeDocument/2006/relationships" ref="L10" r:id="rId74"/>
    <hyperlink xmlns:r="http://schemas.openxmlformats.org/officeDocument/2006/relationships" ref="M10" r:id="rId75"/>
    <hyperlink xmlns:r="http://schemas.openxmlformats.org/officeDocument/2006/relationships" ref="N10" r:id="rId76"/>
    <hyperlink xmlns:r="http://schemas.openxmlformats.org/officeDocument/2006/relationships" ref="O10" r:id="rId77"/>
    <hyperlink xmlns:r="http://schemas.openxmlformats.org/officeDocument/2006/relationships" ref="P10" r:id="rId78"/>
    <hyperlink xmlns:r="http://schemas.openxmlformats.org/officeDocument/2006/relationships" ref="D11" r:id="rId79"/>
    <hyperlink xmlns:r="http://schemas.openxmlformats.org/officeDocument/2006/relationships" ref="E11" r:id="rId80"/>
    <hyperlink xmlns:r="http://schemas.openxmlformats.org/officeDocument/2006/relationships" ref="F11" r:id="rId81"/>
    <hyperlink xmlns:r="http://schemas.openxmlformats.org/officeDocument/2006/relationships" ref="G11" r:id="rId82"/>
    <hyperlink xmlns:r="http://schemas.openxmlformats.org/officeDocument/2006/relationships" ref="H11" r:id="rId83"/>
    <hyperlink xmlns:r="http://schemas.openxmlformats.org/officeDocument/2006/relationships" ref="I11" r:id="rId84"/>
    <hyperlink xmlns:r="http://schemas.openxmlformats.org/officeDocument/2006/relationships" ref="J11" r:id="rId85"/>
    <hyperlink xmlns:r="http://schemas.openxmlformats.org/officeDocument/2006/relationships" ref="K11" r:id="rId86"/>
    <hyperlink xmlns:r="http://schemas.openxmlformats.org/officeDocument/2006/relationships" ref="L11" r:id="rId87"/>
    <hyperlink xmlns:r="http://schemas.openxmlformats.org/officeDocument/2006/relationships" ref="M11" r:id="rId88"/>
    <hyperlink xmlns:r="http://schemas.openxmlformats.org/officeDocument/2006/relationships" ref="N11" r:id="rId89"/>
    <hyperlink xmlns:r="http://schemas.openxmlformats.org/officeDocument/2006/relationships" ref="O11" r:id="rId90"/>
    <hyperlink xmlns:r="http://schemas.openxmlformats.org/officeDocument/2006/relationships" ref="P11" r:id="rId91"/>
    <hyperlink xmlns:r="http://schemas.openxmlformats.org/officeDocument/2006/relationships" ref="D12" r:id="rId92"/>
    <hyperlink xmlns:r="http://schemas.openxmlformats.org/officeDocument/2006/relationships" ref="E12" r:id="rId93"/>
    <hyperlink xmlns:r="http://schemas.openxmlformats.org/officeDocument/2006/relationships" ref="F12" r:id="rId94"/>
    <hyperlink xmlns:r="http://schemas.openxmlformats.org/officeDocument/2006/relationships" ref="G12" r:id="rId95"/>
    <hyperlink xmlns:r="http://schemas.openxmlformats.org/officeDocument/2006/relationships" ref="H12" r:id="rId96"/>
    <hyperlink xmlns:r="http://schemas.openxmlformats.org/officeDocument/2006/relationships" ref="I12" r:id="rId97"/>
    <hyperlink xmlns:r="http://schemas.openxmlformats.org/officeDocument/2006/relationships" ref="J12" r:id="rId98"/>
    <hyperlink xmlns:r="http://schemas.openxmlformats.org/officeDocument/2006/relationships" ref="K12" r:id="rId99"/>
    <hyperlink xmlns:r="http://schemas.openxmlformats.org/officeDocument/2006/relationships" ref="L12" r:id="rId100"/>
    <hyperlink xmlns:r="http://schemas.openxmlformats.org/officeDocument/2006/relationships" ref="M12" r:id="rId101"/>
    <hyperlink xmlns:r="http://schemas.openxmlformats.org/officeDocument/2006/relationships" ref="N12" r:id="rId102"/>
    <hyperlink xmlns:r="http://schemas.openxmlformats.org/officeDocument/2006/relationships" ref="O12" r:id="rId103"/>
    <hyperlink xmlns:r="http://schemas.openxmlformats.org/officeDocument/2006/relationships" ref="P12" r:id="rId104"/>
    <hyperlink xmlns:r="http://schemas.openxmlformats.org/officeDocument/2006/relationships" ref="E13" r:id="rId105"/>
    <hyperlink xmlns:r="http://schemas.openxmlformats.org/officeDocument/2006/relationships" ref="F13" r:id="rId106"/>
    <hyperlink xmlns:r="http://schemas.openxmlformats.org/officeDocument/2006/relationships" ref="G13" r:id="rId107"/>
    <hyperlink xmlns:r="http://schemas.openxmlformats.org/officeDocument/2006/relationships" ref="H13" r:id="rId108"/>
    <hyperlink xmlns:r="http://schemas.openxmlformats.org/officeDocument/2006/relationships" ref="I13" r:id="rId109"/>
    <hyperlink xmlns:r="http://schemas.openxmlformats.org/officeDocument/2006/relationships" ref="J13" r:id="rId110"/>
    <hyperlink xmlns:r="http://schemas.openxmlformats.org/officeDocument/2006/relationships" ref="K13" r:id="rId111"/>
    <hyperlink xmlns:r="http://schemas.openxmlformats.org/officeDocument/2006/relationships" ref="L13" r:id="rId112"/>
    <hyperlink xmlns:r="http://schemas.openxmlformats.org/officeDocument/2006/relationships" ref="M13" r:id="rId113"/>
    <hyperlink xmlns:r="http://schemas.openxmlformats.org/officeDocument/2006/relationships" ref="N13" r:id="rId114"/>
    <hyperlink xmlns:r="http://schemas.openxmlformats.org/officeDocument/2006/relationships" ref="O13" r:id="rId115"/>
    <hyperlink xmlns:r="http://schemas.openxmlformats.org/officeDocument/2006/relationships" ref="P13" r:id="rId116"/>
    <hyperlink xmlns:r="http://schemas.openxmlformats.org/officeDocument/2006/relationships" ref="E14" r:id="rId117"/>
    <hyperlink xmlns:r="http://schemas.openxmlformats.org/officeDocument/2006/relationships" ref="F14" r:id="rId118"/>
    <hyperlink xmlns:r="http://schemas.openxmlformats.org/officeDocument/2006/relationships" ref="G14" r:id="rId119"/>
    <hyperlink xmlns:r="http://schemas.openxmlformats.org/officeDocument/2006/relationships" ref="H14" r:id="rId120"/>
    <hyperlink xmlns:r="http://schemas.openxmlformats.org/officeDocument/2006/relationships" ref="I14" r:id="rId121"/>
    <hyperlink xmlns:r="http://schemas.openxmlformats.org/officeDocument/2006/relationships" ref="J14" r:id="rId122"/>
    <hyperlink xmlns:r="http://schemas.openxmlformats.org/officeDocument/2006/relationships" ref="K14" r:id="rId123"/>
    <hyperlink xmlns:r="http://schemas.openxmlformats.org/officeDocument/2006/relationships" ref="L14" r:id="rId124"/>
    <hyperlink xmlns:r="http://schemas.openxmlformats.org/officeDocument/2006/relationships" ref="M14" r:id="rId125"/>
    <hyperlink xmlns:r="http://schemas.openxmlformats.org/officeDocument/2006/relationships" ref="N14" r:id="rId126"/>
    <hyperlink xmlns:r="http://schemas.openxmlformats.org/officeDocument/2006/relationships" ref="O14" r:id="rId127"/>
    <hyperlink xmlns:r="http://schemas.openxmlformats.org/officeDocument/2006/relationships" ref="P14" r:id="rId128"/>
    <hyperlink xmlns:r="http://schemas.openxmlformats.org/officeDocument/2006/relationships" ref="H15" r:id="rId129"/>
    <hyperlink xmlns:r="http://schemas.openxmlformats.org/officeDocument/2006/relationships" ref="I15" r:id="rId130"/>
    <hyperlink xmlns:r="http://schemas.openxmlformats.org/officeDocument/2006/relationships" ref="J15" r:id="rId131"/>
    <hyperlink xmlns:r="http://schemas.openxmlformats.org/officeDocument/2006/relationships" ref="K15" r:id="rId132"/>
    <hyperlink xmlns:r="http://schemas.openxmlformats.org/officeDocument/2006/relationships" ref="L15" r:id="rId133"/>
    <hyperlink xmlns:r="http://schemas.openxmlformats.org/officeDocument/2006/relationships" ref="M15" r:id="rId134"/>
    <hyperlink xmlns:r="http://schemas.openxmlformats.org/officeDocument/2006/relationships" ref="N15" r:id="rId135"/>
    <hyperlink xmlns:r="http://schemas.openxmlformats.org/officeDocument/2006/relationships" ref="O15" r:id="rId136"/>
    <hyperlink xmlns:r="http://schemas.openxmlformats.org/officeDocument/2006/relationships" ref="P15" r:id="rId137"/>
    <hyperlink xmlns:r="http://schemas.openxmlformats.org/officeDocument/2006/relationships" ref="C20" r:id="rId138"/>
    <hyperlink xmlns:r="http://schemas.openxmlformats.org/officeDocument/2006/relationships" ref="C21" r:id="rId139"/>
    <hyperlink xmlns:r="http://schemas.openxmlformats.org/officeDocument/2006/relationships" ref="C22" r:id="rId140"/>
    <hyperlink xmlns:r="http://schemas.openxmlformats.org/officeDocument/2006/relationships" ref="C23" r:id="rId141"/>
    <hyperlink xmlns:r="http://schemas.openxmlformats.org/officeDocument/2006/relationships" ref="C24" r:id="rId142"/>
    <hyperlink xmlns:r="http://schemas.openxmlformats.org/officeDocument/2006/relationships" ref="C25" r:id="rId143"/>
    <hyperlink xmlns:r="http://schemas.openxmlformats.org/officeDocument/2006/relationships" ref="C26" r:id="rId144"/>
    <hyperlink xmlns:r="http://schemas.openxmlformats.org/officeDocument/2006/relationships" ref="C27" r:id="rId145"/>
    <hyperlink xmlns:r="http://schemas.openxmlformats.org/officeDocument/2006/relationships" ref="C28" r:id="rId146"/>
    <hyperlink xmlns:r="http://schemas.openxmlformats.org/officeDocument/2006/relationships" ref="C29" r:id="rId147"/>
    <hyperlink xmlns:r="http://schemas.openxmlformats.org/officeDocument/2006/relationships" ref="C30" r:id="rId148"/>
    <hyperlink xmlns:r="http://schemas.openxmlformats.org/officeDocument/2006/relationships" ref="C31" r:id="rId149"/>
    <hyperlink xmlns:r="http://schemas.openxmlformats.org/officeDocument/2006/relationships" ref="C32" r:id="rId1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2026-09-06T09:32:33Z</dcterms:created>
  <dcterms:modified xsi:type="dcterms:W3CDTF">2026-09-06T09:32:33Z</dcterms:modified>
</cp:coreProperties>
</file>