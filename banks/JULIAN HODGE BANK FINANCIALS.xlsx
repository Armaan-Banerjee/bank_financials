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8B4513"/>
        <bgColor rgb="008B451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Julian Hodge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'Overview'!U6</f>
            </strRef>
          </tx>
          <spPr>
            <a:ln xmlns:a="http://schemas.openxmlformats.org/drawingml/2006/main">
              <a:prstDash val="solid"/>
            </a:ln>
          </spPr>
          <cat>
            <numRef>
              <f>'Overview'!$V$5:$AL$5</f>
            </numRef>
          </cat>
          <val>
            <numRef>
              <f>'Overview'!$V$6:$AL$6</f>
            </numRef>
          </val>
        </ser>
        <ser>
          <idx val="1"/>
          <order val="1"/>
          <tx>
            <strRef>
              <f>'Overview'!U7</f>
            </strRef>
          </tx>
          <spPr>
            <a:ln xmlns:a="http://schemas.openxmlformats.org/drawingml/2006/main">
              <a:prstDash val="solid"/>
            </a:ln>
          </spPr>
          <cat>
            <numRef>
              <f>'Overview'!$V$5:$AL$5</f>
            </numRef>
          </cat>
          <val>
            <numRef>
              <f>'Overview'!$V$7:$AL$7</f>
            </numRef>
          </val>
        </ser>
        <ser>
          <idx val="2"/>
          <order val="2"/>
          <tx>
            <strRef>
              <f>'Overview'!U8</f>
            </strRef>
          </tx>
          <spPr>
            <a:ln xmlns:a="http://schemas.openxmlformats.org/drawingml/2006/main">
              <a:prstDash val="solid"/>
            </a:ln>
          </spPr>
          <cat>
            <numRef>
              <f>'Overview'!$V$5:$AL$5</f>
            </numRef>
          </cat>
          <val>
            <numRef>
              <f>'Overview'!$V$8:$AL$8</f>
            </numRef>
          </val>
        </ser>
        <ser>
          <idx val="3"/>
          <order val="3"/>
          <tx>
            <strRef>
              <f>'Overview'!U9</f>
            </strRef>
          </tx>
          <spPr>
            <a:ln xmlns:a="http://schemas.openxmlformats.org/drawingml/2006/main">
              <a:prstDash val="solid"/>
            </a:ln>
          </spPr>
          <cat>
            <numRef>
              <f>'Overview'!$V$5:$AL$5</f>
            </numRef>
          </cat>
          <val>
            <numRef>
              <f>'Overview'!$V$9:$AL$9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Julian Hodge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'Overview'!AO13</f>
            </strRef>
          </tx>
          <spPr>
            <a:ln xmlns:a="http://schemas.openxmlformats.org/drawingml/2006/main">
              <a:prstDash val="solid"/>
            </a:ln>
          </spPr>
          <cat>
            <numRef>
              <f>'Overview'!$AP$12:$BF$12</f>
            </numRef>
          </cat>
          <val>
            <numRef>
              <f>'Overview'!$AP$13:$BF$13</f>
            </numRef>
          </val>
        </ser>
        <ser>
          <idx val="1"/>
          <order val="1"/>
          <tx>
            <strRef>
              <f>'Overview'!AO14</f>
            </strRef>
          </tx>
          <spPr>
            <a:ln xmlns:a="http://schemas.openxmlformats.org/drawingml/2006/main">
              <a:prstDash val="solid"/>
            </a:ln>
          </spPr>
          <cat>
            <numRef>
              <f>'Overview'!$AP$12:$BF$12</f>
            </numRef>
          </cat>
          <val>
            <numRef>
              <f>'Overview'!$AP$14:$BF$14</f>
            </numRef>
          </val>
        </ser>
        <ser>
          <idx val="2"/>
          <order val="2"/>
          <tx>
            <strRef>
              <f>'Overview'!AO15</f>
            </strRef>
          </tx>
          <spPr>
            <a:ln xmlns:a="http://schemas.openxmlformats.org/drawingml/2006/main">
              <a:prstDash val="solid"/>
            </a:ln>
          </spPr>
          <cat>
            <numRef>
              <f>'Overview'!$AP$12:$BF$12</f>
            </numRef>
          </cat>
          <val>
            <numRef>
              <f>'Overview'!$AP$15:$BF$15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Julian Hodge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'Overview'!BI19</f>
            </strRef>
          </tx>
          <spPr>
            <a:ln xmlns:a="http://schemas.openxmlformats.org/drawingml/2006/main">
              <a:prstDash val="solid"/>
            </a:ln>
          </spPr>
          <cat>
            <numRef>
              <f>'Overview'!$BJ$18:$BU$18</f>
            </numRef>
          </cat>
          <val>
            <numRef>
              <f>'Overview'!$BJ$19:$BU$19</f>
            </numRef>
          </val>
        </ser>
        <ser>
          <idx val="1"/>
          <order val="1"/>
          <tx>
            <strRef>
              <f>'Overview'!BI20</f>
            </strRef>
          </tx>
          <spPr>
            <a:ln xmlns:a="http://schemas.openxmlformats.org/drawingml/2006/main">
              <a:prstDash val="solid"/>
            </a:ln>
          </spPr>
          <cat>
            <numRef>
              <f>'Overview'!$BJ$18:$BU$18</f>
            </numRef>
          </cat>
          <val>
            <numRef>
              <f>'Overview'!$BJ$20:$BU$20</f>
            </numRef>
          </val>
        </ser>
        <ser>
          <idx val="2"/>
          <order val="2"/>
          <tx>
            <strRef>
              <f>'Overview'!BI21</f>
            </strRef>
          </tx>
          <spPr>
            <a:ln xmlns:a="http://schemas.openxmlformats.org/drawingml/2006/main">
              <a:prstDash val="solid"/>
            </a:ln>
          </spPr>
          <cat>
            <numRef>
              <f>'Overview'!$BJ$18:$BU$18</f>
            </numRef>
          </cat>
          <val>
            <numRef>
              <f>'Overview'!$BJ$21:$BU$21</f>
            </numRef>
          </val>
        </ser>
        <ser>
          <idx val="3"/>
          <order val="3"/>
          <tx>
            <strRef>
              <f>'Overview'!BI22</f>
            </strRef>
          </tx>
          <spPr>
            <a:ln xmlns:a="http://schemas.openxmlformats.org/drawingml/2006/main">
              <a:prstDash val="solid"/>
            </a:ln>
          </spPr>
          <cat>
            <numRef>
              <f>'Overview'!$BJ$18:$BU$18</f>
            </numRef>
          </cat>
          <val>
            <numRef>
              <f>'Overview'!$BJ$22:$BU$22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Julian Hodge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'Overview'!BX6</f>
            </strRef>
          </tx>
          <spPr>
            <a:ln xmlns:a="http://schemas.openxmlformats.org/drawingml/2006/main">
              <a:prstDash val="solid"/>
            </a:ln>
          </spPr>
          <marker>
            <symbol val="none"/>
            <spPr>
              <a:ln xmlns:a="http://schemas.openxmlformats.org/drawingml/2006/main">
                <a:prstDash val="solid"/>
              </a:ln>
            </spPr>
          </marker>
          <cat>
            <numRef>
              <f>'Overview'!$BY$5:$CH$5</f>
            </numRef>
          </cat>
          <val>
            <numRef>
              <f>'Overview'!$BY$6:$CH$6</f>
            </numRef>
          </val>
          <smooth val="0"/>
        </ser>
        <ser>
          <idx val="1"/>
          <order val="1"/>
          <tx>
            <strRef>
              <f>'Overview'!BX7</f>
            </strRef>
          </tx>
          <spPr>
            <a:ln xmlns:a="http://schemas.openxmlformats.org/drawingml/2006/main">
              <a:prstDash val="solid"/>
            </a:ln>
          </spPr>
          <marker>
            <symbol val="none"/>
            <spPr>
              <a:ln xmlns:a="http://schemas.openxmlformats.org/drawingml/2006/main">
                <a:prstDash val="solid"/>
              </a:ln>
            </spPr>
          </marker>
          <cat>
            <numRef>
              <f>'Overview'!$BY$5:$CH$5</f>
            </numRef>
          </cat>
          <val>
            <numRef>
              <f>'Overview'!$BY$7:$CH$7</f>
            </numRef>
          </val>
          <smooth val="0"/>
        </ser>
        <ser>
          <idx val="2"/>
          <order val="2"/>
          <tx>
            <strRef>
              <f>'Overview'!BX8</f>
            </strRef>
          </tx>
          <spPr>
            <a:ln xmlns:a="http://schemas.openxmlformats.org/drawingml/2006/main">
              <a:prstDash val="solid"/>
            </a:ln>
          </spPr>
          <marker>
            <symbol val="none"/>
            <spPr>
              <a:ln xmlns:a="http://schemas.openxmlformats.org/drawingml/2006/main">
                <a:prstDash val="solid"/>
              </a:ln>
            </spPr>
          </marker>
          <cat>
            <numRef>
              <f>'Overview'!$BY$5:$CH$5</f>
            </numRef>
          </cat>
          <val>
            <numRef>
              <f>'Overview'!$BY$8:$CH$8</f>
            </numRef>
          </val>
          <smooth val="0"/>
        </ser>
        <ser>
          <idx val="3"/>
          <order val="3"/>
          <tx>
            <strRef>
              <f>'Overview'!BX9</f>
            </strRef>
          </tx>
          <spPr>
            <a:ln xmlns:a="http://schemas.openxmlformats.org/drawingml/2006/main">
              <a:prstDash val="solid"/>
            </a:ln>
          </spPr>
          <marker>
            <symbol val="none"/>
            <spPr>
              <a:ln xmlns:a="http://schemas.openxmlformats.org/drawingml/2006/main">
                <a:prstDash val="solid"/>
              </a:ln>
            </spPr>
          </marker>
          <cat>
            <numRef>
              <f>'Overview'!$BY$5:$CH$5</f>
            </numRef>
          </cat>
          <val>
            <numRef>
              <f>'Overview'!$BY$9:$CH$9</f>
            </numRef>
          </val>
          <smooth val="0"/>
        </ser>
        <ser>
          <idx val="4"/>
          <order val="4"/>
          <tx>
            <strRef>
              <f>'Overview'!BX10</f>
            </strRef>
          </tx>
          <spPr>
            <a:ln xmlns:a="http://schemas.openxmlformats.org/drawingml/2006/main">
              <a:prstDash val="solid"/>
            </a:ln>
          </spPr>
          <marker>
            <symbol val="none"/>
            <spPr>
              <a:ln xmlns:a="http://schemas.openxmlformats.org/drawingml/2006/main">
                <a:prstDash val="solid"/>
              </a:ln>
            </spPr>
          </marker>
          <cat>
            <numRef>
              <f>'Overview'!$BY$5:$CH$5</f>
            </numRef>
          </cat>
          <val>
            <numRef>
              <f>'Overview'!$BY$10:$CH$10</f>
            </numRef>
          </val>
          <smooth val="0"/>
        </ser>
        <ser>
          <idx val="5"/>
          <order val="5"/>
          <tx>
            <strRef>
              <f>'Overview'!BX11</f>
            </strRef>
          </tx>
          <spPr>
            <a:ln xmlns:a="http://schemas.openxmlformats.org/drawingml/2006/main">
              <a:prstDash val="solid"/>
            </a:ln>
          </spPr>
          <marker>
            <symbol val="none"/>
            <spPr>
              <a:ln xmlns:a="http://schemas.openxmlformats.org/drawingml/2006/main">
                <a:prstDash val="solid"/>
              </a:ln>
            </spPr>
          </marker>
          <cat>
            <numRef>
              <f>'Overview'!$BY$5:$CH$5</f>
            </numRef>
          </cat>
          <val>
            <numRef>
              <f>'Overview'!$BY$11:$CH$11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37</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59</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81</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103</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H35"/>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s>
  <sheetData>
    <row r="1">
      <c r="A1" s="1" t="inlineStr">
        <is>
          <t>Julian Hodge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N5" s="4" t="inlineStr">
        <is>
          <t>FY2013</t>
        </is>
      </c>
      <c r="O5" s="4" t="inlineStr">
        <is>
          <t>FY2012</t>
        </is>
      </c>
      <c r="P5" s="4" t="inlineStr">
        <is>
          <t>FY2011</t>
        </is>
      </c>
      <c r="Q5" s="4" t="inlineStr">
        <is>
          <t>FY2010</t>
        </is>
      </c>
      <c r="R5" s="4" t="inlineStr">
        <is>
          <t>FY2009</t>
        </is>
      </c>
      <c r="V5" t="inlineStr">
        <is>
          <t>FY2009</t>
        </is>
      </c>
      <c r="W5" t="inlineStr">
        <is>
          <t>FY2010</t>
        </is>
      </c>
      <c r="X5" t="inlineStr">
        <is>
          <t>FY2011</t>
        </is>
      </c>
      <c r="Y5" t="inlineStr">
        <is>
          <t>FY2012</t>
        </is>
      </c>
      <c r="Z5" t="inlineStr">
        <is>
          <t>FY2013</t>
        </is>
      </c>
      <c r="AA5" t="inlineStr">
        <is>
          <t>FY2014</t>
        </is>
      </c>
      <c r="AB5" t="inlineStr">
        <is>
          <t>FY2015</t>
        </is>
      </c>
      <c r="AC5" t="inlineStr">
        <is>
          <t>FY2016</t>
        </is>
      </c>
      <c r="AD5" t="inlineStr">
        <is>
          <t>FY2017</t>
        </is>
      </c>
      <c r="AE5" t="inlineStr">
        <is>
          <t>FY2018</t>
        </is>
      </c>
      <c r="AF5" t="inlineStr">
        <is>
          <t>FY2019</t>
        </is>
      </c>
      <c r="AG5" t="inlineStr">
        <is>
          <t>FY2020</t>
        </is>
      </c>
      <c r="AH5" t="inlineStr">
        <is>
          <t>FY2021</t>
        </is>
      </c>
      <c r="AI5" t="inlineStr">
        <is>
          <t>FY2022</t>
        </is>
      </c>
      <c r="AJ5" t="inlineStr">
        <is>
          <t>FY2023</t>
        </is>
      </c>
      <c r="AK5" t="inlineStr">
        <is>
          <t>FY2024</t>
        </is>
      </c>
      <c r="AL5" t="inlineStr">
        <is>
          <t>FY2025</t>
        </is>
      </c>
      <c r="BY5" t="inlineStr">
        <is>
          <t>FY2016</t>
        </is>
      </c>
      <c r="BZ5" t="inlineStr">
        <is>
          <t>FY2017</t>
        </is>
      </c>
      <c r="CA5" t="inlineStr">
        <is>
          <t>FY2018</t>
        </is>
      </c>
      <c r="CB5" t="inlineStr">
        <is>
          <t>FY2019</t>
        </is>
      </c>
      <c r="CC5" t="inlineStr">
        <is>
          <t>FY2020</t>
        </is>
      </c>
      <c r="CD5" t="inlineStr">
        <is>
          <t>FY2021</t>
        </is>
      </c>
      <c r="CE5" t="inlineStr">
        <is>
          <t>FY2022</t>
        </is>
      </c>
      <c r="CF5" t="inlineStr">
        <is>
          <t>FY2023</t>
        </is>
      </c>
      <c r="CG5" t="inlineStr">
        <is>
          <t>FY2024</t>
        </is>
      </c>
      <c r="CH5" t="inlineStr">
        <is>
          <t>FY2025</t>
        </is>
      </c>
    </row>
    <row r="6">
      <c r="A6" s="5" t="inlineStr">
        <is>
          <t>Total assets</t>
        </is>
      </c>
      <c r="B6" s="5" t="n">
        <v>2122.6</v>
      </c>
      <c r="C6" s="5" t="n">
        <v>2008.8</v>
      </c>
      <c r="D6" s="5" t="n">
        <v>1823.1</v>
      </c>
      <c r="E6" s="5" t="n">
        <v>1860.8</v>
      </c>
      <c r="F6" s="5" t="n">
        <v>1713.4</v>
      </c>
      <c r="G6" s="5" t="n">
        <v>1409.2</v>
      </c>
      <c r="H6" s="5" t="n">
        <v>1378.7</v>
      </c>
      <c r="I6" s="5" t="n">
        <v>1363.4</v>
      </c>
      <c r="J6" s="5" t="n">
        <v>1267.4</v>
      </c>
      <c r="K6" s="5" t="n">
        <v>1316.8</v>
      </c>
      <c r="L6" s="5" t="n">
        <v>999</v>
      </c>
      <c r="M6" s="5" t="n">
        <v>784.7</v>
      </c>
      <c r="N6" s="5" t="n">
        <v>726.5</v>
      </c>
      <c r="O6" s="5" t="n">
        <v>802.5</v>
      </c>
      <c r="P6" s="5" t="n">
        <v>710.9</v>
      </c>
      <c r="Q6" s="5" t="n">
        <v>825.3</v>
      </c>
      <c r="R6" s="5" t="n">
        <v>738</v>
      </c>
      <c r="U6" t="inlineStr">
        <is>
          <t>Total assets</t>
        </is>
      </c>
      <c r="V6" t="n">
        <v>738</v>
      </c>
      <c r="W6" t="n">
        <v>825.3</v>
      </c>
      <c r="X6" t="n">
        <v>710.9</v>
      </c>
      <c r="Y6" t="n">
        <v>802.5</v>
      </c>
      <c r="Z6" t="n">
        <v>726.5</v>
      </c>
      <c r="AA6" t="n">
        <v>784.7</v>
      </c>
      <c r="AB6" t="n">
        <v>999</v>
      </c>
      <c r="AC6" t="n">
        <v>1316.8</v>
      </c>
      <c r="AD6" t="n">
        <v>1267.4</v>
      </c>
      <c r="AE6" t="n">
        <v>1363.4</v>
      </c>
      <c r="AF6" t="n">
        <v>1378.7</v>
      </c>
      <c r="AG6" t="n">
        <v>1409.2</v>
      </c>
      <c r="AH6" t="n">
        <v>1713.4</v>
      </c>
      <c r="AI6" t="n">
        <v>1860.8</v>
      </c>
      <c r="AJ6" t="n">
        <v>1823.1</v>
      </c>
      <c r="AK6" t="n">
        <v>2008.8</v>
      </c>
      <c r="AL6" t="n">
        <v>2122.6</v>
      </c>
      <c r="BX6" t="inlineStr">
        <is>
          <t>CET1 Ratio</t>
        </is>
      </c>
      <c r="BY6" t="n">
        <v>19.2</v>
      </c>
      <c r="BZ6" t="n">
        <v>21.1</v>
      </c>
      <c r="CA6" t="n">
        <v>22.3</v>
      </c>
      <c r="CB6" t="n">
        <v>23</v>
      </c>
      <c r="CC6" t="n">
        <v>19.7</v>
      </c>
      <c r="CD6" t="n">
        <v>20.2</v>
      </c>
      <c r="CE6" t="n">
        <v>25.2</v>
      </c>
      <c r="CF6" t="n">
        <v>24.5</v>
      </c>
      <c r="CG6" t="n">
        <v>19.8</v>
      </c>
      <c r="CH6" t="n">
        <v>17.5</v>
      </c>
    </row>
    <row r="7">
      <c r="A7" s="5" t="inlineStr">
        <is>
          <t>Loans and advances to customers</t>
        </is>
      </c>
      <c r="B7" s="5" t="n">
        <v>1839.7</v>
      </c>
      <c r="C7" s="5" t="n">
        <v>1699.3</v>
      </c>
      <c r="D7" s="5" t="n">
        <v>1488.5</v>
      </c>
      <c r="E7" s="5" t="n">
        <v>1404.6</v>
      </c>
      <c r="F7" s="5" t="n">
        <v>1061.5</v>
      </c>
      <c r="G7" s="5" t="n">
        <v>930.8</v>
      </c>
      <c r="H7" s="5" t="n">
        <v>766.9</v>
      </c>
      <c r="I7" s="5" t="n">
        <v>827.9</v>
      </c>
      <c r="J7" s="5" t="n">
        <v>757.9</v>
      </c>
      <c r="K7" s="5" t="n">
        <v>706.9</v>
      </c>
      <c r="L7" s="5" t="n">
        <v>557.5</v>
      </c>
      <c r="M7" s="5" t="n">
        <v>440.8</v>
      </c>
      <c r="N7" s="5" t="n">
        <v>384</v>
      </c>
      <c r="O7" s="5" t="n">
        <v>358.8</v>
      </c>
      <c r="P7" s="5" t="n">
        <v>362.8</v>
      </c>
      <c r="Q7" s="5" t="n">
        <v>398.4</v>
      </c>
      <c r="R7" s="5" t="n">
        <v>470.2</v>
      </c>
      <c r="U7" t="inlineStr">
        <is>
          <t>Loans and advances to customers</t>
        </is>
      </c>
      <c r="V7" t="n">
        <v>470.2</v>
      </c>
      <c r="W7" t="n">
        <v>398.4</v>
      </c>
      <c r="X7" t="n">
        <v>362.8</v>
      </c>
      <c r="Y7" t="n">
        <v>358.8</v>
      </c>
      <c r="Z7" t="n">
        <v>384</v>
      </c>
      <c r="AA7" t="n">
        <v>440.8</v>
      </c>
      <c r="AB7" t="n">
        <v>557.5</v>
      </c>
      <c r="AC7" t="n">
        <v>706.9</v>
      </c>
      <c r="AD7" t="n">
        <v>757.9</v>
      </c>
      <c r="AE7" t="n">
        <v>827.9</v>
      </c>
      <c r="AF7" t="n">
        <v>766.9</v>
      </c>
      <c r="AG7" t="n">
        <v>930.8</v>
      </c>
      <c r="AH7" t="n">
        <v>1061.5</v>
      </c>
      <c r="AI7" t="n">
        <v>1404.6</v>
      </c>
      <c r="AJ7" t="n">
        <v>1488.5</v>
      </c>
      <c r="AK7" t="n">
        <v>1699.3</v>
      </c>
      <c r="AL7" t="n">
        <v>1839.7</v>
      </c>
      <c r="BX7" t="inlineStr">
        <is>
          <t>Tier 1 Ratio</t>
        </is>
      </c>
      <c r="BY7" t="n">
        <v>19.2</v>
      </c>
      <c r="BZ7" t="n">
        <v>21.1</v>
      </c>
      <c r="CA7" t="n">
        <v>22.3</v>
      </c>
      <c r="CB7" t="n">
        <v>23</v>
      </c>
      <c r="CC7" t="n">
        <v>19.7</v>
      </c>
      <c r="CD7" t="n">
        <v>20.2</v>
      </c>
      <c r="CE7" t="n">
        <v>25.2</v>
      </c>
      <c r="CF7" t="n">
        <v>24.5</v>
      </c>
      <c r="CG7" t="n">
        <v>19.8</v>
      </c>
      <c r="CH7" t="n">
        <v>17.5</v>
      </c>
    </row>
    <row r="8">
      <c r="A8" s="5" t="inlineStr">
        <is>
          <t>Deposits from customers</t>
        </is>
      </c>
      <c r="B8" s="5" t="n">
        <v>1860.3</v>
      </c>
      <c r="C8" s="5" t="n">
        <v>1639.4</v>
      </c>
      <c r="D8" s="5" t="n">
        <v>1368.1</v>
      </c>
      <c r="E8" s="5" t="n">
        <v>1425</v>
      </c>
      <c r="F8" s="5" t="n">
        <v>1381</v>
      </c>
      <c r="G8" s="5" t="n">
        <v>1071.4</v>
      </c>
      <c r="H8" s="5" t="n">
        <v>1042.8</v>
      </c>
      <c r="I8" s="5" t="n">
        <v>994.6</v>
      </c>
      <c r="J8" s="5" t="n">
        <v>947.7</v>
      </c>
      <c r="K8" s="5" t="n">
        <v>991.7</v>
      </c>
      <c r="L8" s="5" t="n">
        <v>848.6</v>
      </c>
      <c r="M8" s="5" t="n">
        <v>633.2</v>
      </c>
      <c r="N8" s="5" t="n">
        <v>583.6</v>
      </c>
      <c r="O8" s="5" t="n">
        <v>658.9</v>
      </c>
      <c r="P8" s="5" t="n">
        <v>579.6</v>
      </c>
      <c r="Q8" s="5" t="n">
        <v>696.2</v>
      </c>
      <c r="R8" s="5" t="n">
        <v>610.5</v>
      </c>
      <c r="U8" t="inlineStr">
        <is>
          <t>Deposits from customers</t>
        </is>
      </c>
      <c r="V8" t="n">
        <v>610.5</v>
      </c>
      <c r="W8" t="n">
        <v>696.2</v>
      </c>
      <c r="X8" t="n">
        <v>579.6</v>
      </c>
      <c r="Y8" t="n">
        <v>658.9</v>
      </c>
      <c r="Z8" t="n">
        <v>583.6</v>
      </c>
      <c r="AA8" t="n">
        <v>633.2</v>
      </c>
      <c r="AB8" t="n">
        <v>848.6</v>
      </c>
      <c r="AC8" t="n">
        <v>991.7</v>
      </c>
      <c r="AD8" t="n">
        <v>947.7</v>
      </c>
      <c r="AE8" t="n">
        <v>994.6</v>
      </c>
      <c r="AF8" t="n">
        <v>1042.8</v>
      </c>
      <c r="AG8" t="n">
        <v>1071.4</v>
      </c>
      <c r="AH8" t="n">
        <v>1381</v>
      </c>
      <c r="AI8" t="n">
        <v>1425</v>
      </c>
      <c r="AJ8" t="n">
        <v>1368.1</v>
      </c>
      <c r="AK8" t="n">
        <v>1639.4</v>
      </c>
      <c r="AL8" t="n">
        <v>1860.3</v>
      </c>
      <c r="BX8" t="inlineStr">
        <is>
          <t>Total Capital Ratio</t>
        </is>
      </c>
      <c r="BY8" t="n">
        <v>19.2</v>
      </c>
      <c r="BZ8" t="n">
        <v>21.2</v>
      </c>
      <c r="CA8" t="n">
        <v>22.3</v>
      </c>
      <c r="CB8" t="n">
        <v>23</v>
      </c>
      <c r="CC8" t="n">
        <v>19.7</v>
      </c>
      <c r="CD8" t="n">
        <v>20.2</v>
      </c>
      <c r="CE8" t="n">
        <v>25.2</v>
      </c>
      <c r="CF8" t="n">
        <v>24.5</v>
      </c>
      <c r="CG8" t="n">
        <v>19.8</v>
      </c>
      <c r="CH8" t="n">
        <v>17.5</v>
      </c>
    </row>
    <row r="9">
      <c r="A9" s="5" t="inlineStr">
        <is>
          <t>Total equity</t>
        </is>
      </c>
      <c r="B9" s="5" t="n">
        <v>179.8</v>
      </c>
      <c r="C9" s="5" t="n">
        <v>183.2</v>
      </c>
      <c r="D9" s="5" t="n">
        <v>183.8</v>
      </c>
      <c r="E9" s="5" t="n">
        <v>185</v>
      </c>
      <c r="F9" s="5" t="n">
        <v>148.6</v>
      </c>
      <c r="G9" s="5" t="n">
        <v>141</v>
      </c>
      <c r="H9" s="5" t="n">
        <v>160.3</v>
      </c>
      <c r="I9" s="5" t="n">
        <v>171.7</v>
      </c>
      <c r="J9" s="5" t="n">
        <v>167.3</v>
      </c>
      <c r="K9" s="5" t="n">
        <v>146.3</v>
      </c>
      <c r="L9" s="5" t="n">
        <v>133.7</v>
      </c>
      <c r="M9" s="5" t="n">
        <v>132</v>
      </c>
      <c r="N9" s="5" t="n">
        <v>128.2</v>
      </c>
      <c r="O9" s="5" t="n">
        <v>125.6</v>
      </c>
      <c r="P9" s="5" t="n">
        <v>124.7</v>
      </c>
      <c r="Q9" s="5" t="n">
        <v>124.1</v>
      </c>
      <c r="R9" s="5" t="n">
        <v>122.1</v>
      </c>
      <c r="U9" t="inlineStr">
        <is>
          <t>Total equity</t>
        </is>
      </c>
      <c r="V9" t="n">
        <v>122.1</v>
      </c>
      <c r="W9" t="n">
        <v>124.1</v>
      </c>
      <c r="X9" t="n">
        <v>124.7</v>
      </c>
      <c r="Y9" t="n">
        <v>125.6</v>
      </c>
      <c r="Z9" t="n">
        <v>128.2</v>
      </c>
      <c r="AA9" t="n">
        <v>132</v>
      </c>
      <c r="AB9" t="n">
        <v>133.7</v>
      </c>
      <c r="AC9" t="n">
        <v>146.3</v>
      </c>
      <c r="AD9" t="n">
        <v>167.3</v>
      </c>
      <c r="AE9" t="n">
        <v>171.7</v>
      </c>
      <c r="AF9" t="n">
        <v>160.3</v>
      </c>
      <c r="AG9" t="n">
        <v>141</v>
      </c>
      <c r="AH9" t="n">
        <v>148.6</v>
      </c>
      <c r="AI9" t="n">
        <v>185</v>
      </c>
      <c r="AJ9" t="n">
        <v>183.8</v>
      </c>
      <c r="AK9" t="n">
        <v>183.2</v>
      </c>
      <c r="AL9" t="n">
        <v>179.8</v>
      </c>
      <c r="BX9" t="inlineStr">
        <is>
          <t>Leverage Ratio (incl. claims on central banks - the only basis comparable across all years; see note)</t>
        </is>
      </c>
      <c r="BY9" t="n">
        <v>9.5</v>
      </c>
      <c r="BZ9" t="n">
        <v>11.4</v>
      </c>
      <c r="CA9" t="n">
        <v>11.9</v>
      </c>
      <c r="CB9" t="n">
        <v>11.2</v>
      </c>
      <c r="CC9" t="n">
        <v>9.6</v>
      </c>
      <c r="CD9" t="n">
        <v>8.300000000000001</v>
      </c>
      <c r="CE9" t="n">
        <v>9.6</v>
      </c>
      <c r="CF9" t="n">
        <v>9.6</v>
      </c>
      <c r="CG9" t="n">
        <v>8.4</v>
      </c>
      <c r="CH9" t="n">
        <v>8.1</v>
      </c>
    </row>
    <row r="10">
      <c r="BX10" t="inlineStr">
        <is>
          <t>LCR</t>
        </is>
      </c>
      <c r="CA10" t="n">
        <v>236.9</v>
      </c>
      <c r="CB10" t="n">
        <v>516.9</v>
      </c>
      <c r="CC10" t="n">
        <v>272.9</v>
      </c>
      <c r="CD10" t="n">
        <v>349.6</v>
      </c>
      <c r="CE10" t="n">
        <v>252</v>
      </c>
      <c r="CF10" t="n">
        <v>176.9</v>
      </c>
      <c r="CG10" t="n">
        <v>274</v>
      </c>
      <c r="CH10" t="n">
        <v>310.7</v>
      </c>
    </row>
    <row r="11">
      <c r="A11" s="3" t="inlineStr">
        <is>
          <t>Profit &amp; Loss Summary (£m)</t>
        </is>
      </c>
      <c r="BX11" t="inlineStr">
        <is>
          <t>NSFR</t>
        </is>
      </c>
      <c r="CB11" t="n">
        <v>217.6</v>
      </c>
      <c r="CC11" t="n">
        <v>154.6</v>
      </c>
      <c r="CD11" t="n">
        <v>168.1</v>
      </c>
      <c r="CE11" t="n">
        <v>143</v>
      </c>
      <c r="CF11" t="n">
        <v>150.5</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N12" s="4" t="inlineStr">
        <is>
          <t>FY2013</t>
        </is>
      </c>
      <c r="O12" s="4" t="inlineStr">
        <is>
          <t>FY2012</t>
        </is>
      </c>
      <c r="P12" s="4" t="inlineStr">
        <is>
          <t>FY2011</t>
        </is>
      </c>
      <c r="Q12" s="4" t="inlineStr">
        <is>
          <t>FY2010</t>
        </is>
      </c>
      <c r="R12" s="4" t="inlineStr">
        <is>
          <t>FY2009</t>
        </is>
      </c>
      <c r="AP12" t="inlineStr">
        <is>
          <t>FY2009</t>
        </is>
      </c>
      <c r="AQ12" t="inlineStr">
        <is>
          <t>FY2010</t>
        </is>
      </c>
      <c r="AR12" t="inlineStr">
        <is>
          <t>FY2011</t>
        </is>
      </c>
      <c r="AS12" t="inlineStr">
        <is>
          <t>FY2012</t>
        </is>
      </c>
      <c r="AT12" t="inlineStr">
        <is>
          <t>FY2013</t>
        </is>
      </c>
      <c r="AU12" t="inlineStr">
        <is>
          <t>FY2014</t>
        </is>
      </c>
      <c r="AV12" t="inlineStr">
        <is>
          <t>FY2015</t>
        </is>
      </c>
      <c r="AW12" t="inlineStr">
        <is>
          <t>FY2016</t>
        </is>
      </c>
      <c r="AX12" t="inlineStr">
        <is>
          <t>FY2017</t>
        </is>
      </c>
      <c r="AY12" t="inlineStr">
        <is>
          <t>FY2018</t>
        </is>
      </c>
      <c r="AZ12" t="inlineStr">
        <is>
          <t>FY2019</t>
        </is>
      </c>
      <c r="BA12" t="inlineStr">
        <is>
          <t>FY2020</t>
        </is>
      </c>
      <c r="BB12" t="inlineStr">
        <is>
          <t>FY2021</t>
        </is>
      </c>
      <c r="BC12" t="inlineStr">
        <is>
          <t>FY2022</t>
        </is>
      </c>
      <c r="BD12" t="inlineStr">
        <is>
          <t>FY2023</t>
        </is>
      </c>
      <c r="BE12" t="inlineStr">
        <is>
          <t>FY2024</t>
        </is>
      </c>
      <c r="BF12" t="inlineStr">
        <is>
          <t>FY2025</t>
        </is>
      </c>
    </row>
    <row r="13">
      <c r="A13" s="5" t="inlineStr">
        <is>
          <t>Net interest income</t>
        </is>
      </c>
      <c r="B13" s="5" t="n">
        <v>41.8</v>
      </c>
      <c r="C13" s="5" t="n">
        <v>39.7</v>
      </c>
      <c r="D13" s="5" t="n">
        <v>39.4</v>
      </c>
      <c r="E13" s="5" t="n">
        <v>29.4</v>
      </c>
      <c r="F13" s="5" t="n">
        <v>17.6</v>
      </c>
      <c r="G13" s="5" t="n">
        <v>15.6</v>
      </c>
      <c r="H13" s="5" t="n">
        <v>20.2</v>
      </c>
      <c r="I13" s="5" t="n">
        <v>18.3</v>
      </c>
      <c r="J13" s="5" t="n">
        <v>13.9</v>
      </c>
      <c r="K13" s="5" t="n">
        <v>13.2</v>
      </c>
      <c r="L13" s="5" t="n">
        <v>5.6</v>
      </c>
      <c r="M13" s="5" t="n">
        <v>2.9</v>
      </c>
      <c r="N13" s="5" t="n">
        <v>-1.9</v>
      </c>
      <c r="O13" s="5" t="n">
        <v>-1.8</v>
      </c>
      <c r="P13" s="5" t="n">
        <v>0.2</v>
      </c>
      <c r="Q13" s="5" t="n">
        <v>2.4</v>
      </c>
      <c r="R13" s="5" t="n">
        <v>7.4</v>
      </c>
      <c r="AO13" t="inlineStr">
        <is>
          <t>Net interest income</t>
        </is>
      </c>
      <c r="AP13" t="n">
        <v>7.4</v>
      </c>
      <c r="AQ13" t="n">
        <v>2.4</v>
      </c>
      <c r="AR13" t="n">
        <v>0.2</v>
      </c>
      <c r="AS13" t="n">
        <v>-1.8</v>
      </c>
      <c r="AT13" t="n">
        <v>-1.9</v>
      </c>
      <c r="AU13" t="n">
        <v>2.9</v>
      </c>
      <c r="AV13" t="n">
        <v>5.6</v>
      </c>
      <c r="AW13" t="n">
        <v>13.2</v>
      </c>
      <c r="AX13" t="n">
        <v>13.9</v>
      </c>
      <c r="AY13" t="n">
        <v>18.3</v>
      </c>
      <c r="AZ13" t="n">
        <v>20.2</v>
      </c>
      <c r="BA13" t="n">
        <v>15.6</v>
      </c>
      <c r="BB13" t="n">
        <v>17.6</v>
      </c>
      <c r="BC13" t="n">
        <v>29.4</v>
      </c>
      <c r="BD13" t="n">
        <v>39.4</v>
      </c>
      <c r="BE13" t="n">
        <v>39.7</v>
      </c>
      <c r="BF13" t="n">
        <v>41.8</v>
      </c>
    </row>
    <row r="14">
      <c r="A14" s="5" t="inlineStr">
        <is>
          <t>Net operating income</t>
        </is>
      </c>
      <c r="B14" s="5" t="n">
        <v>39.8</v>
      </c>
      <c r="C14" s="5" t="n">
        <v>41.9</v>
      </c>
      <c r="D14" s="5" t="n">
        <v>46.6</v>
      </c>
      <c r="E14" s="5" t="n">
        <v>38.6</v>
      </c>
      <c r="F14" s="5" t="n">
        <v>26.2</v>
      </c>
      <c r="G14" s="5" t="n">
        <v>20.9</v>
      </c>
      <c r="H14" s="5" t="n">
        <v>28</v>
      </c>
      <c r="I14" s="5" t="n">
        <v>18.2</v>
      </c>
      <c r="J14" s="5" t="n">
        <v>19.3</v>
      </c>
      <c r="K14" s="5" t="n">
        <v>33.5</v>
      </c>
      <c r="L14" s="5" t="n">
        <v>13</v>
      </c>
      <c r="M14" s="5" t="n">
        <v>9.300000000000001</v>
      </c>
      <c r="N14" s="5" t="n">
        <v>8.199999999999999</v>
      </c>
      <c r="O14" s="5" t="n">
        <v>8.1</v>
      </c>
      <c r="P14" s="5" t="n">
        <v>9</v>
      </c>
      <c r="Q14" s="5" t="n">
        <v>16.1</v>
      </c>
      <c r="R14" s="5" t="n">
        <v>13</v>
      </c>
      <c r="AO14" t="inlineStr">
        <is>
          <t>Net operating income</t>
        </is>
      </c>
      <c r="AP14" t="n">
        <v>13</v>
      </c>
      <c r="AQ14" t="n">
        <v>16.1</v>
      </c>
      <c r="AR14" t="n">
        <v>9</v>
      </c>
      <c r="AS14" t="n">
        <v>8.1</v>
      </c>
      <c r="AT14" t="n">
        <v>8.199999999999999</v>
      </c>
      <c r="AU14" t="n">
        <v>9.300000000000001</v>
      </c>
      <c r="AV14" t="n">
        <v>13</v>
      </c>
      <c r="AW14" t="n">
        <v>33.5</v>
      </c>
      <c r="AX14" t="n">
        <v>19.3</v>
      </c>
      <c r="AY14" t="n">
        <v>18.2</v>
      </c>
      <c r="AZ14" t="n">
        <v>28</v>
      </c>
      <c r="BA14" t="n">
        <v>20.9</v>
      </c>
      <c r="BB14" t="n">
        <v>26.2</v>
      </c>
      <c r="BC14" t="n">
        <v>38.6</v>
      </c>
      <c r="BD14" t="n">
        <v>46.6</v>
      </c>
      <c r="BE14" t="n">
        <v>41.9</v>
      </c>
      <c r="BF14" t="n">
        <v>39.8</v>
      </c>
    </row>
    <row r="15">
      <c r="A15" s="5" t="inlineStr">
        <is>
          <t>Profit/(loss) for the financial year</t>
        </is>
      </c>
      <c r="B15" s="5" t="n">
        <v>-3.9</v>
      </c>
      <c r="C15" s="5" t="n">
        <v>-1.7</v>
      </c>
      <c r="D15" s="5" t="n">
        <v>-0.2</v>
      </c>
      <c r="E15" s="5" t="n">
        <v>4.8</v>
      </c>
      <c r="F15" s="5" t="n">
        <v>5.8</v>
      </c>
      <c r="G15" s="5" t="n">
        <v>-15.9</v>
      </c>
      <c r="H15" s="5" t="n">
        <v>-5.7</v>
      </c>
      <c r="I15" s="5" t="n">
        <v>5.5</v>
      </c>
      <c r="J15" s="5" t="n">
        <v>10.2</v>
      </c>
      <c r="K15" s="5" t="n">
        <v>17.6</v>
      </c>
      <c r="L15" s="5" t="n">
        <v>4.3</v>
      </c>
      <c r="M15" s="5" t="n">
        <v>4.1</v>
      </c>
      <c r="N15" s="5" t="n">
        <v>3.5</v>
      </c>
      <c r="O15" s="5" t="n">
        <v>2.6</v>
      </c>
      <c r="P15" s="5" t="n">
        <v>2</v>
      </c>
      <c r="Q15" s="5" t="n">
        <v>1.3</v>
      </c>
      <c r="R15" s="5" t="n">
        <v>0.7</v>
      </c>
      <c r="AO15" t="inlineStr">
        <is>
          <t>Profit/(loss) for the financial year</t>
        </is>
      </c>
      <c r="AP15" t="n">
        <v>0.7</v>
      </c>
      <c r="AQ15" t="n">
        <v>1.3</v>
      </c>
      <c r="AR15" t="n">
        <v>2</v>
      </c>
      <c r="AS15" t="n">
        <v>2.6</v>
      </c>
      <c r="AT15" t="n">
        <v>3.5</v>
      </c>
      <c r="AU15" t="n">
        <v>4.1</v>
      </c>
      <c r="AV15" t="n">
        <v>4.3</v>
      </c>
      <c r="AW15" t="n">
        <v>17.6</v>
      </c>
      <c r="AX15" t="n">
        <v>10.2</v>
      </c>
      <c r="AY15" t="n">
        <v>5.5</v>
      </c>
      <c r="AZ15" t="n">
        <v>-5.7</v>
      </c>
      <c r="BA15" t="n">
        <v>-15.9</v>
      </c>
      <c r="BB15" t="n">
        <v>5.8</v>
      </c>
      <c r="BC15" t="n">
        <v>4.8</v>
      </c>
      <c r="BD15" t="n">
        <v>-0.2</v>
      </c>
      <c r="BE15" t="n">
        <v>-1.7</v>
      </c>
      <c r="BF15" t="n">
        <v>-3.9</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BJ18" t="inlineStr">
        <is>
          <t>FY2014</t>
        </is>
      </c>
      <c r="BK18" t="inlineStr">
        <is>
          <t>FY2015</t>
        </is>
      </c>
      <c r="BL18" t="inlineStr">
        <is>
          <t>FY2016</t>
        </is>
      </c>
      <c r="BM18" t="inlineStr">
        <is>
          <t>FY2017</t>
        </is>
      </c>
      <c r="BN18" t="inlineStr">
        <is>
          <t>FY2018</t>
        </is>
      </c>
      <c r="BO18" t="inlineStr">
        <is>
          <t>FY2019</t>
        </is>
      </c>
      <c r="BP18" t="inlineStr">
        <is>
          <t>FY2020</t>
        </is>
      </c>
      <c r="BQ18" t="inlineStr">
        <is>
          <t>FY2021</t>
        </is>
      </c>
      <c r="BR18" t="inlineStr">
        <is>
          <t>FY2022</t>
        </is>
      </c>
      <c r="BS18" t="inlineStr">
        <is>
          <t>FY2023</t>
        </is>
      </c>
      <c r="BT18" t="inlineStr">
        <is>
          <t>FY2024</t>
        </is>
      </c>
      <c r="BU18" t="inlineStr">
        <is>
          <t>FY2025</t>
        </is>
      </c>
    </row>
    <row r="19">
      <c r="A19" s="5" t="inlineStr">
        <is>
          <t>Opening equity</t>
        </is>
      </c>
      <c r="B19" s="5" t="n">
        <v>183.2</v>
      </c>
      <c r="C19" s="5" t="n">
        <v>183.8</v>
      </c>
      <c r="D19" s="5" t="n">
        <v>185</v>
      </c>
      <c r="E19" s="5" t="n">
        <v>148.6</v>
      </c>
      <c r="F19" s="5" t="n">
        <v>141</v>
      </c>
      <c r="G19" s="5" t="n">
        <v>160.3</v>
      </c>
      <c r="H19" s="5" t="n">
        <v>171.7</v>
      </c>
      <c r="I19" s="5" t="n">
        <v>167.3</v>
      </c>
      <c r="J19" s="5" t="n">
        <v>153.5</v>
      </c>
      <c r="K19" s="5" t="n">
        <v>133.3</v>
      </c>
      <c r="L19" s="5" t="n">
        <v>132</v>
      </c>
      <c r="M19" s="5" t="n">
        <v>128.2</v>
      </c>
      <c r="BI19" t="inlineStr">
        <is>
          <t>Opening equity</t>
        </is>
      </c>
      <c r="BJ19" t="n">
        <v>128.2</v>
      </c>
      <c r="BK19" t="n">
        <v>132</v>
      </c>
      <c r="BL19" t="n">
        <v>133.3</v>
      </c>
      <c r="BM19" t="n">
        <v>153.5</v>
      </c>
      <c r="BN19" t="n">
        <v>167.3</v>
      </c>
      <c r="BO19" t="n">
        <v>171.7</v>
      </c>
      <c r="BP19" t="n">
        <v>160.3</v>
      </c>
      <c r="BQ19" t="n">
        <v>141</v>
      </c>
      <c r="BR19" t="n">
        <v>148.6</v>
      </c>
      <c r="BS19" t="n">
        <v>185</v>
      </c>
      <c r="BT19" t="n">
        <v>183.8</v>
      </c>
      <c r="BU19" t="n">
        <v>183.2</v>
      </c>
    </row>
    <row r="20">
      <c r="A20" s="5" t="inlineStr">
        <is>
          <t>Total comprehensive income/(loss) for the year</t>
        </is>
      </c>
      <c r="B20" s="5" t="n">
        <v>-3.4</v>
      </c>
      <c r="C20" s="5" t="n">
        <v>-0.6</v>
      </c>
      <c r="D20" s="5" t="n">
        <v>-1.2</v>
      </c>
      <c r="E20" s="5" t="n">
        <v>11.4</v>
      </c>
      <c r="F20" s="5" t="n">
        <v>7.6</v>
      </c>
      <c r="G20" s="5" t="n">
        <v>-19.3</v>
      </c>
      <c r="H20" s="5" t="n">
        <v>-8</v>
      </c>
      <c r="I20" s="5" t="n">
        <v>4.4</v>
      </c>
      <c r="J20" s="5" t="n">
        <v>8.800000000000001</v>
      </c>
      <c r="K20" s="5" t="n">
        <v>13</v>
      </c>
      <c r="L20" s="5" t="n">
        <v>1.8</v>
      </c>
      <c r="M20" s="5" t="n">
        <v>3.8</v>
      </c>
      <c r="BI20" t="inlineStr">
        <is>
          <t>Total comprehensive income/(loss) for the year</t>
        </is>
      </c>
      <c r="BJ20" t="n">
        <v>3.8</v>
      </c>
      <c r="BK20" t="n">
        <v>1.8</v>
      </c>
      <c r="BL20" t="n">
        <v>13</v>
      </c>
      <c r="BM20" t="n">
        <v>8.800000000000001</v>
      </c>
      <c r="BN20" t="n">
        <v>4.4</v>
      </c>
      <c r="BO20" t="n">
        <v>-8</v>
      </c>
      <c r="BP20" t="n">
        <v>-19.3</v>
      </c>
      <c r="BQ20" t="n">
        <v>7.6</v>
      </c>
      <c r="BR20" t="n">
        <v>11.4</v>
      </c>
      <c r="BS20" t="n">
        <v>-1.2</v>
      </c>
      <c r="BT20" t="n">
        <v>-0.6</v>
      </c>
      <c r="BU20" t="n">
        <v>-3.4</v>
      </c>
    </row>
    <row r="21">
      <c r="A21" s="5" t="inlineStr">
        <is>
          <t>Other equity movements, net</t>
        </is>
      </c>
      <c r="B21" s="5" t="n">
        <v>0</v>
      </c>
      <c r="C21" s="5" t="n">
        <v>0</v>
      </c>
      <c r="D21" s="5" t="n">
        <v>0</v>
      </c>
      <c r="E21" s="5" t="n">
        <v>25</v>
      </c>
      <c r="F21" s="5" t="n">
        <v>0</v>
      </c>
      <c r="G21" s="5" t="n">
        <v>0</v>
      </c>
      <c r="H21" s="5" t="n">
        <v>-3.4</v>
      </c>
      <c r="I21" s="5" t="n">
        <v>0</v>
      </c>
      <c r="J21" s="5" t="n">
        <v>5</v>
      </c>
      <c r="K21" s="5" t="n">
        <v>0</v>
      </c>
      <c r="L21" s="5" t="n">
        <v>0</v>
      </c>
      <c r="M21" s="5" t="n">
        <v>0</v>
      </c>
      <c r="BI21" t="inlineStr">
        <is>
          <t>Other equity movements, net</t>
        </is>
      </c>
      <c r="BJ21" t="n">
        <v>0</v>
      </c>
      <c r="BK21" t="n">
        <v>0</v>
      </c>
      <c r="BL21" t="n">
        <v>0</v>
      </c>
      <c r="BM21" t="n">
        <v>5</v>
      </c>
      <c r="BN21" t="n">
        <v>0</v>
      </c>
      <c r="BO21" t="n">
        <v>-3.4</v>
      </c>
      <c r="BP21" t="n">
        <v>0</v>
      </c>
      <c r="BQ21" t="n">
        <v>0</v>
      </c>
      <c r="BR21" t="n">
        <v>25</v>
      </c>
      <c r="BS21" t="n">
        <v>0</v>
      </c>
      <c r="BT21" t="n">
        <v>0</v>
      </c>
      <c r="BU21" t="n">
        <v>0</v>
      </c>
    </row>
    <row r="22">
      <c r="A22" s="5" t="inlineStr">
        <is>
          <t>Closing equity</t>
        </is>
      </c>
      <c r="B22" s="5" t="n">
        <v>179.8</v>
      </c>
      <c r="C22" s="5" t="n">
        <v>183.2</v>
      </c>
      <c r="D22" s="5" t="n">
        <v>183.8</v>
      </c>
      <c r="E22" s="5" t="n">
        <v>185</v>
      </c>
      <c r="F22" s="5" t="n">
        <v>148.6</v>
      </c>
      <c r="G22" s="5" t="n">
        <v>141</v>
      </c>
      <c r="H22" s="5" t="n">
        <v>160.3</v>
      </c>
      <c r="I22" s="5" t="n">
        <v>171.7</v>
      </c>
      <c r="J22" s="5" t="n">
        <v>167.3</v>
      </c>
      <c r="K22" s="5" t="n">
        <v>146.3</v>
      </c>
      <c r="L22" s="5" t="n">
        <v>133.7</v>
      </c>
      <c r="M22" s="5" t="n">
        <v>132</v>
      </c>
      <c r="BI22" t="inlineStr">
        <is>
          <t>Closing equity</t>
        </is>
      </c>
      <c r="BJ22" t="n">
        <v>132</v>
      </c>
      <c r="BK22" t="n">
        <v>133.7</v>
      </c>
      <c r="BL22" t="n">
        <v>146.3</v>
      </c>
      <c r="BM22" t="n">
        <v>167.3</v>
      </c>
      <c r="BN22" t="n">
        <v>171.7</v>
      </c>
      <c r="BO22" t="n">
        <v>160.3</v>
      </c>
      <c r="BP22" t="n">
        <v>141</v>
      </c>
      <c r="BQ22" t="n">
        <v>148.6</v>
      </c>
      <c r="BR22" t="n">
        <v>185</v>
      </c>
      <c r="BS22" t="n">
        <v>183.8</v>
      </c>
      <c r="BT22" t="n">
        <v>183.2</v>
      </c>
      <c r="BU22" t="n">
        <v>179.8</v>
      </c>
    </row>
    <row r="24">
      <c r="A24" s="3" t="inlineStr">
        <is>
          <t>Cash Flow Summary: not applicable — this entity does not publish a cash flow statement (see the Cash Flow Statement sheet for the exemption basis).</t>
        </is>
      </c>
    </row>
    <row r="26">
      <c r="A26" s="3" t="inlineStr">
        <is>
          <t>Pillar 3 Key Metrics</t>
        </is>
      </c>
    </row>
    <row r="27">
      <c r="A27" s="4" t="inlineStr">
        <is>
          <t>Line item</t>
        </is>
      </c>
      <c r="B27" s="4" t="inlineStr">
        <is>
          <t>FY2025</t>
        </is>
      </c>
      <c r="C27" s="4" t="inlineStr">
        <is>
          <t>FY2024</t>
        </is>
      </c>
      <c r="D27" s="4" t="inlineStr">
        <is>
          <t>FY2023</t>
        </is>
      </c>
      <c r="E27" s="4" t="inlineStr">
        <is>
          <t>FY2022</t>
        </is>
      </c>
      <c r="F27" s="4" t="inlineStr">
        <is>
          <t>FY2021</t>
        </is>
      </c>
      <c r="G27" s="4" t="inlineStr">
        <is>
          <t>FY2020</t>
        </is>
      </c>
      <c r="H27" s="4" t="inlineStr">
        <is>
          <t>FY2019</t>
        </is>
      </c>
      <c r="I27" s="4" t="inlineStr">
        <is>
          <t>FY2018</t>
        </is>
      </c>
      <c r="J27" s="4" t="inlineStr">
        <is>
          <t>FY2017</t>
        </is>
      </c>
      <c r="K27" s="4" t="inlineStr">
        <is>
          <t>FY2016</t>
        </is>
      </c>
    </row>
    <row r="28">
      <c r="A28" s="6" t="inlineStr">
        <is>
          <t>CET1 Ratio</t>
        </is>
      </c>
      <c r="B28" s="6" t="inlineStr">
        <is>
          <t>17.5%</t>
        </is>
      </c>
      <c r="C28" s="6" t="inlineStr">
        <is>
          <t>19.8%</t>
        </is>
      </c>
      <c r="D28" s="6" t="inlineStr">
        <is>
          <t>24.5%</t>
        </is>
      </c>
      <c r="E28" s="6" t="inlineStr">
        <is>
          <t>25.2%</t>
        </is>
      </c>
      <c r="F28" s="6" t="inlineStr">
        <is>
          <t>20.2%</t>
        </is>
      </c>
      <c r="G28" s="6" t="inlineStr">
        <is>
          <t>19.7%</t>
        </is>
      </c>
      <c r="H28" s="6" t="inlineStr">
        <is>
          <t>23.0%</t>
        </is>
      </c>
      <c r="I28" s="6" t="inlineStr">
        <is>
          <t>22.3%</t>
        </is>
      </c>
      <c r="J28" s="6" t="inlineStr">
        <is>
          <t>21.1%</t>
        </is>
      </c>
      <c r="K28" s="6" t="inlineStr">
        <is>
          <t>19.2%</t>
        </is>
      </c>
    </row>
    <row r="29">
      <c r="A29" s="6" t="inlineStr">
        <is>
          <t>Tier 1 Ratio</t>
        </is>
      </c>
      <c r="B29" s="6" t="inlineStr">
        <is>
          <t>17.5%</t>
        </is>
      </c>
      <c r="C29" s="6" t="inlineStr">
        <is>
          <t>19.8%</t>
        </is>
      </c>
      <c r="D29" s="6" t="inlineStr">
        <is>
          <t>24.5%</t>
        </is>
      </c>
      <c r="E29" s="6" t="inlineStr">
        <is>
          <t>25.2%</t>
        </is>
      </c>
      <c r="F29" s="6" t="inlineStr">
        <is>
          <t>20.2%</t>
        </is>
      </c>
      <c r="G29" s="6" t="inlineStr">
        <is>
          <t>19.7%</t>
        </is>
      </c>
      <c r="H29" s="6" t="inlineStr">
        <is>
          <t>23.0%</t>
        </is>
      </c>
      <c r="I29" s="6" t="inlineStr">
        <is>
          <t>22.3%</t>
        </is>
      </c>
      <c r="J29" s="6" t="inlineStr">
        <is>
          <t>21.1%</t>
        </is>
      </c>
      <c r="K29" s="6" t="inlineStr">
        <is>
          <t>19.2%</t>
        </is>
      </c>
    </row>
    <row r="30">
      <c r="A30" s="6" t="inlineStr">
        <is>
          <t>Total Capital Ratio</t>
        </is>
      </c>
      <c r="B30" s="6" t="inlineStr">
        <is>
          <t>17.5%</t>
        </is>
      </c>
      <c r="C30" s="6" t="inlineStr">
        <is>
          <t>19.8%</t>
        </is>
      </c>
      <c r="D30" s="6" t="inlineStr">
        <is>
          <t>24.5%</t>
        </is>
      </c>
      <c r="E30" s="6" t="inlineStr">
        <is>
          <t>25.2%</t>
        </is>
      </c>
      <c r="F30" s="6" t="inlineStr">
        <is>
          <t>20.2%</t>
        </is>
      </c>
      <c r="G30" s="6" t="inlineStr">
        <is>
          <t>19.7%</t>
        </is>
      </c>
      <c r="H30" s="6" t="inlineStr">
        <is>
          <t>23.0%</t>
        </is>
      </c>
      <c r="I30" s="6" t="inlineStr">
        <is>
          <t>22.3%</t>
        </is>
      </c>
      <c r="J30" s="6" t="inlineStr">
        <is>
          <t>21.2%</t>
        </is>
      </c>
      <c r="K30" s="6" t="inlineStr">
        <is>
          <t>19.2%</t>
        </is>
      </c>
    </row>
    <row r="31">
      <c r="A31" s="6" t="inlineStr">
        <is>
          <t>Leverage Ratio (incl. claims on central banks - the only basis comparable across all years; see note)</t>
        </is>
      </c>
      <c r="B31" s="6" t="inlineStr">
        <is>
          <t>8.1%</t>
        </is>
      </c>
      <c r="C31" s="6" t="inlineStr">
        <is>
          <t>8.4%</t>
        </is>
      </c>
      <c r="D31" s="6" t="inlineStr">
        <is>
          <t>9.6%</t>
        </is>
      </c>
      <c r="E31" s="6" t="inlineStr">
        <is>
          <t>9.6%</t>
        </is>
      </c>
      <c r="F31" s="6" t="inlineStr">
        <is>
          <t>8.3%</t>
        </is>
      </c>
      <c r="G31" s="6" t="inlineStr">
        <is>
          <t>9.6%</t>
        </is>
      </c>
      <c r="H31" s="6" t="inlineStr">
        <is>
          <t>11.2%</t>
        </is>
      </c>
      <c r="I31" s="6" t="inlineStr">
        <is>
          <t>11.9%</t>
        </is>
      </c>
      <c r="J31" s="6" t="inlineStr">
        <is>
          <t>11.4%</t>
        </is>
      </c>
      <c r="K31" s="6" t="inlineStr">
        <is>
          <t>9.5%</t>
        </is>
      </c>
    </row>
    <row r="32">
      <c r="A32" s="6" t="inlineStr">
        <is>
          <t>LCR</t>
        </is>
      </c>
      <c r="B32" s="6" t="inlineStr">
        <is>
          <t>310.7%</t>
        </is>
      </c>
      <c r="C32" s="6" t="inlineStr">
        <is>
          <t>274.0%</t>
        </is>
      </c>
      <c r="D32" s="6" t="inlineStr">
        <is>
          <t>176.9%</t>
        </is>
      </c>
      <c r="E32" s="6" t="inlineStr">
        <is>
          <t>252%</t>
        </is>
      </c>
      <c r="F32" s="6" t="inlineStr">
        <is>
          <t>349.6%</t>
        </is>
      </c>
      <c r="G32" s="6" t="inlineStr">
        <is>
          <t>272.9%</t>
        </is>
      </c>
      <c r="H32" s="6" t="inlineStr">
        <is>
          <t>516.9%</t>
        </is>
      </c>
      <c r="I32" s="6" t="inlineStr">
        <is>
          <t>236.9%</t>
        </is>
      </c>
      <c r="J32" s="6" t="n"/>
      <c r="K32" s="6" t="n"/>
    </row>
    <row r="33">
      <c r="A33" s="6" t="inlineStr">
        <is>
          <t>NSFR</t>
        </is>
      </c>
      <c r="B33" s="6" t="n"/>
      <c r="C33" s="6" t="n"/>
      <c r="D33" s="6" t="inlineStr">
        <is>
          <t>150.5%</t>
        </is>
      </c>
      <c r="E33" s="6" t="inlineStr">
        <is>
          <t>143%</t>
        </is>
      </c>
      <c r="F33" s="6" t="inlineStr">
        <is>
          <t>168.1%</t>
        </is>
      </c>
      <c r="G33" s="6" t="inlineStr">
        <is>
          <t>154.6%</t>
        </is>
      </c>
      <c r="H33" s="6" t="inlineStr">
        <is>
          <t>217.6%</t>
        </is>
      </c>
      <c r="I33" s="6" t="n"/>
      <c r="J33" s="6" t="n"/>
      <c r="K33" s="6" t="n"/>
    </row>
    <row r="35" ht="117" customHeight="1">
      <c r="A35" s="7" t="inlineStr">
        <is>
          <t>Note: This entity takes the FRS 101/FRS 1 cash-flow-statement exemption every year FY2014-FY2025 (see the Cash Flow Statement sheet), so no cash flow summary or chart is shown here - Balance Sheet/Profit &amp; Loss/Statement of Changes in Equity summaries and the Pillar 3 Key Metrics trend chart are shown instead. PILLAR 3 YEAR COVERAGE (updated 2026-09-16, HD-080): the 11 capital metric sheets now run back to FY2010, on the strength of a continuous FY2010-FY2023 run of 14 published Pillar 3 documents. Only the Total Capital sheet carries data before FY2016, because FY2010-FY2015 are Basel II editions that disclose 'Total capital resources' but no risk-weighted assets, no CET1 and no capital ratio of any kind - every other pre-FY2016 cell is blank BY DESIGN and well-sourced, never back-solved. The Asset Quality and RWA Breakdown sheets deliberately stop at FY2014, where their content genuinely stops. FY2025 AND FY2024 PILLAR 3 COVERAGE, CORRECTED 2026-09-18 (GA-005). Neither year has a Pillar 3 document - the SDDT modification (PRA Rule 3.1, effective 18 February 2025) ended the disclosure duty before the FY2025 year-end, and FY2024's year ended before the modification took effect. But that is a fact about the DOCUMENT, not about the metrics, and this workbook previously confused the two: the LCR and Leverage Ratio were blank for both years and captioned 'Not applicable - the figures cannot exist', when in fact the Bank states both in the Chief Finance Officer's Report of each year's own Annual Report (printed folio 13). LCR 310.7% (FY2025) and 274.0% (FY2024); leverage ratio, on the including-claims-on-central-banks basis charted above, 8.1% and 8.4%. Both rows above now carry them. What remains genuinely absent for the two years is the NSFR, the leverage EXPOSURE MEASURE, the LCR build-up, the category-level RWA breakdown, the KM1 template itself and MREL - each established by a full-text search of both Annual Reports with a richness control, not inferred from the modification. Leverage/LCR/NSFR availability varies by year - see each Pillar 3 sheet's own source citation for detail (pre-CRD IV FY2015-FY2010 have none of the three; LCR/NSFR were phased in for this bank in FY2018/FY2019 respectively). LEVERAGE RATIO BASIS, stated here because this sheet is a standalone copy and the chart would otherwise draw a false trend: the PRA's UK Leverage Ratio Framework, in force from 1 January 2022, lets firms exclude claims on central banks from the exposure measure, and from FY2022 the Bank reports on that excluding basis as its headline (FY2021 restated 10.9%, FY2022 10.9%, FY2023 10.5%). Charting the headline figures would show an 8.3% -&gt; 10.9% jump across the FY2021/FY2022 boundary that is purely the change of denominator. The row above therefore uses the INCLUDING-claims-on-central-banks basis, which is the one the Bank reports consistently from FY2016 through FY2023 (UK LRCom row UK-25c for FY2022-FY2023, the Basel III/CRR ratio before that). Both bases, with their exposure measures and the amounts excluded, are on the Leverage Ratio sheet - see its note. The FY2022 and FY2017 'Other equity movements' figures (£25.0m and £5.0m) are real share capital issuances those years, not plugs; the FY2019 figure (-£3.4m) is the IFRS 9 transition adjustment on adoption. Note FY2017's own 'Opening equity' (£153.5m) is the FY2017 Annual Report's RESTATED FY2016 closing position (Note 36 prior-period error, +£7.2m vs. the £146.3m FY2016 originally reported as its own closing figure) - both figures are shown, and this discontinuity, on the Statement of Changes in Equity sheet.</t>
        </is>
      </c>
    </row>
  </sheetData>
  <mergeCells count="1">
    <mergeCell ref="A35:R3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Julian Hodge Bank Limited — Balance Sheet</t>
        </is>
      </c>
    </row>
    <row r="2">
      <c r="A2" s="2" t="inlineStr">
        <is>
          <t>Entity-level (Company-only, FRS 101).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c r="R3" s="4" t="inlineStr">
        <is>
          <t>FY2009 (£m)</t>
        </is>
      </c>
    </row>
    <row r="4">
      <c r="A4" s="5" t="inlineStr">
        <is>
          <t>Assets</t>
        </is>
      </c>
      <c r="B4" s="6" t="n"/>
      <c r="C4" s="6" t="n"/>
      <c r="D4" s="6" t="n"/>
      <c r="E4" s="6" t="n"/>
      <c r="F4" s="6" t="n"/>
      <c r="G4" s="6" t="n"/>
      <c r="H4" s="6" t="n"/>
      <c r="I4" s="6" t="n"/>
      <c r="J4" s="6" t="n"/>
      <c r="K4" s="6" t="n"/>
      <c r="L4" s="6" t="n"/>
      <c r="M4" s="6" t="n"/>
      <c r="N4" s="6" t="n"/>
      <c r="O4" s="6" t="n"/>
      <c r="P4" s="6" t="n"/>
      <c r="Q4" s="6" t="n"/>
      <c r="R4" s="6" t="n"/>
    </row>
    <row r="5">
      <c r="A5" s="6" t="inlineStr">
        <is>
          <t>Cash and balances held at central banks</t>
        </is>
      </c>
      <c r="B5" s="6" t="n">
        <v>69.5</v>
      </c>
      <c r="C5" s="6" t="n">
        <v>151.3</v>
      </c>
      <c r="D5" s="6" t="n">
        <v>93.7</v>
      </c>
      <c r="E5" s="6" t="n">
        <v>118.1</v>
      </c>
      <c r="F5" s="6" t="n">
        <v>412.2</v>
      </c>
      <c r="G5" s="6" t="n">
        <v>147.9</v>
      </c>
      <c r="H5" s="6" t="n">
        <v>321.9</v>
      </c>
      <c r="I5" s="6" t="n">
        <v>153.2</v>
      </c>
      <c r="J5" s="6" t="n">
        <v>87</v>
      </c>
      <c r="K5" s="6" t="n">
        <v>168</v>
      </c>
      <c r="L5" s="6" t="n">
        <v>101.6</v>
      </c>
      <c r="M5" s="6" t="n">
        <v>18.5</v>
      </c>
      <c r="N5" s="6" t="n">
        <v>35.6</v>
      </c>
      <c r="O5" s="6" t="n">
        <v>37</v>
      </c>
      <c r="P5" s="6" t="n"/>
      <c r="Q5" s="6" t="n"/>
      <c r="R5" s="6" t="n"/>
    </row>
    <row r="6">
      <c r="A6" s="6" t="inlineStr">
        <is>
          <t>Loans and advances to credit institutions</t>
        </is>
      </c>
      <c r="B6" s="6" t="n">
        <v>7.9</v>
      </c>
      <c r="C6" s="6" t="n">
        <v>4.5</v>
      </c>
      <c r="D6" s="6" t="n">
        <v>11.2</v>
      </c>
      <c r="E6" s="6" t="n">
        <v>0.2</v>
      </c>
      <c r="F6" s="6" t="n">
        <v>45.9</v>
      </c>
      <c r="G6" s="6" t="n">
        <v>105.2</v>
      </c>
      <c r="H6" s="6" t="n">
        <v>86.09999999999999</v>
      </c>
      <c r="I6" s="6" t="n">
        <v>96.2</v>
      </c>
      <c r="J6" s="6" t="n">
        <v>107.6</v>
      </c>
      <c r="K6" s="6" t="n">
        <v>128.3</v>
      </c>
      <c r="L6" s="6" t="n">
        <v>20.5</v>
      </c>
      <c r="M6" s="6" t="n">
        <v>28.8</v>
      </c>
      <c r="N6" s="6" t="n">
        <v>25.6</v>
      </c>
      <c r="O6" s="6" t="n">
        <v>90.59999999999999</v>
      </c>
      <c r="P6" s="6" t="n">
        <v>78.40000000000001</v>
      </c>
      <c r="Q6" s="6" t="n">
        <v>188.5</v>
      </c>
      <c r="R6" s="6" t="n">
        <v>91.8</v>
      </c>
    </row>
    <row r="7">
      <c r="A7" s="6" t="inlineStr">
        <is>
          <t>Derivative financial instruments (asset)</t>
        </is>
      </c>
      <c r="B7" s="6" t="n">
        <v>16.8</v>
      </c>
      <c r="C7" s="6" t="n">
        <v>27.9</v>
      </c>
      <c r="D7" s="6" t="n">
        <v>58.5</v>
      </c>
      <c r="E7" s="6" t="n">
        <v>75.8</v>
      </c>
      <c r="F7" s="6" t="n"/>
      <c r="G7" s="6" t="n"/>
      <c r="H7" s="6" t="n"/>
      <c r="I7" s="6" t="n"/>
      <c r="J7" s="6" t="n"/>
      <c r="K7" s="6" t="n"/>
      <c r="L7" s="6" t="n"/>
      <c r="M7" s="6" t="n"/>
      <c r="N7" s="6" t="n"/>
      <c r="O7" s="6" t="n"/>
      <c r="P7" s="6" t="n"/>
      <c r="Q7" s="6" t="n"/>
      <c r="R7" s="6" t="n"/>
    </row>
    <row r="8">
      <c r="A8" s="6" t="inlineStr">
        <is>
          <t>Government bonds (called 'Treasury bills' in FY2009-FY2019 reports)</t>
        </is>
      </c>
      <c r="B8" s="6" t="n">
        <v>27.9</v>
      </c>
      <c r="C8" s="6" t="n">
        <v>27.7</v>
      </c>
      <c r="D8" s="6" t="n">
        <v>61.7</v>
      </c>
      <c r="E8" s="6" t="n">
        <v>111.2</v>
      </c>
      <c r="F8" s="6" t="n">
        <v>29.8</v>
      </c>
      <c r="G8" s="6" t="n">
        <v>48.6</v>
      </c>
      <c r="H8" s="6" t="n">
        <v>25.1</v>
      </c>
      <c r="I8" s="6" t="n">
        <v>81.2</v>
      </c>
      <c r="J8" s="6" t="n">
        <v>87.3</v>
      </c>
      <c r="K8" s="6" t="n">
        <v>84.7</v>
      </c>
      <c r="L8" s="6" t="n">
        <v>81</v>
      </c>
      <c r="M8" s="6" t="n">
        <v>75.5</v>
      </c>
      <c r="N8" s="6" t="n">
        <v>78.09999999999999</v>
      </c>
      <c r="O8" s="6" t="n">
        <v>81.3</v>
      </c>
      <c r="P8" s="6" t="n">
        <v>35.3</v>
      </c>
      <c r="Q8" s="6" t="n">
        <v>42.5</v>
      </c>
      <c r="R8" s="6" t="n">
        <v>17.9</v>
      </c>
    </row>
    <row r="9">
      <c r="A9" s="6" t="inlineStr">
        <is>
          <t>Debt securities</t>
        </is>
      </c>
      <c r="B9" s="6" t="n">
        <v>135.8</v>
      </c>
      <c r="C9" s="6" t="n">
        <v>70.7</v>
      </c>
      <c r="D9" s="6" t="n">
        <v>82</v>
      </c>
      <c r="E9" s="6" t="n">
        <v>116.2</v>
      </c>
      <c r="F9" s="6" t="n">
        <v>42.3</v>
      </c>
      <c r="G9" s="6" t="n">
        <v>50.7</v>
      </c>
      <c r="H9" s="6" t="n">
        <v>57</v>
      </c>
      <c r="I9" s="6" t="n">
        <v>87.5</v>
      </c>
      <c r="J9" s="6" t="n">
        <v>77</v>
      </c>
      <c r="K9" s="6" t="n">
        <v>89.09999999999999</v>
      </c>
      <c r="L9" s="6" t="n">
        <v>81.5</v>
      </c>
      <c r="M9" s="6" t="n">
        <v>85.09999999999999</v>
      </c>
      <c r="N9" s="6" t="n">
        <v>87.59999999999999</v>
      </c>
      <c r="O9" s="6" t="n">
        <v>89.5</v>
      </c>
      <c r="P9" s="6" t="n">
        <v>67.40000000000001</v>
      </c>
      <c r="Q9" s="6" t="n">
        <v>54.2</v>
      </c>
      <c r="R9" s="6" t="n">
        <v>31.6</v>
      </c>
    </row>
    <row r="10">
      <c r="A10" s="6" t="inlineStr">
        <is>
          <t>Loans and advances to customers</t>
        </is>
      </c>
      <c r="B10" s="6" t="n">
        <v>1839.7</v>
      </c>
      <c r="C10" s="6" t="n">
        <v>1699.3</v>
      </c>
      <c r="D10" s="6" t="n">
        <v>1488.5</v>
      </c>
      <c r="E10" s="6" t="n">
        <v>1404.6</v>
      </c>
      <c r="F10" s="6" t="n">
        <v>1061.5</v>
      </c>
      <c r="G10" s="6" t="n">
        <v>930.8</v>
      </c>
      <c r="H10" s="6" t="n">
        <v>766.9</v>
      </c>
      <c r="I10" s="6" t="n">
        <v>827.9</v>
      </c>
      <c r="J10" s="6" t="n">
        <v>757.9</v>
      </c>
      <c r="K10" s="6" t="n">
        <v>706.9</v>
      </c>
      <c r="L10" s="6" t="n">
        <v>557.5</v>
      </c>
      <c r="M10" s="6" t="n">
        <v>440.8</v>
      </c>
      <c r="N10" s="6" t="n">
        <v>384</v>
      </c>
      <c r="O10" s="6" t="n">
        <v>358.8</v>
      </c>
      <c r="P10" s="6" t="n">
        <v>362.8</v>
      </c>
      <c r="Q10" s="6" t="n">
        <v>398.4</v>
      </c>
      <c r="R10" s="6" t="n">
        <v>470.2</v>
      </c>
    </row>
    <row r="11">
      <c r="A11" s="6" t="inlineStr">
        <is>
          <t>Shares in group undertakings and participating interests (Hodge Life Assurance Company - sold/reclassified out by FY2018)</t>
        </is>
      </c>
      <c r="B11" s="6" t="n"/>
      <c r="C11" s="6" t="n"/>
      <c r="D11" s="6" t="n"/>
      <c r="E11" s="6" t="n"/>
      <c r="F11" s="6" t="n"/>
      <c r="G11" s="6" t="n"/>
      <c r="H11" s="6" t="n"/>
      <c r="I11" s="6" t="n"/>
      <c r="J11" s="6" t="n">
        <v>16</v>
      </c>
      <c r="K11" s="6" t="n">
        <v>16</v>
      </c>
      <c r="L11" s="6" t="n">
        <v>16</v>
      </c>
      <c r="M11" s="6" t="n">
        <v>16</v>
      </c>
      <c r="N11" s="6" t="n">
        <v>16</v>
      </c>
      <c r="O11" s="6" t="n">
        <v>16.1</v>
      </c>
      <c r="P11" s="6" t="n">
        <v>16.1</v>
      </c>
      <c r="Q11" s="6" t="n">
        <v>16.1</v>
      </c>
      <c r="R11" s="6" t="n">
        <v>16.1</v>
      </c>
    </row>
    <row r="12">
      <c r="A12" s="6" t="inlineStr">
        <is>
          <t>Equity shares (a small distinct holding, genuinely nil/absent in some years - not a residual)</t>
        </is>
      </c>
      <c r="B12" s="6" t="n"/>
      <c r="C12" s="6" t="n"/>
      <c r="D12" s="6" t="n"/>
      <c r="E12" s="6" t="n"/>
      <c r="F12" s="6" t="n"/>
      <c r="G12" s="6" t="n"/>
      <c r="H12" s="6" t="n"/>
      <c r="I12" s="6" t="n"/>
      <c r="J12" s="6" t="n"/>
      <c r="K12" s="6" t="n"/>
      <c r="L12" s="6" t="n"/>
      <c r="M12" s="6" t="n"/>
      <c r="N12" s="6" t="n"/>
      <c r="O12" s="6" t="n">
        <v>0.8</v>
      </c>
      <c r="P12" s="6" t="n">
        <v>0.8</v>
      </c>
      <c r="Q12" s="6" t="n">
        <v>0.4</v>
      </c>
      <c r="R12" s="6" t="n">
        <v>0.4</v>
      </c>
    </row>
    <row r="13">
      <c r="A13" s="6" t="inlineStr">
        <is>
          <t>Stock and work in progress (UK GAAP line, folded into other line items after the FY2016 FRS101 transition)</t>
        </is>
      </c>
      <c r="B13" s="6" t="n"/>
      <c r="C13" s="6" t="n"/>
      <c r="D13" s="6" t="n"/>
      <c r="E13" s="6" t="n"/>
      <c r="F13" s="6" t="n"/>
      <c r="G13" s="6" t="n"/>
      <c r="H13" s="6" t="n"/>
      <c r="I13" s="6" t="n"/>
      <c r="J13" s="6" t="n"/>
      <c r="K13" s="6" t="n"/>
      <c r="L13" s="6" t="n">
        <v>3.4</v>
      </c>
      <c r="M13" s="6" t="n">
        <v>3.2</v>
      </c>
      <c r="N13" s="6" t="n">
        <v>4.5</v>
      </c>
      <c r="O13" s="6" t="n">
        <v>5.2</v>
      </c>
      <c r="P13" s="6" t="n"/>
      <c r="Q13" s="6" t="n"/>
      <c r="R13" s="6" t="n"/>
    </row>
    <row r="14">
      <c r="A14" s="6" t="inlineStr">
        <is>
          <t>Reversionary interests in properties (UK GAAP line, folded into Investment properties after the FY2016 FRS101 transition)</t>
        </is>
      </c>
      <c r="B14" s="6" t="n"/>
      <c r="C14" s="6" t="n"/>
      <c r="D14" s="6" t="n"/>
      <c r="E14" s="6" t="n"/>
      <c r="F14" s="6" t="n"/>
      <c r="G14" s="6" t="n"/>
      <c r="H14" s="6" t="n"/>
      <c r="I14" s="6" t="n"/>
      <c r="J14" s="6" t="n"/>
      <c r="K14" s="6" t="n"/>
      <c r="L14" s="6" t="n">
        <v>55</v>
      </c>
      <c r="M14" s="6" t="n">
        <v>57.4</v>
      </c>
      <c r="N14" s="6" t="n">
        <v>59.4</v>
      </c>
      <c r="O14" s="6" t="n">
        <v>61.2</v>
      </c>
      <c r="P14" s="6" t="n">
        <v>62.6</v>
      </c>
      <c r="Q14" s="6" t="n">
        <v>63.3</v>
      </c>
      <c r="R14" s="6" t="n">
        <v>57.3</v>
      </c>
    </row>
    <row r="15">
      <c r="A15" s="6" t="inlineStr">
        <is>
          <t>Intangible assets</t>
        </is>
      </c>
      <c r="B15" s="6" t="n">
        <v>14.5</v>
      </c>
      <c r="C15" s="6" t="n">
        <v>15.1</v>
      </c>
      <c r="D15" s="6" t="n">
        <v>12.7</v>
      </c>
      <c r="E15" s="6" t="n">
        <v>9.699999999999999</v>
      </c>
      <c r="F15" s="6" t="n">
        <v>7.4</v>
      </c>
      <c r="G15" s="6" t="n">
        <v>7.3</v>
      </c>
      <c r="H15" s="6" t="n">
        <v>5.8</v>
      </c>
      <c r="I15" s="6" t="n">
        <v>3.1</v>
      </c>
      <c r="J15" s="6" t="n">
        <v>1.7</v>
      </c>
      <c r="K15" s="6" t="n">
        <v>1.2</v>
      </c>
      <c r="L15" s="6" t="n"/>
      <c r="M15" s="6" t="n"/>
      <c r="N15" s="6" t="n"/>
      <c r="O15" s="6" t="n"/>
      <c r="P15" s="6" t="n"/>
      <c r="Q15" s="6" t="n"/>
      <c r="R15" s="6" t="n"/>
    </row>
    <row r="16">
      <c r="A16" s="6" t="inlineStr">
        <is>
          <t>Property and equipment</t>
        </is>
      </c>
      <c r="B16" s="6" t="n">
        <v>0.6</v>
      </c>
      <c r="C16" s="6" t="n">
        <v>1</v>
      </c>
      <c r="D16" s="6" t="n">
        <v>1.2</v>
      </c>
      <c r="E16" s="6" t="n">
        <v>1.5</v>
      </c>
      <c r="F16" s="6" t="n">
        <v>1.6</v>
      </c>
      <c r="G16" s="6" t="n">
        <v>1.9</v>
      </c>
      <c r="H16" s="6" t="n">
        <v>1.9</v>
      </c>
      <c r="I16" s="6" t="n">
        <v>2.2</v>
      </c>
      <c r="J16" s="6" t="n">
        <v>2</v>
      </c>
      <c r="K16" s="6" t="n">
        <v>2.1</v>
      </c>
      <c r="L16" s="6" t="n">
        <v>1.3</v>
      </c>
      <c r="M16" s="6" t="n">
        <v>0.6</v>
      </c>
      <c r="N16" s="6" t="n">
        <v>0.1</v>
      </c>
      <c r="O16" s="6" t="n">
        <v>0.1</v>
      </c>
      <c r="P16" s="6" t="n">
        <v>0</v>
      </c>
      <c r="Q16" s="6" t="n">
        <v>0</v>
      </c>
      <c r="R16" s="6" t="n">
        <v>0.1</v>
      </c>
    </row>
    <row r="17">
      <c r="A17" s="6" t="inlineStr">
        <is>
          <t>Investment properties</t>
        </is>
      </c>
      <c r="B17" s="6" t="n">
        <v>0.2</v>
      </c>
      <c r="C17" s="6" t="n">
        <v>1.5</v>
      </c>
      <c r="D17" s="6" t="n">
        <v>2.6</v>
      </c>
      <c r="E17" s="6" t="n">
        <v>9.199999999999999</v>
      </c>
      <c r="F17" s="6" t="n">
        <v>94.59999999999999</v>
      </c>
      <c r="G17" s="6" t="n">
        <v>97.40000000000001</v>
      </c>
      <c r="H17" s="6" t="n">
        <v>97.3</v>
      </c>
      <c r="I17" s="6" t="n">
        <v>100.3</v>
      </c>
      <c r="J17" s="6" t="n">
        <v>118.6</v>
      </c>
      <c r="K17" s="6" t="n">
        <v>107.8</v>
      </c>
      <c r="L17" s="6" t="n">
        <v>7.7</v>
      </c>
      <c r="M17" s="6" t="n">
        <v>9.199999999999999</v>
      </c>
      <c r="N17" s="6" t="n">
        <v>8.9</v>
      </c>
      <c r="O17" s="6" t="n">
        <v>8.9</v>
      </c>
      <c r="P17" s="6" t="n">
        <v>9.300000000000001</v>
      </c>
      <c r="Q17" s="6" t="n">
        <v>10.3</v>
      </c>
      <c r="R17" s="6" t="n">
        <v>10.3</v>
      </c>
    </row>
    <row r="18">
      <c r="A18" s="6" t="inlineStr">
        <is>
          <t>Deferred tax assets</t>
        </is>
      </c>
      <c r="B18" s="6" t="n">
        <v>2.2</v>
      </c>
      <c r="C18" s="6" t="n">
        <v>3.7</v>
      </c>
      <c r="D18" s="6" t="n">
        <v>5.6</v>
      </c>
      <c r="E18" s="6" t="n">
        <v>6.3</v>
      </c>
      <c r="F18" s="6" t="n">
        <v>11.5</v>
      </c>
      <c r="G18" s="6" t="n">
        <v>9.5</v>
      </c>
      <c r="H18" s="6" t="n">
        <v>6.6</v>
      </c>
      <c r="I18" s="6" t="n">
        <v>6.5</v>
      </c>
      <c r="J18" s="6" t="n">
        <v>7.3</v>
      </c>
      <c r="K18" s="6" t="n">
        <v>8.300000000000001</v>
      </c>
      <c r="L18" s="6" t="n"/>
      <c r="M18" s="6" t="n"/>
      <c r="N18" s="6" t="n"/>
      <c r="O18" s="6" t="n"/>
      <c r="P18" s="6" t="n"/>
      <c r="Q18" s="6" t="n"/>
      <c r="R18" s="6" t="n"/>
    </row>
    <row r="19">
      <c r="A19" s="6" t="inlineStr">
        <is>
          <t>Other assets (includes prepayments/accrued income in FY2009-FY2015)</t>
        </is>
      </c>
      <c r="B19" s="6" t="n">
        <v>6.6</v>
      </c>
      <c r="C19" s="6" t="n">
        <v>5.9</v>
      </c>
      <c r="D19" s="6" t="n">
        <v>5.4</v>
      </c>
      <c r="E19" s="6" t="n">
        <v>8</v>
      </c>
      <c r="F19" s="6" t="n">
        <v>6.6</v>
      </c>
      <c r="G19" s="6" t="n">
        <v>9.9</v>
      </c>
      <c r="H19" s="6" t="n">
        <v>10.1</v>
      </c>
      <c r="I19" s="6" t="n">
        <v>5.3</v>
      </c>
      <c r="J19" s="6" t="n">
        <v>5</v>
      </c>
      <c r="K19" s="6" t="n">
        <v>4.4</v>
      </c>
      <c r="L19" s="6" t="n">
        <v>73.5</v>
      </c>
      <c r="M19" s="6" t="n">
        <v>49.7</v>
      </c>
      <c r="N19" s="6" t="n">
        <v>26.7</v>
      </c>
      <c r="O19" s="6" t="n">
        <v>53</v>
      </c>
      <c r="P19" s="6" t="n">
        <v>78.2</v>
      </c>
      <c r="Q19" s="6" t="n">
        <v>51.7</v>
      </c>
      <c r="R19" s="6" t="n">
        <v>42.4</v>
      </c>
    </row>
    <row r="20">
      <c r="A20" s="6" t="inlineStr">
        <is>
          <t>Pension asset</t>
        </is>
      </c>
      <c r="B20" s="6" t="n">
        <v>0.9</v>
      </c>
      <c r="C20" s="6" t="n">
        <v>0.2</v>
      </c>
      <c r="D20" s="6" t="n"/>
      <c r="E20" s="6" t="n"/>
      <c r="F20" s="6" t="n"/>
      <c r="G20" s="6" t="n"/>
      <c r="H20" s="6" t="n"/>
      <c r="I20" s="6" t="n"/>
      <c r="J20" s="6" t="n"/>
      <c r="K20" s="6" t="n"/>
      <c r="L20" s="6" t="n"/>
      <c r="M20" s="6" t="n"/>
      <c r="N20" s="6" t="n"/>
      <c r="O20" s="6" t="n"/>
      <c r="P20" s="6" t="n"/>
      <c r="Q20" s="6" t="n"/>
      <c r="R20" s="6" t="n"/>
    </row>
    <row r="21">
      <c r="A21" s="5" t="inlineStr">
        <is>
          <t>Total assets</t>
        </is>
      </c>
      <c r="B21" s="5" t="n">
        <v>2122.6</v>
      </c>
      <c r="C21" s="5" t="n">
        <v>2008.8</v>
      </c>
      <c r="D21" s="5" t="n">
        <v>1823.1</v>
      </c>
      <c r="E21" s="5" t="n">
        <v>1860.8</v>
      </c>
      <c r="F21" s="5" t="n">
        <v>1713.4</v>
      </c>
      <c r="G21" s="5" t="n">
        <v>1409.2</v>
      </c>
      <c r="H21" s="5" t="n">
        <v>1378.7</v>
      </c>
      <c r="I21" s="5" t="n">
        <v>1363.4</v>
      </c>
      <c r="J21" s="5" t="n">
        <v>1267.4</v>
      </c>
      <c r="K21" s="5" t="n">
        <v>1316.8</v>
      </c>
      <c r="L21" s="5" t="n">
        <v>999</v>
      </c>
      <c r="M21" s="5" t="n">
        <v>784.7</v>
      </c>
      <c r="N21" s="5" t="n">
        <v>726.5</v>
      </c>
      <c r="O21" s="5" t="n">
        <v>802.5</v>
      </c>
      <c r="P21" s="5" t="n">
        <v>710.9</v>
      </c>
      <c r="Q21" s="5" t="n">
        <v>825.3</v>
      </c>
      <c r="R21" s="5" t="n">
        <v>738</v>
      </c>
    </row>
    <row r="22">
      <c r="A22" s="5" t="inlineStr">
        <is>
          <t>Liabilities</t>
        </is>
      </c>
      <c r="B22" s="6" t="n"/>
      <c r="C22" s="6" t="n"/>
      <c r="D22" s="6" t="n"/>
      <c r="E22" s="6" t="n"/>
      <c r="F22" s="6" t="n"/>
      <c r="G22" s="6" t="n"/>
      <c r="H22" s="6" t="n"/>
      <c r="I22" s="6" t="n"/>
      <c r="J22" s="6" t="n"/>
      <c r="K22" s="6" t="n"/>
      <c r="L22" s="6" t="n"/>
      <c r="M22" s="6" t="n"/>
      <c r="N22" s="6" t="n"/>
      <c r="O22" s="6" t="n"/>
      <c r="P22" s="6" t="n"/>
      <c r="Q22" s="6" t="n"/>
      <c r="R22" s="6" t="n"/>
    </row>
    <row r="23">
      <c r="A23" s="6" t="inlineStr">
        <is>
          <t>Deposits from banks (called 'amounts owed to credit institutions and central banks' in FY2014-FY2015)</t>
        </is>
      </c>
      <c r="B23" s="6" t="n">
        <v>67</v>
      </c>
      <c r="C23" s="6" t="n">
        <v>167.7</v>
      </c>
      <c r="D23" s="6" t="n">
        <v>240.7</v>
      </c>
      <c r="E23" s="6" t="n">
        <v>221</v>
      </c>
      <c r="F23" s="6" t="n">
        <v>145</v>
      </c>
      <c r="G23" s="6" t="n">
        <v>87.5</v>
      </c>
      <c r="H23" s="6" t="n">
        <v>72.5</v>
      </c>
      <c r="I23" s="6" t="n">
        <v>72.5</v>
      </c>
      <c r="J23" s="6" t="n">
        <v>2.8</v>
      </c>
      <c r="K23" s="6" t="n">
        <v>2.8</v>
      </c>
      <c r="L23" s="6" t="n">
        <v>2.8</v>
      </c>
      <c r="M23" s="6" t="n">
        <v>10</v>
      </c>
      <c r="N23" s="6" t="n">
        <v>5</v>
      </c>
      <c r="O23" s="6" t="n">
        <v>8.9</v>
      </c>
      <c r="P23" s="6" t="n">
        <v>1.1</v>
      </c>
      <c r="Q23" s="6" t="n">
        <v>0.5</v>
      </c>
      <c r="R23" s="6" t="n"/>
    </row>
    <row r="24">
      <c r="A24" s="6" t="inlineStr">
        <is>
          <t>Deposits from customers (called 'customer accounts' in FY2014-FY2015)</t>
        </is>
      </c>
      <c r="B24" s="6" t="n">
        <v>1860.3</v>
      </c>
      <c r="C24" s="6" t="n">
        <v>1639.4</v>
      </c>
      <c r="D24" s="6" t="n">
        <v>1368.1</v>
      </c>
      <c r="E24" s="6" t="n">
        <v>1425</v>
      </c>
      <c r="F24" s="6" t="n">
        <v>1381</v>
      </c>
      <c r="G24" s="6" t="n">
        <v>1071.4</v>
      </c>
      <c r="H24" s="6" t="n">
        <v>1042.8</v>
      </c>
      <c r="I24" s="6" t="n">
        <v>994.6</v>
      </c>
      <c r="J24" s="6" t="n">
        <v>947.7</v>
      </c>
      <c r="K24" s="6" t="n">
        <v>991.7</v>
      </c>
      <c r="L24" s="6" t="n">
        <v>848.6</v>
      </c>
      <c r="M24" s="6" t="n">
        <v>633.2</v>
      </c>
      <c r="N24" s="6" t="n">
        <v>583.6</v>
      </c>
      <c r="O24" s="6" t="n">
        <v>658.9</v>
      </c>
      <c r="P24" s="6" t="n">
        <v>579.6</v>
      </c>
      <c r="Q24" s="6" t="n">
        <v>696.2</v>
      </c>
      <c r="R24" s="6" t="n">
        <v>610.5</v>
      </c>
    </row>
    <row r="25">
      <c r="A25" s="6" t="inlineStr">
        <is>
          <t>Derivative financial instruments (liability)</t>
        </is>
      </c>
      <c r="B25" s="6" t="n">
        <v>5.1</v>
      </c>
      <c r="C25" s="6" t="n">
        <v>5.6</v>
      </c>
      <c r="D25" s="6" t="n">
        <v>9.699999999999999</v>
      </c>
      <c r="E25" s="6" t="n">
        <v>11.4</v>
      </c>
      <c r="F25" s="6" t="n">
        <v>14.7</v>
      </c>
      <c r="G25" s="6" t="n">
        <v>82</v>
      </c>
      <c r="H25" s="6" t="n">
        <v>80.40000000000001</v>
      </c>
      <c r="I25" s="6" t="n">
        <v>107.8</v>
      </c>
      <c r="J25" s="6" t="n">
        <v>131.1</v>
      </c>
      <c r="K25" s="6" t="n">
        <v>150.6</v>
      </c>
      <c r="L25" s="6" t="n"/>
      <c r="M25" s="6" t="n"/>
      <c r="N25" s="6" t="n"/>
      <c r="O25" s="6" t="n"/>
      <c r="P25" s="6" t="n"/>
      <c r="Q25" s="6" t="n"/>
      <c r="R25" s="6" t="n"/>
    </row>
    <row r="26">
      <c r="A26" s="6" t="inlineStr">
        <is>
          <t>Other liabilities (includes accruals/deferred income and other provisions in FY2009-FY2020)</t>
        </is>
      </c>
      <c r="B26" s="6" t="n">
        <v>10.4</v>
      </c>
      <c r="C26" s="6" t="n">
        <v>12.9</v>
      </c>
      <c r="D26" s="6" t="n">
        <v>16.5</v>
      </c>
      <c r="E26" s="6" t="n">
        <v>13.9</v>
      </c>
      <c r="F26" s="6" t="n">
        <v>9.9</v>
      </c>
      <c r="G26" s="6" t="n">
        <v>6.3</v>
      </c>
      <c r="H26" s="6" t="n">
        <v>6.1</v>
      </c>
      <c r="I26" s="6" t="n">
        <v>4</v>
      </c>
      <c r="J26" s="6" t="n">
        <v>5.5</v>
      </c>
      <c r="K26" s="6" t="n">
        <v>11.9</v>
      </c>
      <c r="L26" s="6" t="n">
        <v>10.3</v>
      </c>
      <c r="M26" s="6" t="n">
        <v>6.6</v>
      </c>
      <c r="N26" s="6" t="n">
        <v>7.5</v>
      </c>
      <c r="O26" s="6" t="n">
        <v>7.7</v>
      </c>
      <c r="P26" s="6" t="n">
        <v>4.9</v>
      </c>
      <c r="Q26" s="6" t="n">
        <v>4.3</v>
      </c>
      <c r="R26" s="6" t="n">
        <v>4.5</v>
      </c>
    </row>
    <row r="27">
      <c r="A27" s="6" t="inlineStr">
        <is>
          <t>Pension liabilities</t>
        </is>
      </c>
      <c r="B27" s="6" t="n"/>
      <c r="C27" s="6" t="n"/>
      <c r="D27" s="6" t="n">
        <v>4.3</v>
      </c>
      <c r="E27" s="6" t="n">
        <v>4.5</v>
      </c>
      <c r="F27" s="6" t="n">
        <v>14.2</v>
      </c>
      <c r="G27" s="6" t="n">
        <v>21</v>
      </c>
      <c r="H27" s="6" t="n">
        <v>16.6</v>
      </c>
      <c r="I27" s="6" t="n">
        <v>12.8</v>
      </c>
      <c r="J27" s="6" t="n">
        <v>13</v>
      </c>
      <c r="K27" s="6" t="n">
        <v>13.5</v>
      </c>
      <c r="L27" s="6" t="n">
        <v>3.6</v>
      </c>
      <c r="M27" s="6" t="n">
        <v>2.9</v>
      </c>
      <c r="N27" s="6" t="n">
        <v>2.2</v>
      </c>
      <c r="O27" s="6" t="n">
        <v>1.4</v>
      </c>
      <c r="P27" s="6" t="n">
        <v>0.6</v>
      </c>
      <c r="Q27" s="6" t="n">
        <v>0.1</v>
      </c>
      <c r="R27" s="6" t="n">
        <v>0.9</v>
      </c>
    </row>
    <row r="28">
      <c r="A28" s="5" t="inlineStr">
        <is>
          <t>Total liabilities</t>
        </is>
      </c>
      <c r="B28" s="5" t="n">
        <v>1942.8</v>
      </c>
      <c r="C28" s="5" t="n">
        <v>1825.6</v>
      </c>
      <c r="D28" s="5" t="n">
        <v>1639.3</v>
      </c>
      <c r="E28" s="5" t="n">
        <v>1675.8</v>
      </c>
      <c r="F28" s="5" t="n">
        <v>1564.8</v>
      </c>
      <c r="G28" s="5" t="n">
        <v>1268.2</v>
      </c>
      <c r="H28" s="5" t="n">
        <v>1218.4</v>
      </c>
      <c r="I28" s="5" t="n">
        <v>1191.7</v>
      </c>
      <c r="J28" s="5" t="n">
        <v>1100.1</v>
      </c>
      <c r="K28" s="5" t="n">
        <v>1170.5</v>
      </c>
      <c r="L28" s="5" t="n">
        <v>865.3</v>
      </c>
      <c r="M28" s="5" t="n">
        <v>652.7</v>
      </c>
      <c r="N28" s="5" t="n">
        <v>598.3</v>
      </c>
      <c r="O28" s="5" t="n">
        <v>676.9</v>
      </c>
      <c r="P28" s="5" t="n">
        <v>586.2</v>
      </c>
      <c r="Q28" s="5" t="n">
        <v>701.1</v>
      </c>
      <c r="R28" s="5" t="n">
        <v>615.9</v>
      </c>
    </row>
    <row r="29">
      <c r="A29" s="5" t="inlineStr">
        <is>
          <t>Equity</t>
        </is>
      </c>
      <c r="B29" s="6" t="n"/>
      <c r="C29" s="6" t="n"/>
      <c r="D29" s="6" t="n"/>
      <c r="E29" s="6" t="n"/>
      <c r="F29" s="6" t="n"/>
      <c r="G29" s="6" t="n"/>
      <c r="H29" s="6" t="n"/>
      <c r="I29" s="6" t="n"/>
      <c r="J29" s="6" t="n"/>
      <c r="K29" s="6" t="n"/>
      <c r="L29" s="6" t="n"/>
      <c r="M29" s="6" t="n"/>
      <c r="N29" s="6" t="n"/>
      <c r="O29" s="6" t="n"/>
      <c r="P29" s="6" t="n"/>
      <c r="Q29" s="6" t="n"/>
      <c r="R29" s="6" t="n"/>
    </row>
    <row r="30">
      <c r="A30" s="6" t="inlineStr">
        <is>
          <t>Called up share capital</t>
        </is>
      </c>
      <c r="B30" s="6" t="n">
        <v>130</v>
      </c>
      <c r="C30" s="6" t="n">
        <v>130</v>
      </c>
      <c r="D30" s="6" t="n">
        <v>130</v>
      </c>
      <c r="E30" s="6" t="n">
        <v>130</v>
      </c>
      <c r="F30" s="6" t="n">
        <v>105</v>
      </c>
      <c r="G30" s="6" t="n">
        <v>105</v>
      </c>
      <c r="H30" s="6" t="n">
        <v>105</v>
      </c>
      <c r="I30" s="6" t="n">
        <v>105</v>
      </c>
      <c r="J30" s="6" t="n">
        <v>105</v>
      </c>
      <c r="K30" s="6" t="n">
        <v>100</v>
      </c>
      <c r="L30" s="6" t="n">
        <v>100</v>
      </c>
      <c r="M30" s="6" t="n">
        <v>100</v>
      </c>
      <c r="N30" s="6" t="n">
        <v>100</v>
      </c>
      <c r="O30" s="6" t="n">
        <v>100</v>
      </c>
      <c r="P30" s="6" t="n">
        <v>100</v>
      </c>
      <c r="Q30" s="6" t="n">
        <v>100</v>
      </c>
      <c r="R30" s="6" t="n">
        <v>100</v>
      </c>
    </row>
    <row r="31">
      <c r="A31" s="6" t="inlineStr">
        <is>
          <t>Other reserves (retained earnings + pension reserve; profit and loss account + revaluation reserve in FY2009-FY2015 UK GAAP)</t>
        </is>
      </c>
      <c r="B31" s="6" t="n">
        <v>49.8</v>
      </c>
      <c r="C31" s="6" t="n">
        <v>53.2</v>
      </c>
      <c r="D31" s="6" t="n">
        <v>53.8</v>
      </c>
      <c r="E31" s="6" t="n">
        <v>55</v>
      </c>
      <c r="F31" s="6" t="n">
        <v>43.6</v>
      </c>
      <c r="G31" s="6" t="n">
        <v>36</v>
      </c>
      <c r="H31" s="6" t="n">
        <v>55.3</v>
      </c>
      <c r="I31" s="6" t="n">
        <v>66.7</v>
      </c>
      <c r="J31" s="6" t="n">
        <v>62.3</v>
      </c>
      <c r="K31" s="6" t="n">
        <v>46.3</v>
      </c>
      <c r="L31" s="6" t="n">
        <v>33.7</v>
      </c>
      <c r="M31" s="6" t="n">
        <v>32</v>
      </c>
      <c r="N31" s="6" t="n">
        <v>28.2</v>
      </c>
      <c r="O31" s="6" t="n">
        <v>25.6</v>
      </c>
      <c r="P31" s="6" t="n">
        <v>24.7</v>
      </c>
      <c r="Q31" s="6" t="n">
        <v>24.1</v>
      </c>
      <c r="R31" s="6" t="n">
        <v>22.1</v>
      </c>
    </row>
    <row r="32">
      <c r="A32" s="5" t="inlineStr">
        <is>
          <t>Total equity</t>
        </is>
      </c>
      <c r="B32" s="5" t="n">
        <v>179.8</v>
      </c>
      <c r="C32" s="5" t="n">
        <v>183.2</v>
      </c>
      <c r="D32" s="5" t="n">
        <v>183.8</v>
      </c>
      <c r="E32" s="5" t="n">
        <v>185</v>
      </c>
      <c r="F32" s="5" t="n">
        <v>148.6</v>
      </c>
      <c r="G32" s="5" t="n">
        <v>141</v>
      </c>
      <c r="H32" s="5" t="n">
        <v>160.3</v>
      </c>
      <c r="I32" s="5" t="n">
        <v>171.7</v>
      </c>
      <c r="J32" s="5" t="n">
        <v>167.3</v>
      </c>
      <c r="K32" s="5" t="n">
        <v>146.3</v>
      </c>
      <c r="L32" s="5" t="n">
        <v>133.7</v>
      </c>
      <c r="M32" s="5" t="n">
        <v>132</v>
      </c>
      <c r="N32" s="5" t="n">
        <v>128.2</v>
      </c>
      <c r="O32" s="5" t="n">
        <v>125.6</v>
      </c>
      <c r="P32" s="5" t="n">
        <v>124.7</v>
      </c>
      <c r="Q32" s="5" t="n">
        <v>124.1</v>
      </c>
      <c r="R32" s="5" t="n">
        <v>122.1</v>
      </c>
    </row>
    <row r="33">
      <c r="A33" s="5" t="inlineStr">
        <is>
          <t>Total equity and liabilities</t>
        </is>
      </c>
      <c r="B33" s="5" t="n">
        <v>2122.6</v>
      </c>
      <c r="C33" s="5" t="n">
        <v>2008.8</v>
      </c>
      <c r="D33" s="5" t="n">
        <v>1823.1</v>
      </c>
      <c r="E33" s="5" t="n">
        <v>1860.8</v>
      </c>
      <c r="F33" s="5" t="n">
        <v>1713.4</v>
      </c>
      <c r="G33" s="5" t="n">
        <v>1409.2</v>
      </c>
      <c r="H33" s="5" t="n">
        <v>1378.7</v>
      </c>
      <c r="I33" s="5" t="n">
        <v>1363.4</v>
      </c>
      <c r="J33" s="5" t="n">
        <v>1267.4</v>
      </c>
      <c r="K33" s="5" t="n">
        <v>1316.8</v>
      </c>
      <c r="L33" s="5" t="n">
        <v>999</v>
      </c>
      <c r="M33" s="5" t="n">
        <v>784.7</v>
      </c>
      <c r="N33" s="5" t="n">
        <v>726.5</v>
      </c>
      <c r="O33" s="5" t="n">
        <v>802.5</v>
      </c>
      <c r="P33" s="5" t="n">
        <v>710.9</v>
      </c>
      <c r="Q33" s="5" t="n">
        <v>825.3</v>
      </c>
      <c r="R33" s="5" t="n">
        <v>738</v>
      </c>
    </row>
    <row r="35" ht="403" customHeight="1">
      <c r="A35" s="8" t="inlineStr">
        <is>
          <t>Sources - Julian Hodge Bank Limited Annual Reports:
FY2025: Annual Report 2025, Balance Sheet/Income Statement/Statement of Changes in Equity, p.40-41, Note 12 'Loans and advances to customers'/Note 13 'Impairment provisions', p.49-50 - https://hodgebank.co.uk/wp-content/uploads/2026/02/Hodge-AR-28.01.26.pdf
FY2024: Annual Report 2024, Balance Sheet/Income Statement/Statement of Changes in Equity, p.40-42, Note 12/13, p.48-49 - https://hodgebank.co.uk/wp-content/uploads/2025/02/Hodge-annual-report-21.02.25.pdf
FY2023: Annual Report 2023, Balance Sheet/Income Statement/Statement of Changes in Equity, p.40-42, Note 13/14, p.49-50 - https://hodgebank.co.uk/wp-content/uploads/2024/07/Annual-report-Jan-25.01.24.pdf
FY2022: Annual Report 2022, Balance Sheet/Income Statement/Statement of Changes in Equity, p.37-39, Note 13/14, p.46-47 - https://hodgebank.co.uk/wp-content/uploads/2024/07/Hodge-Annual-Report-April-04.04.23-optimised.pdf
FY2021: Annual Report 2021, Balance Sheet/Income Statement/Statement of Other Comprehensive Income/Statement of Changes in Equity, p.62-65 (printed pages 67-70) - https://hodgebank.co.uk/wp-content/uploads/2024/07/Hodge-Annual-Report-2020_2021.pdf
FY2020: Julian Hodge Bank Limited Annual Report (11-month period ended 30 September 2020), Income Statement/Balance Sheet/Statement of Changes in Equity p.26-28, Note 14 'Impairment provisions', p.44-45 - https://web.archive.org/web/20210517011507id_/https://hodgebank.co.uk/wp-content/uploads/2021/02/1.-JHB-Financial-Statements.pdf
FY2019: Julian Hodge Bank Limited Annual Report and Financial Statements 2019 (Master FINAL EY Signed), Income Statement/Balance Sheet/Statement of Changes in Equity p.20-23, Note 15 'Impairment provisions', p.42-43 - https://web.archive.org/web/20220620025335id_/https://hodgebank.co.uk/wp-content/uploads/2020/02/Julian-Hodge-Bank-Limited-Master-FINAL-EY-Signed-FY19.pdf
FY2018: Julian Hodge Bank Limited Annual Report and Financial Statements 2018, Income Statement/Balance Sheet/Statement of Changes in Equity p.24-26, Note 16 'Loans and advances to customers', p.42-44 - https://web.archive.org/web/20210517014628id_/https://hodgebank.co.uk/wp-content/uploads/2020/02/FINAL-Julian-Hodge-Bank-Limited-FY18.pdf (cross-checked against the Companies House filing for the period made up to 31 October 2018)
FY2017: Julian Hodge Bank Limited Annual report and financial statements 2017, Income Statement/Balance Sheet/Statement of Changes in Equity p.24-26, Note 16 'Loans and advances to customers', p.42-43 - https://web.archive.org/web/20220620025318id_/https://hodgebank.co.uk/wp-content/uploads/2019/01/jhb-financial-statements-20171031-1.pdf
FY2016: Julian Hodge Bank Limited Financial Statements 2016 (FRS 101, first year of transition from UK GAAP), Income Statement/Balance Sheet/Statement of Changes in Equity p.16-19, Note 16 'Loans and advances to customers', p.34 - https://web.archive.org/web/20220620025318id_/https://hodgebank.co.uk/wp-content/uploads/2019/01/jhb-financial-statements-20161031-1.pdf
FY2015: Julian Hodge Bank Limited Directors' report and financial statements 2015 (UK GAAP), Profit and loss account/Balance sheet p.13-15, Note 22 'reconciliation of movements in shareholder's funds', p.28, Note 12 'Provisions for bad and doubtful debts', p.24 - https://web.archive.org/web/20220620025258id_/https://hodgebank.co.uk/wp-content/uploads/2019/01/jhb-financial-statements-20151031.pdf
FY2014: Julian Hodge Bank Limited Directors' report and financial statements 2014 (UK GAAP), Profit and loss account/Balance sheet p.14-16, Note 12 'Provisions for bad and doubtful debts', p.24 - https://web.archive.org/web/20220620025529id_/https://hodgebank.co.uk/wp-content/uploads/2019/01/jhb-financial-statements-20141031.pdf
ENTITY NOTE: Julian Hodge Bank Limited (company 00743437, FRN 204439, incorporated 1962) is a privately-owned Cardiff-based bank; immediate parent Hodge Limited, ultimate parent The Carlyle Trust (Jersey) Limited. Fiscal year-end is 30 September from FY2021 onward (FY2020 was an 11-month transition period covering the change from the prior 31 October year-end used FY2014-FY2019). All 12 years' source documents are text-native PDFs, no OCR required.
HISTORICAL-DEPTH NOTE (HD-049): FY2016 is this entity's first year of FRS 101 reporting (transitioning from old UK GAAP used in FY2014-FY2015) - its own report's FY2015 comparative column is FRS101-restated and does NOT tie to FY2015's own contemporaneous UK GAAP report (e.g. FY2015 closing shareholder's funds/equity: GBP133.7m as originally reported in the FY2015 Annual Report vs GBP133.3m as restated in the FY2016 Annual Report's FY2015 comparative - a real GAAP-transition adjustment, not a transcription error). Per this project's convention, each year's own originally-published figures are used throughout (FY2014/FY2015 in UK GAAP format; FY2016 onward in FRS101 format), so the equity ladder has one genuine, documented break at the FY2015/FY2016 boundary rather than a forced tie-out. Separately, FY2017's own report restates FY2016's shareholder's funds from GBP146.3m (as FY2016's own report showed) to GBP153.5m, citing a 'prior period error' corrected in Note 36 (GBP6.8m addition to opening retained earnings, GBP0.3m to FY2016's own profit) - again, FY2016's own originally-published figures are used here, with this restatement documented rather than applied. IFRS 9 was adopted 1 November 2018 (start of FY2019), so IFRS 9 Stage 1/2/3 impairment staging exists only from FY2019 onward; FY2014-FY2018 show only the (unstaged) IAS 39/UK GAAP total impairment provision. FY2014-FY2015 Income Statement rows follow the old UK GAAP layout (interest receivable/payable, fees, 'other operating income' components including reversionary interest/stock profits, then a single 'profit on ordinary activities before taxation' line) rather than the FRS101 Net interest income / Net operating income / Operating profit structure used FY2016 onward - both shown on their own basis, not forced into one template, consistent with how this same script already treats the FY2025 structural change.
HISTORICAL-DEPTH NOTE (HD-074, added 2026-09-07): extends Balance Sheet, Profit &amp; Loss and Statement of Changes in Equity back to FY2009 (one year beyond HD-004's confirmed FY2010 statutory floor) - Pillar 3, Asset Quality and RWA Breakdown remain capped at FY2014 as a deliberate project-wide scope decision, not a sourcing gap. This entity has no Cash Flow Statement in any year (see EXEMPTION_NOTE on the Cash Flow Statement sheet) - the FRS1 predecessor exemption (identical grounds: a parent undertaking includes the Bank in its own published consolidated accounts) is confirmed explicitly stated in each of the FY2013/FY2011/FY2010 Annual Reports too, so this extension adds no Cash Flow Statement columns. FY2013 (and its own FY2012 comparative): Directors' report and financial statements 2013 - https://web.archive.org/web/20220620025323id_/https://hodgebank.co.uk/wp-content/uploads/2019/01/jhb-financial-statements-20131031.pdf
FY2011 (and its own FY2010 comparative): Directors' report and financial statements 2011 - https://web.archive.org/web/20220620025317id_/https://hodgebank.co.uk/wp-content/uploads/2019/01/jhb-financial-statements-20111031.pdf
FY2010 (and its own FY2009 comparative): Directors' report and financial statements 2010 - https://web.archive.org/web/20220620025334id_/https://hodgebank.co.uk/wp-content/uploads/2019/01/jhb-financial-statements-20101031.pdf
All 3 new filings are old UK GAAP (pre-FRS101), consistent with the existing FY2014/FY2015 treatment already on this sheet - no basis-transition gap exists at the FY2013/FY2014 boundary (FY2013's own closing Total equity of GBP128.2m ties exactly to FY2014's own opening position). 'Equity shares' is a genuine small distinct holding line disclosed in the FY2010-FY2012 Balance Sheets (nil in FY2013) - not folded into Debt securities or another line, since it is its own numbered note in the source accounts. FY2012's own Profit and Loss Account (per the FY2013 Annual Report's own comparative) reclassified certain cost/income sub-lines from how they were originally presented (a reclassification only, explained in that report's own Note 1 - profit for the year and net assets are unaffected). Every one of the 5 new years' Balance Sheet ties exactly (Total assets = Total liabilities + Total equity, verified to the exact £000) and every new year's disclosed Profit on ordinary activities before taxation and Total recognised gains and losses in the financial year are reproduced exactly by the rows on this sheet and the Profit &amp; Loss sheet.</t>
        </is>
      </c>
    </row>
  </sheetData>
  <mergeCells count="1">
    <mergeCell ref="A35:R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Julian Hodge Bank Limited — Profit &amp; Loss</t>
        </is>
      </c>
    </row>
    <row r="2">
      <c r="A2" s="2" t="inlineStr">
        <is>
          <t>Entity-level (Company-only, FRS 101). £m. Structure genuinely changes FY2025 (Net operating (loss)/income subtotal replaces the FY2021-FY2024 'Operating profit' subtotal) - both shown on their own basis, not forced into one template. Each year's own originally-published figures used throughout; note AR2025's own FY2024 comparative column is separately labelled 'Restated' (Note 33 interest revenue/expense reclassification) - that restated column is NOT used here, FY2024's own contemporaneous report is used instead, per project convention.</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c r="R3" s="4" t="inlineStr">
        <is>
          <t>FY2009 (£m)</t>
        </is>
      </c>
    </row>
    <row r="4">
      <c r="A4" s="5" t="inlineStr">
        <is>
          <t>Income</t>
        </is>
      </c>
      <c r="B4" s="6" t="n"/>
      <c r="C4" s="6" t="n"/>
      <c r="D4" s="6" t="n"/>
      <c r="E4" s="6" t="n"/>
      <c r="F4" s="6" t="n"/>
      <c r="G4" s="6" t="n"/>
      <c r="H4" s="6" t="n"/>
      <c r="I4" s="6" t="n"/>
      <c r="J4" s="6" t="n"/>
      <c r="K4" s="6" t="n"/>
      <c r="L4" s="6" t="n"/>
      <c r="M4" s="6" t="n"/>
      <c r="N4" s="6" t="n"/>
      <c r="O4" s="6" t="n"/>
      <c r="P4" s="6" t="n"/>
      <c r="Q4" s="6" t="n"/>
      <c r="R4" s="6" t="n"/>
    </row>
    <row r="5">
      <c r="A5" s="6" t="inlineStr">
        <is>
          <t>Interest revenue calculated using the EIR method (FY2014-FY2015: UK GAAP interest receivable, not EIR-method - same row for comparability, see note)</t>
        </is>
      </c>
      <c r="B5" s="6" t="n">
        <v>122.9</v>
      </c>
      <c r="C5" s="6" t="n">
        <v>92.09999999999999</v>
      </c>
      <c r="D5" s="6" t="n">
        <v>67.3</v>
      </c>
      <c r="E5" s="6" t="n">
        <v>50.5</v>
      </c>
      <c r="F5" s="6" t="n">
        <v>39.6</v>
      </c>
      <c r="G5" s="6" t="n">
        <v>38.4</v>
      </c>
      <c r="H5" s="6" t="n">
        <v>48.3</v>
      </c>
      <c r="I5" s="6" t="n">
        <v>46</v>
      </c>
      <c r="J5" s="6" t="n">
        <v>41.3</v>
      </c>
      <c r="K5" s="6" t="n">
        <v>42.2</v>
      </c>
      <c r="L5" s="6" t="n">
        <v>33.3</v>
      </c>
      <c r="M5" s="6" t="n">
        <v>28.9</v>
      </c>
      <c r="N5" s="6" t="n">
        <v>27.5</v>
      </c>
      <c r="O5" s="6" t="n">
        <v>26.9</v>
      </c>
      <c r="P5" s="6" t="n">
        <v>28.4</v>
      </c>
      <c r="Q5" s="6" t="n">
        <v>33.5</v>
      </c>
      <c r="R5" s="6" t="n">
        <v>32.6</v>
      </c>
    </row>
    <row r="6">
      <c r="A6" s="6" t="inlineStr">
        <is>
          <t>Interest expense calculated using the EIR method (FY2014-FY2015: UK GAAP interest payable)</t>
        </is>
      </c>
      <c r="B6" s="6" t="n">
        <v>-81.09999999999999</v>
      </c>
      <c r="C6" s="6" t="n">
        <v>-52.4</v>
      </c>
      <c r="D6" s="6" t="n">
        <v>-27.9</v>
      </c>
      <c r="E6" s="6" t="n">
        <v>-21.1</v>
      </c>
      <c r="F6" s="6" t="n">
        <v>-22</v>
      </c>
      <c r="G6" s="6" t="n">
        <v>-22.8</v>
      </c>
      <c r="H6" s="6" t="n">
        <v>-28.1</v>
      </c>
      <c r="I6" s="6" t="n">
        <v>-27.7</v>
      </c>
      <c r="J6" s="6" t="n">
        <v>-27.4</v>
      </c>
      <c r="K6" s="6" t="n">
        <v>-29</v>
      </c>
      <c r="L6" s="6" t="n">
        <v>-27.7</v>
      </c>
      <c r="M6" s="6" t="n">
        <v>-26</v>
      </c>
      <c r="N6" s="6" t="n">
        <v>-29.4</v>
      </c>
      <c r="O6" s="6" t="n">
        <v>-28.7</v>
      </c>
      <c r="P6" s="6" t="n">
        <v>-28.3</v>
      </c>
      <c r="Q6" s="6" t="n">
        <v>-31</v>
      </c>
      <c r="R6" s="6" t="n">
        <v>-25.3</v>
      </c>
    </row>
    <row r="7">
      <c r="A7" s="5" t="inlineStr">
        <is>
          <t>Net interest income</t>
        </is>
      </c>
      <c r="B7" s="5" t="n">
        <v>41.8</v>
      </c>
      <c r="C7" s="5" t="n">
        <v>39.7</v>
      </c>
      <c r="D7" s="5" t="n">
        <v>39.4</v>
      </c>
      <c r="E7" s="5" t="n">
        <v>29.4</v>
      </c>
      <c r="F7" s="5" t="n">
        <v>17.6</v>
      </c>
      <c r="G7" s="5" t="n">
        <v>15.6</v>
      </c>
      <c r="H7" s="5" t="n">
        <v>20.2</v>
      </c>
      <c r="I7" s="5" t="n">
        <v>18.3</v>
      </c>
      <c r="J7" s="5" t="n">
        <v>13.9</v>
      </c>
      <c r="K7" s="5" t="n">
        <v>13.2</v>
      </c>
      <c r="L7" s="5" t="n">
        <v>5.6</v>
      </c>
      <c r="M7" s="5" t="n">
        <v>2.9</v>
      </c>
      <c r="N7" s="5" t="n">
        <v>-1.9</v>
      </c>
      <c r="O7" s="5" t="n">
        <v>-1.8</v>
      </c>
      <c r="P7" s="5" t="n">
        <v>0.2</v>
      </c>
      <c r="Q7" s="5" t="n">
        <v>2.4</v>
      </c>
      <c r="R7" s="5" t="n">
        <v>7.4</v>
      </c>
    </row>
    <row r="8">
      <c r="A8" s="6" t="inlineStr">
        <is>
          <t>Fees and commission income</t>
        </is>
      </c>
      <c r="B8" s="6" t="n">
        <v>1</v>
      </c>
      <c r="C8" s="6" t="n">
        <v>2.9</v>
      </c>
      <c r="D8" s="6" t="n">
        <v>2.5</v>
      </c>
      <c r="E8" s="6" t="n">
        <v>2.6</v>
      </c>
      <c r="F8" s="6" t="n">
        <v>2.5</v>
      </c>
      <c r="G8" s="6" t="n">
        <v>1.8</v>
      </c>
      <c r="H8" s="6" t="n">
        <v>0.7</v>
      </c>
      <c r="I8" s="6" t="n">
        <v>2.5</v>
      </c>
      <c r="J8" s="6" t="n">
        <v>0.5</v>
      </c>
      <c r="K8" s="6" t="n">
        <v>1.1</v>
      </c>
      <c r="L8" s="6" t="n">
        <v>2.8</v>
      </c>
      <c r="M8" s="6" t="n">
        <v>2.2</v>
      </c>
      <c r="N8" s="6" t="n">
        <v>1.1</v>
      </c>
      <c r="O8" s="6" t="n">
        <v>1.2</v>
      </c>
      <c r="P8" s="6" t="n">
        <v>1.3</v>
      </c>
      <c r="Q8" s="6" t="n">
        <v>1.6</v>
      </c>
      <c r="R8" s="6" t="n">
        <v>2.6</v>
      </c>
    </row>
    <row r="9">
      <c r="A9" s="6" t="inlineStr">
        <is>
          <t>Fees and commission expense</t>
        </is>
      </c>
      <c r="B9" s="6" t="n">
        <v>-3.6</v>
      </c>
      <c r="C9" s="6" t="n">
        <v>-1.2</v>
      </c>
      <c r="D9" s="6" t="n">
        <v>-0.1</v>
      </c>
      <c r="E9" s="6" t="n">
        <v>-0.1</v>
      </c>
      <c r="F9" s="6" t="n"/>
      <c r="G9" s="6" t="n"/>
      <c r="H9" s="6" t="n">
        <v>-0.1</v>
      </c>
      <c r="I9" s="6" t="n">
        <v>-1.1</v>
      </c>
      <c r="J9" s="6" t="n">
        <v>-1.2</v>
      </c>
      <c r="K9" s="6" t="n">
        <v>-0.7</v>
      </c>
      <c r="L9" s="6" t="n">
        <v>-0.8</v>
      </c>
      <c r="M9" s="6" t="n">
        <v>-1.5</v>
      </c>
      <c r="N9" s="6" t="n">
        <v>-0.3</v>
      </c>
      <c r="O9" s="6" t="n"/>
      <c r="P9" s="6" t="n">
        <v>-0.1</v>
      </c>
      <c r="Q9" s="6" t="n">
        <v>-0.4</v>
      </c>
      <c r="R9" s="6" t="n">
        <v>-1</v>
      </c>
    </row>
    <row r="10">
      <c r="A10" s="5" t="inlineStr">
        <is>
          <t>Net fee and commission income/(expense)</t>
        </is>
      </c>
      <c r="B10" s="5" t="n">
        <v>-2.6</v>
      </c>
      <c r="C10" s="5" t="n">
        <v>1.7</v>
      </c>
      <c r="D10" s="5" t="n">
        <v>2.4</v>
      </c>
      <c r="E10" s="5" t="n">
        <v>2.5</v>
      </c>
      <c r="F10" s="5" t="n">
        <v>2.5</v>
      </c>
      <c r="G10" s="5" t="n">
        <v>1.8</v>
      </c>
      <c r="H10" s="5" t="n">
        <v>0.6</v>
      </c>
      <c r="I10" s="5" t="n">
        <v>1.4</v>
      </c>
      <c r="J10" s="5" t="n">
        <v>-0.7</v>
      </c>
      <c r="K10" s="5" t="n">
        <v>0.4</v>
      </c>
      <c r="L10" s="5" t="n">
        <v>2</v>
      </c>
      <c r="M10" s="5" t="n">
        <v>0.7</v>
      </c>
      <c r="N10" s="5" t="n">
        <v>0.8</v>
      </c>
      <c r="O10" s="5" t="n">
        <v>1.2</v>
      </c>
      <c r="P10" s="5" t="n">
        <v>1.3</v>
      </c>
      <c r="Q10" s="5" t="n">
        <v>1.2</v>
      </c>
      <c r="R10" s="5" t="n">
        <v>1.6</v>
      </c>
    </row>
    <row r="11">
      <c r="A11" s="6" t="inlineStr">
        <is>
          <t>Investment income (FY2014-FY2015: 'Other finance income')</t>
        </is>
      </c>
      <c r="B11" s="6" t="n">
        <v>0.6</v>
      </c>
      <c r="C11" s="6" t="n">
        <v>0.5</v>
      </c>
      <c r="D11" s="6" t="n">
        <v>4.6</v>
      </c>
      <c r="E11" s="6" t="n">
        <v>6.7</v>
      </c>
      <c r="F11" s="6" t="n">
        <v>6</v>
      </c>
      <c r="G11" s="6" t="n">
        <v>3.5</v>
      </c>
      <c r="H11" s="6" t="n">
        <v>7.2</v>
      </c>
      <c r="I11" s="6" t="n">
        <v>6.4</v>
      </c>
      <c r="J11" s="6" t="n">
        <v>4.8</v>
      </c>
      <c r="K11" s="6" t="n"/>
      <c r="L11" s="6" t="n">
        <v>0.4</v>
      </c>
      <c r="M11" s="6" t="n">
        <v>0.8</v>
      </c>
      <c r="N11" s="6" t="n">
        <v>0.3</v>
      </c>
      <c r="O11" s="6" t="n">
        <v>0.4</v>
      </c>
      <c r="P11" s="6" t="n">
        <v>-0.1</v>
      </c>
      <c r="Q11" s="6" t="n">
        <v>0.1</v>
      </c>
      <c r="R11" s="6" t="n">
        <v>0.2</v>
      </c>
    </row>
    <row r="12">
      <c r="A12" s="6" t="inlineStr">
        <is>
          <t>Dividend income from listed equity shares and subsidiary companies (FY2009-FY2013 only)</t>
        </is>
      </c>
      <c r="B12" s="6" t="n"/>
      <c r="C12" s="6" t="n"/>
      <c r="D12" s="6" t="n"/>
      <c r="E12" s="6" t="n"/>
      <c r="F12" s="6" t="n"/>
      <c r="G12" s="6" t="n"/>
      <c r="H12" s="6" t="n"/>
      <c r="I12" s="6" t="n"/>
      <c r="J12" s="6" t="n"/>
      <c r="K12" s="6" t="n"/>
      <c r="L12" s="6" t="n"/>
      <c r="M12" s="6" t="n"/>
      <c r="N12" s="6" t="n"/>
      <c r="O12" s="6" t="n">
        <v>0.2</v>
      </c>
      <c r="P12" s="6" t="n">
        <v>0.2</v>
      </c>
      <c r="Q12" s="6" t="n">
        <v>0.1</v>
      </c>
      <c r="R12" s="6" t="n">
        <v>0.4</v>
      </c>
    </row>
    <row r="13">
      <c r="A13" s="6" t="inlineStr">
        <is>
          <t>Other operating income</t>
        </is>
      </c>
      <c r="B13" s="6" t="n"/>
      <c r="C13" s="6" t="n"/>
      <c r="D13" s="6" t="n">
        <v>0.2</v>
      </c>
      <c r="E13" s="6" t="n"/>
      <c r="F13" s="6" t="n">
        <v>0.1</v>
      </c>
      <c r="G13" s="6" t="n"/>
      <c r="H13" s="6" t="n"/>
      <c r="I13" s="6" t="n">
        <v>0.1</v>
      </c>
      <c r="J13" s="6" t="n">
        <v>1</v>
      </c>
      <c r="K13" s="6" t="n">
        <v>0.8</v>
      </c>
      <c r="L13" s="6" t="n">
        <v>5</v>
      </c>
      <c r="M13" s="6" t="n">
        <v>4.9</v>
      </c>
      <c r="N13" s="6" t="n">
        <v>9</v>
      </c>
      <c r="O13" s="6" t="n">
        <v>8.199999999999999</v>
      </c>
      <c r="P13" s="6" t="n">
        <v>7.5</v>
      </c>
      <c r="Q13" s="6" t="n">
        <v>12.2</v>
      </c>
      <c r="R13" s="6" t="n">
        <v>3.4</v>
      </c>
    </row>
    <row r="14">
      <c r="A14" s="6" t="inlineStr">
        <is>
          <t>Bad debt recovery</t>
        </is>
      </c>
      <c r="B14" s="6" t="n"/>
      <c r="C14" s="6" t="n"/>
      <c r="D14" s="6" t="n"/>
      <c r="E14" s="6" t="n">
        <v>0.4</v>
      </c>
      <c r="F14" s="6" t="n"/>
      <c r="G14" s="6" t="n"/>
      <c r="H14" s="6" t="n"/>
      <c r="I14" s="6" t="n"/>
      <c r="J14" s="6" t="n"/>
      <c r="K14" s="6" t="n"/>
      <c r="L14" s="6" t="n"/>
      <c r="M14" s="6" t="n"/>
      <c r="N14" s="6" t="n"/>
      <c r="O14" s="6" t="n"/>
      <c r="P14" s="6" t="n"/>
      <c r="Q14" s="6" t="n"/>
      <c r="R14" s="6" t="n"/>
    </row>
    <row r="15">
      <c r="A15" s="5" t="inlineStr">
        <is>
          <t>Net operating income</t>
        </is>
      </c>
      <c r="B15" s="5" t="n">
        <v>39.8</v>
      </c>
      <c r="C15" s="5" t="n">
        <v>41.9</v>
      </c>
      <c r="D15" s="5" t="n">
        <v>46.6</v>
      </c>
      <c r="E15" s="5" t="n">
        <v>38.6</v>
      </c>
      <c r="F15" s="5" t="n">
        <v>26.2</v>
      </c>
      <c r="G15" s="5" t="n">
        <v>20.9</v>
      </c>
      <c r="H15" s="5" t="n">
        <v>28</v>
      </c>
      <c r="I15" s="5" t="n">
        <v>18.2</v>
      </c>
      <c r="J15" s="5" t="n">
        <v>19.3</v>
      </c>
      <c r="K15" s="5" t="n">
        <v>33.5</v>
      </c>
      <c r="L15" s="5" t="n">
        <v>13</v>
      </c>
      <c r="M15" s="5" t="n">
        <v>9.300000000000001</v>
      </c>
      <c r="N15" s="5" t="n">
        <v>8.199999999999999</v>
      </c>
      <c r="O15" s="5" t="n">
        <v>8.1</v>
      </c>
      <c r="P15" s="5" t="n">
        <v>9</v>
      </c>
      <c r="Q15" s="5" t="n">
        <v>16.1</v>
      </c>
      <c r="R15" s="5" t="n">
        <v>13</v>
      </c>
    </row>
    <row r="16">
      <c r="A16" s="6" t="inlineStr">
        <is>
          <t>Administrative expenses</t>
        </is>
      </c>
      <c r="B16" s="6" t="n">
        <v>-33.7</v>
      </c>
      <c r="C16" s="6" t="n">
        <v>-36.4</v>
      </c>
      <c r="D16" s="6" t="n">
        <v>-35.3</v>
      </c>
      <c r="E16" s="6" t="n">
        <v>-34.2</v>
      </c>
      <c r="F16" s="6" t="n">
        <v>-25.9</v>
      </c>
      <c r="G16" s="6" t="n">
        <v>-22.3</v>
      </c>
      <c r="H16" s="6" t="n">
        <v>-16.4</v>
      </c>
      <c r="I16" s="6" t="n">
        <v>-12</v>
      </c>
      <c r="J16" s="6" t="n">
        <v>-9.9</v>
      </c>
      <c r="K16" s="6" t="n">
        <v>-8.1</v>
      </c>
      <c r="L16" s="6" t="n">
        <v>-6.7</v>
      </c>
      <c r="M16" s="6" t="n">
        <v>-5.4</v>
      </c>
      <c r="N16" s="6" t="n">
        <v>-4.5</v>
      </c>
      <c r="O16" s="6" t="n">
        <v>-4.9</v>
      </c>
      <c r="P16" s="6" t="n">
        <v>-4.9</v>
      </c>
      <c r="Q16" s="6" t="n">
        <v>-5.7</v>
      </c>
      <c r="R16" s="6" t="n">
        <v>-7.5</v>
      </c>
    </row>
    <row r="17">
      <c r="A17" s="6" t="inlineStr">
        <is>
          <t>Depreciation and amortisation</t>
        </is>
      </c>
      <c r="B17" s="6" t="n">
        <v>-3.1</v>
      </c>
      <c r="C17" s="6" t="n">
        <v>-2.9</v>
      </c>
      <c r="D17" s="6" t="n">
        <v>-2.9</v>
      </c>
      <c r="E17" s="6" t="n">
        <v>-2.5</v>
      </c>
      <c r="F17" s="6" t="n">
        <v>-2.4</v>
      </c>
      <c r="G17" s="6" t="n">
        <v>-1.8</v>
      </c>
      <c r="H17" s="6" t="n">
        <v>-1.2</v>
      </c>
      <c r="I17" s="6" t="n">
        <v>-0.9</v>
      </c>
      <c r="J17" s="6" t="n">
        <v>-0.5</v>
      </c>
      <c r="K17" s="6" t="n">
        <v>-0.2</v>
      </c>
      <c r="L17" s="6" t="n"/>
      <c r="M17" s="6" t="n"/>
      <c r="N17" s="6" t="n">
        <v>0</v>
      </c>
      <c r="O17" s="6" t="n">
        <v>0</v>
      </c>
      <c r="P17" s="6" t="n">
        <v>0</v>
      </c>
      <c r="Q17" s="6" t="n">
        <v>0</v>
      </c>
      <c r="R17" s="6" t="n">
        <v>-0.2</v>
      </c>
    </row>
    <row r="18">
      <c r="A18" s="6" t="inlineStr">
        <is>
          <t>Impairment (losses)/gains on loans and advances to customers</t>
        </is>
      </c>
      <c r="B18" s="6" t="n">
        <v>-6.5</v>
      </c>
      <c r="C18" s="6" t="n">
        <v>-2.2</v>
      </c>
      <c r="D18" s="6" t="n">
        <v>-1.6</v>
      </c>
      <c r="E18" s="6" t="n"/>
      <c r="F18" s="6" t="n"/>
      <c r="G18" s="6" t="n">
        <v>-5.4</v>
      </c>
      <c r="H18" s="6" t="n">
        <v>-3.9</v>
      </c>
      <c r="I18" s="6" t="n">
        <v>1</v>
      </c>
      <c r="J18" s="6" t="n">
        <v>1.6</v>
      </c>
      <c r="K18" s="6" t="n">
        <v>-2.4</v>
      </c>
      <c r="L18" s="6" t="n">
        <v>-2.1</v>
      </c>
      <c r="M18" s="6" t="n">
        <v>-0.7</v>
      </c>
      <c r="N18" s="6" t="n">
        <v>-0.1</v>
      </c>
      <c r="O18" s="6" t="n">
        <v>0.8</v>
      </c>
      <c r="P18" s="6" t="n">
        <v>-1.5</v>
      </c>
      <c r="Q18" s="6" t="n">
        <v>-8.199999999999999</v>
      </c>
      <c r="R18" s="6" t="n">
        <v>-4.2</v>
      </c>
    </row>
    <row r="19">
      <c r="A19" s="6" t="inlineStr">
        <is>
          <t>Movement in valuation of stock/work-in-progress (UK GAAP line, FY2009-FY2015 only)</t>
        </is>
      </c>
      <c r="B19" s="6" t="n"/>
      <c r="C19" s="6" t="n"/>
      <c r="D19" s="6" t="n"/>
      <c r="E19" s="6" t="n"/>
      <c r="F19" s="6" t="n"/>
      <c r="G19" s="6" t="n"/>
      <c r="H19" s="6" t="n"/>
      <c r="I19" s="6" t="n"/>
      <c r="J19" s="6" t="n"/>
      <c r="K19" s="6" t="n"/>
      <c r="L19" s="6" t="n">
        <v>0.9</v>
      </c>
      <c r="M19" s="6" t="n">
        <v>1.1</v>
      </c>
      <c r="N19" s="6" t="n">
        <v>-0.1</v>
      </c>
      <c r="O19" s="6" t="n">
        <v>-0.9</v>
      </c>
      <c r="P19" s="6" t="n"/>
      <c r="Q19" s="6" t="n"/>
      <c r="R19" s="6" t="n"/>
    </row>
    <row r="20">
      <c r="A20" s="5" t="inlineStr">
        <is>
          <t>Operating profit/(loss) (FY2021-FY2024 subtotal; see Net operating (loss)/income for FY2025's own equivalent line)</t>
        </is>
      </c>
      <c r="B20" s="5" t="n"/>
      <c r="C20" s="5" t="n">
        <v>0.4</v>
      </c>
      <c r="D20" s="5" t="n">
        <v>6.8</v>
      </c>
      <c r="E20" s="5" t="n">
        <v>2.3</v>
      </c>
      <c r="F20" s="5" t="n">
        <v>-2.1</v>
      </c>
      <c r="G20" s="5" t="n">
        <v>-8.6</v>
      </c>
      <c r="H20" s="5" t="n">
        <v>6.5</v>
      </c>
      <c r="I20" s="5" t="n"/>
      <c r="J20" s="5" t="n"/>
      <c r="K20" s="5" t="n"/>
      <c r="L20" s="5" t="n"/>
      <c r="M20" s="5" t="n"/>
      <c r="N20" s="5" t="n"/>
      <c r="O20" s="5" t="n"/>
      <c r="P20" s="5" t="n"/>
      <c r="Q20" s="5" t="n"/>
      <c r="R20" s="5" t="n"/>
    </row>
    <row r="21">
      <c r="A21" s="5" t="inlineStr">
        <is>
          <t>Net operating (loss)/income (FY2025's own subtotal, structured differently from FY2021-FY2024's 'Operating profit')</t>
        </is>
      </c>
      <c r="B21" s="5" t="n">
        <v>-3.5</v>
      </c>
      <c r="C21" s="5" t="n"/>
      <c r="D21" s="5" t="n"/>
      <c r="E21" s="5" t="n"/>
      <c r="F21" s="5" t="n"/>
      <c r="G21" s="5" t="n"/>
      <c r="H21" s="5" t="n"/>
      <c r="I21" s="5" t="n"/>
      <c r="J21" s="5" t="n"/>
      <c r="K21" s="5" t="n"/>
      <c r="L21" s="5" t="n"/>
      <c r="M21" s="5" t="n"/>
      <c r="N21" s="5" t="n"/>
      <c r="O21" s="5" t="n"/>
      <c r="P21" s="5" t="n"/>
      <c r="Q21" s="5" t="n"/>
      <c r="R21" s="5" t="n"/>
    </row>
    <row r="22">
      <c r="A22" s="6" t="inlineStr">
        <is>
          <t>(Loss)/gain arising from the derecognition of financial assets managed at amortised cost</t>
        </is>
      </c>
      <c r="B22" s="6" t="n"/>
      <c r="C22" s="6" t="n">
        <v>-1</v>
      </c>
      <c r="D22" s="6" t="n"/>
      <c r="E22" s="6" t="n"/>
      <c r="F22" s="6" t="n">
        <v>0</v>
      </c>
      <c r="G22" s="6" t="n">
        <v>4.2</v>
      </c>
      <c r="H22" s="6" t="n">
        <v>3.1</v>
      </c>
      <c r="I22" s="6" t="n"/>
      <c r="J22" s="6" t="n"/>
      <c r="K22" s="6" t="n"/>
      <c r="L22" s="6" t="n"/>
      <c r="M22" s="6" t="n"/>
      <c r="N22" s="6" t="n"/>
      <c r="O22" s="6" t="n"/>
      <c r="P22" s="6" t="n"/>
      <c r="Q22" s="6" t="n"/>
      <c r="R22" s="6" t="n"/>
    </row>
    <row r="23">
      <c r="A23" s="6" t="inlineStr">
        <is>
          <t>Other fair value gains/(losses)</t>
        </is>
      </c>
      <c r="B23" s="6" t="n">
        <v>-2.3</v>
      </c>
      <c r="C23" s="6" t="n">
        <v>-1.5</v>
      </c>
      <c r="D23" s="6" t="n">
        <v>-7</v>
      </c>
      <c r="E23" s="6" t="n">
        <v>4.3</v>
      </c>
      <c r="F23" s="6" t="n">
        <v>11.3</v>
      </c>
      <c r="G23" s="6" t="n">
        <v>-16.7</v>
      </c>
      <c r="H23" s="6" t="n">
        <v>-12.8</v>
      </c>
      <c r="I23" s="6" t="n">
        <v>-8</v>
      </c>
      <c r="J23" s="6" t="n">
        <v>0.3</v>
      </c>
      <c r="K23" s="6" t="n">
        <v>19.2</v>
      </c>
      <c r="L23" s="6" t="n"/>
      <c r="M23" s="6" t="n"/>
      <c r="N23" s="6" t="n"/>
      <c r="O23" s="6" t="n"/>
      <c r="P23" s="6" t="n"/>
      <c r="Q23" s="6" t="n"/>
      <c r="R23" s="6" t="n"/>
    </row>
    <row r="24">
      <c r="A24" s="6" t="inlineStr">
        <is>
          <t>Loss on disposal of loans and advances to customers held at fair value</t>
        </is>
      </c>
      <c r="B24" s="6" t="n"/>
      <c r="C24" s="6" t="n"/>
      <c r="D24" s="6" t="n"/>
      <c r="E24" s="6" t="n"/>
      <c r="F24" s="6" t="n">
        <v>-5.5</v>
      </c>
      <c r="G24" s="6" t="n"/>
      <c r="H24" s="6" t="n">
        <v>-4.6</v>
      </c>
      <c r="I24" s="6" t="n"/>
      <c r="J24" s="6" t="n"/>
      <c r="K24" s="6" t="n"/>
      <c r="L24" s="6" t="n"/>
      <c r="M24" s="6" t="n"/>
      <c r="N24" s="6" t="n"/>
      <c r="O24" s="6" t="n"/>
      <c r="P24" s="6" t="n"/>
      <c r="Q24" s="6" t="n"/>
      <c r="R24" s="6" t="n"/>
    </row>
    <row r="25">
      <c r="A25" s="5" t="inlineStr">
        <is>
          <t>Profit/(loss) before taxation (FY2014-FY2015: 'Profit on ordinary activities before taxation')</t>
        </is>
      </c>
      <c r="B25" s="5" t="n">
        <v>-5.8</v>
      </c>
      <c r="C25" s="5" t="n">
        <v>-2.1</v>
      </c>
      <c r="D25" s="5" t="n">
        <v>-0.2</v>
      </c>
      <c r="E25" s="5" t="n">
        <v>6.6</v>
      </c>
      <c r="F25" s="5" t="n">
        <v>3.7</v>
      </c>
      <c r="G25" s="5" t="n">
        <v>-21.1</v>
      </c>
      <c r="H25" s="5" t="n">
        <v>-7.8</v>
      </c>
      <c r="I25" s="5" t="n">
        <v>6.3</v>
      </c>
      <c r="J25" s="5" t="n">
        <v>10.5</v>
      </c>
      <c r="K25" s="5" t="n">
        <v>22.8</v>
      </c>
      <c r="L25" s="5" t="n">
        <v>5</v>
      </c>
      <c r="M25" s="5" t="n">
        <v>4.3</v>
      </c>
      <c r="N25" s="5" t="n">
        <v>3.5</v>
      </c>
      <c r="O25" s="5" t="n">
        <v>3.1</v>
      </c>
      <c r="P25" s="5" t="n">
        <v>2.6</v>
      </c>
      <c r="Q25" s="5" t="n">
        <v>2.1</v>
      </c>
      <c r="R25" s="5" t="n">
        <v>1.2</v>
      </c>
    </row>
    <row r="26">
      <c r="A26" s="6" t="inlineStr">
        <is>
          <t>Tax credit/(charge) on profit/(loss) before taxation</t>
        </is>
      </c>
      <c r="B26" s="6" t="n">
        <v>1.9</v>
      </c>
      <c r="C26" s="6" t="n">
        <v>0.4</v>
      </c>
      <c r="D26" s="6" t="n"/>
      <c r="E26" s="6" t="n">
        <v>-1.8</v>
      </c>
      <c r="F26" s="6" t="n">
        <v>2.1</v>
      </c>
      <c r="G26" s="6" t="n">
        <v>5.2</v>
      </c>
      <c r="H26" s="6" t="n">
        <v>2.1</v>
      </c>
      <c r="I26" s="6" t="n">
        <v>-0.8</v>
      </c>
      <c r="J26" s="6" t="n">
        <v>-0.3</v>
      </c>
      <c r="K26" s="6" t="n">
        <v>-5.2</v>
      </c>
      <c r="L26" s="6" t="n">
        <v>-0.8</v>
      </c>
      <c r="M26" s="6" t="n">
        <v>-0.2</v>
      </c>
      <c r="N26" s="6" t="n">
        <v>0.1</v>
      </c>
      <c r="O26" s="6" t="n">
        <v>-0.5</v>
      </c>
      <c r="P26" s="6" t="n">
        <v>-0.6</v>
      </c>
      <c r="Q26" s="6" t="n">
        <v>-0.8</v>
      </c>
      <c r="R26" s="6" t="n">
        <v>-0.4</v>
      </c>
    </row>
    <row r="27">
      <c r="A27" s="5" t="inlineStr">
        <is>
          <t>Profit/(loss) for the financial year</t>
        </is>
      </c>
      <c r="B27" s="5" t="n">
        <v>-3.9</v>
      </c>
      <c r="C27" s="5" t="n">
        <v>-1.7</v>
      </c>
      <c r="D27" s="5" t="n">
        <v>-0.2</v>
      </c>
      <c r="E27" s="5" t="n">
        <v>4.8</v>
      </c>
      <c r="F27" s="5" t="n">
        <v>5.8</v>
      </c>
      <c r="G27" s="5" t="n">
        <v>-15.9</v>
      </c>
      <c r="H27" s="5" t="n">
        <v>-5.7</v>
      </c>
      <c r="I27" s="5" t="n">
        <v>5.5</v>
      </c>
      <c r="J27" s="5" t="n">
        <v>10.2</v>
      </c>
      <c r="K27" s="5" t="n">
        <v>17.6</v>
      </c>
      <c r="L27" s="5" t="n">
        <v>4.3</v>
      </c>
      <c r="M27" s="5" t="n">
        <v>4.1</v>
      </c>
      <c r="N27" s="5" t="n">
        <v>3.5</v>
      </c>
      <c r="O27" s="5" t="n">
        <v>2.6</v>
      </c>
      <c r="P27" s="5" t="n">
        <v>2</v>
      </c>
      <c r="Q27" s="5" t="n">
        <v>1.3</v>
      </c>
      <c r="R27" s="5" t="n">
        <v>0.7</v>
      </c>
    </row>
    <row r="28">
      <c r="A28" s="5" t="inlineStr">
        <is>
          <t>Other comprehensive income</t>
        </is>
      </c>
      <c r="B28" s="6" t="n"/>
      <c r="C28" s="6" t="n"/>
      <c r="D28" s="6" t="n"/>
      <c r="E28" s="6" t="n"/>
      <c r="F28" s="6" t="n"/>
      <c r="G28" s="6" t="n"/>
      <c r="H28" s="6" t="n"/>
      <c r="I28" s="6" t="n"/>
      <c r="J28" s="6" t="n"/>
      <c r="K28" s="6" t="n"/>
      <c r="L28" s="6" t="n"/>
      <c r="M28" s="6" t="n"/>
      <c r="N28" s="6" t="n"/>
      <c r="O28" s="6" t="n"/>
      <c r="P28" s="6" t="n"/>
      <c r="Q28" s="6" t="n"/>
      <c r="R28" s="6" t="n"/>
    </row>
    <row r="29">
      <c r="A29" s="6" t="inlineStr">
        <is>
          <t>Re-measurement of defined benefit pension plan (FY2014-FY2015: 'Actuarial loss recognised in the pension scheme')</t>
        </is>
      </c>
      <c r="B29" s="6" t="n">
        <v>0.7</v>
      </c>
      <c r="C29" s="6" t="n">
        <v>1.7</v>
      </c>
      <c r="D29" s="6" t="n">
        <v>-1.7</v>
      </c>
      <c r="E29" s="6" t="n">
        <v>9</v>
      </c>
      <c r="F29" s="6" t="n">
        <v>2.6</v>
      </c>
      <c r="G29" s="6" t="n">
        <v>-4.4</v>
      </c>
      <c r="H29" s="6" t="n">
        <v>-3.3</v>
      </c>
      <c r="I29" s="6" t="n">
        <v>0.6</v>
      </c>
      <c r="J29" s="6" t="n">
        <v>0.4</v>
      </c>
      <c r="K29" s="6" t="n">
        <v>-9.1</v>
      </c>
      <c r="L29" s="6" t="n">
        <v>-1.1</v>
      </c>
      <c r="M29" s="6" t="n">
        <v>-1.4</v>
      </c>
      <c r="N29" s="6" t="n">
        <v>-1.2</v>
      </c>
      <c r="O29" s="6" t="n">
        <v>-1.4</v>
      </c>
      <c r="P29" s="6" t="n">
        <v>-0.5</v>
      </c>
      <c r="Q29" s="6" t="n">
        <v>0.7</v>
      </c>
      <c r="R29" s="6" t="n">
        <v>-2.8</v>
      </c>
    </row>
    <row r="30">
      <c r="A30" s="6" t="inlineStr">
        <is>
          <t>Deferred tax on pension plan re-measurement</t>
        </is>
      </c>
      <c r="B30" s="6" t="n">
        <v>-0.2</v>
      </c>
      <c r="C30" s="6" t="n">
        <v>-0.4</v>
      </c>
      <c r="D30" s="6" t="n">
        <v>0.4</v>
      </c>
      <c r="E30" s="6" t="n">
        <v>-2.2</v>
      </c>
      <c r="F30" s="6" t="n">
        <v>-0.4</v>
      </c>
      <c r="G30" s="6" t="n">
        <v>0.7</v>
      </c>
      <c r="H30" s="6" t="n">
        <v>0.6</v>
      </c>
      <c r="I30" s="6" t="n">
        <v>-0.1</v>
      </c>
      <c r="J30" s="6" t="n">
        <v>-0.1</v>
      </c>
      <c r="K30" s="6" t="n">
        <v>1.5</v>
      </c>
      <c r="L30" s="6" t="n"/>
      <c r="M30" s="6" t="n"/>
      <c r="N30" s="6" t="n">
        <v>0.2</v>
      </c>
      <c r="O30" s="6" t="n">
        <v>0.2</v>
      </c>
      <c r="P30" s="6" t="n">
        <v>0.1</v>
      </c>
      <c r="Q30" s="6" t="n"/>
      <c r="R30" s="6" t="n"/>
    </row>
    <row r="31">
      <c r="A31" s="6" t="inlineStr">
        <is>
          <t>Deficit on revaluation of investment properties (FY2011-FY2012 only)</t>
        </is>
      </c>
      <c r="B31" s="6" t="n"/>
      <c r="C31" s="6" t="n"/>
      <c r="D31" s="6" t="n"/>
      <c r="E31" s="6" t="n"/>
      <c r="F31" s="6" t="n"/>
      <c r="G31" s="6" t="n"/>
      <c r="H31" s="6" t="n"/>
      <c r="I31" s="6" t="n"/>
      <c r="J31" s="6" t="n"/>
      <c r="K31" s="6" t="n"/>
      <c r="L31" s="6" t="n"/>
      <c r="M31" s="6" t="n"/>
      <c r="N31" s="6" t="n"/>
      <c r="O31" s="6" t="n">
        <v>-0.4</v>
      </c>
      <c r="P31" s="6" t="n">
        <v>-1</v>
      </c>
      <c r="Q31" s="6" t="n"/>
      <c r="R31" s="6" t="n"/>
    </row>
    <row r="32">
      <c r="A32" s="6" t="inlineStr">
        <is>
          <t>Movement of pension scheme reimbursement asset/(liability) (FY2014-FY2015: net of deferred tax)</t>
        </is>
      </c>
      <c r="B32" s="6" t="n"/>
      <c r="C32" s="6" t="n">
        <v>-0.3</v>
      </c>
      <c r="D32" s="6" t="n">
        <v>0.4</v>
      </c>
      <c r="E32" s="6" t="n">
        <v>-0.2</v>
      </c>
      <c r="F32" s="6" t="n">
        <v>-1</v>
      </c>
      <c r="G32" s="6" t="n">
        <v>0.4</v>
      </c>
      <c r="H32" s="6" t="n">
        <v>0.5</v>
      </c>
      <c r="I32" s="6" t="n">
        <v>-0.1</v>
      </c>
      <c r="J32" s="6" t="n">
        <v>-0.9</v>
      </c>
      <c r="K32" s="6" t="n">
        <v>2.3</v>
      </c>
      <c r="L32" s="6" t="n">
        <v>0.1</v>
      </c>
      <c r="M32" s="6" t="n">
        <v>0.7</v>
      </c>
      <c r="N32" s="6" t="n"/>
      <c r="O32" s="6" t="n"/>
      <c r="P32" s="6" t="n"/>
      <c r="Q32" s="6" t="n"/>
      <c r="R32" s="6" t="n"/>
    </row>
    <row r="33">
      <c r="A33" s="6" t="inlineStr">
        <is>
          <t>Deferred tax on pension reimbursement movement</t>
        </is>
      </c>
      <c r="B33" s="6" t="n"/>
      <c r="C33" s="6" t="n">
        <v>0.1</v>
      </c>
      <c r="D33" s="6" t="n">
        <v>-0.1</v>
      </c>
      <c r="E33" s="6" t="n"/>
      <c r="F33" s="6" t="n">
        <v>0.6</v>
      </c>
      <c r="G33" s="6" t="n">
        <v>-0.1</v>
      </c>
      <c r="H33" s="6" t="n">
        <v>-0.1</v>
      </c>
      <c r="I33" s="6" t="n"/>
      <c r="J33" s="6" t="n">
        <v>0.1</v>
      </c>
      <c r="K33" s="6" t="n">
        <v>-0.4</v>
      </c>
      <c r="L33" s="6" t="n"/>
      <c r="M33" s="6" t="n"/>
      <c r="N33" s="6" t="n"/>
      <c r="O33" s="6" t="n"/>
      <c r="P33" s="6" t="n"/>
      <c r="Q33" s="6" t="n"/>
      <c r="R33" s="6" t="n"/>
    </row>
    <row r="34">
      <c r="A34" s="6" t="inlineStr">
        <is>
          <t>Fair value movements on available-for-sale investments (AFS reserve; discontinued after IFRS 9 replaced it FY2019)</t>
        </is>
      </c>
      <c r="B34" s="6" t="n"/>
      <c r="C34" s="6" t="n"/>
      <c r="D34" s="6" t="n"/>
      <c r="E34" s="6" t="n"/>
      <c r="F34" s="6" t="n"/>
      <c r="G34" s="6" t="n"/>
      <c r="H34" s="6" t="n"/>
      <c r="I34" s="6" t="n">
        <v>-1.8</v>
      </c>
      <c r="J34" s="6" t="n">
        <v>-0.1</v>
      </c>
      <c r="K34" s="6" t="n">
        <v>1.1</v>
      </c>
      <c r="L34" s="6" t="n"/>
      <c r="M34" s="6" t="n"/>
      <c r="N34" s="6" t="n"/>
      <c r="O34" s="6" t="n"/>
      <c r="P34" s="6" t="n"/>
      <c r="Q34" s="6" t="n"/>
      <c r="R34" s="6" t="n"/>
    </row>
    <row r="35">
      <c r="A35" s="6" t="inlineStr">
        <is>
          <t>Deferred tax on available-for-sale fair value movements</t>
        </is>
      </c>
      <c r="B35" s="6" t="n"/>
      <c r="C35" s="6" t="n"/>
      <c r="D35" s="6" t="n"/>
      <c r="E35" s="6" t="n"/>
      <c r="F35" s="6" t="n"/>
      <c r="G35" s="6" t="n"/>
      <c r="H35" s="6" t="n"/>
      <c r="I35" s="6" t="n">
        <v>0.3</v>
      </c>
      <c r="J35" s="6" t="n">
        <v>-0.8</v>
      </c>
      <c r="K35" s="6" t="n"/>
      <c r="L35" s="6" t="n"/>
      <c r="M35" s="6" t="n"/>
      <c r="N35" s="6" t="n"/>
      <c r="O35" s="6" t="n"/>
      <c r="P35" s="6" t="n"/>
      <c r="Q35" s="6" t="n"/>
      <c r="R35" s="6" t="n"/>
    </row>
    <row r="36">
      <c r="A36" s="6" t="inlineStr">
        <is>
          <t>Revaluation of investment properties (UK GAAP line, FY2014-FY2015 only, net of deferred tax)</t>
        </is>
      </c>
      <c r="B36" s="6" t="n"/>
      <c r="C36" s="6" t="n"/>
      <c r="D36" s="6" t="n"/>
      <c r="E36" s="6" t="n"/>
      <c r="F36" s="6" t="n"/>
      <c r="G36" s="6" t="n"/>
      <c r="H36" s="6" t="n"/>
      <c r="I36" s="6" t="n"/>
      <c r="J36" s="6" t="n"/>
      <c r="K36" s="6" t="n"/>
      <c r="L36" s="6" t="n">
        <v>-1.5</v>
      </c>
      <c r="M36" s="6" t="n">
        <v>0.3</v>
      </c>
      <c r="N36" s="6" t="n"/>
      <c r="O36" s="6" t="n"/>
      <c r="P36" s="6" t="n"/>
      <c r="Q36" s="6" t="n"/>
      <c r="R36" s="6" t="n"/>
    </row>
    <row r="37">
      <c r="A37" s="5" t="inlineStr">
        <is>
          <t>Total other comprehensive income/(loss)</t>
        </is>
      </c>
      <c r="B37" s="5" t="n">
        <v>0.5</v>
      </c>
      <c r="C37" s="5" t="n">
        <v>1.1</v>
      </c>
      <c r="D37" s="5" t="n">
        <v>-1</v>
      </c>
      <c r="E37" s="5" t="n">
        <v>6.6</v>
      </c>
      <c r="F37" s="5" t="n">
        <v>1.8</v>
      </c>
      <c r="G37" s="5" t="n">
        <v>-3.4</v>
      </c>
      <c r="H37" s="5" t="n">
        <v>-2.3</v>
      </c>
      <c r="I37" s="5" t="n">
        <v>-1.1</v>
      </c>
      <c r="J37" s="5" t="n">
        <v>-1.4</v>
      </c>
      <c r="K37" s="5" t="n">
        <v>-4.6</v>
      </c>
      <c r="L37" s="5" t="n">
        <v>-2.5</v>
      </c>
      <c r="M37" s="5" t="n">
        <v>-0.3</v>
      </c>
      <c r="N37" s="5" t="n">
        <v>-1</v>
      </c>
      <c r="O37" s="5" t="n">
        <v>-1.6</v>
      </c>
      <c r="P37" s="5" t="n">
        <v>-1.4</v>
      </c>
      <c r="Q37" s="5" t="n">
        <v>0.7</v>
      </c>
      <c r="R37" s="5" t="n">
        <v>-2.8</v>
      </c>
    </row>
    <row r="38">
      <c r="A38" s="5" t="inlineStr">
        <is>
          <t>Total comprehensive (loss)/income for the year</t>
        </is>
      </c>
      <c r="B38" s="5" t="n">
        <v>-3.4</v>
      </c>
      <c r="C38" s="5" t="n">
        <v>-0.6</v>
      </c>
      <c r="D38" s="5" t="n">
        <v>-1.2</v>
      </c>
      <c r="E38" s="5" t="n">
        <v>11.4</v>
      </c>
      <c r="F38" s="5" t="n">
        <v>7.6</v>
      </c>
      <c r="G38" s="5" t="n">
        <v>-19.3</v>
      </c>
      <c r="H38" s="5" t="n">
        <v>-8</v>
      </c>
      <c r="I38" s="5" t="n">
        <v>4.4</v>
      </c>
      <c r="J38" s="5" t="n">
        <v>8.800000000000001</v>
      </c>
      <c r="K38" s="5" t="n">
        <v>13</v>
      </c>
      <c r="L38" s="5" t="n">
        <v>1.8</v>
      </c>
      <c r="M38" s="5" t="n">
        <v>3.8</v>
      </c>
      <c r="N38" s="5" t="n">
        <v>2.6</v>
      </c>
      <c r="O38" s="5" t="n">
        <v>1</v>
      </c>
      <c r="P38" s="5" t="n">
        <v>0.5</v>
      </c>
      <c r="Q38" s="5" t="n">
        <v>2</v>
      </c>
      <c r="R38" s="5" t="n">
        <v>-2.1</v>
      </c>
    </row>
    <row r="40" ht="364" customHeight="1">
      <c r="A40" s="8" t="inlineStr">
        <is>
          <t>Sources - Julian Hodge Bank Limited Annual Reports:
FY2025: Annual Report 2025, Balance Sheet/Income Statement/Statement of Changes in Equity, p.40-41, Note 12 'Loans and advances to customers'/Note 13 'Impairment provisions', p.49-50 - https://hodgebank.co.uk/wp-content/uploads/2026/02/Hodge-AR-28.01.26.pdf
FY2024: Annual Report 2024, Balance Sheet/Income Statement/Statement of Changes in Equity, p.40-42, Note 12/13, p.48-49 - https://hodgebank.co.uk/wp-content/uploads/2025/02/Hodge-annual-report-21.02.25.pdf
FY2023: Annual Report 2023, Balance Sheet/Income Statement/Statement of Changes in Equity, p.40-42, Note 13/14, p.49-50 - https://hodgebank.co.uk/wp-content/uploads/2024/07/Annual-report-Jan-25.01.24.pdf
FY2022: Annual Report 2022, Balance Sheet/Income Statement/Statement of Changes in Equity, p.37-39, Note 13/14, p.46-47 - https://hodgebank.co.uk/wp-content/uploads/2024/07/Hodge-Annual-Report-April-04.04.23-optimised.pdf
FY2021: Annual Report 2021, Balance Sheet/Income Statement/Statement of Other Comprehensive Income/Statement of Changes in Equity, p.62-65 (printed pages 67-70) - https://hodgebank.co.uk/wp-content/uploads/2024/07/Hodge-Annual-Report-2020_2021.pdf
FY2020: Julian Hodge Bank Limited Annual Report (11-month period ended 30 September 2020), Income Statement/Balance Sheet/Statement of Changes in Equity p.26-28, Note 14 'Impairment provisions', p.44-45 - https://web.archive.org/web/20210517011507id_/https://hodgebank.co.uk/wp-content/uploads/2021/02/1.-JHB-Financial-Statements.pdf
FY2019: Julian Hodge Bank Limited Annual Report and Financial Statements 2019 (Master FINAL EY Signed), Income Statement/Balance Sheet/Statement of Changes in Equity p.20-23, Note 15 'Impairment provisions', p.42-43 - https://web.archive.org/web/20220620025335id_/https://hodgebank.co.uk/wp-content/uploads/2020/02/Julian-Hodge-Bank-Limited-Master-FINAL-EY-Signed-FY19.pdf
FY2018: Julian Hodge Bank Limited Annual Report and Financial Statements 2018, Income Statement/Balance Sheet/Statement of Changes in Equity p.24-26, Note 16 'Loans and advances to customers', p.42-44 - https://web.archive.org/web/20210517014628id_/https://hodgebank.co.uk/wp-content/uploads/2020/02/FINAL-Julian-Hodge-Bank-Limited-FY18.pdf (cross-checked against the Companies House filing for the period made up to 31 October 2018)
FY2017: Julian Hodge Bank Limited Annual report and financial statements 2017, Income Statement/Balance Sheet/Statement of Changes in Equity p.24-26, Note 16 'Loans and advances to customers', p.42-43 - https://web.archive.org/web/20220620025318id_/https://hodgebank.co.uk/wp-content/uploads/2019/01/jhb-financial-statements-20171031-1.pdf
FY2016: Julian Hodge Bank Limited Financial Statements 2016 (FRS 101, first year of transition from UK GAAP), Income Statement/Balance Sheet/Statement of Changes in Equity p.16-19, Note 16 'Loans and advances to customers', p.34 - https://web.archive.org/web/20220620025318id_/https://hodgebank.co.uk/wp-content/uploads/2019/01/jhb-financial-statements-20161031-1.pdf
FY2015: Julian Hodge Bank Limited Directors' report and financial statements 2015 (UK GAAP), Profit and loss account/Balance sheet p.13-15, Note 22 'reconciliation of movements in shareholder's funds', p.28, Note 12 'Provisions for bad and doubtful debts', p.24 - https://web.archive.org/web/20220620025258id_/https://hodgebank.co.uk/wp-content/uploads/2019/01/jhb-financial-statements-20151031.pdf
FY2014: Julian Hodge Bank Limited Directors' report and financial statements 2014 (UK GAAP), Profit and loss account/Balance sheet p.14-16, Note 12 'Provisions for bad and doubtful debts', p.24 - https://web.archive.org/web/20220620025529id_/https://hodgebank.co.uk/wp-content/uploads/2019/01/jhb-financial-statements-20141031.pdf
ENTITY NOTE: Julian Hodge Bank Limited (company 00743437, FRN 204439, incorporated 1962) is a privately-owned Cardiff-based bank; immediate parent Hodge Limited, ultimate parent The Carlyle Trust (Jersey) Limited. Fiscal year-end is 30 September from FY2021 onward (FY2020 was an 11-month transition period covering the change from the prior 31 October year-end used FY2014-FY2019). All 12 years' source documents are text-native PDFs, no OCR required.
HISTORICAL-DEPTH NOTE (HD-049): FY2016 is this entity's first year of FRS 101 reporting (transitioning from old UK GAAP used in FY2014-FY2015) - its own report's FY2015 comparative column is FRS101-restated and does NOT tie to FY2015's own contemporaneous UK GAAP report (e.g. FY2015 closing shareholder's funds/equity: GBP133.7m as originally reported in the FY2015 Annual Report vs GBP133.3m as restated in the FY2016 Annual Report's FY2015 comparative - a real GAAP-transition adjustment, not a transcription error). Per this project's convention, each year's own originally-published figures are used throughout (FY2014/FY2015 in UK GAAP format; FY2016 onward in FRS101 format), so the equity ladder has one genuine, documented break at the FY2015/FY2016 boundary rather than a forced tie-out. Separately, FY2017's own report restates FY2016's shareholder's funds from GBP146.3m (as FY2016's own report showed) to GBP153.5m, citing a 'prior period error' corrected in Note 36 (GBP6.8m addition to opening retained earnings, GBP0.3m to FY2016's own profit) - again, FY2016's own originally-published figures are used here, with this restatement documented rather than applied. IFRS 9 was adopted 1 November 2018 (start of FY2019), so IFRS 9 Stage 1/2/3 impairment staging exists only from FY2019 onward; FY2014-FY2018 show only the (unstaged) IAS 39/UK GAAP total impairment provision. FY2014-FY2015 Income Statement rows follow the old UK GAAP layout (interest receivable/payable, fees, 'other operating income' components including reversionary interest/stock profits, then a single 'profit on ordinary activities before taxation' line) rather than the FRS101 Net interest income / Net operating income / Operating profit structure used FY2016 onward - both shown on their own basis, not forced into one template, consistent with how this same script already treats the FY2025 structural change.
HISTORICAL-DEPTH NOTE (HD-074, added 2026-09-07): extends Balance Sheet, Profit &amp; Loss and Statement of Changes in Equity back to FY2009 (one year beyond HD-004's confirmed FY2010 statutory floor) - Pillar 3, Asset Quality and RWA Breakdown remain capped at FY2014 as a deliberate project-wide scope decision, not a sourcing gap. This entity has no Cash Flow Statement in any year (see EXEMPTION_NOTE on the Cash Flow Statement sheet) - the FRS1 predecessor exemption (identical grounds: a parent undertaking includes the Bank in its own published consolidated accounts) is confirmed explicitly stated in each of the FY2013/FY2011/FY2010 Annual Reports too, so this extension adds no Cash Flow Statement columns. FY2013 (and its own FY2012 comparative): Directors' report and financial statements 2013 - https://web.archive.org/web/20220620025323id_/https://hodgebank.co.uk/wp-content/uploads/2019/01/jhb-financial-statements-20131031.pdf
FY2011 (and its own FY2010 comparative): Directors' report and financial statements 2011 - https://web.archive.org/web/20220620025317id_/https://hodgebank.co.uk/wp-content/uploads/2019/01/jhb-financial-statements-20111031.pdf
FY2010 (and its own FY2009 comparative): Directors' report and financial statements 2010 - https://web.archive.org/web/20220620025334id_/https://hodgebank.co.uk/wp-content/uploads/2019/01/jhb-financial-statements-20101031.pdf
All 3 new filings are old UK GAAP (pre-FRS101), consistent with the existing FY2014/FY2015 treatment already on this sheet - no basis-transition gap exists at the FY2013/FY2014 boundary (FY2013's own closing Total equity of GBP128.2m ties exactly to FY2014's own opening position). 'Equity shares' is a genuine small distinct holding line disclosed in the FY2010-FY2012 Balance Sheets (nil in FY2013) - not folded into Debt securities or another line, since it is its own numbered note in the source accounts. FY2012's own Profit and Loss Account (per the FY2013 Annual Report's own comparative) reclassified certain cost/income sub-lines from how they were originally presented (a reclassification only, explained in that report's own Note 1 - profit for the year and net assets are unaffected). Every one of the 5 new years' Balance Sheet ties exactly (Total assets = Total liabilities + Total equity, verified to the exact £000) and every new year's disclosed Profit on ordinary activities before taxation and Total recognised gains and losses in the financial year are reproduced exactly by the rows on this sheet and the Profit &amp; Loss sheet.</t>
        </is>
      </c>
    </row>
  </sheetData>
  <mergeCells count="1">
    <mergeCell ref="A40:R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2"/>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Julian Hodge Bank Limited — Statement of Changes in Equity</t>
        </is>
      </c>
    </row>
    <row r="2">
      <c r="A2" s="2" t="inlineStr">
        <is>
          <t>Chronological roll-forward, oldest to newest, FY2014-FY2025. Reconciliation ladder ties exactly year-to-year and to each year's own Balance Sheet Total equity throughout, with one documented exception: the FY2016/FY2017 boundary carries an explicit prior-period-error restatement row (see sheet note). 'Other reserves' column is Revaluation reserve (FY2014-FY2015, UK GAAP) / Available-for-sale + Pension reserve combined (FY2016-FY2019) / Pension reserve only (FY2020 onward, post-IFRS 9). £m.</t>
        </is>
      </c>
    </row>
    <row r="3">
      <c r="A3" s="4" t="inlineStr">
        <is>
          <t>Movement</t>
        </is>
      </c>
      <c r="B3" s="4" t="inlineStr">
        <is>
          <t>Called up share capital</t>
        </is>
      </c>
      <c r="C3" s="4" t="inlineStr">
        <is>
          <t>Retained earnings</t>
        </is>
      </c>
      <c r="D3" s="4" t="inlineStr">
        <is>
          <t>Other reserves (see sheet note)</t>
        </is>
      </c>
      <c r="E3" s="4" t="inlineStr">
        <is>
          <t>Total</t>
        </is>
      </c>
    </row>
    <row r="4">
      <c r="A4" s="5" t="inlineStr">
        <is>
          <t>Opening balance at 1 November 2009 (FY2010 opening, per the FY2010 Annual Report; FY2009's own 1 November 2008 opening and component movement are not available from the sourced documents - see HD074_NOTE - so the ladder begins here, one year later than the Balance Sheet/P&amp;L sheets)</t>
        </is>
      </c>
      <c r="B4" s="5" t="n">
        <v>100</v>
      </c>
      <c r="C4" s="5" t="n">
        <v>22.1</v>
      </c>
      <c r="D4" s="5" t="n"/>
      <c r="E4" s="5" t="n">
        <v>122.1</v>
      </c>
    </row>
    <row r="5">
      <c r="A5" s="6" t="inlineStr">
        <is>
          <t>Profit for the financial year</t>
        </is>
      </c>
      <c r="B5" s="6" t="n"/>
      <c r="C5" s="6" t="n">
        <v>1.3</v>
      </c>
      <c r="D5" s="6" t="n"/>
      <c r="E5" s="6" t="n">
        <v>1.3</v>
      </c>
    </row>
    <row r="6">
      <c r="A6" s="5" t="inlineStr">
        <is>
          <t>At 31 October 2010 (FY2010 closing)</t>
        </is>
      </c>
      <c r="B6" s="5" t="n">
        <v>100</v>
      </c>
      <c r="C6" s="5" t="n">
        <v>24.1</v>
      </c>
      <c r="D6" s="5" t="n"/>
      <c r="E6" s="5" t="n">
        <v>124.1</v>
      </c>
    </row>
    <row r="7">
      <c r="A7" s="6" t="inlineStr">
        <is>
          <t>Profit for the financial year</t>
        </is>
      </c>
      <c r="B7" s="6" t="n"/>
      <c r="C7" s="6" t="n">
        <v>2</v>
      </c>
      <c r="D7" s="6" t="n"/>
      <c r="E7" s="6" t="n">
        <v>2</v>
      </c>
    </row>
    <row r="8">
      <c r="A8" s="6" t="inlineStr">
        <is>
          <t>Deficit on revaluation of investment properties</t>
        </is>
      </c>
      <c r="B8" s="6" t="n"/>
      <c r="C8" s="6" t="n"/>
      <c r="D8" s="6" t="n">
        <v>-1</v>
      </c>
      <c r="E8" s="6" t="n">
        <v>-1</v>
      </c>
    </row>
    <row r="9">
      <c r="A9" s="6" t="inlineStr">
        <is>
          <t>Actuarial loss recognised in the pension scheme (net of deferred tax)</t>
        </is>
      </c>
      <c r="B9" s="6" t="n"/>
      <c r="C9" s="6" t="n">
        <v>-0.4</v>
      </c>
      <c r="D9" s="6" t="n"/>
      <c r="E9" s="6" t="n">
        <v>-0.4</v>
      </c>
    </row>
    <row r="10">
      <c r="A10" s="5" t="inlineStr">
        <is>
          <t>At 31 October 2011 (FY2011 closing)</t>
        </is>
      </c>
      <c r="B10" s="5" t="n">
        <v>100</v>
      </c>
      <c r="C10" s="5" t="n">
        <v>25.7</v>
      </c>
      <c r="D10" s="5" t="n">
        <v>-1</v>
      </c>
      <c r="E10" s="5" t="n">
        <v>124.7</v>
      </c>
    </row>
    <row r="11">
      <c r="A11" s="6" t="inlineStr">
        <is>
          <t>Profit for the financial year</t>
        </is>
      </c>
      <c r="B11" s="6" t="n"/>
      <c r="C11" s="6" t="n">
        <v>2.6</v>
      </c>
      <c r="D11" s="6" t="n"/>
      <c r="E11" s="6" t="n">
        <v>2.6</v>
      </c>
    </row>
    <row r="12">
      <c r="A12" s="6" t="inlineStr">
        <is>
          <t>Deficit on revaluation of investment properties</t>
        </is>
      </c>
      <c r="B12" s="6" t="n"/>
      <c r="C12" s="6" t="n"/>
      <c r="D12" s="6" t="n">
        <v>-0.4</v>
      </c>
      <c r="E12" s="6" t="n">
        <v>-0.4</v>
      </c>
    </row>
    <row r="13">
      <c r="A13" s="6" t="inlineStr">
        <is>
          <t>Actuarial loss recognised in the pension scheme (net of deferred tax)</t>
        </is>
      </c>
      <c r="B13" s="6" t="n"/>
      <c r="C13" s="6" t="n">
        <v>-1.2</v>
      </c>
      <c r="D13" s="6" t="n"/>
      <c r="E13" s="6" t="n">
        <v>-1.2</v>
      </c>
    </row>
    <row r="14">
      <c r="A14" s="5" t="inlineStr">
        <is>
          <t>At 31 October 2012 (FY2012 closing, per the FY2013 Annual Report's own comparative - see HD074_NOTE on the FY2012 standalone-document gap)</t>
        </is>
      </c>
      <c r="B14" s="5" t="n">
        <v>100</v>
      </c>
      <c r="C14" s="5" t="n">
        <v>27.1</v>
      </c>
      <c r="D14" s="5" t="n">
        <v>-1.4</v>
      </c>
      <c r="E14" s="5" t="n">
        <v>125.6</v>
      </c>
    </row>
    <row r="15">
      <c r="A15" s="6" t="inlineStr">
        <is>
          <t>Profit for the financial year</t>
        </is>
      </c>
      <c r="B15" s="6" t="n"/>
      <c r="C15" s="6" t="n">
        <v>3.5</v>
      </c>
      <c r="D15" s="6" t="n"/>
      <c r="E15" s="6" t="n">
        <v>3.5</v>
      </c>
    </row>
    <row r="16">
      <c r="A16" s="6" t="inlineStr">
        <is>
          <t>Actuarial loss recognised in the pension scheme (net of deferred tax)</t>
        </is>
      </c>
      <c r="B16" s="6" t="n"/>
      <c r="C16" s="6" t="n">
        <v>-1</v>
      </c>
      <c r="D16" s="6" t="n"/>
      <c r="E16" s="6" t="n">
        <v>-1</v>
      </c>
    </row>
    <row r="17">
      <c r="A17" s="5" t="inlineStr">
        <is>
          <t>Opening balance at 1 November 2013 (FY2014 opening)</t>
        </is>
      </c>
      <c r="B17" s="5" t="n">
        <v>100</v>
      </c>
      <c r="C17" s="5" t="n">
        <v>29.7</v>
      </c>
      <c r="D17" s="5" t="n">
        <v>-1.4</v>
      </c>
      <c r="E17" s="5" t="n">
        <v>128.2</v>
      </c>
    </row>
    <row r="18">
      <c r="A18" s="6" t="inlineStr">
        <is>
          <t>Profit for the financial year</t>
        </is>
      </c>
      <c r="B18" s="6" t="n"/>
      <c r="C18" s="6" t="n">
        <v>4.1</v>
      </c>
      <c r="D18" s="6" t="n"/>
      <c r="E18" s="6" t="n">
        <v>4.1</v>
      </c>
    </row>
    <row r="19">
      <c r="A19" s="6" t="inlineStr">
        <is>
          <t>Actuarial loss recognised in the pension scheme (net of deferred tax)</t>
        </is>
      </c>
      <c r="B19" s="6" t="n"/>
      <c r="C19" s="6" t="n">
        <v>-1.4</v>
      </c>
      <c r="D19" s="6" t="n"/>
      <c r="E19" s="6" t="n">
        <v>-1.4</v>
      </c>
    </row>
    <row r="20">
      <c r="A20" s="6" t="inlineStr">
        <is>
          <t>Recognition of pension scheme reimbursement asset (net of deferred tax)</t>
        </is>
      </c>
      <c r="B20" s="6" t="n"/>
      <c r="C20" s="6" t="n">
        <v>0.7</v>
      </c>
      <c r="D20" s="6" t="n"/>
      <c r="E20" s="6" t="n">
        <v>0.7</v>
      </c>
    </row>
    <row r="21">
      <c r="A21" s="6" t="inlineStr">
        <is>
          <t>Revaluation of investment properties</t>
        </is>
      </c>
      <c r="B21" s="6" t="n"/>
      <c r="C21" s="6" t="n"/>
      <c r="D21" s="6" t="n">
        <v>0.3</v>
      </c>
      <c r="E21" s="6" t="n">
        <v>0.3</v>
      </c>
    </row>
    <row r="22">
      <c r="A22" s="5" t="inlineStr">
        <is>
          <t>At 31 October 2014 (FY2014 closing)</t>
        </is>
      </c>
      <c r="B22" s="5" t="n">
        <v>100</v>
      </c>
      <c r="C22" s="5" t="n">
        <v>33.1</v>
      </c>
      <c r="D22" s="5" t="n">
        <v>-1.1</v>
      </c>
      <c r="E22" s="5" t="n">
        <v>132</v>
      </c>
    </row>
    <row r="23">
      <c r="A23" s="6" t="inlineStr">
        <is>
          <t>Profit for the financial year</t>
        </is>
      </c>
      <c r="B23" s="6" t="n"/>
      <c r="C23" s="6" t="n">
        <v>4.3</v>
      </c>
      <c r="D23" s="6" t="n"/>
      <c r="E23" s="6" t="n">
        <v>4.3</v>
      </c>
    </row>
    <row r="24">
      <c r="A24" s="6" t="inlineStr">
        <is>
          <t>Actuarial loss recognised in the pension scheme (net of deferred tax)</t>
        </is>
      </c>
      <c r="B24" s="6" t="n"/>
      <c r="C24" s="6" t="n">
        <v>-1.1</v>
      </c>
      <c r="D24" s="6" t="n"/>
      <c r="E24" s="6" t="n">
        <v>-1.1</v>
      </c>
    </row>
    <row r="25">
      <c r="A25" s="6" t="inlineStr">
        <is>
          <t>Recognition of pension scheme reimbursement asset (net of deferred tax)</t>
        </is>
      </c>
      <c r="B25" s="6" t="n"/>
      <c r="C25" s="6" t="n">
        <v>0.1</v>
      </c>
      <c r="D25" s="6" t="n"/>
      <c r="E25" s="6" t="n">
        <v>0.1</v>
      </c>
    </row>
    <row r="26">
      <c r="A26" s="6" t="inlineStr">
        <is>
          <t>Revaluation of investment properties</t>
        </is>
      </c>
      <c r="B26" s="6" t="n"/>
      <c r="C26" s="6" t="n"/>
      <c r="D26" s="6" t="n">
        <v>-1.5</v>
      </c>
      <c r="E26" s="6" t="n">
        <v>-1.5</v>
      </c>
    </row>
    <row r="27">
      <c r="A27" s="5" t="inlineStr">
        <is>
          <t>At 31 October 2015 (FY2015 closing)</t>
        </is>
      </c>
      <c r="B27" s="5" t="n">
        <v>100</v>
      </c>
      <c r="C27" s="5" t="n">
        <v>36.4</v>
      </c>
      <c r="D27" s="5" t="n">
        <v>-2.6</v>
      </c>
      <c r="E27" s="5" t="n">
        <v>133.7</v>
      </c>
    </row>
    <row r="28">
      <c r="A28" s="6" t="inlineStr">
        <is>
          <t>Profit for the financial year</t>
        </is>
      </c>
      <c r="B28" s="6" t="n"/>
      <c r="C28" s="6" t="n">
        <v>17.6</v>
      </c>
      <c r="D28" s="6" t="n"/>
      <c r="E28" s="6" t="n">
        <v>17.6</v>
      </c>
    </row>
    <row r="29">
      <c r="A29" s="6" t="inlineStr">
        <is>
          <t>Other comprehensive income (AFS + pension, FRS101 first-year transition)</t>
        </is>
      </c>
      <c r="B29" s="6" t="n"/>
      <c r="C29" s="6" t="n"/>
      <c r="D29" s="6" t="n">
        <v>-4.6</v>
      </c>
      <c r="E29" s="6" t="n">
        <v>-4.6</v>
      </c>
    </row>
    <row r="30">
      <c r="A30" s="5" t="inlineStr">
        <is>
          <t>At 31 October 2016 (FY2016 closing, as originally reported in the FY2016 Annual Report)</t>
        </is>
      </c>
      <c r="B30" s="5" t="n">
        <v>100</v>
      </c>
      <c r="C30" s="5" t="n">
        <v>49.4</v>
      </c>
      <c r="D30" s="5" t="n">
        <v>-3.1</v>
      </c>
      <c r="E30" s="5" t="n">
        <v>146.3</v>
      </c>
    </row>
    <row r="31">
      <c r="A31" s="6" t="inlineStr">
        <is>
          <t>Prior period error restatement (FY2017 Annual Report, Note 36 - not reflected in FY2016's own original report)</t>
        </is>
      </c>
      <c r="B31" s="6" t="n"/>
      <c r="C31" s="6" t="n">
        <v>7.2</v>
      </c>
      <c r="D31" s="6" t="n"/>
      <c r="E31" s="6" t="n">
        <v>7.2</v>
      </c>
    </row>
    <row r="32">
      <c r="A32" s="5" t="inlineStr">
        <is>
          <t>At 31 October 2016 (restated, per the FY2017 Annual Report's own comparative)</t>
        </is>
      </c>
      <c r="B32" s="5" t="n">
        <v>100</v>
      </c>
      <c r="C32" s="5" t="n">
        <v>56.6</v>
      </c>
      <c r="D32" s="5" t="n">
        <v>-3.1</v>
      </c>
      <c r="E32" s="5" t="n">
        <v>153.5</v>
      </c>
    </row>
    <row r="33">
      <c r="A33" s="6" t="inlineStr">
        <is>
          <t>Profit for the financial year</t>
        </is>
      </c>
      <c r="B33" s="6" t="n"/>
      <c r="C33" s="6" t="n">
        <v>10.2</v>
      </c>
      <c r="D33" s="6" t="n"/>
      <c r="E33" s="6" t="n">
        <v>10.2</v>
      </c>
    </row>
    <row r="34">
      <c r="A34" s="6" t="inlineStr">
        <is>
          <t>Other comprehensive income (AFS + pension)</t>
        </is>
      </c>
      <c r="B34" s="6" t="n"/>
      <c r="C34" s="6" t="n"/>
      <c r="D34" s="6" t="n">
        <v>-1.4</v>
      </c>
      <c r="E34" s="6" t="n">
        <v>-1.4</v>
      </c>
    </row>
    <row r="35">
      <c r="A35" s="6" t="inlineStr">
        <is>
          <t>Issue of share capital</t>
        </is>
      </c>
      <c r="B35" s="6" t="n">
        <v>5</v>
      </c>
      <c r="C35" s="6" t="n"/>
      <c r="D35" s="6" t="n"/>
      <c r="E35" s="6" t="n">
        <v>5</v>
      </c>
    </row>
    <row r="36">
      <c r="A36" s="5" t="inlineStr">
        <is>
          <t>At 31 October 2017 (FY2017 closing)</t>
        </is>
      </c>
      <c r="B36" s="5" t="n">
        <v>105</v>
      </c>
      <c r="C36" s="5" t="n">
        <v>66.8</v>
      </c>
      <c r="D36" s="5" t="n">
        <v>-4.5</v>
      </c>
      <c r="E36" s="5" t="n">
        <v>167.3</v>
      </c>
    </row>
    <row r="37">
      <c r="A37" s="6" t="inlineStr">
        <is>
          <t>Profit for the financial year</t>
        </is>
      </c>
      <c r="B37" s="6" t="n"/>
      <c r="C37" s="6" t="n">
        <v>5.9</v>
      </c>
      <c r="D37" s="6" t="n">
        <v>-0.4</v>
      </c>
      <c r="E37" s="6" t="n">
        <v>5.5</v>
      </c>
    </row>
    <row r="38">
      <c r="A38" s="6" t="inlineStr">
        <is>
          <t>Other comprehensive income (AFS + pension)</t>
        </is>
      </c>
      <c r="B38" s="6" t="n"/>
      <c r="C38" s="6" t="n"/>
      <c r="D38" s="6" t="n">
        <v>-1.1</v>
      </c>
      <c r="E38" s="6" t="n">
        <v>-1.1</v>
      </c>
    </row>
    <row r="39">
      <c r="A39" s="5" t="inlineStr">
        <is>
          <t>At 31 October 2018 (FY2018 closing)</t>
        </is>
      </c>
      <c r="B39" s="5" t="n">
        <v>105</v>
      </c>
      <c r="C39" s="5" t="n">
        <v>72.7</v>
      </c>
      <c r="D39" s="5" t="n">
        <v>-6</v>
      </c>
      <c r="E39" s="5" t="n">
        <v>171.7</v>
      </c>
    </row>
    <row r="40">
      <c r="A40" s="6" t="inlineStr">
        <is>
          <t>Impact of adoption of IFRS 9 (extinguishes the AFS reserve)</t>
        </is>
      </c>
      <c r="B40" s="6" t="n"/>
      <c r="C40" s="6" t="n">
        <v>-0.7</v>
      </c>
      <c r="D40" s="6" t="n">
        <v>-2.7</v>
      </c>
      <c r="E40" s="6" t="n">
        <v>-3.4</v>
      </c>
    </row>
    <row r="41">
      <c r="A41" s="6" t="inlineStr">
        <is>
          <t>Loss for the financial year</t>
        </is>
      </c>
      <c r="B41" s="6" t="n"/>
      <c r="C41" s="6" t="n">
        <v>-5.3</v>
      </c>
      <c r="D41" s="6" t="n">
        <v>-0.4</v>
      </c>
      <c r="E41" s="6" t="n">
        <v>-5.7</v>
      </c>
    </row>
    <row r="42">
      <c r="A42" s="6" t="inlineStr">
        <is>
          <t>Other comprehensive income (pension only - AFS reserve extinguished)</t>
        </is>
      </c>
      <c r="B42" s="6" t="n"/>
      <c r="C42" s="6" t="n"/>
      <c r="D42" s="6" t="n">
        <v>-2.3</v>
      </c>
      <c r="E42" s="6" t="n">
        <v>-2.3</v>
      </c>
    </row>
    <row r="43">
      <c r="A43" s="5" t="inlineStr">
        <is>
          <t>At 31 October 2019 (FY2019 closing)</t>
        </is>
      </c>
      <c r="B43" s="5" t="n">
        <v>105</v>
      </c>
      <c r="C43" s="5" t="n">
        <v>66.7</v>
      </c>
      <c r="D43" s="5" t="n">
        <v>-11.4</v>
      </c>
      <c r="E43" s="5" t="n">
        <v>160.3</v>
      </c>
    </row>
    <row r="44">
      <c r="A44" s="6" t="inlineStr">
        <is>
          <t>Loss for the financial year</t>
        </is>
      </c>
      <c r="B44" s="6" t="n"/>
      <c r="C44" s="6" t="n">
        <v>-16.3</v>
      </c>
      <c r="D44" s="6" t="n">
        <v>0.4</v>
      </c>
      <c r="E44" s="6" t="n">
        <v>-15.9</v>
      </c>
    </row>
    <row r="45">
      <c r="A45" s="6" t="inlineStr">
        <is>
          <t>Other comprehensive income</t>
        </is>
      </c>
      <c r="B45" s="6" t="n"/>
      <c r="C45" s="6" t="n"/>
      <c r="D45" s="6" t="n">
        <v>-3.4</v>
      </c>
      <c r="E45" s="6" t="n">
        <v>-3.4</v>
      </c>
    </row>
    <row r="46">
      <c r="A46" s="5" t="inlineStr">
        <is>
          <t>At 30 September 2020 (FY2020 closing - 11-month transition period; opening balance below = FY2021 opening)</t>
        </is>
      </c>
      <c r="B46" s="5" t="n">
        <v>105</v>
      </c>
      <c r="C46" s="5" t="n">
        <v>50.4</v>
      </c>
      <c r="D46" s="5" t="n">
        <v>-14.4</v>
      </c>
      <c r="E46" s="5" t="n">
        <v>141</v>
      </c>
    </row>
    <row r="47">
      <c r="A47" s="5" t="inlineStr">
        <is>
          <t>Opening balance at 1 October 2020 (FY2021 opening)</t>
        </is>
      </c>
      <c r="B47" s="5" t="n">
        <v>105</v>
      </c>
      <c r="C47" s="5" t="n">
        <v>50.4</v>
      </c>
      <c r="D47" s="5" t="n">
        <v>-14.4</v>
      </c>
      <c r="E47" s="5" t="n">
        <v>141</v>
      </c>
    </row>
    <row r="48">
      <c r="A48" s="6" t="inlineStr">
        <is>
          <t>Profit for the financial year</t>
        </is>
      </c>
      <c r="B48" s="6" t="n"/>
      <c r="C48" s="6" t="n">
        <v>5.5</v>
      </c>
      <c r="D48" s="6" t="n">
        <v>0.3</v>
      </c>
      <c r="E48" s="6" t="n">
        <v>5.8</v>
      </c>
    </row>
    <row r="49">
      <c r="A49" s="6" t="inlineStr">
        <is>
          <t>Other comprehensive income</t>
        </is>
      </c>
      <c r="B49" s="6" t="n"/>
      <c r="C49" s="6" t="n"/>
      <c r="D49" s="6" t="n">
        <v>1.8</v>
      </c>
      <c r="E49" s="6" t="n">
        <v>1.8</v>
      </c>
    </row>
    <row r="50">
      <c r="A50" s="5" t="inlineStr">
        <is>
          <t>At 30 September 2021 (FY2021 closing)</t>
        </is>
      </c>
      <c r="B50" s="5" t="n">
        <v>105</v>
      </c>
      <c r="C50" s="5" t="n">
        <v>54.3</v>
      </c>
      <c r="D50" s="5" t="n">
        <v>-10.7</v>
      </c>
      <c r="E50" s="5" t="n">
        <v>148.6</v>
      </c>
    </row>
    <row r="51">
      <c r="A51" s="6" t="inlineStr">
        <is>
          <t>Issue of share capital</t>
        </is>
      </c>
      <c r="B51" s="6" t="n">
        <v>25</v>
      </c>
      <c r="C51" s="6" t="n"/>
      <c r="D51" s="6" t="n"/>
      <c r="E51" s="6" t="n">
        <v>25</v>
      </c>
    </row>
    <row r="52">
      <c r="A52" s="6" t="inlineStr">
        <is>
          <t>Profit for the financial year</t>
        </is>
      </c>
      <c r="B52" s="6" t="n"/>
      <c r="C52" s="6" t="n">
        <v>5.2</v>
      </c>
      <c r="D52" s="6" t="n">
        <v>-0.4</v>
      </c>
      <c r="E52" s="6" t="n">
        <v>4.8</v>
      </c>
    </row>
    <row r="53">
      <c r="A53" s="6" t="inlineStr">
        <is>
          <t>Other comprehensive income</t>
        </is>
      </c>
      <c r="B53" s="6" t="n"/>
      <c r="C53" s="6" t="n"/>
      <c r="D53" s="6" t="n">
        <v>6.6</v>
      </c>
      <c r="E53" s="6" t="n">
        <v>6.6</v>
      </c>
    </row>
    <row r="54">
      <c r="A54" s="6" t="inlineStr">
        <is>
          <t>Pension additional contribution</t>
        </is>
      </c>
      <c r="B54" s="6" t="n"/>
      <c r="C54" s="6" t="n">
        <v>-1.2</v>
      </c>
      <c r="D54" s="6" t="n">
        <v>1.2</v>
      </c>
      <c r="E54" s="6" t="n"/>
    </row>
    <row r="55">
      <c r="A55" s="5" t="inlineStr">
        <is>
          <t>At 30 September 2022 (FY2022 closing)</t>
        </is>
      </c>
      <c r="B55" s="5" t="n">
        <v>130</v>
      </c>
      <c r="C55" s="5" t="n">
        <v>58.3</v>
      </c>
      <c r="D55" s="5" t="n">
        <v>-3.3</v>
      </c>
      <c r="E55" s="5" t="n">
        <v>185</v>
      </c>
    </row>
    <row r="56">
      <c r="A56" s="6" t="inlineStr">
        <is>
          <t>Loss for the financial year</t>
        </is>
      </c>
      <c r="B56" s="6" t="n"/>
      <c r="C56" s="6" t="n">
        <v>0.1</v>
      </c>
      <c r="D56" s="6" t="n">
        <v>-0.3</v>
      </c>
      <c r="E56" s="6" t="n">
        <v>-0.2</v>
      </c>
    </row>
    <row r="57">
      <c r="A57" s="6" t="inlineStr">
        <is>
          <t>Other comprehensive loss</t>
        </is>
      </c>
      <c r="B57" s="6" t="n"/>
      <c r="C57" s="6" t="n"/>
      <c r="D57" s="6" t="n">
        <v>-1</v>
      </c>
      <c r="E57" s="6" t="n">
        <v>-1</v>
      </c>
    </row>
    <row r="58">
      <c r="A58" s="6" t="inlineStr">
        <is>
          <t>Pension additional contribution</t>
        </is>
      </c>
      <c r="B58" s="6" t="n"/>
      <c r="C58" s="6" t="n">
        <v>-1.8</v>
      </c>
      <c r="D58" s="6" t="n">
        <v>1.8</v>
      </c>
      <c r="E58" s="6" t="n"/>
    </row>
    <row r="59">
      <c r="A59" s="5" t="inlineStr">
        <is>
          <t>At 30 September 2023 (FY2023 closing)</t>
        </is>
      </c>
      <c r="B59" s="5" t="n">
        <v>130</v>
      </c>
      <c r="C59" s="5" t="n">
        <v>56.6</v>
      </c>
      <c r="D59" s="5" t="n">
        <v>-2.8</v>
      </c>
      <c r="E59" s="5" t="n">
        <v>183.8</v>
      </c>
    </row>
    <row r="60">
      <c r="A60" s="6" t="inlineStr">
        <is>
          <t>Loss for the financial year</t>
        </is>
      </c>
      <c r="B60" s="6" t="n"/>
      <c r="C60" s="6" t="n">
        <v>-1.5</v>
      </c>
      <c r="D60" s="6" t="n">
        <v>-0.2</v>
      </c>
      <c r="E60" s="6" t="n">
        <v>-1.7</v>
      </c>
    </row>
    <row r="61">
      <c r="A61" s="6" t="inlineStr">
        <is>
          <t>Other comprehensive income</t>
        </is>
      </c>
      <c r="B61" s="6" t="n"/>
      <c r="C61" s="6" t="n"/>
      <c r="D61" s="6" t="n">
        <v>1.1</v>
      </c>
      <c r="E61" s="6" t="n">
        <v>1.1</v>
      </c>
    </row>
    <row r="62">
      <c r="A62" s="6" t="inlineStr">
        <is>
          <t>Pension additional contribution</t>
        </is>
      </c>
      <c r="B62" s="6" t="n"/>
      <c r="C62" s="6" t="n">
        <v>-3</v>
      </c>
      <c r="D62" s="6" t="n">
        <v>3</v>
      </c>
      <c r="E62" s="6" t="n"/>
    </row>
    <row r="63">
      <c r="A63" s="5" t="inlineStr">
        <is>
          <t>At 30 September 2024 (FY2024 closing)</t>
        </is>
      </c>
      <c r="B63" s="5" t="n">
        <v>130</v>
      </c>
      <c r="C63" s="5" t="n">
        <v>52.1</v>
      </c>
      <c r="D63" s="5" t="n">
        <v>1.1</v>
      </c>
      <c r="E63" s="5" t="n">
        <v>183.2</v>
      </c>
    </row>
    <row r="64">
      <c r="A64" s="6" t="inlineStr">
        <is>
          <t>Loss for the financial year</t>
        </is>
      </c>
      <c r="B64" s="6" t="n"/>
      <c r="C64" s="6" t="n">
        <v>-3.9</v>
      </c>
      <c r="D64" s="6" t="n"/>
      <c r="E64" s="6" t="n">
        <v>-3.9</v>
      </c>
    </row>
    <row r="65">
      <c r="A65" s="6" t="inlineStr">
        <is>
          <t>Other comprehensive income</t>
        </is>
      </c>
      <c r="B65" s="6" t="n"/>
      <c r="C65" s="6" t="n"/>
      <c r="D65" s="6" t="n">
        <v>0.5</v>
      </c>
      <c r="E65" s="6" t="n">
        <v>0.5</v>
      </c>
    </row>
    <row r="66">
      <c r="A66" s="5" t="inlineStr">
        <is>
          <t>At 30 September 2025 (FY2025 closing)</t>
        </is>
      </c>
      <c r="B66" s="5" t="n">
        <v>130</v>
      </c>
      <c r="C66" s="5" t="n">
        <v>48.2</v>
      </c>
      <c r="D66" s="5" t="n">
        <v>1.6</v>
      </c>
      <c r="E66" s="5" t="n">
        <v>179.8</v>
      </c>
    </row>
    <row r="68" ht="364" customHeight="1">
      <c r="A68" s="8" t="inlineStr">
        <is>
          <t>Sources - Julian Hodge Bank Limited Annual Reports:
FY2025: Annual Report 2025, Balance Sheet/Income Statement/Statement of Changes in Equity, p.40-41, Note 12 'Loans and advances to customers'/Note 13 'Impairment provisions', p.49-50 - https://hodgebank.co.uk/wp-content/uploads/2026/02/Hodge-AR-28.01.26.pdf
FY2024: Annual Report 2024, Balance Sheet/Income Statement/Statement of Changes in Equity, p.40-42, Note 12/13, p.48-49 - https://hodgebank.co.uk/wp-content/uploads/2025/02/Hodge-annual-report-21.02.25.pdf
FY2023: Annual Report 2023, Balance Sheet/Income Statement/Statement of Changes in Equity, p.40-42, Note 13/14, p.49-50 - https://hodgebank.co.uk/wp-content/uploads/2024/07/Annual-report-Jan-25.01.24.pdf
FY2022: Annual Report 2022, Balance Sheet/Income Statement/Statement of Changes in Equity, p.37-39, Note 13/14, p.46-47 - https://hodgebank.co.uk/wp-content/uploads/2024/07/Hodge-Annual-Report-April-04.04.23-optimised.pdf
FY2021: Annual Report 2021, Balance Sheet/Income Statement/Statement of Other Comprehensive Income/Statement of Changes in Equity, p.62-65 (printed pages 67-70) - https://hodgebank.co.uk/wp-content/uploads/2024/07/Hodge-Annual-Report-2020_2021.pdf
FY2020: Julian Hodge Bank Limited Annual Report (11-month period ended 30 September 2020), Income Statement/Balance Sheet/Statement of Changes in Equity p.26-28, Note 14 'Impairment provisions', p.44-45 - https://web.archive.org/web/20210517011507id_/https://hodgebank.co.uk/wp-content/uploads/2021/02/1.-JHB-Financial-Statements.pdf
FY2019: Julian Hodge Bank Limited Annual Report and Financial Statements 2019 (Master FINAL EY Signed), Income Statement/Balance Sheet/Statement of Changes in Equity p.20-23, Note 15 'Impairment provisions', p.42-43 - https://web.archive.org/web/20220620025335id_/https://hodgebank.co.uk/wp-content/uploads/2020/02/Julian-Hodge-Bank-Limited-Master-FINAL-EY-Signed-FY19.pdf
FY2018: Julian Hodge Bank Limited Annual Report and Financial Statements 2018, Income Statement/Balance Sheet/Statement of Changes in Equity p.24-26, Note 16 'Loans and advances to customers', p.42-44 - https://web.archive.org/web/20210517014628id_/https://hodgebank.co.uk/wp-content/uploads/2020/02/FINAL-Julian-Hodge-Bank-Limited-FY18.pdf (cross-checked against the Companies House filing for the period made up to 31 October 2018)
FY2017: Julian Hodge Bank Limited Annual report and financial statements 2017, Income Statement/Balance Sheet/Statement of Changes in Equity p.24-26, Note 16 'Loans and advances to customers', p.42-43 - https://web.archive.org/web/20220620025318id_/https://hodgebank.co.uk/wp-content/uploads/2019/01/jhb-financial-statements-20171031-1.pdf
FY2016: Julian Hodge Bank Limited Financial Statements 2016 (FRS 101, first year of transition from UK GAAP), Income Statement/Balance Sheet/Statement of Changes in Equity p.16-19, Note 16 'Loans and advances to customers', p.34 - https://web.archive.org/web/20220620025318id_/https://hodgebank.co.uk/wp-content/uploads/2019/01/jhb-financial-statements-20161031-1.pdf</t>
        </is>
      </c>
    </row>
    <row r="70" ht="351" customHeight="1">
      <c r="A70" s="8" t="inlineStr">
        <is>
          <t>(continued)
FY2015: Julian Hodge Bank Limited Directors' report and financial statements 2015 (UK GAAP), Profit and loss account/Balance sheet p.13-15, Note 22 'reconciliation of movements in shareholder's funds', p.28, Note 12 'Provisions for bad and doubtful debts', p.24 - https://web.archive.org/web/20220620025258id_/https://hodgebank.co.uk/wp-content/uploads/2019/01/jhb-financial-statements-20151031.pdf
FY2014: Julian Hodge Bank Limited Directors' report and financial statements 2014 (UK GAAP), Profit and loss account/Balance sheet p.14-16, Note 12 'Provisions for bad and doubtful debts', p.24 - https://web.archive.org/web/20220620025529id_/https://hodgebank.co.uk/wp-content/uploads/2019/01/jhb-financial-statements-20141031.pdf
ENTITY NOTE: Julian Hodge Bank Limited (company 00743437, FRN 204439, incorporated 1962) is a privately-owned Cardiff-based bank; immediate parent Hodge Limited, ultimate parent The Carlyle Trust (Jersey) Limited. Fiscal year-end is 30 September from FY2021 onward (FY2020 was an 11-month transition period covering the change from the prior 31 October year-end used FY2014-FY2019). All 12 years' source documents are text-native PDFs, no OCR required.
HISTORICAL-DEPTH NOTE (HD-049): FY2016 is this entity's first year of FRS 101 reporting (transitioning from old UK GAAP used in FY2014-FY2015) - its own report's FY2015 comparative column is FRS101-restated and does NOT tie to FY2015's own contemporaneous UK GAAP report (e.g. FY2015 closing shareholder's funds/equity: GBP133.7m as originally reported in the FY2015 Annual Report vs GBP133.3m as restated in the FY2016 Annual Report's FY2015 comparative - a real GAAP-transition adjustment, not a transcription error). Per this project's convention, each year's own originally-published figures are used throughout (FY2014/FY2015 in UK GAAP format; FY2016 onward in FRS101 format), so the equity ladder has one genuine, documented break at the FY2015/FY2016 boundary rather than a forced tie-out. Separately, FY2017's own report restates FY2016's shareholder's funds from GBP146.3m (as FY2016's own report showed) to GBP153.5m, citing a 'prior period error' corrected in Note 36 (GBP6.8m addition to opening retained earnings, GBP0.3m to FY2016's own profit) - again, FY2016's own originally-published figures are used here, with this restatement documented rather than applied. IFRS 9 was adopted 1 November 2018 (start of FY2019), so IFRS 9 Stage 1/2/3 impairment staging exists only from FY2019 onward; FY2014-FY2018 show only the (unstaged) IAS 39/UK GAAP total impairment provision. FY2014-FY2015 Income Statement rows follow the old UK GAAP layout (interest receivable/payable, fees, 'other operating income' components including reversionary interest/stock profits, then a single 'profit on ordinary activities before taxation' line) rather than the FRS101 Net interest income / Net operating income / Operating profit structure used FY2016 onward - both shown on their own basis, not forced into one template, consistent with how this same script already treats the FY2025 structural change.</t>
        </is>
      </c>
    </row>
    <row r="72" ht="260" customHeight="1">
      <c r="A72" s="8" t="inlineStr">
        <is>
          <t>(continued)
HISTORICAL-DEPTH NOTE (HD-074, added 2026-09-07): extends Balance Sheet, Profit &amp; Loss and Statement of Changes in Equity back to FY2009 (one year beyond HD-004's confirmed FY2010 statutory floor) - Pillar 3, Asset Quality and RWA Breakdown remain capped at FY2014 as a deliberate project-wide scope decision, not a sourcing gap. This entity has no Cash Flow Statement in any year (see EXEMPTION_NOTE on the Cash Flow Statement sheet) - the FRS1 predecessor exemption (identical grounds: a parent undertaking includes the Bank in its own published consolidated accounts) is confirmed explicitly stated in each of the FY2013/FY2011/FY2010 Annual Reports too, so this extension adds no Cash Flow Statement columns. FY2013 (and its own FY2012 comparative): Directors' report and financial statements 2013 - https://web.archive.org/web/20220620025323id_/https://hodgebank.co.uk/wp-content/uploads/2019/01/jhb-financial-statements-20131031.pdf
FY2011 (and its own FY2010 comparative): Directors' report and financial statements 2011 - https://web.archive.org/web/20220620025317id_/https://hodgebank.co.uk/wp-content/uploads/2019/01/jhb-financial-statements-20111031.pdf
FY2010 (and its own FY2009 comparative): Directors' report and financial statements 2010 - https://web.archive.org/web/20220620025334id_/https://hodgebank.co.uk/wp-content/uploads/2019/01/jhb-financial-statements-20101031.pdf
All 3 new filings are old UK GAAP (pre-FRS101), consistent with the existing FY2014/FY2015 treatment already on this sheet - no basis-transition gap exists at the FY2013/FY2014 boundary (FY2013's own closing Total equity of GBP128.2m ties exactly to FY2014's own opening position). 'Equity shares' is a genuine small distinct holding line disclosed in the FY2010-FY2012 Balance Sheets (nil in FY2013) - not folded into Debt securities or another line, since it is its own numbered note in the source accounts. FY2012's own Profit and Loss Account (per the FY2013 Annual Report's own comparative) reclassified certain cost/income sub-lines from how they were originally presented (a reclassification only, explained in that report's own Note 1 - profit for the year and net assets are unaffected). Every one of the 5 new years' Balance Sheet ties exactly (Total assets = Total liabilities + Total equity, verified to the exact £000) and every new year's disclosed Profit on ordinary activities before taxation and Total recognised gains and losses in the financial year are reproduced exactly by the rows on this sheet and the Profit &amp; Loss sheet.</t>
        </is>
      </c>
    </row>
  </sheetData>
  <mergeCells count="3">
    <mergeCell ref="A72:E72"/>
    <mergeCell ref="A70:E70"/>
    <mergeCell ref="A68:E6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Julian Hodge Bank Limited — Cash Flow Statement</t>
        </is>
      </c>
    </row>
    <row r="2">
      <c r="A2" s="2" t="inlineStr">
        <is>
          <t>Not applicable — this entity takes the FRS 101 cash-flow-statement disclosure exemption every year. See source note below.</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5" t="inlineStr">
        <is>
          <t>No Statement of Cash Flows is published by this entity in any year</t>
        </is>
      </c>
      <c r="B4" s="6" t="n"/>
      <c r="C4" s="6" t="n"/>
      <c r="D4" s="6" t="n"/>
      <c r="E4" s="6" t="n"/>
      <c r="F4" s="6" t="n"/>
      <c r="G4" s="6" t="n"/>
      <c r="H4" s="6" t="n"/>
      <c r="I4" s="6" t="n"/>
      <c r="J4" s="6" t="n"/>
      <c r="K4" s="6" t="n"/>
      <c r="L4" s="6" t="n"/>
      <c r="M4" s="6" t="n"/>
      <c r="N4" s="6" t="n"/>
      <c r="O4" s="6" t="n"/>
      <c r="P4" s="6" t="n"/>
      <c r="Q4" s="6" t="n"/>
      <c r="R4" s="6" t="n"/>
    </row>
    <row r="5">
      <c r="A5" s="6" t="inlineStr">
        <is>
          <t>See the note below for the FRS 101 exemption this entity relies on every year, and why this workbook is built as a Pillar-3-only variant.</t>
        </is>
      </c>
      <c r="B5" s="6" t="n"/>
      <c r="C5" s="6" t="n"/>
      <c r="D5" s="6" t="n"/>
      <c r="E5" s="6" t="n"/>
      <c r="F5" s="6" t="n"/>
      <c r="G5" s="6" t="n"/>
      <c r="H5" s="6" t="n"/>
      <c r="I5" s="6" t="n"/>
      <c r="J5" s="6" t="n"/>
      <c r="K5" s="6" t="n"/>
      <c r="L5" s="6" t="n"/>
      <c r="M5" s="6" t="n"/>
      <c r="N5" s="6" t="n"/>
      <c r="O5" s="6" t="n"/>
      <c r="P5" s="6" t="n"/>
      <c r="Q5" s="6" t="n"/>
      <c r="R5" s="6" t="n"/>
    </row>
    <row r="7" ht="260" customHeight="1">
      <c r="A7" s="8" t="inlineStr">
        <is>
          <t>ENTITY NOTE: Julian Hodge Bank Limited (company 00743437, FRN 204439, incorporated 1962) is a privately-owned Cardiff-based bank; immediate parent Hodge Limited, ultimate parent The Carlyle Trust (Jersey) Limited. Fiscal year-end is 30 September from FY2021 onward (FY2020 was an 11-month transition period covering the change from the prior 31 October year-end used FY2014-FY2019). All 12 years' source documents are text-native PDFs, no OCR required.
FRS 101 / FRS 1 CASH-FLOW EXEMPTION: every Annual Report FY2016-FY2025 states in Note 1 (Basis of preparation) that the Bank "has applied the exemptions available under FRS 101 in respect of the following disclosures: A Cash Flow Statement and related notes; ..." - e.g. Julian Hodge Bank Limited Annual Report 2025, Note 1.1, p.42 - https://hodgebank.co.uk/wp-content/uploads/2026/02/Hodge-AR-28.01.26.pdf. FY2014-FY2015 (pre-FRS101, old UK GAAP) rely on the equivalent predecessor exemption under FRS 1 ('the Bank is exempt from the requirement to prepare a cash flow statement on the grounds that a parent undertaking includes the Bank in its own published consolidated financial statements') - e.g. Julian Hodge Bank Limited Directors' report and financial statements 2015, p.19 - https://web.archive.org/web/20220620025258id_/https://hodgebank.co.uk/wp-content/uploads/2019/01/jhb-financial-statements-20151031.pdf. The same FRS 1 exemption wording is confirmed present in each of the FY2009-FY2013 Directors' report and financial statements sourced for HD-074 (e.g. FY2010, FY2011, FY2013 reports, each Note 1) - see HD074_NOTE below. No Statement of Cash Flows exists in any of the entity's published accounts for any year FY2009-FY2025 - a standing structural feature spanning both the old-UK-GAAP and FRS101 eras, not a one-off or data gap. RE-VERIFIED 2026-09-18 (GA-005) directly against both of the two newest editions, which is why this sheet's seventeen empty year columns are a documented 'never published' and not an open gap: the FY2025 Annual Report prints, on printed folio 42, 'In these financial statements, the Bank has applied the exemptions available under FRS 101 in respect of the following disclosures: * A Cash Flow Statement and related notes;', and the FY2024 Annual Report prints the same sentence with the same first bullet, lower-cased as '* A cash flow statement and related notes.' - the Bank's own casing, reproduced rather than harmonised. Per the project's established policy for this exemption (see The Bank of New York Mellon (International) Limited / ABC International Bank plc), this workbook is built as a PILLAR-3-ONLY variant: all 11 Pillar 3 metric sheets are populated below, but no cash flow figures exist to show. See the Overview sheet for the equivalent treatment there.
HISTORICAL-DEPTH NOTE (HD-074, added 2026-09-07): extends Balance Sheet, Profit &amp; Loss and Statement of Changes in Equity back to FY2009 (one year beyond HD-004's confirmed FY2010 statutory floor) - Pillar 3, Asset Quality and RWA Breakdown remain capped at FY2014 as a deliberate project-wide scope decision, not a sourcing gap. This entity has no Cash Flow Statement in any year (see EXEMPTION_NOTE on the Cash Flow Statement sheet) - the FRS1 predecessor exemption (identical grounds: a parent undertaking includes the Bank in its own published consolidated accounts) is confirmed explicitly stated in each of the FY2013/FY2011/FY2010 Annual Reports too, so this extension adds no Cash Flow Statement columns. FY2013 (and its own FY2012 comparative): Directors' report and financial statements 2013 - https://web.archive.org/web/20220620025323id_/https://hodgebank.co.uk/wp-content/uploads/2019/01/jhb-financial-statements-20131031.pdf
FY2011 (and its own FY2010 comparative): Directors' report and financial statements 2011 - https://web.archive.org/web/20220620025317id_/https://hodgebank.co.uk/wp-content/uploads/2019/01/jhb-financial-statements-20111031.pdf
FY2010 (and its own FY2009 comparative): Directors' report and financial statements 2010 - https://web.archive.org/web/20220620025334id_/https://hodgebank.co.uk/wp-content/uploads/2019/01/jhb-financial-statements-20101031.pdf
All 3 new filings are old UK GAAP (pre-FRS101), consistent with the existing FY2014/FY2015 treatment already on this sheet - no basis-transition gap exists at the FY2013/FY2014 boundary (FY2013's own closing Total equity of GBP128.2m ties exactly to FY2014's own opening position). 'Equity shares' is a genuine small distinct holding line disclosed in the FY2010-FY2012 Balance Sheets (nil in FY2013) - not folded into Debt securities or another line, since it is its own numbered note in the source accounts. FY2012's own Profit and Loss Account (per the FY2013 Annual Report's own comparative) reclassified certain cost/income sub-lines from how they were originally presented (a reclassification only, explained in that report's own Note 1 - profit for the year and net assets are unaffected). Every one of the 5 new years' Balance Sheet ties exactly (Total assets = Total liabilities + Total equity, verified to the exact £000) and every new year's disclosed Profit on ordinary activities before taxation and Total recognised gains and losses in the financial year are reproduced exactly by the rows on this sheet and the Profit &amp; Loss sheet.</t>
        </is>
      </c>
    </row>
  </sheetData>
  <mergeCells count="1">
    <mergeCell ref="A7:R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Julian Hodge Bank Limited — Asset Quality</t>
        </is>
      </c>
    </row>
    <row r="2">
      <c r="A2" s="2" t="inlineStr">
        <is>
          <t>Portfolio-wide IFRS 9 Stage 1/2/3 impairment provision roll-forward (Note 13/14).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Loans and advances to customers at amortised cost</t>
        </is>
      </c>
      <c r="B4" s="6" t="n"/>
      <c r="C4" s="6" t="n"/>
      <c r="D4" s="6" t="n"/>
      <c r="E4" s="6" t="n"/>
      <c r="F4" s="6" t="n"/>
      <c r="G4" s="6" t="n"/>
      <c r="H4" s="6" t="n"/>
      <c r="I4" s="6" t="n"/>
      <c r="J4" s="6" t="n"/>
      <c r="K4" s="6" t="n"/>
      <c r="L4" s="6" t="n"/>
      <c r="M4" s="6" t="n"/>
    </row>
    <row r="5">
      <c r="A5" s="6" t="inlineStr">
        <is>
          <t>Gross balances</t>
        </is>
      </c>
      <c r="B5" s="6" t="n">
        <v>1811.1</v>
      </c>
      <c r="C5" s="6" t="n">
        <v>1671.4</v>
      </c>
      <c r="D5" s="6" t="n">
        <v>1483.1</v>
      </c>
      <c r="E5" s="6" t="n">
        <v>1403.6</v>
      </c>
      <c r="F5" s="6" t="n">
        <v>989.9</v>
      </c>
      <c r="G5" s="6" t="n">
        <v>709.3</v>
      </c>
      <c r="H5" s="6" t="n">
        <v>526.4</v>
      </c>
      <c r="I5" s="6" t="n">
        <v>562.3</v>
      </c>
      <c r="J5" s="6" t="n">
        <v>469.9</v>
      </c>
      <c r="K5" s="6" t="n">
        <v>386.5</v>
      </c>
      <c r="L5" s="6" t="n">
        <v>335.3</v>
      </c>
      <c r="M5" s="6" t="n"/>
    </row>
    <row r="6">
      <c r="A6" s="6" t="inlineStr">
        <is>
          <t>Net loan fee deferral</t>
        </is>
      </c>
      <c r="B6" s="6" t="n">
        <v>13</v>
      </c>
      <c r="C6" s="6" t="n">
        <v>8.5</v>
      </c>
      <c r="D6" s="6" t="n">
        <v>2.9</v>
      </c>
      <c r="E6" s="6" t="n">
        <v>3.7</v>
      </c>
      <c r="F6" s="6" t="n">
        <v>1.9</v>
      </c>
      <c r="G6" s="6" t="n">
        <v>-0.8</v>
      </c>
      <c r="H6" s="6" t="n">
        <v>-1.7</v>
      </c>
      <c r="I6" s="6" t="n">
        <v>-2.3</v>
      </c>
      <c r="J6" s="6" t="n">
        <v>-2.5</v>
      </c>
      <c r="K6" s="6" t="n">
        <v>-2.3</v>
      </c>
      <c r="L6" s="6" t="n">
        <v>-1.9</v>
      </c>
      <c r="M6" s="6" t="n"/>
    </row>
    <row r="7">
      <c r="A7" s="6" t="inlineStr">
        <is>
          <t>Provision for impairment</t>
        </is>
      </c>
      <c r="B7" s="6" t="n">
        <v>-13.8</v>
      </c>
      <c r="C7" s="6" t="n">
        <v>-7.7</v>
      </c>
      <c r="D7" s="6" t="n">
        <v>-6</v>
      </c>
      <c r="E7" s="6" t="n">
        <v>-8.6</v>
      </c>
      <c r="F7" s="6" t="n">
        <v>-8.4</v>
      </c>
      <c r="G7" s="6" t="n">
        <v>-7.9</v>
      </c>
      <c r="H7" s="6" t="n">
        <v>-9.800000000000001</v>
      </c>
      <c r="I7" s="6" t="n">
        <v>-3.7</v>
      </c>
      <c r="J7" s="6" t="n">
        <v>-6.4</v>
      </c>
      <c r="K7" s="6" t="n">
        <v>-10</v>
      </c>
      <c r="L7" s="6" t="n">
        <v>-7.6</v>
      </c>
      <c r="M7" s="6" t="n">
        <v>-5.8</v>
      </c>
    </row>
    <row r="8">
      <c r="A8" s="5" t="inlineStr">
        <is>
          <t>Net balance (amortised cost)</t>
        </is>
      </c>
      <c r="B8" s="5" t="n">
        <v>1810.3</v>
      </c>
      <c r="C8" s="5" t="n">
        <v>1672.2</v>
      </c>
      <c r="D8" s="5" t="n">
        <v>1480</v>
      </c>
      <c r="E8" s="5" t="n">
        <v>1398.7</v>
      </c>
      <c r="F8" s="5" t="n">
        <v>983.4</v>
      </c>
      <c r="G8" s="5" t="n">
        <v>700.6</v>
      </c>
      <c r="H8" s="5" t="n">
        <v>514.9</v>
      </c>
      <c r="I8" s="5" t="n">
        <v>556.3</v>
      </c>
      <c r="J8" s="5" t="n">
        <v>461</v>
      </c>
      <c r="K8" s="5" t="n">
        <v>374.2</v>
      </c>
      <c r="L8" s="5" t="n">
        <v>325.8</v>
      </c>
      <c r="M8" s="5" t="n"/>
    </row>
    <row r="9">
      <c r="A9" s="6" t="inlineStr">
        <is>
          <t>Impairment provision coverage (%)</t>
        </is>
      </c>
      <c r="B9" s="6" t="inlineStr">
        <is>
          <t>0.76%</t>
        </is>
      </c>
      <c r="C9" s="6" t="inlineStr">
        <is>
          <t>0.46%</t>
        </is>
      </c>
      <c r="D9" s="6" t="inlineStr">
        <is>
          <t>0.40%</t>
        </is>
      </c>
      <c r="E9" s="6" t="inlineStr">
        <is>
          <t>0.61%</t>
        </is>
      </c>
      <c r="F9" s="6" t="inlineStr">
        <is>
          <t>0.85%</t>
        </is>
      </c>
      <c r="G9" s="6" t="inlineStr">
        <is>
          <t>1.11%</t>
        </is>
      </c>
      <c r="H9" s="6" t="inlineStr">
        <is>
          <t>1.86%</t>
        </is>
      </c>
      <c r="I9" s="6" t="inlineStr">
        <is>
          <t>0.66%</t>
        </is>
      </c>
      <c r="J9" s="6" t="inlineStr">
        <is>
          <t>1.36%</t>
        </is>
      </c>
      <c r="K9" s="6" t="inlineStr">
        <is>
          <t>2.59%</t>
        </is>
      </c>
      <c r="L9" s="6" t="inlineStr">
        <is>
          <t>2.27%</t>
        </is>
      </c>
      <c r="M9" s="6" t="n"/>
    </row>
    <row r="10">
      <c r="A10" s="5" t="inlineStr">
        <is>
          <t>Impairment provision, by IFRS 9 stage (IFRS 9 adopted 1 November 2018 - stage data only exists FY2019 onward; FY2014-FY2018 show only the unstaged IAS 39/UK GAAP total provision above)</t>
        </is>
      </c>
      <c r="B10" s="6" t="n"/>
      <c r="C10" s="6" t="n"/>
      <c r="D10" s="6" t="n"/>
      <c r="E10" s="6" t="n"/>
      <c r="F10" s="6" t="n"/>
      <c r="G10" s="6" t="n"/>
      <c r="H10" s="6" t="n"/>
      <c r="I10" s="6" t="n"/>
      <c r="J10" s="6" t="n"/>
      <c r="K10" s="6" t="n"/>
      <c r="L10" s="6" t="n"/>
      <c r="M10" s="6" t="n"/>
    </row>
    <row r="11">
      <c r="A11" s="6" t="inlineStr">
        <is>
          <t>Stage 1 (12-month ECL)</t>
        </is>
      </c>
      <c r="B11" s="6" t="n">
        <v>3.6</v>
      </c>
      <c r="C11" s="6" t="n">
        <v>2.4</v>
      </c>
      <c r="D11" s="6" t="n">
        <v>1.3</v>
      </c>
      <c r="E11" s="6" t="n">
        <v>1.7</v>
      </c>
      <c r="F11" s="6" t="n">
        <v>1.3</v>
      </c>
      <c r="G11" s="6" t="n">
        <v>1.5</v>
      </c>
      <c r="H11" s="6" t="n">
        <v>2.4</v>
      </c>
      <c r="I11" s="6" t="n"/>
      <c r="J11" s="6" t="n"/>
      <c r="K11" s="6" t="n"/>
      <c r="L11" s="6" t="n"/>
      <c r="M11" s="6" t="n"/>
    </row>
    <row r="12">
      <c r="A12" s="6" t="inlineStr">
        <is>
          <t>Stage 2 (lifetime ECL, not credit-impaired)</t>
        </is>
      </c>
      <c r="B12" s="6" t="n">
        <v>1.7</v>
      </c>
      <c r="C12" s="6" t="n">
        <v>1.2</v>
      </c>
      <c r="D12" s="6" t="n">
        <v>3.1</v>
      </c>
      <c r="E12" s="6" t="n">
        <v>1.3</v>
      </c>
      <c r="F12" s="6" t="n">
        <v>2</v>
      </c>
      <c r="G12" s="6" t="n">
        <v>1.6</v>
      </c>
      <c r="H12" s="6" t="n">
        <v>0.1</v>
      </c>
      <c r="I12" s="6" t="n"/>
      <c r="J12" s="6" t="n"/>
      <c r="K12" s="6" t="n"/>
      <c r="L12" s="6" t="n"/>
      <c r="M12" s="6" t="n"/>
    </row>
    <row r="13">
      <c r="A13" s="6" t="inlineStr">
        <is>
          <t>Stage 3 (lifetime ECL, credit-impaired)</t>
        </is>
      </c>
      <c r="B13" s="6" t="n">
        <v>8.300000000000001</v>
      </c>
      <c r="C13" s="6" t="n">
        <v>4.2</v>
      </c>
      <c r="D13" s="6" t="n">
        <v>1.2</v>
      </c>
      <c r="E13" s="6" t="n">
        <v>4.8</v>
      </c>
      <c r="F13" s="6" t="n">
        <v>5.1</v>
      </c>
      <c r="G13" s="6" t="n">
        <v>4.8</v>
      </c>
      <c r="H13" s="6" t="n">
        <v>7.3</v>
      </c>
      <c r="I13" s="6" t="n"/>
      <c r="J13" s="6" t="n"/>
      <c r="K13" s="6" t="n"/>
      <c r="L13" s="6" t="n"/>
      <c r="M13" s="6" t="n"/>
    </row>
    <row r="14">
      <c r="A14" s="6" t="inlineStr">
        <is>
          <t>Post Model Adjustment</t>
        </is>
      </c>
      <c r="B14" s="6" t="n">
        <v>0.2</v>
      </c>
      <c r="C14" s="6" t="n">
        <v>-0.1</v>
      </c>
      <c r="D14" s="6" t="n">
        <v>0.4</v>
      </c>
      <c r="E14" s="6" t="n">
        <v>0.8</v>
      </c>
      <c r="F14" s="6" t="n"/>
      <c r="G14" s="6" t="n"/>
      <c r="H14" s="6" t="n"/>
      <c r="I14" s="6" t="n"/>
      <c r="J14" s="6" t="n"/>
      <c r="K14" s="6" t="n"/>
      <c r="L14" s="6" t="n"/>
      <c r="M14" s="6" t="n"/>
    </row>
    <row r="15">
      <c r="A15" s="5" t="inlineStr">
        <is>
          <t>Total provision for impairment</t>
        </is>
      </c>
      <c r="B15" s="5" t="n">
        <v>13.8</v>
      </c>
      <c r="C15" s="5" t="n">
        <v>7.7</v>
      </c>
      <c r="D15" s="5" t="n">
        <v>6</v>
      </c>
      <c r="E15" s="5" t="n">
        <v>8.6</v>
      </c>
      <c r="F15" s="5" t="n">
        <v>8.4</v>
      </c>
      <c r="G15" s="5" t="n">
        <v>7.9</v>
      </c>
      <c r="H15" s="5" t="n">
        <v>9.800000000000001</v>
      </c>
      <c r="I15" s="5" t="n">
        <v>3.7</v>
      </c>
      <c r="J15" s="5" t="n">
        <v>6.4</v>
      </c>
      <c r="K15" s="5" t="n">
        <v>10</v>
      </c>
      <c r="L15" s="5" t="n">
        <v>7.6</v>
      </c>
      <c r="M15" s="5" t="n">
        <v>5.8</v>
      </c>
    </row>
    <row r="16">
      <c r="A16" s="5" t="inlineStr">
        <is>
          <t>Loans and advances by product, at amortised cost (before hedge FV adjustment / retirement mortgages FVTPL)</t>
        </is>
      </c>
      <c r="B16" s="6" t="n"/>
      <c r="C16" s="6" t="n"/>
      <c r="D16" s="6" t="n"/>
      <c r="E16" s="6" t="n"/>
      <c r="F16" s="6" t="n"/>
      <c r="G16" s="6" t="n"/>
      <c r="H16" s="6" t="n"/>
      <c r="I16" s="6" t="n"/>
      <c r="J16" s="6" t="n"/>
      <c r="K16" s="6" t="n"/>
      <c r="L16" s="6" t="n"/>
      <c r="M16" s="6" t="n"/>
    </row>
    <row r="17">
      <c r="A17" s="6" t="inlineStr">
        <is>
          <t>Retail</t>
        </is>
      </c>
      <c r="B17" s="6" t="n">
        <v>1371.8</v>
      </c>
      <c r="C17" s="6" t="n">
        <v>1315.9</v>
      </c>
      <c r="D17" s="6" t="n">
        <v>1234.9</v>
      </c>
      <c r="E17" s="6" t="n">
        <v>1140</v>
      </c>
      <c r="F17" s="6" t="n">
        <v>679</v>
      </c>
      <c r="G17" s="6" t="n"/>
      <c r="H17" s="6" t="n"/>
      <c r="I17" s="6" t="n"/>
      <c r="J17" s="6" t="n"/>
      <c r="K17" s="6" t="n"/>
      <c r="L17" s="6" t="n"/>
      <c r="M17" s="6" t="n"/>
    </row>
    <row r="18">
      <c r="A18" s="6" t="inlineStr">
        <is>
          <t>Commercial (real estate)</t>
        </is>
      </c>
      <c r="B18" s="6" t="n">
        <v>218.1</v>
      </c>
      <c r="C18" s="6" t="n">
        <v>189.7</v>
      </c>
      <c r="D18" s="6" t="n">
        <v>170.4</v>
      </c>
      <c r="E18" s="6" t="n">
        <v>182.2</v>
      </c>
      <c r="F18" s="6" t="n">
        <v>233.9</v>
      </c>
      <c r="G18" s="6" t="n"/>
      <c r="H18" s="6" t="n"/>
      <c r="I18" s="6" t="n"/>
      <c r="J18" s="6" t="n"/>
      <c r="K18" s="6" t="n"/>
      <c r="L18" s="6" t="n"/>
      <c r="M18" s="6" t="n"/>
    </row>
    <row r="19">
      <c r="A19" s="6" t="inlineStr">
        <is>
          <t>Portfolio Buy-to-Let</t>
        </is>
      </c>
      <c r="B19" s="6" t="n">
        <v>37.3</v>
      </c>
      <c r="C19" s="6" t="n">
        <v>70.3</v>
      </c>
      <c r="D19" s="6" t="n">
        <v>74.7</v>
      </c>
      <c r="E19" s="6" t="n">
        <v>76.5</v>
      </c>
      <c r="F19" s="6" t="n">
        <v>70.5</v>
      </c>
      <c r="G19" s="6" t="n"/>
      <c r="H19" s="6" t="n"/>
      <c r="I19" s="6" t="n"/>
      <c r="J19" s="6" t="n"/>
      <c r="K19" s="6" t="n"/>
      <c r="L19" s="6" t="n"/>
      <c r="M19" s="6" t="n"/>
    </row>
    <row r="20">
      <c r="A20" s="6" t="inlineStr">
        <is>
          <t>Motor receivables</t>
        </is>
      </c>
      <c r="B20" s="6" t="n">
        <v>183.1</v>
      </c>
      <c r="C20" s="6" t="n">
        <v>96.3</v>
      </c>
      <c r="D20" s="6" t="n"/>
      <c r="E20" s="6" t="n"/>
      <c r="F20" s="6" t="n"/>
      <c r="G20" s="6" t="n"/>
      <c r="H20" s="6" t="n"/>
      <c r="I20" s="6" t="n"/>
      <c r="J20" s="6" t="n"/>
      <c r="K20" s="6" t="n"/>
      <c r="L20" s="6" t="n"/>
      <c r="M20" s="6" t="n"/>
    </row>
    <row r="21">
      <c r="A21" s="6" t="inlineStr">
        <is>
          <t>Amounts owed from parent and fellow subsidiaries</t>
        </is>
      </c>
      <c r="B21" s="6" t="n"/>
      <c r="C21" s="6" t="n"/>
      <c r="D21" s="6" t="n"/>
      <c r="E21" s="6" t="n"/>
      <c r="F21" s="6" t="n">
        <v>0.4</v>
      </c>
      <c r="G21" s="6" t="n"/>
      <c r="H21" s="6" t="n"/>
      <c r="I21" s="6" t="n"/>
      <c r="J21" s="6" t="n"/>
      <c r="K21" s="6" t="n"/>
      <c r="L21" s="6" t="n"/>
      <c r="M21" s="6" t="n"/>
    </row>
    <row r="23" ht="403" customHeight="1">
      <c r="A23" s="8" t="inlineStr">
        <is>
          <t>Sources - Julian Hodge Bank Limited Annual Reports:
FY2025: Annual Report 2025, Balance Sheet/Income Statement/Statement of Changes in Equity, p.40-41, Note 12 'Loans and advances to customers'/Note 13 'Impairment provisions', p.49-50 - https://hodgebank.co.uk/wp-content/uploads/2026/02/Hodge-AR-28.01.26.pdf
FY2024: Annual Report 2024, Balance Sheet/Income Statement/Statement of Changes in Equity, p.40-42, Note 12/13, p.48-49 - https://hodgebank.co.uk/wp-content/uploads/2025/02/Hodge-annual-report-21.02.25.pdf
FY2023: Annual Report 2023, Balance Sheet/Income Statement/Statement of Changes in Equity, p.40-42, Note 13/14, p.49-50 - https://hodgebank.co.uk/wp-content/uploads/2024/07/Annual-report-Jan-25.01.24.pdf
FY2022: Annual Report 2022, Balance Sheet/Income Statement/Statement of Changes in Equity, p.37-39, Note 13/14, p.46-47 - https://hodgebank.co.uk/wp-content/uploads/2024/07/Hodge-Annual-Report-April-04.04.23-optimised.pdf
FY2021: Annual Report 2021, Balance Sheet/Income Statement/Statement of Other Comprehensive Income/Statement of Changes in Equity, p.62-65 (printed pages 67-70) - https://hodgebank.co.uk/wp-content/uploads/2024/07/Hodge-Annual-Report-2020_2021.pdf
FY2020: Julian Hodge Bank Limited Annual Report (11-month period ended 30 September 2020), Income Statement/Balance Sheet/Statement of Changes in Equity p.26-28, Note 14 'Impairment provisions', p.44-45 - https://web.archive.org/web/20210517011507id_/https://hodgebank.co.uk/wp-content/uploads/2021/02/1.-JHB-Financial-Statements.pdf
FY2019: Julian Hodge Bank Limited Annual Report and Financial Statements 2019 (Master FINAL EY Signed), Income Statement/Balance Sheet/Statement of Changes in Equity p.20-23, Note 15 'Impairment provisions', p.42-43 - https://web.archive.org/web/20220620025335id_/https://hodgebank.co.uk/wp-content/uploads/2020/02/Julian-Hodge-Bank-Limited-Master-FINAL-EY-Signed-FY19.pdf
FY2018: Julian Hodge Bank Limited Annual Report and Financial Statements 2018, Income Statement/Balance Sheet/Statement of Changes in Equity p.24-26, Note 16 'Loans and advances to customers', p.42-44 - https://web.archive.org/web/20210517014628id_/https://hodgebank.co.uk/wp-content/uploads/2020/02/FINAL-Julian-Hodge-Bank-Limited-FY18.pdf (cross-checked against the Companies House filing for the period made up to 31 October 2018)
FY2017: Julian Hodge Bank Limited Annual report and financial statements 2017, Income Statement/Balance Sheet/Statement of Changes in Equity p.24-26, Note 16 'Loans and advances to customers', p.42-43 - https://web.archive.org/web/20220620025318id_/https://hodgebank.co.uk/wp-content/uploads/2019/01/jhb-financial-statements-20171031-1.pdf
FY2016: Julian Hodge Bank Limited Financial Statements 2016 (FRS 101, first year of transition from UK GAAP), Income Statement/Balance Sheet/Statement of Changes in Equity p.16-19, Note 16 'Loans and advances to customers', p.34 - https://web.archive.org/web/20220620025318id_/https://hodgebank.co.uk/wp-content/uploads/2019/01/jhb-financial-statements-20161031-1.pdf
FY2015: Julian Hodge Bank Limited Directors' report and financial statements 2015 (UK GAAP), Profit and loss account/Balance sheet p.13-15, Note 22 'reconciliation of movements in shareholder's funds', p.28, Note 12 'Provisions for bad and doubtful debts', p.24 - https://web.archive.org/web/20220620025258id_/https://hodgebank.co.uk/wp-content/uploads/2019/01/jhb-financial-statements-20151031.pdf
FY2014: Julian Hodge Bank Limited Directors' report and financial statements 2014 (UK GAAP), Profit and loss account/Balance sheet p.14-16, Note 12 'Provisions for bad and doubtful debts', p.24 - https://web.archive.org/web/20220620025529id_/https://hodgebank.co.uk/wp-content/uploads/2019/01/jhb-financial-statements-20141031.pdf
ENTITY NOTE: Julian Hodge Bank Limited (company 00743437, FRN 204439, incorporated 1962) is a privately-owned Cardiff-based bank; immediate parent Hodge Limited, ultimate parent The Carlyle Trust (Jersey) Limited. Fiscal year-end is 30 September from FY2021 onward (FY2020 was an 11-month transition period covering the change from the prior 31 October year-end used FY2014-FY2019). All 12 years' source documents are text-native PDFs, no OCR required.
HISTORICAL-DEPTH NOTE (HD-049): FY2016 is this entity's first year of FRS 101 reporting (transitioning from old UK GAAP used in FY2014-FY2015) - its own report's FY2015 comparative column is FRS101-restated and does NOT tie to FY2015's own contemporaneous UK GAAP report (e.g. FY2015 closing shareholder's funds/equity: GBP133.7m as originally reported in the FY2015 Annual Report vs GBP133.3m as restated in the FY2016 Annual Report's FY2015 comparative - a real GAAP-transition adjustment, not a transcription error). Per this project's convention, each year's own originally-published figures are used throughout (FY2014/FY2015 in UK GAAP format; FY2016 onward in FRS101 format), so the equity ladder has one genuine, documented break at the FY2015/FY2016 boundary rather than a forced tie-out. Separately, FY2017's own report restates FY2016's shareholder's funds from GBP146.3m (as FY2016's own report showed) to GBP153.5m, citing a 'prior period error' corrected in Note 36 (GBP6.8m addition to opening retained earnings, GBP0.3m to FY2016's own profit) - again, FY2016's own originally-published figures are used here, with this restatement documented rather than applied. IFRS 9 was adopted 1 November 2018 (start of FY2019), so IFRS 9 Stage 1/2/3 impairment staging exists only from FY2019 onward; FY2014-FY2018 show only the (unstaged) IAS 39/UK GAAP total impairment provision. FY2014-FY2015 Income Statement rows follow the old UK GAAP layout (interest receivable/payable, fees, 'other operating income' components including reversionary interest/stock profits, then a single 'profit on ordinary activities before taxation' line) rather than the FRS101 Net interest income / Net operating income / Operating profit structure used FY2016 onward - both shown on their own basis, not forced into one template, consistent with how this same script already treats the FY2025 structural change.
DATA QUALITY FLAG: AR2025's own Note 13 table prints its 2025-year closing row as "At 30 September 2024" and its 2024-year closing row as "At 30 September 2023" - both appear to be an off-by-one-year label carried over from an earlier template (each closing row's own figures follow arithmetically from that block's own opening row and match the FOLLOWING year's contemporaneous report exactly), so the closing rows are treated here as FY2025 and FY2024 respectively, not as literally labelled. No gross-exposure-by-IFRS-9-stage table exists at portfolio level in any year - only the impairment PROVISION is broken out by stage portfolio-wide; gross exposure by stage is only disclosed for the Commercial/PBTL/Motor segments separately (not for Retail, the largest segment), so a full gross-by-stage table is not reconstructable without assuming Retail's split.</t>
        </is>
      </c>
    </row>
  </sheetData>
  <mergeCells count="1">
    <mergeCell ref="A23:M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Julian Hodge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Return on equity - average equity basis</t>
        </is>
      </c>
      <c r="B4" s="6" t="inlineStr">
        <is>
          <t>-2.15%</t>
        </is>
      </c>
      <c r="C4" s="6" t="inlineStr">
        <is>
          <t>-0.93%</t>
        </is>
      </c>
      <c r="D4" s="6" t="inlineStr">
        <is>
          <t>-0.11%</t>
        </is>
      </c>
      <c r="E4" s="6" t="inlineStr">
        <is>
          <t>2.88%</t>
        </is>
      </c>
      <c r="F4" s="6" t="inlineStr">
        <is>
          <t>4.01%</t>
        </is>
      </c>
      <c r="G4" s="6" t="inlineStr">
        <is>
          <t>-10.55%</t>
        </is>
      </c>
      <c r="H4" s="6" t="inlineStr">
        <is>
          <t>-3.43%</t>
        </is>
      </c>
      <c r="I4" s="6" t="inlineStr">
        <is>
          <t>3.24%</t>
        </is>
      </c>
      <c r="J4" s="6" t="inlineStr">
        <is>
          <t>6.51%</t>
        </is>
      </c>
      <c r="K4" s="6" t="inlineStr">
        <is>
          <t>12.57%</t>
        </is>
      </c>
      <c r="L4" s="6" t="inlineStr">
        <is>
          <t>3.24%</t>
        </is>
      </c>
      <c r="M4" s="6" t="inlineStr">
        <is>
          <t>3.15%</t>
        </is>
      </c>
      <c r="N4" s="6" t="inlineStr">
        <is>
          <t>2.76%</t>
        </is>
      </c>
      <c r="O4" s="6" t="inlineStr">
        <is>
          <t>2.08%</t>
        </is>
      </c>
      <c r="P4" s="6" t="inlineStr">
        <is>
          <t>1.61%</t>
        </is>
      </c>
      <c r="Q4" s="6" t="inlineStr">
        <is>
          <t>1.06%</t>
        </is>
      </c>
      <c r="R4" s="6" t="n"/>
    </row>
    <row r="5">
      <c r="A5" s="6" t="inlineStr">
        <is>
          <t>Return on equity - year-end equity basis</t>
        </is>
      </c>
      <c r="B5" s="6" t="inlineStr">
        <is>
          <t>-2.17%</t>
        </is>
      </c>
      <c r="C5" s="6" t="inlineStr">
        <is>
          <t>-0.93%</t>
        </is>
      </c>
      <c r="D5" s="6" t="inlineStr">
        <is>
          <t>-0.11%</t>
        </is>
      </c>
      <c r="E5" s="6" t="inlineStr">
        <is>
          <t>2.59%</t>
        </is>
      </c>
      <c r="F5" s="6" t="inlineStr">
        <is>
          <t>3.90%</t>
        </is>
      </c>
      <c r="G5" s="6" t="inlineStr">
        <is>
          <t>-11.28%</t>
        </is>
      </c>
      <c r="H5" s="6" t="inlineStr">
        <is>
          <t>-3.56%</t>
        </is>
      </c>
      <c r="I5" s="6" t="inlineStr">
        <is>
          <t>3.20%</t>
        </is>
      </c>
      <c r="J5" s="6" t="inlineStr">
        <is>
          <t>6.10%</t>
        </is>
      </c>
      <c r="K5" s="6" t="inlineStr">
        <is>
          <t>12.03%</t>
        </is>
      </c>
      <c r="L5" s="6" t="inlineStr">
        <is>
          <t>3.22%</t>
        </is>
      </c>
      <c r="M5" s="6" t="inlineStr">
        <is>
          <t>3.11%</t>
        </is>
      </c>
      <c r="N5" s="6" t="inlineStr">
        <is>
          <t>2.73%</t>
        </is>
      </c>
      <c r="O5" s="6" t="inlineStr">
        <is>
          <t>2.07%</t>
        </is>
      </c>
      <c r="P5" s="6" t="inlineStr">
        <is>
          <t>1.60%</t>
        </is>
      </c>
      <c r="Q5" s="6" t="inlineStr">
        <is>
          <t>1.05%</t>
        </is>
      </c>
      <c r="R5" s="6" t="inlineStr">
        <is>
          <t>0.57%</t>
        </is>
      </c>
    </row>
    <row r="6">
      <c r="A6" s="6" t="inlineStr">
        <is>
          <t>Return on assets - average assets basis</t>
        </is>
      </c>
      <c r="B6" s="6" t="inlineStr">
        <is>
          <t>-0.19%</t>
        </is>
      </c>
      <c r="C6" s="6" t="inlineStr">
        <is>
          <t>-0.09%</t>
        </is>
      </c>
      <c r="D6" s="6" t="inlineStr">
        <is>
          <t>-0.01%</t>
        </is>
      </c>
      <c r="E6" s="6" t="inlineStr">
        <is>
          <t>0.27%</t>
        </is>
      </c>
      <c r="F6" s="6" t="inlineStr">
        <is>
          <t>0.37%</t>
        </is>
      </c>
      <c r="G6" s="6" t="inlineStr">
        <is>
          <t>-1.14%</t>
        </is>
      </c>
      <c r="H6" s="6" t="inlineStr">
        <is>
          <t>-0.42%</t>
        </is>
      </c>
      <c r="I6" s="6" t="inlineStr">
        <is>
          <t>0.42%</t>
        </is>
      </c>
      <c r="J6" s="6" t="inlineStr">
        <is>
          <t>0.79%</t>
        </is>
      </c>
      <c r="K6" s="6" t="inlineStr">
        <is>
          <t>1.52%</t>
        </is>
      </c>
      <c r="L6" s="6" t="inlineStr">
        <is>
          <t>0.48%</t>
        </is>
      </c>
      <c r="M6" s="6" t="inlineStr">
        <is>
          <t>0.54%</t>
        </is>
      </c>
      <c r="N6" s="6" t="inlineStr">
        <is>
          <t>0.46%</t>
        </is>
      </c>
      <c r="O6" s="6" t="inlineStr">
        <is>
          <t>0.34%</t>
        </is>
      </c>
      <c r="P6" s="6" t="inlineStr">
        <is>
          <t>0.26%</t>
        </is>
      </c>
      <c r="Q6" s="6" t="inlineStr">
        <is>
          <t>0.17%</t>
        </is>
      </c>
      <c r="R6" s="6" t="n"/>
    </row>
    <row r="7">
      <c r="A7" s="6" t="inlineStr">
        <is>
          <t>Return on assets - year-end assets basis</t>
        </is>
      </c>
      <c r="B7" s="6" t="inlineStr">
        <is>
          <t>-0.18%</t>
        </is>
      </c>
      <c r="C7" s="6" t="inlineStr">
        <is>
          <t>-0.08%</t>
        </is>
      </c>
      <c r="D7" s="6" t="inlineStr">
        <is>
          <t>-0.01%</t>
        </is>
      </c>
      <c r="E7" s="6" t="inlineStr">
        <is>
          <t>0.26%</t>
        </is>
      </c>
      <c r="F7" s="6" t="inlineStr">
        <is>
          <t>0.34%</t>
        </is>
      </c>
      <c r="G7" s="6" t="inlineStr">
        <is>
          <t>-1.13%</t>
        </is>
      </c>
      <c r="H7" s="6" t="inlineStr">
        <is>
          <t>-0.41%</t>
        </is>
      </c>
      <c r="I7" s="6" t="inlineStr">
        <is>
          <t>0.40%</t>
        </is>
      </c>
      <c r="J7" s="6" t="inlineStr">
        <is>
          <t>0.80%</t>
        </is>
      </c>
      <c r="K7" s="6" t="inlineStr">
        <is>
          <t>1.34%</t>
        </is>
      </c>
      <c r="L7" s="6" t="inlineStr">
        <is>
          <t>0.43%</t>
        </is>
      </c>
      <c r="M7" s="6" t="inlineStr">
        <is>
          <t>0.52%</t>
        </is>
      </c>
      <c r="N7" s="6" t="inlineStr">
        <is>
          <t>0.48%</t>
        </is>
      </c>
      <c r="O7" s="6" t="inlineStr">
        <is>
          <t>0.32%</t>
        </is>
      </c>
      <c r="P7" s="6" t="inlineStr">
        <is>
          <t>0.28%</t>
        </is>
      </c>
      <c r="Q7" s="6" t="inlineStr">
        <is>
          <t>0.16%</t>
        </is>
      </c>
      <c r="R7" s="6" t="inlineStr">
        <is>
          <t>0.09%</t>
        </is>
      </c>
    </row>
    <row r="8">
      <c r="A8" s="6" t="inlineStr">
        <is>
          <t>Julian Hodge Bank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c r="K8" s="6" t="inlineStr">
        <is>
          <t>Not published</t>
        </is>
      </c>
      <c r="L8" s="6" t="inlineStr">
        <is>
          <t>Not published</t>
        </is>
      </c>
      <c r="M8" s="6" t="inlineStr">
        <is>
          <t>Not published</t>
        </is>
      </c>
      <c r="N8" s="6" t="inlineStr">
        <is>
          <t>Not published</t>
        </is>
      </c>
      <c r="O8" s="6" t="inlineStr">
        <is>
          <t>Not published</t>
        </is>
      </c>
      <c r="P8" s="6" t="inlineStr">
        <is>
          <t>Not published</t>
        </is>
      </c>
      <c r="Q8" s="6" t="inlineStr">
        <is>
          <t>Not published</t>
        </is>
      </c>
      <c r="R8" s="6" t="inlineStr">
        <is>
          <t>Not published</t>
        </is>
      </c>
    </row>
    <row r="9" ht="130" customHeight="1">
      <c r="A9" s="7" t="inlineStr">
        <is>
          <t>Note: COMPUTED, NOT PUBLISHED. Julian Hodge Bank Limited publishes no bank ROE, RoTE or ROA in its 2024 Annual Report. The full 75-page born-digital report was searched report-wide. The apparent 'actual return on assets' hit is solely the defined-benefit pension scheme's return on plan assets (printed p.55), not bank profitability. The Chief Finance Officer's report presents profit, assets, equity, CET1, leverage and liquidity metrics without a return ratio.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FY2020, where return on equity is -10.55% on an average basis and -11.28% on a year-end basis.
FY2020 DOES NOT COVER TWELVE MONTHS, SO IT IS NOT AN ANNUAL RETURN. FY2020 is an 11-month transition period ended 30 September 2020, the year the fiscal year-end changed from 31 October to 30 September. A return divides a profit-and-loss FLOW by a balance-sheet STOCK, so where the flow covers more or less than a year the quotient is scaled by that period and cannot be read against the columns either side of it. The figures above are printed anyway, and deliberately: both inputs are figures the bank itself published, and the ratio of them is exact. What is wrong is only the interpretation, which this paragraph supplies. They are NOT annualised - a pro-rata adjustment would be this project's arithmetic on a period the bank never annualised, and would invent a figure with no published counterpart.
FY2009 HAS NO AVERAGE-BASIS RATIO, AND THAT IS CORRECT. An average denominator needs an opening balance, and FY2009 is the oldest column this workbook carries, so there is no prior year to open from. The blank is structural, not a missing figure. The year-end basis is shown for FY2009 because it needs only the closing balance.</t>
        </is>
      </c>
    </row>
    <row r="11" ht="170" customHeight="1">
      <c r="A11" s="8" t="inlineStr">
        <is>
          <t>Computed by this workbook's own build script from the Profit &amp; Loss and Balance Sheet sheets of this same workbook - the Profit &amp; Loss row “profit/(loss) for the financial year” and the Balance Sheet rows “total equity” and “total assets”, resolved BY LABEL at build time through the shared resolver scripts/profitability_rows.py, so this sheet cannot drift from the statements it summarises. Those rows are themselves transcribed from Julian Hodge Bank Limited's Annual Report and Accounts for each year; see the source cells on the Balance Sheet and Profit &amp; Loss sheets for the exact document, page and table behind every input to every percentage above.
The finding that Julian Hodge Bank Limited publishes no return of its own is recorded in research/profitability/published_returns.jsonl under ‘JULIAN HODGE BANK’, verified against the bank's own annual report rendered at 300 dpi.</t>
        </is>
      </c>
    </row>
  </sheetData>
  <mergeCells count="2">
    <mergeCell ref="A11:R11"/>
    <mergeCell ref="A9:R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Julian Hodge Bank Limited (Hodge Bank) - KM1 Key Metrics</t>
        </is>
      </c>
    </row>
    <row r="2">
      <c r="A2" s="2" t="inlineStr">
        <is>
          <t>The Bank's own published key-metrics template, reproduced in Hodge's row order, row numbers, labels and printed precision. Solo basis; amounts in £m, ratios as printed. Shown as TWO blocks because Hodge changes template generation mid-series: the numbered UK KM1 in its FY2022 and FY2023 editions, and the unnumbered BCBS Basel III KM1 in FY2018-FY2021. The two are not merged - their leverage rows alone sit on opposite sides of the 1 January 2022 basis break. FY2024 has no Pillar 3 document and FY2025 is covered by the Bank's SDDT modification; see the source note.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5" t="inlineStr">
        <is>
          <t>UK KM1 template - "3 Key Regulatory Metrics" (FY2022 and FY2023 editions; row numbers as Hodge prints them)</t>
        </is>
      </c>
      <c r="B4" s="6" t="n"/>
      <c r="C4" s="6" t="n"/>
      <c r="D4" s="6" t="n"/>
      <c r="E4" s="6" t="n"/>
      <c r="F4" s="6" t="n"/>
      <c r="G4" s="6" t="n"/>
      <c r="H4" s="6" t="n"/>
      <c r="I4" s="6" t="n"/>
    </row>
    <row r="5">
      <c r="A5" s="5" t="inlineStr">
        <is>
          <t>Available own funds (amounts) (£m)</t>
        </is>
      </c>
      <c r="B5" s="6" t="n"/>
      <c r="C5" s="6" t="n"/>
      <c r="D5" s="6" t="n"/>
      <c r="E5" s="6" t="n"/>
      <c r="F5" s="6" t="n"/>
      <c r="G5" s="6" t="n"/>
      <c r="H5" s="6" t="n"/>
      <c r="I5" s="6" t="n"/>
    </row>
    <row r="6">
      <c r="A6" s="6" t="inlineStr">
        <is>
          <t>1    Common Equity Tier 1 (CET1)</t>
        </is>
      </c>
      <c r="B6" s="6" t="n"/>
      <c r="C6" s="6" t="n"/>
      <c r="D6" s="6" t="n">
        <v>172.9</v>
      </c>
      <c r="E6" s="6" t="n">
        <v>177</v>
      </c>
      <c r="F6" s="6" t="n"/>
      <c r="G6" s="6" t="n"/>
      <c r="H6" s="6" t="n"/>
      <c r="I6" s="6" t="n"/>
    </row>
    <row r="7">
      <c r="A7" s="6" t="inlineStr">
        <is>
          <t>2    Tier 1</t>
        </is>
      </c>
      <c r="B7" s="6" t="n"/>
      <c r="C7" s="6" t="n"/>
      <c r="D7" s="6" t="n">
        <v>172.9</v>
      </c>
      <c r="E7" s="6" t="n">
        <v>177</v>
      </c>
      <c r="F7" s="6" t="n"/>
      <c r="G7" s="6" t="n"/>
      <c r="H7" s="6" t="n"/>
      <c r="I7" s="6" t="n"/>
    </row>
    <row r="8">
      <c r="A8" s="6" t="inlineStr">
        <is>
          <t>Total capital    [Hodge prints this row WITHOUT the template's row number 3]</t>
        </is>
      </c>
      <c r="B8" s="6" t="n"/>
      <c r="C8" s="6" t="n"/>
      <c r="D8" s="6" t="n">
        <v>172.9</v>
      </c>
      <c r="E8" s="6" t="n">
        <v>177</v>
      </c>
      <c r="F8" s="6" t="n"/>
      <c r="G8" s="6" t="n"/>
      <c r="H8" s="6" t="n"/>
      <c r="I8" s="6" t="n"/>
    </row>
    <row r="9">
      <c r="A9" s="5" t="inlineStr">
        <is>
          <t>Risk-weighted exposure amounts RWEA (£m)</t>
        </is>
      </c>
      <c r="B9" s="6" t="n"/>
      <c r="C9" s="6" t="n"/>
      <c r="D9" s="6" t="n"/>
      <c r="E9" s="6" t="n"/>
      <c r="F9" s="6" t="n"/>
      <c r="G9" s="6" t="n"/>
      <c r="H9" s="6" t="n"/>
      <c r="I9" s="6" t="n"/>
    </row>
    <row r="10">
      <c r="A10" s="6" t="inlineStr">
        <is>
          <t>4    Total RWEA</t>
        </is>
      </c>
      <c r="B10" s="6" t="n"/>
      <c r="C10" s="6" t="n"/>
      <c r="D10" s="6" t="n">
        <v>704.7</v>
      </c>
      <c r="E10" s="6" t="n">
        <v>705</v>
      </c>
      <c r="F10" s="6" t="n"/>
      <c r="G10" s="6" t="n"/>
      <c r="H10" s="6" t="n"/>
      <c r="I10" s="6" t="n"/>
    </row>
    <row r="11">
      <c r="A11" s="5" t="inlineStr">
        <is>
          <t>Capital ratios (as a percentage of RWEA)</t>
        </is>
      </c>
      <c r="B11" s="6" t="n"/>
      <c r="C11" s="6" t="n"/>
      <c r="D11" s="6" t="n"/>
      <c r="E11" s="6" t="n"/>
      <c r="F11" s="6" t="n"/>
      <c r="G11" s="6" t="n"/>
      <c r="H11" s="6" t="n"/>
      <c r="I11" s="6" t="n"/>
    </row>
    <row r="12">
      <c r="A12" s="6" t="inlineStr">
        <is>
          <t>5    Common Equity Tier 1 ratio</t>
        </is>
      </c>
      <c r="B12" s="6" t="n"/>
      <c r="C12" s="6" t="n"/>
      <c r="D12" s="6" t="inlineStr">
        <is>
          <t>24.5%</t>
        </is>
      </c>
      <c r="E12" s="6" t="inlineStr">
        <is>
          <t>25.2%</t>
        </is>
      </c>
      <c r="F12" s="6" t="n"/>
      <c r="G12" s="6" t="n"/>
      <c r="H12" s="6" t="n"/>
      <c r="I12" s="6" t="n"/>
    </row>
    <row r="13">
      <c r="A13" s="6" t="inlineStr">
        <is>
          <t>6    Tier 1 ratio</t>
        </is>
      </c>
      <c r="B13" s="6" t="n"/>
      <c r="C13" s="6" t="n"/>
      <c r="D13" s="6" t="inlineStr">
        <is>
          <t>24.5%</t>
        </is>
      </c>
      <c r="E13" s="6" t="inlineStr">
        <is>
          <t>25.2%</t>
        </is>
      </c>
      <c r="F13" s="6" t="n"/>
      <c r="G13" s="6" t="n"/>
      <c r="H13" s="6" t="n"/>
      <c r="I13" s="6" t="n"/>
    </row>
    <row r="14">
      <c r="A14" s="6" t="inlineStr">
        <is>
          <t>7    Total capital ratio</t>
        </is>
      </c>
      <c r="B14" s="6" t="n"/>
      <c r="C14" s="6" t="n"/>
      <c r="D14" s="6" t="inlineStr">
        <is>
          <t>24.5%</t>
        </is>
      </c>
      <c r="E14" s="6" t="inlineStr">
        <is>
          <t>25.2%</t>
        </is>
      </c>
      <c r="F14" s="6" t="n"/>
      <c r="G14" s="6" t="n"/>
      <c r="H14" s="6" t="n"/>
      <c r="I14" s="6" t="n"/>
    </row>
    <row r="15">
      <c r="A15" s="5" t="inlineStr">
        <is>
          <t>Combined buffer requirement (as a percentage of RWEA)</t>
        </is>
      </c>
      <c r="B15" s="6" t="n"/>
      <c r="C15" s="6" t="n"/>
      <c r="D15" s="6" t="n"/>
      <c r="E15" s="6" t="n"/>
      <c r="F15" s="6" t="n"/>
      <c r="G15" s="6" t="n"/>
      <c r="H15" s="6" t="n"/>
      <c r="I15" s="6" t="n"/>
    </row>
    <row r="16">
      <c r="A16" s="6" t="inlineStr">
        <is>
          <t>8    Capital conservation buffer</t>
        </is>
      </c>
      <c r="B16" s="6" t="n"/>
      <c r="C16" s="6" t="n"/>
      <c r="D16" s="6" t="inlineStr">
        <is>
          <t>2.5%</t>
        </is>
      </c>
      <c r="E16" s="6" t="inlineStr">
        <is>
          <t>2.5%</t>
        </is>
      </c>
      <c r="F16" s="6" t="n"/>
      <c r="G16" s="6" t="n"/>
      <c r="H16" s="6" t="n"/>
      <c r="I16" s="6" t="n"/>
    </row>
    <row r="17">
      <c r="A17" s="6" t="inlineStr">
        <is>
          <t>9    Institution specific countercyclical capital buffer</t>
        </is>
      </c>
      <c r="B17" s="6" t="n"/>
      <c r="C17" s="6" t="n"/>
      <c r="D17" s="6" t="inlineStr">
        <is>
          <t>2.0%</t>
        </is>
      </c>
      <c r="E17" s="6" t="inlineStr">
        <is>
          <t>0.0%</t>
        </is>
      </c>
      <c r="F17" s="6" t="n"/>
      <c r="G17" s="6" t="n"/>
      <c r="H17" s="6" t="n"/>
      <c r="I17" s="6" t="n"/>
    </row>
    <row r="18">
      <c r="A18" s="6" t="inlineStr">
        <is>
          <t>11    Combined buffer requirement</t>
        </is>
      </c>
      <c r="B18" s="6" t="n"/>
      <c r="C18" s="6" t="n"/>
      <c r="D18" s="6" t="inlineStr">
        <is>
          <t>4.5%</t>
        </is>
      </c>
      <c r="E18" s="6" t="inlineStr">
        <is>
          <t>2.5%</t>
        </is>
      </c>
      <c r="F18" s="6" t="n"/>
      <c r="G18" s="6" t="n"/>
      <c r="H18" s="6" t="n"/>
      <c r="I18" s="6" t="n"/>
    </row>
    <row r="19">
      <c r="A19" s="6" t="inlineStr">
        <is>
          <t>UK11a    Overall capital requirements</t>
        </is>
      </c>
      <c r="B19" s="6" t="n"/>
      <c r="C19" s="6" t="n"/>
      <c r="D19" s="6" t="inlineStr">
        <is>
          <t>16.0%</t>
        </is>
      </c>
      <c r="E19" s="6" t="inlineStr">
        <is>
          <t>15.9%</t>
        </is>
      </c>
      <c r="F19" s="6" t="n"/>
      <c r="G19" s="6" t="n"/>
      <c r="H19" s="6" t="n"/>
      <c r="I19" s="6" t="n"/>
    </row>
    <row r="20">
      <c r="A20" s="6" t="inlineStr">
        <is>
          <t>12    CET1 available after meeting the total SREP own funds requirements</t>
        </is>
      </c>
      <c r="B20" s="6" t="n"/>
      <c r="C20" s="6" t="n"/>
      <c r="D20" s="6" t="inlineStr">
        <is>
          <t>13.0%</t>
        </is>
      </c>
      <c r="E20" s="6" t="inlineStr">
        <is>
          <t>9.3%</t>
        </is>
      </c>
      <c r="F20" s="6" t="n"/>
      <c r="G20" s="6" t="n"/>
      <c r="H20" s="6" t="n"/>
      <c r="I20" s="6" t="n"/>
    </row>
    <row r="21">
      <c r="A21" s="5" t="inlineStr">
        <is>
          <t>Leverage Ratio</t>
        </is>
      </c>
      <c r="B21" s="6" t="n"/>
      <c r="C21" s="6" t="n"/>
      <c r="D21" s="6" t="n"/>
      <c r="E21" s="6" t="n"/>
      <c r="F21" s="6" t="n"/>
      <c r="G21" s="6" t="n"/>
      <c r="H21" s="6" t="n"/>
      <c r="I21" s="6" t="n"/>
    </row>
    <row r="22">
      <c r="A22" s="6" t="inlineStr">
        <is>
          <t>13    Total leverage Ratio exposure measure (£m)</t>
        </is>
      </c>
      <c r="B22" s="6" t="n"/>
      <c r="C22" s="6" t="n"/>
      <c r="D22" s="6" t="n">
        <v>1649.9</v>
      </c>
      <c r="E22" s="6" t="n">
        <v>1624</v>
      </c>
      <c r="F22" s="6" t="n"/>
      <c r="G22" s="6" t="n"/>
      <c r="H22" s="6" t="n"/>
      <c r="I22" s="6" t="n"/>
    </row>
    <row r="23">
      <c r="A23" s="6" t="inlineStr">
        <is>
          <t>14    Leverage Ratio</t>
        </is>
      </c>
      <c r="B23" s="6" t="n"/>
      <c r="C23" s="6" t="n"/>
      <c r="D23" s="6" t="inlineStr">
        <is>
          <t>10.5%</t>
        </is>
      </c>
      <c r="E23" s="6" t="inlineStr">
        <is>
          <t>10.9%</t>
        </is>
      </c>
      <c r="F23" s="6" t="n"/>
      <c r="G23" s="6" t="n"/>
      <c r="H23" s="6" t="n"/>
      <c r="I23" s="6" t="n"/>
    </row>
    <row r="24">
      <c r="A24" s="5" t="inlineStr">
        <is>
          <t>Liquidity Coverage Ratio*</t>
        </is>
      </c>
      <c r="B24" s="6" t="n"/>
      <c r="C24" s="6" t="n"/>
      <c r="D24" s="6" t="n"/>
      <c r="E24" s="6" t="n"/>
      <c r="F24" s="6" t="n"/>
      <c r="G24" s="6" t="n"/>
      <c r="H24" s="6" t="n"/>
      <c r="I24" s="6" t="n"/>
    </row>
    <row r="25">
      <c r="A25" s="6" t="inlineStr">
        <is>
          <t>15    Total HQLA after haircuts (£m)</t>
        </is>
      </c>
      <c r="B25" s="6" t="n"/>
      <c r="C25" s="6" t="n"/>
      <c r="D25" s="6" t="n">
        <v>230.4</v>
      </c>
      <c r="E25" s="6" t="n">
        <v>334</v>
      </c>
      <c r="F25" s="6" t="n"/>
      <c r="G25" s="6" t="n"/>
      <c r="H25" s="6" t="n"/>
      <c r="I25" s="6" t="n"/>
    </row>
    <row r="26">
      <c r="A26" s="6" t="inlineStr">
        <is>
          <t>UK16a    Cash outflows - Total weighted value (£m)</t>
        </is>
      </c>
      <c r="B26" s="6" t="n"/>
      <c r="C26" s="6" t="n"/>
      <c r="D26" s="6" t="n">
        <v>141</v>
      </c>
      <c r="E26" s="6" t="n">
        <v>137</v>
      </c>
      <c r="F26" s="6" t="n"/>
      <c r="G26" s="6" t="n"/>
      <c r="H26" s="6" t="n"/>
      <c r="I26" s="6" t="n"/>
    </row>
    <row r="27">
      <c r="A27" s="6" t="inlineStr">
        <is>
          <t>UK16b    Cash inflows - Total weighted value (£m)</t>
        </is>
      </c>
      <c r="B27" s="6" t="n"/>
      <c r="C27" s="6" t="n"/>
      <c r="D27" s="6" t="n">
        <v>10.7</v>
      </c>
      <c r="E27" s="6" t="n">
        <v>4</v>
      </c>
      <c r="F27" s="6" t="n"/>
      <c r="G27" s="6" t="n"/>
      <c r="H27" s="6" t="n"/>
      <c r="I27" s="6" t="n"/>
    </row>
    <row r="28">
      <c r="A28" s="6" t="inlineStr">
        <is>
          <t>16    Total net cash outflows (adjusted value) (£m)</t>
        </is>
      </c>
      <c r="B28" s="6" t="n"/>
      <c r="C28" s="6" t="n"/>
      <c r="D28" s="6" t="n">
        <v>130.2</v>
      </c>
      <c r="E28" s="6" t="n">
        <v>133</v>
      </c>
      <c r="F28" s="6" t="n"/>
      <c r="G28" s="6" t="n"/>
      <c r="H28" s="6" t="n"/>
      <c r="I28" s="6" t="n"/>
    </row>
    <row r="29">
      <c r="A29" s="6" t="inlineStr">
        <is>
          <t>17    Liquidity coverage ratio (%)</t>
        </is>
      </c>
      <c r="B29" s="6" t="n"/>
      <c r="C29" s="6" t="n"/>
      <c r="D29" s="6" t="inlineStr">
        <is>
          <t>176.9%</t>
        </is>
      </c>
      <c r="E29" s="6" t="inlineStr">
        <is>
          <t>252%</t>
        </is>
      </c>
      <c r="F29" s="6" t="n"/>
      <c r="G29" s="6" t="n"/>
      <c r="H29" s="6" t="n"/>
      <c r="I29" s="6" t="n"/>
    </row>
    <row r="30">
      <c r="A30" s="5" t="inlineStr">
        <is>
          <t>Net Stable Funding Ratio</t>
        </is>
      </c>
      <c r="B30" s="6" t="n"/>
      <c r="C30" s="6" t="n"/>
      <c r="D30" s="6" t="n"/>
      <c r="E30" s="6" t="n"/>
      <c r="F30" s="6" t="n"/>
      <c r="G30" s="6" t="n"/>
      <c r="H30" s="6" t="n"/>
      <c r="I30" s="6" t="n"/>
    </row>
    <row r="31">
      <c r="A31" s="6" t="inlineStr">
        <is>
          <t>18    Total available stable funding</t>
        </is>
      </c>
      <c r="B31" s="6" t="n"/>
      <c r="C31" s="6" t="n"/>
      <c r="D31" s="6" t="n">
        <v>1721.9</v>
      </c>
      <c r="E31" s="6" t="n">
        <v>1549</v>
      </c>
      <c r="F31" s="6" t="n"/>
      <c r="G31" s="6" t="n"/>
      <c r="H31" s="6" t="n"/>
      <c r="I31" s="6" t="n"/>
    </row>
    <row r="32">
      <c r="A32" s="6" t="inlineStr">
        <is>
          <t>19    Total required stable funding</t>
        </is>
      </c>
      <c r="B32" s="6" t="n"/>
      <c r="C32" s="6" t="n"/>
      <c r="D32" s="6" t="n">
        <v>1144.2</v>
      </c>
      <c r="E32" s="6" t="n">
        <v>1085</v>
      </c>
      <c r="F32" s="6" t="n"/>
      <c r="G32" s="6" t="n"/>
      <c r="H32" s="6" t="n"/>
      <c r="I32" s="6" t="n"/>
    </row>
    <row r="33">
      <c r="A33" s="6" t="inlineStr">
        <is>
          <t>20    NSFR ratio (%)</t>
        </is>
      </c>
      <c r="B33" s="6" t="n"/>
      <c r="C33" s="6" t="n"/>
      <c r="D33" s="6" t="inlineStr">
        <is>
          <t>150.5%</t>
        </is>
      </c>
      <c r="E33" s="6" t="inlineStr">
        <is>
          <t>143%</t>
        </is>
      </c>
      <c r="F33" s="6" t="n"/>
      <c r="G33" s="6" t="n"/>
      <c r="H33" s="6" t="n"/>
      <c r="I33" s="6" t="n"/>
    </row>
    <row r="34">
      <c r="A34" s="5" t="inlineStr">
        <is>
          <t>Basel III (BCBS) KM1 - "Key metrics" (FY2018 to FY2021 editions; Hodge prints no row numbers in these, and none have been added)</t>
        </is>
      </c>
      <c r="B34" s="6" t="n"/>
      <c r="C34" s="6" t="n"/>
      <c r="D34" s="6" t="n"/>
      <c r="E34" s="6" t="n"/>
      <c r="F34" s="6" t="n"/>
      <c r="G34" s="6" t="n"/>
      <c r="H34" s="6" t="n"/>
      <c r="I34" s="6" t="n"/>
    </row>
    <row r="35">
      <c r="A35" s="5" t="inlineStr">
        <is>
          <t>Available capital (amounts)</t>
        </is>
      </c>
      <c r="B35" s="6" t="n"/>
      <c r="C35" s="6" t="n"/>
      <c r="D35" s="6" t="n"/>
      <c r="E35" s="6" t="n"/>
      <c r="F35" s="6" t="n"/>
      <c r="G35" s="6" t="n"/>
      <c r="H35" s="6" t="n"/>
      <c r="I35" s="6" t="n"/>
    </row>
    <row r="36">
      <c r="A36" s="6" t="inlineStr">
        <is>
          <t>Common Equity Tier 1 (CET1) (£m)</t>
        </is>
      </c>
      <c r="B36" s="6" t="n"/>
      <c r="C36" s="6" t="n"/>
      <c r="D36" s="6" t="n"/>
      <c r="E36" s="6" t="n"/>
      <c r="F36" s="6" t="n">
        <v>143.8</v>
      </c>
      <c r="G36" s="6" t="n">
        <v>136.4</v>
      </c>
      <c r="H36" s="6" t="n">
        <v>156.6</v>
      </c>
      <c r="I36" s="6" t="n">
        <v>168</v>
      </c>
    </row>
    <row r="37">
      <c r="A37" s="6" t="inlineStr">
        <is>
          <t>Tier 1 (£m)</t>
        </is>
      </c>
      <c r="B37" s="6" t="n"/>
      <c r="C37" s="6" t="n"/>
      <c r="D37" s="6" t="n"/>
      <c r="E37" s="6" t="n"/>
      <c r="F37" s="6" t="n">
        <v>143.8</v>
      </c>
      <c r="G37" s="6" t="n">
        <v>136.4</v>
      </c>
      <c r="H37" s="6" t="n">
        <v>156.6</v>
      </c>
      <c r="I37" s="6" t="n">
        <v>168</v>
      </c>
    </row>
    <row r="38">
      <c r="A38" s="6" t="inlineStr">
        <is>
          <t>Tier 2 (£m)    [printed "-" in every one of the four editions - left blank, not zeroed]</t>
        </is>
      </c>
      <c r="B38" s="6" t="n"/>
      <c r="C38" s="6" t="n"/>
      <c r="D38" s="6" t="n"/>
      <c r="E38" s="6" t="n"/>
      <c r="F38" s="6" t="n"/>
      <c r="G38" s="6" t="n"/>
      <c r="H38" s="6" t="n"/>
      <c r="I38" s="6" t="n"/>
    </row>
    <row r="39">
      <c r="A39" s="6" t="inlineStr">
        <is>
          <t>Total capital (£m)</t>
        </is>
      </c>
      <c r="B39" s="6" t="n"/>
      <c r="C39" s="6" t="n"/>
      <c r="D39" s="6" t="n"/>
      <c r="E39" s="6" t="n"/>
      <c r="F39" s="6" t="n">
        <v>143.8</v>
      </c>
      <c r="G39" s="6" t="n">
        <v>136.4</v>
      </c>
      <c r="H39" s="6" t="n">
        <v>156.6</v>
      </c>
      <c r="I39" s="6" t="n">
        <v>168</v>
      </c>
    </row>
    <row r="40">
      <c r="A40" s="5" t="inlineStr">
        <is>
          <t>Risk weighted assets (amounts)</t>
        </is>
      </c>
      <c r="B40" s="6" t="n"/>
      <c r="C40" s="6" t="n"/>
      <c r="D40" s="6" t="n"/>
      <c r="E40" s="6" t="n"/>
      <c r="F40" s="6" t="n"/>
      <c r="G40" s="6" t="n"/>
      <c r="H40" s="6" t="n"/>
      <c r="I40" s="6" t="n"/>
    </row>
    <row r="41">
      <c r="A41" s="6" t="inlineStr">
        <is>
          <t>Total risk-weighted assets (RWA) (£m)</t>
        </is>
      </c>
      <c r="B41" s="6" t="n"/>
      <c r="C41" s="6" t="n"/>
      <c r="D41" s="6" t="n"/>
      <c r="E41" s="6" t="n"/>
      <c r="F41" s="6" t="n">
        <v>711</v>
      </c>
      <c r="G41" s="6" t="n">
        <v>693.8</v>
      </c>
      <c r="H41" s="6" t="n">
        <v>681.9</v>
      </c>
      <c r="I41" s="6" t="n">
        <v>754.6</v>
      </c>
    </row>
    <row r="42">
      <c r="A42" s="5" t="inlineStr">
        <is>
          <t>Risk-based capital ratios as a percentage of RWA</t>
        </is>
      </c>
      <c r="B42" s="6" t="n"/>
      <c r="C42" s="6" t="n"/>
      <c r="D42" s="6" t="n"/>
      <c r="E42" s="6" t="n"/>
      <c r="F42" s="6" t="n"/>
      <c r="G42" s="6" t="n"/>
      <c r="H42" s="6" t="n"/>
      <c r="I42" s="6" t="n"/>
    </row>
    <row r="43">
      <c r="A43" s="6" t="inlineStr">
        <is>
          <t>Common Equity Tier 1 ratio (%)</t>
        </is>
      </c>
      <c r="B43" s="6" t="n"/>
      <c r="C43" s="6" t="n"/>
      <c r="D43" s="6" t="n"/>
      <c r="E43" s="6" t="n"/>
      <c r="F43" s="6" t="inlineStr">
        <is>
          <t>20.2%</t>
        </is>
      </c>
      <c r="G43" s="6" t="inlineStr">
        <is>
          <t>19.7%</t>
        </is>
      </c>
      <c r="H43" s="6" t="inlineStr">
        <is>
          <t>23.0%</t>
        </is>
      </c>
      <c r="I43" s="6" t="inlineStr">
        <is>
          <t>22.3%</t>
        </is>
      </c>
    </row>
    <row r="44">
      <c r="A44" s="6" t="inlineStr">
        <is>
          <t>Tier 1 ratio (%)</t>
        </is>
      </c>
      <c r="B44" s="6" t="n"/>
      <c r="C44" s="6" t="n"/>
      <c r="D44" s="6" t="n"/>
      <c r="E44" s="6" t="n"/>
      <c r="F44" s="6" t="inlineStr">
        <is>
          <t>20.2%</t>
        </is>
      </c>
      <c r="G44" s="6" t="inlineStr">
        <is>
          <t>19.7%</t>
        </is>
      </c>
      <c r="H44" s="6" t="inlineStr">
        <is>
          <t>23.0%</t>
        </is>
      </c>
      <c r="I44" s="6" t="inlineStr">
        <is>
          <t>22.3%</t>
        </is>
      </c>
    </row>
    <row r="45">
      <c r="A45" s="6" t="inlineStr">
        <is>
          <t>Total capital ratio (%)</t>
        </is>
      </c>
      <c r="B45" s="6" t="n"/>
      <c r="C45" s="6" t="n"/>
      <c r="D45" s="6" t="n"/>
      <c r="E45" s="6" t="n"/>
      <c r="F45" s="6" t="inlineStr">
        <is>
          <t>20.2%</t>
        </is>
      </c>
      <c r="G45" s="6" t="inlineStr">
        <is>
          <t>19.7%</t>
        </is>
      </c>
      <c r="H45" s="6" t="inlineStr">
        <is>
          <t>23.0%</t>
        </is>
      </c>
      <c r="I45" s="6" t="inlineStr">
        <is>
          <t>22.3%</t>
        </is>
      </c>
    </row>
    <row r="46">
      <c r="A46" s="5" t="inlineStr">
        <is>
          <t>Additional CET1 buffer requirements as a percentage of RWA</t>
        </is>
      </c>
      <c r="B46" s="6" t="n"/>
      <c r="C46" s="6" t="n"/>
      <c r="D46" s="6" t="n"/>
      <c r="E46" s="6" t="n"/>
      <c r="F46" s="6" t="n"/>
      <c r="G46" s="6" t="n"/>
      <c r="H46" s="6" t="n"/>
      <c r="I46" s="6" t="n"/>
    </row>
    <row r="47">
      <c r="A47" s="6" t="inlineStr">
        <is>
          <t>Capital conservation buffer requirement (%)</t>
        </is>
      </c>
      <c r="B47" s="6" t="n"/>
      <c r="C47" s="6" t="n"/>
      <c r="D47" s="6" t="n"/>
      <c r="E47" s="6" t="n"/>
      <c r="F47" s="6" t="inlineStr">
        <is>
          <t>2.50%</t>
        </is>
      </c>
      <c r="G47" s="6" t="inlineStr">
        <is>
          <t>2.50%</t>
        </is>
      </c>
      <c r="H47" s="6" t="inlineStr">
        <is>
          <t>2.50%</t>
        </is>
      </c>
      <c r="I47" s="6" t="inlineStr">
        <is>
          <t>1.88%</t>
        </is>
      </c>
    </row>
    <row r="48">
      <c r="A48" s="6" t="inlineStr">
        <is>
          <t>Countercyclical buffer requirement (%)</t>
        </is>
      </c>
      <c r="B48" s="6" t="n"/>
      <c r="C48" s="6" t="n"/>
      <c r="D48" s="6" t="n"/>
      <c r="E48" s="6" t="n"/>
      <c r="F48" s="6" t="inlineStr">
        <is>
          <t>0.00%</t>
        </is>
      </c>
      <c r="G48" s="6" t="inlineStr">
        <is>
          <t>0.00%</t>
        </is>
      </c>
      <c r="H48" s="6" t="inlineStr">
        <is>
          <t>1.00%</t>
        </is>
      </c>
      <c r="I48" s="6" t="inlineStr">
        <is>
          <t>0.50%</t>
        </is>
      </c>
    </row>
    <row r="49">
      <c r="A49" s="6" t="inlineStr">
        <is>
          <t>Total of bank CET1 specific buffer requirements (%)</t>
        </is>
      </c>
      <c r="B49" s="6" t="n"/>
      <c r="C49" s="6" t="n"/>
      <c r="D49" s="6" t="n"/>
      <c r="E49" s="6" t="n"/>
      <c r="F49" s="6" t="inlineStr">
        <is>
          <t>2.50%</t>
        </is>
      </c>
      <c r="G49" s="6" t="inlineStr">
        <is>
          <t>2.50%</t>
        </is>
      </c>
      <c r="H49" s="6" t="inlineStr">
        <is>
          <t>3.50%</t>
        </is>
      </c>
      <c r="I49" s="6" t="inlineStr">
        <is>
          <t>2.38%</t>
        </is>
      </c>
    </row>
    <row r="50">
      <c r="A50" s="5" t="inlineStr">
        <is>
          <t>Basel III leverage ratio (INCLUDING claims on central banks - the pre-1-January-2022 measure)</t>
        </is>
      </c>
      <c r="B50" s="6" t="n"/>
      <c r="C50" s="6" t="n"/>
      <c r="D50" s="6" t="n"/>
      <c r="E50" s="6" t="n"/>
      <c r="F50" s="6" t="n"/>
      <c r="G50" s="6" t="n"/>
      <c r="H50" s="6" t="n"/>
      <c r="I50" s="6" t="n"/>
    </row>
    <row r="51">
      <c r="A51" s="6" t="inlineStr">
        <is>
          <t>Total Basel III leverage ratio exposure measure (£m)</t>
        </is>
      </c>
      <c r="B51" s="6" t="n"/>
      <c r="C51" s="6" t="n"/>
      <c r="D51" s="6" t="n"/>
      <c r="E51" s="6" t="n"/>
      <c r="F51" s="6" t="n">
        <v>1732.2</v>
      </c>
      <c r="G51" s="6" t="n">
        <v>1423.5</v>
      </c>
      <c r="H51" s="6" t="n">
        <v>1393.2</v>
      </c>
      <c r="I51" s="6" t="n">
        <v>1412.2</v>
      </c>
    </row>
    <row r="52">
      <c r="A52" s="6" t="inlineStr">
        <is>
          <t>Basel III leverage ratio (%)</t>
        </is>
      </c>
      <c r="B52" s="6" t="n"/>
      <c r="C52" s="6" t="n"/>
      <c r="D52" s="6" t="n"/>
      <c r="E52" s="6" t="n"/>
      <c r="F52" s="6" t="inlineStr">
        <is>
          <t>8.3%</t>
        </is>
      </c>
      <c r="G52" s="6" t="inlineStr">
        <is>
          <t>9.6%</t>
        </is>
      </c>
      <c r="H52" s="6" t="inlineStr">
        <is>
          <t>11.2%</t>
        </is>
      </c>
      <c r="I52" s="6" t="inlineStr">
        <is>
          <t>11.9%</t>
        </is>
      </c>
    </row>
    <row r="53">
      <c r="A53" s="5" t="inlineStr">
        <is>
          <t>Liquidity Coverage Ratio</t>
        </is>
      </c>
      <c r="B53" s="6" t="n"/>
      <c r="C53" s="6" t="n"/>
      <c r="D53" s="6" t="n"/>
      <c r="E53" s="6" t="n"/>
      <c r="F53" s="6" t="n"/>
      <c r="G53" s="6" t="n"/>
      <c r="H53" s="6" t="n"/>
      <c r="I53" s="6" t="n"/>
    </row>
    <row r="54">
      <c r="A54" s="6" t="inlineStr">
        <is>
          <t>Total HQLA after haircuts (£m)    [FY2018 edition prints "Total HQLA (£m)", without "after haircuts"]</t>
        </is>
      </c>
      <c r="B54" s="6" t="n"/>
      <c r="C54" s="6" t="n"/>
      <c r="D54" s="6" t="n"/>
      <c r="E54" s="6" t="n"/>
      <c r="F54" s="6" t="n">
        <v>479.5</v>
      </c>
      <c r="G54" s="6" t="n">
        <v>196.4</v>
      </c>
      <c r="H54" s="6" t="n">
        <v>346.4</v>
      </c>
      <c r="I54" s="6" t="n">
        <v>245.2</v>
      </c>
    </row>
    <row r="55">
      <c r="A55" s="6" t="inlineStr">
        <is>
          <t>Total net cash outflow (£m)</t>
        </is>
      </c>
      <c r="B55" s="6" t="n"/>
      <c r="C55" s="6" t="n"/>
      <c r="D55" s="6" t="n"/>
      <c r="E55" s="6" t="n"/>
      <c r="F55" s="6" t="n">
        <v>137.1</v>
      </c>
      <c r="G55" s="6" t="n">
        <v>72</v>
      </c>
      <c r="H55" s="6" t="n">
        <v>67</v>
      </c>
      <c r="I55" s="6" t="n">
        <v>103.5</v>
      </c>
    </row>
    <row r="56">
      <c r="A56" s="6" t="inlineStr">
        <is>
          <t>LCR ratio (%)    [FY2021 edition prints the row as "LCR (%)"]</t>
        </is>
      </c>
      <c r="B56" s="6" t="n"/>
      <c r="C56" s="6" t="n"/>
      <c r="D56" s="6" t="n"/>
      <c r="E56" s="6" t="n"/>
      <c r="F56" s="6" t="inlineStr">
        <is>
          <t>349.6%</t>
        </is>
      </c>
      <c r="G56" s="6" t="inlineStr">
        <is>
          <t>272.9%</t>
        </is>
      </c>
      <c r="H56" s="6" t="inlineStr">
        <is>
          <t>516.9%</t>
        </is>
      </c>
      <c r="I56" s="6" t="inlineStr">
        <is>
          <t>236.9%</t>
        </is>
      </c>
    </row>
    <row r="57">
      <c r="A57" s="5" t="inlineStr">
        <is>
          <t>Net Stable Funding Ratio    [this whole block is absent from the FY2018 and FY2019 editions]</t>
        </is>
      </c>
      <c r="B57" s="6" t="n"/>
      <c r="C57" s="6" t="n"/>
      <c r="D57" s="6" t="n"/>
      <c r="E57" s="6" t="n"/>
      <c r="F57" s="6" t="n"/>
      <c r="G57" s="6" t="n"/>
      <c r="H57" s="6" t="n"/>
      <c r="I57" s="6" t="n"/>
    </row>
    <row r="58">
      <c r="A58" s="6" t="inlineStr">
        <is>
          <t>Total available stable funding</t>
        </is>
      </c>
      <c r="B58" s="6" t="n"/>
      <c r="C58" s="6" t="n"/>
      <c r="D58" s="6" t="n"/>
      <c r="E58" s="6" t="n"/>
      <c r="F58" s="6" t="n">
        <v>1551</v>
      </c>
      <c r="G58" s="6" t="n">
        <v>1226.2</v>
      </c>
      <c r="H58" s="6" t="n"/>
      <c r="I58" s="6" t="n"/>
    </row>
    <row r="59">
      <c r="A59" s="6" t="inlineStr">
        <is>
          <t>Total required stable funding</t>
        </is>
      </c>
      <c r="B59" s="6" t="n"/>
      <c r="C59" s="6" t="n"/>
      <c r="D59" s="6" t="n"/>
      <c r="E59" s="6" t="n"/>
      <c r="F59" s="6" t="n">
        <v>922.7</v>
      </c>
      <c r="G59" s="6" t="n">
        <v>793.3</v>
      </c>
      <c r="H59" s="6" t="n"/>
      <c r="I59" s="6" t="n"/>
    </row>
    <row r="60">
      <c r="A60" s="6" t="inlineStr">
        <is>
          <t>NSFR</t>
        </is>
      </c>
      <c r="B60" s="6" t="n"/>
      <c r="C60" s="6" t="n"/>
      <c r="D60" s="6" t="n"/>
      <c r="E60" s="6" t="n"/>
      <c r="F60" s="6" t="inlineStr">
        <is>
          <t>168.1%</t>
        </is>
      </c>
      <c r="G60" s="6" t="inlineStr">
        <is>
          <t>154.6%</t>
        </is>
      </c>
      <c r="H60" s="6" t="n"/>
      <c r="I60" s="6" t="n"/>
    </row>
    <row r="61">
      <c r="A61" s="5" t="inlineStr">
        <is>
          <t>FY2025 and FY2024 - no key-metrics table was published for either year (this sheet reproduces a table; see the source note)</t>
        </is>
      </c>
      <c r="B61" s="6" t="n"/>
      <c r="C61" s="6" t="n"/>
      <c r="D61" s="6" t="n"/>
      <c r="E61" s="6" t="n"/>
      <c r="F61" s="6" t="n"/>
      <c r="G61" s="6" t="n"/>
      <c r="H61" s="6" t="n"/>
      <c r="I61" s="6" t="n"/>
    </row>
    <row r="62">
      <c r="A62" s="6" t="inlineStr">
        <is>
          <t>Key-metrics template published for this reporting year</t>
        </is>
      </c>
      <c r="B62" s="6" t="inlineStr">
        <is>
          <t>Not published - SDDT modification (PRA Rule 3.1) effective 18 February 2025, before the 30 September 2025 year-end</t>
        </is>
      </c>
      <c r="C62" s="6" t="inlineStr">
        <is>
          <t>Not published - no Pillar 3 document for the year ended 30 September 2024</t>
        </is>
      </c>
      <c r="D62" s="6" t="n"/>
      <c r="E62" s="6" t="n"/>
      <c r="F62" s="6" t="n"/>
      <c r="G62" s="6" t="n"/>
      <c r="H62" s="6" t="n"/>
      <c r="I62" s="6" t="n"/>
    </row>
    <row r="64" ht="409" customHeight="1">
      <c r="A64" s="8" t="inlineStr">
        <is>
          <t>Sources - Julian Hodge Bank Limited's own key-metrics table in each year's Pillar 3 Disclosures, from the Bank's own Financial Information page (https://hodgebank.co.uk/hodge/financial-information/). Page numbers below are the PRINTED folio on the page carrying the table:
FY2023: Hodge Bank Pillar 3 Disclosures - Period ended 30 September 2023, "3 Key Regulatory Metrics", printed p.10, column headed 2023, footed "Source: Template UK KM1" - https://hodgebank.co.uk/wp-content/uploads/2024/07/Hodge-pillar-3-11.03.24.pdf
FY2022: Hodge Bank Pillar 3 Disclosures - Period ended 30 September 2022, "3 Key Regulatory Metrics", printed p.13, column headed 2022, footed "Source: Template UK KM1" - https://hodgebank.co.uk/wp-content/uploads/2024/07/Hodge-pillar-3-19.06.23.pdf
FY2021: Hodge Bank Pillar 3 Disclosures - Period ended 30 September 2021, "Key Metrics", printed p.16, column headed 30 September 2021 - https://hodgebank.co.uk/wp-content/uploads/2024/07/Hodge-Pillar-3-Document-2020_2021.pdf
FY2020: Julian Hodge Bank Limited Pillar 3 Disclosures - Period ended 30 September 2020, "3. Key Regulatory Metrics", printed p.16, column headed 30 September 2020 - https://hodgebank.co.uk/wp-content/uploads/2024/07/2.-JHB-Pillar-III.pdf
FY2019: Julian Hodge Bank Limited Pillar 3 Disclosures - Period ended 31 October 2019, "4. Key Regulatory Metrics" / "Key metrics", printed p.9, column headed 31 October 2019 - https://hodgebank.co.uk/wp-content/uploads/2024/07/Pillar-3-Disclosure-FY19-FINAL.pdf
FY2018: Julian Hodge Bank Limited Pillar 3 Disclosures - Period ended 31 October 2018, "4. Key Regulatory Metrics" / "Key metrics", printed p.9, column headed 31 October 2018 - https://hodgebank.co.uk/wp-content/uploads/2024/07/jhb-pillar3-2018.pdf
KM1 presentation notes:
• ENTITY: Julian Hodge Bank Limited (trading as Hodge Bank), solo. Every edition's table is headed "for JHB" or "for the Bank"; no group or consolidated column is printed anywhere, so there is no basis ambiguity to resolve.
• TWO TEMPLATE GENERATIONS, SHOWN AS TWO BLOCKS AND NEVER MERGED. The FY2022 and FY2023 editions print the numbered UK KM1 and foot it "Source: Template UK KM1". The FY2018-FY2021 editions print the BCBS Basel III KM1 instead: unnumbered, with a "Tier 2 (£m)" row the UK template does not contain, "Total of bank CET1 specific buffer requirements" in place of "Combined buffer requirement", no UK11a / row 12 / UK16a / UK16b rows, and leverage rows on the old INCLUDING-claims-on-central-banks measure. Running the two down one set of rows would assert a continuity Hodge never published, so they are kept apart - the same treatment the map requires for the 1 January 2022 leverage basis break, which is in fact exactly what separates them.
• EACH YEAR FROM ITS OWN EDITION. Two visible consequences: (1) FY2021 CET1/Tier 1/Total capital are 143.8 here, from the FY2021 edition, where the FY2022 edition's comparative column rounds them to 144 and its RWA comparative to 711 (from 711.0); (2) FY2021's leverage exposure and ratio are 1,732.2 and 8.3% here, on its own edition's including-central-banks basis, where the FY2022 edition restates the same comparative to 1,320 and 10.9% on the excluding basis. Both restatements are real and neither is applied.
• DIVERGENCE FROM THE NSFR METRIC SHEET, DELIBERATE AND EXPLAINED: that sheet carries an FY2019 NSFR of 217.6%, which this sheet leaves blank. 217.6% is the FY2020 edition's 31 October 2019 COMPARATIVE column; the FY2019 edition itself prints no Net Stable Funding Ratio block at all (its table ends after the LCR rows), and neither does the FY2018 edition. A reproduction of the FY2019 table therefore cannot carry an NSFR row, so the FY2019 and FY2018 NSFR cells are blank here rather than back-filled from the following edition.
• A DASH IS NOT A ZERO: the "Tier 2 (£m)" row is printed "-" in all four Basel III-era editions and is left BLANK here. The FY2018 edition prints its FY2017 countercyclical buffer comparative as "-%", the same glyph - that column is not on this sheet in any case, since the FY2017 edition prints no key-metrics table.
• PRECISION AND LABEL DRIFT, REPRODUCED: the FY2022 edition prints amounts as whole £m (177, 705, 1,624) where FY2023 prints one decimal (172.9, 704.7, 1,649.9); FY2022 prints buffers as "2.5%" where the Basel III-era editions print "2.50%"; FY2022's row 4 is captioned "Total risk-weighted exposures amounts" and FY2023's "Total RWEA" (FY2023's wording labels the row); FY2022's row 9 is "Institution specific countercyclical buffer" and FY2023's adds "capital" (FY2023's wording labels the row). The FY2020 edition lower-cases "Basel III leverage ratio" where FY2021 capitalises it.
• ROW 3 IS UNNUMBERED IN THE SOURCE: both UK KM1 editions print "Total capital" with no row number in the number column, while numbering 1, 2 and 4 normally. Reproduced as printed rather than silently corrected to "3". Neither edition prints rows UK 7a-7d, UK 8a, UK 9a, 10 or UK 10a at all.
• LCR BASIS FOOTNOTE, HODGE'S OWN: both UK KM1 editions foot the table "*=year end value for LCR related metrics whereas detailed analysis at LIQ1 reports average values as defined in the table", so rows 15-17 are point-in-time, not the 12-month average most filers print. The asterisk is kept on the section heading.
• FY2024 AND FY2025 ARE BLANK FOR DIFFERENT REASONS, AND THE REASON IS ABOUT THE TEMPLATE, NOT ABOUT THE FIGURES. Neither year has a Pillar 3 document, so neither year has a key-metrics TABLE, and this sheet reproduces a table. FY2024 is an ordinary gap: no Pillar 3 document was published for the year ended 30 September 2024. FY2025 additionally has a reason no such document can appear - the Bank's SDDT modification (PRA Rule 3.1, effective 18 February 2025) removed its Pillar 3 duty before the 30 September 2025 year-end.</t>
        </is>
      </c>
    </row>
    <row r="66" ht="409" customHeight="1">
      <c r="A66" s="8" t="inlineStr">
        <is>
          <t>(continued)
Both years' figures DO partly exist, in each year's own Annual Report, and they are on the single-metric sheets: CET1 capital, total RWA and the three ratios from the 'Capital risk management (unaudited)' note, and the LCR and leverage ratio from the Chief Finance Officer's Report at printed folio 13. They are deliberately NOT back-filled into this template. A statutory report is not the UK KM1, its rows are not that template's rows, and mapping prose onto template row numbers would assert a correspondence Hodge never published - the same row-set reasoning that keeps the two template generations above apart. A blank on THIS sheet means 'the Bank printed no key-metrics table for this year', and for FY2024 and FY2025 it should not be read as 'the Bank published nothing'. (Clarified 2026-09-18, GA-005, after the LCR and Leverage Ratio sheets were found to have made exactly that misreading.) FY2017 and earlier are blank because no edition before FY2018 prints a key-metrics table of any kind; FY2017's figures survive only as the FY2018 edition's comparative column and are not transcribed here.
• LATEST-EDITION CHECK, RE-RUN 2026-09-18 (GA-005); previous run 2026-09-16, same result. Hodge's own Financial Information page (https://hodgebank.co.uk/hodge/financial-information/) was fetched directly and read in full. Newest Pillar 3 listed = "Pillar 3 Disclosure 2023" (the FY2023 document already cited here); newest Annual Report listed = "Annual Report and Financial Statements, 30 September 2025" (Hodge-AR-28.01.26.pdf), which this workbook already carries as its FY2025 source. The page lists an unbroken Pillar 3 series 2010-2023 and simply stops - consistent with the SDDT modification above. NONE NEWER, and none can be for a while: the year-end is 30 September, so FY2026 had not closed at the date of this check. Note that the page is behind Cloudflare and returns HTTP 403 to a bare curl -A "Mozilla/5.0"; it serves normally to a full browser header set. A 403 here is the edge, not the bank.
• WAYBACK CDX SWEEP, COMPLETED 2026-09-18 - this REPLACES the "BLOCKED ... recorded as unknown, not as an absence" status left by the 2026-09-16 pass, whose CDX calls returned HTTP 503/504. The sweep ran clean this time, over hodgebank.co.uk, julianhodgebank.co.uk and julianhodgebank.com, on the patterns .*pillar.*, .*annual.*, .*disclosure.*, .*p3.*, .*capital.*, .*key-metric.* and .*km1.*. Findings: the newest Pillar 3 captured under any filename on any of the three domains is Hodge-pillar-3-11.03.24.pdf, the FY2023 edition already cited; NO Pillar 3 was ever uploaded to a 2025/ or 2026/ path. The legacy domain julianhodgebank.com carries only jhb-pillar3-2010 to -2015 under /downloads/ and no annual reports; julianhodgebank.co.uk has no captures at all. COVERAGE CONTROL, so the two negatives above are facts about the site and not about the archive's reach: a listing of everything captured under /wp-content/uploads/2026/ returns 26 items with capture timestamps running to July 2026, and the only PDF among them from 2026/02/ is the FY2025 Annual Report itself. The archive was looking, and there was no Pillar 3 to find. Together with the live page listing above, the FY2024 and FY2025 Pillar 3 documents are now recorded as ABSENT rather than unlocated.</t>
        </is>
      </c>
    </row>
  </sheetData>
  <mergeCells count="2">
    <mergeCell ref="A64:I64"/>
    <mergeCell ref="A66:I6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Julian Hodge Bank Limited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(CET1) capital</t>
        </is>
      </c>
      <c r="B4" s="6" t="n">
        <v>162.8</v>
      </c>
      <c r="C4" s="6" t="n">
        <v>166.2</v>
      </c>
      <c r="D4" s="6" t="n">
        <v>172.9</v>
      </c>
      <c r="E4" s="6" t="n">
        <v>177</v>
      </c>
      <c r="F4" s="6" t="n">
        <v>143.8</v>
      </c>
      <c r="G4" s="6" t="n">
        <v>136.4</v>
      </c>
      <c r="H4" s="6" t="n">
        <v>156.6</v>
      </c>
      <c r="I4" s="6" t="n">
        <v>168</v>
      </c>
      <c r="J4" s="6" t="n">
        <v>149.3</v>
      </c>
      <c r="K4" s="6" t="n">
        <v>129.1</v>
      </c>
    </row>
    <row r="5" ht="52" customHeight="1">
      <c r="A5" s="7" t="inlineStr">
        <is>
          <t>Note: FY2021's own report (P3 2021) shows CET1 = 143.8; the following year's Pillar 3 document (P3 2022) restates the FY2021 comparative to 144 (rounding to whole £m from that document's own precision) - each year's own originally-published figure is used per this project's convention. FY2015-FY2010 not shown: this bank's own Pillar 3 documents for those six years pre-date the CET1 concept (still reporting under Basel II Pillar 1 - 'Tier 1 capital' and 'Total capital resources' only, no CRD IV capital tiers). A Basel II 'Total Tier 1 capital' is not a CET1 figure and is deliberately not placed here. See the Total Capital sheet for those years' Basel II 'Total capital resources' figures instead, and this sheet's sources for the full pre-CRD IV note. The FY2013-FY2010 columns are blank BY DESIGN and well-sourced, not unresearched: all four documents were located live, read in full and are cited.</t>
        </is>
      </c>
    </row>
    <row r="7" ht="377" customHeight="1">
      <c r="A7" s="8" t="inlineStr">
        <is>
          <t>Sources - Julian Hodge Bank Limited:
FY2023: Hodge Bank Pillar 3 Disclosures - Period ended 30 September 2023, Table "3 Key Regulatory Metrics", p.9 - https://hodgebank.co.uk/wp-content/uploads/2024/07/Hodge-pillar-3-11.03.24.pdf
FY2022: Hodge Bank Pillar 3 Disclosures - Period ended 30 September 2022, Table "3 Key Regulatory Metrics", p.12 - https://hodgebank.co.uk/wp-content/uploads/2024/07/Hodge-pillar-3-19.06.23.pdf
FY2021: Hodge Bank Pillar 3 Disclosures - Period ended 30 September 2021, Table "Key Metrics", p.16 - https://hodgebank.co.uk/wp-content/uploads/2024/07/Hodge-Pillar-3-Document-2020_2021.pdf
FY2020: Julian Hodge Bank Limited Pillar 3 Disclosures - Period ended 30 September 2020, Summary of Key Regulatory Metrics, p.8 - https://hodgebank.co.uk/wp-content/uploads/2024/07/2.-JHB-Pillar-III.pdf
FY2019: Julian Hodge Bank Limited Pillar 3 Disclosures - Period ended 31 October 2019, Key Regulatory Metrics, p.10-11 - https://hodgebank.co.uk/wp-content/uploads/2024/07/Pillar-3-Disclosure-FY19-FINAL.pdf
FY2018: Julian Hodge Bank Limited Pillar 3 Disclosures - Period ended 31 October 2018, Key Regulatory Metrics, p.10-11 - https://hodgebank.co.uk/wp-content/uploads/2024/07/jhb-pillar3-2018.pdf
FY2017: Julian Hodge Bank Limited Pillar 3 Disclosures - Period ended 31 October 2017, Summary of Key Capital Ratios/Capital Resources, p.6/15 - https://hodgebank.co.uk/wp-content/uploads/2024/07/jhb-pillar3-2017.pdf
FY2016: Julian Hodge Bank Limited Pillar 3 Disclosures - Period ended 31 October 2016, Summary of Key Capital Ratios/Capital Resources, p.6/15 - https://hodgebank.co.uk/wp-content/uploads/2024/07/jhb-pillar3-2016.pdf
FY2015: Julian Hodge Bank Limited Pillar 3 Disclosures - Period ended 31 October 2015, Capital Resources, p.12-13 - https://hodgebank.co.uk/wp-content/uploads/2024/07/jhb-pillar3-2015.pdf
FY2014: Julian Hodge Bank Limited Pillar 3 Disclosures - period ended 31 October 2014, Capital Resources, p.12-13 - https://hodgebank.co.uk/wp-content/uploads/2024/07/jhb-pillar3-2014.pdf
FY2013: Julian Hodge Bank Limited Pillar 3 disclosures - as at 31 October 2013 (Basel II), section 4 "Capital resources", PDF p.12 of 23, and section 5.1 "Pillar 1 capital requirement", PDF p.13 - https://hodgebank.co.uk/wp-content/uploads/2024/07/jhb-pillar3-2013.pdf
FY2012: Julian Hodge Bank Limited Pillar 3 disclosures - as at 31 October 2012 (Basel II), section 4 "Capital resources", PDF p.11 of 21, and section 5.1 "Pillar 1 capital requirement", PDF p.12 - https://hodgebank.co.uk/wp-content/uploads/2024/07/jhb-pillar3-2012.pdf
FY2011: Julian Hodge Bank Limited Pillar 3 disclosures - as at 31 October 2011 (Basel II), section 4 "Capital resources", PDF p.13 of 28, and section 5.1 "Pillar 1 capital requirement", PDF p.15 - https://hodgebank.co.uk/wp-content/uploads/2024/07/jhb-pillar3-2011.pdf
FY2010: Julian Hodge Bank Limited Pillar 3 disclosures - as at 31 October 2010 (Basel II), section 4 "Capital resources", PDF p.13 of 27, and section 5.1 "Pillar 1 capital requirement", PDF p.15 - https://hodgebank.co.uk/wp-content/uploads/2024/07/jhb-pillar3-2010.pdf
FY2024: Julian Hodge Bank Limited Annual Report 2024, Note 32 'Capital risk management (unaudited)', printed folio 74 (CET1 capital, total RWA, CET1 ratio, total own funds, total capital ratio); and the Chief Finance Officer's Report, printed folio 13, section 'Liquidity' / 'Capital and Leverage' (LCR and Leverage Ratio, stated in prose) - https://hodgebank.co.uk/wp-content/uploads/2025/02/Hodge-annual-report-21.02.25.pdf
FY2025: Julian Hodge Bank Limited Annual Report 2025, Note 34 'Capital risk management (unaudited)', printed folio 77 (same five figures); and the Chief Finance Officer's Report, printed folio 13, same two sections (LCR and Leverage Ratio) - https://hodgebank.co.uk/wp-content/uploads/2026/02/Hodge-AR-28.01.26.pdf
  [Folios corrected 2026-09-18: the capital note was previously cited as p.73 (FY2024) and p.76 (FY2025), each one short. Both documents run at a zero offset between the pdftotext sheet index and the printed folio, and each page's own footer reads 'Hodge Annual Report 20XX ... 74' / '... 77'. The folio-13 citations are new with this pass.]
Wayback fallbacks for the FY2020-FY2014 documents, retained and never to be deleted (each is byte-identical to the live file now cited above):
  FY2020 - https://web.archive.org/web/20220620025450id_/https://hodgebank.co.uk/wp-content/uploads/2021/02/2.-JHB-Pillar-III.pdf
  FY2019 - https://web.archive.org/web/20210517002419id_/https://hodgebank.co.uk/wp-content/uploads/2020/02/Pillar-3-Disclosure-FY19-FINAL.pdf
  FY2018 - https://web.archive.org/web/20210517004624id_/https://hodgebank.co.uk/wp-content/uploads/2019/04/jhb-pillar3-2018.pdf
  FY2017 - https://web.archive.org/web/20220620025310id_/https://hodgebank.co.uk/wp-content/uploads/2019/01/jhb-pillar3-2017.pdf
  FY2016 - https://web.archive.org/web/20220620025406id_/https://hodgebank.co.uk/wp-content/uploads/2019/01/jhb-pillar3-2016.pdf
  FY2015 - https://web.archive.org/web/20220620025429id_/https://hodgebank.co.uk/wp-content/uploads/2019/01/jhb-pillar3-2015.pdf
  FY2014 - https://web.archive.org/web/20220620025434id_/https://hodgebank.co.uk/wp-content/uploads/2019/01/jhb-pillar3-2014.pdf</t>
        </is>
      </c>
    </row>
    <row r="9" ht="403" customHeight="1">
      <c r="A9" s="8" t="inlineStr">
        <is>
          <t>(continued)
DOCUMENT COVERAGE (re-established 2026-09-16, HD-080): this entity published a CONTINUOUS run of 14 standalone Pillar 3 documents, FY2010 through FY2023, and all 14 are cited above and live on the publisher's site. There is no FY2009 edition and no FY2024 or FY2025 edition. The run splits at the CRD IV boundary: FY2010-FY2015 are Basel II / BIPRU (see the pre-CRD IV note - only Total capital resources is transcribable from them), FY2016-FY2023 are CRD IV.
FY2021-FY2023: full UK KM1-format 'Key Regulatory Metrics' table from each year's own standalone Pillar 3 Disclosures document. FY2024-FY2025: no standalone Pillar 3 document exists (the bank's financial information page lists a Pillar 3 disclosure link for FY2018-FY2023 only), but the Annual Report still carries much of the content, in TWO SEPARATE PLACES, and both are used here:
  (i) the unaudited 'Capital risk management' note in the financial statements - CET1 capital, total risk-weighted assets, CET1 ratio, total own funds and total capital ratio (FY2025 note 34, printed folio 77; FY2024 note 32, printed folio 74);
  (ii) the Chief Finance Officer's Report in the Strategic Report, printed folio 13 in BOTH editions - the year-end LIQUIDITY COVERAGE RATIO and the year-end LEVERAGE RATIO, each stated in the running prose rather than in a table.
CORRECTION OF RECORD, 2026-09-18 (GA-005). This note previously said the Annual Report's capital note 'does not include Leverage Ratio, LCR, or NSFR', and the LCR and Leverage Ratio sheets carried FY2025 as 'NOT APPLICABLE - no such disclosure will ever exist' on the strength of the SDDT modification below. That was wrong in both directions and four real published figures were blank because of it: the statement was true of the capital NOTE and false of the REPORT, which discloses both metrics for both years. The SDDT modification ended the bank's PILLAR 3 duty; it did not stop the bank publishing, and the bank did in fact publish. FY2025 LCR 310.7% and leverage ratio 8.1%, FY2024 LCR 274.0% and leverage ratio 8.4%, each read from that year's OWN Annual Report. The figures are now on their sheets.
WHAT REMAINS ABSENT FOR FY2024-FY2025, and how that was established. The NSFR is genuinely not disclosed: 'NSFR' and 'Net Stable Funding' each return ZERO hits in the full text of both Annual Reports, against a richness control run on the same extractions in which 'credit risk' returns 76 hits (FY2025) and 72 (FY2024), 'operational risk' 16 and 15, 'CET1' 4 and 3, and 'LCR' 3 and 2 - so the zero is a fact about the documents, not about the extraction. No Simplified Retail Deposit Ratio value is published either, so nothing succeeds the NSFR series. Also absent: the LEVERAGE EXPOSURE MEASURE ('total exposure measure' likewise zero hits) - the ratio is stated without its denominator, and the denominator is NOT back-solved from it; the LCR's HQLA and net-outflow build-up; any category-level RWA breakdown; and any MREL figure ('MREL', 'minimum requirement for own funds' and 'loss-absorbing' all zero hits in both editions).
SDDT EXEMPTION - REASON FOR THE FY2025 CESSATION OF THE PILLAR 3 DOCUMENT, established 2026-09-15 (cross-bank SDDT pass) and re-verified against the register 2026-09-18. Julian Hodge Bank is a Small Domestic Deposit Taker (SDDT) and is therefore not required to publish Pillar 3 disclosures, so the absence of an FY2025 Pillar 3 DOCUMENT is an EVIDENCED STRUCTURAL EXEMPTION. READ THE SCOPE OF THAT CAREFULLY: it explains why no FY2025 Pillar 3 document appears, and it explains NOTHING about whether any individual metric is published. Opting in removes a duty to publish; it does not stop a firm publishing, and this firm went on to publish its FY2025 LCR and leverage ratio in its Annual Report. A metric is blanked here only where it has been shown absent from the documents that do exist - never on the strength of this modification.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204439, 'Julian Hodge Bank Limited': (a) 'CRR firms: SDDT Regime - General Application Part 1.2 &amp; 2.1(9)', sub rule 'Ru 1.2 &amp; 2.1(9)', ref 'A00009819P.pdf', start '11/02/2025', end '11/02/2028'; and (b) 'Modification by Consent - PRA Rulebook - CRR Firms - Rule 3.1 of the SDDT Regime - General Application Part', sub rule 'Ru 3.1', ref 'A00009917P.pdf', start '18/02/2025',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row: FRN 575105, Rule 3.1, start '17/01/2025' - matching its own stated approval date exactly, which is what ties the register row to the firm-stated effect.)
DATE FIT, stated precisely because the two years differ. This bank's year-end is 30 September. FY2025 (period ended 30 September 2025) falls wholly after the 18 February 2025 modification, so FY2025 is unambiguously covered. FY2024 (period ended 30 September 2024) ENDED BEFORE the modification took effect, so the exemption does not straightforwardly cover it. It may still explain the FY2024 non-publication - Cynergy's 17 January 2025 approval expressly removed its obligation for the 31 December 2024 reporting date that preceded it, and Hodge's FY2024 Pillar 3 would have fallen due at almost exactly the point its own modification landed - but Julian Hodge Bank has not said so, so FY2024 is left as NOT ESTABLISHED rather than claimed as structurally exempt. It is recorded as: no FY2024 Pillar 3 document published; SDDT exemption effective from 18 February 2025 is a plausible but unconfirmed cause.
The exemption explains NOTHING about FY2014-FY2023, every one of which has its own published Pillar 3 document cited above. Do not read SDDT back onto FY2023 or earlier. Neither Annual Report claims SDDT status in the bank's own words: both the FY2024 and FY2025 Annual Reports were downloaded and text-extracted in full (readable text layers, ~737k and ~751k characters) and searched for 'SDDT', 'Small Domestic Deposit Taker', 'modification by consent', 'Simplified Retail Deposit Ratio', 'SRDR', 'Strong and Simple', 'Interim Capital Regime' and 'Basel 3.1'. SDDT appears only as regulatory-developments context - AR2024 p.18 refers to 'the draft Small Domestic Deposit Takers' rules and AR2025 p.18 to 'the ongoing Basel 3.1 and Small Domestic Deposit Takers (SDDT) consultations' - and neither report mentions Pillar 3 disclosure obligations at all (the word 'Pillar' appears only in 'Pillar 1' and 'Pillar 2'). No Simplified Retail Deposit Ratio value is disclosed, so nothing replaces the NSFR series.</t>
        </is>
      </c>
    </row>
    <row r="11" ht="377" customHeight="1">
      <c r="A11" s="8" t="inlineStr">
        <is>
          <t>(continued)
PRE-CRD IV (BASEL II) COLUMNS FY2013-FY2010 - READ BEFORE USING THEM. CRD IV took effect 1 January 2014. The FY2013, FY2012, FY2011 and FY2010 Pillar 3 documents are Basel II / BIPRU disclosures and they do not report the same things under the same names. What each of the four actually prints, in its section 4 'Capital resources' table, is: Tier 1 capital (ordinary shares + profit and loss reserve), a deduction for investments in subsidiaries, 'Total Tier 1 capital', a Tier 2 line (eligible general provisions, less a revaluation reserve deduction in FY2013/FY2012/FY2011), and 'Total capital resources'. In its section 5.1 it prints a 'Pillar 1 capital requirement' by exposure class.
WHAT IS DELIBERATELY NOT POPULATED, and why. (1) CET1: the concept did not exist before CRD IV and none of the four documents uses the term - a Basel II 'Total Tier 1 capital' is NOT a CET1 figure and is not placed on the CET1 sheet. (2) Tier 1 Capital: each edition's own Total Tier 1 capital is FY2013 113.7, FY2012 111.1, FY2011 109.7, FY2010 108.1 - recorded here in prose only and NOT as a data column, which is the treatment this script already applies to the FY2015/FY2014 Basel II Tier 1 figures, kept consistent rather than changed for the newly-added years. (3) EVERY RATIO SHEET: no risk-weighted-asset amount appears anywhere in any of the four documents (grep for 'risk weighted'/'risk-weighted' returns zero hits in all four), so there is no denominator, and none of the four prints a capital ratio of any kind. Grossing the Pillar 1 capital requirement up by 12.5 would manufacture an RWA no document states, and is deliberately not done. (4) Leverage / LCR / NSFR: none of the three existed as a UK disclosure requirement in these years. FY2013's document mentions a leverage ratio exactly once, as forward-looking prose about CRD IV's forthcoming requirements ('enhanced reporting requirements include the introduction of a leverage ratio, liquidity coverage...'), with no value; FY2012/FY2011/FY2010 do not mention it at all. In particular these years belong on NEITHER row of the Leverage Ratio sheet's excluding-/including-claims-on-central-banks pair - that is a 2022 UK framework distinction and reading it back onto a Basel II year would be meaningless.
WHAT IS POPULATED: 'Total capital resources' only, on the Total Capital sheet - a figure each document states directly as a total. This matches how FY2015 (122.4) and FY2014 (118.8) were already handled on that sheet before this extension. The Pillar 1 capital requirement for the four new years is FY2013 35.3 (credit risk 34.9 + operational risk 0.4), FY2012 36.8 (36.0 + 0.8), FY2011 38.9 (37.7 + 1.2), FY2010 41.5 (40.2 + 1.3) - recorded in prose on the Total RWAs sheet, as CAPITAL, never converted to RWA.
PILLAR 3 URL STATUS, established 2026-09-16 (HD-080). This CORRECTS a note previously held here which asserted that the historical Pillar 3 documents were NOT live on hodgebank.co.uk and that the Wayback citations must not be repointed. That note tested only the OLD paths - /wp-content/uploads/2019/01/, /2019/04/, /2020/02/ and /2021/02/ - and about those it was right: they are dead. But it never tested /wp-content/uploads/2024/07/, and the entire historical series was re-uploaded there on 2024-07-25. All 14 editions FY2010-FY2023 are live and genuine at that path. The old note's conclusion was therefore wrong and has been removed.
HOW EACH FILE WAS VERIFIED (not by status code): HTTP status + Content-Type: application/pdf + %PDF magic bytes + pdfinfo page count + the cover page read for its stated period. Two traps on this host, both real:
  (1) www.hodgebank.co.uk 301-redirects to the apex domain. curl without -L returns 301 / 162 bytes, which looks like a dead link and is almost certainly what produced the earlier report.
  (2) The SOFT-404 on this host is PER-FILENAME, not per-directory - do not generalise a negative control across a directory. WordPress serves one 'Financial Information' landing page (HTTP 200, text/html, 108,306 bytes, md5 c69229b0d911df8ea64ada86d57738a2) for certain KNOWN OLD attachment slugs, while an unknown filename in that very same directory 404s honestly (146 bytes). Measured 2026-09-16: /2020/02/FINAL-Julian-Hodge-Bank-Limited-FY18.pdf -&gt; soft-404 but /2020/02/zzz-nonexistent-control.pdf -&gt; honest 404; /2021/02/2.-JHB-Pillar-III.pdf -&gt; soft-404 but /2021/02/zzz-control.pdf -&gt; honest 404; /2019/01/jhb-pillar3-2014.pdf -&gt; honest 404; /2024/07/zzz-nonexistent-control.pdf -&gt; honest 404. The decisive test is always the per-URL Content-Type plus %PDF check, never HTTP 200 and never a control run on a different filename.
SAFETY OF THE REPOINTING: every live file was md5-compared against the Wayback capture the figures were originally transcribed from, and all five checked pairs are byte-identical - FY2018 addbb5d0301b1b2349dbd9b05d3b3dfc, FY2017 b76617584f830bf3f6dbb68720744fdd, FY2016 0bd97d21c8ebd0972d5e96be8c6c1d9b, FY2015 c448471eea12e998bbfb104e3074d3cc, FY2014 5318b684c1a1d4ef8e84d62a4ba055a4. The FY2019 (695,975 B) and FY2020 (2,416,601 B) live files likewise match their captures exactly. No transcribed figure changes. Every superseded Wayback URL is kept above as a *_URL_ARCHIVE fallback.
ENUMERATION: the back catalogue was enumerated three ways - filename permutation jhb-pillar3-&lt;year&gt;.pdf across 2008-2023 (2008, 2009 and 2019-2023 honestly 404 under that name); the WordPress REST media API, whose library was walked in full (66 items over 2 pages, complete) and which is what surfaced the five irregularly-named editions that permutation can never find; and a Wayback CDX sweep of hodgebank.co.uk and julianhodgebank.co.uk which was BLOCKED on 2026-09-16 (HTTP 503/504, 'Internet Archive services are temporarily offline') and was recorded as unknown rather than as an absence. THAT SWEEP WAS RE-RUN SUCCESSFULLY ON 2026-09-18 and is no longer an open item - it completed over all three domains and found nothing newer than the FY2023 edition; see the full account in BASIS_NOTE. Result, now confirmed from three independent directions (filename permutation, the WordPress media API, and the archive): a continuous FY2010-FY2023 run of 14 editions, no FY2009, no FY2024, no FY2025.
FILENAME NEVER EQUALS PERIOD ON THIS SITE. Hodge-pillar-3-19.06.23.pdf is a 2023 PUBLICATION date on the FY2022 edition, and Hodge-pillar-3-11.03.24.pdf is a 2024 publication date on the FY2023 edition. The cover page is the only trustworthy source of the period, and every period recorded in this script was read off the cover. This matters doubly because the year-end MOVES mid-series: 31 October through FY2019, 30 September from FY2021, with FY2020 an 11-month transition period.</t>
        </is>
      </c>
    </row>
  </sheetData>
  <mergeCells count="4">
    <mergeCell ref="A11:K11"/>
    <mergeCell ref="A5:K5"/>
    <mergeCell ref="A7:K7"/>
    <mergeCell ref="A9:K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Julian Hodge Bank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(CET1) ratio</t>
        </is>
      </c>
      <c r="B4" s="6" t="inlineStr">
        <is>
          <t>17.5%</t>
        </is>
      </c>
      <c r="C4" s="6" t="inlineStr">
        <is>
          <t>19.8%</t>
        </is>
      </c>
      <c r="D4" s="6" t="inlineStr">
        <is>
          <t>24.5%</t>
        </is>
      </c>
      <c r="E4" s="6" t="inlineStr">
        <is>
          <t>25.2%</t>
        </is>
      </c>
      <c r="F4" s="6" t="inlineStr">
        <is>
          <t>20.2%</t>
        </is>
      </c>
      <c r="G4" s="6" t="inlineStr">
        <is>
          <t>19.7%</t>
        </is>
      </c>
      <c r="H4" s="6" t="inlineStr">
        <is>
          <t>23.0%</t>
        </is>
      </c>
      <c r="I4" s="6" t="inlineStr">
        <is>
          <t>22.3%</t>
        </is>
      </c>
      <c r="J4" s="6" t="inlineStr">
        <is>
          <t>21.1%</t>
        </is>
      </c>
      <c r="K4" s="6" t="inlineStr">
        <is>
          <t>19.2%</t>
        </is>
      </c>
    </row>
    <row r="5" ht="30" customHeight="1">
      <c r="A5" s="7" t="inlineStr">
        <is>
          <t>Note: FY2015-FY2010 are blank by design, not unresearched. All six years' Pillar 3 documents were located, read in full and are cited in this sheet's sources. They are Basel II: none defines CET1, none discloses a risk-weighted-asset amount to serve as a denominator, and none prints a capital ratio of any kind. There is therefore no ratio to transcribe, and one is deliberately not derived by grossing the disclosed Pillar 1 capital requirement up by 12.5. See the Total RWAs sheet note and the pre-CRD IV note in this sheet's sources.</t>
        </is>
      </c>
    </row>
    <row r="7" ht="377" customHeight="1">
      <c r="A7" s="8" t="inlineStr">
        <is>
          <t>Sources - Julian Hodge Bank Limited:
FY2023: Hodge Bank Pillar 3 Disclosures - Period ended 30 September 2023, Table "3 Key Regulatory Metrics", p.9 - https://hodgebank.co.uk/wp-content/uploads/2024/07/Hodge-pillar-3-11.03.24.pdf
FY2022: Hodge Bank Pillar 3 Disclosures - Period ended 30 September 2022, Table "3 Key Regulatory Metrics", p.12 - https://hodgebank.co.uk/wp-content/uploads/2024/07/Hodge-pillar-3-19.06.23.pdf
FY2021: Hodge Bank Pillar 3 Disclosures - Period ended 30 September 2021, Table "Key Metrics", p.16 - https://hodgebank.co.uk/wp-content/uploads/2024/07/Hodge-Pillar-3-Document-2020_2021.pdf
FY2020: Julian Hodge Bank Limited Pillar 3 Disclosures - Period ended 30 September 2020, Summary of Key Regulatory Metrics, p.8 - https://hodgebank.co.uk/wp-content/uploads/2024/07/2.-JHB-Pillar-III.pdf
FY2019: Julian Hodge Bank Limited Pillar 3 Disclosures - Period ended 31 October 2019, Key Regulatory Metrics, p.10-11 - https://hodgebank.co.uk/wp-content/uploads/2024/07/Pillar-3-Disclosure-FY19-FINAL.pdf
FY2018: Julian Hodge Bank Limited Pillar 3 Disclosures - Period ended 31 October 2018, Key Regulatory Metrics, p.10-11 - https://hodgebank.co.uk/wp-content/uploads/2024/07/jhb-pillar3-2018.pdf
FY2017: Julian Hodge Bank Limited Pillar 3 Disclosures - Period ended 31 October 2017, Summary of Key Capital Ratios/Capital Resources, p.6/15 - https://hodgebank.co.uk/wp-content/uploads/2024/07/jhb-pillar3-2017.pdf
FY2016: Julian Hodge Bank Limited Pillar 3 Disclosures - Period ended 31 October 2016, Summary of Key Capital Ratios/Capital Resources, p.6/15 - https://hodgebank.co.uk/wp-content/uploads/2024/07/jhb-pillar3-2016.pdf
FY2015: Julian Hodge Bank Limited Pillar 3 Disclosures - Period ended 31 October 2015, Capital Resources, p.12-13 - https://hodgebank.co.uk/wp-content/uploads/2024/07/jhb-pillar3-2015.pdf
FY2014: Julian Hodge Bank Limited Pillar 3 Disclosures - period ended 31 October 2014, Capital Resources, p.12-13 - https://hodgebank.co.uk/wp-content/uploads/2024/07/jhb-pillar3-2014.pdf
FY2013: Julian Hodge Bank Limited Pillar 3 disclosures - as at 31 October 2013 (Basel II), section 4 "Capital resources", PDF p.12 of 23, and section 5.1 "Pillar 1 capital requirement", PDF p.13 - https://hodgebank.co.uk/wp-content/uploads/2024/07/jhb-pillar3-2013.pdf
FY2012: Julian Hodge Bank Limited Pillar 3 disclosures - as at 31 October 2012 (Basel II), section 4 "Capital resources", PDF p.11 of 21, and section 5.1 "Pillar 1 capital requirement", PDF p.12 - https://hodgebank.co.uk/wp-content/uploads/2024/07/jhb-pillar3-2012.pdf
FY2011: Julian Hodge Bank Limited Pillar 3 disclosures - as at 31 October 2011 (Basel II), section 4 "Capital resources", PDF p.13 of 28, and section 5.1 "Pillar 1 capital requirement", PDF p.15 - https://hodgebank.co.uk/wp-content/uploads/2024/07/jhb-pillar3-2011.pdf
FY2010: Julian Hodge Bank Limited Pillar 3 disclosures - as at 31 October 2010 (Basel II), section 4 "Capital resources", PDF p.13 of 27, and section 5.1 "Pillar 1 capital requirement", PDF p.15 - https://hodgebank.co.uk/wp-content/uploads/2024/07/jhb-pillar3-2010.pdf
FY2024: Julian Hodge Bank Limited Annual Report 2024, Note 32 'Capital risk management (unaudited)', printed folio 74 (CET1 capital, total RWA, CET1 ratio, total own funds, total capital ratio); and the Chief Finance Officer's Report, printed folio 13, section 'Liquidity' / 'Capital and Leverage' (LCR and Leverage Ratio, stated in prose) - https://hodgebank.co.uk/wp-content/uploads/2025/02/Hodge-annual-report-21.02.25.pdf
FY2025: Julian Hodge Bank Limited Annual Report 2025, Note 34 'Capital risk management (unaudited)', printed folio 77 (same five figures); and the Chief Finance Officer's Report, printed folio 13, same two sections (LCR and Leverage Ratio) - https://hodgebank.co.uk/wp-content/uploads/2026/02/Hodge-AR-28.01.26.pdf
  [Folios corrected 2026-09-18: the capital note was previously cited as p.73 (FY2024) and p.76 (FY2025), each one short. Both documents run at a zero offset between the pdftotext sheet index and the printed folio, and each page's own footer reads 'Hodge Annual Report 20XX ... 74' / '... 77'. The folio-13 citations are new with this pass.]
Wayback fallbacks for the FY2020-FY2014 documents, retained and never to be deleted (each is byte-identical to the live file now cited above):
  FY2020 - https://web.archive.org/web/20220620025450id_/https://hodgebank.co.uk/wp-content/uploads/2021/02/2.-JHB-Pillar-III.pdf
  FY2019 - https://web.archive.org/web/20210517002419id_/https://hodgebank.co.uk/wp-content/uploads/2020/02/Pillar-3-Disclosure-FY19-FINAL.pdf
  FY2018 - https://web.archive.org/web/20210517004624id_/https://hodgebank.co.uk/wp-content/uploads/2019/04/jhb-pillar3-2018.pdf
  FY2017 - https://web.archive.org/web/20220620025310id_/https://hodgebank.co.uk/wp-content/uploads/2019/01/jhb-pillar3-2017.pdf
  FY2016 - https://web.archive.org/web/20220620025406id_/https://hodgebank.co.uk/wp-content/uploads/2019/01/jhb-pillar3-2016.pdf
  FY2015 - https://web.archive.org/web/20220620025429id_/https://hodgebank.co.uk/wp-content/uploads/2019/01/jhb-pillar3-2015.pdf
  FY2014 - https://web.archive.org/web/20220620025434id_/https://hodgebank.co.uk/wp-content/uploads/2019/01/jhb-pillar3-2014.pdf</t>
        </is>
      </c>
    </row>
    <row r="9" ht="403" customHeight="1">
      <c r="A9" s="8" t="inlineStr">
        <is>
          <t>(continued)
DOCUMENT COVERAGE (re-established 2026-09-16, HD-080): this entity published a CONTINUOUS run of 14 standalone Pillar 3 documents, FY2010 through FY2023, and all 14 are cited above and live on the publisher's site. There is no FY2009 edition and no FY2024 or FY2025 edition. The run splits at the CRD IV boundary: FY2010-FY2015 are Basel II / BIPRU (see the pre-CRD IV note - only Total capital resources is transcribable from them), FY2016-FY2023 are CRD IV.
FY2021-FY2023: full UK KM1-format 'Key Regulatory Metrics' table from each year's own standalone Pillar 3 Disclosures document. FY2024-FY2025: no standalone Pillar 3 document exists (the bank's financial information page lists a Pillar 3 disclosure link for FY2018-FY2023 only), but the Annual Report still carries much of the content, in TWO SEPARATE PLACES, and both are used here:
  (i) the unaudited 'Capital risk management' note in the financial statements - CET1 capital, total risk-weighted assets, CET1 ratio, total own funds and total capital ratio (FY2025 note 34, printed folio 77; FY2024 note 32, printed folio 74);
  (ii) the Chief Finance Officer's Report in the Strategic Report, printed folio 13 in BOTH editions - the year-end LIQUIDITY COVERAGE RATIO and the year-end LEVERAGE RATIO, each stated in the running prose rather than in a table.
CORRECTION OF RECORD, 2026-09-18 (GA-005). This note previously said the Annual Report's capital note 'does not include Leverage Ratio, LCR, or NSFR', and the LCR and Leverage Ratio sheets carried FY2025 as 'NOT APPLICABLE - no such disclosure will ever exist' on the strength of the SDDT modification below. That was wrong in both directions and four real published figures were blank because of it: the statement was true of the capital NOTE and false of the REPORT, which discloses both metrics for both years. The SDDT modification ended the bank's PILLAR 3 duty; it did not stop the bank publishing, and the bank did in fact publish. FY2025 LCR 310.7% and leverage ratio 8.1%, FY2024 LCR 274.0% and leverage ratio 8.4%, each read from that year's OWN Annual Report. The figures are now on their sheets.
WHAT REMAINS ABSENT FOR FY2024-FY2025, and how that was established. The NSFR is genuinely not disclosed: 'NSFR' and 'Net Stable Funding' each return ZERO hits in the full text of both Annual Reports, against a richness control run on the same extractions in which 'credit risk' returns 76 hits (FY2025) and 72 (FY2024), 'operational risk' 16 and 15, 'CET1' 4 and 3, and 'LCR' 3 and 2 - so the zero is a fact about the documents, not about the extraction. No Simplified Retail Deposit Ratio value is published either, so nothing succeeds the NSFR series. Also absent: the LEVERAGE EXPOSURE MEASURE ('total exposure measure' likewise zero hits) - the ratio is stated without its denominator, and the denominator is NOT back-solved from it; the LCR's HQLA and net-outflow build-up; any category-level RWA breakdown; and any MREL figure ('MREL', 'minimum requirement for own funds' and 'loss-absorbing' all zero hits in both editions).
SDDT EXEMPTION - REASON FOR THE FY2025 CESSATION OF THE PILLAR 3 DOCUMENT, established 2026-09-15 (cross-bank SDDT pass) and re-verified against the register 2026-09-18. Julian Hodge Bank is a Small Domestic Deposit Taker (SDDT) and is therefore not required to publish Pillar 3 disclosures, so the absence of an FY2025 Pillar 3 DOCUMENT is an EVIDENCED STRUCTURAL EXEMPTION. READ THE SCOPE OF THAT CAREFULLY: it explains why no FY2025 Pillar 3 document appears, and it explains NOTHING about whether any individual metric is published. Opting in removes a duty to publish; it does not stop a firm publishing, and this firm went on to publish its FY2025 LCR and leverage ratio in its Annual Report. A metric is blanked here only where it has been shown absent from the documents that do exist - never on the strength of this modification.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204439, 'Julian Hodge Bank Limited': (a) 'CRR firms: SDDT Regime - General Application Part 1.2 &amp; 2.1(9)', sub rule 'Ru 1.2 &amp; 2.1(9)', ref 'A00009819P.pdf', start '11/02/2025', end '11/02/2028'; and (b) 'Modification by Consent - PRA Rulebook - CRR Firms - Rule 3.1 of the SDDT Regime - General Application Part', sub rule 'Ru 3.1', ref 'A00009917P.pdf', start '18/02/2025',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row: FRN 575105, Rule 3.1, start '17/01/2025' - matching its own stated approval date exactly, which is what ties the register row to the firm-stated effect.)
DATE FIT, stated precisely because the two years differ. This bank's year-end is 30 September. FY2025 (period ended 30 September 2025) falls wholly after the 18 February 2025 modification, so FY2025 is unambiguously covered. FY2024 (period ended 30 September 2024) ENDED BEFORE the modification took effect, so the exemption does not straightforwardly cover it. It may still explain the FY2024 non-publication - Cynergy's 17 January 2025 approval expressly removed its obligation for the 31 December 2024 reporting date that preceded it, and Hodge's FY2024 Pillar 3 would have fallen due at almost exactly the point its own modification landed - but Julian Hodge Bank has not said so, so FY2024 is left as NOT ESTABLISHED rather than claimed as structurally exempt. It is recorded as: no FY2024 Pillar 3 document published; SDDT exemption effective from 18 February 2025 is a plausible but unconfirmed cause.
The exemption explains NOTHING about FY2014-FY2023, every one of which has its own published Pillar 3 document cited above. Do not read SDDT back onto FY2023 or earlier. Neither Annual Report claims SDDT status in the bank's own words: both the FY2024 and FY2025 Annual Reports were downloaded and text-extracted in full (readable text layers, ~737k and ~751k characters) and searched for 'SDDT', 'Small Domestic Deposit Taker', 'modification by consent', 'Simplified Retail Deposit Ratio', 'SRDR', 'Strong and Simple', 'Interim Capital Regime' and 'Basel 3.1'. SDDT appears only as regulatory-developments context - AR2024 p.18 refers to 'the draft Small Domestic Deposit Takers' rules and AR2025 p.18 to 'the ongoing Basel 3.1 and Small Domestic Deposit Takers (SDDT) consultations' - and neither report mentions Pillar 3 disclosure obligations at all (the word 'Pillar' appears only in 'Pillar 1' and 'Pillar 2'). No Simplified Retail Deposit Ratio value is disclosed, so nothing replaces the NSFR series.</t>
        </is>
      </c>
    </row>
    <row r="11" ht="377" customHeight="1">
      <c r="A11" s="8" t="inlineStr">
        <is>
          <t>(continued)
PRE-CRD IV (BASEL II) COLUMNS FY2013-FY2010 - READ BEFORE USING THEM. CRD IV took effect 1 January 2014. The FY2013, FY2012, FY2011 and FY2010 Pillar 3 documents are Basel II / BIPRU disclosures and they do not report the same things under the same names. What each of the four actually prints, in its section 4 'Capital resources' table, is: Tier 1 capital (ordinary shares + profit and loss reserve), a deduction for investments in subsidiaries, 'Total Tier 1 capital', a Tier 2 line (eligible general provisions, less a revaluation reserve deduction in FY2013/FY2012/FY2011), and 'Total capital resources'. In its section 5.1 it prints a 'Pillar 1 capital requirement' by exposure class.
WHAT IS DELIBERATELY NOT POPULATED, and why. (1) CET1: the concept did not exist before CRD IV and none of the four documents uses the term - a Basel II 'Total Tier 1 capital' is NOT a CET1 figure and is not placed on the CET1 sheet. (2) Tier 1 Capital: each edition's own Total Tier 1 capital is FY2013 113.7, FY2012 111.1, FY2011 109.7, FY2010 108.1 - recorded here in prose only and NOT as a data column, which is the treatment this script already applies to the FY2015/FY2014 Basel II Tier 1 figures, kept consistent rather than changed for the newly-added years. (3) EVERY RATIO SHEET: no risk-weighted-asset amount appears anywhere in any of the four documents (grep for 'risk weighted'/'risk-weighted' returns zero hits in all four), so there is no denominator, and none of the four prints a capital ratio of any kind. Grossing the Pillar 1 capital requirement up by 12.5 would manufacture an RWA no document states, and is deliberately not done. (4) Leverage / LCR / NSFR: none of the three existed as a UK disclosure requirement in these years. FY2013's document mentions a leverage ratio exactly once, as forward-looking prose about CRD IV's forthcoming requirements ('enhanced reporting requirements include the introduction of a leverage ratio, liquidity coverage...'), with no value; FY2012/FY2011/FY2010 do not mention it at all. In particular these years belong on NEITHER row of the Leverage Ratio sheet's excluding-/including-claims-on-central-banks pair - that is a 2022 UK framework distinction and reading it back onto a Basel II year would be meaningless.
WHAT IS POPULATED: 'Total capital resources' only, on the Total Capital sheet - a figure each document states directly as a total. This matches how FY2015 (122.4) and FY2014 (118.8) were already handled on that sheet before this extension. The Pillar 1 capital requirement for the four new years is FY2013 35.3 (credit risk 34.9 + operational risk 0.4), FY2012 36.8 (36.0 + 0.8), FY2011 38.9 (37.7 + 1.2), FY2010 41.5 (40.2 + 1.3) - recorded in prose on the Total RWAs sheet, as CAPITAL, never converted to RWA.
PILLAR 3 URL STATUS, established 2026-09-16 (HD-080). This CORRECTS a note previously held here which asserted that the historical Pillar 3 documents were NOT live on hodgebank.co.uk and that the Wayback citations must not be repointed. That note tested only the OLD paths - /wp-content/uploads/2019/01/, /2019/04/, /2020/02/ and /2021/02/ - and about those it was right: they are dead. But it never tested /wp-content/uploads/2024/07/, and the entire historical series was re-uploaded there on 2024-07-25. All 14 editions FY2010-FY2023 are live and genuine at that path. The old note's conclusion was therefore wrong and has been removed.
HOW EACH FILE WAS VERIFIED (not by status code): HTTP status + Content-Type: application/pdf + %PDF magic bytes + pdfinfo page count + the cover page read for its stated period. Two traps on this host, both real:
  (1) www.hodgebank.co.uk 301-redirects to the apex domain. curl without -L returns 301 / 162 bytes, which looks like a dead link and is almost certainly what produced the earlier report.
  (2) The SOFT-404 on this host is PER-FILENAME, not per-directory - do not generalise a negative control across a directory. WordPress serves one 'Financial Information' landing page (HTTP 200, text/html, 108,306 bytes, md5 c69229b0d911df8ea64ada86d57738a2) for certain KNOWN OLD attachment slugs, while an unknown filename in that very same directory 404s honestly (146 bytes). Measured 2026-09-16: /2020/02/FINAL-Julian-Hodge-Bank-Limited-FY18.pdf -&gt; soft-404 but /2020/02/zzz-nonexistent-control.pdf -&gt; honest 404; /2021/02/2.-JHB-Pillar-III.pdf -&gt; soft-404 but /2021/02/zzz-control.pdf -&gt; honest 404; /2019/01/jhb-pillar3-2014.pdf -&gt; honest 404; /2024/07/zzz-nonexistent-control.pdf -&gt; honest 404. The decisive test is always the per-URL Content-Type plus %PDF check, never HTTP 200 and never a control run on a different filename.
SAFETY OF THE REPOINTING: every live file was md5-compared against the Wayback capture the figures were originally transcribed from, and all five checked pairs are byte-identical - FY2018 addbb5d0301b1b2349dbd9b05d3b3dfc, FY2017 b76617584f830bf3f6dbb68720744fdd, FY2016 0bd97d21c8ebd0972d5e96be8c6c1d9b, FY2015 c448471eea12e998bbfb104e3074d3cc, FY2014 5318b684c1a1d4ef8e84d62a4ba055a4. The FY2019 (695,975 B) and FY2020 (2,416,601 B) live files likewise match their captures exactly. No transcribed figure changes. Every superseded Wayback URL is kept above as a *_URL_ARCHIVE fallback.
ENUMERATION: the back catalogue was enumerated three ways - filename permutation jhb-pillar3-&lt;year&gt;.pdf across 2008-2023 (2008, 2009 and 2019-2023 honestly 404 under that name); the WordPress REST media API, whose library was walked in full (66 items over 2 pages, complete) and which is what surfaced the five irregularly-named editions that permutation can never find; and a Wayback CDX sweep of hodgebank.co.uk and julianhodgebank.co.uk which was BLOCKED on 2026-09-16 (HTTP 503/504, 'Internet Archive services are temporarily offline') and was recorded as unknown rather than as an absence. THAT SWEEP WAS RE-RUN SUCCESSFULLY ON 2026-09-18 and is no longer an open item - it completed over all three domains and found nothing newer than the FY2023 edition; see the full account in BASIS_NOTE. Result, now confirmed from three independent directions (filename permutation, the WordPress media API, and the archive): a continuous FY2010-FY2023 run of 14 editions, no FY2009, no FY2024, no FY2025.
FILENAME NEVER EQUALS PERIOD ON THIS SITE. Hodge-pillar-3-19.06.23.pdf is a 2023 PUBLICATION date on the FY2022 edition, and Hodge-pillar-3-11.03.24.pdf is a 2024 publication date on the FY2023 edition. The cover page is the only trustworthy source of the period, and every period recorded in this script was read off the cover. This matters doubly because the year-end MOVES mid-series: 31 October through FY2019, 30 September from FY2021, with FY2020 an 11-month transition period.</t>
        </is>
      </c>
    </row>
  </sheetData>
  <mergeCells count="4">
    <mergeCell ref="A11:K11"/>
    <mergeCell ref="A5:K5"/>
    <mergeCell ref="A7:K7"/>
    <mergeCell ref="A9:K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Julian Hodge Bank Limited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capital</t>
        </is>
      </c>
      <c r="B4" s="6" t="n">
        <v>162.8</v>
      </c>
      <c r="C4" s="6" t="n">
        <v>166.2</v>
      </c>
      <c r="D4" s="6" t="n">
        <v>172.9</v>
      </c>
      <c r="E4" s="6" t="n">
        <v>177</v>
      </c>
      <c r="F4" s="6" t="n">
        <v>143.8</v>
      </c>
      <c r="G4" s="6" t="n">
        <v>136.4</v>
      </c>
      <c r="H4" s="6" t="n">
        <v>156.6</v>
      </c>
      <c r="I4" s="6" t="n">
        <v>168</v>
      </c>
      <c r="J4" s="6" t="n">
        <v>149.3</v>
      </c>
      <c r="K4" s="6" t="n">
        <v>129.1</v>
      </c>
    </row>
    <row r="5" ht="65" customHeight="1">
      <c r="A5" s="7" t="inlineStr">
        <is>
          <t>Note: Tier 1 = CET1 every year (no AT1 instruments in issue - 'Hold all its capital in the form of Common Equity Tier 1 and Tier 2 capital', and Tier 2 = nil every year per the Pillar 3 documents). FY2024/FY2025 not separately labelled 'Tier 1' in the Annual Report's brief capital note but equal to CET1 by the same pattern confirmed directly in FY2021-FY2023. FY2015-FY2010: pre-CRD IV Basel II regime - see CET1 Capital sheet note; for those six years 'Total Tier 1 capital' as reported was GBP118.6m (FY2015), GBP117.1m (FY2014), GBP113.7m (FY2013), GBP111.1m (FY2012), GBP109.7m (FY2011) and GBP108.1m (FY2010), each after that edition's deduction for investments in subsidiaries (GBP16.0m throughout). Each differs from the 'Total capital resources' shown on the Total Capital sheet because every one of those years DID hold a small amount of Tier 2 (general provisions, less a revaluation reserve deduction in FY2013/FY2012/FY2011) - shown here only for completeness, not populated as a data column to avoid conflating Basel II Tier 1 with CRD IV Tier 1. The FY2013-FY2010 figures were added 2026-09-16 (HD-080) on exactly the same prose-only footing the FY2015/FY2014 pair already had, deliberately keeping one consistent treatment across the whole Basel II run rather than promoting the new years to a data column.</t>
        </is>
      </c>
    </row>
    <row r="7" ht="377" customHeight="1">
      <c r="A7" s="8" t="inlineStr">
        <is>
          <t>Sources - Julian Hodge Bank Limited:
FY2023: Hodge Bank Pillar 3 Disclosures - Period ended 30 September 2023, Table "3 Key Regulatory Metrics", p.9 - https://hodgebank.co.uk/wp-content/uploads/2024/07/Hodge-pillar-3-11.03.24.pdf
FY2022: Hodge Bank Pillar 3 Disclosures - Period ended 30 September 2022, Table "3 Key Regulatory Metrics", p.12 - https://hodgebank.co.uk/wp-content/uploads/2024/07/Hodge-pillar-3-19.06.23.pdf
FY2021: Hodge Bank Pillar 3 Disclosures - Period ended 30 September 2021, Table "Key Metrics", p.16 - https://hodgebank.co.uk/wp-content/uploads/2024/07/Hodge-Pillar-3-Document-2020_2021.pdf
FY2020: Julian Hodge Bank Limited Pillar 3 Disclosures - Period ended 30 September 2020, Summary of Key Regulatory Metrics, p.8 - https://hodgebank.co.uk/wp-content/uploads/2024/07/2.-JHB-Pillar-III.pdf
FY2019: Julian Hodge Bank Limited Pillar 3 Disclosures - Period ended 31 October 2019, Key Regulatory Metrics, p.10-11 - https://hodgebank.co.uk/wp-content/uploads/2024/07/Pillar-3-Disclosure-FY19-FINAL.pdf
FY2018: Julian Hodge Bank Limited Pillar 3 Disclosures - Period ended 31 October 2018, Key Regulatory Metrics, p.10-11 - https://hodgebank.co.uk/wp-content/uploads/2024/07/jhb-pillar3-2018.pdf
FY2017: Julian Hodge Bank Limited Pillar 3 Disclosures - Period ended 31 October 2017, Summary of Key Capital Ratios/Capital Resources, p.6/15 - https://hodgebank.co.uk/wp-content/uploads/2024/07/jhb-pillar3-2017.pdf
FY2016: Julian Hodge Bank Limited Pillar 3 Disclosures - Period ended 31 October 2016, Summary of Key Capital Ratios/Capital Resources, p.6/15 - https://hodgebank.co.uk/wp-content/uploads/2024/07/jhb-pillar3-2016.pdf
FY2015: Julian Hodge Bank Limited Pillar 3 Disclosures - Period ended 31 October 2015, Capital Resources, p.12-13 - https://hodgebank.co.uk/wp-content/uploads/2024/07/jhb-pillar3-2015.pdf
FY2014: Julian Hodge Bank Limited Pillar 3 Disclosures - period ended 31 October 2014, Capital Resources, p.12-13 - https://hodgebank.co.uk/wp-content/uploads/2024/07/jhb-pillar3-2014.pdf
FY2013: Julian Hodge Bank Limited Pillar 3 disclosures - as at 31 October 2013 (Basel II), section 4 "Capital resources", PDF p.12 of 23, and section 5.1 "Pillar 1 capital requirement", PDF p.13 - https://hodgebank.co.uk/wp-content/uploads/2024/07/jhb-pillar3-2013.pdf
FY2012: Julian Hodge Bank Limited Pillar 3 disclosures - as at 31 October 2012 (Basel II), section 4 "Capital resources", PDF p.11 of 21, and section 5.1 "Pillar 1 capital requirement", PDF p.12 - https://hodgebank.co.uk/wp-content/uploads/2024/07/jhb-pillar3-2012.pdf
FY2011: Julian Hodge Bank Limited Pillar 3 disclosures - as at 31 October 2011 (Basel II), section 4 "Capital resources", PDF p.13 of 28, and section 5.1 "Pillar 1 capital requirement", PDF p.15 - https://hodgebank.co.uk/wp-content/uploads/2024/07/jhb-pillar3-2011.pdf
FY2010: Julian Hodge Bank Limited Pillar 3 disclosures - as at 31 October 2010 (Basel II), section 4 "Capital resources", PDF p.13 of 27, and section 5.1 "Pillar 1 capital requirement", PDF p.15 - https://hodgebank.co.uk/wp-content/uploads/2024/07/jhb-pillar3-2010.pdf
FY2024: Julian Hodge Bank Limited Annual Report 2024, Note 32 'Capital risk management (unaudited)', printed folio 74 (CET1 capital, total RWA, CET1 ratio, total own funds, total capital ratio); and the Chief Finance Officer's Report, printed folio 13, section 'Liquidity' / 'Capital and Leverage' (LCR and Leverage Ratio, stated in prose) - https://hodgebank.co.uk/wp-content/uploads/2025/02/Hodge-annual-report-21.02.25.pdf
FY2025: Julian Hodge Bank Limited Annual Report 2025, Note 34 'Capital risk management (unaudited)', printed folio 77 (same five figures); and the Chief Finance Officer's Report, printed folio 13, same two sections (LCR and Leverage Ratio) - https://hodgebank.co.uk/wp-content/uploads/2026/02/Hodge-AR-28.01.26.pdf
  [Folios corrected 2026-09-18: the capital note was previously cited as p.73 (FY2024) and p.76 (FY2025), each one short. Both documents run at a zero offset between the pdftotext sheet index and the printed folio, and each page's own footer reads 'Hodge Annual Report 20XX ... 74' / '... 77'. The folio-13 citations are new with this pass.]
Wayback fallbacks for the FY2020-FY2014 documents, retained and never to be deleted (each is byte-identical to the live file now cited above):
  FY2020 - https://web.archive.org/web/20220620025450id_/https://hodgebank.co.uk/wp-content/uploads/2021/02/2.-JHB-Pillar-III.pdf
  FY2019 - https://web.archive.org/web/20210517002419id_/https://hodgebank.co.uk/wp-content/uploads/2020/02/Pillar-3-Disclosure-FY19-FINAL.pdf
  FY2018 - https://web.archive.org/web/20210517004624id_/https://hodgebank.co.uk/wp-content/uploads/2019/04/jhb-pillar3-2018.pdf
  FY2017 - https://web.archive.org/web/20220620025310id_/https://hodgebank.co.uk/wp-content/uploads/2019/01/jhb-pillar3-2017.pdf
  FY2016 - https://web.archive.org/web/20220620025406id_/https://hodgebank.co.uk/wp-content/uploads/2019/01/jhb-pillar3-2016.pdf
  FY2015 - https://web.archive.org/web/20220620025429id_/https://hodgebank.co.uk/wp-content/uploads/2019/01/jhb-pillar3-2015.pdf
  FY2014 - https://web.archive.org/web/20220620025434id_/https://hodgebank.co.uk/wp-content/uploads/2019/01/jhb-pillar3-2014.pdf</t>
        </is>
      </c>
    </row>
    <row r="9" ht="403" customHeight="1">
      <c r="A9" s="8" t="inlineStr">
        <is>
          <t>(continued)
DOCUMENT COVERAGE (re-established 2026-09-16, HD-080): this entity published a CONTINUOUS run of 14 standalone Pillar 3 documents, FY2010 through FY2023, and all 14 are cited above and live on the publisher's site. There is no FY2009 edition and no FY2024 or FY2025 edition. The run splits at the CRD IV boundary: FY2010-FY2015 are Basel II / BIPRU (see the pre-CRD IV note - only Total capital resources is transcribable from them), FY2016-FY2023 are CRD IV.
FY2021-FY2023: full UK KM1-format 'Key Regulatory Metrics' table from each year's own standalone Pillar 3 Disclosures document. FY2024-FY2025: no standalone Pillar 3 document exists (the bank's financial information page lists a Pillar 3 disclosure link for FY2018-FY2023 only), but the Annual Report still carries much of the content, in TWO SEPARATE PLACES, and both are used here:
  (i) the unaudited 'Capital risk management' note in the financial statements - CET1 capital, total risk-weighted assets, CET1 ratio, total own funds and total capital ratio (FY2025 note 34, printed folio 77; FY2024 note 32, printed folio 74);
  (ii) the Chief Finance Officer's Report in the Strategic Report, printed folio 13 in BOTH editions - the year-end LIQUIDITY COVERAGE RATIO and the year-end LEVERAGE RATIO, each stated in the running prose rather than in a table.
CORRECTION OF RECORD, 2026-09-18 (GA-005). This note previously said the Annual Report's capital note 'does not include Leverage Ratio, LCR, or NSFR', and the LCR and Leverage Ratio sheets carried FY2025 as 'NOT APPLICABLE - no such disclosure will ever exist' on the strength of the SDDT modification below. That was wrong in both directions and four real published figures were blank because of it: the statement was true of the capital NOTE and false of the REPORT, which discloses both metrics for both years. The SDDT modification ended the bank's PILLAR 3 duty; it did not stop the bank publishing, and the bank did in fact publish. FY2025 LCR 310.7% and leverage ratio 8.1%, FY2024 LCR 274.0% and leverage ratio 8.4%, each read from that year's OWN Annual Report. The figures are now on their sheets.
WHAT REMAINS ABSENT FOR FY2024-FY2025, and how that was established. The NSFR is genuinely not disclosed: 'NSFR' and 'Net Stable Funding' each return ZERO hits in the full text of both Annual Reports, against a richness control run on the same extractions in which 'credit risk' returns 76 hits (FY2025) and 72 (FY2024), 'operational risk' 16 and 15, 'CET1' 4 and 3, and 'LCR' 3 and 2 - so the zero is a fact about the documents, not about the extraction. No Simplified Retail Deposit Ratio value is published either, so nothing succeeds the NSFR series. Also absent: the LEVERAGE EXPOSURE MEASURE ('total exposure measure' likewise zero hits) - the ratio is stated without its denominator, and the denominator is NOT back-solved from it; the LCR's HQLA and net-outflow build-up; any category-level RWA breakdown; and any MREL figure ('MREL', 'minimum requirement for own funds' and 'loss-absorbing' all zero hits in both editions).
SDDT EXEMPTION - REASON FOR THE FY2025 CESSATION OF THE PILLAR 3 DOCUMENT, established 2026-09-15 (cross-bank SDDT pass) and re-verified against the register 2026-09-18. Julian Hodge Bank is a Small Domestic Deposit Taker (SDDT) and is therefore not required to publish Pillar 3 disclosures, so the absence of an FY2025 Pillar 3 DOCUMENT is an EVIDENCED STRUCTURAL EXEMPTION. READ THE SCOPE OF THAT CAREFULLY: it explains why no FY2025 Pillar 3 document appears, and it explains NOTHING about whether any individual metric is published. Opting in removes a duty to publish; it does not stop a firm publishing, and this firm went on to publish its FY2025 LCR and leverage ratio in its Annual Report. A metric is blanked here only where it has been shown absent from the documents that do exist - never on the strength of this modification.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204439, 'Julian Hodge Bank Limited': (a) 'CRR firms: SDDT Regime - General Application Part 1.2 &amp; 2.1(9)', sub rule 'Ru 1.2 &amp; 2.1(9)', ref 'A00009819P.pdf', start '11/02/2025', end '11/02/2028'; and (b) 'Modification by Consent - PRA Rulebook - CRR Firms - Rule 3.1 of the SDDT Regime - General Application Part', sub rule 'Ru 3.1', ref 'A00009917P.pdf', start '18/02/2025',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row: FRN 575105, Rule 3.1, start '17/01/2025' - matching its own stated approval date exactly, which is what ties the register row to the firm-stated effect.)
DATE FIT, stated precisely because the two years differ. This bank's year-end is 30 September. FY2025 (period ended 30 September 2025) falls wholly after the 18 February 2025 modification, so FY2025 is unambiguously covered. FY2024 (period ended 30 September 2024) ENDED BEFORE the modification took effect, so the exemption does not straightforwardly cover it. It may still explain the FY2024 non-publication - Cynergy's 17 January 2025 approval expressly removed its obligation for the 31 December 2024 reporting date that preceded it, and Hodge's FY2024 Pillar 3 would have fallen due at almost exactly the point its own modification landed - but Julian Hodge Bank has not said so, so FY2024 is left as NOT ESTABLISHED rather than claimed as structurally exempt. It is recorded as: no FY2024 Pillar 3 document published; SDDT exemption effective from 18 February 2025 is a plausible but unconfirmed cause.
The exemption explains NOTHING about FY2014-FY2023, every one of which has its own published Pillar 3 document cited above. Do not read SDDT back onto FY2023 or earlier. Neither Annual Report claims SDDT status in the bank's own words: both the FY2024 and FY2025 Annual Reports were downloaded and text-extracted in full (readable text layers, ~737k and ~751k characters) and searched for 'SDDT', 'Small Domestic Deposit Taker', 'modification by consent', 'Simplified Retail Deposit Ratio', 'SRDR', 'Strong and Simple', 'Interim Capital Regime' and 'Basel 3.1'. SDDT appears only as regulatory-developments context - AR2024 p.18 refers to 'the draft Small Domestic Deposit Takers' rules and AR2025 p.18 to 'the ongoing Basel 3.1 and Small Domestic Deposit Takers (SDDT) consultations' - and neither report mentions Pillar 3 disclosure obligations at all (the word 'Pillar' appears only in 'Pillar 1' and 'Pillar 2'). No Simplified Retail Deposit Ratio value is disclosed, so nothing replaces the NSFR series.</t>
        </is>
      </c>
    </row>
    <row r="11" ht="377" customHeight="1">
      <c r="A11" s="8" t="inlineStr">
        <is>
          <t>(continued)
PRE-CRD IV (BASEL II) COLUMNS FY2013-FY2010 - READ BEFORE USING THEM. CRD IV took effect 1 January 2014. The FY2013, FY2012, FY2011 and FY2010 Pillar 3 documents are Basel II / BIPRU disclosures and they do not report the same things under the same names. What each of the four actually prints, in its section 4 'Capital resources' table, is: Tier 1 capital (ordinary shares + profit and loss reserve), a deduction for investments in subsidiaries, 'Total Tier 1 capital', a Tier 2 line (eligible general provisions, less a revaluation reserve deduction in FY2013/FY2012/FY2011), and 'Total capital resources'. In its section 5.1 it prints a 'Pillar 1 capital requirement' by exposure class.
WHAT IS DELIBERATELY NOT POPULATED, and why. (1) CET1: the concept did not exist before CRD IV and none of the four documents uses the term - a Basel II 'Total Tier 1 capital' is NOT a CET1 figure and is not placed on the CET1 sheet. (2) Tier 1 Capital: each edition's own Total Tier 1 capital is FY2013 113.7, FY2012 111.1, FY2011 109.7, FY2010 108.1 - recorded here in prose only and NOT as a data column, which is the treatment this script already applies to the FY2015/FY2014 Basel II Tier 1 figures, kept consistent rather than changed for the newly-added years. (3) EVERY RATIO SHEET: no risk-weighted-asset amount appears anywhere in any of the four documents (grep for 'risk weighted'/'risk-weighted' returns zero hits in all four), so there is no denominator, and none of the four prints a capital ratio of any kind. Grossing the Pillar 1 capital requirement up by 12.5 would manufacture an RWA no document states, and is deliberately not done. (4) Leverage / LCR / NSFR: none of the three existed as a UK disclosure requirement in these years. FY2013's document mentions a leverage ratio exactly once, as forward-looking prose about CRD IV's forthcoming requirements ('enhanced reporting requirements include the introduction of a leverage ratio, liquidity coverage...'), with no value; FY2012/FY2011/FY2010 do not mention it at all. In particular these years belong on NEITHER row of the Leverage Ratio sheet's excluding-/including-claims-on-central-banks pair - that is a 2022 UK framework distinction and reading it back onto a Basel II year would be meaningless.
WHAT IS POPULATED: 'Total capital resources' only, on the Total Capital sheet - a figure each document states directly as a total. This matches how FY2015 (122.4) and FY2014 (118.8) were already handled on that sheet before this extension. The Pillar 1 capital requirement for the four new years is FY2013 35.3 (credit risk 34.9 + operational risk 0.4), FY2012 36.8 (36.0 + 0.8), FY2011 38.9 (37.7 + 1.2), FY2010 41.5 (40.2 + 1.3) - recorded in prose on the Total RWAs sheet, as CAPITAL, never converted to RWA.
PILLAR 3 URL STATUS, established 2026-09-16 (HD-080). This CORRECTS a note previously held here which asserted that the historical Pillar 3 documents were NOT live on hodgebank.co.uk and that the Wayback citations must not be repointed. That note tested only the OLD paths - /wp-content/uploads/2019/01/, /2019/04/, /2020/02/ and /2021/02/ - and about those it was right: they are dead. But it never tested /wp-content/uploads/2024/07/, and the entire historical series was re-uploaded there on 2024-07-25. All 14 editions FY2010-FY2023 are live and genuine at that path. The old note's conclusion was therefore wrong and has been removed.
HOW EACH FILE WAS VERIFIED (not by status code): HTTP status + Content-Type: application/pdf + %PDF magic bytes + pdfinfo page count + the cover page read for its stated period. Two traps on this host, both real:
  (1) www.hodgebank.co.uk 301-redirects to the apex domain. curl without -L returns 301 / 162 bytes, which looks like a dead link and is almost certainly what produced the earlier report.
  (2) The SOFT-404 on this host is PER-FILENAME, not per-directory - do not generalise a negative control across a directory. WordPress serves one 'Financial Information' landing page (HTTP 200, text/html, 108,306 bytes, md5 c69229b0d911df8ea64ada86d57738a2) for certain KNOWN OLD attachment slugs, while an unknown filename in that very same directory 404s honestly (146 bytes). Measured 2026-09-16: /2020/02/FINAL-Julian-Hodge-Bank-Limited-FY18.pdf -&gt; soft-404 but /2020/02/zzz-nonexistent-control.pdf -&gt; honest 404; /2021/02/2.-JHB-Pillar-III.pdf -&gt; soft-404 but /2021/02/zzz-control.pdf -&gt; honest 404; /2019/01/jhb-pillar3-2014.pdf -&gt; honest 404; /2024/07/zzz-nonexistent-control.pdf -&gt; honest 404. The decisive test is always the per-URL Content-Type plus %PDF check, never HTTP 200 and never a control run on a different filename.
SAFETY OF THE REPOINTING: every live file was md5-compared against the Wayback capture the figures were originally transcribed from, and all five checked pairs are byte-identical - FY2018 addbb5d0301b1b2349dbd9b05d3b3dfc, FY2017 b76617584f830bf3f6dbb68720744fdd, FY2016 0bd97d21c8ebd0972d5e96be8c6c1d9b, FY2015 c448471eea12e998bbfb104e3074d3cc, FY2014 5318b684c1a1d4ef8e84d62a4ba055a4. The FY2019 (695,975 B) and FY2020 (2,416,601 B) live files likewise match their captures exactly. No transcribed figure changes. Every superseded Wayback URL is kept above as a *_URL_ARCHIVE fallback.
ENUMERATION: the back catalogue was enumerated three ways - filename permutation jhb-pillar3-&lt;year&gt;.pdf across 2008-2023 (2008, 2009 and 2019-2023 honestly 404 under that name); the WordPress REST media API, whose library was walked in full (66 items over 2 pages, complete) and which is what surfaced the five irregularly-named editions that permutation can never find; and a Wayback CDX sweep of hodgebank.co.uk and julianhodgebank.co.uk which was BLOCKED on 2026-09-16 (HTTP 503/504, 'Internet Archive services are temporarily offline') and was recorded as unknown rather than as an absence. THAT SWEEP WAS RE-RUN SUCCESSFULLY ON 2026-09-18 and is no longer an open item - it completed over all three domains and found nothing newer than the FY2023 edition; see the full account in BASIS_NOTE. Result, now confirmed from three independent directions (filename permutation, the WordPress media API, and the archive): a continuous FY2010-FY2023 run of 14 editions, no FY2009, no FY2024, no FY2025.
FILENAME NEVER EQUALS PERIOD ON THIS SITE. Hodge-pillar-3-19.06.23.pdf is a 2023 PUBLICATION date on the FY2022 edition, and Hodge-pillar-3-11.03.24.pdf is a 2024 publication date on the FY2023 edition. The cover page is the only trustworthy source of the period, and every period recorded in this script was read off the cover. This matters doubly because the year-end MOVES mid-series: 31 October through FY2019, 30 September from FY2021, with FY2020 an 11-month transition period.</t>
        </is>
      </c>
    </row>
  </sheetData>
  <mergeCells count="4">
    <mergeCell ref="A11:K11"/>
    <mergeCell ref="A5:K5"/>
    <mergeCell ref="A7:K7"/>
    <mergeCell ref="A9:K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Julian Hodge Bank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ratio</t>
        </is>
      </c>
      <c r="B4" s="6" t="inlineStr">
        <is>
          <t>17.5%</t>
        </is>
      </c>
      <c r="C4" s="6" t="inlineStr">
        <is>
          <t>19.8%</t>
        </is>
      </c>
      <c r="D4" s="6" t="inlineStr">
        <is>
          <t>24.5%</t>
        </is>
      </c>
      <c r="E4" s="6" t="inlineStr">
        <is>
          <t>25.2%</t>
        </is>
      </c>
      <c r="F4" s="6" t="inlineStr">
        <is>
          <t>20.2%</t>
        </is>
      </c>
      <c r="G4" s="6" t="inlineStr">
        <is>
          <t>19.7%</t>
        </is>
      </c>
      <c r="H4" s="6" t="inlineStr">
        <is>
          <t>23.0%</t>
        </is>
      </c>
      <c r="I4" s="6" t="inlineStr">
        <is>
          <t>22.3%</t>
        </is>
      </c>
      <c r="J4" s="6" t="inlineStr">
        <is>
          <t>21.1%</t>
        </is>
      </c>
      <c r="K4" s="6" t="inlineStr">
        <is>
          <t>19.2%</t>
        </is>
      </c>
    </row>
    <row r="5" ht="30" customHeight="1">
      <c r="A5" s="7" t="inlineStr">
        <is>
          <t>Note: Equal to CET1 ratio every year - see Tier 1 Capital sheet note. FY2015-FY2010 blank by design: no RWA denominator and no capital ratio is published in any of those six Basel II editions, and none is derived - see the CET1 Ratio and Total RWAs sheet notes.</t>
        </is>
      </c>
    </row>
    <row r="7" ht="377" customHeight="1">
      <c r="A7" s="8" t="inlineStr">
        <is>
          <t>Sources - Julian Hodge Bank Limited:
FY2023: Hodge Bank Pillar 3 Disclosures - Period ended 30 September 2023, Table "3 Key Regulatory Metrics", p.9 - https://hodgebank.co.uk/wp-content/uploads/2024/07/Hodge-pillar-3-11.03.24.pdf
FY2022: Hodge Bank Pillar 3 Disclosures - Period ended 30 September 2022, Table "3 Key Regulatory Metrics", p.12 - https://hodgebank.co.uk/wp-content/uploads/2024/07/Hodge-pillar-3-19.06.23.pdf
FY2021: Hodge Bank Pillar 3 Disclosures - Period ended 30 September 2021, Table "Key Metrics", p.16 - https://hodgebank.co.uk/wp-content/uploads/2024/07/Hodge-Pillar-3-Document-2020_2021.pdf
FY2020: Julian Hodge Bank Limited Pillar 3 Disclosures - Period ended 30 September 2020, Summary of Key Regulatory Metrics, p.8 - https://hodgebank.co.uk/wp-content/uploads/2024/07/2.-JHB-Pillar-III.pdf
FY2019: Julian Hodge Bank Limited Pillar 3 Disclosures - Period ended 31 October 2019, Key Regulatory Metrics, p.10-11 - https://hodgebank.co.uk/wp-content/uploads/2024/07/Pillar-3-Disclosure-FY19-FINAL.pdf
FY2018: Julian Hodge Bank Limited Pillar 3 Disclosures - Period ended 31 October 2018, Key Regulatory Metrics, p.10-11 - https://hodgebank.co.uk/wp-content/uploads/2024/07/jhb-pillar3-2018.pdf
FY2017: Julian Hodge Bank Limited Pillar 3 Disclosures - Period ended 31 October 2017, Summary of Key Capital Ratios/Capital Resources, p.6/15 - https://hodgebank.co.uk/wp-content/uploads/2024/07/jhb-pillar3-2017.pdf
FY2016: Julian Hodge Bank Limited Pillar 3 Disclosures - Period ended 31 October 2016, Summary of Key Capital Ratios/Capital Resources, p.6/15 - https://hodgebank.co.uk/wp-content/uploads/2024/07/jhb-pillar3-2016.pdf
FY2015: Julian Hodge Bank Limited Pillar 3 Disclosures - Period ended 31 October 2015, Capital Resources, p.12-13 - https://hodgebank.co.uk/wp-content/uploads/2024/07/jhb-pillar3-2015.pdf
FY2014: Julian Hodge Bank Limited Pillar 3 Disclosures - period ended 31 October 2014, Capital Resources, p.12-13 - https://hodgebank.co.uk/wp-content/uploads/2024/07/jhb-pillar3-2014.pdf
FY2013: Julian Hodge Bank Limited Pillar 3 disclosures - as at 31 October 2013 (Basel II), section 4 "Capital resources", PDF p.12 of 23, and section 5.1 "Pillar 1 capital requirement", PDF p.13 - https://hodgebank.co.uk/wp-content/uploads/2024/07/jhb-pillar3-2013.pdf
FY2012: Julian Hodge Bank Limited Pillar 3 disclosures - as at 31 October 2012 (Basel II), section 4 "Capital resources", PDF p.11 of 21, and section 5.1 "Pillar 1 capital requirement", PDF p.12 - https://hodgebank.co.uk/wp-content/uploads/2024/07/jhb-pillar3-2012.pdf
FY2011: Julian Hodge Bank Limited Pillar 3 disclosures - as at 31 October 2011 (Basel II), section 4 "Capital resources", PDF p.13 of 28, and section 5.1 "Pillar 1 capital requirement", PDF p.15 - https://hodgebank.co.uk/wp-content/uploads/2024/07/jhb-pillar3-2011.pdf
FY2010: Julian Hodge Bank Limited Pillar 3 disclosures - as at 31 October 2010 (Basel II), section 4 "Capital resources", PDF p.13 of 27, and section 5.1 "Pillar 1 capital requirement", PDF p.15 - https://hodgebank.co.uk/wp-content/uploads/2024/07/jhb-pillar3-2010.pdf
FY2024: Julian Hodge Bank Limited Annual Report 2024, Note 32 'Capital risk management (unaudited)', printed folio 74 (CET1 capital, total RWA, CET1 ratio, total own funds, total capital ratio); and the Chief Finance Officer's Report, printed folio 13, section 'Liquidity' / 'Capital and Leverage' (LCR and Leverage Ratio, stated in prose) - https://hodgebank.co.uk/wp-content/uploads/2025/02/Hodge-annual-report-21.02.25.pdf
FY2025: Julian Hodge Bank Limited Annual Report 2025, Note 34 'Capital risk management (unaudited)', printed folio 77 (same five figures); and the Chief Finance Officer's Report, printed folio 13, same two sections (LCR and Leverage Ratio) - https://hodgebank.co.uk/wp-content/uploads/2026/02/Hodge-AR-28.01.26.pdf
  [Folios corrected 2026-09-18: the capital note was previously cited as p.73 (FY2024) and p.76 (FY2025), each one short. Both documents run at a zero offset between the pdftotext sheet index and the printed folio, and each page's own footer reads 'Hodge Annual Report 20XX ... 74' / '... 77'. The folio-13 citations are new with this pass.]
Wayback fallbacks for the FY2020-FY2014 documents, retained and never to be deleted (each is byte-identical to the live file now cited above):
  FY2020 - https://web.archive.org/web/20220620025450id_/https://hodgebank.co.uk/wp-content/uploads/2021/02/2.-JHB-Pillar-III.pdf
  FY2019 - https://web.archive.org/web/20210517002419id_/https://hodgebank.co.uk/wp-content/uploads/2020/02/Pillar-3-Disclosure-FY19-FINAL.pdf
  FY2018 - https://web.archive.org/web/20210517004624id_/https://hodgebank.co.uk/wp-content/uploads/2019/04/jhb-pillar3-2018.pdf
  FY2017 - https://web.archive.org/web/20220620025310id_/https://hodgebank.co.uk/wp-content/uploads/2019/01/jhb-pillar3-2017.pdf
  FY2016 - https://web.archive.org/web/20220620025406id_/https://hodgebank.co.uk/wp-content/uploads/2019/01/jhb-pillar3-2016.pdf
  FY2015 - https://web.archive.org/web/20220620025429id_/https://hodgebank.co.uk/wp-content/uploads/2019/01/jhb-pillar3-2015.pdf
  FY2014 - https://web.archive.org/web/20220620025434id_/https://hodgebank.co.uk/wp-content/uploads/2019/01/jhb-pillar3-2014.pdf</t>
        </is>
      </c>
    </row>
    <row r="9" ht="403" customHeight="1">
      <c r="A9" s="8" t="inlineStr">
        <is>
          <t>(continued)
DOCUMENT COVERAGE (re-established 2026-09-16, HD-080): this entity published a CONTINUOUS run of 14 standalone Pillar 3 documents, FY2010 through FY2023, and all 14 are cited above and live on the publisher's site. There is no FY2009 edition and no FY2024 or FY2025 edition. The run splits at the CRD IV boundary: FY2010-FY2015 are Basel II / BIPRU (see the pre-CRD IV note - only Total capital resources is transcribable from them), FY2016-FY2023 are CRD IV.
FY2021-FY2023: full UK KM1-format 'Key Regulatory Metrics' table from each year's own standalone Pillar 3 Disclosures document. FY2024-FY2025: no standalone Pillar 3 document exists (the bank's financial information page lists a Pillar 3 disclosure link for FY2018-FY2023 only), but the Annual Report still carries much of the content, in TWO SEPARATE PLACES, and both are used here:
  (i) the unaudited 'Capital risk management' note in the financial statements - CET1 capital, total risk-weighted assets, CET1 ratio, total own funds and total capital ratio (FY2025 note 34, printed folio 77; FY2024 note 32, printed folio 74);
  (ii) the Chief Finance Officer's Report in the Strategic Report, printed folio 13 in BOTH editions - the year-end LIQUIDITY COVERAGE RATIO and the year-end LEVERAGE RATIO, each stated in the running prose rather than in a table.
CORRECTION OF RECORD, 2026-09-18 (GA-005). This note previously said the Annual Report's capital note 'does not include Leverage Ratio, LCR, or NSFR', and the LCR and Leverage Ratio sheets carried FY2025 as 'NOT APPLICABLE - no such disclosure will ever exist' on the strength of the SDDT modification below. That was wrong in both directions and four real published figures were blank because of it: the statement was true of the capital NOTE and false of the REPORT, which discloses both metrics for both years. The SDDT modification ended the bank's PILLAR 3 duty; it did not stop the bank publishing, and the bank did in fact publish. FY2025 LCR 310.7% and leverage ratio 8.1%, FY2024 LCR 274.0% and leverage ratio 8.4%, each read from that year's OWN Annual Report. The figures are now on their sheets.
WHAT REMAINS ABSENT FOR FY2024-FY2025, and how that was established. The NSFR is genuinely not disclosed: 'NSFR' and 'Net Stable Funding' each return ZERO hits in the full text of both Annual Reports, against a richness control run on the same extractions in which 'credit risk' returns 76 hits (FY2025) and 72 (FY2024), 'operational risk' 16 and 15, 'CET1' 4 and 3, and 'LCR' 3 and 2 - so the zero is a fact about the documents, not about the extraction. No Simplified Retail Deposit Ratio value is published either, so nothing succeeds the NSFR series. Also absent: the LEVERAGE EXPOSURE MEASURE ('total exposure measure' likewise zero hits) - the ratio is stated without its denominator, and the denominator is NOT back-solved from it; the LCR's HQLA and net-outflow build-up; any category-level RWA breakdown; and any MREL figure ('MREL', 'minimum requirement for own funds' and 'loss-absorbing' all zero hits in both editions).
SDDT EXEMPTION - REASON FOR THE FY2025 CESSATION OF THE PILLAR 3 DOCUMENT, established 2026-09-15 (cross-bank SDDT pass) and re-verified against the register 2026-09-18. Julian Hodge Bank is a Small Domestic Deposit Taker (SDDT) and is therefore not required to publish Pillar 3 disclosures, so the absence of an FY2025 Pillar 3 DOCUMENT is an EVIDENCED STRUCTURAL EXEMPTION. READ THE SCOPE OF THAT CAREFULLY: it explains why no FY2025 Pillar 3 document appears, and it explains NOTHING about whether any individual metric is published. Opting in removes a duty to publish; it does not stop a firm publishing, and this firm went on to publish its FY2025 LCR and leverage ratio in its Annual Report. A metric is blanked here only where it has been shown absent from the documents that do exist - never on the strength of this modification.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204439, 'Julian Hodge Bank Limited': (a) 'CRR firms: SDDT Regime - General Application Part 1.2 &amp; 2.1(9)', sub rule 'Ru 1.2 &amp; 2.1(9)', ref 'A00009819P.pdf', start '11/02/2025', end '11/02/2028'; and (b) 'Modification by Consent - PRA Rulebook - CRR Firms - Rule 3.1 of the SDDT Regime - General Application Part', sub rule 'Ru 3.1', ref 'A00009917P.pdf', start '18/02/2025',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row: FRN 575105, Rule 3.1, start '17/01/2025' - matching its own stated approval date exactly, which is what ties the register row to the firm-stated effect.)
DATE FIT, stated precisely because the two years differ. This bank's year-end is 30 September. FY2025 (period ended 30 September 2025) falls wholly after the 18 February 2025 modification, so FY2025 is unambiguously covered. FY2024 (period ended 30 September 2024) ENDED BEFORE the modification took effect, so the exemption does not straightforwardly cover it. It may still explain the FY2024 non-publication - Cynergy's 17 January 2025 approval expressly removed its obligation for the 31 December 2024 reporting date that preceded it, and Hodge's FY2024 Pillar 3 would have fallen due at almost exactly the point its own modification landed - but Julian Hodge Bank has not said so, so FY2024 is left as NOT ESTABLISHED rather than claimed as structurally exempt. It is recorded as: no FY2024 Pillar 3 document published; SDDT exemption effective from 18 February 2025 is a plausible but unconfirmed cause.
The exemption explains NOTHING about FY2014-FY2023, every one of which has its own published Pillar 3 document cited above. Do not read SDDT back onto FY2023 or earlier. Neither Annual Report claims SDDT status in the bank's own words: both the FY2024 and FY2025 Annual Reports were downloaded and text-extracted in full (readable text layers, ~737k and ~751k characters) and searched for 'SDDT', 'Small Domestic Deposit Taker', 'modification by consent', 'Simplified Retail Deposit Ratio', 'SRDR', 'Strong and Simple', 'Interim Capital Regime' and 'Basel 3.1'. SDDT appears only as regulatory-developments context - AR2024 p.18 refers to 'the draft Small Domestic Deposit Takers' rules and AR2025 p.18 to 'the ongoing Basel 3.1 and Small Domestic Deposit Takers (SDDT) consultations' - and neither report mentions Pillar 3 disclosure obligations at all (the word 'Pillar' appears only in 'Pillar 1' and 'Pillar 2'). No Simplified Retail Deposit Ratio value is disclosed, so nothing replaces the NSFR series.</t>
        </is>
      </c>
    </row>
    <row r="11" ht="377" customHeight="1">
      <c r="A11" s="8" t="inlineStr">
        <is>
          <t>(continued)
PRE-CRD IV (BASEL II) COLUMNS FY2013-FY2010 - READ BEFORE USING THEM. CRD IV took effect 1 January 2014. The FY2013, FY2012, FY2011 and FY2010 Pillar 3 documents are Basel II / BIPRU disclosures and they do not report the same things under the same names. What each of the four actually prints, in its section 4 'Capital resources' table, is: Tier 1 capital (ordinary shares + profit and loss reserve), a deduction for investments in subsidiaries, 'Total Tier 1 capital', a Tier 2 line (eligible general provisions, less a revaluation reserve deduction in FY2013/FY2012/FY2011), and 'Total capital resources'. In its section 5.1 it prints a 'Pillar 1 capital requirement' by exposure class.
WHAT IS DELIBERATELY NOT POPULATED, and why. (1) CET1: the concept did not exist before CRD IV and none of the four documents uses the term - a Basel II 'Total Tier 1 capital' is NOT a CET1 figure and is not placed on the CET1 sheet. (2) Tier 1 Capital: each edition's own Total Tier 1 capital is FY2013 113.7, FY2012 111.1, FY2011 109.7, FY2010 108.1 - recorded here in prose only and NOT as a data column, which is the treatment this script already applies to the FY2015/FY2014 Basel II Tier 1 figures, kept consistent rather than changed for the newly-added years. (3) EVERY RATIO SHEET: no risk-weighted-asset amount appears anywhere in any of the four documents (grep for 'risk weighted'/'risk-weighted' returns zero hits in all four), so there is no denominator, and none of the four prints a capital ratio of any kind. Grossing the Pillar 1 capital requirement up by 12.5 would manufacture an RWA no document states, and is deliberately not done. (4) Leverage / LCR / NSFR: none of the three existed as a UK disclosure requirement in these years. FY2013's document mentions a leverage ratio exactly once, as forward-looking prose about CRD IV's forthcoming requirements ('enhanced reporting requirements include the introduction of a leverage ratio, liquidity coverage...'), with no value; FY2012/FY2011/FY2010 do not mention it at all. In particular these years belong on NEITHER row of the Leverage Ratio sheet's excluding-/including-claims-on-central-banks pair - that is a 2022 UK framework distinction and reading it back onto a Basel II year would be meaningless.
WHAT IS POPULATED: 'Total capital resources' only, on the Total Capital sheet - a figure each document states directly as a total. This matches how FY2015 (122.4) and FY2014 (118.8) were already handled on that sheet before this extension. The Pillar 1 capital requirement for the four new years is FY2013 35.3 (credit risk 34.9 + operational risk 0.4), FY2012 36.8 (36.0 + 0.8), FY2011 38.9 (37.7 + 1.2), FY2010 41.5 (40.2 + 1.3) - recorded in prose on the Total RWAs sheet, as CAPITAL, never converted to RWA.
PILLAR 3 URL STATUS, established 2026-09-16 (HD-080). This CORRECTS a note previously held here which asserted that the historical Pillar 3 documents were NOT live on hodgebank.co.uk and that the Wayback citations must not be repointed. That note tested only the OLD paths - /wp-content/uploads/2019/01/, /2019/04/, /2020/02/ and /2021/02/ - and about those it was right: they are dead. But it never tested /wp-content/uploads/2024/07/, and the entire historical series was re-uploaded there on 2024-07-25. All 14 editions FY2010-FY2023 are live and genuine at that path. The old note's conclusion was therefore wrong and has been removed.
HOW EACH FILE WAS VERIFIED (not by status code): HTTP status + Content-Type: application/pdf + %PDF magic bytes + pdfinfo page count + the cover page read for its stated period. Two traps on this host, both real:
  (1) www.hodgebank.co.uk 301-redirects to the apex domain. curl without -L returns 301 / 162 bytes, which looks like a dead link and is almost certainly what produced the earlier report.
  (2) The SOFT-404 on this host is PER-FILENAME, not per-directory - do not generalise a negative control across a directory. WordPress serves one 'Financial Information' landing page (HTTP 200, text/html, 108,306 bytes, md5 c69229b0d911df8ea64ada86d57738a2) for certain KNOWN OLD attachment slugs, while an unknown filename in that very same directory 404s honestly (146 bytes). Measured 2026-09-16: /2020/02/FINAL-Julian-Hodge-Bank-Limited-FY18.pdf -&gt; soft-404 but /2020/02/zzz-nonexistent-control.pdf -&gt; honest 404; /2021/02/2.-JHB-Pillar-III.pdf -&gt; soft-404 but /2021/02/zzz-control.pdf -&gt; honest 404; /2019/01/jhb-pillar3-2014.pdf -&gt; honest 404; /2024/07/zzz-nonexistent-control.pdf -&gt; honest 404. The decisive test is always the per-URL Content-Type plus %PDF check, never HTTP 200 and never a control run on a different filename.
SAFETY OF THE REPOINTING: every live file was md5-compared against the Wayback capture the figures were originally transcribed from, and all five checked pairs are byte-identical - FY2018 addbb5d0301b1b2349dbd9b05d3b3dfc, FY2017 b76617584f830bf3f6dbb68720744fdd, FY2016 0bd97d21c8ebd0972d5e96be8c6c1d9b, FY2015 c448471eea12e998bbfb104e3074d3cc, FY2014 5318b684c1a1d4ef8e84d62a4ba055a4. The FY2019 (695,975 B) and FY2020 (2,416,601 B) live files likewise match their captures exactly. No transcribed figure changes. Every superseded Wayback URL is kept above as a *_URL_ARCHIVE fallback.
ENUMERATION: the back catalogue was enumerated three ways - filename permutation jhb-pillar3-&lt;year&gt;.pdf across 2008-2023 (2008, 2009 and 2019-2023 honestly 404 under that name); the WordPress REST media API, whose library was walked in full (66 items over 2 pages, complete) and which is what surfaced the five irregularly-named editions that permutation can never find; and a Wayback CDX sweep of hodgebank.co.uk and julianhodgebank.co.uk which was BLOCKED on 2026-09-16 (HTTP 503/504, 'Internet Archive services are temporarily offline') and was recorded as unknown rather than as an absence. THAT SWEEP WAS RE-RUN SUCCESSFULLY ON 2026-09-18 and is no longer an open item - it completed over all three domains and found nothing newer than the FY2023 edition; see the full account in BASIS_NOTE. Result, now confirmed from three independent directions (filename permutation, the WordPress media API, and the archive): a continuous FY2010-FY2023 run of 14 editions, no FY2009, no FY2024, no FY2025.
FILENAME NEVER EQUALS PERIOD ON THIS SITE. Hodge-pillar-3-19.06.23.pdf is a 2023 PUBLICATION date on the FY2022 edition, and Hodge-pillar-3-11.03.24.pdf is a 2024 publication date on the FY2023 edition. The cover page is the only trustworthy source of the period, and every period recorded in this script was read off the cover. This matters doubly because the year-end MOVES mid-series: 31 October through FY2019, 30 September from FY2021, with FY2020 an 11-month transition period.</t>
        </is>
      </c>
    </row>
  </sheetData>
  <mergeCells count="4">
    <mergeCell ref="A11:K11"/>
    <mergeCell ref="A5:K5"/>
    <mergeCell ref="A7:K7"/>
    <mergeCell ref="A9:K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Julian Hodge Bank Limited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row>
    <row r="4">
      <c r="A4" s="6" t="inlineStr">
        <is>
          <t>Total capital</t>
        </is>
      </c>
      <c r="B4" s="6" t="n">
        <v>162.8</v>
      </c>
      <c r="C4" s="6" t="n">
        <v>166.2</v>
      </c>
      <c r="D4" s="6" t="n">
        <v>172.9</v>
      </c>
      <c r="E4" s="6" t="n">
        <v>177</v>
      </c>
      <c r="F4" s="6" t="n">
        <v>143.8</v>
      </c>
      <c r="G4" s="6" t="n">
        <v>136.4</v>
      </c>
      <c r="H4" s="6" t="n">
        <v>156.6</v>
      </c>
      <c r="I4" s="6" t="n">
        <v>168</v>
      </c>
      <c r="J4" s="6" t="n">
        <v>149.5</v>
      </c>
      <c r="K4" s="6" t="n">
        <v>129.3</v>
      </c>
      <c r="L4" s="6" t="n">
        <v>122.4</v>
      </c>
      <c r="M4" s="6" t="n">
        <v>118.8</v>
      </c>
      <c r="N4" s="6" t="n">
        <v>114.3</v>
      </c>
      <c r="O4" s="6" t="n">
        <v>114.1</v>
      </c>
      <c r="P4" s="6" t="n">
        <v>114.8</v>
      </c>
      <c r="Q4" s="6" t="n">
        <v>114.7</v>
      </c>
    </row>
    <row r="5" ht="39" customHeight="1">
      <c r="A5" s="7" t="inlineStr">
        <is>
          <t>Note: Equal to CET1/Tier 1 FY2016-FY2025 - the Bank holds no Tier 2 capital in those years. FY2015-FY2010: these figures are Basel II 'Total capital resources' (Tier 1 after the deduction for investments in subsidiaries, plus a small Tier 2 add-back for eligible general provisions, net of a revaluation reserve deduction in FY2013/FY2012/FY2011) - each is a total the source document states directly, none is summed or derived here. They are NOT directly comparable to the CRD IV 'Total capital' figures shown FY2016 onward, though presented on the same row per this project's convention of showing each year's own headline total-capital figure. FY2013-FY2010 added 2026-09-16 (HD-080) from the four newly-located Basel II editions; FY2015/FY2014 were already on this basis before that, so the four new years extend an existing Basel II run rather than introducing a new mixed basis. This is the ONLY metric sheet those four years populate - see the pre-CRD IV note in this sheet's sources for why every other sheet is deliberately blank for them.</t>
        </is>
      </c>
    </row>
    <row r="7" ht="390" customHeight="1">
      <c r="A7" s="8" t="inlineStr">
        <is>
          <t>Sources - Julian Hodge Bank Limited:
FY2023: Hodge Bank Pillar 3 Disclosures - Period ended 30 September 2023, Table "3 Key Regulatory Metrics", p.9 - https://hodgebank.co.uk/wp-content/uploads/2024/07/Hodge-pillar-3-11.03.24.pdf
FY2022: Hodge Bank Pillar 3 Disclosures - Period ended 30 September 2022, Table "3 Key Regulatory Metrics", p.12 - https://hodgebank.co.uk/wp-content/uploads/2024/07/Hodge-pillar-3-19.06.23.pdf
FY2021: Hodge Bank Pillar 3 Disclosures - Period ended 30 September 2021, Table "Key Metrics", p.16 - https://hodgebank.co.uk/wp-content/uploads/2024/07/Hodge-Pillar-3-Document-2020_2021.pdf
FY2020: Julian Hodge Bank Limited Pillar 3 Disclosures - Period ended 30 September 2020, Summary of Key Regulatory Metrics, p.8 - https://hodgebank.co.uk/wp-content/uploads/2024/07/2.-JHB-Pillar-III.pdf
FY2019: Julian Hodge Bank Limited Pillar 3 Disclosures - Period ended 31 October 2019, Key Regulatory Metrics, p.10-11 - https://hodgebank.co.uk/wp-content/uploads/2024/07/Pillar-3-Disclosure-FY19-FINAL.pdf
FY2018: Julian Hodge Bank Limited Pillar 3 Disclosures - Period ended 31 October 2018, Key Regulatory Metrics, p.10-11 - https://hodgebank.co.uk/wp-content/uploads/2024/07/jhb-pillar3-2018.pdf
FY2017: Julian Hodge Bank Limited Pillar 3 Disclosures - Period ended 31 October 2017, Summary of Key Capital Ratios/Capital Resources, p.6/15 - https://hodgebank.co.uk/wp-content/uploads/2024/07/jhb-pillar3-2017.pdf
FY2016: Julian Hodge Bank Limited Pillar 3 Disclosures - Period ended 31 October 2016, Summary of Key Capital Ratios/Capital Resources, p.6/15 - https://hodgebank.co.uk/wp-content/uploads/2024/07/jhb-pillar3-2016.pdf
FY2015: Julian Hodge Bank Limited Pillar 3 Disclosures - Period ended 31 October 2015, Capital Resources, p.12-13 - https://hodgebank.co.uk/wp-content/uploads/2024/07/jhb-pillar3-2015.pdf
FY2014: Julian Hodge Bank Limited Pillar 3 Disclosures - period ended 31 October 2014, Capital Resources, p.12-13 - https://hodgebank.co.uk/wp-content/uploads/2024/07/jhb-pillar3-2014.pdf
FY2013: Julian Hodge Bank Limited Pillar 3 disclosures - as at 31 October 2013 (Basel II), section 4 "Capital resources", PDF p.12 of 23, and section 5.1 "Pillar 1 capital requirement", PDF p.13 - https://hodgebank.co.uk/wp-content/uploads/2024/07/jhb-pillar3-2013.pdf
FY2012: Julian Hodge Bank Limited Pillar 3 disclosures - as at 31 October 2012 (Basel II), section 4 "Capital resources", PDF p.11 of 21, and section 5.1 "Pillar 1 capital requirement", PDF p.12 - https://hodgebank.co.uk/wp-content/uploads/2024/07/jhb-pillar3-2012.pdf
FY2011: Julian Hodge Bank Limited Pillar 3 disclosures - as at 31 October 2011 (Basel II), section 4 "Capital resources", PDF p.13 of 28, and section 5.1 "Pillar 1 capital requirement", PDF p.15 - https://hodgebank.co.uk/wp-content/uploads/2024/07/jhb-pillar3-2011.pdf
FY2010: Julian Hodge Bank Limited Pillar 3 disclosures - as at 31 October 2010 (Basel II), section 4 "Capital resources", PDF p.13 of 27, and section 5.1 "Pillar 1 capital requirement", PDF p.15 - https://hodgebank.co.uk/wp-content/uploads/2024/07/jhb-pillar3-2010.pdf
FY2024: Julian Hodge Bank Limited Annual Report 2024, Note 32 'Capital risk management (unaudited)', printed folio 74 (CET1 capital, total RWA, CET1 ratio, total own funds, total capital ratio); and the Chief Finance Officer's Report, printed folio 13, section 'Liquidity' / 'Capital and Leverage' (LCR and Leverage Ratio, stated in prose) - https://hodgebank.co.uk/wp-content/uploads/2025/02/Hodge-annual-report-21.02.25.pdf
FY2025: Julian Hodge Bank Limited Annual Report 2025, Note 34 'Capital risk management (unaudited)', printed folio 77 (same five figures); and the Chief Finance Officer's Report, printed folio 13, same two sections (LCR and Leverage Ratio) - https://hodgebank.co.uk/wp-content/uploads/2026/02/Hodge-AR-28.01.26.pdf
  [Folios corrected 2026-09-18: the capital note was previously cited as p.73 (FY2024) and p.76 (FY2025), each one short. Both documents run at a zero offset between the pdftotext sheet index and the printed folio, and each page's own footer reads 'Hodge Annual Report 20XX ... 74' / '... 77'. The folio-13 citations are new with this pass.]
Wayback fallbacks for the FY2020-FY2014 documents, retained and never to be deleted (each is byte-identical to the live file now cited above):
  FY2020 - https://web.archive.org/web/20220620025450id_/https://hodgebank.co.uk/wp-content/uploads/2021/02/2.-JHB-Pillar-III.pdf
  FY2019 - https://web.archive.org/web/20210517002419id_/https://hodgebank.co.uk/wp-content/uploads/2020/02/Pillar-3-Disclosure-FY19-FINAL.pdf
  FY2018 - https://web.archive.org/web/20210517004624id_/https://hodgebank.co.uk/wp-content/uploads/2019/04/jhb-pillar3-2018.pdf
  FY2017 - https://web.archive.org/web/20220620025310id_/https://hodgebank.co.uk/wp-content/uploads/2019/01/jhb-pillar3-2017.pdf
  FY2016 - https://web.archive.org/web/20220620025406id_/https://hodgebank.co.uk/wp-content/uploads/2019/01/jhb-pillar3-2016.pdf
  FY2015 - https://web.archive.org/web/20220620025429id_/https://hodgebank.co.uk/wp-content/uploads/2019/01/jhb-pillar3-2015.pdf
  FY2014 - https://web.archive.org/web/20220620025434id_/https://hodgebank.co.uk/wp-content/uploads/2019/01/jhb-pillar3-2014.pdf
DOCUMENT COVERAGE (re-established 2026-09-16, HD-080): this entity published a CONTINUOUS run of 14 standalone Pillar 3 documents, FY2010 through FY2023, and all 14 are cited above and live on the publisher's site. There is no FY2009 edition and no FY2024 or FY2025 edition. The run splits at the CRD IV boundary: FY2010-FY2015 are Basel II / BIPRU (see the pre-CRD IV note - only Total capital resources is transcribable from them), FY2016-FY2023 are CRD IV.
FY2021-FY2023: full UK KM1-format 'Key Regulatory Metrics' table from each year's own standalone Pillar 3 Disclosures document. FY2024-FY2025: no standalone Pillar 3 document exists (the bank's financial information page lists a Pillar 3 disclosure link for FY2018-FY2023 only), but the Annual Report still carries much of the content, in TWO SEPARATE PLACES, and both are used here:</t>
        </is>
      </c>
    </row>
    <row r="9" ht="403" customHeight="1">
      <c r="A9" s="8" t="inlineStr">
        <is>
          <t>(continued)
(i) the unaudited 'Capital risk management' note in the financial statements - CET1 capital, total risk-weighted assets, CET1 ratio, total own funds and total capital ratio (FY2025 note 34, printed folio 77; FY2024 note 32, printed folio 74);
  (ii) the Chief Finance Officer's Report in the Strategic Report, printed folio 13 in BOTH editions - the year-end LIQUIDITY COVERAGE RATIO and the year-end LEVERAGE RATIO, each stated in the running prose rather than in a table.
CORRECTION OF RECORD, 2026-09-18 (GA-005). This note previously said the Annual Report's capital note 'does not include Leverage Ratio, LCR, or NSFR', and the LCR and Leverage Ratio sheets carried FY2025 as 'NOT APPLICABLE - no such disclosure will ever exist' on the strength of the SDDT modification below. That was wrong in both directions and four real published figures were blank because of it: the statement was true of the capital NOTE and false of the REPORT, which discloses both metrics for both years. The SDDT modification ended the bank's PILLAR 3 duty; it did not stop the bank publishing, and the bank did in fact publish. FY2025 LCR 310.7% and leverage ratio 8.1%, FY2024 LCR 274.0% and leverage ratio 8.4%, each read from that year's OWN Annual Report. The figures are now on their sheets.
WHAT REMAINS ABSENT FOR FY2024-FY2025, and how that was established. The NSFR is genuinely not disclosed: 'NSFR' and 'Net Stable Funding' each return ZERO hits in the full text of both Annual Reports, against a richness control run on the same extractions in which 'credit risk' returns 76 hits (FY2025) and 72 (FY2024), 'operational risk' 16 and 15, 'CET1' 4 and 3, and 'LCR' 3 and 2 - so the zero is a fact about the documents, not about the extraction. No Simplified Retail Deposit Ratio value is published either, so nothing succeeds the NSFR series. Also absent: the LEVERAGE EXPOSURE MEASURE ('total exposure measure' likewise zero hits) - the ratio is stated without its denominator, and the denominator is NOT back-solved from it; the LCR's HQLA and net-outflow build-up; any category-level RWA breakdown; and any MREL figure ('MREL', 'minimum requirement for own funds' and 'loss-absorbing' all zero hits in both editions).
SDDT EXEMPTION - REASON FOR THE FY2025 CESSATION OF THE PILLAR 3 DOCUMENT, established 2026-09-15 (cross-bank SDDT pass) and re-verified against the register 2026-09-18. Julian Hodge Bank is a Small Domestic Deposit Taker (SDDT) and is therefore not required to publish Pillar 3 disclosures, so the absence of an FY2025 Pillar 3 DOCUMENT is an EVIDENCED STRUCTURAL EXEMPTION. READ THE SCOPE OF THAT CAREFULLY: it explains why no FY2025 Pillar 3 document appears, and it explains NOTHING about whether any individual metric is published. Opting in removes a duty to publish; it does not stop a firm publishing, and this firm went on to publish its FY2025 LCR and leverage ratio in its Annual Report. A metric is blanked here only where it has been shown absent from the documents that do exist - never on the strength of this modification.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204439, 'Julian Hodge Bank Limited': (a) 'CRR firms: SDDT Regime - General Application Part 1.2 &amp; 2.1(9)', sub rule 'Ru 1.2 &amp; 2.1(9)', ref 'A00009819P.pdf', start '11/02/2025', end '11/02/2028'; and (b) 'Modification by Consent - PRA Rulebook - CRR Firms - Rule 3.1 of the SDDT Regime - General Application Part', sub rule 'Ru 3.1', ref 'A00009917P.pdf', start '18/02/2025',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row: FRN 575105, Rule 3.1, start '17/01/2025' - matching its own stated approval date exactly, which is what ties the register row to the firm-stated effect.)
DATE FIT, stated precisely because the two years differ. This bank's year-end is 30 September. FY2025 (period ended 30 September 2025) falls wholly after the 18 February 2025 modification, so FY2025 is unambiguously covered. FY2024 (period ended 30 September 2024) ENDED BEFORE the modification took effect, so the exemption does not straightforwardly cover it. It may still explain the FY2024 non-publication - Cynergy's 17 January 2025 approval expressly removed its obligation for the 31 December 2024 reporting date that preceded it, and Hodge's FY2024 Pillar 3 would have fallen due at almost exactly the point its own modification landed - but Julian Hodge Bank has not said so, so FY2024 is left as NOT ESTABLISHED rather than claimed as structurally exempt. It is recorded as: no FY2024 Pillar 3 document published; SDDT exemption effective from 18 February 2025 is a plausible but unconfirmed cause.
The exemption explains NOTHING about FY2014-FY2023, every one of which has its own published Pillar 3 document cited above. Do not read SDDT back onto FY2023 or earlier. Neither Annual Report claims SDDT status in the bank's own words: both the FY2024 and FY2025 Annual Reports were downloaded and text-extracted in full (readable text layers, ~737k and ~751k characters) and searched for 'SDDT', 'Small Domestic Deposit Taker', 'modification by consent', 'Simplified Retail Deposit Ratio', 'SRDR', 'Strong and Simple', 'Interim Capital Regime' and 'Basel 3.1'. SDDT appears only as regulatory-developments context - AR2024 p.18 refers to 'the draft Small Domestic Deposit Takers' rules and AR2025 p.18 to 'the ongoing Basel 3.1 and Small Domestic Deposit Takers (SDDT) consultations' - and neither report mentions Pillar 3 disclosure obligations at all (the word 'Pillar' appears only in 'Pillar 1' and 'Pillar 2'). No Simplified Retail Deposit Ratio value is disclosed, so nothing replaces the NSFR series.
PRE-CRD IV (BASEL II) COLUMNS FY2013-FY2010 - READ BEFORE USING THEM. CRD IV took effect 1 January 2014. The FY2013, FY2012, FY2011 and FY2010 Pillar 3 documents are Basel II / BIPRU disclosures and they do not report the same things under the same names. What each of the four actually prints, in its section 4 'Capital resources' table, is: Tier 1 capital (ordinary shares + profit and loss reserve), a deduction for investments in subsidiaries, 'Total Tier 1 capital', a Tier 2 line (eligible general provisions, less a revaluation reserve deduction in FY2013/FY2012/FY2011), and 'Total capital resources'. In its section 5.1 it prints a 'Pillar 1 capital requirement' by exposure class.
WHAT IS DELIBERATELY NOT POPULATED, and why. (1) CET1: the concept did not exist before CRD IV and none of the four documents uses the term - a Basel II 'Total Tier 1 capital' is NOT a CET1 figure and is not placed on the CET1 sheet. (2) Tier 1 Capital: each edition's own Total Tier 1 capital is FY2013 113.7, FY2012 111.1, FY2011 109.7, FY2010 108.1 - recorded here in prose only and NOT as a data column, which is the treatment this script already applies to the FY2015/FY2014 Basel II Tier 1 figures, kept consistent rather than changed for the newly-added years. (3) EVERY RATIO SHEET: no risk-weighted-asset amount appears anywhere in any of the four documents (grep for 'risk weighted'/'risk-weighted' returns zero hits in all four), so there is no denominator, and none of the four prints a capital ratio of any kind. Grossing the Pillar 1 capital requirement up by 12.5 would manufacture an RWA no document states, and is deliberately not done. (4) Leverage / LCR / NSFR: none of the three existed as a UK disclosure requirement in these years. FY2013's document mentions a leverage ratio exactly once, as forward-looking prose about CRD IV's forthcoming requirements ('enhanced reporting requirements include the introduction of a leverage ratio, liquidity coverage...'), with no value; FY2012/FY2011/FY2010 do not mention it at all. In particular these years belong on NEITHER row of the Leverage Ratio sheet's excluding-/including-claims-on-central-banks pair - that is a 2022 UK framework distinction and reading it back onto a Basel II year would be meaningless.
WHAT IS POPULATED: 'Total capital resources' only, on the Total Capital sheet - a figure each document states directly as a total. This matches how FY2015 (122.4) and FY2014 (118.8) were already handled on that sheet before this extension. The Pillar 1 capital requirement for the four new years is FY2013 35.3 (credit risk 34.9 + operational risk 0.4), FY2012 36.8 (36.0 + 0.8), FY2011 38.9 (37.7 + 1.2), FY2010 41.5 (40.2 + 1.3) - recorded in prose on the Total RWAs sheet, as CAPITAL, never converted to RWA.
PILLAR 3 URL STATUS, established 2026-09-16 (HD-080). This CORRECTS a note previously held here which asserted that the historical Pillar 3 documents were NOT live on hodgebank.co.uk and that the Wayback citations must not be repointed. That note tested only the OLD paths - /wp-content/uploads/2019/01/, /2019/04/, /2020/02/ and /2021/02/ - and about those it was right: they are dead. But it never tested /wp-content/uploads/2024/07/, and the entire historical series was re-uploaded there on 2024-07-25. All 14 editions FY2010-FY2023 are live and genuine at that path. The old note's conclusion was therefore wrong and has been removed.
HOW EACH FILE WAS VERIFIED (not by status code): HTTP status + Content-Type: application/pdf + %PDF magic bytes + pdfinfo page count + the cover page read for its stated period. Two traps on this host, both real:</t>
        </is>
      </c>
    </row>
    <row r="11" ht="170" customHeight="1">
      <c r="A11" s="8" t="inlineStr">
        <is>
          <t>(continued)
(1) www.hodgebank.co.uk 301-redirects to the apex domain. curl without -L returns 301 / 162 bytes, which looks like a dead link and is almost certainly what produced the earlier report.
  (2) The SOFT-404 on this host is PER-FILENAME, not per-directory - do not generalise a negative control across a directory. WordPress serves one 'Financial Information' landing page (HTTP 200, text/html, 108,306 bytes, md5 c69229b0d911df8ea64ada86d57738a2) for certain KNOWN OLD attachment slugs, while an unknown filename in that very same directory 404s honestly (146 bytes). Measured 2026-09-16: /2020/02/FINAL-Julian-Hodge-Bank-Limited-FY18.pdf -&gt; soft-404 but /2020/02/zzz-nonexistent-control.pdf -&gt; honest 404; /2021/02/2.-JHB-Pillar-III.pdf -&gt; soft-404 but /2021/02/zzz-control.pdf -&gt; honest 404; /2019/01/jhb-pillar3-2014.pdf -&gt; honest 404; /2024/07/zzz-nonexistent-control.pdf -&gt; honest 404. The decisive test is always the per-URL Content-Type plus %PDF check, never HTTP 200 and never a control run on a different filename.
SAFETY OF THE REPOINTING: every live file was md5-compared against the Wayback capture the figures were originally transcribed from, and all five checked pairs are byte-identical - FY2018 addbb5d0301b1b2349dbd9b05d3b3dfc, FY2017 b76617584f830bf3f6dbb68720744fdd, FY2016 0bd97d21c8ebd0972d5e96be8c6c1d9b, FY2015 c448471eea12e998bbfb104e3074d3cc, FY2014 5318b684c1a1d4ef8e84d62a4ba055a4. The FY2019 (695,975 B) and FY2020 (2,416,601 B) live files likewise match their captures exactly. No transcribed figure changes. Every superseded Wayback URL is kept above as a *_URL_ARCHIVE fallback.
ENUMERATION: the back catalogue was enumerated three ways - filename permutation jhb-pillar3-&lt;year&gt;.pdf across 2008-2023 (2008, 2009 and 2019-2023 honestly 404 under that name); the WordPress REST media API, whose library was walked in full (66 items over 2 pages, complete) and which is what surfaced the five irregularly-named editions that permutation can never find; and a Wayback CDX sweep of hodgebank.co.uk and julianhodgebank.co.uk which was BLOCKED on 2026-09-16 (HTTP 503/504, 'Internet Archive services are temporarily offline') and was recorded as unknown rather than as an absence. THAT SWEEP WAS RE-RUN SUCCESSFULLY ON 2026-09-18 and is no longer an open item - it completed over all three domains and found nothing newer than the FY2023 edition; see the full account in BASIS_NOTE. Result, now confirmed from three independent directions (filename permutation, the WordPress media API, and the archive): a continuous FY2010-FY2023 run of 14 editions, no FY2009, no FY2024, no FY2025.
FILENAME NEVER EQUALS PERIOD ON THIS SITE. Hodge-pillar-3-19.06.23.pdf is a 2023 PUBLICATION date on the FY2022 edition, and Hodge-pillar-3-11.03.24.pdf is a 2024 publication date on the FY2023 edition. The cover page is the only trustworthy source of the period, and every period recorded in this script was read off the cover. This matters doubly because the year-end MOVES mid-series: 31 October through FY2019, 30 September from FY2021, with FY2020 an 11-month transition period.</t>
        </is>
      </c>
    </row>
  </sheetData>
  <mergeCells count="4">
    <mergeCell ref="A11:Q11"/>
    <mergeCell ref="A5:Q5"/>
    <mergeCell ref="A7:Q7"/>
    <mergeCell ref="A9:Q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Julian Hodge Bank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 ratio</t>
        </is>
      </c>
      <c r="B4" s="6" t="inlineStr">
        <is>
          <t>17.5%</t>
        </is>
      </c>
      <c r="C4" s="6" t="inlineStr">
        <is>
          <t>19.8%</t>
        </is>
      </c>
      <c r="D4" s="6" t="inlineStr">
        <is>
          <t>24.5%</t>
        </is>
      </c>
      <c r="E4" s="6" t="inlineStr">
        <is>
          <t>25.2%</t>
        </is>
      </c>
      <c r="F4" s="6" t="inlineStr">
        <is>
          <t>20.2%</t>
        </is>
      </c>
      <c r="G4" s="6" t="inlineStr">
        <is>
          <t>19.7%</t>
        </is>
      </c>
      <c r="H4" s="6" t="inlineStr">
        <is>
          <t>23.0%</t>
        </is>
      </c>
      <c r="I4" s="6" t="inlineStr">
        <is>
          <t>22.3%</t>
        </is>
      </c>
      <c r="J4" s="6" t="inlineStr">
        <is>
          <t>21.2%</t>
        </is>
      </c>
      <c r="K4" s="6" t="inlineStr">
        <is>
          <t>19.2%</t>
        </is>
      </c>
    </row>
    <row r="5" ht="30" customHeight="1">
      <c r="A5" s="7" t="inlineStr">
        <is>
          <t>Note: FY2015-FY2010 blank by design even though the NUMERATOR is known for all six years (the Total Capital sheet carries each year's disclosed 'Total capital resources'). The Basel II editions publish no risk-weighted-asset amount at all, so there is no denominator, and computing one from the Pillar 1 capital requirement would be back-solving a figure no document states. See the CET1 Ratio and Total RWAs sheet notes.</t>
        </is>
      </c>
    </row>
    <row r="7" ht="377" customHeight="1">
      <c r="A7" s="8" t="inlineStr">
        <is>
          <t>Sources - Julian Hodge Bank Limited:
FY2023: Hodge Bank Pillar 3 Disclosures - Period ended 30 September 2023, Table "3 Key Regulatory Metrics", p.9 - https://hodgebank.co.uk/wp-content/uploads/2024/07/Hodge-pillar-3-11.03.24.pdf
FY2022: Hodge Bank Pillar 3 Disclosures - Period ended 30 September 2022, Table "3 Key Regulatory Metrics", p.12 - https://hodgebank.co.uk/wp-content/uploads/2024/07/Hodge-pillar-3-19.06.23.pdf
FY2021: Hodge Bank Pillar 3 Disclosures - Period ended 30 September 2021, Table "Key Metrics", p.16 - https://hodgebank.co.uk/wp-content/uploads/2024/07/Hodge-Pillar-3-Document-2020_2021.pdf
FY2020: Julian Hodge Bank Limited Pillar 3 Disclosures - Period ended 30 September 2020, Summary of Key Regulatory Metrics, p.8 - https://hodgebank.co.uk/wp-content/uploads/2024/07/2.-JHB-Pillar-III.pdf
FY2019: Julian Hodge Bank Limited Pillar 3 Disclosures - Period ended 31 October 2019, Key Regulatory Metrics, p.10-11 - https://hodgebank.co.uk/wp-content/uploads/2024/07/Pillar-3-Disclosure-FY19-FINAL.pdf
FY2018: Julian Hodge Bank Limited Pillar 3 Disclosures - Period ended 31 October 2018, Key Regulatory Metrics, p.10-11 - https://hodgebank.co.uk/wp-content/uploads/2024/07/jhb-pillar3-2018.pdf
FY2017: Julian Hodge Bank Limited Pillar 3 Disclosures - Period ended 31 October 2017, Summary of Key Capital Ratios/Capital Resources, p.6/15 - https://hodgebank.co.uk/wp-content/uploads/2024/07/jhb-pillar3-2017.pdf
FY2016: Julian Hodge Bank Limited Pillar 3 Disclosures - Period ended 31 October 2016, Summary of Key Capital Ratios/Capital Resources, p.6/15 - https://hodgebank.co.uk/wp-content/uploads/2024/07/jhb-pillar3-2016.pdf
FY2015: Julian Hodge Bank Limited Pillar 3 Disclosures - Period ended 31 October 2015, Capital Resources, p.12-13 - https://hodgebank.co.uk/wp-content/uploads/2024/07/jhb-pillar3-2015.pdf
FY2014: Julian Hodge Bank Limited Pillar 3 Disclosures - period ended 31 October 2014, Capital Resources, p.12-13 - https://hodgebank.co.uk/wp-content/uploads/2024/07/jhb-pillar3-2014.pdf
FY2013: Julian Hodge Bank Limited Pillar 3 disclosures - as at 31 October 2013 (Basel II), section 4 "Capital resources", PDF p.12 of 23, and section 5.1 "Pillar 1 capital requirement", PDF p.13 - https://hodgebank.co.uk/wp-content/uploads/2024/07/jhb-pillar3-2013.pdf
FY2012: Julian Hodge Bank Limited Pillar 3 disclosures - as at 31 October 2012 (Basel II), section 4 "Capital resources", PDF p.11 of 21, and section 5.1 "Pillar 1 capital requirement", PDF p.12 - https://hodgebank.co.uk/wp-content/uploads/2024/07/jhb-pillar3-2012.pdf
FY2011: Julian Hodge Bank Limited Pillar 3 disclosures - as at 31 October 2011 (Basel II), section 4 "Capital resources", PDF p.13 of 28, and section 5.1 "Pillar 1 capital requirement", PDF p.15 - https://hodgebank.co.uk/wp-content/uploads/2024/07/jhb-pillar3-2011.pdf
FY2010: Julian Hodge Bank Limited Pillar 3 disclosures - as at 31 October 2010 (Basel II), section 4 "Capital resources", PDF p.13 of 27, and section 5.1 "Pillar 1 capital requirement", PDF p.15 - https://hodgebank.co.uk/wp-content/uploads/2024/07/jhb-pillar3-2010.pdf
FY2024: Julian Hodge Bank Limited Annual Report 2024, Note 32 'Capital risk management (unaudited)', printed folio 74 (CET1 capital, total RWA, CET1 ratio, total own funds, total capital ratio); and the Chief Finance Officer's Report, printed folio 13, section 'Liquidity' / 'Capital and Leverage' (LCR and Leverage Ratio, stated in prose) - https://hodgebank.co.uk/wp-content/uploads/2025/02/Hodge-annual-report-21.02.25.pdf
FY2025: Julian Hodge Bank Limited Annual Report 2025, Note 34 'Capital risk management (unaudited)', printed folio 77 (same five figures); and the Chief Finance Officer's Report, printed folio 13, same two sections (LCR and Leverage Ratio) - https://hodgebank.co.uk/wp-content/uploads/2026/02/Hodge-AR-28.01.26.pdf
  [Folios corrected 2026-09-18: the capital note was previously cited as p.73 (FY2024) and p.76 (FY2025), each one short. Both documents run at a zero offset between the pdftotext sheet index and the printed folio, and each page's own footer reads 'Hodge Annual Report 20XX ... 74' / '... 77'. The folio-13 citations are new with this pass.]
Wayback fallbacks for the FY2020-FY2014 documents, retained and never to be deleted (each is byte-identical to the live file now cited above):
  FY2020 - https://web.archive.org/web/20220620025450id_/https://hodgebank.co.uk/wp-content/uploads/2021/02/2.-JHB-Pillar-III.pdf
  FY2019 - https://web.archive.org/web/20210517002419id_/https://hodgebank.co.uk/wp-content/uploads/2020/02/Pillar-3-Disclosure-FY19-FINAL.pdf
  FY2018 - https://web.archive.org/web/20210517004624id_/https://hodgebank.co.uk/wp-content/uploads/2019/04/jhb-pillar3-2018.pdf
  FY2017 - https://web.archive.org/web/20220620025310id_/https://hodgebank.co.uk/wp-content/uploads/2019/01/jhb-pillar3-2017.pdf
  FY2016 - https://web.archive.org/web/20220620025406id_/https://hodgebank.co.uk/wp-content/uploads/2019/01/jhb-pillar3-2016.pdf
  FY2015 - https://web.archive.org/web/20220620025429id_/https://hodgebank.co.uk/wp-content/uploads/2019/01/jhb-pillar3-2015.pdf
  FY2014 - https://web.archive.org/web/20220620025434id_/https://hodgebank.co.uk/wp-content/uploads/2019/01/jhb-pillar3-2014.pdf</t>
        </is>
      </c>
    </row>
    <row r="9" ht="403" customHeight="1">
      <c r="A9" s="8" t="inlineStr">
        <is>
          <t>(continued)
DOCUMENT COVERAGE (re-established 2026-09-16, HD-080): this entity published a CONTINUOUS run of 14 standalone Pillar 3 documents, FY2010 through FY2023, and all 14 are cited above and live on the publisher's site. There is no FY2009 edition and no FY2024 or FY2025 edition. The run splits at the CRD IV boundary: FY2010-FY2015 are Basel II / BIPRU (see the pre-CRD IV note - only Total capital resources is transcribable from them), FY2016-FY2023 are CRD IV.
FY2021-FY2023: full UK KM1-format 'Key Regulatory Metrics' table from each year's own standalone Pillar 3 Disclosures document. FY2024-FY2025: no standalone Pillar 3 document exists (the bank's financial information page lists a Pillar 3 disclosure link for FY2018-FY2023 only), but the Annual Report still carries much of the content, in TWO SEPARATE PLACES, and both are used here:
  (i) the unaudited 'Capital risk management' note in the financial statements - CET1 capital, total risk-weighted assets, CET1 ratio, total own funds and total capital ratio (FY2025 note 34, printed folio 77; FY2024 note 32, printed folio 74);
  (ii) the Chief Finance Officer's Report in the Strategic Report, printed folio 13 in BOTH editions - the year-end LIQUIDITY COVERAGE RATIO and the year-end LEVERAGE RATIO, each stated in the running prose rather than in a table.
CORRECTION OF RECORD, 2026-09-18 (GA-005). This note previously said the Annual Report's capital note 'does not include Leverage Ratio, LCR, or NSFR', and the LCR and Leverage Ratio sheets carried FY2025 as 'NOT APPLICABLE - no such disclosure will ever exist' on the strength of the SDDT modification below. That was wrong in both directions and four real published figures were blank because of it: the statement was true of the capital NOTE and false of the REPORT, which discloses both metrics for both years. The SDDT modification ended the bank's PILLAR 3 duty; it did not stop the bank publishing, and the bank did in fact publish. FY2025 LCR 310.7% and leverage ratio 8.1%, FY2024 LCR 274.0% and leverage ratio 8.4%, each read from that year's OWN Annual Report. The figures are now on their sheets.
WHAT REMAINS ABSENT FOR FY2024-FY2025, and how that was established. The NSFR is genuinely not disclosed: 'NSFR' and 'Net Stable Funding' each return ZERO hits in the full text of both Annual Reports, against a richness control run on the same extractions in which 'credit risk' returns 76 hits (FY2025) and 72 (FY2024), 'operational risk' 16 and 15, 'CET1' 4 and 3, and 'LCR' 3 and 2 - so the zero is a fact about the documents, not about the extraction. No Simplified Retail Deposit Ratio value is published either, so nothing succeeds the NSFR series. Also absent: the LEVERAGE EXPOSURE MEASURE ('total exposure measure' likewise zero hits) - the ratio is stated without its denominator, and the denominator is NOT back-solved from it; the LCR's HQLA and net-outflow build-up; any category-level RWA breakdown; and any MREL figure ('MREL', 'minimum requirement for own funds' and 'loss-absorbing' all zero hits in both editions).
SDDT EXEMPTION - REASON FOR THE FY2025 CESSATION OF THE PILLAR 3 DOCUMENT, established 2026-09-15 (cross-bank SDDT pass) and re-verified against the register 2026-09-18. Julian Hodge Bank is a Small Domestic Deposit Taker (SDDT) and is therefore not required to publish Pillar 3 disclosures, so the absence of an FY2025 Pillar 3 DOCUMENT is an EVIDENCED STRUCTURAL EXEMPTION. READ THE SCOPE OF THAT CAREFULLY: it explains why no FY2025 Pillar 3 document appears, and it explains NOTHING about whether any individual metric is published. Opting in removes a duty to publish; it does not stop a firm publishing, and this firm went on to publish its FY2025 LCR and leverage ratio in its Annual Report. A metric is blanked here only where it has been shown absent from the documents that do exist - never on the strength of this modification.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204439, 'Julian Hodge Bank Limited': (a) 'CRR firms: SDDT Regime - General Application Part 1.2 &amp; 2.1(9)', sub rule 'Ru 1.2 &amp; 2.1(9)', ref 'A00009819P.pdf', start '11/02/2025', end '11/02/2028'; and (b) 'Modification by Consent - PRA Rulebook - CRR Firms - Rule 3.1 of the SDDT Regime - General Application Part', sub rule 'Ru 3.1', ref 'A00009917P.pdf', start '18/02/2025',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row: FRN 575105, Rule 3.1, start '17/01/2025' - matching its own stated approval date exactly, which is what ties the register row to the firm-stated effect.)
DATE FIT, stated precisely because the two years differ. This bank's year-end is 30 September. FY2025 (period ended 30 September 2025) falls wholly after the 18 February 2025 modification, so FY2025 is unambiguously covered. FY2024 (period ended 30 September 2024) ENDED BEFORE the modification took effect, so the exemption does not straightforwardly cover it. It may still explain the FY2024 non-publication - Cynergy's 17 January 2025 approval expressly removed its obligation for the 31 December 2024 reporting date that preceded it, and Hodge's FY2024 Pillar 3 would have fallen due at almost exactly the point its own modification landed - but Julian Hodge Bank has not said so, so FY2024 is left as NOT ESTABLISHED rather than claimed as structurally exempt. It is recorded as: no FY2024 Pillar 3 document published; SDDT exemption effective from 18 February 2025 is a plausible but unconfirmed cause.
The exemption explains NOTHING about FY2014-FY2023, every one of which has its own published Pillar 3 document cited above. Do not read SDDT back onto FY2023 or earlier. Neither Annual Report claims SDDT status in the bank's own words: both the FY2024 and FY2025 Annual Reports were downloaded and text-extracted in full (readable text layers, ~737k and ~751k characters) and searched for 'SDDT', 'Small Domestic Deposit Taker', 'modification by consent', 'Simplified Retail Deposit Ratio', 'SRDR', 'Strong and Simple', 'Interim Capital Regime' and 'Basel 3.1'. SDDT appears only as regulatory-developments context - AR2024 p.18 refers to 'the draft Small Domestic Deposit Takers' rules and AR2025 p.18 to 'the ongoing Basel 3.1 and Small Domestic Deposit Takers (SDDT) consultations' - and neither report mentions Pillar 3 disclosure obligations at all (the word 'Pillar' appears only in 'Pillar 1' and 'Pillar 2'). No Simplified Retail Deposit Ratio value is disclosed, so nothing replaces the NSFR series.</t>
        </is>
      </c>
    </row>
    <row r="11" ht="377" customHeight="1">
      <c r="A11" s="8" t="inlineStr">
        <is>
          <t>(continued)
PRE-CRD IV (BASEL II) COLUMNS FY2013-FY2010 - READ BEFORE USING THEM. CRD IV took effect 1 January 2014. The FY2013, FY2012, FY2011 and FY2010 Pillar 3 documents are Basel II / BIPRU disclosures and they do not report the same things under the same names. What each of the four actually prints, in its section 4 'Capital resources' table, is: Tier 1 capital (ordinary shares + profit and loss reserve), a deduction for investments in subsidiaries, 'Total Tier 1 capital', a Tier 2 line (eligible general provisions, less a revaluation reserve deduction in FY2013/FY2012/FY2011), and 'Total capital resources'. In its section 5.1 it prints a 'Pillar 1 capital requirement' by exposure class.
WHAT IS DELIBERATELY NOT POPULATED, and why. (1) CET1: the concept did not exist before CRD IV and none of the four documents uses the term - a Basel II 'Total Tier 1 capital' is NOT a CET1 figure and is not placed on the CET1 sheet. (2) Tier 1 Capital: each edition's own Total Tier 1 capital is FY2013 113.7, FY2012 111.1, FY2011 109.7, FY2010 108.1 - recorded here in prose only and NOT as a data column, which is the treatment this script already applies to the FY2015/FY2014 Basel II Tier 1 figures, kept consistent rather than changed for the newly-added years. (3) EVERY RATIO SHEET: no risk-weighted-asset amount appears anywhere in any of the four documents (grep for 'risk weighted'/'risk-weighted' returns zero hits in all four), so there is no denominator, and none of the four prints a capital ratio of any kind. Grossing the Pillar 1 capital requirement up by 12.5 would manufacture an RWA no document states, and is deliberately not done. (4) Leverage / LCR / NSFR: none of the three existed as a UK disclosure requirement in these years. FY2013's document mentions a leverage ratio exactly once, as forward-looking prose about CRD IV's forthcoming requirements ('enhanced reporting requirements include the introduction of a leverage ratio, liquidity coverage...'), with no value; FY2012/FY2011/FY2010 do not mention it at all. In particular these years belong on NEITHER row of the Leverage Ratio sheet's excluding-/including-claims-on-central-banks pair - that is a 2022 UK framework distinction and reading it back onto a Basel II year would be meaningless.
WHAT IS POPULATED: 'Total capital resources' only, on the Total Capital sheet - a figure each document states directly as a total. This matches how FY2015 (122.4) and FY2014 (118.8) were already handled on that sheet before this extension. The Pillar 1 capital requirement for the four new years is FY2013 35.3 (credit risk 34.9 + operational risk 0.4), FY2012 36.8 (36.0 + 0.8), FY2011 38.9 (37.7 + 1.2), FY2010 41.5 (40.2 + 1.3) - recorded in prose on the Total RWAs sheet, as CAPITAL, never converted to RWA.
PILLAR 3 URL STATUS, established 2026-09-16 (HD-080). This CORRECTS a note previously held here which asserted that the historical Pillar 3 documents were NOT live on hodgebank.co.uk and that the Wayback citations must not be repointed. That note tested only the OLD paths - /wp-content/uploads/2019/01/, /2019/04/, /2020/02/ and /2021/02/ - and about those it was right: they are dead. But it never tested /wp-content/uploads/2024/07/, and the entire historical series was re-uploaded there on 2024-07-25. All 14 editions FY2010-FY2023 are live and genuine at that path. The old note's conclusion was therefore wrong and has been removed.
HOW EACH FILE WAS VERIFIED (not by status code): HTTP status + Content-Type: application/pdf + %PDF magic bytes + pdfinfo page count + the cover page read for its stated period. Two traps on this host, both real:
  (1) www.hodgebank.co.uk 301-redirects to the apex domain. curl without -L returns 301 / 162 bytes, which looks like a dead link and is almost certainly what produced the earlier report.
  (2) The SOFT-404 on this host is PER-FILENAME, not per-directory - do not generalise a negative control across a directory. WordPress serves one 'Financial Information' landing page (HTTP 200, text/html, 108,306 bytes, md5 c69229b0d911df8ea64ada86d57738a2) for certain KNOWN OLD attachment slugs, while an unknown filename in that very same directory 404s honestly (146 bytes). Measured 2026-09-16: /2020/02/FINAL-Julian-Hodge-Bank-Limited-FY18.pdf -&gt; soft-404 but /2020/02/zzz-nonexistent-control.pdf -&gt; honest 404; /2021/02/2.-JHB-Pillar-III.pdf -&gt; soft-404 but /2021/02/zzz-control.pdf -&gt; honest 404; /2019/01/jhb-pillar3-2014.pdf -&gt; honest 404; /2024/07/zzz-nonexistent-control.pdf -&gt; honest 404. The decisive test is always the per-URL Content-Type plus %PDF check, never HTTP 200 and never a control run on a different filename.
SAFETY OF THE REPOINTING: every live file was md5-compared against the Wayback capture the figures were originally transcribed from, and all five checked pairs are byte-identical - FY2018 addbb5d0301b1b2349dbd9b05d3b3dfc, FY2017 b76617584f830bf3f6dbb68720744fdd, FY2016 0bd97d21c8ebd0972d5e96be8c6c1d9b, FY2015 c448471eea12e998bbfb104e3074d3cc, FY2014 5318b684c1a1d4ef8e84d62a4ba055a4. The FY2019 (695,975 B) and FY2020 (2,416,601 B) live files likewise match their captures exactly. No transcribed figure changes. Every superseded Wayback URL is kept above as a *_URL_ARCHIVE fallback.
ENUMERATION: the back catalogue was enumerated three ways - filename permutation jhb-pillar3-&lt;year&gt;.pdf across 2008-2023 (2008, 2009 and 2019-2023 honestly 404 under that name); the WordPress REST media API, whose library was walked in full (66 items over 2 pages, complete) and which is what surfaced the five irregularly-named editions that permutation can never find; and a Wayback CDX sweep of hodgebank.co.uk and julianhodgebank.co.uk which was BLOCKED on 2026-09-16 (HTTP 503/504, 'Internet Archive services are temporarily offline') and was recorded as unknown rather than as an absence. THAT SWEEP WAS RE-RUN SUCCESSFULLY ON 2026-09-18 and is no longer an open item - it completed over all three domains and found nothing newer than the FY2023 edition; see the full account in BASIS_NOTE. Result, now confirmed from three independent directions (filename permutation, the WordPress media API, and the archive): a continuous FY2010-FY2023 run of 14 editions, no FY2009, no FY2024, no FY2025.
FILENAME NEVER EQUALS PERIOD ON THIS SITE. Hodge-pillar-3-19.06.23.pdf is a 2023 PUBLICATION date on the FY2022 edition, and Hodge-pillar-3-11.03.24.pdf is a 2024 publication date on the FY2023 edition. The cover page is the only trustworthy source of the period, and every period recorded in this script was read off the cover. This matters doubly because the year-end MOVES mid-series: 31 October through FY2019, 30 September from FY2021, with FY2020 an 11-month transition period.</t>
        </is>
      </c>
    </row>
  </sheetData>
  <mergeCells count="4">
    <mergeCell ref="A11:K11"/>
    <mergeCell ref="A5:K5"/>
    <mergeCell ref="A7:K7"/>
    <mergeCell ref="A9:K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Julian Hodge Bank Limited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risk-weighted assets / exposure amount</t>
        </is>
      </c>
      <c r="B4" s="6" t="n">
        <v>930.2</v>
      </c>
      <c r="C4" s="6" t="n">
        <v>841.1</v>
      </c>
      <c r="D4" s="6" t="n">
        <v>704.7</v>
      </c>
      <c r="E4" s="6" t="n">
        <v>705</v>
      </c>
      <c r="F4" s="6" t="n">
        <v>711</v>
      </c>
      <c r="G4" s="6" t="n">
        <v>693.8</v>
      </c>
      <c r="H4" s="6" t="n">
        <v>681.9</v>
      </c>
      <c r="I4" s="6" t="n">
        <v>754.6</v>
      </c>
      <c r="J4" s="6" t="n">
        <v>706.3</v>
      </c>
      <c r="K4" s="6" t="n">
        <v>672.8</v>
      </c>
    </row>
    <row r="5" ht="78" customHeight="1">
      <c r="A5" s="7" t="inlineStr">
        <is>
          <t>Note: FY2021's own report (P3 2021) shows RWA = 711.0; the FY2022 Pillar 3 document's FY2021 comparative restates this to 711 (rounding only, immaterial) - each year's own originally-published figure is used. FY2015-FY2010 not available, and this is the most important gap to understand in the historical columns: those years' Pillar 3 documents pre-date CRD IV Pillar 3 RWA disclosure for this bank. A search for 'risk weighted'/'risk-weighted' returns ZERO hits in the FY2013, FY2012, FY2011 and FY2010 documents - no risk-weighted-asset amount is printed anywhere in any of them, and no capital ratio is either. What each gives instead is a Basel II 'Pillar 1 capital requirement', which is CAPITAL, not RWA: FY2015 GBP42.6m, FY2014 GBP36.3m, FY2013 GBP35.3m (credit risk 34.9 + operational risk 0.4), FY2012 GBP36.8m (36.0 + 0.8), FY2011 GBP38.9m (37.7 + 1.2), FY2010 GBP41.5m (40.2 + 1.3). No RWA is shown for any of these years rather than backing one out by grossing those figures up via an assumed 8% minimum ratio - a multiplication none of the source documents itself states or invites. Note the contrast with the FY2016 entry on the RWA Breakdown sheet, where a x12.5 derivation WAS made and is labelled as derived; that year is CRD IV and its document states the ratio the derivation reproduces, which is what makes it checkable. Nothing equivalent exists pre-FY2014, so nothing is derived there.</t>
        </is>
      </c>
    </row>
    <row r="7" ht="377" customHeight="1">
      <c r="A7" s="8" t="inlineStr">
        <is>
          <t>Sources - Julian Hodge Bank Limited:
FY2023: Hodge Bank Pillar 3 Disclosures - Period ended 30 September 2023, Table "3 Key Regulatory Metrics", p.9 - https://hodgebank.co.uk/wp-content/uploads/2024/07/Hodge-pillar-3-11.03.24.pdf
FY2022: Hodge Bank Pillar 3 Disclosures - Period ended 30 September 2022, Table "3 Key Regulatory Metrics", p.12 - https://hodgebank.co.uk/wp-content/uploads/2024/07/Hodge-pillar-3-19.06.23.pdf
FY2021: Hodge Bank Pillar 3 Disclosures - Period ended 30 September 2021, Table "Key Metrics", p.16 - https://hodgebank.co.uk/wp-content/uploads/2024/07/Hodge-Pillar-3-Document-2020_2021.pdf
FY2020: Julian Hodge Bank Limited Pillar 3 Disclosures - Period ended 30 September 2020, Summary of Key Regulatory Metrics, p.8 - https://hodgebank.co.uk/wp-content/uploads/2024/07/2.-JHB-Pillar-III.pdf
FY2019: Julian Hodge Bank Limited Pillar 3 Disclosures - Period ended 31 October 2019, Key Regulatory Metrics, p.10-11 - https://hodgebank.co.uk/wp-content/uploads/2024/07/Pillar-3-Disclosure-FY19-FINAL.pdf
FY2018: Julian Hodge Bank Limited Pillar 3 Disclosures - Period ended 31 October 2018, Key Regulatory Metrics, p.10-11 - https://hodgebank.co.uk/wp-content/uploads/2024/07/jhb-pillar3-2018.pdf
FY2017: Julian Hodge Bank Limited Pillar 3 Disclosures - Period ended 31 October 2017, Summary of Key Capital Ratios/Capital Resources, p.6/15 - https://hodgebank.co.uk/wp-content/uploads/2024/07/jhb-pillar3-2017.pdf
FY2016: Julian Hodge Bank Limited Pillar 3 Disclosures - Period ended 31 October 2016, Summary of Key Capital Ratios/Capital Resources, p.6/15 - https://hodgebank.co.uk/wp-content/uploads/2024/07/jhb-pillar3-2016.pdf
FY2015: Julian Hodge Bank Limited Pillar 3 Disclosures - Period ended 31 October 2015, Capital Resources, p.12-13 - https://hodgebank.co.uk/wp-content/uploads/2024/07/jhb-pillar3-2015.pdf
FY2014: Julian Hodge Bank Limited Pillar 3 Disclosures - period ended 31 October 2014, Capital Resources, p.12-13 - https://hodgebank.co.uk/wp-content/uploads/2024/07/jhb-pillar3-2014.pdf
FY2013: Julian Hodge Bank Limited Pillar 3 disclosures - as at 31 October 2013 (Basel II), section 4 "Capital resources", PDF p.12 of 23, and section 5.1 "Pillar 1 capital requirement", PDF p.13 - https://hodgebank.co.uk/wp-content/uploads/2024/07/jhb-pillar3-2013.pdf
FY2012: Julian Hodge Bank Limited Pillar 3 disclosures - as at 31 October 2012 (Basel II), section 4 "Capital resources", PDF p.11 of 21, and section 5.1 "Pillar 1 capital requirement", PDF p.12 - https://hodgebank.co.uk/wp-content/uploads/2024/07/jhb-pillar3-2012.pdf
FY2011: Julian Hodge Bank Limited Pillar 3 disclosures - as at 31 October 2011 (Basel II), section 4 "Capital resources", PDF p.13 of 28, and section 5.1 "Pillar 1 capital requirement", PDF p.15 - https://hodgebank.co.uk/wp-content/uploads/2024/07/jhb-pillar3-2011.pdf
FY2010: Julian Hodge Bank Limited Pillar 3 disclosures - as at 31 October 2010 (Basel II), section 4 "Capital resources", PDF p.13 of 27, and section 5.1 "Pillar 1 capital requirement", PDF p.15 - https://hodgebank.co.uk/wp-content/uploads/2024/07/jhb-pillar3-2010.pdf
FY2024: Julian Hodge Bank Limited Annual Report 2024, Note 32 'Capital risk management (unaudited)', printed folio 74 (CET1 capital, total RWA, CET1 ratio, total own funds, total capital ratio); and the Chief Finance Officer's Report, printed folio 13, section 'Liquidity' / 'Capital and Leverage' (LCR and Leverage Ratio, stated in prose) - https://hodgebank.co.uk/wp-content/uploads/2025/02/Hodge-annual-report-21.02.25.pdf
FY2025: Julian Hodge Bank Limited Annual Report 2025, Note 34 'Capital risk management (unaudited)', printed folio 77 (same five figures); and the Chief Finance Officer's Report, printed folio 13, same two sections (LCR and Leverage Ratio) - https://hodgebank.co.uk/wp-content/uploads/2026/02/Hodge-AR-28.01.26.pdf
  [Folios corrected 2026-09-18: the capital note was previously cited as p.73 (FY2024) and p.76 (FY2025), each one short. Both documents run at a zero offset between the pdftotext sheet index and the printed folio, and each page's own footer reads 'Hodge Annual Report 20XX ... 74' / '... 77'. The folio-13 citations are new with this pass.]
Wayback fallbacks for the FY2020-FY2014 documents, retained and never to be deleted (each is byte-identical to the live file now cited above):
  FY2020 - https://web.archive.org/web/20220620025450id_/https://hodgebank.co.uk/wp-content/uploads/2021/02/2.-JHB-Pillar-III.pdf
  FY2019 - https://web.archive.org/web/20210517002419id_/https://hodgebank.co.uk/wp-content/uploads/2020/02/Pillar-3-Disclosure-FY19-FINAL.pdf
  FY2018 - https://web.archive.org/web/20210517004624id_/https://hodgebank.co.uk/wp-content/uploads/2019/04/jhb-pillar3-2018.pdf
  FY2017 - https://web.archive.org/web/20220620025310id_/https://hodgebank.co.uk/wp-content/uploads/2019/01/jhb-pillar3-2017.pdf
  FY2016 - https://web.archive.org/web/20220620025406id_/https://hodgebank.co.uk/wp-content/uploads/2019/01/jhb-pillar3-2016.pdf
  FY2015 - https://web.archive.org/web/20220620025429id_/https://hodgebank.co.uk/wp-content/uploads/2019/01/jhb-pillar3-2015.pdf
  FY2014 - https://web.archive.org/web/20220620025434id_/https://hodgebank.co.uk/wp-content/uploads/2019/01/jhb-pillar3-2014.pdf</t>
        </is>
      </c>
    </row>
    <row r="9" ht="403" customHeight="1">
      <c r="A9" s="8" t="inlineStr">
        <is>
          <t>(continued)
DOCUMENT COVERAGE (re-established 2026-09-16, HD-080): this entity published a CONTINUOUS run of 14 standalone Pillar 3 documents, FY2010 through FY2023, and all 14 are cited above and live on the publisher's site. There is no FY2009 edition and no FY2024 or FY2025 edition. The run splits at the CRD IV boundary: FY2010-FY2015 are Basel II / BIPRU (see the pre-CRD IV note - only Total capital resources is transcribable from them), FY2016-FY2023 are CRD IV.
FY2021-FY2023: full UK KM1-format 'Key Regulatory Metrics' table from each year's own standalone Pillar 3 Disclosures document. FY2024-FY2025: no standalone Pillar 3 document exists (the bank's financial information page lists a Pillar 3 disclosure link for FY2018-FY2023 only), but the Annual Report still carries much of the content, in TWO SEPARATE PLACES, and both are used here:
  (i) the unaudited 'Capital risk management' note in the financial statements - CET1 capital, total risk-weighted assets, CET1 ratio, total own funds and total capital ratio (FY2025 note 34, printed folio 77; FY2024 note 32, printed folio 74);
  (ii) the Chief Finance Officer's Report in the Strategic Report, printed folio 13 in BOTH editions - the year-end LIQUIDITY COVERAGE RATIO and the year-end LEVERAGE RATIO, each stated in the running prose rather than in a table.
CORRECTION OF RECORD, 2026-09-18 (GA-005). This note previously said the Annual Report's capital note 'does not include Leverage Ratio, LCR, or NSFR', and the LCR and Leverage Ratio sheets carried FY2025 as 'NOT APPLICABLE - no such disclosure will ever exist' on the strength of the SDDT modification below. That was wrong in both directions and four real published figures were blank because of it: the statement was true of the capital NOTE and false of the REPORT, which discloses both metrics for both years. The SDDT modification ended the bank's PILLAR 3 duty; it did not stop the bank publishing, and the bank did in fact publish. FY2025 LCR 310.7% and leverage ratio 8.1%, FY2024 LCR 274.0% and leverage ratio 8.4%, each read from that year's OWN Annual Report. The figures are now on their sheets.
WHAT REMAINS ABSENT FOR FY2024-FY2025, and how that was established. The NSFR is genuinely not disclosed: 'NSFR' and 'Net Stable Funding' each return ZERO hits in the full text of both Annual Reports, against a richness control run on the same extractions in which 'credit risk' returns 76 hits (FY2025) and 72 (FY2024), 'operational risk' 16 and 15, 'CET1' 4 and 3, and 'LCR' 3 and 2 - so the zero is a fact about the documents, not about the extraction. No Simplified Retail Deposit Ratio value is published either, so nothing succeeds the NSFR series. Also absent: the LEVERAGE EXPOSURE MEASURE ('total exposure measure' likewise zero hits) - the ratio is stated without its denominator, and the denominator is NOT back-solved from it; the LCR's HQLA and net-outflow build-up; any category-level RWA breakdown; and any MREL figure ('MREL', 'minimum requirement for own funds' and 'loss-absorbing' all zero hits in both editions).
SDDT EXEMPTION - REASON FOR THE FY2025 CESSATION OF THE PILLAR 3 DOCUMENT, established 2026-09-15 (cross-bank SDDT pass) and re-verified against the register 2026-09-18. Julian Hodge Bank is a Small Domestic Deposit Taker (SDDT) and is therefore not required to publish Pillar 3 disclosures, so the absence of an FY2025 Pillar 3 DOCUMENT is an EVIDENCED STRUCTURAL EXEMPTION. READ THE SCOPE OF THAT CAREFULLY: it explains why no FY2025 Pillar 3 document appears, and it explains NOTHING about whether any individual metric is published. Opting in removes a duty to publish; it does not stop a firm publishing, and this firm went on to publish its FY2025 LCR and leverage ratio in its Annual Report. A metric is blanked here only where it has been shown absent from the documents that do exist - never on the strength of this modification.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204439, 'Julian Hodge Bank Limited': (a) 'CRR firms: SDDT Regime - General Application Part 1.2 &amp; 2.1(9)', sub rule 'Ru 1.2 &amp; 2.1(9)', ref 'A00009819P.pdf', start '11/02/2025', end '11/02/2028'; and (b) 'Modification by Consent - PRA Rulebook - CRR Firms - Rule 3.1 of the SDDT Regime - General Application Part', sub rule 'Ru 3.1', ref 'A00009917P.pdf', start '18/02/2025',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row: FRN 575105, Rule 3.1, start '17/01/2025' - matching its own stated approval date exactly, which is what ties the register row to the firm-stated effect.)
DATE FIT, stated precisely because the two years differ. This bank's year-end is 30 September. FY2025 (period ended 30 September 2025) falls wholly after the 18 February 2025 modification, so FY2025 is unambiguously covered. FY2024 (period ended 30 September 2024) ENDED BEFORE the modification took effect, so the exemption does not straightforwardly cover it. It may still explain the FY2024 non-publication - Cynergy's 17 January 2025 approval expressly removed its obligation for the 31 December 2024 reporting date that preceded it, and Hodge's FY2024 Pillar 3 would have fallen due at almost exactly the point its own modification landed - but Julian Hodge Bank has not said so, so FY2024 is left as NOT ESTABLISHED rather than claimed as structurally exempt. It is recorded as: no FY2024 Pillar 3 document published; SDDT exemption effective from 18 February 2025 is a plausible but unconfirmed cause.
The exemption explains NOTHING about FY2014-FY2023, every one of which has its own published Pillar 3 document cited above. Do not read SDDT back onto FY2023 or earlier. Neither Annual Report claims SDDT status in the bank's own words: both the FY2024 and FY2025 Annual Reports were downloaded and text-extracted in full (readable text layers, ~737k and ~751k characters) and searched for 'SDDT', 'Small Domestic Deposit Taker', 'modification by consent', 'Simplified Retail Deposit Ratio', 'SRDR', 'Strong and Simple', 'Interim Capital Regime' and 'Basel 3.1'. SDDT appears only as regulatory-developments context - AR2024 p.18 refers to 'the draft Small Domestic Deposit Takers' rules and AR2025 p.18 to 'the ongoing Basel 3.1 and Small Domestic Deposit Takers (SDDT) consultations' - and neither report mentions Pillar 3 disclosure obligations at all (the word 'Pillar' appears only in 'Pillar 1' and 'Pillar 2'). No Simplified Retail Deposit Ratio value is disclosed, so nothing replaces the NSFR series.</t>
        </is>
      </c>
    </row>
    <row r="11" ht="377" customHeight="1">
      <c r="A11" s="8" t="inlineStr">
        <is>
          <t>(continued)
PRE-CRD IV (BASEL II) COLUMNS FY2013-FY2010 - READ BEFORE USING THEM. CRD IV took effect 1 January 2014. The FY2013, FY2012, FY2011 and FY2010 Pillar 3 documents are Basel II / BIPRU disclosures and they do not report the same things under the same names. What each of the four actually prints, in its section 4 'Capital resources' table, is: Tier 1 capital (ordinary shares + profit and loss reserve), a deduction for investments in subsidiaries, 'Total Tier 1 capital', a Tier 2 line (eligible general provisions, less a revaluation reserve deduction in FY2013/FY2012/FY2011), and 'Total capital resources'. In its section 5.1 it prints a 'Pillar 1 capital requirement' by exposure class.
WHAT IS DELIBERATELY NOT POPULATED, and why. (1) CET1: the concept did not exist before CRD IV and none of the four documents uses the term - a Basel II 'Total Tier 1 capital' is NOT a CET1 figure and is not placed on the CET1 sheet. (2) Tier 1 Capital: each edition's own Total Tier 1 capital is FY2013 113.7, FY2012 111.1, FY2011 109.7, FY2010 108.1 - recorded here in prose only and NOT as a data column, which is the treatment this script already applies to the FY2015/FY2014 Basel II Tier 1 figures, kept consistent rather than changed for the newly-added years. (3) EVERY RATIO SHEET: no risk-weighted-asset amount appears anywhere in any of the four documents (grep for 'risk weighted'/'risk-weighted' returns zero hits in all four), so there is no denominator, and none of the four prints a capital ratio of any kind. Grossing the Pillar 1 capital requirement up by 12.5 would manufacture an RWA no document states, and is deliberately not done. (4) Leverage / LCR / NSFR: none of the three existed as a UK disclosure requirement in these years. FY2013's document mentions a leverage ratio exactly once, as forward-looking prose about CRD IV's forthcoming requirements ('enhanced reporting requirements include the introduction of a leverage ratio, liquidity coverage...'), with no value; FY2012/FY2011/FY2010 do not mention it at all. In particular these years belong on NEITHER row of the Leverage Ratio sheet's excluding-/including-claims-on-central-banks pair - that is a 2022 UK framework distinction and reading it back onto a Basel II year would be meaningless.
WHAT IS POPULATED: 'Total capital resources' only, on the Total Capital sheet - a figure each document states directly as a total. This matches how FY2015 (122.4) and FY2014 (118.8) were already handled on that sheet before this extension. The Pillar 1 capital requirement for the four new years is FY2013 35.3 (credit risk 34.9 + operational risk 0.4), FY2012 36.8 (36.0 + 0.8), FY2011 38.9 (37.7 + 1.2), FY2010 41.5 (40.2 + 1.3) - recorded in prose on the Total RWAs sheet, as CAPITAL, never converted to RWA.
PILLAR 3 URL STATUS, established 2026-09-16 (HD-080). This CORRECTS a note previously held here which asserted that the historical Pillar 3 documents were NOT live on hodgebank.co.uk and that the Wayback citations must not be repointed. That note tested only the OLD paths - /wp-content/uploads/2019/01/, /2019/04/, /2020/02/ and /2021/02/ - and about those it was right: they are dead. But it never tested /wp-content/uploads/2024/07/, and the entire historical series was re-uploaded there on 2024-07-25. All 14 editions FY2010-FY2023 are live and genuine at that path. The old note's conclusion was therefore wrong and has been removed.
HOW EACH FILE WAS VERIFIED (not by status code): HTTP status + Content-Type: application/pdf + %PDF magic bytes + pdfinfo page count + the cover page read for its stated period. Two traps on this host, both real:
  (1) www.hodgebank.co.uk 301-redirects to the apex domain. curl without -L returns 301 / 162 bytes, which looks like a dead link and is almost certainly what produced the earlier report.
  (2) The SOFT-404 on this host is PER-FILENAME, not per-directory - do not generalise a negative control across a directory. WordPress serves one 'Financial Information' landing page (HTTP 200, text/html, 108,306 bytes, md5 c69229b0d911df8ea64ada86d57738a2) for certain KNOWN OLD attachment slugs, while an unknown filename in that very same directory 404s honestly (146 bytes). Measured 2026-09-16: /2020/02/FINAL-Julian-Hodge-Bank-Limited-FY18.pdf -&gt; soft-404 but /2020/02/zzz-nonexistent-control.pdf -&gt; honest 404; /2021/02/2.-JHB-Pillar-III.pdf -&gt; soft-404 but /2021/02/zzz-control.pdf -&gt; honest 404; /2019/01/jhb-pillar3-2014.pdf -&gt; honest 404; /2024/07/zzz-nonexistent-control.pdf -&gt; honest 404. The decisive test is always the per-URL Content-Type plus %PDF check, never HTTP 200 and never a control run on a different filename.
SAFETY OF THE REPOINTING: every live file was md5-compared against the Wayback capture the figures were originally transcribed from, and all five checked pairs are byte-identical - FY2018 addbb5d0301b1b2349dbd9b05d3b3dfc, FY2017 b76617584f830bf3f6dbb68720744fdd, FY2016 0bd97d21c8ebd0972d5e96be8c6c1d9b, FY2015 c448471eea12e998bbfb104e3074d3cc, FY2014 5318b684c1a1d4ef8e84d62a4ba055a4. The FY2019 (695,975 B) and FY2020 (2,416,601 B) live files likewise match their captures exactly. No transcribed figure changes. Every superseded Wayback URL is kept above as a *_URL_ARCHIVE fallback.
ENUMERATION: the back catalogue was enumerated three ways - filename permutation jhb-pillar3-&lt;year&gt;.pdf across 2008-2023 (2008, 2009 and 2019-2023 honestly 404 under that name); the WordPress REST media API, whose library was walked in full (66 items over 2 pages, complete) and which is what surfaced the five irregularly-named editions that permutation can never find; and a Wayback CDX sweep of hodgebank.co.uk and julianhodgebank.co.uk which was BLOCKED on 2026-09-16 (HTTP 503/504, 'Internet Archive services are temporarily offline') and was recorded as unknown rather than as an absence. THAT SWEEP WAS RE-RUN SUCCESSFULLY ON 2026-09-18 and is no longer an open item - it completed over all three domains and found nothing newer than the FY2023 edition; see the full account in BASIS_NOTE. Result, now confirmed from three independent directions (filename permutation, the WordPress media API, and the archive): a continuous FY2010-FY2023 run of 14 editions, no FY2009, no FY2024, no FY2025.
FILENAME NEVER EQUALS PERIOD ON THIS SITE. Hodge-pillar-3-19.06.23.pdf is a 2023 PUBLICATION date on the FY2022 edition, and Hodge-pillar-3-11.03.24.pdf is a 2024 publication date on the FY2023 edition. The cover page is the only trustworthy source of the period, and every period recorded in this script was read off the cover. This matters doubly because the year-end MOVES mid-series: 31 October through FY2019, 30 September from FY2021, with FY2020 an 11-month transition period.</t>
        </is>
      </c>
    </row>
  </sheetData>
  <mergeCells count="4">
    <mergeCell ref="A11:K11"/>
    <mergeCell ref="A5:K5"/>
    <mergeCell ref="A7:K7"/>
    <mergeCell ref="A9:K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Julian Hodge Bank Limited — RWA Breakdown</t>
        </is>
      </c>
    </row>
    <row r="2">
      <c r="A2" s="2" t="inlineStr">
        <is>
          <t>FY2023-FY2017 as disclosed (Pillar 3 "Risk Type Breakdown"/"Overview of RWA" table); FY2016 derived from the disclosed Pillar 1 capital requirement x 12.5 (a coarser 2-category split - see SECTION blocks and source note). FY2025/FY2024/FY2015/FY2014: no category-level RWA breakdown was located - see source note.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row>
    <row r="4">
      <c r="A4" s="5" t="inlineStr">
        <is>
          <t>"Risk Type Breakdown" table - Hodge Bank Pillar 3 Disclosures, period ended 30 September 2023 p.14 and period ended 30 September 2022 p.17 (FY2023, FY2022). In these two editions the template shows credit valuation adjustment as a MEMO item inside the counterparty-credit-risk line, not as a separately additive risk type: the 'Of which: CVA' row below is already included in the CCR row above it and must not be added again</t>
        </is>
      </c>
      <c r="B4" s="6" t="n"/>
      <c r="C4" s="6" t="n"/>
      <c r="D4" s="6" t="n"/>
      <c r="E4" s="6" t="n"/>
      <c r="F4" s="6" t="n"/>
      <c r="G4" s="6" t="n"/>
      <c r="H4" s="6" t="n"/>
      <c r="I4" s="6" t="n"/>
      <c r="J4" s="6" t="n"/>
      <c r="K4" s="6" t="n"/>
    </row>
    <row r="5">
      <c r="A5" s="6" t="inlineStr">
        <is>
          <t>Credit risk (excluding CCR)</t>
        </is>
      </c>
      <c r="B5" s="6" t="n"/>
      <c r="C5" s="6" t="n"/>
      <c r="D5" s="6" t="n">
        <v>629.2</v>
      </c>
      <c r="E5" s="6" t="n">
        <v>644</v>
      </c>
      <c r="F5" s="6" t="n"/>
      <c r="G5" s="6" t="n"/>
      <c r="H5" s="6" t="n"/>
      <c r="I5" s="6" t="n"/>
      <c r="J5" s="6" t="n"/>
      <c r="K5" s="6" t="n"/>
    </row>
    <row r="6">
      <c r="A6" s="6" t="inlineStr">
        <is>
          <t>Counterparty credit risk (CCR)</t>
        </is>
      </c>
      <c r="B6" s="6" t="n"/>
      <c r="C6" s="6" t="n"/>
      <c r="D6" s="6" t="n">
        <v>2.7</v>
      </c>
      <c r="E6" s="6" t="n">
        <v>1</v>
      </c>
      <c r="F6" s="6" t="n"/>
      <c r="G6" s="6" t="n"/>
      <c r="H6" s="6" t="n"/>
      <c r="I6" s="6" t="n"/>
      <c r="J6" s="6" t="n"/>
      <c r="K6" s="6" t="n"/>
    </row>
    <row r="7">
      <c r="A7" s="6" t="inlineStr">
        <is>
          <t>Of which: Credit valuation adjustment (CVA) - memo only, already included in CCR above, not separately additive</t>
        </is>
      </c>
      <c r="B7" s="6" t="n"/>
      <c r="C7" s="6" t="n"/>
      <c r="D7" s="6" t="n">
        <v>0.2</v>
      </c>
      <c r="E7" s="6" t="n">
        <v>0</v>
      </c>
      <c r="F7" s="6" t="n"/>
      <c r="G7" s="6" t="n"/>
      <c r="H7" s="6" t="n"/>
      <c r="I7" s="6" t="n"/>
      <c r="J7" s="6" t="n"/>
      <c r="K7" s="6" t="n"/>
    </row>
    <row r="8">
      <c r="A8" s="6" t="inlineStr">
        <is>
          <t>Operational risk</t>
        </is>
      </c>
      <c r="B8" s="6" t="n"/>
      <c r="C8" s="6" t="n"/>
      <c r="D8" s="6" t="n">
        <v>58.9</v>
      </c>
      <c r="E8" s="6" t="n">
        <v>44</v>
      </c>
      <c r="F8" s="6" t="n"/>
      <c r="G8" s="6" t="n"/>
      <c r="H8" s="6" t="n"/>
      <c r="I8" s="6" t="n"/>
      <c r="J8" s="6" t="n"/>
      <c r="K8" s="6" t="n"/>
    </row>
    <row r="9">
      <c r="A9" s="6" t="inlineStr">
        <is>
          <t>Amounts below the threshold for deduction (250% risk weight)</t>
        </is>
      </c>
      <c r="B9" s="6" t="n"/>
      <c r="C9" s="6" t="n"/>
      <c r="D9" s="6" t="n">
        <v>13.9</v>
      </c>
      <c r="E9" s="6" t="n">
        <v>16</v>
      </c>
      <c r="F9" s="6" t="n"/>
      <c r="G9" s="6" t="n"/>
      <c r="H9" s="6" t="n"/>
      <c r="I9" s="6" t="n"/>
      <c r="J9" s="6" t="n"/>
      <c r="K9" s="6" t="n"/>
    </row>
    <row r="10">
      <c r="A10" s="5" t="inlineStr">
        <is>
          <t>Total risk-weighted exposure amount</t>
        </is>
      </c>
      <c r="B10" s="5" t="n"/>
      <c r="C10" s="5" t="n"/>
      <c r="D10" s="5" t="n">
        <v>704.7</v>
      </c>
      <c r="E10" s="5" t="n">
        <v>705</v>
      </c>
      <c r="F10" s="5" t="n"/>
      <c r="G10" s="5" t="n"/>
      <c r="H10" s="5" t="n"/>
      <c r="I10" s="5" t="n"/>
      <c r="J10" s="5" t="n"/>
      <c r="K10" s="5" t="n"/>
    </row>
    <row r="11">
      <c r="A11" s="5" t="inlineStr">
        <is>
          <t>"Risk Type Breakdown" table - Hodge Bank Pillar 3 Disclosures, period ended 30 September 2021, p.21 (FY2021). Same table title as the block above, but NOT the same treatment: this edition shows credit valuation adjustment as its own separately additive risk type, so its CVA row is a component of the total rather than a memo</t>
        </is>
      </c>
      <c r="B11" s="6" t="n"/>
      <c r="C11" s="6" t="n"/>
      <c r="D11" s="6" t="n"/>
      <c r="E11" s="6" t="n"/>
      <c r="F11" s="6" t="n"/>
      <c r="G11" s="6" t="n"/>
      <c r="H11" s="6" t="n"/>
      <c r="I11" s="6" t="n"/>
      <c r="J11" s="6" t="n"/>
      <c r="K11" s="6" t="n"/>
    </row>
    <row r="12">
      <c r="A12" s="6" t="inlineStr">
        <is>
          <t>Credit risk (excluding CCR)</t>
        </is>
      </c>
      <c r="B12" s="6" t="n"/>
      <c r="C12" s="6" t="n"/>
      <c r="D12" s="6" t="n"/>
      <c r="E12" s="6" t="n"/>
      <c r="F12" s="6" t="n">
        <v>639.9</v>
      </c>
      <c r="G12" s="6" t="n"/>
      <c r="H12" s="6" t="n"/>
      <c r="I12" s="6" t="n"/>
      <c r="J12" s="6" t="n"/>
      <c r="K12" s="6" t="n"/>
    </row>
    <row r="13">
      <c r="A13" s="6" t="inlineStr">
        <is>
          <t>Counterparty credit risk (CCR)</t>
        </is>
      </c>
      <c r="B13" s="6" t="n"/>
      <c r="C13" s="6" t="n"/>
      <c r="D13" s="6" t="n"/>
      <c r="E13" s="6" t="n"/>
      <c r="F13" s="6" t="n">
        <v>4.6</v>
      </c>
      <c r="G13" s="6" t="n"/>
      <c r="H13" s="6" t="n"/>
      <c r="I13" s="6" t="n"/>
      <c r="J13" s="6" t="n"/>
      <c r="K13" s="6" t="n"/>
    </row>
    <row r="14">
      <c r="A14" s="6" t="inlineStr">
        <is>
          <t>Credit valuation adjustment (CVA)</t>
        </is>
      </c>
      <c r="B14" s="6" t="n"/>
      <c r="C14" s="6" t="n"/>
      <c r="D14" s="6" t="n"/>
      <c r="E14" s="6" t="n"/>
      <c r="F14" s="6" t="n">
        <v>0.8</v>
      </c>
      <c r="G14" s="6" t="n"/>
      <c r="H14" s="6" t="n"/>
      <c r="I14" s="6" t="n"/>
      <c r="J14" s="6" t="n"/>
      <c r="K14" s="6" t="n"/>
    </row>
    <row r="15">
      <c r="A15" s="6" t="inlineStr">
        <is>
          <t>Operational risk</t>
        </is>
      </c>
      <c r="B15" s="6" t="n"/>
      <c r="C15" s="6" t="n"/>
      <c r="D15" s="6" t="n"/>
      <c r="E15" s="6" t="n"/>
      <c r="F15" s="6" t="n">
        <v>36.5</v>
      </c>
      <c r="G15" s="6" t="n"/>
      <c r="H15" s="6" t="n"/>
      <c r="I15" s="6" t="n"/>
      <c r="J15" s="6" t="n"/>
      <c r="K15" s="6" t="n"/>
    </row>
    <row r="16">
      <c r="A16" s="6" t="inlineStr">
        <is>
          <t>Amounts below the threshold for deduction (250% risk weight)</t>
        </is>
      </c>
      <c r="B16" s="6" t="n"/>
      <c r="C16" s="6" t="n"/>
      <c r="D16" s="6" t="n"/>
      <c r="E16" s="6" t="n"/>
      <c r="F16" s="6" t="n">
        <v>29.2</v>
      </c>
      <c r="G16" s="6" t="n"/>
      <c r="H16" s="6" t="n"/>
      <c r="I16" s="6" t="n"/>
      <c r="J16" s="6" t="n"/>
      <c r="K16" s="6" t="n"/>
    </row>
    <row r="17">
      <c r="A17" s="5" t="inlineStr">
        <is>
          <t>Total risk-weighted exposure amount</t>
        </is>
      </c>
      <c r="B17" s="5" t="n"/>
      <c r="C17" s="5" t="n"/>
      <c r="D17" s="5" t="n"/>
      <c r="E17" s="5" t="n"/>
      <c r="F17" s="5" t="n">
        <v>711</v>
      </c>
      <c r="G17" s="5" t="n"/>
      <c r="H17" s="5" t="n"/>
      <c r="I17" s="5" t="n"/>
      <c r="J17" s="5" t="n"/>
      <c r="K17" s="5" t="n"/>
    </row>
    <row r="18">
      <c r="A18" s="5" t="inlineStr">
        <is>
          <t>"Overview of RWA" table - Julian Hodge Bank Limited Pillar 3 Disclosures, period ended 30 September 2020 p.23, period ended 31 October 2019 p.14 and period ended 31 October 2018 p.14, each read from its own year's column, with FY2017 taken from the 31 October 2018 edition's FY2017 comparator column because FY2017's own document discloses no risk-type RWA split (FY2020-FY2017). CVA is a separately additive risk type in these editions. Market risk is a separate nil/blank line in these source tables and is not reproduced as a row here, being nil in every disclosed year</t>
        </is>
      </c>
      <c r="B18" s="6" t="n"/>
      <c r="C18" s="6" t="n"/>
      <c r="D18" s="6" t="n"/>
      <c r="E18" s="6" t="n"/>
      <c r="F18" s="6" t="n"/>
      <c r="G18" s="6" t="n"/>
      <c r="H18" s="6" t="n"/>
      <c r="I18" s="6" t="n"/>
      <c r="J18" s="6" t="n"/>
      <c r="K18" s="6" t="n"/>
    </row>
    <row r="19">
      <c r="A19" s="6" t="inlineStr">
        <is>
          <t>Credit risk (excluding CCR)</t>
        </is>
      </c>
      <c r="B19" s="6" t="n"/>
      <c r="C19" s="6" t="n"/>
      <c r="D19" s="6" t="n"/>
      <c r="E19" s="6" t="n"/>
      <c r="F19" s="6" t="n"/>
      <c r="G19" s="6" t="n">
        <v>627.3</v>
      </c>
      <c r="H19" s="6" t="n">
        <v>626.8</v>
      </c>
      <c r="I19" s="6" t="n">
        <v>699.4</v>
      </c>
      <c r="J19" s="6" t="n">
        <v>661.5</v>
      </c>
      <c r="K19" s="6" t="n"/>
    </row>
    <row r="20">
      <c r="A20" s="6" t="inlineStr">
        <is>
          <t>Counterparty credit risk (CCR)</t>
        </is>
      </c>
      <c r="B20" s="6" t="n"/>
      <c r="C20" s="6" t="n"/>
      <c r="D20" s="6" t="n"/>
      <c r="E20" s="6" t="n"/>
      <c r="F20" s="6" t="n"/>
      <c r="G20" s="6" t="n">
        <v>4.2</v>
      </c>
      <c r="H20" s="6" t="n">
        <v>2.1</v>
      </c>
      <c r="I20" s="6" t="n">
        <v>4</v>
      </c>
      <c r="J20" s="6" t="n">
        <v>4.3</v>
      </c>
      <c r="K20" s="6" t="n"/>
    </row>
    <row r="21">
      <c r="A21" s="6" t="inlineStr">
        <is>
          <t>Credit valuation adjustment (CVA)</t>
        </is>
      </c>
      <c r="B21" s="6" t="n"/>
      <c r="C21" s="6" t="n"/>
      <c r="D21" s="6" t="n"/>
      <c r="E21" s="6" t="n"/>
      <c r="F21" s="6" t="n"/>
      <c r="G21" s="6" t="n">
        <v>2.3</v>
      </c>
      <c r="H21" s="6" t="n">
        <v>2.5</v>
      </c>
      <c r="I21" s="6" t="n">
        <v>5</v>
      </c>
      <c r="J21" s="6" t="n">
        <v>5.7</v>
      </c>
      <c r="K21" s="6" t="n"/>
    </row>
    <row r="22">
      <c r="A22" s="6" t="inlineStr">
        <is>
          <t>Operational risk</t>
        </is>
      </c>
      <c r="B22" s="6" t="n"/>
      <c r="C22" s="6" t="n"/>
      <c r="D22" s="6" t="n"/>
      <c r="E22" s="6" t="n"/>
      <c r="F22" s="6" t="n"/>
      <c r="G22" s="6" t="n">
        <v>36.2</v>
      </c>
      <c r="H22" s="6" t="n">
        <v>34</v>
      </c>
      <c r="I22" s="6" t="n">
        <v>29.9</v>
      </c>
      <c r="J22" s="6" t="n">
        <v>16.5</v>
      </c>
      <c r="K22" s="6" t="n"/>
    </row>
    <row r="23">
      <c r="A23" s="6" t="inlineStr">
        <is>
          <t>Amounts below the threshold for deduction (250% risk weight)</t>
        </is>
      </c>
      <c r="B23" s="6" t="n"/>
      <c r="C23" s="6" t="n"/>
      <c r="D23" s="6" t="n"/>
      <c r="E23" s="6" t="n"/>
      <c r="F23" s="6" t="n"/>
      <c r="G23" s="6" t="n">
        <v>23.8</v>
      </c>
      <c r="H23" s="6" t="n">
        <v>16.5</v>
      </c>
      <c r="I23" s="6" t="n">
        <v>16.3</v>
      </c>
      <c r="J23" s="6" t="n">
        <v>18.3</v>
      </c>
      <c r="K23" s="6" t="n"/>
    </row>
    <row r="24">
      <c r="A24" s="5" t="inlineStr">
        <is>
          <t>Total risk-weighted exposure amount</t>
        </is>
      </c>
      <c r="B24" s="5" t="n"/>
      <c r="C24" s="5" t="n"/>
      <c r="D24" s="5" t="n"/>
      <c r="E24" s="5" t="n"/>
      <c r="F24" s="5" t="n"/>
      <c r="G24" s="5" t="n">
        <v>693.8</v>
      </c>
      <c r="H24" s="5" t="n">
        <v>681.9</v>
      </c>
      <c r="I24" s="5" t="n">
        <v>754.6</v>
      </c>
      <c r="J24" s="5" t="n">
        <v>706.3</v>
      </c>
      <c r="K24" s="5" t="n"/>
    </row>
    <row r="25">
      <c r="A25" s="5" t="inlineStr">
        <is>
          <t>Pillar 1 capital requirement x 12.5 (derived from disclosed capital requirement - see sources note)</t>
        </is>
      </c>
      <c r="B25" s="6" t="n"/>
      <c r="C25" s="6" t="n"/>
      <c r="D25" s="6" t="n"/>
      <c r="E25" s="6" t="n"/>
      <c r="F25" s="6" t="n"/>
      <c r="G25" s="6" t="n"/>
      <c r="H25" s="6" t="n"/>
      <c r="I25" s="6" t="n"/>
      <c r="J25" s="6" t="n"/>
      <c r="K25" s="6" t="n"/>
    </row>
    <row r="26">
      <c r="A26" s="6" t="inlineStr">
        <is>
          <t>Credit risk (including CCR/CVA - not separately itemised in this year's own document)</t>
        </is>
      </c>
      <c r="B26" s="6" t="n"/>
      <c r="C26" s="6" t="n"/>
      <c r="D26" s="6" t="n"/>
      <c r="E26" s="6" t="n"/>
      <c r="F26" s="6" t="n"/>
      <c r="G26" s="6" t="n"/>
      <c r="H26" s="6" t="n"/>
      <c r="I26" s="6" t="n"/>
      <c r="J26" s="6" t="n"/>
      <c r="K26" s="6" t="n">
        <v>661.25</v>
      </c>
    </row>
    <row r="27">
      <c r="A27" s="6" t="inlineStr">
        <is>
          <t>Operational risk</t>
        </is>
      </c>
      <c r="B27" s="6" t="n"/>
      <c r="C27" s="6" t="n"/>
      <c r="D27" s="6" t="n"/>
      <c r="E27" s="6" t="n"/>
      <c r="F27" s="6" t="n"/>
      <c r="G27" s="6" t="n"/>
      <c r="H27" s="6" t="n"/>
      <c r="I27" s="6" t="n"/>
      <c r="J27" s="6" t="n"/>
      <c r="K27" s="6" t="n">
        <v>11.25</v>
      </c>
    </row>
    <row r="28">
      <c r="A28" s="5" t="inlineStr">
        <is>
          <t>Total risk-weighted exposure amount (derived)</t>
        </is>
      </c>
      <c r="B28" s="5" t="n"/>
      <c r="C28" s="5" t="n"/>
      <c r="D28" s="5" t="n"/>
      <c r="E28" s="5" t="n"/>
      <c r="F28" s="5" t="n"/>
      <c r="G28" s="5" t="n"/>
      <c r="H28" s="5" t="n"/>
      <c r="I28" s="5" t="n"/>
      <c r="J28" s="5" t="n"/>
      <c r="K28" s="5" t="n">
        <v>672.5</v>
      </c>
    </row>
    <row r="29">
      <c r="A29" s="5" t="inlineStr">
        <is>
          <t>FY2025 and FY2024 - no risk-type RWA breakdown was published for either year</t>
        </is>
      </c>
      <c r="B29" s="6" t="n"/>
      <c r="C29" s="6" t="n"/>
      <c r="D29" s="6" t="n"/>
      <c r="E29" s="6" t="n"/>
      <c r="F29" s="6" t="n"/>
      <c r="G29" s="6" t="n"/>
      <c r="H29" s="6" t="n"/>
      <c r="I29" s="6" t="n"/>
      <c r="J29" s="6" t="n"/>
      <c r="K29" s="6" t="n"/>
    </row>
    <row r="30">
      <c r="A30" s="6" t="inlineStr">
        <is>
          <t>Risk-type breakdown of total risk-weighted exposure amount</t>
        </is>
      </c>
      <c r="B30" s="6" t="inlineStr">
        <is>
          <t>Not disclosed - no Pillar 3; the Annual Report gives only the aggregate total</t>
        </is>
      </c>
      <c r="C30" s="6" t="inlineStr">
        <is>
          <t>Not disclosed - no Pillar 3; the Annual Report gives only the aggregate total</t>
        </is>
      </c>
      <c r="D30" s="6" t="n"/>
      <c r="E30" s="6" t="n"/>
      <c r="F30" s="6" t="n"/>
      <c r="G30" s="6" t="n"/>
      <c r="H30" s="6" t="n"/>
      <c r="I30" s="6" t="n"/>
      <c r="J30" s="6" t="n"/>
      <c r="K30" s="6" t="n"/>
    </row>
    <row r="32" ht="409" customHeight="1">
      <c r="A32" s="8" t="inlineStr">
        <is>
          <t>Sources - Julian Hodge Bank Limited:
FY2023: Hodge Bank Pillar 3 Disclosures - Period ended 30 September 2023, Table "3 Key Regulatory Metrics", p.9 - https://hodgebank.co.uk/wp-content/uploads/2024/07/Hodge-pillar-3-11.03.24.pdf
FY2022: Hodge Bank Pillar 3 Disclosures - Period ended 30 September 2022, Table "3 Key Regulatory Metrics", p.12 - https://hodgebank.co.uk/wp-content/uploads/2024/07/Hodge-pillar-3-19.06.23.pdf
FY2021: Hodge Bank Pillar 3 Disclosures - Period ended 30 September 2021, Table "Key Metrics", p.16 - https://hodgebank.co.uk/wp-content/uploads/2024/07/Hodge-Pillar-3-Document-2020_2021.pdf
FY2020: Julian Hodge Bank Limited Pillar 3 Disclosures - Period ended 30 September 2020, Summary of Key Regulatory Metrics, p.8 - https://hodgebank.co.uk/wp-content/uploads/2024/07/2.-JHB-Pillar-III.pdf
FY2019: Julian Hodge Bank Limited Pillar 3 Disclosures - Period ended 31 October 2019, Key Regulatory Metrics, p.10-11 - https://hodgebank.co.uk/wp-content/uploads/2024/07/Pillar-3-Disclosure-FY19-FINAL.pdf
FY2018: Julian Hodge Bank Limited Pillar 3 Disclosures - Period ended 31 October 2018, Key Regulatory Metrics, p.10-11 - https://hodgebank.co.uk/wp-content/uploads/2024/07/jhb-pillar3-2018.pdf
FY2017: Julian Hodge Bank Limited Pillar 3 Disclosures - Period ended 31 October 2017, Summary of Key Capital Ratios/Capital Resources, p.6/15 - https://hodgebank.co.uk/wp-content/uploads/2024/07/jhb-pillar3-2017.pdf
FY2016: Julian Hodge Bank Limited Pillar 3 Disclosures - Period ended 31 October 2016, Summary of Key Capital Ratios/Capital Resources, p.6/15 - https://hodgebank.co.uk/wp-content/uploads/2024/07/jhb-pillar3-2016.pdf
FY2015: Julian Hodge Bank Limited Pillar 3 Disclosures - Period ended 31 October 2015, Capital Resources, p.12-13 - https://hodgebank.co.uk/wp-content/uploads/2024/07/jhb-pillar3-2015.pdf
FY2014: Julian Hodge Bank Limited Pillar 3 Disclosures - period ended 31 October 2014, Capital Resources, p.12-13 - https://hodgebank.co.uk/wp-content/uploads/2024/07/jhb-pillar3-2014.pdf
FY2013: Julian Hodge Bank Limited Pillar 3 disclosures - as at 31 October 2013 (Basel II), section 4 "Capital resources", PDF p.12 of 23, and section 5.1 "Pillar 1 capital requirement", PDF p.13 - https://hodgebank.co.uk/wp-content/uploads/2024/07/jhb-pillar3-2013.pdf
FY2012: Julian Hodge Bank Limited Pillar 3 disclosures - as at 31 October 2012 (Basel II), section 4 "Capital resources", PDF p.11 of 21, and section 5.1 "Pillar 1 capital requirement", PDF p.12 - https://hodgebank.co.uk/wp-content/uploads/2024/07/jhb-pillar3-2012.pdf
FY2011: Julian Hodge Bank Limited Pillar 3 disclosures - as at 31 October 2011 (Basel II), section 4 "Capital resources", PDF p.13 of 28, and section 5.1 "Pillar 1 capital requirement", PDF p.15 - https://hodgebank.co.uk/wp-content/uploads/2024/07/jhb-pillar3-2011.pdf
FY2010: Julian Hodge Bank Limited Pillar 3 disclosures - as at 31 October 2010 (Basel II), section 4 "Capital resources", PDF p.13 of 27, and section 5.1 "Pillar 1 capital requirement", PDF p.15 - https://hodgebank.co.uk/wp-content/uploads/2024/07/jhb-pillar3-2010.pdf
FY2024: Julian Hodge Bank Limited Annual Report 2024, Note 32 'Capital risk management (unaudited)', printed folio 74 (CET1 capital, total RWA, CET1 ratio, total own funds, total capital ratio); and the Chief Finance Officer's Report, printed folio 13, section 'Liquidity' / 'Capital and Leverage' (LCR and Leverage Ratio, stated in prose) - https://hodgebank.co.uk/wp-content/uploads/2025/02/Hodge-annual-report-21.02.25.pdf
FY2025: Julian Hodge Bank Limited Annual Report 2025, Note 34 'Capital risk management (unaudited)', printed folio 77 (same five figures); and the Chief Finance Officer's Report, printed folio 13, same two sections (LCR and Leverage Ratio) - https://hodgebank.co.uk/wp-content/uploads/2026/02/Hodge-AR-28.01.26.pdf
  [Folios corrected 2026-09-18: the capital note was previously cited as p.73 (FY2024) and p.76 (FY2025), each one short. Both documents run at a zero offset between the pdftotext sheet index and the printed folio, and each page's own footer reads 'Hodge Annual Report 20XX ... 74' / '... 77'. The folio-13 citations are new with this pass.]
Wayback fallbacks for the FY2020-FY2014 documents, retained and never to be deleted (each is byte-identical to the live file now cited above):
  FY2020 - https://web.archive.org/web/20220620025450id_/https://hodgebank.co.uk/wp-content/uploads/2021/02/2.-JHB-Pillar-III.pdf
  FY2019 - https://web.archive.org/web/20210517002419id_/https://hodgebank.co.uk/wp-content/uploads/2020/02/Pillar-3-Disclosure-FY19-FINAL.pdf
  FY2018 - https://web.archive.org/web/20210517004624id_/https://hodgebank.co.uk/wp-content/uploads/2019/04/jhb-pillar3-2018.pdf
  FY2017 - https://web.archive.org/web/20220620025310id_/https://hodgebank.co.uk/wp-content/uploads/2019/01/jhb-pillar3-2017.pdf
  FY2016 - https://web.archive.org/web/20220620025406id_/https://hodgebank.co.uk/wp-content/uploads/2019/01/jhb-pillar3-2016.pdf
  FY2015 - https://web.archive.org/web/20220620025429id_/https://hodgebank.co.uk/wp-content/uploads/2019/01/jhb-pillar3-2015.pdf
  FY2014 - https://web.archive.org/web/20220620025434id_/https://hodgebank.co.uk/wp-content/uploads/2019/01/jhb-pillar3-2014.pdf
RWA Breakdown-specific sources (in addition to the Total RWAs sources above):</t>
        </is>
      </c>
    </row>
    <row r="34" ht="409" customHeight="1">
      <c r="A34" s="8" t="inlineStr">
        <is>
          <t>(continued)
FY2023: Hodge Bank Pillar 3 Disclosures - Period ended 30 September 2023, "Risk Type Breakdown" table, p.14 - https://hodgebank.co.uk/wp-content/uploads/2024/07/Hodge-pillar-3-11.03.24.pdf
FY2022: Hodge Bank Pillar 3 Disclosures - Period ended 30 September 2022, "Risk Type Breakdown" table, p.17 - https://hodgebank.co.uk/wp-content/uploads/2024/07/Hodge-pillar-3-19.06.23.pdf
FY2021: Hodge Bank Pillar 3 Disclosures - Period ended 30 September 2021, "Risk Type Breakdown" table, p.21 - https://hodgebank.co.uk/wp-content/uploads/2024/07/Hodge-Pillar-3-Document-2020_2021.pdf
FY2020: Julian Hodge Bank Limited Pillar 3 Disclosures - Period ended 30 September 2020, "Overview of RWA" table (own-year column), p.23 - https://hodgebank.co.uk/wp-content/uploads/2024/07/2.-JHB-Pillar-III.pdf
FY2019: Julian Hodge Bank Limited Pillar 3 Disclosures - Period ended 31 October 2019, "Overview of RWA" table (own-year column), p.14 - https://hodgebank.co.uk/wp-content/uploads/2024/07/Pillar-3-Disclosure-FY19-FINAL.pdf
FY2018: Julian Hodge Bank Limited Pillar 3 Disclosures - Period ended 31 October 2018, "Overview of RWA" table (own-year column), p.14 - https://hodgebank.co.uk/wp-content/uploads/2024/07/jhb-pillar3-2018.pdf
FY2017: this year's own Pillar 3 document only discloses a coarser Pillar 1 capital-requirement-by-exposure-class table (no risk-type RWA split); the FY2017 figures above are instead the FY2017 comparator column of the FOLLOWING year's "Overview of RWA" table - Julian Hodge Bank Limited Pillar 3 Disclosures - Period ended 31 October 2018, "Overview of RWA" table, FY2017 comparator column, p.14 - https://hodgebank.co.uk/wp-content/uploads/2024/07/jhb-pillar3-2018.pdf - which reconciles exactly (706.3) to the Total RWAs sheet's own FY2017 figure sourced from that year's own report.
FY2016: no OV1-style RWA-by-risk-type table exists in this year's own Pillar 3 document (or the following year's) - only a 2-category "Pillar 1 Capital Requirement" table (Total Credit Risk, which bundles in CCR/CVA per this document's own categorisation with no separate line for either, and Operational risk - standardised approach). DERIVED (not disclosed): each category's Pillar 1 capital requirement x 12.5 (= divided by 8%, the CRR Article 92 Pillar 1 minimum ratio) - Julian Hodge Bank Limited Pillar 3 Disclosures - Period ended 31 October 2016, "6.1 Pillar 1 Capital Requirement" table, p.17 - https://hodgebank.co.uk/wp-content/uploads/2024/07/jhb-pillar3-2016.pdf (Credit Risk capital 52.9 x 12.5 = 661.25; Operational risk capital 0.9 x 12.5 = 11.25; derived total 672.5 reconciles to within 0.3 - immaterial source-table rounding before x12.5 - of the Total RWAs sheet's own FY2016 figure of 672.8). Market risk is not itemised in this document at all for FY2016 (assumed nil, consistent with every disclosed later year showing nil/blank market risk, but not confirmed for FY2016 itself).
FY2025/FY2024: Not publicly disclosed at category level - no standalone Pillar 3 document is published for these years (see BASIS_NOTE above); each year's own Annual Report 'Capital risk management' note gives only Total RWAs and CET1/capital ratios, no risk-type split - already shown on the Total RWAs sheet. Re-confirmed 2026-09-12: a Wayback CDX scan of hodgebank.co.uk's full 2025-2026 crawl history found no newly-dated Pillar 3 filename beyond the FY2023 document already cited above; the bank's own regulatory-disclosures pages returned HTTP 403 (bot-blocked) on direct fetch, so this remains an access-limited re-confirmation, not a from-scratch guarantee no such document exists.
FY2015/FY2014: no RWA figure of any kind is disclosed for these two years (pre-CRD IV regime) - see the Total RWAs sheet note.
FY2013-FY2010 ARE DELIBERATELY NOT COLUMNS ON THIS SHEET, even though all four of those years' Pillar 3 documents were located live and read in full in 2026-09-16's HD-080 pass. This sheet (and the Asset Quality sheet) stay pinned to the FY2014 window while the 11 capital metric sheets extend back to FY2010, because there is literally nothing pre-FY2014 to put here: none of the four Basel II editions discloses a risk-weighted-asset amount at all, in total or by risk type. Adding the columns would add four entirely empty ones. The four editions' Pillar 1 CAPITAL requirements are recorded instead on the Total RWAs sheet's note, as capital, deliberately never multiplied by 12.5 into an RWA no document states.
DOCUMENT COVERAGE (re-established 2026-09-16, HD-080): this entity published a CONTINUOUS run of 14 standalone Pillar 3 documents, FY2010 through FY2023, and all 14 are cited above and live on the publisher's site. There is no FY2009 edition and no FY2024 or FY2025 edition. The run splits at the CRD IV boundary: FY2010-FY2015 are Basel II / BIPRU (see the pre-CRD IV note - only Total capital resources is transcribable from them), FY2016-FY2023 are CRD IV.
FY2021-FY2023: full UK KM1-format 'Key Regulatory Metrics' table from each year's own standalone Pillar 3 Disclosures document. FY2024-FY2025: no standalone Pillar 3 document exists (the bank's financial information page lists a Pillar 3 disclosure link for FY2018-FY2023 only), but the Annual Report still carries much of the content, in TWO SEPARATE PLACES, and both are used here:
  (i) the unaudited 'Capital risk management' note in the financial statements - CET1 capital, total risk-weighted assets, CET1 ratio, total own funds and total capital ratio (FY2025 note 34, printed folio 77; FY2024 note 32, printed folio 74);
  (ii) the Chief Finance Officer's Report in the Strategic Report, printed folio 13 in BOTH editions - the year-end LIQUIDITY COVERAGE RATIO and the year-end LEVERAGE RATIO, each stated in the running prose rather than in a table.
CORRECTION OF RECORD, 2026-09-18 (GA-005). This note previously said the Annual Report's capital note 'does not include Leverage Ratio, LCR, or NSFR', and the LCR and Leverage Ratio sheets carried FY2025 as 'NOT APPLICABLE - no such disclosure will ever exist' on the strength of the SDDT modification below. That was wrong in both directions and four real published figures were blank because of it: the statement was true of the capital NOTE and false of the REPORT, which discloses both metrics for both years. The SDDT modification ended the bank's PILLAR 3 duty; it did not stop the bank publishing, and the bank did in fact publish. FY2025 LCR 310.7% and leverage ratio 8.1%, FY2024 LCR 274.0% and leverage ratio 8.4%, each read from that year's OWN Annual Report. The figures are now on their sheets.</t>
        </is>
      </c>
    </row>
    <row r="36" ht="409" customHeight="1">
      <c r="A36" s="8" t="inlineStr">
        <is>
          <t>(continued)
WHAT REMAINS ABSENT FOR FY2024-FY2025, and how that was established. The NSFR is genuinely not disclosed: 'NSFR' and 'Net Stable Funding' each return ZERO hits in the full text of both Annual Reports, against a richness control run on the same extractions in which 'credit risk' returns 76 hits (FY2025) and 72 (FY2024), 'operational risk' 16 and 15, 'CET1' 4 and 3, and 'LCR' 3 and 2 - so the zero is a fact about the documents, not about the extraction. No Simplified Retail Deposit Ratio value is published either, so nothing succeeds the NSFR series. Also absent: the LEVERAGE EXPOSURE MEASURE ('total exposure measure' likewise zero hits) - the ratio is stated without its denominator, and the denominator is NOT back-solved from it; the LCR's HQLA and net-outflow build-up; any category-level RWA breakdown; and any MREL figure ('MREL', 'minimum requirement for own funds' and 'loss-absorbing' all zero hits in both editions).
SDDT EXEMPTION - REASON FOR THE FY2025 CESSATION OF THE PILLAR 3 DOCUMENT, established 2026-09-15 (cross-bank SDDT pass) and re-verified against the register 2026-09-18. Julian Hodge Bank is a Small Domestic Deposit Taker (SDDT) and is therefore not required to publish Pillar 3 disclosures, so the absence of an FY2025 Pillar 3 DOCUMENT is an EVIDENCED STRUCTURAL EXEMPTION. READ THE SCOPE OF THAT CAREFULLY: it explains why no FY2025 Pillar 3 document appears, and it explains NOTHING about whether any individual metric is published. Opting in removes a duty to publish; it does not stop a firm publishing, and this firm went on to publish its FY2025 LCR and leverage ratio in its Annual Report. A metric is blanked here only where it has been shown absent from the documents that do exist - never on the strength of this modification.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204439, 'Julian Hodge Bank Limited': (a) 'CRR firms: SDDT Regime - General Application Part 1.2 &amp; 2.1(9)', sub rule 'Ru 1.2 &amp; 2.1(9)', ref 'A00009819P.pdf', start '11/02/2025', end '11/02/2028'; and (b) 'Modification by Consent - PRA Rulebook - CRR Firms - Rule 3.1 of the SDDT Regime - General Application Part', sub rule 'Ru 3.1', ref 'A00009917P.pdf', start '18/02/2025',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row: FRN 575105, Rule 3.1, start '17/01/2025' - matching its own stated approval date exactly, which is what ties the register row to the firm-stated effect.)
DATE FIT, stated precisely because the two years differ. This bank's year-end is 30 September. FY2025 (period ended 30 September 2025) falls wholly after the 18 February 2025 modification, so FY2025 is unambiguously covered. FY2024 (period ended 30 September 2024) ENDED BEFORE the modification took effect, so the exemption does not straightforwardly cover it. It may still explain the FY2024 non-publication - Cynergy's 17 January 2025 approval expressly removed its obligation for the 31 December 2024 reporting date that preceded it, and Hodge's FY2024 Pillar 3 would have fallen due at almost exactly the point its own modification landed - but Julian Hodge Bank has not said so, so FY2024 is left as NOT ESTABLISHED rather than claimed as structurally exempt. It is recorded as: no FY2024 Pillar 3 document published; SDDT exemption effective from 18 February 2025 is a plausible but unconfirmed cause.
The exemption explains NOTHING about FY2014-FY2023, every one of which has its own published Pillar 3 document cited above. Do not read SDDT back onto FY2023 or earlier. Neither Annual Report claims SDDT status in the bank's own words: both the FY2024 and FY2025 Annual Reports were downloaded and text-extracted in full (readable text layers, ~737k and ~751k characters) and searched for 'SDDT', 'Small Domestic Deposit Taker', 'modification by consent', 'Simplified Retail Deposit Ratio', 'SRDR', 'Strong and Simple', 'Interim Capital Regime' and 'Basel 3.1'. SDDT appears only as regulatory-developments context - AR2024 p.18 refers to 'the draft Small Domestic Deposit Takers' rules and AR2025 p.18 to 'the ongoing Basel 3.1 and Small Domestic Deposit Takers (SDDT) consultations' - and neither report mentions Pillar 3 disclosure obligations at all (the word 'Pillar' appears only in 'Pillar 1' and 'Pillar 2'). No Simplified Retail Deposit Ratio value is disclosed, so nothing replaces the NSFR series.
PRE-CRD IV (BASEL II) COLUMNS FY2013-FY2010 - READ BEFORE USING THEM. CRD IV took effect 1 January 2014. The FY2013, FY2012, FY2011 and FY2010 Pillar 3 documents are Basel II / BIPRU disclosures and they do not report the same things under the same names. What each of the four actually prints, in its section 4 'Capital resources' table, is: Tier 1 capital (ordinary shares + profit and loss reserve), a deduction for investments in subsidiaries, 'Total Tier 1 capital', a Tier 2 line (eligible general provisions, less a revaluation reserve deduction in FY2013/FY2012/FY2011), and 'Total capital resources'. In its section 5.1 it prints a 'Pillar 1 capital requirement' by exposure class.
WHAT IS DELIBERATELY NOT POPULATED, and why. (1) CET1: the concept did not exist before CRD IV and none of the four documents uses the term - a Basel II 'Total Tier 1 capital' is NOT a CET1 figure and is not placed on the CET1 sheet. (2) Tier 1 Capital: each edition's own Total Tier 1 capital is FY2013 113.7, FY2012 111.1, FY2011 109.7, FY2010 108.1 - recorded here in prose only and NOT as a data column, which is the treatment this script already applies to the FY2015/FY2014 Basel II Tier 1 figures, kept consistent rather than changed for the newly-added years. (3) EVERY RATIO SHEET: no risk-weighted-asset amount appears anywhere in any of the four documents (grep for 'risk weighted'/'risk-weighted' returns zero hits in all four), so there is no denominator, and none of the four prints a capital ratio of any kind. Grossing the Pillar 1 capital requirement up by 12.5 would manufacture an RWA no document states, and is deliberately not done. (4) Leverage / LCR / NSFR: none of the three existed as a UK disclosure requirement in these years. FY2013's document mentions a leverage ratio exactly once, as forward-looking prose about CRD IV's forthcoming requirements ('enhanced reporting requirements include the introduction of a leverage ratio, liquidity coverage...'), with no value; FY2012/FY2011/FY2010 do not mention it at all. In particular these years belong on NEITHER row of the Leverage Ratio sheet's excluding-/including-claims-on-central-banks pair - that is a 2022 UK framework distinction and reading it back onto a Basel II year would be meaningless.
WHAT IS POPULATED: 'Total capital resources' only, on the Total Capital sheet - a figure each document states directly as a total. This matches how FY2015 (122.4) and FY2014 (118.8) were already handled on that sheet before this extension. The Pillar 1 capital requirement for the four new years is FY2013 35.3 (credit risk 34.9 + operational risk 0.4), FY2012 36.8 (36.0 + 0.8), FY2011 38.9 (37.7 + 1.2), FY2010 41.5 (40.2 + 1.3) - recorded in prose on the Total RWAs sheet, as CAPITAL, never converted to RWA.
PILLAR 3 URL STATUS, established 2026-09-16 (HD-080). This CORRECTS a note previously held here which asserted that the historical Pillar 3 documents were NOT live on hodgebank.co.uk and that the Wayback citations must not be repointed. That note tested only the OLD paths - /wp-content/uploads/2019/01/, /2019/04/, /2020/02/ and /2021/02/ - and about those it was right: they are dead. But it never tested /wp-content/uploads/2024/07/, and the entire historical series was re-uploaded there on 2024-07-25. All 14 editions FY2010-FY2023 are live and genuine at that path. The old note's conclusion was therefore wrong and has been removed.
HOW EACH FILE WAS VERIFIED (not by status code): HTTP status + Content-Type: application/pdf + %PDF magic bytes + pdfinfo page count + the cover page read for its stated period. Two traps on this host, both real:
  (1) www.hodgebank.co.uk 301-redirects to the apex domain. curl without -L returns 301 / 162 bytes, which looks like a dead link and is almost certainly what produced the earlier report.</t>
        </is>
      </c>
    </row>
    <row r="38" ht="409" customHeight="1">
      <c r="A38" s="8" t="inlineStr">
        <is>
          <t>(continued)
(2) The SOFT-404 on this host is PER-FILENAME, not per-directory - do not generalise a negative control across a directory. WordPress serves one 'Financial Information' landing page (HTTP 200, text/html, 108,306 bytes, md5 c69229b0d911df8ea64ada86d57738a2) for certain KNOWN OLD attachment slugs, while an unknown filename in that very same directory 404s honestly (146 bytes). Measured 2026-09-16: /2020/02/FINAL-Julian-Hodge-Bank-Limited-FY18.pdf -&gt; soft-404 but /2020/02/zzz-nonexistent-control.pdf -&gt; honest 404; /2021/02/2.-JHB-Pillar-III.pdf -&gt; soft-404 but /2021/02/zzz-control.pdf -&gt; honest 404; /2019/01/jhb-pillar3-2014.pdf -&gt; honest 404; /2024/07/zzz-nonexistent-control.pdf -&gt; honest 404. The decisive test is always the per-URL Content-Type plus %PDF check, never HTTP 200 and never a control run on a different filename.
SAFETY OF THE REPOINTING: every live file was md5-compared against the Wayback capture the figures were originally transcribed from, and all five checked pairs are byte-identical - FY2018 addbb5d0301b1b2349dbd9b05d3b3dfc, FY2017 b76617584f830bf3f6dbb68720744fdd, FY2016 0bd97d21c8ebd0972d5e96be8c6c1d9b, FY2015 c448471eea12e998bbfb104e3074d3cc, FY2014 5318b684c1a1d4ef8e84d62a4ba055a4. The FY2019 (695,975 B) and FY2020 (2,416,601 B) live files likewise match their captures exactly. No transcribed figure changes. Every superseded Wayback URL is kept above as a *_URL_ARCHIVE fallback.
ENUMERATION: the back catalogue was enumerated three ways - filename permutation jhb-pillar3-&lt;year&gt;.pdf across 2008-2023 (2008, 2009 and 2019-2023 honestly 404 under that name); the WordPress REST media API, whose library was walked in full (66 items over 2 pages, complete) and which is what surfaced the five irregularly-named editions that permutation can never find; and a Wayback CDX sweep of hodgebank.co.uk and julianhodgebank.co.uk which was BLOCKED on 2026-09-16 (HTTP 503/504, 'Internet Archive services are temporarily offline') and was recorded as unknown rather than as an absence. THAT SWEEP WAS RE-RUN SUCCESSFULLY ON 2026-09-18 and is no longer an open item - it completed over all three domains and found nothing newer than the FY2023 edition; see the full account in BASIS_NOTE. Result, now confirmed from three independent directions (filename permutation, the WordPress media API, and the archive): a continuous FY2010-FY2023 run of 14 editions, no FY2009, no FY2024, no FY2025.
FILENAME NEVER EQUALS PERIOD ON THIS SITE. Hodge-pillar-3-19.06.23.pdf is a 2023 PUBLICATION date on the FY2022 edition, and Hodge-pillar-3-11.03.24.pdf is a 2024 publication date on the FY2023 edition. The cover page is the only trustworthy source of the period, and every period recorded in this script was read off the cover. This matters doubly because the year-end MOVES mid-series: 31 October through FY2019, 30 September from FY2021, with FY2020 an 11-month transition period.</t>
        </is>
      </c>
    </row>
  </sheetData>
  <mergeCells count="4">
    <mergeCell ref="A34:K34"/>
    <mergeCell ref="A38:K38"/>
    <mergeCell ref="A32:K32"/>
    <mergeCell ref="A36:K3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9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Julian Hodge Bank Limited — Leverage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exposure measure EXCLUDING claims on central banks (£m) (UK LRCom row UK-24b / UK KM1 row 13; the FY2022-onward basis)</t>
        </is>
      </c>
      <c r="B4" s="6" t="n"/>
      <c r="C4" s="6" t="n"/>
      <c r="D4" s="6" t="n">
        <v>1649.9</v>
      </c>
      <c r="E4" s="6" t="n">
        <v>1624</v>
      </c>
      <c r="F4" s="6" t="n">
        <v>1320</v>
      </c>
      <c r="G4" s="6" t="n"/>
      <c r="H4" s="6" t="n"/>
      <c r="I4" s="6" t="n"/>
      <c r="J4" s="6" t="n"/>
      <c r="K4" s="6" t="n"/>
    </row>
    <row r="5">
      <c r="A5" s="6" t="inlineStr">
        <is>
          <t>Leverage ratio EXCLUDING claims on central banks (%) (UK LRCom row 25 / UK KM1 row 14; the FY2022-onward basis)</t>
        </is>
      </c>
      <c r="B5" s="6" t="n"/>
      <c r="C5" s="6" t="n"/>
      <c r="D5" s="6" t="inlineStr">
        <is>
          <t>10.5%</t>
        </is>
      </c>
      <c r="E5" s="6" t="inlineStr">
        <is>
          <t>10.9%</t>
        </is>
      </c>
      <c r="F5" s="6" t="inlineStr">
        <is>
          <t>10.9%</t>
        </is>
      </c>
      <c r="G5" s="6" t="n"/>
      <c r="H5" s="6" t="n"/>
      <c r="I5" s="6" t="n"/>
      <c r="J5" s="6" t="n"/>
      <c r="K5" s="6" t="n"/>
    </row>
    <row r="6">
      <c r="A6" s="6" t="inlineStr">
        <is>
          <t>Total exposure measure INCLUDING claims on central banks (£m) (UK LRCom row 24 for FY2022-FY2023; the Basel III/CRR exposure measure as originally reported FY2016-FY2021)</t>
        </is>
      </c>
      <c r="B6" s="6" t="n"/>
      <c r="C6" s="6" t="n"/>
      <c r="D6" s="6" t="n">
        <v>1803.7</v>
      </c>
      <c r="E6" s="6" t="n">
        <v>1852</v>
      </c>
      <c r="F6" s="6" t="n">
        <v>1732.2</v>
      </c>
      <c r="G6" s="6" t="n">
        <v>1423.5</v>
      </c>
      <c r="H6" s="6" t="n">
        <v>1393.2</v>
      </c>
      <c r="I6" s="6" t="n">
        <v>1412.2</v>
      </c>
      <c r="J6" s="6" t="n">
        <v>1309.5</v>
      </c>
      <c r="K6" s="6" t="n">
        <v>1359.3</v>
      </c>
    </row>
    <row r="7">
      <c r="A7" s="6" t="inlineStr">
        <is>
          <t>Leverage ratio INCLUDING claims on central banks (%) (UK LRCom row UK-25c for FY2022-FY2023; the Basel III/CRR leverage ratio as originally reported FY2016-FY2021)</t>
        </is>
      </c>
      <c r="B7" s="6" t="inlineStr">
        <is>
          <t>8.1%</t>
        </is>
      </c>
      <c r="C7" s="6" t="inlineStr">
        <is>
          <t>8.4%</t>
        </is>
      </c>
      <c r="D7" s="6" t="inlineStr">
        <is>
          <t>9.6%</t>
        </is>
      </c>
      <c r="E7" s="6" t="inlineStr">
        <is>
          <t>9.6%</t>
        </is>
      </c>
      <c r="F7" s="6" t="inlineStr">
        <is>
          <t>8.3%</t>
        </is>
      </c>
      <c r="G7" s="6" t="inlineStr">
        <is>
          <t>9.6%</t>
        </is>
      </c>
      <c r="H7" s="6" t="inlineStr">
        <is>
          <t>11.2%</t>
        </is>
      </c>
      <c r="I7" s="6" t="inlineStr">
        <is>
          <t>11.9%</t>
        </is>
      </c>
      <c r="J7" s="6" t="inlineStr">
        <is>
          <t>11.4%</t>
        </is>
      </c>
      <c r="K7" s="6" t="inlineStr">
        <is>
          <t>9.5%</t>
        </is>
      </c>
    </row>
    <row r="8" ht="221" customHeight="1">
      <c r="A8" s="7" t="inlineStr">
        <is>
          <t>Note: THE TWO PAIRS OF ROWS ARE NOT A LIKE-FOR-LIKE SERIES AND MUST NOT BE READ AS ONE. The PRA's UK Leverage Ratio Framework, in force from 1 January 2022, allows firms in its scope to exclude claims on central banks from the total exposure measure - the Bank's own FY2022 Pillar 3 says so in terms ('The PRA's UK Leverage Ratio framework that came into force from 1 January 2022, allows institutions within its scope to exclude assets held with the Bank of England from their leverage calculations'). From FY2022 the Bank prints BOTH bases in Template UK LRCom, and restated FY2021 onto the excluding basis. Excluding basis: FY2021 10.9%, FY2022 10.9%, FY2023 10.5% - i.e. flat, then slightly down. Including basis: FY2021 8.3%, FY2022 9.6%, FY2023 9.6%. The apparent 8.3% -&gt; 10.9% jump a single blended row would show across the FY2021/FY2022 boundary is ENTIRELY the change of denominator, not a change in the Bank: on either basis held consistently the ratio did not improve by 2.6pp. The excluded amounts are stated by the Bank: UK-24a '(-) Claims on central banks excluded' = £411m at 30 Sep 2021, £228m (£228.4m in the FY2023 edition) at 30 Sep 2022, £153.9m at 30 Sep 2023. Neither basis is computed here from the other; every figure above is printed in one of the cited documents. FY2021's excluding-basis pair (1,320 / 10.9%) exists only as the FY2022 edition's comparative column - the Bank published no excluding-basis figure for FY2020 or earlier, so those years appear on the including row only and are NOT back-solved. FY2022's exposure measure is 1,624 / 1,852 as the FY2022 edition printed it and 1,623.2 / 1,851.6 as the FY2023 edition's comparative restates it, a rounding-level difference recorded rather than reconciled; the own-year figure is the one shown. FY2021's including-basis exposure is 1,732.2 per FY2021's own report and 1,731 per the FY2022 edition's comparative - same, to rounding. FY2025 AND FY2024 ARE DISCLOSED, AND WERE WRONGLY BLANK UNTIL 2026-09-18. This note previously read 'FY2025 is NOT APPLICABLE rather than undisclosed ... no FY2025 leverage disclosure will ever exist', reasoning from the Bank's SDDT modification (PRA Rule 3.1, effective 18 February 2025). That modification ended the Bank's PILLAR 3 duty and nothing more, and the Bank went on to publish. The earlier note was also looking in the wrong part of the Annual Report: it is true that the brief 'Capital risk management' note carries no leverage ratio, but the CHIEF FINANCE OFFICER'S REPORT, printed folio 13 of each edition, does. FY2025, from its own edition: 'The Leverage Ratio at 30 September 2025 was 8.1% (2024: 8.4%).' FY2024, from its own edition: 'The Leverage Ratio at 30 September 2024 was 8.4% (2023: 9.6%).'
WHICH ROW THEY BELONG ON, SETTLED TWO WAYS. (1) The FY2024 edition's own 2023 comparative reads 9.6%, which is exactly this sheet's INCLUDING-claims-on-central-banks figure for FY2023 (the excluding figure is 10.5%), so the Annual Report's measure is the including one. (2) The same paragraph says so in substance: 'We are not captured under the Financial Policy Committee's Leverage Ratio Framework which became a binding requirement from 1 January 2022 for institutions with over £50bn of retail deposits' - the Bank is outside the scope of the framework that permits claims on central banks to be excluded, so its headline is necessarily the full exposure measure. The two new cells therefore sit on the including row, and the EXCLUDING row stays blank for both years: the Bank published no excluding-basis figure for either, and none is derived.
THE EXPOSURE MEASURE STAYS BLANK for FY2025 and FY2024. The Annual Report gives the ratio without its denominator ('total exposure measure' returns zero hits in both editions), and a denominator is NOT backed out of the ratio and the CET1 figure, arithmetically possible though that is.
AVERAGE LEVERAGE RATIO, PUBLISHED BUT NOT A ROW HERE, for the same reason as the LCR sheet's average: the FY2025 edition adds 'The average leverage ratio throughout the financial year was 8.6% (2024 9.7%)', a different basis, recorded in prose so it cannot be read as continuous with the year-end rows. The FY2024 edition prints no average of its own, so 9.7% exists only as the FY2025 comparative.
FY2015-FY2010 not available - no Basel III leverage ratio existed as a UK disclosure requirement under the Basel II regime those six years used. Those years belong on NEITHER of the two rows above: the excluding-/including-claims-on-central-banks distinction is a UK framework change effective 1 January 2022 and is meaningless applied to a Basel II year. The FY2013 document mentions a leverage ratio exactly once, as forward-looking prose about CRD IV's forthcoming requirements, with no value attached; FY2012/FY2011/FY2010 do not mention it at all. (FY2013-FY2010 columns added 2026-09-16 by HD-080's Basel II extension; that pass added no figure to this sheet and collapsed none of its rows.)</t>
        </is>
      </c>
    </row>
    <row r="10" ht="409" customHeight="1">
      <c r="A10" s="8" t="inlineStr">
        <is>
          <t>Sources - Julian Hodge Bank Limited:
FY2023: Hodge Bank Pillar 3 Disclosures - Period ended 30 September 2023, Table "3 Key Regulatory Metrics", p.9 - https://hodgebank.co.uk/wp-content/uploads/2024/07/Hodge-pillar-3-11.03.24.pdf
FY2022: Hodge Bank Pillar 3 Disclosures - Period ended 30 September 2022, Table "3 Key Regulatory Metrics", p.12 - https://hodgebank.co.uk/wp-content/uploads/2024/07/Hodge-pillar-3-19.06.23.pdf
FY2021: Hodge Bank Pillar 3 Disclosures - Period ended 30 September 2021, Table "Key Metrics", p.16 - https://hodgebank.co.uk/wp-content/uploads/2024/07/Hodge-Pillar-3-Document-2020_2021.pdf
FY2020: Julian Hodge Bank Limited Pillar 3 Disclosures - Period ended 30 September 2020, Summary of Key Regulatory Metrics, p.8 - https://hodgebank.co.uk/wp-content/uploads/2024/07/2.-JHB-Pillar-III.pdf
FY2019: Julian Hodge Bank Limited Pillar 3 Disclosures - Period ended 31 October 2019, Key Regulatory Metrics, p.10-11 - https://hodgebank.co.uk/wp-content/uploads/2024/07/Pillar-3-Disclosure-FY19-FINAL.pdf
FY2018: Julian Hodge Bank Limited Pillar 3 Disclosures - Period ended 31 October 2018, Key Regulatory Metrics, p.10-11 - https://hodgebank.co.uk/wp-content/uploads/2024/07/jhb-pillar3-2018.pdf
FY2017: Julian Hodge Bank Limited Pillar 3 Disclosures - Period ended 31 October 2017, Summary of Key Capital Ratios/Capital Resources, p.6/15 - https://hodgebank.co.uk/wp-content/uploads/2024/07/jhb-pillar3-2017.pdf
FY2016: Julian Hodge Bank Limited Pillar 3 Disclosures - Period ended 31 October 2016, Summary of Key Capital Ratios/Capital Resources, p.6/15 - https://hodgebank.co.uk/wp-content/uploads/2024/07/jhb-pillar3-2016.pdf
FY2015: Julian Hodge Bank Limited Pillar 3 Disclosures - Period ended 31 October 2015, Capital Resources, p.12-13 - https://hodgebank.co.uk/wp-content/uploads/2024/07/jhb-pillar3-2015.pdf
FY2014: Julian Hodge Bank Limited Pillar 3 Disclosures - period ended 31 October 2014, Capital Resources, p.12-13 - https://hodgebank.co.uk/wp-content/uploads/2024/07/jhb-pillar3-2014.pdf
FY2013: Julian Hodge Bank Limited Pillar 3 disclosures - as at 31 October 2013 (Basel II), section 4 "Capital resources", PDF p.12 of 23, and section 5.1 "Pillar 1 capital requirement", PDF p.13 - https://hodgebank.co.uk/wp-content/uploads/2024/07/jhb-pillar3-2013.pdf
FY2012: Julian Hodge Bank Limited Pillar 3 disclosures - as at 31 October 2012 (Basel II), section 4 "Capital resources", PDF p.11 of 21, and section 5.1 "Pillar 1 capital requirement", PDF p.12 - https://hodgebank.co.uk/wp-content/uploads/2024/07/jhb-pillar3-2012.pdf
FY2011: Julian Hodge Bank Limited Pillar 3 disclosures - as at 31 October 2011 (Basel II), section 4 "Capital resources", PDF p.13 of 28, and section 5.1 "Pillar 1 capital requirement", PDF p.15 - https://hodgebank.co.uk/wp-content/uploads/2024/07/jhb-pillar3-2011.pdf
FY2010: Julian Hodge Bank Limited Pillar 3 disclosures - as at 31 October 2010 (Basel II), section 4 "Capital resources", PDF p.13 of 27, and section 5.1 "Pillar 1 capital requirement", PDF p.15 - https://hodgebank.co.uk/wp-content/uploads/2024/07/jhb-pillar3-2010.pdf
FY2024: Julian Hodge Bank Limited Annual Report 2024, Note 32 'Capital risk management (unaudited)', printed folio 74 (CET1 capital, total RWA, CET1 ratio, total own funds, total capital ratio); and the Chief Finance Officer's Report, printed folio 13, section 'Liquidity' / 'Capital and Leverage' (LCR and Leverage Ratio, stated in prose) - https://hodgebank.co.uk/wp-content/uploads/2025/02/Hodge-annual-report-21.02.25.pdf
FY2025: Julian Hodge Bank Limited Annual Report 2025, Note 34 'Capital risk management (unaudited)', printed folio 77 (same five figures); and the Chief Finance Officer's Report, printed folio 13, same two sections (LCR and Leverage Ratio) - https://hodgebank.co.uk/wp-content/uploads/2026/02/Hodge-AR-28.01.26.pdf
  [Folios corrected 2026-09-18: the capital note was previously cited as p.73 (FY2024) and p.76 (FY2025), each one short. Both documents run at a zero offset between the pdftotext sheet index and the printed folio, and each page's own footer reads 'Hodge Annual Report 20XX ... 74' / '... 77'. The folio-13 citations are new with this pass.]
Wayback fallbacks for the FY2020-FY2014 documents, retained and never to be deleted (each is byte-identical to the live file now cited above):
  FY2020 - https://web.archive.org/web/20220620025450id_/https://hodgebank.co.uk/wp-content/uploads/2021/02/2.-JHB-Pillar-III.pdf
  FY2019 - https://web.archive.org/web/20210517002419id_/https://hodgebank.co.uk/wp-content/uploads/2020/02/Pillar-3-Disclosure-FY19-FINAL.pdf
  FY2018 - https://web.archive.org/web/20210517004624id_/https://hodgebank.co.uk/wp-content/uploads/2019/04/jhb-pillar3-2018.pdf
  FY2017 - https://web.archive.org/web/20220620025310id_/https://hodgebank.co.uk/wp-content/uploads/2019/01/jhb-pillar3-2017.pdf
  FY2016 - https://web.archive.org/web/20220620025406id_/https://hodgebank.co.uk/wp-content/uploads/2019/01/jhb-pillar3-2016.pdf
  FY2015 - https://web.archive.org/web/20220620025429id_/https://hodgebank.co.uk/wp-content/uploads/2019/01/jhb-pillar3-2015.pdf
  FY2014 - https://web.archive.org/web/20220620025434id_/https://hodgebank.co.uk/wp-content/uploads/2019/01/jhb-pillar3-2014.pdf
LEVERAGE-RATIO DUAL-BASIS SOURCES (both bases are printed by the Bank; neither is derived here):
FY2023 and FY2022 comparative, Template UK LRCom 'Leverage Ratio common disclosure at 30 September', section 9 'Leverage Ratio' (rows 24, UK-24a, UK-24b, 25, UK-25c) - https://hodgebank.co.uk/wp-content/uploads/2024/07/Hodge-pillar-3-11.03.24.pdf
FY2022 and FY2021 comparative, Template UK LRCom, section 9 'Leverage Ratio' (same rows), and Table '3 Key Regulatory Metrics' rows 13/14 - https://hodgebank.co.uk/wp-content/uploads/2024/07/Hodge-pillar-3-19.06.23.pdf</t>
        </is>
      </c>
    </row>
    <row r="12" ht="409" customHeight="1">
      <c r="A12" s="8" t="inlineStr">
        <is>
          <t>(continued)
FY2021 as originally reported ('Basel III Leverage Ratio' / 'Total Basel III Leverage Ratio exposure measure'), Summary of Key Regulatory Metrics - https://hodgebank.co.uk/wp-content/uploads/2024/07/Hodge-Pillar-3-Document-2020_2021.pdf
All three PDFs were downloaded and verified before reading (%PDF magic bytes; pdfinfo page counts 39, 41 and 58 respectively; none at the 1,048,576-byte Wayback truncation size), 2026-09-16.
DOCUMENT COVERAGE (re-established 2026-09-16, HD-080): this entity published a CONTINUOUS run of 14 standalone Pillar 3 documents, FY2010 through FY2023, and all 14 are cited above and live on the publisher's site. There is no FY2009 edition and no FY2024 or FY2025 edition. The run splits at the CRD IV boundary: FY2010-FY2015 are Basel II / BIPRU (see the pre-CRD IV note - only Total capital resources is transcribable from them), FY2016-FY2023 are CRD IV.
FY2021-FY2023: full UK KM1-format 'Key Regulatory Metrics' table from each year's own standalone Pillar 3 Disclosures document. FY2024-FY2025: no standalone Pillar 3 document exists (the bank's financial information page lists a Pillar 3 disclosure link for FY2018-FY2023 only), but the Annual Report still carries much of the content, in TWO SEPARATE PLACES, and both are used here:
  (i) the unaudited 'Capital risk management' note in the financial statements - CET1 capital, total risk-weighted assets, CET1 ratio, total own funds and total capital ratio (FY2025 note 34, printed folio 77; FY2024 note 32, printed folio 74);
  (ii) the Chief Finance Officer's Report in the Strategic Report, printed folio 13 in BOTH editions - the year-end LIQUIDITY COVERAGE RATIO and the year-end LEVERAGE RATIO, each stated in the running prose rather than in a table.
CORRECTION OF RECORD, 2026-09-18 (GA-005). This note previously said the Annual Report's capital note 'does not include Leverage Ratio, LCR, or NSFR', and the LCR and Leverage Ratio sheets carried FY2025 as 'NOT APPLICABLE - no such disclosure will ever exist' on the strength of the SDDT modification below. That was wrong in both directions and four real published figures were blank because of it: the statement was true of the capital NOTE and false of the REPORT, which discloses both metrics for both years. The SDDT modification ended the bank's PILLAR 3 duty; it did not stop the bank publishing, and the bank did in fact publish. FY2025 LCR 310.7% and leverage ratio 8.1%, FY2024 LCR 274.0% and leverage ratio 8.4%, each read from that year's OWN Annual Report. The figures are now on their sheets.
WHAT REMAINS ABSENT FOR FY2024-FY2025, and how that was established. The NSFR is genuinely not disclosed: 'NSFR' and 'Net Stable Funding' each return ZERO hits in the full text of both Annual Reports, against a richness control run on the same extractions in which 'credit risk' returns 76 hits (FY2025) and 72 (FY2024), 'operational risk' 16 and 15, 'CET1' 4 and 3, and 'LCR' 3 and 2 - so the zero is a fact about the documents, not about the extraction. No Simplified Retail Deposit Ratio value is published either, so nothing succeeds the NSFR series. Also absent: the LEVERAGE EXPOSURE MEASURE ('total exposure measure' likewise zero hits) - the ratio is stated without its denominator, and the denominator is NOT back-solved from it; the LCR's HQLA and net-outflow build-up; any category-level RWA breakdown; and any MREL figure ('MREL', 'minimum requirement for own funds' and 'loss-absorbing' all zero hits in both editions).
SDDT EXEMPTION - REASON FOR THE FY2025 CESSATION OF THE PILLAR 3 DOCUMENT, established 2026-09-15 (cross-bank SDDT pass) and re-verified against the register 2026-09-18. Julian Hodge Bank is a Small Domestic Deposit Taker (SDDT) and is therefore not required to publish Pillar 3 disclosures, so the absence of an FY2025 Pillar 3 DOCUMENT is an EVIDENCED STRUCTURAL EXEMPTION. READ THE SCOPE OF THAT CAREFULLY: it explains why no FY2025 Pillar 3 document appears, and it explains NOTHING about whether any individual metric is published. Opting in removes a duty to publish; it does not stop a firm publishing, and this firm went on to publish its FY2025 LCR and leverage ratio in its Annual Report. A metric is blanked here only where it has been shown absent from the documents that do exist - never on the strength of this modification.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204439, 'Julian Hodge Bank Limited': (a) 'CRR firms: SDDT Regime - General Application Part 1.2 &amp; 2.1(9)', sub rule 'Ru 1.2 &amp; 2.1(9)', ref 'A00009819P.pdf', start '11/02/2025', end '11/02/2028'; and (b) 'Modification by Consent - PRA Rulebook - CRR Firms - Rule 3.1 of the SDDT Regime - General Application Part', sub rule 'Ru 3.1', ref 'A00009917P.pdf', start '18/02/2025',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row: FRN 575105, Rule 3.1, start '17/01/2025' - matching its own stated approval date exactly, which is what ties the register row to the firm-stated effect.)
DATE FIT, stated precisely because the two years differ. This bank's year-end is 30 September. FY2025 (period ended 30 September 2025) falls wholly after the 18 February 2025 modification, so FY2025 is unambiguously covered. FY2024 (period ended 30 September 2024) ENDED BEFORE the modification took effect, so the exemption does not straightforwardly cover it. It may still explain the FY2024 non-publication - Cynergy's 17 January 2025 approval expressly removed its obligation for the 31 December 2024 reporting date that preceded it, and Hodge's FY2024 Pillar 3 would have fallen due at almost exactly the point its own modification landed - but Julian Hodge Bank has not said so, so FY2024 is left as NOT ESTABLISHED rather than claimed as structurally exempt. It is recorded as: no FY2024 Pillar 3 document published; SDDT exemption effective from 18 February 2025 is a plausible but unconfirmed cause.
The exemption explains NOTHING about FY2014-FY2023, every one of which has its own published Pillar 3 document cited above. Do not read SDDT back onto FY2023 or earlier. Neither Annual Report claims SDDT status in the bank's own words: both the FY2024 and FY2025 Annual Reports were downloaded and text-extracted in full (readable text layers, ~737k and ~751k characters) and searched for 'SDDT', 'Small Domestic Deposit Taker', 'modification by consent', 'Simplified Retail Deposit Ratio', 'SRDR', 'Strong and Simple', 'Interim Capital Regime' and 'Basel 3.1'. SDDT appears only as regulatory-developments context - AR2024 p.18 refers to 'the draft Small Domestic Deposit Takers' rules and AR2025 p.18 to 'the ongoing Basel 3.1 and Small Domestic Deposit Takers (SDDT) consultations' - and neither report mentions Pillar 3 disclosure obligations at all (the word 'Pillar' appears only in 'Pillar 1' and 'Pillar 2'). No Simplified Retail Deposit Ratio value is disclosed, so nothing replaces the NSFR series.
PRE-CRD IV (BASEL II) COLUMNS FY2013-FY2010 - READ BEFORE USING THEM. CRD IV took effect 1 January 2014. The FY2013, FY2012, FY2011 and FY2010 Pillar 3 documents are Basel II / BIPRU disclosures and they do not report the same things under the same names. What each of the four actually prints, in its section 4 'Capital resources' table, is: Tier 1 capital (ordinary shares + profit and loss reserve), a deduction for investments in subsidiaries, 'Total Tier 1 capital', a Tier 2 line (eligible general provisions, less a revaluation reserve deduction in FY2013/FY2012/FY2011), and 'Total capital resources'. In its section 5.1 it prints a 'Pillar 1 capital requirement' by exposure class.</t>
        </is>
      </c>
    </row>
    <row r="14" ht="409" customHeight="1">
      <c r="A14" s="8" t="inlineStr">
        <is>
          <t>(continued)
WHAT IS DELIBERATELY NOT POPULATED, and why. (1) CET1: the concept did not exist before CRD IV and none of the four documents uses the term - a Basel II 'Total Tier 1 capital' is NOT a CET1 figure and is not placed on the CET1 sheet. (2) Tier 1 Capital: each edition's own Total Tier 1 capital is FY2013 113.7, FY2012 111.1, FY2011 109.7, FY2010 108.1 - recorded here in prose only and NOT as a data column, which is the treatment this script already applies to the FY2015/FY2014 Basel II Tier 1 figures, kept consistent rather than changed for the newly-added years. (3) EVERY RATIO SHEET: no risk-weighted-asset amount appears anywhere in any of the four documents (grep for 'risk weighted'/'risk-weighted' returns zero hits in all four), so there is no denominator, and none of the four prints a capital ratio of any kind. Grossing the Pillar 1 capital requirement up by 12.5 would manufacture an RWA no document states, and is deliberately not done. (4) Leverage / LCR / NSFR: none of the three existed as a UK disclosure requirement in these years. FY2013's document mentions a leverage ratio exactly once, as forward-looking prose about CRD IV's forthcoming requirements ('enhanced reporting requirements include the introduction of a leverage ratio, liquidity coverage...'), with no value; FY2012/FY2011/FY2010 do not mention it at all. In particular these years belong on NEITHER row of the Leverage Ratio sheet's excluding-/including-claims-on-central-banks pair - that is a 2022 UK framework distinction and reading it back onto a Basel II year would be meaningless.
WHAT IS POPULATED: 'Total capital resources' only, on the Total Capital sheet - a figure each document states directly as a total. This matches how FY2015 (122.4) and FY2014 (118.8) were already handled on that sheet before this extension. The Pillar 1 capital requirement for the four new years is FY2013 35.3 (credit risk 34.9 + operational risk 0.4), FY2012 36.8 (36.0 + 0.8), FY2011 38.9 (37.7 + 1.2), FY2010 41.5 (40.2 + 1.3) - recorded in prose on the Total RWAs sheet, as CAPITAL, never converted to RWA.
PILLAR 3 URL STATUS, established 2026-09-16 (HD-080). This CORRECTS a note previously held here which asserted that the historical Pillar 3 documents were NOT live on hodgebank.co.uk and that the Wayback citations must not be repointed. That note tested only the OLD paths - /wp-content/uploads/2019/01/, /2019/04/, /2020/02/ and /2021/02/ - and about those it was right: they are dead. But it never tested /wp-content/uploads/2024/07/, and the entire historical series was re-uploaded there on 2024-07-25. All 14 editions FY2010-FY2023 are live and genuine at that path. The old note's conclusion was therefore wrong and has been removed.
HOW EACH FILE WAS VERIFIED (not by status code): HTTP status + Content-Type: application/pdf + %PDF magic bytes + pdfinfo page count + the cover page read for its stated period. Two traps on this host, both real:
  (1) www.hodgebank.co.uk 301-redirects to the apex domain. curl without -L returns 301 / 162 bytes, which looks like a dead link and is almost certainly what produced the earlier report.
  (2) The SOFT-404 on this host is PER-FILENAME, not per-directory - do not generalise a negative control across a directory. WordPress serves one 'Financial Information' landing page (HTTP 200, text/html, 108,306 bytes, md5 c69229b0d911df8ea64ada86d57738a2) for certain KNOWN OLD attachment slugs, while an unknown filename in that very same directory 404s honestly (146 bytes). Measured 2026-09-16: /2020/02/FINAL-Julian-Hodge-Bank-Limited-FY18.pdf -&gt; soft-404 but /2020/02/zzz-nonexistent-control.pdf -&gt; honest 404; /2021/02/2.-JHB-Pillar-III.pdf -&gt; soft-404 but /2021/02/zzz-control.pdf -&gt; honest 404; /2019/01/jhb-pillar3-2014.pdf -&gt; honest 404; /2024/07/zzz-nonexistent-control.pdf -&gt; honest 404. The decisive test is always the per-URL Content-Type plus %PDF check, never HTTP 200 and never a control run on a different filename.
SAFETY OF THE REPOINTING: every live file was md5-compared against the Wayback capture the figures were originally transcribed from, and all five checked pairs are byte-identical - FY2018 addbb5d0301b1b2349dbd9b05d3b3dfc, FY2017 b76617584f830bf3f6dbb68720744fdd, FY2016 0bd97d21c8ebd0972d5e96be8c6c1d9b, FY2015 c448471eea12e998bbfb104e3074d3cc, FY2014 5318b684c1a1d4ef8e84d62a4ba055a4. The FY2019 (695,975 B) and FY2020 (2,416,601 B) live files likewise match their captures exactly. No transcribed figure changes. Every superseded Wayback URL is kept above as a *_URL_ARCHIVE fallback.
ENUMERATION: the back catalogue was enumerated three ways - filename permutation jhb-pillar3-&lt;year&gt;.pdf across 2008-2023 (2008, 2009 and 2019-2023 honestly 404 under that name); the WordPress REST media API, whose library was walked in full (66 items over 2 pages, complete) and which is what surfaced the five irregularly-named editions that permutation can never find; and a Wayback CDX sweep of hodgebank.co.uk and julianhodgebank.co.uk which was BLOCKED on 2026-09-16 (HTTP 503/504, 'Internet Archive services are temporarily offline') and was recorded as unknown rather than as an absence. THAT SWEEP WAS RE-RUN SUCCESSFULLY ON 2026-09-18 and is no longer an open item - it completed over all three domains and found nothing newer than the FY2023 edition; see the full account in BASIS_NOTE. Result, now confirmed from three independent directions (filename permutation, the WordPress media API, and the archive): a continuous FY2010-FY2023 run of 14 editions, no FY2009, no FY2024, no FY2025.
FILENAME NEVER EQUALS PERIOD ON THIS SITE. Hodge-pillar-3-19.06.23.pdf is a 2023 PUBLICATION date on the FY2022 edition, and Hodge-pillar-3-11.03.24.pdf is a 2024 publication date on the FY2023 edition. The cover page is the only trustworthy source of the period, and every period recorded in this script was read off the cover. This matters doubly because the year-end MOVES mid-series: 31 October through FY2019, 30 September from FY2021, with FY2020 an 11-month transition period.</t>
        </is>
      </c>
    </row>
  </sheetData>
  <mergeCells count="4">
    <mergeCell ref="A14:K14"/>
    <mergeCell ref="A10:K10"/>
    <mergeCell ref="A12:K12"/>
    <mergeCell ref="A8:K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Julian Hodge Bank Limited — LCR</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HQLA after haircuts (£m)</t>
        </is>
      </c>
      <c r="B4" s="6" t="n"/>
      <c r="C4" s="6" t="n"/>
      <c r="D4" s="6" t="n">
        <v>230.4</v>
      </c>
      <c r="E4" s="6" t="n">
        <v>334</v>
      </c>
      <c r="F4" s="6" t="n">
        <v>479.5</v>
      </c>
      <c r="G4" s="6" t="n">
        <v>196.4</v>
      </c>
      <c r="H4" s="6" t="n">
        <v>346.4</v>
      </c>
      <c r="I4" s="6" t="n">
        <v>245.2</v>
      </c>
    </row>
    <row r="5">
      <c r="A5" s="6" t="inlineStr">
        <is>
          <t>Total net cash outflow, adjusted value (£m)</t>
        </is>
      </c>
      <c r="B5" s="6" t="n"/>
      <c r="C5" s="6" t="n"/>
      <c r="D5" s="6" t="n">
        <v>130.2</v>
      </c>
      <c r="E5" s="6" t="n">
        <v>133</v>
      </c>
      <c r="F5" s="6" t="n">
        <v>137.1</v>
      </c>
      <c r="G5" s="6" t="n">
        <v>72</v>
      </c>
      <c r="H5" s="6" t="n">
        <v>67</v>
      </c>
      <c r="I5" s="6" t="n">
        <v>103.5</v>
      </c>
    </row>
    <row r="6">
      <c r="A6" s="6" t="inlineStr">
        <is>
          <t>Liquidity Coverage Ratio (%)</t>
        </is>
      </c>
      <c r="B6" s="6" t="inlineStr">
        <is>
          <t>310.7%</t>
        </is>
      </c>
      <c r="C6" s="6" t="inlineStr">
        <is>
          <t>274.0%</t>
        </is>
      </c>
      <c r="D6" s="6" t="inlineStr">
        <is>
          <t>176.9%</t>
        </is>
      </c>
      <c r="E6" s="6" t="inlineStr">
        <is>
          <t>252%</t>
        </is>
      </c>
      <c r="F6" s="6" t="inlineStr">
        <is>
          <t>349.6%</t>
        </is>
      </c>
      <c r="G6" s="6" t="inlineStr">
        <is>
          <t>272.9%</t>
        </is>
      </c>
      <c r="H6" s="6" t="inlineStr">
        <is>
          <t>516.9%</t>
        </is>
      </c>
      <c r="I6" s="6" t="inlineStr">
        <is>
          <t>236.9%</t>
        </is>
      </c>
    </row>
    <row r="7" ht="169" customHeight="1">
      <c r="A7" s="7" t="inlineStr">
        <is>
          <t>Note: FY2025 AND FY2024 ARE DISCLOSED, AND WERE WRONGLY BLANK UNTIL 2026-09-18. This sheet previously read 'FY2025 is NOT APPLICABLE ... no FY2025 LCR disclosure will ever exist', reasoning from the Bank's SDDT modification (PRA Rule 3.1, effective 18 February 2025). The modification ended the Bank's PILLAR 3 duty and nothing more: the Bank went on to state its LCR for both years in the Chief Finance Officer's Report of each year's own Annual Report, printed folio 13. FY2025: 'The Bank's LCR at 30 September 2025 was above the regulatory minimum of 100% at 310.7% (2024: 274.0%).' FY2024, from its own edition: 'The Bank's LCR as at 30 September 2024 was above the regulatory minimum of 100% at 274.0% (2023: 176.9%).' Each year is taken from its own edition, never the later comparative.
BASIS CONFIRMED, NOT ASSUMED. The FY2024 Annual Report's own 2023 comparative reads 176.9%, which is exactly the figure this sheet already carried for FY2023 from the FY2023 Pillar 3 document's UK KM1 row 17. The Annual Report's LCR is therefore the same year-end (point-in-time) measure as the rest of this row, from an independent document family - so the two new cells extend the series rather than splicing a second basis onto it.
HQLA AND NET CASH OUTFLOW STAY BLANK for FY2025 and FY2024: the Annual Report states the ratio only, with no build-up, and neither component is derived from the other two.
AVERAGE LCR, PUBLISHED BUT DELIBERATELY NOT A ROW HERE. The FY2025 Annual Report also gives a 12-month average - 'The Bank's average LCR throughout the financial year was 331.3% (2024: 234.0%)' - a different basis that must never be merged with the year-end row above. It is recorded in prose rather than as a row, the same treatment this script already gives the Basel II Tier 1 figures on the Tier 1 Capital sheet. Note that 234.0% for FY2024 appears ONLY as the FY2025 edition's comparative; the FY2024 Annual Report prints no average of its own.
Year-end (point-in-time) values shown, per each source document's own basis ('year end value for LCR related metrics'); these are NOT the 12-month averages a UK KM1 template prints elsewhere, and the two bases are never merged. FY2017/FY2016 Pillar 3 documents were reviewed in full but contain no LCR disclosure (UK LCR reporting for this class of firm phased in gradually; FY2018 is this bank's first year showing it). FY2015-FY2010 not available - the LCR did not exist as a UK disclosure requirement under the Basel II regime those six years used; see the pre-CRD IV note in this sheet's sources.</t>
        </is>
      </c>
    </row>
    <row r="9" ht="390" customHeight="1">
      <c r="A9" s="8" t="inlineStr">
        <is>
          <t>Sources - Julian Hodge Bank Limited:
FY2023: Hodge Bank Pillar 3 Disclosures - Period ended 30 September 2023, Table "3 Key Regulatory Metrics", p.9 - https://hodgebank.co.uk/wp-content/uploads/2024/07/Hodge-pillar-3-11.03.24.pdf
FY2022: Hodge Bank Pillar 3 Disclosures - Period ended 30 September 2022, Table "3 Key Regulatory Metrics", p.12 - https://hodgebank.co.uk/wp-content/uploads/2024/07/Hodge-pillar-3-19.06.23.pdf
FY2021: Hodge Bank Pillar 3 Disclosures - Period ended 30 September 2021, Table "Key Metrics", p.16 - https://hodgebank.co.uk/wp-content/uploads/2024/07/Hodge-Pillar-3-Document-2020_2021.pdf
FY2020: Julian Hodge Bank Limited Pillar 3 Disclosures - Period ended 30 September 2020, Summary of Key Regulatory Metrics, p.8 - https://hodgebank.co.uk/wp-content/uploads/2024/07/2.-JHB-Pillar-III.pdf
FY2019: Julian Hodge Bank Limited Pillar 3 Disclosures - Period ended 31 October 2019, Key Regulatory Metrics, p.10-11 - https://hodgebank.co.uk/wp-content/uploads/2024/07/Pillar-3-Disclosure-FY19-FINAL.pdf
FY2018: Julian Hodge Bank Limited Pillar 3 Disclosures - Period ended 31 October 2018, Key Regulatory Metrics, p.10-11 - https://hodgebank.co.uk/wp-content/uploads/2024/07/jhb-pillar3-2018.pdf
FY2017: Julian Hodge Bank Limited Pillar 3 Disclosures - Period ended 31 October 2017, Summary of Key Capital Ratios/Capital Resources, p.6/15 - https://hodgebank.co.uk/wp-content/uploads/2024/07/jhb-pillar3-2017.pdf
FY2016: Julian Hodge Bank Limited Pillar 3 Disclosures - Period ended 31 October 2016, Summary of Key Capital Ratios/Capital Resources, p.6/15 - https://hodgebank.co.uk/wp-content/uploads/2024/07/jhb-pillar3-2016.pdf
FY2015: Julian Hodge Bank Limited Pillar 3 Disclosures - Period ended 31 October 2015, Capital Resources, p.12-13 - https://hodgebank.co.uk/wp-content/uploads/2024/07/jhb-pillar3-2015.pdf
FY2014: Julian Hodge Bank Limited Pillar 3 Disclosures - period ended 31 October 2014, Capital Resources, p.12-13 - https://hodgebank.co.uk/wp-content/uploads/2024/07/jhb-pillar3-2014.pdf
FY2013: Julian Hodge Bank Limited Pillar 3 disclosures - as at 31 October 2013 (Basel II), section 4 "Capital resources", PDF p.12 of 23, and section 5.1 "Pillar 1 capital requirement", PDF p.13 - https://hodgebank.co.uk/wp-content/uploads/2024/07/jhb-pillar3-2013.pdf
FY2012: Julian Hodge Bank Limited Pillar 3 disclosures - as at 31 October 2012 (Basel II), section 4 "Capital resources", PDF p.11 of 21, and section 5.1 "Pillar 1 capital requirement", PDF p.12 - https://hodgebank.co.uk/wp-content/uploads/2024/07/jhb-pillar3-2012.pdf
FY2011: Julian Hodge Bank Limited Pillar 3 disclosures - as at 31 October 2011 (Basel II), section 4 "Capital resources", PDF p.13 of 28, and section 5.1 "Pillar 1 capital requirement", PDF p.15 - https://hodgebank.co.uk/wp-content/uploads/2024/07/jhb-pillar3-2011.pdf
FY2010: Julian Hodge Bank Limited Pillar 3 disclosures - as at 31 October 2010 (Basel II), section 4 "Capital resources", PDF p.13 of 27, and section 5.1 "Pillar 1 capital requirement", PDF p.15 - https://hodgebank.co.uk/wp-content/uploads/2024/07/jhb-pillar3-2010.pdf
FY2024: Julian Hodge Bank Limited Annual Report 2024, Note 32 'Capital risk management (unaudited)', printed folio 74 (CET1 capital, total RWA, CET1 ratio, total own funds, total capital ratio); and the Chief Finance Officer's Report, printed folio 13, section 'Liquidity' / 'Capital and Leverage' (LCR and Leverage Ratio, stated in prose) - https://hodgebank.co.uk/wp-content/uploads/2025/02/Hodge-annual-report-21.02.25.pdf
FY2025: Julian Hodge Bank Limited Annual Report 2025, Note 34 'Capital risk management (unaudited)', printed folio 77 (same five figures); and the Chief Finance Officer's Report, printed folio 13, same two sections (LCR and Leverage Ratio) - https://hodgebank.co.uk/wp-content/uploads/2026/02/Hodge-AR-28.01.26.pdf
  [Folios corrected 2026-09-18: the capital note was previously cited as p.73 (FY2024) and p.76 (FY2025), each one short. Both documents run at a zero offset between the pdftotext sheet index and the printed folio, and each page's own footer reads 'Hodge Annual Report 20XX ... 74' / '... 77'. The folio-13 citations are new with this pass.]
Wayback fallbacks for the FY2020-FY2014 documents, retained and never to be deleted (each is byte-identical to the live file now cited above):
  FY2020 - https://web.archive.org/web/20220620025450id_/https://hodgebank.co.uk/wp-content/uploads/2021/02/2.-JHB-Pillar-III.pdf
  FY2019 - https://web.archive.org/web/20210517002419id_/https://hodgebank.co.uk/wp-content/uploads/2020/02/Pillar-3-Disclosure-FY19-FINAL.pdf
  FY2018 - https://web.archive.org/web/20210517004624id_/https://hodgebank.co.uk/wp-content/uploads/2019/04/jhb-pillar3-2018.pdf
  FY2017 - https://web.archive.org/web/20220620025310id_/https://hodgebank.co.uk/wp-content/uploads/2019/01/jhb-pillar3-2017.pdf</t>
        </is>
      </c>
    </row>
    <row r="11" ht="377" customHeight="1">
      <c r="A11" s="8" t="inlineStr">
        <is>
          <t>(continued)
FY2016 - https://web.archive.org/web/20220620025406id_/https://hodgebank.co.uk/wp-content/uploads/2019/01/jhb-pillar3-2016.pdf
  FY2015 - https://web.archive.org/web/20220620025429id_/https://hodgebank.co.uk/wp-content/uploads/2019/01/jhb-pillar3-2015.pdf
  FY2014 - https://web.archive.org/web/20220620025434id_/https://hodgebank.co.uk/wp-content/uploads/2019/01/jhb-pillar3-2014.pdf
DOCUMENT COVERAGE (re-established 2026-09-16, HD-080): this entity published a CONTINUOUS run of 14 standalone Pillar 3 documents, FY2010 through FY2023, and all 14 are cited above and live on the publisher's site. There is no FY2009 edition and no FY2024 or FY2025 edition. The run splits at the CRD IV boundary: FY2010-FY2015 are Basel II / BIPRU (see the pre-CRD IV note - only Total capital resources is transcribable from them), FY2016-FY2023 are CRD IV.
FY2021-FY2023: full UK KM1-format 'Key Regulatory Metrics' table from each year's own standalone Pillar 3 Disclosures document. FY2024-FY2025: no standalone Pillar 3 document exists (the bank's financial information page lists a Pillar 3 disclosure link for FY2018-FY2023 only), but the Annual Report still carries much of the content, in TWO SEPARATE PLACES, and both are used here:
  (i) the unaudited 'Capital risk management' note in the financial statements - CET1 capital, total risk-weighted assets, CET1 ratio, total own funds and total capital ratio (FY2025 note 34, printed folio 77; FY2024 note 32, printed folio 74);
  (ii) the Chief Finance Officer's Report in the Strategic Report, printed folio 13 in BOTH editions - the year-end LIQUIDITY COVERAGE RATIO and the year-end LEVERAGE RATIO, each stated in the running prose rather than in a table.
CORRECTION OF RECORD, 2026-09-18 (GA-005). This note previously said the Annual Report's capital note 'does not include Leverage Ratio, LCR, or NSFR', and the LCR and Leverage Ratio sheets carried FY2025 as 'NOT APPLICABLE - no such disclosure will ever exist' on the strength of the SDDT modification below. That was wrong in both directions and four real published figures were blank because of it: the statement was true of the capital NOTE and false of the REPORT, which discloses both metrics for both years. The SDDT modification ended the bank's PILLAR 3 duty; it did not stop the bank publishing, and the bank did in fact publish. FY2025 LCR 310.7% and leverage ratio 8.1%, FY2024 LCR 274.0% and leverage ratio 8.4%, each read from that year's OWN Annual Report. The figures are now on their sheets.
WHAT REMAINS ABSENT FOR FY2024-FY2025, and how that was established. The NSFR is genuinely not disclosed: 'NSFR' and 'Net Stable Funding' each return ZERO hits in the full text of both Annual Reports, against a richness control run on the same extractions in which 'credit risk' returns 76 hits (FY2025) and 72 (FY2024), 'operational risk' 16 and 15, 'CET1' 4 and 3, and 'LCR' 3 and 2 - so the zero is a fact about the documents, not about the extraction. No Simplified Retail Deposit Ratio value is published either, so nothing succeeds the NSFR series. Also absent: the LEVERAGE EXPOSURE MEASURE ('total exposure measure' likewise zero hits) - the ratio is stated without its denominator, and the denominator is NOT back-solved from it; the LCR's HQLA and net-outflow build-up; any category-level RWA breakdown; and any MREL figure ('MREL', 'minimum requirement for own funds' and 'loss-absorbing' all zero hits in both editions).
SDDT EXEMPTION - REASON FOR THE FY2025 CESSATION OF THE PILLAR 3 DOCUMENT, established 2026-09-15 (cross-bank SDDT pass) and re-verified against the register 2026-09-18. Julian Hodge Bank is a Small Domestic Deposit Taker (SDDT) and is therefore not required to publish Pillar 3 disclosures, so the absence of an FY2025 Pillar 3 DOCUMENT is an EVIDENCED STRUCTURAL EXEMPTION. READ THE SCOPE OF THAT CAREFULLY: it explains why no FY2025 Pillar 3 document appears, and it explains NOTHING about whether any individual metric is published. Opting in removes a duty to publish; it does not stop a firm publishing, and this firm went on to publish its FY2025 LCR and leverage ratio in its Annual Report. A metric is blanked here only where it has been shown absent from the documents that do exist - never on the strength of this modification.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204439, 'Julian Hodge Bank Limited': (a) 'CRR firms: SDDT Regime - General Application Part 1.2 &amp; 2.1(9)', sub rule 'Ru 1.2 &amp; 2.1(9)', ref 'A00009819P.pdf', start '11/02/2025', end '11/02/2028'; and (b) 'Modification by Consent - PRA Rulebook - CRR Firms - Rule 3.1 of the SDDT Regime - General Application Part', sub rule 'Ru 3.1', ref 'A00009917P.pdf', start '18/02/2025',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row: FRN 575105, Rule 3.1, start '17/01/2025' - matching its own stated approval date exactly, which is what ties the register row to the firm-stated effect.)</t>
        </is>
      </c>
    </row>
    <row r="13" ht="364" customHeight="1">
      <c r="A13" s="8" t="inlineStr">
        <is>
          <t>(continued)
DATE FIT, stated precisely because the two years differ. This bank's year-end is 30 September. FY2025 (period ended 30 September 2025) falls wholly after the 18 February 2025 modification, so FY2025 is unambiguously covered. FY2024 (period ended 30 September 2024) ENDED BEFORE the modification took effect, so the exemption does not straightforwardly cover it. It may still explain the FY2024 non-publication - Cynergy's 17 January 2025 approval expressly removed its obligation for the 31 December 2024 reporting date that preceded it, and Hodge's FY2024 Pillar 3 would have fallen due at almost exactly the point its own modification landed - but Julian Hodge Bank has not said so, so FY2024 is left as NOT ESTABLISHED rather than claimed as structurally exempt. It is recorded as: no FY2024 Pillar 3 document published; SDDT exemption effective from 18 February 2025 is a plausible but unconfirmed cause.
The exemption explains NOTHING about FY2014-FY2023, every one of which has its own published Pillar 3 document cited above. Do not read SDDT back onto FY2023 or earlier. Neither Annual Report claims SDDT status in the bank's own words: both the FY2024 and FY2025 Annual Reports were downloaded and text-extracted in full (readable text layers, ~737k and ~751k characters) and searched for 'SDDT', 'Small Domestic Deposit Taker', 'modification by consent', 'Simplified Retail Deposit Ratio', 'SRDR', 'Strong and Simple', 'Interim Capital Regime' and 'Basel 3.1'. SDDT appears only as regulatory-developments context - AR2024 p.18 refers to 'the draft Small Domestic Deposit Takers' rules and AR2025 p.18 to 'the ongoing Basel 3.1 and Small Domestic Deposit Takers (SDDT) consultations' - and neither report mentions Pillar 3 disclosure obligations at all (the word 'Pillar' appears only in 'Pillar 1' and 'Pillar 2'). No Simplified Retail Deposit Ratio value is disclosed, so nothing replaces the NSFR series.
PRE-CRD IV (BASEL II) COLUMNS FY2013-FY2010 - READ BEFORE USING THEM. CRD IV took effect 1 January 2014. The FY2013, FY2012, FY2011 and FY2010 Pillar 3 documents are Basel II / BIPRU disclosures and they do not report the same things under the same names. What each of the four actually prints, in its section 4 'Capital resources' table, is: Tier 1 capital (ordinary shares + profit and loss reserve), a deduction for investments in subsidiaries, 'Total Tier 1 capital', a Tier 2 line (eligible general provisions, less a revaluation reserve deduction in FY2013/FY2012/FY2011), and 'Total capital resources'. In its section 5.1 it prints a 'Pillar 1 capital requirement' by exposure class.
WHAT IS DELIBERATELY NOT POPULATED, and why. (1) CET1: the concept did not exist before CRD IV and none of the four documents uses the term - a Basel II 'Total Tier 1 capital' is NOT a CET1 figure and is not placed on the CET1 sheet. (2) Tier 1 Capital: each edition's own Total Tier 1 capital is FY2013 113.7, FY2012 111.1, FY2011 109.7, FY2010 108.1 - recorded here in prose only and NOT as a data column, which is the treatment this script already applies to the FY2015/FY2014 Basel II Tier 1 figures, kept consistent rather than changed for the newly-added years. (3) EVERY RATIO SHEET: no risk-weighted-asset amount appears anywhere in any of the four documents (grep for 'risk weighted'/'risk-weighted' returns zero hits in all four), so there is no denominator, and none of the four prints a capital ratio of any kind. Grossing the Pillar 1 capital requirement up by 12.5 would manufacture an RWA no document states, and is deliberately not done. (4) Leverage / LCR / NSFR: none of the three existed as a UK disclosure requirement in these years. FY2013's document mentions a leverage ratio exactly once, as forward-looking prose about CRD IV's forthcoming requirements ('enhanced reporting requirements include the introduction of a leverage ratio, liquidity coverage...'), with no value; FY2012/FY2011/FY2010 do not mention it at all. In particular these years belong on NEITHER row of the Leverage Ratio sheet's excluding-/including-claims-on-central-banks pair - that is a 2022 UK framework distinction and reading it back onto a Basel II year would be meaningless.
WHAT IS POPULATED: 'Total capital resources' only, on the Total Capital sheet - a figure each document states directly as a total. This matches how FY2015 (122.4) and FY2014 (118.8) were already handled on that sheet before this extension. The Pillar 1 capital requirement for the four new years is FY2013 35.3 (credit risk 34.9 + operational risk 0.4), FY2012 36.8 (36.0 + 0.8), FY2011 38.9 (37.7 + 1.2), FY2010 41.5 (40.2 + 1.3) - recorded in prose on the Total RWAs sheet, as CAPITAL, never converted to RWA.
PILLAR 3 URL STATUS, established 2026-09-16 (HD-080). This CORRECTS a note previously held here which asserted that the historical Pillar 3 documents were NOT live on hodgebank.co.uk and that the Wayback citations must not be repointed. That note tested only the OLD paths - /wp-content/uploads/2019/01/, /2019/04/, /2020/02/ and /2021/02/ - and about those it was right: they are dead. But it never tested /wp-content/uploads/2024/07/, and the entire historical series was re-uploaded there on 2024-07-25. All 14 editions FY2010-FY2023 are live and genuine at that path. The old note's conclusion was therefore wrong and has been removed.
HOW EACH FILE WAS VERIFIED (not by status code): HTTP status + Content-Type: application/pdf + %PDF magic bytes + pdfinfo page count + the cover page read for its stated period. Two traps on this host, both real:
  (1) www.hodgebank.co.uk 301-redirects to the apex domain. curl without -L returns 301 / 162 bytes, which looks like a dead link and is almost certainly what produced the earlier report.</t>
        </is>
      </c>
    </row>
    <row r="15" ht="208" customHeight="1">
      <c r="A15" s="8" t="inlineStr">
        <is>
          <t>(continued)
(2) The SOFT-404 on this host is PER-FILENAME, not per-directory - do not generalise a negative control across a directory. WordPress serves one 'Financial Information' landing page (HTTP 200, text/html, 108,306 bytes, md5 c69229b0d911df8ea64ada86d57738a2) for certain KNOWN OLD attachment slugs, while an unknown filename in that very same directory 404s honestly (146 bytes). Measured 2026-09-16: /2020/02/FINAL-Julian-Hodge-Bank-Limited-FY18.pdf -&gt; soft-404 but /2020/02/zzz-nonexistent-control.pdf -&gt; honest 404; /2021/02/2.-JHB-Pillar-III.pdf -&gt; soft-404 but /2021/02/zzz-control.pdf -&gt; honest 404; /2019/01/jhb-pillar3-2014.pdf -&gt; honest 404; /2024/07/zzz-nonexistent-control.pdf -&gt; honest 404. The decisive test is always the per-URL Content-Type plus %PDF check, never HTTP 200 and never a control run on a different filename.
SAFETY OF THE REPOINTING: every live file was md5-compared against the Wayback capture the figures were originally transcribed from, and all five checked pairs are byte-identical - FY2018 addbb5d0301b1b2349dbd9b05d3b3dfc, FY2017 b76617584f830bf3f6dbb68720744fdd, FY2016 0bd97d21c8ebd0972d5e96be8c6c1d9b, FY2015 c448471eea12e998bbfb104e3074d3cc, FY2014 5318b684c1a1d4ef8e84d62a4ba055a4. The FY2019 (695,975 B) and FY2020 (2,416,601 B) live files likewise match their captures exactly. No transcribed figure changes. Every superseded Wayback URL is kept above as a *_URL_ARCHIVE fallback.
ENUMERATION: the back catalogue was enumerated three ways - filename permutation jhb-pillar3-&lt;year&gt;.pdf across 2008-2023 (2008, 2009 and 2019-2023 honestly 404 under that name); the WordPress REST media API, whose library was walked in full (66 items over 2 pages, complete) and which is what surfaced the five irregularly-named editions that permutation can never find; and a Wayback CDX sweep of hodgebank.co.uk and julianhodgebank.co.uk which was BLOCKED on 2026-09-16 (HTTP 503/504, 'Internet Archive services are temporarily offline') and was recorded as unknown rather than as an absence. THAT SWEEP WAS RE-RUN SUCCESSFULLY ON 2026-09-18 and is no longer an open item - it completed over all three domains and found nothing newer than the FY2023 edition; see the full account in BASIS_NOTE. Result, now confirmed from three independent directions (filename permutation, the WordPress media API, and the archive): a continuous FY2010-FY2023 run of 14 editions, no FY2009, no FY2024, no FY2025.
FILENAME NEVER EQUALS PERIOD ON THIS SITE. Hodge-pillar-3-19.06.23.pdf is a 2023 PUBLICATION date on the FY2022 edition, and Hodge-pillar-3-11.03.24.pdf is a 2024 publication date on the FY2023 edition. The cover page is the only trustworthy source of the period, and every period recorded in this script was read off the cover. This matters doubly because the year-end MOVES mid-series: 31 October through FY2019, 30 September from FY2021, with FY2020 an 11-month transition period.</t>
        </is>
      </c>
    </row>
  </sheetData>
  <mergeCells count="5">
    <mergeCell ref="A15:I15"/>
    <mergeCell ref="A7:I7"/>
    <mergeCell ref="A11:I11"/>
    <mergeCell ref="A13:I13"/>
    <mergeCell ref="A9:I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Julian Hodge Bank Limited — NSFR</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available stable funding (£m)</t>
        </is>
      </c>
      <c r="B4" s="6" t="n"/>
      <c r="C4" s="6" t="n"/>
      <c r="D4" s="6" t="n">
        <v>1721.9</v>
      </c>
      <c r="E4" s="6" t="n">
        <v>1549</v>
      </c>
      <c r="F4" s="6" t="n">
        <v>1551</v>
      </c>
      <c r="G4" s="6" t="n">
        <v>1226.2</v>
      </c>
      <c r="H4" s="6" t="n"/>
    </row>
    <row r="5">
      <c r="A5" s="6" t="inlineStr">
        <is>
          <t>Total required stable funding (£m)</t>
        </is>
      </c>
      <c r="B5" s="6" t="n"/>
      <c r="C5" s="6" t="n"/>
      <c r="D5" s="6" t="n">
        <v>1144.2</v>
      </c>
      <c r="E5" s="6" t="n">
        <v>1085</v>
      </c>
      <c r="F5" s="6" t="n">
        <v>922.7</v>
      </c>
      <c r="G5" s="6" t="n">
        <v>793.3</v>
      </c>
      <c r="H5" s="6" t="n"/>
    </row>
    <row r="6">
      <c r="A6" s="6" t="inlineStr">
        <is>
          <t>Net Stable Funding Ratio (%)</t>
        </is>
      </c>
      <c r="B6" s="6" t="inlineStr">
        <is>
          <t>Not disclosed — no Pillar 3, and absent from the Annual Report</t>
        </is>
      </c>
      <c r="C6" s="6" t="inlineStr">
        <is>
          <t>Not disclosed — no Pillar 3, and absent from the Annual Report</t>
        </is>
      </c>
      <c r="D6" s="6" t="inlineStr">
        <is>
          <t>150.5%</t>
        </is>
      </c>
      <c r="E6" s="6" t="inlineStr">
        <is>
          <t>143%</t>
        </is>
      </c>
      <c r="F6" s="6" t="inlineStr">
        <is>
          <t>168.1%</t>
        </is>
      </c>
      <c r="G6" s="6" t="inlineStr">
        <is>
          <t>154.6%</t>
        </is>
      </c>
      <c r="H6" s="6" t="inlineStr">
        <is>
          <t>217.6%</t>
        </is>
      </c>
    </row>
    <row r="7" ht="130" customHeight="1">
      <c r="A7" s="7" t="inlineStr">
        <is>
          <t>Note: FY2025 AND FY2024 ARE GENUINELY NOT DISCLOSED, AND THE NSFR IS THE ONLY ONE OF THE THREE LIQUIDITY/LEVERAGE METRICS OF WHICH THAT IS TRUE. Establishing it took a positive search rather than an inference from the SDDT modification, because that inference proved wrong on the neighbouring sheets: the LCR and Leverage Ratio sheets were blank for these two years until 2026-09-18 on exactly such an inference, and both years of both metrics turned out to be published in the Annual Report. So for the NSFR: the full text of both Annual Reports was extracted and searched, and 'NSFR' and 'Net Stable Funding' each return ZERO hits in each edition. RICHNESS CONTROL on the same extractions, so that the zero is a fact about the documents rather than about the search: 'credit risk' 76 hits (FY2025) and 72 (FY2024), 'operational risk' 16 and 15, 'CET1' 4 and 3, 'LCR' 3 and 2, 'Liquidity Coverage Ratio' 1 and 0 - and every LCR and leverage hit was read individually, which is how the two new figures on those sheets were found. The SDDT modification (effective 18 February 2025) also replaces the full NSFR with a Simplified Retail Deposit Ratio going forward, and no SRDR value is disclosed either ('Simplified Retail Deposit' and 'SRDR' both zero hits), so nothing succeeds this series. Note that the modification is offered here as CONTEXT for the cessation, not as the evidence for it - the evidence is the searched absence above. FY2019's own Pillar 3 document gives the ratio only (217.6%), with no ASF/RSF breakdown; the breakdown shown for FY2020 comes from FY2020's own report. FY2018/FY2017/FY2016 Pillar 3 documents were reviewed in full but contain no NSFR disclosure (UK NSFR reporting phased in later than LCR for this class of firm - FY2019 is this bank's first year showing it). FY2015-FY2010 not available - the NSFR did not exist as a UK disclosure requirement under the Basel II regime those six years used; see the pre-CRD IV note in this sheet's sources.</t>
        </is>
      </c>
    </row>
    <row r="9" ht="390" customHeight="1">
      <c r="A9" s="8" t="inlineStr">
        <is>
          <t>Sources - Julian Hodge Bank Limited:
FY2023: Hodge Bank Pillar 3 Disclosures - Period ended 30 September 2023, Table "3 Key Regulatory Metrics", p.9 - https://hodgebank.co.uk/wp-content/uploads/2024/07/Hodge-pillar-3-11.03.24.pdf
FY2022: Hodge Bank Pillar 3 Disclosures - Period ended 30 September 2022, Table "3 Key Regulatory Metrics", p.12 - https://hodgebank.co.uk/wp-content/uploads/2024/07/Hodge-pillar-3-19.06.23.pdf
FY2021: Hodge Bank Pillar 3 Disclosures - Period ended 30 September 2021, Table "Key Metrics", p.16 - https://hodgebank.co.uk/wp-content/uploads/2024/07/Hodge-Pillar-3-Document-2020_2021.pdf
FY2020: Julian Hodge Bank Limited Pillar 3 Disclosures - Period ended 30 September 2020, Summary of Key Regulatory Metrics, p.8 - https://hodgebank.co.uk/wp-content/uploads/2024/07/2.-JHB-Pillar-III.pdf
FY2019: Julian Hodge Bank Limited Pillar 3 Disclosures - Period ended 31 October 2019, Key Regulatory Metrics, p.10-11 - https://hodgebank.co.uk/wp-content/uploads/2024/07/Pillar-3-Disclosure-FY19-FINAL.pdf
FY2018: Julian Hodge Bank Limited Pillar 3 Disclosures - Period ended 31 October 2018, Key Regulatory Metrics, p.10-11 - https://hodgebank.co.uk/wp-content/uploads/2024/07/jhb-pillar3-2018.pdf
FY2017: Julian Hodge Bank Limited Pillar 3 Disclosures - Period ended 31 October 2017, Summary of Key Capital Ratios/Capital Resources, p.6/15 - https://hodgebank.co.uk/wp-content/uploads/2024/07/jhb-pillar3-2017.pdf
FY2016: Julian Hodge Bank Limited Pillar 3 Disclosures - Period ended 31 October 2016, Summary of Key Capital Ratios/Capital Resources, p.6/15 - https://hodgebank.co.uk/wp-content/uploads/2024/07/jhb-pillar3-2016.pdf
FY2015: Julian Hodge Bank Limited Pillar 3 Disclosures - Period ended 31 October 2015, Capital Resources, p.12-13 - https://hodgebank.co.uk/wp-content/uploads/2024/07/jhb-pillar3-2015.pdf
FY2014: Julian Hodge Bank Limited Pillar 3 Disclosures - period ended 31 October 2014, Capital Resources, p.12-13 - https://hodgebank.co.uk/wp-content/uploads/2024/07/jhb-pillar3-2014.pdf
FY2013: Julian Hodge Bank Limited Pillar 3 disclosures - as at 31 October 2013 (Basel II), section 4 "Capital resources", PDF p.12 of 23, and section 5.1 "Pillar 1 capital requirement", PDF p.13 - https://hodgebank.co.uk/wp-content/uploads/2024/07/jhb-pillar3-2013.pdf
FY2012: Julian Hodge Bank Limited Pillar 3 disclosures - as at 31 October 2012 (Basel II), section 4 "Capital resources", PDF p.11 of 21, and section 5.1 "Pillar 1 capital requirement", PDF p.12 - https://hodgebank.co.uk/wp-content/uploads/2024/07/jhb-pillar3-2012.pdf
FY2011: Julian Hodge Bank Limited Pillar 3 disclosures - as at 31 October 2011 (Basel II), section 4 "Capital resources", PDF p.13 of 28, and section 5.1 "Pillar 1 capital requirement", PDF p.15 - https://hodgebank.co.uk/wp-content/uploads/2024/07/jhb-pillar3-2011.pdf
FY2010: Julian Hodge Bank Limited Pillar 3 disclosures - as at 31 October 2010 (Basel II), section 4 "Capital resources", PDF p.13 of 27, and section 5.1 "Pillar 1 capital requirement", PDF p.15 - https://hodgebank.co.uk/wp-content/uploads/2024/07/jhb-pillar3-2010.pdf
FY2024: Julian Hodge Bank Limited Annual Report 2024, Note 32 'Capital risk management (unaudited)', printed folio 74 (CET1 capital, total RWA, CET1 ratio, total own funds, total capital ratio); and the Chief Finance Officer's Report, printed folio 13, section 'Liquidity' / 'Capital and Leverage' (LCR and Leverage Ratio, stated in prose) - https://hodgebank.co.uk/wp-content/uploads/2025/02/Hodge-annual-report-21.02.25.pdf
FY2025: Julian Hodge Bank Limited Annual Report 2025, Note 34 'Capital risk management (unaudited)', printed folio 77 (same five figures); and the Chief Finance Officer's Report, printed folio 13, same two sections (LCR and Leverage Ratio) - https://hodgebank.co.uk/wp-content/uploads/2026/02/Hodge-AR-28.01.26.pdf
  [Folios corrected 2026-09-18: the capital note was previously cited as p.73 (FY2024) and p.76 (FY2025), each one short. Both documents run at a zero offset between the pdftotext sheet index and the printed folio, and each page's own footer reads 'Hodge Annual Report 20XX ... 74' / '... 77'. The folio-13 citations are new with this pass.]
Wayback fallbacks for the FY2020-FY2014 documents, retained and never to be deleted (each is byte-identical to the live file now cited above):
  FY2020 - https://web.archive.org/web/20220620025450id_/https://hodgebank.co.uk/wp-content/uploads/2021/02/2.-JHB-Pillar-III.pdf
  FY2019 - https://web.archive.org/web/20210517002419id_/https://hodgebank.co.uk/wp-content/uploads/2020/02/Pillar-3-Disclosure-FY19-FINAL.pdf
  FY2018 - https://web.archive.org/web/20210517004624id_/https://hodgebank.co.uk/wp-content/uploads/2019/04/jhb-pillar3-2018.pdf
  FY2017 - https://web.archive.org/web/20220620025310id_/https://hodgebank.co.uk/wp-content/uploads/2019/01/jhb-pillar3-2017.pdf</t>
        </is>
      </c>
    </row>
    <row r="11" ht="286" customHeight="1">
      <c r="A11" s="8" t="inlineStr">
        <is>
          <t>(continued)
FY2016 - https://web.archive.org/web/20220620025406id_/https://hodgebank.co.uk/wp-content/uploads/2019/01/jhb-pillar3-2016.pdf
  FY2015 - https://web.archive.org/web/20220620025429id_/https://hodgebank.co.uk/wp-content/uploads/2019/01/jhb-pillar3-2015.pdf
  FY2014 - https://web.archive.org/web/20220620025434id_/https://hodgebank.co.uk/wp-content/uploads/2019/01/jhb-pillar3-2014.pdf
DOCUMENT COVERAGE (re-established 2026-09-16, HD-080): this entity published a CONTINUOUS run of 14 standalone Pillar 3 documents, FY2010 through FY2023, and all 14 are cited above and live on the publisher's site. There is no FY2009 edition and no FY2024 or FY2025 edition. The run splits at the CRD IV boundary: FY2010-FY2015 are Basel II / BIPRU (see the pre-CRD IV note - only Total capital resources is transcribable from them), FY2016-FY2023 are CRD IV.
FY2021-FY2023: full UK KM1-format 'Key Regulatory Metrics' table from each year's own standalone Pillar 3 Disclosures document. FY2024-FY2025: no standalone Pillar 3 document exists (the bank's financial information page lists a Pillar 3 disclosure link for FY2018-FY2023 only), but the Annual Report still carries much of the content, in TWO SEPARATE PLACES, and both are used here:
  (i) the unaudited 'Capital risk management' note in the financial statements - CET1 capital, total risk-weighted assets, CET1 ratio, total own funds and total capital ratio (FY2025 note 34, printed folio 77; FY2024 note 32, printed folio 74);
  (ii) the Chief Finance Officer's Report in the Strategic Report, printed folio 13 in BOTH editions - the year-end LIQUIDITY COVERAGE RATIO and the year-end LEVERAGE RATIO, each stated in the running prose rather than in a table.
CORRECTION OF RECORD, 2026-09-18 (GA-005). This note previously said the Annual Report's capital note 'does not include Leverage Ratio, LCR, or NSFR', and the LCR and Leverage Ratio sheets carried FY2025 as 'NOT APPLICABLE - no such disclosure will ever exist' on the strength of the SDDT modification below. That was wrong in both directions and four real published figures were blank because of it: the statement was true of the capital NOTE and false of the REPORT, which discloses both metrics for both years. The SDDT modification ended the bank's PILLAR 3 duty; it did not stop the bank publishing, and the bank did in fact publish. FY2025 LCR 310.7% and leverage ratio 8.1%, FY2024 LCR 274.0% and leverage ratio 8.4%, each read from that year's OWN Annual Report. The figures are now on their sheets.
WHAT REMAINS ABSENT FOR FY2024-FY2025, and how that was established. The NSFR is genuinely not disclosed: 'NSFR' and 'Net Stable Funding' each return ZERO hits in the full text of both Annual Reports, against a richness control run on the same extractions in which 'credit risk' returns 76 hits (FY2025) and 72 (FY2024), 'operational risk' 16 and 15, 'CET1' 4 and 3, and 'LCR' 3 and 2 - so the zero is a fact about the documents, not about the extraction. No Simplified Retail Deposit Ratio value is published either, so nothing succeeds the NSFR series. Also absent: the LEVERAGE EXPOSURE MEASURE ('total exposure measure' likewise zero hits) - the ratio is stated without its denominator, and the denominator is NOT back-solved from it; the LCR's HQLA and net-outflow build-up; any category-level RWA breakdown; and any MREL figure ('MREL', 'minimum requirement for own funds' and 'loss-absorbing' all zero hits in both editions).</t>
        </is>
      </c>
    </row>
    <row r="13" ht="338" customHeight="1">
      <c r="A13" s="8" t="inlineStr">
        <is>
          <t>(continued)
SDDT EXEMPTION - REASON FOR THE FY2025 CESSATION OF THE PILLAR 3 DOCUMENT, established 2026-09-15 (cross-bank SDDT pass) and re-verified against the register 2026-09-18. Julian Hodge Bank is a Small Domestic Deposit Taker (SDDT) and is therefore not required to publish Pillar 3 disclosures, so the absence of an FY2025 Pillar 3 DOCUMENT is an EVIDENCED STRUCTURAL EXEMPTION. READ THE SCOPE OF THAT CAREFULLY: it explains why no FY2025 Pillar 3 document appears, and it explains NOTHING about whether any individual metric is published. Opting in removes a duty to publish; it does not stop a firm publishing, and this firm went on to publish its FY2025 LCR and leverage ratio in its Annual Report. A metric is blanked here only where it has been shown absent from the documents that do exist - never on the strength of this modification.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204439, 'Julian Hodge Bank Limited': (a) 'CRR firms: SDDT Regime - General Application Part 1.2 &amp; 2.1(9)', sub rule 'Ru 1.2 &amp; 2.1(9)', ref 'A00009819P.pdf', start '11/02/2025', end '11/02/2028'; and (b) 'Modification by Consent - PRA Rulebook - CRR Firms - Rule 3.1 of the SDDT Regime - General Application Part', sub rule 'Ru 3.1', ref 'A00009917P.pdf', start '18/02/2025',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row: FRN 575105, Rule 3.1, start '17/01/2025' - matching its own stated approval date exactly, which is what ties the register row to the firm-stated effect.)
DATE FIT, stated precisely because the two years differ. This bank's year-end is 30 September. FY2025 (period ended 30 September 2025) falls wholly after the 18 February 2025 modification, so FY2025 is unambiguously covered. FY2024 (period ended 30 September 2024) ENDED BEFORE the modification took effect, so the exemption does not straightforwardly cover it. It may still explain the FY2024 non-publication - Cynergy's 17 January 2025 approval expressly removed its obligation for the 31 December 2024 reporting date that preceded it, and Hodge's FY2024 Pillar 3 would have fallen due at almost exactly the point its own modification landed - but Julian Hodge Bank has not said so, so FY2024 is left as NOT ESTABLISHED rather than claimed as structurally exempt. It is recorded as: no FY2024 Pillar 3 document published; SDDT exemption effective from 18 February 2025 is a plausible but unconfirmed cause.
The exemption explains NOTHING about FY2014-FY2023, every one of which has its own published Pillar 3 document cited above. Do not read SDDT back onto FY2023 or earlier. Neither Annual Report claims SDDT status in the bank's own words: both the FY2024 and FY2025 Annual Reports were downloaded and text-extracted in full (readable text layers, ~737k and ~751k characters) and searched for 'SDDT', 'Small Domestic Deposit Taker', 'modification by consent', 'Simplified Retail Deposit Ratio', 'SRDR', 'Strong and Simple', 'Interim Capital Regime' and 'Basel 3.1'. SDDT appears only as regulatory-developments context - AR2024 p.18 refers to 'the draft Small Domestic Deposit Takers' rules and AR2025 p.18 to 'the ongoing Basel 3.1 and Small Domestic Deposit Takers (SDDT) consultations' - and neither report mentions Pillar 3 disclosure obligations at all (the word 'Pillar' appears only in 'Pillar 1' and 'Pillar 2'). No Simplified Retail Deposit Ratio value is disclosed, so nothing replaces the NSFR series.
PRE-CRD IV (BASEL II) COLUMNS FY2013-FY2010 - READ BEFORE USING THEM. CRD IV took effect 1 January 2014. The FY2013, FY2012, FY2011 and FY2010 Pillar 3 documents are Basel II / BIPRU disclosures and they do not report the same things under the same names. What each of the four actually prints, in its section 4 'Capital resources' table, is: Tier 1 capital (ordinary shares + profit and loss reserve), a deduction for investments in subsidiaries, 'Total Tier 1 capital', a Tier 2 line (eligible general provisions, less a revaluation reserve deduction in FY2013/FY2012/FY2011), and 'Total capital resources'. In its section 5.1 it prints a 'Pillar 1 capital requirement' by exposure class.</t>
        </is>
      </c>
    </row>
    <row r="15" ht="390" customHeight="1">
      <c r="A15" s="8" t="inlineStr">
        <is>
          <t>(continued)
WHAT IS DELIBERATELY NOT POPULATED, and why. (1) CET1: the concept did not exist before CRD IV and none of the four documents uses the term - a Basel II 'Total Tier 1 capital' is NOT a CET1 figure and is not placed on the CET1 sheet. (2) Tier 1 Capital: each edition's own Total Tier 1 capital is FY2013 113.7, FY2012 111.1, FY2011 109.7, FY2010 108.1 - recorded here in prose only and NOT as a data column, which is the treatment this script already applies to the FY2015/FY2014 Basel II Tier 1 figures, kept consistent rather than changed for the newly-added years. (3) EVERY RATIO SHEET: no risk-weighted-asset amount appears anywhere in any of the four documents (grep for 'risk weighted'/'risk-weighted' returns zero hits in all four), so there is no denominator, and none of the four prints a capital ratio of any kind. Grossing the Pillar 1 capital requirement up by 12.5 would manufacture an RWA no document states, and is deliberately not done. (4) Leverage / LCR / NSFR: none of the three existed as a UK disclosure requirement in these years. FY2013's document mentions a leverage ratio exactly once, as forward-looking prose about CRD IV's forthcoming requirements ('enhanced reporting requirements include the introduction of a leverage ratio, liquidity coverage...'), with no value; FY2012/FY2011/FY2010 do not mention it at all. In particular these years belong on NEITHER row of the Leverage Ratio sheet's excluding-/including-claims-on-central-banks pair - that is a 2022 UK framework distinction and reading it back onto a Basel II year would be meaningless.
WHAT IS POPULATED: 'Total capital resources' only, on the Total Capital sheet - a figure each document states directly as a total. This matches how FY2015 (122.4) and FY2014 (118.8) were already handled on that sheet before this extension. The Pillar 1 capital requirement for the four new years is FY2013 35.3 (credit risk 34.9 + operational risk 0.4), FY2012 36.8 (36.0 + 0.8), FY2011 38.9 (37.7 + 1.2), FY2010 41.5 (40.2 + 1.3) - recorded in prose on the Total RWAs sheet, as CAPITAL, never converted to RWA.
PILLAR 3 URL STATUS, established 2026-09-16 (HD-080). This CORRECTS a note previously held here which asserted that the historical Pillar 3 documents were NOT live on hodgebank.co.uk and that the Wayback citations must not be repointed. That note tested only the OLD paths - /wp-content/uploads/2019/01/, /2019/04/, /2020/02/ and /2021/02/ - and about those it was right: they are dead. But it never tested /wp-content/uploads/2024/07/, and the entire historical series was re-uploaded there on 2024-07-25. All 14 editions FY2010-FY2023 are live and genuine at that path. The old note's conclusion was therefore wrong and has been removed.
HOW EACH FILE WAS VERIFIED (not by status code): HTTP status + Content-Type: application/pdf + %PDF magic bytes + pdfinfo page count + the cover page read for its stated period. Two traps on this host, both real:
  (1) www.hodgebank.co.uk 301-redirects to the apex domain. curl without -L returns 301 / 162 bytes, which looks like a dead link and is almost certainly what produced the earlier report.
  (2) The SOFT-404 on this host is PER-FILENAME, not per-directory - do not generalise a negative control across a directory. WordPress serves one 'Financial Information' landing page (HTTP 200, text/html, 108,306 bytes, md5 c69229b0d911df8ea64ada86d57738a2) for certain KNOWN OLD attachment slugs, while an unknown filename in that very same directory 404s honestly (146 bytes). Measured 2026-09-16: /2020/02/FINAL-Julian-Hodge-Bank-Limited-FY18.pdf -&gt; soft-404 but /2020/02/zzz-nonexistent-control.pdf -&gt; honest 404; /2021/02/2.-JHB-Pillar-III.pdf -&gt; soft-404 but /2021/02/zzz-control.pdf -&gt; honest 404; /2019/01/jhb-pillar3-2014.pdf -&gt; honest 404; /2024/07/zzz-nonexistent-control.pdf -&gt; honest 404. The decisive test is always the per-URL Content-Type plus %PDF check, never HTTP 200 and never a control run on a different filename.
SAFETY OF THE REPOINTING: every live file was md5-compared against the Wayback capture the figures were originally transcribed from, and all five checked pairs are byte-identical - FY2018 addbb5d0301b1b2349dbd9b05d3b3dfc, FY2017 b76617584f830bf3f6dbb68720744fdd, FY2016 0bd97d21c8ebd0972d5e96be8c6c1d9b, FY2015 c448471eea12e998bbfb104e3074d3cc, FY2014 5318b684c1a1d4ef8e84d62a4ba055a4. The FY2019 (695,975 B) and FY2020 (2,416,601 B) live files likewise match their captures exactly. No transcribed figure changes. Every superseded Wayback URL is kept above as a *_URL_ARCHIVE fallback.
ENUMERATION: the back catalogue was enumerated three ways - filename permutation jhb-pillar3-&lt;year&gt;.pdf across 2008-2023 (2008, 2009 and 2019-2023 honestly 404 under that name); the WordPress REST media API, whose library was walked in full (66 items over 2 pages, complete) and which is what surfaced the five irregularly-named editions that permutation can never find; and a Wayback CDX sweep of hodgebank.co.uk and julianhodgebank.co.uk which was BLOCKED on 2026-09-16 (HTTP 503/504, 'Internet Archive services are temporarily offline') and was recorded as unknown rather than as an absence. THAT SWEEP WAS RE-RUN SUCCESSFULLY ON 2026-09-18 and is no longer an open item - it completed over all three domains and found nothing newer than the FY2023 edition; see the full account in BASIS_NOTE. Result, now confirmed from three independent directions (filename permutation, the WordPress media API, and the archive): a continuous FY2010-FY2023 run of 14 editions, no FY2009, no FY2024, no FY2025.</t>
        </is>
      </c>
    </row>
    <row r="17" ht="170" customHeight="1">
      <c r="A17" s="8" t="inlineStr">
        <is>
          <t>(continued)
FILENAME NEVER EQUALS PERIOD ON THIS SITE. Hodge-pillar-3-19.06.23.pdf is a 2023 PUBLICATION date on the FY2022 edition, and Hodge-pillar-3-11.03.24.pdf is a 2024 publication date on the FY2023 edition. The cover page is the only trustworthy source of the period, and every period recorded in this script was read off the cover. This matters doubly because the year-end MOVES mid-series: 31 October through FY2019, 30 September from FY2021, with FY2020 an 11-month transition period.</t>
        </is>
      </c>
    </row>
  </sheetData>
  <mergeCells count="6">
    <mergeCell ref="A9:H9"/>
    <mergeCell ref="A15:H15"/>
    <mergeCell ref="A7:H7"/>
    <mergeCell ref="A13:H13"/>
    <mergeCell ref="A11:H11"/>
    <mergeCell ref="A17:H1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Julian Hodge Bank Limited — MREL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row>
    <row r="4">
      <c r="A4" s="6" t="inlineStr">
        <is>
          <t>MREL ratio</t>
        </is>
      </c>
      <c r="B4" s="6" t="inlineStr">
        <is>
          <t>Not published – FY2025 Annual Report (full text) has zero MREL/loss-absorbing hits; no Pillar 3 after the SDDT Rule 3.1 opt-in of 18/02/2025 (PRA register, FRN 204439)</t>
        </is>
      </c>
      <c r="C4" s="6" t="inlineStr">
        <is>
          <t>Not published – FY2024 Annual Report (full text) has zero MREL/loss-absorbing hits, and no FY2024 Pillar 3 was published (see entity note)</t>
        </is>
      </c>
      <c r="D4" s="6" t="inlineStr">
        <is>
          <t>Not published – Hodge FY2023 Pillar 3 (full text searched 2026-09-19) contains no MREL figure or reference to MREL or loss-absorbing capacity</t>
        </is>
      </c>
      <c r="E4" s="6" t="inlineStr">
        <is>
          <t>Not published – Hodge FY2022 Pillar 3 (full text searched 2026-09-19) contains no MREL figure or reference to MREL or loss-absorbing capacity</t>
        </is>
      </c>
      <c r="F4" s="6" t="inlineStr">
        <is>
          <t>Not published – Hodge FY2021 Pillar 3 (full text searched 2026-09-19) contains no MREL figure or reference to MREL or loss-absorbing capacity</t>
        </is>
      </c>
      <c r="G4" s="6" t="inlineStr">
        <is>
          <t>Not published – Hodge FY2020 Pillar 3 (full text searched 2026-09-19) contains no MREL figure or reference to MREL or loss-absorbing capacity</t>
        </is>
      </c>
      <c r="H4" s="6" t="inlineStr">
        <is>
          <t>Not published – Hodge FY2019 Pillar 3 (full text searched 2026-09-19) contains no MREL figure or reference to MREL or loss-absorbing capacity</t>
        </is>
      </c>
      <c r="I4" s="6" t="inlineStr">
        <is>
          <t>Not published – Hodge FY2018 Pillar 3 (full text searched 2026-09-19) contains no MREL figure or reference to MREL or loss-absorbing capacity</t>
        </is>
      </c>
      <c r="J4" s="6" t="inlineStr">
        <is>
          <t>Not published – Hodge FY2017 Pillar 3 (full text searched 2026-09-19) contains no MREL figure or reference to MREL or loss-absorbing capacity</t>
        </is>
      </c>
      <c r="K4" s="6" t="inlineStr">
        <is>
          <t>Not published – Hodge FY2016 Pillar 3 (full text searched 2026-09-19) contains no MREL figure or reference to MREL or loss-absorbing capacity</t>
        </is>
      </c>
      <c r="L4" s="6" t="inlineStr">
        <is>
          <t>Not published – Hodge FY2015 Pillar 3 (full text searched 2026-09-19) contains no MREL figure or reference to MREL or loss-absorbing capacity</t>
        </is>
      </c>
      <c r="M4" s="6" t="inlineStr">
        <is>
          <t>Not published – Hodge FY2014 Pillar 3 (full text searched 2026-09-19) contains no MREL figure or reference to MREL or loss-absorbing capacity</t>
        </is>
      </c>
      <c r="N4" s="6" t="inlineStr">
        <is>
          <t>Not published – Hodge FY2013 Pillar 3 (full text searched 2026-09-19) contains no MREL figure or reference to MREL or loss-absorbing capacity</t>
        </is>
      </c>
      <c r="O4" s="6" t="inlineStr">
        <is>
          <t>Not published – Hodge FY2012 Pillar 3 (full text searched 2026-09-19) contains no MREL figure or reference to MREL or loss-absorbing capacity</t>
        </is>
      </c>
      <c r="P4" s="6" t="inlineStr">
        <is>
          <t>Not published – Hodge FY2011 Pillar 3 (full text searched 2026-09-19) contains no MREL figure or reference to MREL or loss-absorbing capacity</t>
        </is>
      </c>
      <c r="Q4" s="6" t="inlineStr">
        <is>
          <t>Not published – Hodge FY2010 Pillar 3 (full text searched 2026-09-19) contains no MREL figure or reference to MREL or loss-absorbing capacity</t>
        </is>
      </c>
    </row>
    <row r="5" ht="78" customHeight="1">
      <c r="A5" s="7" t="inlineStr">
        <is>
          <t>Note: GA-020 (2026-09-19): every year now reads 'Not published', each cell naming the document searched - FY2025 no longer reads 'Not applicable', because the absence is a finding about the documents (the Annual Report searched and silent) rather than a rule that forbids the figure. HISTORY: FY2025 read 'Not applicable', every other year 'Not publicly disclosed', and the difference was deliberate. 'Not publicly disclosed' asserts a figure may exist that was not found; 'Not applicable' means no such disclosure can exist. FY2025 is the latter, but the reasoning was TIGHTENED on 2026-09-18 and the earlier version of it should not be reused. It is not enough that the SDDT modification (PRA Rule 3.1, FRN 204439, effective 18 February 2025) removed this bank's Pillar 3 duty before its 30 September 2025 year-end so that no FY2025 Pillar 3 document will ever be published: that argument was also made for the FY2025 LCR and leverage ratio on their own sheets, and it was wrong there, because the Bank published both in its Annual Report instead. What carries 'Not applicable' here is the Annual Report having been searched too and found silent - 'MREL', 'minimum requirement for own funds' and 'loss-absorbing' each return zero hits in the FY2025 and FY2024 editions, against a richness control on the same extraction of 76 and 72 hits for 'credit risk'. No Pillar 3 document can exist AND the statutory report does not carry it. FY2024 stays 'Not publicly disclosed' because its year ended 30 September 2024, BEFORE the modification took effect - it is an ordinary negative, not a structural exemption (see BASIS_NOTE for why that is left as NOT ESTABLISHED rather than claimed). For FY2023-FY2010, no MREL figure (numeric or qualitative) appears in any of the 14 Pillar 3 documents reviewed, nor in any Annual Report's brief capital note, and no reason is stated; for the six Basel II years FY2015-FY2010 the concept did not exist as a UK requirement at all. Consistent with this small private bank not being set an independent MREL requirement by the Bank of England, the same pattern seen at other small UK banks in this project (e.g. Cynergy Bank, DF Capital Bank).</t>
        </is>
      </c>
    </row>
    <row r="7" ht="390" customHeight="1">
      <c r="A7" s="8" t="inlineStr">
        <is>
          <t>Sources - Julian Hodge Bank Limited:
FY2023: Hodge Bank Pillar 3 Disclosures - Period ended 30 September 2023, Table "3 Key Regulatory Metrics", p.9 - https://hodgebank.co.uk/wp-content/uploads/2024/07/Hodge-pillar-3-11.03.24.pdf
FY2022: Hodge Bank Pillar 3 Disclosures - Period ended 30 September 2022, Table "3 Key Regulatory Metrics", p.12 - https://hodgebank.co.uk/wp-content/uploads/2024/07/Hodge-pillar-3-19.06.23.pdf
FY2021: Hodge Bank Pillar 3 Disclosures - Period ended 30 September 2021, Table "Key Metrics", p.16 - https://hodgebank.co.uk/wp-content/uploads/2024/07/Hodge-Pillar-3-Document-2020_2021.pdf
FY2020: Julian Hodge Bank Limited Pillar 3 Disclosures - Period ended 30 September 2020, Summary of Key Regulatory Metrics, p.8 - https://hodgebank.co.uk/wp-content/uploads/2024/07/2.-JHB-Pillar-III.pdf
FY2019: Julian Hodge Bank Limited Pillar 3 Disclosures - Period ended 31 October 2019, Key Regulatory Metrics, p.10-11 - https://hodgebank.co.uk/wp-content/uploads/2024/07/Pillar-3-Disclosure-FY19-FINAL.pdf
FY2018: Julian Hodge Bank Limited Pillar 3 Disclosures - Period ended 31 October 2018, Key Regulatory Metrics, p.10-11 - https://hodgebank.co.uk/wp-content/uploads/2024/07/jhb-pillar3-2018.pdf
FY2017: Julian Hodge Bank Limited Pillar 3 Disclosures - Period ended 31 October 2017, Summary of Key Capital Ratios/Capital Resources, p.6/15 - https://hodgebank.co.uk/wp-content/uploads/2024/07/jhb-pillar3-2017.pdf
FY2016: Julian Hodge Bank Limited Pillar 3 Disclosures - Period ended 31 October 2016, Summary of Key Capital Ratios/Capital Resources, p.6/15 - https://hodgebank.co.uk/wp-content/uploads/2024/07/jhb-pillar3-2016.pdf
FY2015: Julian Hodge Bank Limited Pillar 3 Disclosures - Period ended 31 October 2015, Capital Resources, p.12-13 - https://hodgebank.co.uk/wp-content/uploads/2024/07/jhb-pillar3-2015.pdf
FY2014: Julian Hodge Bank Limited Pillar 3 Disclosures - period ended 31 October 2014, Capital Resources, p.12-13 - https://hodgebank.co.uk/wp-content/uploads/2024/07/jhb-pillar3-2014.pdf
FY2013: Julian Hodge Bank Limited Pillar 3 disclosures - as at 31 October 2013 (Basel II), section 4 "Capital resources", PDF p.12 of 23, and section 5.1 "Pillar 1 capital requirement", PDF p.13 - https://hodgebank.co.uk/wp-content/uploads/2024/07/jhb-pillar3-2013.pdf
FY2012: Julian Hodge Bank Limited Pillar 3 disclosures - as at 31 October 2012 (Basel II), section 4 "Capital resources", PDF p.11 of 21, and section 5.1 "Pillar 1 capital requirement", PDF p.12 - https://hodgebank.co.uk/wp-content/uploads/2024/07/jhb-pillar3-2012.pdf
FY2011: Julian Hodge Bank Limited Pillar 3 disclosures - as at 31 October 2011 (Basel II), section 4 "Capital resources", PDF p.13 of 28, and section 5.1 "Pillar 1 capital requirement", PDF p.15 - https://hodgebank.co.uk/wp-content/uploads/2024/07/jhb-pillar3-2011.pdf
FY2010: Julian Hodge Bank Limited Pillar 3 disclosures - as at 31 October 2010 (Basel II), section 4 "Capital resources", PDF p.13 of 27, and section 5.1 "Pillar 1 capital requirement", PDF p.15 - https://hodgebank.co.uk/wp-content/uploads/2024/07/jhb-pillar3-2010.pdf
FY2024: Julian Hodge Bank Limited Annual Report 2024, Note 32 'Capital risk management (unaudited)', printed folio 74 (CET1 capital, total RWA, CET1 ratio, total own funds, total capital ratio); and the Chief Finance Officer's Report, printed folio 13, section 'Liquidity' / 'Capital and Leverage' (LCR and Leverage Ratio, stated in prose) - https://hodgebank.co.uk/wp-content/uploads/2025/02/Hodge-annual-report-21.02.25.pdf
FY2025: Julian Hodge Bank Limited Annual Report 2025, Note 34 'Capital risk management (unaudited)', printed folio 77 (same five figures); and the Chief Finance Officer's Report, printed folio 13, same two sections (LCR and Leverage Ratio) - https://hodgebank.co.uk/wp-content/uploads/2026/02/Hodge-AR-28.01.26.pdf
  [Folios corrected 2026-09-18: the capital note was previously cited as p.73 (FY2024) and p.76 (FY2025), each one short. Both documents run at a zero offset between the pdftotext sheet index and the printed folio, and each page's own footer reads 'Hodge Annual Report 20XX ... 74' / '... 77'. The folio-13 citations are new with this pass.]
Wayback fallbacks for the FY2020-FY2014 documents, retained and never to be deleted (each is byte-identical to the live file now cited above):
  FY2020 - https://web.archive.org/web/20220620025450id_/https://hodgebank.co.uk/wp-content/uploads/2021/02/2.-JHB-Pillar-III.pdf
  FY2019 - https://web.archive.org/web/20210517002419id_/https://hodgebank.co.uk/wp-content/uploads/2020/02/Pillar-3-Disclosure-FY19-FINAL.pdf
  FY2018 - https://web.archive.org/web/20210517004624id_/https://hodgebank.co.uk/wp-content/uploads/2019/04/jhb-pillar3-2018.pdf
  FY2017 - https://web.archive.org/web/20220620025310id_/https://hodgebank.co.uk/wp-content/uploads/2019/01/jhb-pillar3-2017.pdf
  FY2016 - https://web.archive.org/web/20220620025406id_/https://hodgebank.co.uk/wp-content/uploads/2019/01/jhb-pillar3-2016.pdf
  FY2015 - https://web.archive.org/web/20220620025429id_/https://hodgebank.co.uk/wp-content/uploads/2019/01/jhb-pillar3-2015.pdf
  FY2014 - https://web.archive.org/web/20220620025434id_/https://hodgebank.co.uk/wp-content/uploads/2019/01/jhb-pillar3-2014.pdf
DOCUMENT COVERAGE (re-established 2026-09-16, HD-080): this entity published a CONTINUOUS run of 14 standalone Pillar 3 documents, FY2010 through FY2023, and all 14 are cited above and live on the publisher's site. There is no FY2009 edition and no FY2024 or FY2025 edition. The run splits at the CRD IV boundary: FY2010-FY2015 are Basel II / BIPRU (see the pre-CRD IV note - only Total capital resources is transcribable from them), FY2016-FY2023 are CRD IV.
FY2021-FY2023: full UK KM1-format 'Key Regulatory Metrics' table from each year's own standalone Pillar 3 Disclosures document. FY2024-FY2025: no standalone Pillar 3 document exists (the bank's financial information page lists a Pillar 3 disclosure link for FY2018-FY2023 only), but the Annual Report still carries much of the content, in TWO SEPARATE PLACES, and both are used here:</t>
        </is>
      </c>
    </row>
    <row r="9" ht="403" customHeight="1">
      <c r="A9" s="8" t="inlineStr">
        <is>
          <t>(continued)
(i) the unaudited 'Capital risk management' note in the financial statements - CET1 capital, total risk-weighted assets, CET1 ratio, total own funds and total capital ratio (FY2025 note 34, printed folio 77; FY2024 note 32, printed folio 74);
  (ii) the Chief Finance Officer's Report in the Strategic Report, printed folio 13 in BOTH editions - the year-end LIQUIDITY COVERAGE RATIO and the year-end LEVERAGE RATIO, each stated in the running prose rather than in a table.
CORRECTION OF RECORD, 2026-09-18 (GA-005). This note previously said the Annual Report's capital note 'does not include Leverage Ratio, LCR, or NSFR', and the LCR and Leverage Ratio sheets carried FY2025 as 'NOT APPLICABLE - no such disclosure will ever exist' on the strength of the SDDT modification below. That was wrong in both directions and four real published figures were blank because of it: the statement was true of the capital NOTE and false of the REPORT, which discloses both metrics for both years. The SDDT modification ended the bank's PILLAR 3 duty; it did not stop the bank publishing, and the bank did in fact publish. FY2025 LCR 310.7% and leverage ratio 8.1%, FY2024 LCR 274.0% and leverage ratio 8.4%, each read from that year's OWN Annual Report. The figures are now on their sheets.
WHAT REMAINS ABSENT FOR FY2024-FY2025, and how that was established. The NSFR is genuinely not disclosed: 'NSFR' and 'Net Stable Funding' each return ZERO hits in the full text of both Annual Reports, against a richness control run on the same extractions in which 'credit risk' returns 76 hits (FY2025) and 72 (FY2024), 'operational risk' 16 and 15, 'CET1' 4 and 3, and 'LCR' 3 and 2 - so the zero is a fact about the documents, not about the extraction. No Simplified Retail Deposit Ratio value is published either, so nothing succeeds the NSFR series. Also absent: the LEVERAGE EXPOSURE MEASURE ('total exposure measure' likewise zero hits) - the ratio is stated without its denominator, and the denominator is NOT back-solved from it; the LCR's HQLA and net-outflow build-up; any category-level RWA breakdown; and any MREL figure ('MREL', 'minimum requirement for own funds' and 'loss-absorbing' all zero hits in both editions).
SDDT EXEMPTION - REASON FOR THE FY2025 CESSATION OF THE PILLAR 3 DOCUMENT, established 2026-09-15 (cross-bank SDDT pass) and re-verified against the register 2026-09-18. Julian Hodge Bank is a Small Domestic Deposit Taker (SDDT) and is therefore not required to publish Pillar 3 disclosures, so the absence of an FY2025 Pillar 3 DOCUMENT is an EVIDENCED STRUCTURAL EXEMPTION. READ THE SCOPE OF THAT CAREFULLY: it explains why no FY2025 Pillar 3 document appears, and it explains NOTHING about whether any individual metric is published. Opting in removes a duty to publish; it does not stop a firm publishing, and this firm went on to publish its FY2025 LCR and leverage ratio in its Annual Report. A metric is blanked here only where it has been shown absent from the documents that do exist - never on the strength of this modification.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204439, 'Julian Hodge Bank Limited': (a) 'CRR firms: SDDT Regime - General Application Part 1.2 &amp; 2.1(9)', sub rule 'Ru 1.2 &amp; 2.1(9)', ref 'A00009819P.pdf', start '11/02/2025', end '11/02/2028'; and (b) 'Modification by Consent - PRA Rulebook - CRR Firms - Rule 3.1 of the SDDT Regime - General Application Part', sub rule 'Ru 3.1', ref 'A00009917P.pdf', start '18/02/2025',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row: FRN 575105, Rule 3.1, start '17/01/2025' - matching its own stated approval date exactly, which is what ties the register row to the firm-stated effect.)
DATE FIT, stated precisely because the two years differ. This bank's year-end is 30 September. FY2025 (period ended 30 September 2025) falls wholly after the 18 February 2025 modification, so FY2025 is unambiguously covered. FY2024 (period ended 30 September 2024) ENDED BEFORE the modification took effect, so the exemption does not straightforwardly cover it. It may still explain the FY2024 non-publication - Cynergy's 17 January 2025 approval expressly removed its obligation for the 31 December 2024 reporting date that preceded it, and Hodge's FY2024 Pillar 3 would have fallen due at almost exactly the point its own modification landed - but Julian Hodge Bank has not said so, so FY2024 is left as NOT ESTABLISHED rather than claimed as structurally exempt. It is recorded as: no FY2024 Pillar 3 document published; SDDT exemption effective from 18 February 2025 is a plausible but unconfirmed cause.
The exemption explains NOTHING about FY2014-FY2023, every one of which has its own published Pillar 3 document cited above. Do not read SDDT back onto FY2023 or earlier. Neither Annual Report claims SDDT status in the bank's own words: both the FY2024 and FY2025 Annual Reports were downloaded and text-extracted in full (readable text layers, ~737k and ~751k characters) and searched for 'SDDT', 'Small Domestic Deposit Taker', 'modification by consent', 'Simplified Retail Deposit Ratio', 'SRDR', 'Strong and Simple', 'Interim Capital Regime' and 'Basel 3.1'. SDDT appears only as regulatory-developments context - AR2024 p.18 refers to 'the draft Small Domestic Deposit Takers' rules and AR2025 p.18 to 'the ongoing Basel 3.1 and Small Domestic Deposit Takers (SDDT) consultations' - and neither report mentions Pillar 3 disclosure obligations at all (the word 'Pillar' appears only in 'Pillar 1' and 'Pillar 2'). No Simplified Retail Deposit Ratio value is disclosed, so nothing replaces the NSFR series.
PRE-CRD IV (BASEL II) COLUMNS FY2013-FY2010 - READ BEFORE USING THEM. CRD IV took effect 1 January 2014. The FY2013, FY2012, FY2011 and FY2010 Pillar 3 documents are Basel II / BIPRU disclosures and they do not report the same things under the same names. What each of the four actually prints, in its section 4 'Capital resources' table, is: Tier 1 capital (ordinary shares + profit and loss reserve), a deduction for investments in subsidiaries, 'Total Tier 1 capital', a Tier 2 line (eligible general provisions, less a revaluation reserve deduction in FY2013/FY2012/FY2011), and 'Total capital resources'. In its section 5.1 it prints a 'Pillar 1 capital requirement' by exposure class.
WHAT IS DELIBERATELY NOT POPULATED, and why. (1) CET1: the concept did not exist before CRD IV and none of the four documents uses the term - a Basel II 'Total Tier 1 capital' is NOT a CET1 figure and is not placed on the CET1 sheet. (2) Tier 1 Capital: each edition's own Total Tier 1 capital is FY2013 113.7, FY2012 111.1, FY2011 109.7, FY2010 108.1 - recorded here in prose only and NOT as a data column, which is the treatment this script already applies to the FY2015/FY2014 Basel II Tier 1 figures, kept consistent rather than changed for the newly-added years. (3) EVERY RATIO SHEET: no risk-weighted-asset amount appears anywhere in any of the four documents (grep for 'risk weighted'/'risk-weighted' returns zero hits in all four), so there is no denominator, and none of the four prints a capital ratio of any kind. Grossing the Pillar 1 capital requirement up by 12.5 would manufacture an RWA no document states, and is deliberately not done. (4) Leverage / LCR / NSFR: none of the three existed as a UK disclosure requirement in these years. FY2013's document mentions a leverage ratio exactly once, as forward-looking prose about CRD IV's forthcoming requirements ('enhanced reporting requirements include the introduction of a leverage ratio, liquidity coverage...'), with no value; FY2012/FY2011/FY2010 do not mention it at all. In particular these years belong on NEITHER row of the Leverage Ratio sheet's excluding-/including-claims-on-central-banks pair - that is a 2022 UK framework distinction and reading it back onto a Basel II year would be meaningless.
WHAT IS POPULATED: 'Total capital resources' only, on the Total Capital sheet - a figure each document states directly as a total. This matches how FY2015 (122.4) and FY2014 (118.8) were already handled on that sheet before this extension. The Pillar 1 capital requirement for the four new years is FY2013 35.3 (credit risk 34.9 + operational risk 0.4), FY2012 36.8 (36.0 + 0.8), FY2011 38.9 (37.7 + 1.2), FY2010 41.5 (40.2 + 1.3) - recorded in prose on the Total RWAs sheet, as CAPITAL, never converted to RWA.
PILLAR 3 URL STATUS, established 2026-09-16 (HD-080). This CORRECTS a note previously held here which asserted that the historical Pillar 3 documents were NOT live on hodgebank.co.uk and that the Wayback citations must not be repointed. That note tested only the OLD paths - /wp-content/uploads/2019/01/, /2019/04/, /2020/02/ and /2021/02/ - and about those it was right: they are dead. But it never tested /wp-content/uploads/2024/07/, and the entire historical series was re-uploaded there on 2024-07-25. All 14 editions FY2010-FY2023 are live and genuine at that path. The old note's conclusion was therefore wrong and has been removed.
HOW EACH FILE WAS VERIFIED (not by status code): HTTP status + Content-Type: application/pdf + %PDF magic bytes + pdfinfo page count + the cover page read for its stated period. Two traps on this host, both real:</t>
        </is>
      </c>
    </row>
    <row r="11" ht="170" customHeight="1">
      <c r="A11" s="8" t="inlineStr">
        <is>
          <t>(continued)
(1) www.hodgebank.co.uk 301-redirects to the apex domain. curl without -L returns 301 / 162 bytes, which looks like a dead link and is almost certainly what produced the earlier report.
  (2) The SOFT-404 on this host is PER-FILENAME, not per-directory - do not generalise a negative control across a directory. WordPress serves one 'Financial Information' landing page (HTTP 200, text/html, 108,306 bytes, md5 c69229b0d911df8ea64ada86d57738a2) for certain KNOWN OLD attachment slugs, while an unknown filename in that very same directory 404s honestly (146 bytes). Measured 2026-09-16: /2020/02/FINAL-Julian-Hodge-Bank-Limited-FY18.pdf -&gt; soft-404 but /2020/02/zzz-nonexistent-control.pdf -&gt; honest 404; /2021/02/2.-JHB-Pillar-III.pdf -&gt; soft-404 but /2021/02/zzz-control.pdf -&gt; honest 404; /2019/01/jhb-pillar3-2014.pdf -&gt; honest 404; /2024/07/zzz-nonexistent-control.pdf -&gt; honest 404. The decisive test is always the per-URL Content-Type plus %PDF check, never HTTP 200 and never a control run on a different filename.
SAFETY OF THE REPOINTING: every live file was md5-compared against the Wayback capture the figures were originally transcribed from, and all five checked pairs are byte-identical - FY2018 addbb5d0301b1b2349dbd9b05d3b3dfc, FY2017 b76617584f830bf3f6dbb68720744fdd, FY2016 0bd97d21c8ebd0972d5e96be8c6c1d9b, FY2015 c448471eea12e998bbfb104e3074d3cc, FY2014 5318b684c1a1d4ef8e84d62a4ba055a4. The FY2019 (695,975 B) and FY2020 (2,416,601 B) live files likewise match their captures exactly. No transcribed figure changes. Every superseded Wayback URL is kept above as a *_URL_ARCHIVE fallback.
ENUMERATION: the back catalogue was enumerated three ways - filename permutation jhb-pillar3-&lt;year&gt;.pdf across 2008-2023 (2008, 2009 and 2019-2023 honestly 404 under that name); the WordPress REST media API, whose library was walked in full (66 items over 2 pages, complete) and which is what surfaced the five irregularly-named editions that permutation can never find; and a Wayback CDX sweep of hodgebank.co.uk and julianhodgebank.co.uk which was BLOCKED on 2026-09-16 (HTTP 503/504, 'Internet Archive services are temporarily offline') and was recorded as unknown rather than as an absence. THAT SWEEP WAS RE-RUN SUCCESSFULLY ON 2026-09-18 and is no longer an open item - it completed over all three domains and found nothing newer than the FY2023 edition; see the full account in BASIS_NOTE. Result, now confirmed from three independent directions (filename permutation, the WordPress media API, and the archive): a continuous FY2010-FY2023 run of 14 editions, no FY2009, no FY2024, no FY2025.
FILENAME NEVER EQUALS PERIOD ON THIS SITE. Hodge-pillar-3-19.06.23.pdf is a 2023 PUBLICATION date on the FY2022 edition, and Hodge-pillar-3-11.03.24.pdf is a 2024 publication date on the FY2023 edition. The cover page is the only trustworthy source of the period, and every period recorded in this script was read off the cover. This matters doubly because the year-end MOVES mid-series: 31 October through FY2019, 30 September from FY2021, with FY2020 an 11-month transition period.</t>
        </is>
      </c>
    </row>
  </sheetData>
  <mergeCells count="4">
    <mergeCell ref="A11:Q11"/>
    <mergeCell ref="A5:Q5"/>
    <mergeCell ref="A7:Q7"/>
    <mergeCell ref="A9:Q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2026-10-26T09:36:08Z</dcterms:created>
  <dcterms:modified xmlns:dcterms="http://purl.org/dc/terms/" xmlns:xsi="http://www.w3.org/2001/XMLSchema-instance" xsi:type="dcterms:W3CDTF">2026-10-26T09:36:08Z</dcterms:modified>
</cp:coreProperties>
</file>