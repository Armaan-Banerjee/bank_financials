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8B4513"/>
        <bgColor rgb="008B451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Julian Hodge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Julian Hodge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Julian Hodge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Julian Hodge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'Overview'!CC6</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'Overview'!$CD$6:$CT$6</f>
            </numRef>
          </val>
          <smooth val="0"/>
        </ser>
        <ser>
          <idx val="1"/>
          <order val="1"/>
          <tx>
            <strRef>
              <f>'Overview'!CC7</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'Overview'!$CD$7:$CT$7</f>
            </numRef>
          </val>
          <smooth val="0"/>
        </ser>
        <ser>
          <idx val="2"/>
          <order val="2"/>
          <tx>
            <strRef>
              <f>'Overview'!CC8</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'Overview'!$CD$8:$CT$8</f>
            </numRef>
          </val>
          <smooth val="0"/>
        </ser>
        <ser>
          <idx val="3"/>
          <order val="3"/>
          <tx>
            <strRef>
              <f>'Overview'!CC9</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'Overview'!$CD$9:$CT$9</f>
            </numRef>
          </val>
          <smooth val="0"/>
        </ser>
        <ser>
          <idx val="4"/>
          <order val="4"/>
          <tx>
            <strRef>
              <f>'Overview'!CC10</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'Overview'!$CD$10:$CT$10</f>
            </numRef>
          </val>
          <smooth val="0"/>
        </ser>
        <ser>
          <idx val="5"/>
          <order val="5"/>
          <tx>
            <strRef>
              <f>'Overview'!CC11</f>
            </strRef>
          </tx>
          <spPr>
            <a:ln xmlns:a="http://schemas.openxmlformats.org/drawingml/2006/main">
              <a:prstDash val="solid"/>
            </a:ln>
          </spPr>
          <marker>
            <symbol val="none"/>
            <spPr>
              <a:ln xmlns:a="http://schemas.openxmlformats.org/drawingml/2006/main">
                <a:prstDash val="solid"/>
              </a:ln>
            </spPr>
          </marker>
          <cat>
            <numRef>
              <f>'Overview'!$CD$5:$CT$5</f>
            </numRef>
          </cat>
          <val>
            <numRef>
              <f>'Overview'!$CD$11:$CT$11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T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s>
  <sheetData>
    <row r="1">
      <c r="A1" s="1" t="inlineStr">
        <is>
          <t>Julian Hodge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R5" s="4" t="inlineStr">
        <is>
          <t>FY2009</t>
        </is>
      </c>
      <c r="V5" t="inlineStr">
        <is>
          <t>FY2009</t>
        </is>
      </c>
      <c r="W5" t="inlineStr">
        <is>
          <t>FY2010</t>
        </is>
      </c>
      <c r="X5" t="inlineStr">
        <is>
          <t>FY2011</t>
        </is>
      </c>
      <c r="Y5" t="inlineStr">
        <is>
          <t>FY2012</t>
        </is>
      </c>
      <c r="Z5" t="inlineStr">
        <is>
          <t>FY2013</t>
        </is>
      </c>
      <c r="AA5" t="inlineStr">
        <is>
          <t>FY2014</t>
        </is>
      </c>
      <c r="AB5" t="inlineStr">
        <is>
          <t>FY2015</t>
        </is>
      </c>
      <c r="AC5" t="inlineStr">
        <is>
          <t>FY2016</t>
        </is>
      </c>
      <c r="AD5" t="inlineStr">
        <is>
          <t>FY2017</t>
        </is>
      </c>
      <c r="AE5" t="inlineStr">
        <is>
          <t>FY2018</t>
        </is>
      </c>
      <c r="AF5" t="inlineStr">
        <is>
          <t>FY2019</t>
        </is>
      </c>
      <c r="AG5" t="inlineStr">
        <is>
          <t>FY2020</t>
        </is>
      </c>
      <c r="AH5" t="inlineStr">
        <is>
          <t>FY2021</t>
        </is>
      </c>
      <c r="AI5" t="inlineStr">
        <is>
          <t>FY2022</t>
        </is>
      </c>
      <c r="AJ5" t="inlineStr">
        <is>
          <t>FY2023</t>
        </is>
      </c>
      <c r="AK5" t="inlineStr">
        <is>
          <t>FY2024</t>
        </is>
      </c>
      <c r="AL5" t="inlineStr">
        <is>
          <t>FY2025</t>
        </is>
      </c>
      <c r="CD5" t="inlineStr">
        <is>
          <t>FY2009</t>
        </is>
      </c>
      <c r="CE5" t="inlineStr">
        <is>
          <t>FY2010</t>
        </is>
      </c>
      <c r="CF5" t="inlineStr">
        <is>
          <t>FY2011</t>
        </is>
      </c>
      <c r="CG5" t="inlineStr">
        <is>
          <t>FY2012</t>
        </is>
      </c>
      <c r="CH5" t="inlineStr">
        <is>
          <t>FY2013</t>
        </is>
      </c>
      <c r="CI5" t="inlineStr">
        <is>
          <t>FY2014</t>
        </is>
      </c>
      <c r="CJ5" t="inlineStr">
        <is>
          <t>FY2015</t>
        </is>
      </c>
      <c r="CK5" t="inlineStr">
        <is>
          <t>FY2016</t>
        </is>
      </c>
      <c r="CL5" t="inlineStr">
        <is>
          <t>FY2017</t>
        </is>
      </c>
      <c r="CM5" t="inlineStr">
        <is>
          <t>FY2018</t>
        </is>
      </c>
      <c r="CN5" t="inlineStr">
        <is>
          <t>FY2019</t>
        </is>
      </c>
      <c r="CO5" t="inlineStr">
        <is>
          <t>FY2020</t>
        </is>
      </c>
      <c r="CP5" t="inlineStr">
        <is>
          <t>FY2021</t>
        </is>
      </c>
      <c r="CQ5" t="inlineStr">
        <is>
          <t>FY2022</t>
        </is>
      </c>
      <c r="CR5" t="inlineStr">
        <is>
          <t>FY2023</t>
        </is>
      </c>
      <c r="CS5" t="inlineStr">
        <is>
          <t>FY2024</t>
        </is>
      </c>
      <c r="CT5" t="inlineStr">
        <is>
          <t>FY2025</t>
        </is>
      </c>
    </row>
    <row r="6">
      <c r="A6" s="5" t="inlineStr">
        <is>
          <t>Total assets</t>
        </is>
      </c>
      <c r="B6" s="5" t="n">
        <v>2122.6</v>
      </c>
      <c r="C6" s="5" t="n">
        <v>2008.8</v>
      </c>
      <c r="D6" s="5" t="n">
        <v>1823.1</v>
      </c>
      <c r="E6" s="5" t="n">
        <v>1860.8</v>
      </c>
      <c r="F6" s="5" t="n">
        <v>1713.4</v>
      </c>
      <c r="G6" s="5" t="n">
        <v>1409.2</v>
      </c>
      <c r="H6" s="5" t="n">
        <v>1378.7</v>
      </c>
      <c r="I6" s="5" t="n">
        <v>1363.4</v>
      </c>
      <c r="J6" s="5" t="n">
        <v>1267.4</v>
      </c>
      <c r="K6" s="5" t="n">
        <v>1316.8</v>
      </c>
      <c r="L6" s="5" t="n">
        <v>999</v>
      </c>
      <c r="M6" s="5" t="n">
        <v>784.7</v>
      </c>
      <c r="N6" s="5" t="n"/>
      <c r="O6" s="5" t="n"/>
      <c r="P6" s="5" t="n"/>
      <c r="Q6" s="5" t="n"/>
      <c r="R6" s="5" t="n"/>
      <c r="U6" t="inlineStr">
        <is>
          <t>Total assets</t>
        </is>
      </c>
      <c r="AA6" t="n">
        <v>784.7</v>
      </c>
      <c r="AB6" t="n">
        <v>999</v>
      </c>
      <c r="AC6" t="n">
        <v>1316.8</v>
      </c>
      <c r="AD6" t="n">
        <v>1267.4</v>
      </c>
      <c r="AE6" t="n">
        <v>1363.4</v>
      </c>
      <c r="AF6" t="n">
        <v>1378.7</v>
      </c>
      <c r="AG6" t="n">
        <v>1409.2</v>
      </c>
      <c r="AH6" t="n">
        <v>1713.4</v>
      </c>
      <c r="AI6" t="n">
        <v>1860.8</v>
      </c>
      <c r="AJ6" t="n">
        <v>1823.1</v>
      </c>
      <c r="AK6" t="n">
        <v>2008.8</v>
      </c>
      <c r="AL6" t="n">
        <v>2122.6</v>
      </c>
      <c r="CC6" t="inlineStr">
        <is>
          <t>CET1 Ratio</t>
        </is>
      </c>
      <c r="CK6" t="n">
        <v>19.2</v>
      </c>
      <c r="CL6" t="n">
        <v>21.1</v>
      </c>
      <c r="CM6" t="n">
        <v>22.3</v>
      </c>
      <c r="CN6" t="n">
        <v>23</v>
      </c>
      <c r="CO6" t="n">
        <v>19.7</v>
      </c>
      <c r="CP6" t="n">
        <v>20.2</v>
      </c>
      <c r="CQ6" t="n">
        <v>25.2</v>
      </c>
      <c r="CR6" t="n">
        <v>24.5</v>
      </c>
      <c r="CS6" t="n">
        <v>19.8</v>
      </c>
      <c r="CT6" t="n">
        <v>17.5</v>
      </c>
    </row>
    <row r="7">
      <c r="A7" s="5" t="inlineStr">
        <is>
          <t>Loans and advances to customers</t>
        </is>
      </c>
      <c r="B7" s="5" t="n">
        <v>1839.7</v>
      </c>
      <c r="C7" s="5" t="n">
        <v>1699.3</v>
      </c>
      <c r="D7" s="5" t="n">
        <v>1488.5</v>
      </c>
      <c r="E7" s="5" t="n">
        <v>1404.6</v>
      </c>
      <c r="F7" s="5" t="n">
        <v>1061.5</v>
      </c>
      <c r="G7" s="5" t="n">
        <v>930.8</v>
      </c>
      <c r="H7" s="5" t="n">
        <v>766.9</v>
      </c>
      <c r="I7" s="5" t="n">
        <v>827.9</v>
      </c>
      <c r="J7" s="5" t="n">
        <v>757.9</v>
      </c>
      <c r="K7" s="5" t="n">
        <v>706.9</v>
      </c>
      <c r="L7" s="5" t="n">
        <v>557.5</v>
      </c>
      <c r="M7" s="5" t="n">
        <v>440.8</v>
      </c>
      <c r="N7" s="5" t="n"/>
      <c r="O7" s="5" t="n"/>
      <c r="P7" s="5" t="n"/>
      <c r="Q7" s="5" t="n"/>
      <c r="R7" s="5" t="n"/>
      <c r="U7" t="inlineStr">
        <is>
          <t>Loans and advances to customers</t>
        </is>
      </c>
      <c r="AA7" t="n">
        <v>440.8</v>
      </c>
      <c r="AB7" t="n">
        <v>557.5</v>
      </c>
      <c r="AC7" t="n">
        <v>706.9</v>
      </c>
      <c r="AD7" t="n">
        <v>757.9</v>
      </c>
      <c r="AE7" t="n">
        <v>827.9</v>
      </c>
      <c r="AF7" t="n">
        <v>766.9</v>
      </c>
      <c r="AG7" t="n">
        <v>930.8</v>
      </c>
      <c r="AH7" t="n">
        <v>1061.5</v>
      </c>
      <c r="AI7" t="n">
        <v>1404.6</v>
      </c>
      <c r="AJ7" t="n">
        <v>1488.5</v>
      </c>
      <c r="AK7" t="n">
        <v>1699.3</v>
      </c>
      <c r="AL7" t="n">
        <v>1839.7</v>
      </c>
      <c r="CC7" t="inlineStr">
        <is>
          <t>Tier 1 Ratio</t>
        </is>
      </c>
      <c r="CK7" t="n">
        <v>19.2</v>
      </c>
      <c r="CL7" t="n">
        <v>21.1</v>
      </c>
      <c r="CM7" t="n">
        <v>22.3</v>
      </c>
      <c r="CN7" t="n">
        <v>23</v>
      </c>
      <c r="CO7" t="n">
        <v>19.7</v>
      </c>
      <c r="CP7" t="n">
        <v>20.2</v>
      </c>
      <c r="CQ7" t="n">
        <v>25.2</v>
      </c>
      <c r="CR7" t="n">
        <v>24.5</v>
      </c>
      <c r="CS7" t="n">
        <v>19.8</v>
      </c>
      <c r="CT7" t="n">
        <v>17.5</v>
      </c>
    </row>
    <row r="8">
      <c r="A8" s="5" t="inlineStr">
        <is>
          <t>Deposits from customers</t>
        </is>
      </c>
      <c r="B8" s="5" t="n">
        <v>1860.3</v>
      </c>
      <c r="C8" s="5" t="n">
        <v>1639.4</v>
      </c>
      <c r="D8" s="5" t="n">
        <v>1368.1</v>
      </c>
      <c r="E8" s="5" t="n">
        <v>1425</v>
      </c>
      <c r="F8" s="5" t="n">
        <v>1381</v>
      </c>
      <c r="G8" s="5" t="n">
        <v>1071.4</v>
      </c>
      <c r="H8" s="5" t="n">
        <v>1042.8</v>
      </c>
      <c r="I8" s="5" t="n">
        <v>994.6</v>
      </c>
      <c r="J8" s="5" t="n">
        <v>947.7</v>
      </c>
      <c r="K8" s="5" t="n">
        <v>991.7</v>
      </c>
      <c r="L8" s="5" t="n">
        <v>848.6</v>
      </c>
      <c r="M8" s="5" t="n">
        <v>633.2</v>
      </c>
      <c r="N8" s="5" t="n"/>
      <c r="O8" s="5" t="n"/>
      <c r="P8" s="5" t="n"/>
      <c r="Q8" s="5" t="n"/>
      <c r="R8" s="5" t="n"/>
      <c r="U8" t="inlineStr">
        <is>
          <t>Deposits from customers</t>
        </is>
      </c>
      <c r="AA8" t="n">
        <v>633.2</v>
      </c>
      <c r="AB8" t="n">
        <v>848.6</v>
      </c>
      <c r="AC8" t="n">
        <v>991.7</v>
      </c>
      <c r="AD8" t="n">
        <v>947.7</v>
      </c>
      <c r="AE8" t="n">
        <v>994.6</v>
      </c>
      <c r="AF8" t="n">
        <v>1042.8</v>
      </c>
      <c r="AG8" t="n">
        <v>1071.4</v>
      </c>
      <c r="AH8" t="n">
        <v>1381</v>
      </c>
      <c r="AI8" t="n">
        <v>1425</v>
      </c>
      <c r="AJ8" t="n">
        <v>1368.1</v>
      </c>
      <c r="AK8" t="n">
        <v>1639.4</v>
      </c>
      <c r="AL8" t="n">
        <v>1860.3</v>
      </c>
      <c r="CC8" t="inlineStr">
        <is>
          <t>Total Capital Ratio</t>
        </is>
      </c>
      <c r="CK8" t="n">
        <v>19.2</v>
      </c>
      <c r="CL8" t="n">
        <v>21.2</v>
      </c>
      <c r="CM8" t="n">
        <v>22.3</v>
      </c>
      <c r="CN8" t="n">
        <v>23</v>
      </c>
      <c r="CO8" t="n">
        <v>19.7</v>
      </c>
      <c r="CP8" t="n">
        <v>20.2</v>
      </c>
      <c r="CQ8" t="n">
        <v>25.2</v>
      </c>
      <c r="CR8" t="n">
        <v>24.5</v>
      </c>
      <c r="CS8" t="n">
        <v>19.8</v>
      </c>
      <c r="CT8" t="n">
        <v>17.5</v>
      </c>
    </row>
    <row r="9">
      <c r="A9" s="5" t="inlineStr">
        <is>
          <t>Total equity</t>
        </is>
      </c>
      <c r="B9" s="5" t="n">
        <v>179.8</v>
      </c>
      <c r="C9" s="5" t="n">
        <v>183.2</v>
      </c>
      <c r="D9" s="5" t="n">
        <v>183.8</v>
      </c>
      <c r="E9" s="5" t="n">
        <v>185</v>
      </c>
      <c r="F9" s="5" t="n">
        <v>148.6</v>
      </c>
      <c r="G9" s="5" t="n">
        <v>141</v>
      </c>
      <c r="H9" s="5" t="n">
        <v>160.3</v>
      </c>
      <c r="I9" s="5" t="n">
        <v>171.7</v>
      </c>
      <c r="J9" s="5" t="n">
        <v>167.3</v>
      </c>
      <c r="K9" s="5" t="n">
        <v>146.3</v>
      </c>
      <c r="L9" s="5" t="n">
        <v>133.7</v>
      </c>
      <c r="M9" s="5" t="n">
        <v>132</v>
      </c>
      <c r="N9" s="5" t="n"/>
      <c r="O9" s="5" t="n"/>
      <c r="P9" s="5" t="n"/>
      <c r="Q9" s="5" t="n"/>
      <c r="R9" s="5" t="n"/>
      <c r="U9" t="inlineStr">
        <is>
          <t>Total equity</t>
        </is>
      </c>
      <c r="AA9" t="n">
        <v>132</v>
      </c>
      <c r="AB9" t="n">
        <v>133.7</v>
      </c>
      <c r="AC9" t="n">
        <v>146.3</v>
      </c>
      <c r="AD9" t="n">
        <v>167.3</v>
      </c>
      <c r="AE9" t="n">
        <v>171.7</v>
      </c>
      <c r="AF9" t="n">
        <v>160.3</v>
      </c>
      <c r="AG9" t="n">
        <v>141</v>
      </c>
      <c r="AH9" t="n">
        <v>148.6</v>
      </c>
      <c r="AI9" t="n">
        <v>185</v>
      </c>
      <c r="AJ9" t="n">
        <v>183.8</v>
      </c>
      <c r="AK9" t="n">
        <v>183.2</v>
      </c>
      <c r="AL9" t="n">
        <v>179.8</v>
      </c>
      <c r="CC9" t="inlineStr">
        <is>
          <t>Leverage Ratio</t>
        </is>
      </c>
      <c r="CK9" t="n">
        <v>9.5</v>
      </c>
      <c r="CL9" t="n">
        <v>11.4</v>
      </c>
      <c r="CM9" t="n">
        <v>11.9</v>
      </c>
      <c r="CN9" t="n">
        <v>11.2</v>
      </c>
      <c r="CO9" t="n">
        <v>9.6</v>
      </c>
      <c r="CP9" t="n">
        <v>8.300000000000001</v>
      </c>
      <c r="CQ9" t="n">
        <v>10.9</v>
      </c>
      <c r="CR9" t="n">
        <v>10.5</v>
      </c>
    </row>
    <row r="10">
      <c r="CC10" t="inlineStr">
        <is>
          <t>LCR</t>
        </is>
      </c>
      <c r="CM10" t="n">
        <v>236.9</v>
      </c>
      <c r="CN10" t="n">
        <v>516.9</v>
      </c>
      <c r="CO10" t="n">
        <v>272.9</v>
      </c>
      <c r="CP10" t="n">
        <v>349.6</v>
      </c>
      <c r="CQ10" t="n">
        <v>252</v>
      </c>
      <c r="CR10" t="n">
        <v>176.9</v>
      </c>
    </row>
    <row r="11">
      <c r="A11" s="3" t="inlineStr">
        <is>
          <t>Profit &amp; Loss Summary (£m)</t>
        </is>
      </c>
      <c r="CC11" t="inlineStr">
        <is>
          <t>NSFR</t>
        </is>
      </c>
      <c r="CN11" t="n">
        <v>217.6</v>
      </c>
      <c r="CO11" t="n">
        <v>154.6</v>
      </c>
      <c r="CP11" t="n">
        <v>168.1</v>
      </c>
      <c r="CQ11" t="n">
        <v>143</v>
      </c>
      <c r="CR11" t="n">
        <v>150.5</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R12" s="4" t="inlineStr">
        <is>
          <t>FY2009</t>
        </is>
      </c>
      <c r="AP12" t="inlineStr">
        <is>
          <t>FY2009</t>
        </is>
      </c>
      <c r="AQ12" t="inlineStr">
        <is>
          <t>FY2010</t>
        </is>
      </c>
      <c r="AR12" t="inlineStr">
        <is>
          <t>FY2011</t>
        </is>
      </c>
      <c r="AS12" t="inlineStr">
        <is>
          <t>FY2012</t>
        </is>
      </c>
      <c r="AT12" t="inlineStr">
        <is>
          <t>FY2013</t>
        </is>
      </c>
      <c r="AU12" t="inlineStr">
        <is>
          <t>FY2014</t>
        </is>
      </c>
      <c r="AV12" t="inlineStr">
        <is>
          <t>FY2015</t>
        </is>
      </c>
      <c r="AW12" t="inlineStr">
        <is>
          <t>FY2016</t>
        </is>
      </c>
      <c r="AX12" t="inlineStr">
        <is>
          <t>FY2017</t>
        </is>
      </c>
      <c r="AY12" t="inlineStr">
        <is>
          <t>FY2018</t>
        </is>
      </c>
      <c r="AZ12" t="inlineStr">
        <is>
          <t>FY2019</t>
        </is>
      </c>
      <c r="BA12" t="inlineStr">
        <is>
          <t>FY2020</t>
        </is>
      </c>
      <c r="BB12" t="inlineStr">
        <is>
          <t>FY2021</t>
        </is>
      </c>
      <c r="BC12" t="inlineStr">
        <is>
          <t>FY2022</t>
        </is>
      </c>
      <c r="BD12" t="inlineStr">
        <is>
          <t>FY2023</t>
        </is>
      </c>
      <c r="BE12" t="inlineStr">
        <is>
          <t>FY2024</t>
        </is>
      </c>
      <c r="BF12" t="inlineStr">
        <is>
          <t>FY2025</t>
        </is>
      </c>
    </row>
    <row r="13">
      <c r="A13" s="5" t="inlineStr">
        <is>
          <t>Net interest income</t>
        </is>
      </c>
      <c r="B13" s="5" t="n">
        <v>41.8</v>
      </c>
      <c r="C13" s="5" t="n">
        <v>39.7</v>
      </c>
      <c r="D13" s="5" t="n">
        <v>39.4</v>
      </c>
      <c r="E13" s="5" t="n">
        <v>29.4</v>
      </c>
      <c r="F13" s="5" t="n">
        <v>17.6</v>
      </c>
      <c r="G13" s="5" t="n">
        <v>15.6</v>
      </c>
      <c r="H13" s="5" t="n">
        <v>20.2</v>
      </c>
      <c r="I13" s="5" t="n">
        <v>18.3</v>
      </c>
      <c r="J13" s="5" t="n">
        <v>13.9</v>
      </c>
      <c r="K13" s="5" t="n">
        <v>13.2</v>
      </c>
      <c r="L13" s="5" t="n">
        <v>5.6</v>
      </c>
      <c r="M13" s="5" t="n">
        <v>2.9</v>
      </c>
      <c r="N13" s="5" t="n"/>
      <c r="O13" s="5" t="n"/>
      <c r="P13" s="5" t="n"/>
      <c r="Q13" s="5" t="n"/>
      <c r="R13" s="5" t="n"/>
      <c r="AO13" t="inlineStr">
        <is>
          <t>Net interest income</t>
        </is>
      </c>
      <c r="AU13" t="n">
        <v>2.9</v>
      </c>
      <c r="AV13" t="n">
        <v>5.6</v>
      </c>
      <c r="AW13" t="n">
        <v>13.2</v>
      </c>
      <c r="AX13" t="n">
        <v>13.9</v>
      </c>
      <c r="AY13" t="n">
        <v>18.3</v>
      </c>
      <c r="AZ13" t="n">
        <v>20.2</v>
      </c>
      <c r="BA13" t="n">
        <v>15.6</v>
      </c>
      <c r="BB13" t="n">
        <v>17.6</v>
      </c>
      <c r="BC13" t="n">
        <v>29.4</v>
      </c>
      <c r="BD13" t="n">
        <v>39.4</v>
      </c>
      <c r="BE13" t="n">
        <v>39.7</v>
      </c>
      <c r="BF13" t="n">
        <v>41.8</v>
      </c>
    </row>
    <row r="14">
      <c r="A14" s="5" t="inlineStr">
        <is>
          <t>Net operating income</t>
        </is>
      </c>
      <c r="B14" s="5" t="n">
        <v>39.8</v>
      </c>
      <c r="C14" s="5" t="n">
        <v>41.9</v>
      </c>
      <c r="D14" s="5" t="n">
        <v>46.6</v>
      </c>
      <c r="E14" s="5" t="n">
        <v>38.6</v>
      </c>
      <c r="F14" s="5" t="n">
        <v>26.2</v>
      </c>
      <c r="G14" s="5" t="n">
        <v>20.9</v>
      </c>
      <c r="H14" s="5" t="n">
        <v>28</v>
      </c>
      <c r="I14" s="5" t="n">
        <v>18.2</v>
      </c>
      <c r="J14" s="5" t="n">
        <v>19.3</v>
      </c>
      <c r="K14" s="5" t="n">
        <v>33.5</v>
      </c>
      <c r="L14" s="5" t="n">
        <v>13</v>
      </c>
      <c r="M14" s="5" t="n">
        <v>9.300000000000001</v>
      </c>
      <c r="N14" s="5" t="n"/>
      <c r="O14" s="5" t="n"/>
      <c r="P14" s="5" t="n"/>
      <c r="Q14" s="5" t="n"/>
      <c r="R14" s="5" t="n"/>
      <c r="AO14" t="inlineStr">
        <is>
          <t>Net operating income</t>
        </is>
      </c>
      <c r="AU14" t="n">
        <v>9.300000000000001</v>
      </c>
      <c r="AV14" t="n">
        <v>13</v>
      </c>
      <c r="AW14" t="n">
        <v>33.5</v>
      </c>
      <c r="AX14" t="n">
        <v>19.3</v>
      </c>
      <c r="AY14" t="n">
        <v>18.2</v>
      </c>
      <c r="AZ14" t="n">
        <v>28</v>
      </c>
      <c r="BA14" t="n">
        <v>20.9</v>
      </c>
      <c r="BB14" t="n">
        <v>26.2</v>
      </c>
      <c r="BC14" t="n">
        <v>38.6</v>
      </c>
      <c r="BD14" t="n">
        <v>46.6</v>
      </c>
      <c r="BE14" t="n">
        <v>41.9</v>
      </c>
      <c r="BF14" t="n">
        <v>39.8</v>
      </c>
    </row>
    <row r="15">
      <c r="A15" s="5" t="inlineStr">
        <is>
          <t>Profit/(loss) for the financial year</t>
        </is>
      </c>
      <c r="B15" s="5" t="n">
        <v>-3.9</v>
      </c>
      <c r="C15" s="5" t="n">
        <v>-1.7</v>
      </c>
      <c r="D15" s="5" t="n">
        <v>-0.2</v>
      </c>
      <c r="E15" s="5" t="n">
        <v>4.8</v>
      </c>
      <c r="F15" s="5" t="n">
        <v>5.8</v>
      </c>
      <c r="G15" s="5" t="n">
        <v>-15.9</v>
      </c>
      <c r="H15" s="5" t="n">
        <v>-5.7</v>
      </c>
      <c r="I15" s="5" t="n">
        <v>5.5</v>
      </c>
      <c r="J15" s="5" t="n">
        <v>10.2</v>
      </c>
      <c r="K15" s="5" t="n">
        <v>17.6</v>
      </c>
      <c r="L15" s="5" t="n">
        <v>4.3</v>
      </c>
      <c r="M15" s="5" t="n">
        <v>4.1</v>
      </c>
      <c r="N15" s="5" t="n"/>
      <c r="O15" s="5" t="n"/>
      <c r="P15" s="5" t="n"/>
      <c r="Q15" s="5" t="n"/>
      <c r="R15" s="5" t="n"/>
      <c r="AO15" t="inlineStr">
        <is>
          <t>Profit/(loss) for the financial year</t>
        </is>
      </c>
      <c r="AU15" t="n">
        <v>4.1</v>
      </c>
      <c r="AV15" t="n">
        <v>4.3</v>
      </c>
      <c r="AW15" t="n">
        <v>17.6</v>
      </c>
      <c r="AX15" t="n">
        <v>10.2</v>
      </c>
      <c r="AY15" t="n">
        <v>5.5</v>
      </c>
      <c r="AZ15" t="n">
        <v>-5.7</v>
      </c>
      <c r="BA15" t="n">
        <v>-15.9</v>
      </c>
      <c r="BB15" t="n">
        <v>5.8</v>
      </c>
      <c r="BC15" t="n">
        <v>4.8</v>
      </c>
      <c r="BD15" t="n">
        <v>-0.2</v>
      </c>
      <c r="BE15" t="n">
        <v>-1.7</v>
      </c>
      <c r="BF15" t="n">
        <v>-3.9</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N18" s="4" t="inlineStr">
        <is>
          <t>FY2013</t>
        </is>
      </c>
      <c r="O18" s="4" t="inlineStr">
        <is>
          <t>FY2012</t>
        </is>
      </c>
      <c r="P18" s="4" t="inlineStr">
        <is>
          <t>FY2011</t>
        </is>
      </c>
      <c r="Q18" s="4" t="inlineStr">
        <is>
          <t>FY2010</t>
        </is>
      </c>
      <c r="R18" s="4" t="inlineStr">
        <is>
          <t>FY2009</t>
        </is>
      </c>
      <c r="BJ18" t="inlineStr">
        <is>
          <t>FY2009</t>
        </is>
      </c>
      <c r="BK18" t="inlineStr">
        <is>
          <t>FY2010</t>
        </is>
      </c>
      <c r="BL18" t="inlineStr">
        <is>
          <t>FY2011</t>
        </is>
      </c>
      <c r="BM18" t="inlineStr">
        <is>
          <t>FY2012</t>
        </is>
      </c>
      <c r="BN18" t="inlineStr">
        <is>
          <t>FY2013</t>
        </is>
      </c>
      <c r="BO18" t="inlineStr">
        <is>
          <t>FY2014</t>
        </is>
      </c>
      <c r="BP18" t="inlineStr">
        <is>
          <t>FY2015</t>
        </is>
      </c>
      <c r="BQ18" t="inlineStr">
        <is>
          <t>FY2016</t>
        </is>
      </c>
      <c r="BR18" t="inlineStr">
        <is>
          <t>FY2017</t>
        </is>
      </c>
      <c r="BS18" t="inlineStr">
        <is>
          <t>FY2018</t>
        </is>
      </c>
      <c r="BT18" t="inlineStr">
        <is>
          <t>FY2019</t>
        </is>
      </c>
      <c r="BU18" t="inlineStr">
        <is>
          <t>FY2020</t>
        </is>
      </c>
      <c r="BV18" t="inlineStr">
        <is>
          <t>FY2021</t>
        </is>
      </c>
      <c r="BW18" t="inlineStr">
        <is>
          <t>FY2022</t>
        </is>
      </c>
      <c r="BX18" t="inlineStr">
        <is>
          <t>FY2023</t>
        </is>
      </c>
      <c r="BY18" t="inlineStr">
        <is>
          <t>FY2024</t>
        </is>
      </c>
      <c r="BZ18" t="inlineStr">
        <is>
          <t>FY2025</t>
        </is>
      </c>
    </row>
    <row r="19">
      <c r="A19" s="5" t="inlineStr">
        <is>
          <t>Opening equity</t>
        </is>
      </c>
      <c r="B19" s="5" t="n">
        <v>183.2</v>
      </c>
      <c r="C19" s="5" t="n">
        <v>183.8</v>
      </c>
      <c r="D19" s="5" t="n">
        <v>185</v>
      </c>
      <c r="E19" s="5" t="n">
        <v>148.6</v>
      </c>
      <c r="F19" s="5" t="n">
        <v>141</v>
      </c>
      <c r="G19" s="5" t="n">
        <v>160.3</v>
      </c>
      <c r="H19" s="5" t="n">
        <v>171.7</v>
      </c>
      <c r="I19" s="5" t="n">
        <v>167.3</v>
      </c>
      <c r="J19" s="5" t="n">
        <v>153.5</v>
      </c>
      <c r="K19" s="5" t="n">
        <v>133.3</v>
      </c>
      <c r="L19" s="5" t="n">
        <v>132</v>
      </c>
      <c r="M19" s="5" t="n">
        <v>128.2</v>
      </c>
      <c r="N19" s="5" t="n"/>
      <c r="O19" s="5" t="n"/>
      <c r="P19" s="5" t="n"/>
      <c r="Q19" s="5" t="n"/>
      <c r="R19" s="5" t="n"/>
      <c r="BI19" t="inlineStr">
        <is>
          <t>Opening equity</t>
        </is>
      </c>
      <c r="BO19" t="n">
        <v>128.2</v>
      </c>
      <c r="BP19" t="n">
        <v>132</v>
      </c>
      <c r="BQ19" t="n">
        <v>133.3</v>
      </c>
      <c r="BR19" t="n">
        <v>153.5</v>
      </c>
      <c r="BS19" t="n">
        <v>167.3</v>
      </c>
      <c r="BT19" t="n">
        <v>171.7</v>
      </c>
      <c r="BU19" t="n">
        <v>160.3</v>
      </c>
      <c r="BV19" t="n">
        <v>141</v>
      </c>
      <c r="BW19" t="n">
        <v>148.6</v>
      </c>
      <c r="BX19" t="n">
        <v>185</v>
      </c>
      <c r="BY19" t="n">
        <v>183.8</v>
      </c>
      <c r="BZ19" t="n">
        <v>183.2</v>
      </c>
    </row>
    <row r="20">
      <c r="A20" s="5" t="inlineStr">
        <is>
          <t>Total comprehensive income/(loss) for the year</t>
        </is>
      </c>
      <c r="B20" s="5" t="n">
        <v>-3.4</v>
      </c>
      <c r="C20" s="5" t="n">
        <v>-0.6</v>
      </c>
      <c r="D20" s="5" t="n">
        <v>-1.2</v>
      </c>
      <c r="E20" s="5" t="n">
        <v>11.4</v>
      </c>
      <c r="F20" s="5" t="n">
        <v>7.6</v>
      </c>
      <c r="G20" s="5" t="n">
        <v>-19.3</v>
      </c>
      <c r="H20" s="5" t="n">
        <v>-8</v>
      </c>
      <c r="I20" s="5" t="n">
        <v>4.4</v>
      </c>
      <c r="J20" s="5" t="n">
        <v>8.800000000000001</v>
      </c>
      <c r="K20" s="5" t="n">
        <v>13</v>
      </c>
      <c r="L20" s="5" t="n">
        <v>1.8</v>
      </c>
      <c r="M20" s="5" t="n">
        <v>3.8</v>
      </c>
      <c r="N20" s="5" t="n"/>
      <c r="O20" s="5" t="n"/>
      <c r="P20" s="5" t="n"/>
      <c r="Q20" s="5" t="n"/>
      <c r="R20" s="5" t="n"/>
      <c r="BI20" t="inlineStr">
        <is>
          <t>Total comprehensive income/(loss) for the year</t>
        </is>
      </c>
      <c r="BO20" t="n">
        <v>3.8</v>
      </c>
      <c r="BP20" t="n">
        <v>1.8</v>
      </c>
      <c r="BQ20" t="n">
        <v>13</v>
      </c>
      <c r="BR20" t="n">
        <v>8.800000000000001</v>
      </c>
      <c r="BS20" t="n">
        <v>4.4</v>
      </c>
      <c r="BT20" t="n">
        <v>-8</v>
      </c>
      <c r="BU20" t="n">
        <v>-19.3</v>
      </c>
      <c r="BV20" t="n">
        <v>7.6</v>
      </c>
      <c r="BW20" t="n">
        <v>11.4</v>
      </c>
      <c r="BX20" t="n">
        <v>-1.2</v>
      </c>
      <c r="BY20" t="n">
        <v>-0.6</v>
      </c>
      <c r="BZ20" t="n">
        <v>-3.4</v>
      </c>
    </row>
    <row r="21">
      <c r="A21" s="5" t="inlineStr">
        <is>
          <t>Other equity movements, net</t>
        </is>
      </c>
      <c r="B21" s="5" t="n">
        <v>0</v>
      </c>
      <c r="C21" s="5" t="n">
        <v>0</v>
      </c>
      <c r="D21" s="5" t="n">
        <v>0</v>
      </c>
      <c r="E21" s="5" t="n">
        <v>25</v>
      </c>
      <c r="F21" s="5" t="n">
        <v>0</v>
      </c>
      <c r="G21" s="5" t="n">
        <v>0</v>
      </c>
      <c r="H21" s="5" t="n">
        <v>-3.4</v>
      </c>
      <c r="I21" s="5" t="n">
        <v>0</v>
      </c>
      <c r="J21" s="5" t="n">
        <v>5</v>
      </c>
      <c r="K21" s="5" t="n">
        <v>0</v>
      </c>
      <c r="L21" s="5" t="n">
        <v>0</v>
      </c>
      <c r="M21" s="5" t="n">
        <v>0</v>
      </c>
      <c r="N21" s="5" t="n"/>
      <c r="O21" s="5" t="n"/>
      <c r="P21" s="5" t="n"/>
      <c r="Q21" s="5" t="n"/>
      <c r="R21" s="5" t="n"/>
      <c r="BI21" t="inlineStr">
        <is>
          <t>Other equity movements, net</t>
        </is>
      </c>
      <c r="BO21" t="n">
        <v>0</v>
      </c>
      <c r="BP21" t="n">
        <v>0</v>
      </c>
      <c r="BQ21" t="n">
        <v>0</v>
      </c>
      <c r="BR21" t="n">
        <v>5</v>
      </c>
      <c r="BS21" t="n">
        <v>0</v>
      </c>
      <c r="BT21" t="n">
        <v>-3.4</v>
      </c>
      <c r="BU21" t="n">
        <v>0</v>
      </c>
      <c r="BV21" t="n">
        <v>0</v>
      </c>
      <c r="BW21" t="n">
        <v>25</v>
      </c>
      <c r="BX21" t="n">
        <v>0</v>
      </c>
      <c r="BY21" t="n">
        <v>0</v>
      </c>
      <c r="BZ21" t="n">
        <v>0</v>
      </c>
    </row>
    <row r="22">
      <c r="A22" s="5" t="inlineStr">
        <is>
          <t>Closing equity</t>
        </is>
      </c>
      <c r="B22" s="5" t="n">
        <v>179.8</v>
      </c>
      <c r="C22" s="5" t="n">
        <v>183.2</v>
      </c>
      <c r="D22" s="5" t="n">
        <v>183.8</v>
      </c>
      <c r="E22" s="5" t="n">
        <v>185</v>
      </c>
      <c r="F22" s="5" t="n">
        <v>148.6</v>
      </c>
      <c r="G22" s="5" t="n">
        <v>141</v>
      </c>
      <c r="H22" s="5" t="n">
        <v>160.3</v>
      </c>
      <c r="I22" s="5" t="n">
        <v>171.7</v>
      </c>
      <c r="J22" s="5" t="n">
        <v>167.3</v>
      </c>
      <c r="K22" s="5" t="n">
        <v>146.3</v>
      </c>
      <c r="L22" s="5" t="n">
        <v>133.7</v>
      </c>
      <c r="M22" s="5" t="n">
        <v>132</v>
      </c>
      <c r="N22" s="5" t="n"/>
      <c r="O22" s="5" t="n"/>
      <c r="P22" s="5" t="n"/>
      <c r="Q22" s="5" t="n"/>
      <c r="R22" s="5" t="n"/>
      <c r="BI22" t="inlineStr">
        <is>
          <t>Closing equity</t>
        </is>
      </c>
      <c r="BO22" t="n">
        <v>132</v>
      </c>
      <c r="BP22" t="n">
        <v>133.7</v>
      </c>
      <c r="BQ22" t="n">
        <v>146.3</v>
      </c>
      <c r="BR22" t="n">
        <v>167.3</v>
      </c>
      <c r="BS22" t="n">
        <v>171.7</v>
      </c>
      <c r="BT22" t="n">
        <v>160.3</v>
      </c>
      <c r="BU22" t="n">
        <v>141</v>
      </c>
      <c r="BV22" t="n">
        <v>148.6</v>
      </c>
      <c r="BW22" t="n">
        <v>185</v>
      </c>
      <c r="BX22" t="n">
        <v>183.8</v>
      </c>
      <c r="BY22" t="n">
        <v>183.2</v>
      </c>
      <c r="BZ22" t="n">
        <v>179.8</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c r="L27" s="4" t="inlineStr">
        <is>
          <t>FY2015</t>
        </is>
      </c>
      <c r="M27" s="4" t="inlineStr">
        <is>
          <t>FY2014</t>
        </is>
      </c>
      <c r="N27" s="4" t="inlineStr">
        <is>
          <t>FY2013</t>
        </is>
      </c>
      <c r="O27" s="4" t="inlineStr">
        <is>
          <t>FY2012</t>
        </is>
      </c>
      <c r="P27" s="4" t="inlineStr">
        <is>
          <t>FY2011</t>
        </is>
      </c>
      <c r="Q27" s="4" t="inlineStr">
        <is>
          <t>FY2010</t>
        </is>
      </c>
      <c r="R27" s="4" t="inlineStr">
        <is>
          <t>FY2009</t>
        </is>
      </c>
    </row>
    <row r="28">
      <c r="A28" s="6" t="inlineStr">
        <is>
          <t>CET1 Ratio</t>
        </is>
      </c>
      <c r="B28" s="6" t="inlineStr">
        <is>
          <t>17.5%</t>
        </is>
      </c>
      <c r="C28" s="6" t="inlineStr">
        <is>
          <t>19.8%</t>
        </is>
      </c>
      <c r="D28" s="6" t="inlineStr">
        <is>
          <t>24.5%</t>
        </is>
      </c>
      <c r="E28" s="6" t="inlineStr">
        <is>
          <t>25.2%</t>
        </is>
      </c>
      <c r="F28" s="6" t="inlineStr">
        <is>
          <t>20.2%</t>
        </is>
      </c>
      <c r="G28" s="6" t="inlineStr">
        <is>
          <t>19.7%</t>
        </is>
      </c>
      <c r="H28" s="6" t="inlineStr">
        <is>
          <t>23.0%</t>
        </is>
      </c>
      <c r="I28" s="6" t="inlineStr">
        <is>
          <t>22.3%</t>
        </is>
      </c>
      <c r="J28" s="6" t="inlineStr">
        <is>
          <t>21.1%</t>
        </is>
      </c>
      <c r="K28" s="6" t="inlineStr">
        <is>
          <t>19.2%</t>
        </is>
      </c>
      <c r="L28" s="6" t="n"/>
      <c r="M28" s="6" t="n"/>
      <c r="N28" s="6" t="n"/>
      <c r="O28" s="6" t="n"/>
      <c r="P28" s="6" t="n"/>
      <c r="Q28" s="6" t="n"/>
      <c r="R28" s="6" t="n"/>
    </row>
    <row r="29">
      <c r="A29" s="6" t="inlineStr">
        <is>
          <t>Tier 1 Ratio</t>
        </is>
      </c>
      <c r="B29" s="6" t="inlineStr">
        <is>
          <t>17.5%</t>
        </is>
      </c>
      <c r="C29" s="6" t="inlineStr">
        <is>
          <t>19.8%</t>
        </is>
      </c>
      <c r="D29" s="6" t="inlineStr">
        <is>
          <t>24.5%</t>
        </is>
      </c>
      <c r="E29" s="6" t="inlineStr">
        <is>
          <t>25.2%</t>
        </is>
      </c>
      <c r="F29" s="6" t="inlineStr">
        <is>
          <t>20.2%</t>
        </is>
      </c>
      <c r="G29" s="6" t="inlineStr">
        <is>
          <t>19.7%</t>
        </is>
      </c>
      <c r="H29" s="6" t="inlineStr">
        <is>
          <t>23.0%</t>
        </is>
      </c>
      <c r="I29" s="6" t="inlineStr">
        <is>
          <t>22.3%</t>
        </is>
      </c>
      <c r="J29" s="6" t="inlineStr">
        <is>
          <t>21.1%</t>
        </is>
      </c>
      <c r="K29" s="6" t="inlineStr">
        <is>
          <t>19.2%</t>
        </is>
      </c>
      <c r="L29" s="6" t="n"/>
      <c r="M29" s="6" t="n"/>
      <c r="N29" s="6" t="n"/>
      <c r="O29" s="6" t="n"/>
      <c r="P29" s="6" t="n"/>
      <c r="Q29" s="6" t="n"/>
      <c r="R29" s="6" t="n"/>
    </row>
    <row r="30">
      <c r="A30" s="6" t="inlineStr">
        <is>
          <t>Total Capital Ratio</t>
        </is>
      </c>
      <c r="B30" s="6" t="inlineStr">
        <is>
          <t>17.5%</t>
        </is>
      </c>
      <c r="C30" s="6" t="inlineStr">
        <is>
          <t>19.8%</t>
        </is>
      </c>
      <c r="D30" s="6" t="inlineStr">
        <is>
          <t>24.5%</t>
        </is>
      </c>
      <c r="E30" s="6" t="inlineStr">
        <is>
          <t>25.2%</t>
        </is>
      </c>
      <c r="F30" s="6" t="inlineStr">
        <is>
          <t>20.2%</t>
        </is>
      </c>
      <c r="G30" s="6" t="inlineStr">
        <is>
          <t>19.7%</t>
        </is>
      </c>
      <c r="H30" s="6" t="inlineStr">
        <is>
          <t>23.0%</t>
        </is>
      </c>
      <c r="I30" s="6" t="inlineStr">
        <is>
          <t>22.3%</t>
        </is>
      </c>
      <c r="J30" s="6" t="inlineStr">
        <is>
          <t>21.2%</t>
        </is>
      </c>
      <c r="K30" s="6" t="inlineStr">
        <is>
          <t>19.2%</t>
        </is>
      </c>
      <c r="L30" s="6" t="n"/>
      <c r="M30" s="6" t="n"/>
      <c r="N30" s="6" t="n"/>
      <c r="O30" s="6" t="n"/>
      <c r="P30" s="6" t="n"/>
      <c r="Q30" s="6" t="n"/>
      <c r="R30" s="6" t="n"/>
    </row>
    <row r="31">
      <c r="A31" s="6" t="inlineStr">
        <is>
          <t>Leverage Ratio</t>
        </is>
      </c>
      <c r="B31" s="6" t="n"/>
      <c r="C31" s="6" t="n"/>
      <c r="D31" s="6" t="inlineStr">
        <is>
          <t>10.5%</t>
        </is>
      </c>
      <c r="E31" s="6" t="inlineStr">
        <is>
          <t>10.9%</t>
        </is>
      </c>
      <c r="F31" s="6" t="inlineStr">
        <is>
          <t>8.3%</t>
        </is>
      </c>
      <c r="G31" s="6" t="inlineStr">
        <is>
          <t>9.6%</t>
        </is>
      </c>
      <c r="H31" s="6" t="inlineStr">
        <is>
          <t>11.2%</t>
        </is>
      </c>
      <c r="I31" s="6" t="inlineStr">
        <is>
          <t>11.9%</t>
        </is>
      </c>
      <c r="J31" s="6" t="inlineStr">
        <is>
          <t>11.4%</t>
        </is>
      </c>
      <c r="K31" s="6" t="inlineStr">
        <is>
          <t>9.5%</t>
        </is>
      </c>
      <c r="L31" s="6" t="n"/>
      <c r="M31" s="6" t="n"/>
      <c r="N31" s="6" t="n"/>
      <c r="O31" s="6" t="n"/>
      <c r="P31" s="6" t="n"/>
      <c r="Q31" s="6" t="n"/>
      <c r="R31" s="6" t="n"/>
    </row>
    <row r="32">
      <c r="A32" s="6" t="inlineStr">
        <is>
          <t>LCR</t>
        </is>
      </c>
      <c r="B32" s="6" t="n"/>
      <c r="C32" s="6" t="n"/>
      <c r="D32" s="6" t="inlineStr">
        <is>
          <t>176.9%</t>
        </is>
      </c>
      <c r="E32" s="6" t="inlineStr">
        <is>
          <t>252%</t>
        </is>
      </c>
      <c r="F32" s="6" t="inlineStr">
        <is>
          <t>349.6%</t>
        </is>
      </c>
      <c r="G32" s="6" t="inlineStr">
        <is>
          <t>272.9%</t>
        </is>
      </c>
      <c r="H32" s="6" t="inlineStr">
        <is>
          <t>516.9%</t>
        </is>
      </c>
      <c r="I32" s="6" t="inlineStr">
        <is>
          <t>236.9%</t>
        </is>
      </c>
      <c r="J32" s="6" t="n"/>
      <c r="K32" s="6" t="n"/>
      <c r="L32" s="6" t="n"/>
      <c r="M32" s="6" t="n"/>
      <c r="N32" s="6" t="n"/>
      <c r="O32" s="6" t="n"/>
      <c r="P32" s="6" t="n"/>
      <c r="Q32" s="6" t="n"/>
      <c r="R32" s="6" t="n"/>
    </row>
    <row r="33">
      <c r="A33" s="6" t="inlineStr">
        <is>
          <t>NSFR</t>
        </is>
      </c>
      <c r="B33" s="6" t="n"/>
      <c r="C33" s="6" t="n"/>
      <c r="D33" s="6" t="inlineStr">
        <is>
          <t>150.5%</t>
        </is>
      </c>
      <c r="E33" s="6" t="inlineStr">
        <is>
          <t>143%</t>
        </is>
      </c>
      <c r="F33" s="6" t="inlineStr">
        <is>
          <t>168.1%</t>
        </is>
      </c>
      <c r="G33" s="6" t="inlineStr">
        <is>
          <t>154.6%</t>
        </is>
      </c>
      <c r="H33" s="6" t="inlineStr">
        <is>
          <t>217.6%</t>
        </is>
      </c>
      <c r="I33" s="6" t="n"/>
      <c r="J33" s="6" t="n"/>
      <c r="K33" s="6" t="n"/>
      <c r="L33" s="6" t="n"/>
      <c r="M33" s="6" t="n"/>
      <c r="N33" s="6" t="n"/>
      <c r="O33" s="6" t="n"/>
      <c r="P33" s="6" t="n"/>
      <c r="Q33" s="6" t="n"/>
      <c r="R33" s="6" t="n"/>
    </row>
    <row r="35" ht="45" customHeight="1">
      <c r="A35" s="7" t="inlineStr">
        <is>
          <t>Note: This entity takes the FRS 101/FRS 1 cash-flow-statement exemption every year FY2014-FY2025 (see the Cash Flow Statement sheet), so no cash flow summary or chart is shown here - Balance Sheet/Profit &amp; Loss/Statement of Changes in Equity summaries and the Pillar 3 Key Metrics trend chart are shown instead. Leverage/LCR/NSFR availability varies by year - see each Pillar 3 sheet's own source citation for detail (pre-CRD IV FY2014/FY2015 have none of the three; LCR/NSFR were phased in for this bank in FY2018/FY2019 respectively). The FY2022 and FY2017 'Other equity movements' figures (£25.0m and £5.0m) are real share capital issuances those years, not plugs; the FY2019 figure (-£3.4m) is the IFRS 9 transition adjustment on adoption. Note FY2017's own 'Opening equity' (£153.5m) is the FY2017 Annual Report's RESTATED FY2016 closing position (Note 36 prior-period error, +£7.2m vs. the £146.3m FY2016 originally reported as its own closing figure) - both figures are shown, and this discontinuity, on the Statement of Changes in Equity sheet.</t>
        </is>
      </c>
    </row>
  </sheetData>
  <mergeCells count="1">
    <mergeCell ref="A35:R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Balance Sheet</t>
        </is>
      </c>
    </row>
    <row r="2">
      <c r="A2" s="2" t="inlineStr">
        <is>
          <t>Entity-level (Company-only, FRS 101).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held at central banks</t>
        </is>
      </c>
      <c r="B5" s="6" t="n">
        <v>69.5</v>
      </c>
      <c r="C5" s="6" t="n">
        <v>151.3</v>
      </c>
      <c r="D5" s="6" t="n">
        <v>93.7</v>
      </c>
      <c r="E5" s="6" t="n">
        <v>118.1</v>
      </c>
      <c r="F5" s="6" t="n">
        <v>412.2</v>
      </c>
      <c r="G5" s="6" t="n">
        <v>147.9</v>
      </c>
      <c r="H5" s="6" t="n">
        <v>321.9</v>
      </c>
      <c r="I5" s="6" t="n">
        <v>153.2</v>
      </c>
      <c r="J5" s="6" t="n">
        <v>87</v>
      </c>
      <c r="K5" s="6" t="n">
        <v>168</v>
      </c>
      <c r="L5" s="6" t="n">
        <v>101.6</v>
      </c>
      <c r="M5" s="6" t="n">
        <v>18.5</v>
      </c>
      <c r="N5" s="6" t="n">
        <v>35.6</v>
      </c>
      <c r="O5" s="6" t="n">
        <v>37</v>
      </c>
      <c r="P5" s="6" t="n"/>
      <c r="Q5" s="6" t="n"/>
      <c r="R5" s="6" t="n"/>
    </row>
    <row r="6">
      <c r="A6" s="6" t="inlineStr">
        <is>
          <t>Loans and advances to credit institutions</t>
        </is>
      </c>
      <c r="B6" s="6" t="n">
        <v>7.9</v>
      </c>
      <c r="C6" s="6" t="n">
        <v>4.5</v>
      </c>
      <c r="D6" s="6" t="n">
        <v>11.2</v>
      </c>
      <c r="E6" s="6" t="n">
        <v>0.2</v>
      </c>
      <c r="F6" s="6" t="n">
        <v>45.9</v>
      </c>
      <c r="G6" s="6" t="n">
        <v>105.2</v>
      </c>
      <c r="H6" s="6" t="n">
        <v>86.09999999999999</v>
      </c>
      <c r="I6" s="6" t="n">
        <v>96.2</v>
      </c>
      <c r="J6" s="6" t="n">
        <v>107.6</v>
      </c>
      <c r="K6" s="6" t="n">
        <v>128.3</v>
      </c>
      <c r="L6" s="6" t="n">
        <v>20.5</v>
      </c>
      <c r="M6" s="6" t="n">
        <v>28.8</v>
      </c>
      <c r="N6" s="6" t="n">
        <v>25.6</v>
      </c>
      <c r="O6" s="6" t="n">
        <v>90.59999999999999</v>
      </c>
      <c r="P6" s="6" t="n">
        <v>78.40000000000001</v>
      </c>
      <c r="Q6" s="6" t="n">
        <v>188.5</v>
      </c>
      <c r="R6" s="6" t="n">
        <v>91.8</v>
      </c>
    </row>
    <row r="7">
      <c r="A7" s="6" t="inlineStr">
        <is>
          <t>Derivative financial instruments (asset)</t>
        </is>
      </c>
      <c r="B7" s="6" t="n">
        <v>16.8</v>
      </c>
      <c r="C7" s="6" t="n">
        <v>27.9</v>
      </c>
      <c r="D7" s="6" t="n">
        <v>58.5</v>
      </c>
      <c r="E7" s="6" t="n">
        <v>75.8</v>
      </c>
      <c r="F7" s="6" t="n"/>
      <c r="G7" s="6" t="n"/>
      <c r="H7" s="6" t="n"/>
      <c r="I7" s="6" t="n"/>
      <c r="J7" s="6" t="n"/>
      <c r="K7" s="6" t="n"/>
      <c r="L7" s="6" t="n"/>
      <c r="M7" s="6" t="n"/>
      <c r="N7" s="6" t="n"/>
      <c r="O7" s="6" t="n"/>
      <c r="P7" s="6" t="n"/>
      <c r="Q7" s="6" t="n"/>
      <c r="R7" s="6" t="n"/>
    </row>
    <row r="8">
      <c r="A8" s="6" t="inlineStr">
        <is>
          <t>Government bonds (called 'Treasury bills' in FY2009-FY2019 reports)</t>
        </is>
      </c>
      <c r="B8" s="6" t="n">
        <v>27.9</v>
      </c>
      <c r="C8" s="6" t="n">
        <v>27.7</v>
      </c>
      <c r="D8" s="6" t="n">
        <v>61.7</v>
      </c>
      <c r="E8" s="6" t="n">
        <v>111.2</v>
      </c>
      <c r="F8" s="6" t="n">
        <v>29.8</v>
      </c>
      <c r="G8" s="6" t="n">
        <v>48.6</v>
      </c>
      <c r="H8" s="6" t="n">
        <v>25.1</v>
      </c>
      <c r="I8" s="6" t="n">
        <v>81.2</v>
      </c>
      <c r="J8" s="6" t="n">
        <v>87.3</v>
      </c>
      <c r="K8" s="6" t="n">
        <v>84.7</v>
      </c>
      <c r="L8" s="6" t="n">
        <v>81</v>
      </c>
      <c r="M8" s="6" t="n">
        <v>75.5</v>
      </c>
      <c r="N8" s="6" t="n">
        <v>78.09999999999999</v>
      </c>
      <c r="O8" s="6" t="n">
        <v>81.3</v>
      </c>
      <c r="P8" s="6" t="n">
        <v>35.3</v>
      </c>
      <c r="Q8" s="6" t="n">
        <v>42.5</v>
      </c>
      <c r="R8" s="6" t="n">
        <v>17.9</v>
      </c>
    </row>
    <row r="9">
      <c r="A9" s="6" t="inlineStr">
        <is>
          <t>Debt securities</t>
        </is>
      </c>
      <c r="B9" s="6" t="n">
        <v>135.8</v>
      </c>
      <c r="C9" s="6" t="n">
        <v>70.7</v>
      </c>
      <c r="D9" s="6" t="n">
        <v>82</v>
      </c>
      <c r="E9" s="6" t="n">
        <v>116.2</v>
      </c>
      <c r="F9" s="6" t="n">
        <v>42.3</v>
      </c>
      <c r="G9" s="6" t="n">
        <v>50.7</v>
      </c>
      <c r="H9" s="6" t="n">
        <v>57</v>
      </c>
      <c r="I9" s="6" t="n">
        <v>87.5</v>
      </c>
      <c r="J9" s="6" t="n">
        <v>77</v>
      </c>
      <c r="K9" s="6" t="n">
        <v>89.09999999999999</v>
      </c>
      <c r="L9" s="6" t="n">
        <v>81.5</v>
      </c>
      <c r="M9" s="6" t="n">
        <v>85.09999999999999</v>
      </c>
      <c r="N9" s="6" t="n">
        <v>87.59999999999999</v>
      </c>
      <c r="O9" s="6" t="n">
        <v>89.5</v>
      </c>
      <c r="P9" s="6" t="n">
        <v>67.40000000000001</v>
      </c>
      <c r="Q9" s="6" t="n">
        <v>54.2</v>
      </c>
      <c r="R9" s="6" t="n">
        <v>31.6</v>
      </c>
    </row>
    <row r="10">
      <c r="A10" s="6" t="inlineStr">
        <is>
          <t>Loans and advances to customers</t>
        </is>
      </c>
      <c r="B10" s="6" t="n">
        <v>1839.7</v>
      </c>
      <c r="C10" s="6" t="n">
        <v>1699.3</v>
      </c>
      <c r="D10" s="6" t="n">
        <v>1488.5</v>
      </c>
      <c r="E10" s="6" t="n">
        <v>1404.6</v>
      </c>
      <c r="F10" s="6" t="n">
        <v>1061.5</v>
      </c>
      <c r="G10" s="6" t="n">
        <v>930.8</v>
      </c>
      <c r="H10" s="6" t="n">
        <v>766.9</v>
      </c>
      <c r="I10" s="6" t="n">
        <v>827.9</v>
      </c>
      <c r="J10" s="6" t="n">
        <v>757.9</v>
      </c>
      <c r="K10" s="6" t="n">
        <v>706.9</v>
      </c>
      <c r="L10" s="6" t="n">
        <v>557.5</v>
      </c>
      <c r="M10" s="6" t="n">
        <v>440.8</v>
      </c>
      <c r="N10" s="6" t="n">
        <v>384</v>
      </c>
      <c r="O10" s="6" t="n">
        <v>358.8</v>
      </c>
      <c r="P10" s="6" t="n">
        <v>362.8</v>
      </c>
      <c r="Q10" s="6" t="n">
        <v>398.4</v>
      </c>
      <c r="R10" s="6" t="n">
        <v>470.2</v>
      </c>
    </row>
    <row r="11">
      <c r="A11" s="6" t="inlineStr">
        <is>
          <t>Shares in group undertakings and participating interests (Hodge Life Assurance Company - sold/reclassified out by FY2018)</t>
        </is>
      </c>
      <c r="B11" s="6" t="n"/>
      <c r="C11" s="6" t="n"/>
      <c r="D11" s="6" t="n"/>
      <c r="E11" s="6" t="n"/>
      <c r="F11" s="6" t="n"/>
      <c r="G11" s="6" t="n"/>
      <c r="H11" s="6" t="n"/>
      <c r="I11" s="6" t="n"/>
      <c r="J11" s="6" t="n">
        <v>16</v>
      </c>
      <c r="K11" s="6" t="n">
        <v>16</v>
      </c>
      <c r="L11" s="6" t="n">
        <v>16</v>
      </c>
      <c r="M11" s="6" t="n">
        <v>16</v>
      </c>
      <c r="N11" s="6" t="n">
        <v>16</v>
      </c>
      <c r="O11" s="6" t="n">
        <v>16.1</v>
      </c>
      <c r="P11" s="6" t="n">
        <v>16.1</v>
      </c>
      <c r="Q11" s="6" t="n">
        <v>16.1</v>
      </c>
      <c r="R11" s="6" t="n">
        <v>16.1</v>
      </c>
    </row>
    <row r="12">
      <c r="A12" s="6" t="inlineStr">
        <is>
          <t>Equity shares (a small distinct holding, genuinely nil/absent in some years - not a residual)</t>
        </is>
      </c>
      <c r="B12" s="6" t="n"/>
      <c r="C12" s="6" t="n"/>
      <c r="D12" s="6" t="n"/>
      <c r="E12" s="6" t="n"/>
      <c r="F12" s="6" t="n"/>
      <c r="G12" s="6" t="n"/>
      <c r="H12" s="6" t="n"/>
      <c r="I12" s="6" t="n"/>
      <c r="J12" s="6" t="n"/>
      <c r="K12" s="6" t="n"/>
      <c r="L12" s="6" t="n"/>
      <c r="M12" s="6" t="n"/>
      <c r="N12" s="6" t="n"/>
      <c r="O12" s="6" t="n">
        <v>0.8</v>
      </c>
      <c r="P12" s="6" t="n">
        <v>0.8</v>
      </c>
      <c r="Q12" s="6" t="n">
        <v>0.4</v>
      </c>
      <c r="R12" s="6" t="n">
        <v>0.4</v>
      </c>
    </row>
    <row r="13">
      <c r="A13" s="6" t="inlineStr">
        <is>
          <t>Stock and work in progress (UK GAAP line, folded into other line items after the FY2016 FRS101 transition)</t>
        </is>
      </c>
      <c r="B13" s="6" t="n"/>
      <c r="C13" s="6" t="n"/>
      <c r="D13" s="6" t="n"/>
      <c r="E13" s="6" t="n"/>
      <c r="F13" s="6" t="n"/>
      <c r="G13" s="6" t="n"/>
      <c r="H13" s="6" t="n"/>
      <c r="I13" s="6" t="n"/>
      <c r="J13" s="6" t="n"/>
      <c r="K13" s="6" t="n"/>
      <c r="L13" s="6" t="n">
        <v>3.4</v>
      </c>
      <c r="M13" s="6" t="n">
        <v>3.2</v>
      </c>
      <c r="N13" s="6" t="n">
        <v>4.5</v>
      </c>
      <c r="O13" s="6" t="n">
        <v>5.2</v>
      </c>
      <c r="P13" s="6" t="n"/>
      <c r="Q13" s="6" t="n"/>
      <c r="R13" s="6" t="n"/>
    </row>
    <row r="14">
      <c r="A14" s="6" t="inlineStr">
        <is>
          <t>Reversionary interests in properties (UK GAAP line, folded into Investment properties after the FY2016 FRS101 transition)</t>
        </is>
      </c>
      <c r="B14" s="6" t="n"/>
      <c r="C14" s="6" t="n"/>
      <c r="D14" s="6" t="n"/>
      <c r="E14" s="6" t="n"/>
      <c r="F14" s="6" t="n"/>
      <c r="G14" s="6" t="n"/>
      <c r="H14" s="6" t="n"/>
      <c r="I14" s="6" t="n"/>
      <c r="J14" s="6" t="n"/>
      <c r="K14" s="6" t="n"/>
      <c r="L14" s="6" t="n">
        <v>55</v>
      </c>
      <c r="M14" s="6" t="n">
        <v>57.4</v>
      </c>
      <c r="N14" s="6" t="n">
        <v>59.4</v>
      </c>
      <c r="O14" s="6" t="n">
        <v>61.2</v>
      </c>
      <c r="P14" s="6" t="n">
        <v>62.6</v>
      </c>
      <c r="Q14" s="6" t="n">
        <v>63.3</v>
      </c>
      <c r="R14" s="6" t="n">
        <v>57.3</v>
      </c>
    </row>
    <row r="15">
      <c r="A15" s="6" t="inlineStr">
        <is>
          <t>Intangible assets</t>
        </is>
      </c>
      <c r="B15" s="6" t="n">
        <v>14.5</v>
      </c>
      <c r="C15" s="6" t="n">
        <v>15.1</v>
      </c>
      <c r="D15" s="6" t="n">
        <v>12.7</v>
      </c>
      <c r="E15" s="6" t="n">
        <v>9.699999999999999</v>
      </c>
      <c r="F15" s="6" t="n">
        <v>7.4</v>
      </c>
      <c r="G15" s="6" t="n">
        <v>7.3</v>
      </c>
      <c r="H15" s="6" t="n">
        <v>5.8</v>
      </c>
      <c r="I15" s="6" t="n">
        <v>3.1</v>
      </c>
      <c r="J15" s="6" t="n">
        <v>1.7</v>
      </c>
      <c r="K15" s="6" t="n">
        <v>1.2</v>
      </c>
      <c r="L15" s="6" t="n"/>
      <c r="M15" s="6" t="n"/>
      <c r="N15" s="6" t="n"/>
      <c r="O15" s="6" t="n"/>
      <c r="P15" s="6" t="n"/>
      <c r="Q15" s="6" t="n"/>
      <c r="R15" s="6" t="n"/>
    </row>
    <row r="16">
      <c r="A16" s="6" t="inlineStr">
        <is>
          <t>Property and equipment</t>
        </is>
      </c>
      <c r="B16" s="6" t="n">
        <v>0.6</v>
      </c>
      <c r="C16" s="6" t="n">
        <v>1</v>
      </c>
      <c r="D16" s="6" t="n">
        <v>1.2</v>
      </c>
      <c r="E16" s="6" t="n">
        <v>1.5</v>
      </c>
      <c r="F16" s="6" t="n">
        <v>1.6</v>
      </c>
      <c r="G16" s="6" t="n">
        <v>1.9</v>
      </c>
      <c r="H16" s="6" t="n">
        <v>1.9</v>
      </c>
      <c r="I16" s="6" t="n">
        <v>2.2</v>
      </c>
      <c r="J16" s="6" t="n">
        <v>2</v>
      </c>
      <c r="K16" s="6" t="n">
        <v>2.1</v>
      </c>
      <c r="L16" s="6" t="n">
        <v>1.3</v>
      </c>
      <c r="M16" s="6" t="n">
        <v>0.6</v>
      </c>
      <c r="N16" s="6" t="n">
        <v>0.1</v>
      </c>
      <c r="O16" s="6" t="n">
        <v>0.1</v>
      </c>
      <c r="P16" s="6" t="n">
        <v>0</v>
      </c>
      <c r="Q16" s="6" t="n">
        <v>0</v>
      </c>
      <c r="R16" s="6" t="n">
        <v>0.1</v>
      </c>
    </row>
    <row r="17">
      <c r="A17" s="6" t="inlineStr">
        <is>
          <t>Investment properties</t>
        </is>
      </c>
      <c r="B17" s="6" t="n">
        <v>0.2</v>
      </c>
      <c r="C17" s="6" t="n">
        <v>1.5</v>
      </c>
      <c r="D17" s="6" t="n">
        <v>2.6</v>
      </c>
      <c r="E17" s="6" t="n">
        <v>9.199999999999999</v>
      </c>
      <c r="F17" s="6" t="n">
        <v>94.59999999999999</v>
      </c>
      <c r="G17" s="6" t="n">
        <v>97.40000000000001</v>
      </c>
      <c r="H17" s="6" t="n">
        <v>97.3</v>
      </c>
      <c r="I17" s="6" t="n">
        <v>100.3</v>
      </c>
      <c r="J17" s="6" t="n">
        <v>118.6</v>
      </c>
      <c r="K17" s="6" t="n">
        <v>107.8</v>
      </c>
      <c r="L17" s="6" t="n">
        <v>7.7</v>
      </c>
      <c r="M17" s="6" t="n">
        <v>9.199999999999999</v>
      </c>
      <c r="N17" s="6" t="n">
        <v>8.9</v>
      </c>
      <c r="O17" s="6" t="n">
        <v>8.9</v>
      </c>
      <c r="P17" s="6" t="n">
        <v>9.300000000000001</v>
      </c>
      <c r="Q17" s="6" t="n">
        <v>10.3</v>
      </c>
      <c r="R17" s="6" t="n">
        <v>10.3</v>
      </c>
    </row>
    <row r="18">
      <c r="A18" s="6" t="inlineStr">
        <is>
          <t>Deferred tax assets</t>
        </is>
      </c>
      <c r="B18" s="6" t="n">
        <v>2.2</v>
      </c>
      <c r="C18" s="6" t="n">
        <v>3.7</v>
      </c>
      <c r="D18" s="6" t="n">
        <v>5.6</v>
      </c>
      <c r="E18" s="6" t="n">
        <v>6.3</v>
      </c>
      <c r="F18" s="6" t="n">
        <v>11.5</v>
      </c>
      <c r="G18" s="6" t="n">
        <v>9.5</v>
      </c>
      <c r="H18" s="6" t="n">
        <v>6.6</v>
      </c>
      <c r="I18" s="6" t="n">
        <v>6.5</v>
      </c>
      <c r="J18" s="6" t="n">
        <v>7.3</v>
      </c>
      <c r="K18" s="6" t="n">
        <v>8.300000000000001</v>
      </c>
      <c r="L18" s="6" t="n"/>
      <c r="M18" s="6" t="n"/>
      <c r="N18" s="6" t="n"/>
      <c r="O18" s="6" t="n"/>
      <c r="P18" s="6" t="n"/>
      <c r="Q18" s="6" t="n"/>
      <c r="R18" s="6" t="n"/>
    </row>
    <row r="19">
      <c r="A19" s="6" t="inlineStr">
        <is>
          <t>Other assets (includes prepayments/accrued income in FY2009-FY2015)</t>
        </is>
      </c>
      <c r="B19" s="6" t="n">
        <v>6.6</v>
      </c>
      <c r="C19" s="6" t="n">
        <v>5.9</v>
      </c>
      <c r="D19" s="6" t="n">
        <v>5.4</v>
      </c>
      <c r="E19" s="6" t="n">
        <v>8</v>
      </c>
      <c r="F19" s="6" t="n">
        <v>6.6</v>
      </c>
      <c r="G19" s="6" t="n">
        <v>9.9</v>
      </c>
      <c r="H19" s="6" t="n">
        <v>10.1</v>
      </c>
      <c r="I19" s="6" t="n">
        <v>5.3</v>
      </c>
      <c r="J19" s="6" t="n">
        <v>5</v>
      </c>
      <c r="K19" s="6" t="n">
        <v>4.4</v>
      </c>
      <c r="L19" s="6" t="n">
        <v>73.5</v>
      </c>
      <c r="M19" s="6" t="n">
        <v>49.7</v>
      </c>
      <c r="N19" s="6" t="n">
        <v>26.7</v>
      </c>
      <c r="O19" s="6" t="n">
        <v>53</v>
      </c>
      <c r="P19" s="6" t="n">
        <v>78.2</v>
      </c>
      <c r="Q19" s="6" t="n">
        <v>51.7</v>
      </c>
      <c r="R19" s="6" t="n">
        <v>42.4</v>
      </c>
    </row>
    <row r="20">
      <c r="A20" s="6" t="inlineStr">
        <is>
          <t>Pension asset</t>
        </is>
      </c>
      <c r="B20" s="6" t="n">
        <v>0.9</v>
      </c>
      <c r="C20" s="6" t="n">
        <v>0.2</v>
      </c>
      <c r="D20" s="6" t="n"/>
      <c r="E20" s="6" t="n"/>
      <c r="F20" s="6" t="n"/>
      <c r="G20" s="6" t="n"/>
      <c r="H20" s="6" t="n"/>
      <c r="I20" s="6" t="n"/>
      <c r="J20" s="6" t="n"/>
      <c r="K20" s="6" t="n"/>
      <c r="L20" s="6" t="n"/>
      <c r="M20" s="6" t="n"/>
      <c r="N20" s="6" t="n"/>
      <c r="O20" s="6" t="n"/>
      <c r="P20" s="6" t="n"/>
      <c r="Q20" s="6" t="n"/>
      <c r="R20" s="6" t="n"/>
    </row>
    <row r="21">
      <c r="A21" s="5" t="inlineStr">
        <is>
          <t>Total assets</t>
        </is>
      </c>
      <c r="B21" s="5" t="n">
        <v>2122.6</v>
      </c>
      <c r="C21" s="5" t="n">
        <v>2008.8</v>
      </c>
      <c r="D21" s="5" t="n">
        <v>1823.1</v>
      </c>
      <c r="E21" s="5" t="n">
        <v>1860.8</v>
      </c>
      <c r="F21" s="5" t="n">
        <v>1713.4</v>
      </c>
      <c r="G21" s="5" t="n">
        <v>1409.2</v>
      </c>
      <c r="H21" s="5" t="n">
        <v>1378.7</v>
      </c>
      <c r="I21" s="5" t="n">
        <v>1363.4</v>
      </c>
      <c r="J21" s="5" t="n">
        <v>1267.4</v>
      </c>
      <c r="K21" s="5" t="n">
        <v>1316.8</v>
      </c>
      <c r="L21" s="5" t="n">
        <v>999</v>
      </c>
      <c r="M21" s="5" t="n">
        <v>784.7</v>
      </c>
      <c r="N21" s="5" t="n">
        <v>726.5</v>
      </c>
      <c r="O21" s="5" t="n">
        <v>802.5</v>
      </c>
      <c r="P21" s="5" t="n">
        <v>710.9</v>
      </c>
      <c r="Q21" s="5" t="n">
        <v>825.3</v>
      </c>
      <c r="R21" s="5" t="n">
        <v>738</v>
      </c>
    </row>
    <row r="22">
      <c r="A22" s="5" t="inlineStr">
        <is>
          <t>Liabilities</t>
        </is>
      </c>
      <c r="B22" s="6" t="n"/>
      <c r="C22" s="6" t="n"/>
      <c r="D22" s="6" t="n"/>
      <c r="E22" s="6" t="n"/>
      <c r="F22" s="6" t="n"/>
      <c r="G22" s="6" t="n"/>
      <c r="H22" s="6" t="n"/>
      <c r="I22" s="6" t="n"/>
      <c r="J22" s="6" t="n"/>
      <c r="K22" s="6" t="n"/>
      <c r="L22" s="6" t="n"/>
      <c r="M22" s="6" t="n"/>
      <c r="N22" s="6" t="n"/>
      <c r="O22" s="6" t="n"/>
      <c r="P22" s="6" t="n"/>
      <c r="Q22" s="6" t="n"/>
      <c r="R22" s="6" t="n"/>
    </row>
    <row r="23">
      <c r="A23" s="6" t="inlineStr">
        <is>
          <t>Deposits from banks (called 'amounts owed to credit institutions and central banks' in FY2014-FY2015)</t>
        </is>
      </c>
      <c r="B23" s="6" t="n">
        <v>67</v>
      </c>
      <c r="C23" s="6" t="n">
        <v>167.7</v>
      </c>
      <c r="D23" s="6" t="n">
        <v>240.7</v>
      </c>
      <c r="E23" s="6" t="n">
        <v>221</v>
      </c>
      <c r="F23" s="6" t="n">
        <v>145</v>
      </c>
      <c r="G23" s="6" t="n">
        <v>87.5</v>
      </c>
      <c r="H23" s="6" t="n">
        <v>72.5</v>
      </c>
      <c r="I23" s="6" t="n">
        <v>72.5</v>
      </c>
      <c r="J23" s="6" t="n">
        <v>2.8</v>
      </c>
      <c r="K23" s="6" t="n">
        <v>2.8</v>
      </c>
      <c r="L23" s="6" t="n">
        <v>2.8</v>
      </c>
      <c r="M23" s="6" t="n">
        <v>10</v>
      </c>
      <c r="N23" s="6" t="n">
        <v>5</v>
      </c>
      <c r="O23" s="6" t="n">
        <v>8.9</v>
      </c>
      <c r="P23" s="6" t="n">
        <v>1.1</v>
      </c>
      <c r="Q23" s="6" t="n">
        <v>0.5</v>
      </c>
      <c r="R23" s="6" t="n"/>
    </row>
    <row r="24">
      <c r="A24" s="6" t="inlineStr">
        <is>
          <t>Deposits from customers (called 'customer accounts' in FY2014-FY2015)</t>
        </is>
      </c>
      <c r="B24" s="6" t="n">
        <v>1860.3</v>
      </c>
      <c r="C24" s="6" t="n">
        <v>1639.4</v>
      </c>
      <c r="D24" s="6" t="n">
        <v>1368.1</v>
      </c>
      <c r="E24" s="6" t="n">
        <v>1425</v>
      </c>
      <c r="F24" s="6" t="n">
        <v>1381</v>
      </c>
      <c r="G24" s="6" t="n">
        <v>1071.4</v>
      </c>
      <c r="H24" s="6" t="n">
        <v>1042.8</v>
      </c>
      <c r="I24" s="6" t="n">
        <v>994.6</v>
      </c>
      <c r="J24" s="6" t="n">
        <v>947.7</v>
      </c>
      <c r="K24" s="6" t="n">
        <v>991.7</v>
      </c>
      <c r="L24" s="6" t="n">
        <v>848.6</v>
      </c>
      <c r="M24" s="6" t="n">
        <v>633.2</v>
      </c>
      <c r="N24" s="6" t="n">
        <v>583.6</v>
      </c>
      <c r="O24" s="6" t="n">
        <v>658.9</v>
      </c>
      <c r="P24" s="6" t="n">
        <v>579.6</v>
      </c>
      <c r="Q24" s="6" t="n">
        <v>696.2</v>
      </c>
      <c r="R24" s="6" t="n">
        <v>610.5</v>
      </c>
    </row>
    <row r="25">
      <c r="A25" s="6" t="inlineStr">
        <is>
          <t>Derivative financial instruments (liability)</t>
        </is>
      </c>
      <c r="B25" s="6" t="n">
        <v>5.1</v>
      </c>
      <c r="C25" s="6" t="n">
        <v>5.6</v>
      </c>
      <c r="D25" s="6" t="n">
        <v>9.699999999999999</v>
      </c>
      <c r="E25" s="6" t="n">
        <v>11.4</v>
      </c>
      <c r="F25" s="6" t="n">
        <v>14.7</v>
      </c>
      <c r="G25" s="6" t="n">
        <v>82</v>
      </c>
      <c r="H25" s="6" t="n">
        <v>80.40000000000001</v>
      </c>
      <c r="I25" s="6" t="n">
        <v>107.8</v>
      </c>
      <c r="J25" s="6" t="n">
        <v>131.1</v>
      </c>
      <c r="K25" s="6" t="n">
        <v>150.6</v>
      </c>
      <c r="L25" s="6" t="n"/>
      <c r="M25" s="6" t="n"/>
      <c r="N25" s="6" t="n"/>
      <c r="O25" s="6" t="n"/>
      <c r="P25" s="6" t="n"/>
      <c r="Q25" s="6" t="n"/>
      <c r="R25" s="6" t="n"/>
    </row>
    <row r="26">
      <c r="A26" s="6" t="inlineStr">
        <is>
          <t>Other liabilities (includes accruals/deferred income and other provisions in FY2009-FY2020)</t>
        </is>
      </c>
      <c r="B26" s="6" t="n">
        <v>10.4</v>
      </c>
      <c r="C26" s="6" t="n">
        <v>12.9</v>
      </c>
      <c r="D26" s="6" t="n">
        <v>16.5</v>
      </c>
      <c r="E26" s="6" t="n">
        <v>13.9</v>
      </c>
      <c r="F26" s="6" t="n">
        <v>9.9</v>
      </c>
      <c r="G26" s="6" t="n">
        <v>6.3</v>
      </c>
      <c r="H26" s="6" t="n">
        <v>6.1</v>
      </c>
      <c r="I26" s="6" t="n">
        <v>4</v>
      </c>
      <c r="J26" s="6" t="n">
        <v>5.5</v>
      </c>
      <c r="K26" s="6" t="n">
        <v>11.9</v>
      </c>
      <c r="L26" s="6" t="n">
        <v>10.3</v>
      </c>
      <c r="M26" s="6" t="n">
        <v>6.6</v>
      </c>
      <c r="N26" s="6" t="n">
        <v>7.5</v>
      </c>
      <c r="O26" s="6" t="n">
        <v>7.7</v>
      </c>
      <c r="P26" s="6" t="n">
        <v>4.9</v>
      </c>
      <c r="Q26" s="6" t="n">
        <v>4.3</v>
      </c>
      <c r="R26" s="6" t="n">
        <v>4.5</v>
      </c>
    </row>
    <row r="27">
      <c r="A27" s="6" t="inlineStr">
        <is>
          <t>Pension liabilities</t>
        </is>
      </c>
      <c r="B27" s="6" t="n"/>
      <c r="C27" s="6" t="n"/>
      <c r="D27" s="6" t="n">
        <v>4.3</v>
      </c>
      <c r="E27" s="6" t="n">
        <v>4.5</v>
      </c>
      <c r="F27" s="6" t="n">
        <v>14.2</v>
      </c>
      <c r="G27" s="6" t="n">
        <v>21</v>
      </c>
      <c r="H27" s="6" t="n">
        <v>16.6</v>
      </c>
      <c r="I27" s="6" t="n">
        <v>12.8</v>
      </c>
      <c r="J27" s="6" t="n">
        <v>13</v>
      </c>
      <c r="K27" s="6" t="n">
        <v>13.5</v>
      </c>
      <c r="L27" s="6" t="n">
        <v>3.6</v>
      </c>
      <c r="M27" s="6" t="n">
        <v>2.9</v>
      </c>
      <c r="N27" s="6" t="n">
        <v>2.2</v>
      </c>
      <c r="O27" s="6" t="n">
        <v>1.4</v>
      </c>
      <c r="P27" s="6" t="n">
        <v>0.6</v>
      </c>
      <c r="Q27" s="6" t="n">
        <v>0.1</v>
      </c>
      <c r="R27" s="6" t="n">
        <v>0.9</v>
      </c>
    </row>
    <row r="28">
      <c r="A28" s="5" t="inlineStr">
        <is>
          <t>Total liabilities</t>
        </is>
      </c>
      <c r="B28" s="5" t="n">
        <v>1942.8</v>
      </c>
      <c r="C28" s="5" t="n">
        <v>1825.6</v>
      </c>
      <c r="D28" s="5" t="n">
        <v>1639.3</v>
      </c>
      <c r="E28" s="5" t="n">
        <v>1675.8</v>
      </c>
      <c r="F28" s="5" t="n">
        <v>1564.8</v>
      </c>
      <c r="G28" s="5" t="n">
        <v>1268.2</v>
      </c>
      <c r="H28" s="5" t="n">
        <v>1218.4</v>
      </c>
      <c r="I28" s="5" t="n">
        <v>1191.7</v>
      </c>
      <c r="J28" s="5" t="n">
        <v>1100.1</v>
      </c>
      <c r="K28" s="5" t="n">
        <v>1170.5</v>
      </c>
      <c r="L28" s="5" t="n">
        <v>865.3</v>
      </c>
      <c r="M28" s="5" t="n">
        <v>652.7</v>
      </c>
      <c r="N28" s="5" t="n">
        <v>598.3</v>
      </c>
      <c r="O28" s="5" t="n">
        <v>676.9</v>
      </c>
      <c r="P28" s="5" t="n">
        <v>586.2</v>
      </c>
      <c r="Q28" s="5" t="n">
        <v>701.1</v>
      </c>
      <c r="R28" s="5" t="n">
        <v>615.9</v>
      </c>
    </row>
    <row r="29">
      <c r="A29" s="5" t="inlineStr">
        <is>
          <t>Equity</t>
        </is>
      </c>
      <c r="B29" s="6" t="n"/>
      <c r="C29" s="6" t="n"/>
      <c r="D29" s="6" t="n"/>
      <c r="E29" s="6" t="n"/>
      <c r="F29" s="6" t="n"/>
      <c r="G29" s="6" t="n"/>
      <c r="H29" s="6" t="n"/>
      <c r="I29" s="6" t="n"/>
      <c r="J29" s="6" t="n"/>
      <c r="K29" s="6" t="n"/>
      <c r="L29" s="6" t="n"/>
      <c r="M29" s="6" t="n"/>
      <c r="N29" s="6" t="n"/>
      <c r="O29" s="6" t="n"/>
      <c r="P29" s="6" t="n"/>
      <c r="Q29" s="6" t="n"/>
      <c r="R29" s="6" t="n"/>
    </row>
    <row r="30">
      <c r="A30" s="6" t="inlineStr">
        <is>
          <t>Called up share capital</t>
        </is>
      </c>
      <c r="B30" s="6" t="n">
        <v>130</v>
      </c>
      <c r="C30" s="6" t="n">
        <v>130</v>
      </c>
      <c r="D30" s="6" t="n">
        <v>130</v>
      </c>
      <c r="E30" s="6" t="n">
        <v>130</v>
      </c>
      <c r="F30" s="6" t="n">
        <v>105</v>
      </c>
      <c r="G30" s="6" t="n">
        <v>105</v>
      </c>
      <c r="H30" s="6" t="n">
        <v>105</v>
      </c>
      <c r="I30" s="6" t="n">
        <v>105</v>
      </c>
      <c r="J30" s="6" t="n">
        <v>105</v>
      </c>
      <c r="K30" s="6" t="n">
        <v>100</v>
      </c>
      <c r="L30" s="6" t="n">
        <v>100</v>
      </c>
      <c r="M30" s="6" t="n">
        <v>100</v>
      </c>
      <c r="N30" s="6" t="n">
        <v>100</v>
      </c>
      <c r="O30" s="6" t="n">
        <v>100</v>
      </c>
      <c r="P30" s="6" t="n">
        <v>100</v>
      </c>
      <c r="Q30" s="6" t="n">
        <v>100</v>
      </c>
      <c r="R30" s="6" t="n">
        <v>100</v>
      </c>
    </row>
    <row r="31">
      <c r="A31" s="6" t="inlineStr">
        <is>
          <t>Other reserves (retained earnings + pension reserve; profit and loss account + revaluation reserve in FY2009-FY2015 UK GAAP)</t>
        </is>
      </c>
      <c r="B31" s="6" t="n">
        <v>49.8</v>
      </c>
      <c r="C31" s="6" t="n">
        <v>53.2</v>
      </c>
      <c r="D31" s="6" t="n">
        <v>53.8</v>
      </c>
      <c r="E31" s="6" t="n">
        <v>55</v>
      </c>
      <c r="F31" s="6" t="n">
        <v>43.6</v>
      </c>
      <c r="G31" s="6" t="n">
        <v>36</v>
      </c>
      <c r="H31" s="6" t="n">
        <v>55.3</v>
      </c>
      <c r="I31" s="6" t="n">
        <v>66.7</v>
      </c>
      <c r="J31" s="6" t="n">
        <v>62.3</v>
      </c>
      <c r="K31" s="6" t="n">
        <v>46.3</v>
      </c>
      <c r="L31" s="6" t="n">
        <v>33.7</v>
      </c>
      <c r="M31" s="6" t="n">
        <v>32</v>
      </c>
      <c r="N31" s="6" t="n">
        <v>28.2</v>
      </c>
      <c r="O31" s="6" t="n">
        <v>25.6</v>
      </c>
      <c r="P31" s="6" t="n">
        <v>24.7</v>
      </c>
      <c r="Q31" s="6" t="n">
        <v>24.1</v>
      </c>
      <c r="R31" s="6" t="n">
        <v>22.1</v>
      </c>
    </row>
    <row r="32">
      <c r="A32" s="5" t="inlineStr">
        <is>
          <t>Total equity</t>
        </is>
      </c>
      <c r="B32" s="5" t="n">
        <v>179.8</v>
      </c>
      <c r="C32" s="5" t="n">
        <v>183.2</v>
      </c>
      <c r="D32" s="5" t="n">
        <v>183.8</v>
      </c>
      <c r="E32" s="5" t="n">
        <v>185</v>
      </c>
      <c r="F32" s="5" t="n">
        <v>148.6</v>
      </c>
      <c r="G32" s="5" t="n">
        <v>141</v>
      </c>
      <c r="H32" s="5" t="n">
        <v>160.3</v>
      </c>
      <c r="I32" s="5" t="n">
        <v>171.7</v>
      </c>
      <c r="J32" s="5" t="n">
        <v>167.3</v>
      </c>
      <c r="K32" s="5" t="n">
        <v>146.3</v>
      </c>
      <c r="L32" s="5" t="n">
        <v>133.7</v>
      </c>
      <c r="M32" s="5" t="n">
        <v>132</v>
      </c>
      <c r="N32" s="5" t="n">
        <v>128.2</v>
      </c>
      <c r="O32" s="5" t="n">
        <v>125.6</v>
      </c>
      <c r="P32" s="5" t="n">
        <v>124.7</v>
      </c>
      <c r="Q32" s="5" t="n">
        <v>124.1</v>
      </c>
      <c r="R32" s="5" t="n">
        <v>122.1</v>
      </c>
    </row>
    <row r="33">
      <c r="A33" s="5" t="inlineStr">
        <is>
          <t>Total equity and liabilities</t>
        </is>
      </c>
      <c r="B33" s="5" t="n">
        <v>2122.6</v>
      </c>
      <c r="C33" s="5" t="n">
        <v>2008.8</v>
      </c>
      <c r="D33" s="5" t="n">
        <v>1823.1</v>
      </c>
      <c r="E33" s="5" t="n">
        <v>1860.8</v>
      </c>
      <c r="F33" s="5" t="n">
        <v>1713.4</v>
      </c>
      <c r="G33" s="5" t="n">
        <v>1409.2</v>
      </c>
      <c r="H33" s="5" t="n">
        <v>1378.7</v>
      </c>
      <c r="I33" s="5" t="n">
        <v>1363.4</v>
      </c>
      <c r="J33" s="5" t="n">
        <v>1267.4</v>
      </c>
      <c r="K33" s="5" t="n">
        <v>1316.8</v>
      </c>
      <c r="L33" s="5" t="n">
        <v>999</v>
      </c>
      <c r="M33" s="5" t="n">
        <v>784.7</v>
      </c>
      <c r="N33" s="5" t="n">
        <v>726.5</v>
      </c>
      <c r="O33" s="5" t="n">
        <v>802.5</v>
      </c>
      <c r="P33" s="5" t="n">
        <v>710.9</v>
      </c>
      <c r="Q33" s="5" t="n">
        <v>825.3</v>
      </c>
      <c r="R33" s="5" t="n">
        <v>738</v>
      </c>
    </row>
    <row r="35" ht="280" customHeight="1">
      <c r="A35"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35:R3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Profit &amp; Loss</t>
        </is>
      </c>
    </row>
    <row r="2">
      <c r="A2" s="2" t="inlineStr">
        <is>
          <t>Entity-level (Company-only, FRS 101). £m. Structure genuinely changes FY2025 (Net operating (loss)/income subtotal replaces the FY2021-FY2024 'Operating profit' subtotal) - both shown on their own basis, not forced into one template. Each year's own originally-published figures used throughout; note AR2025's own FY2024 comparative column is separately labelled 'Restated' (Note 33 interest revenue/expense reclassification) - that restated column is NOT used here, FY2024's own contemporaneous report is used instead, per project convention.</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c r="R3" s="4" t="inlineStr">
        <is>
          <t>FY2009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revenue calculated using the EIR method (FY2014-FY2015: UK GAAP interest receivable, not EIR-method - same row for comparability, see note)</t>
        </is>
      </c>
      <c r="B5" s="6" t="n">
        <v>122.9</v>
      </c>
      <c r="C5" s="6" t="n">
        <v>92.09999999999999</v>
      </c>
      <c r="D5" s="6" t="n">
        <v>67.3</v>
      </c>
      <c r="E5" s="6" t="n">
        <v>50.5</v>
      </c>
      <c r="F5" s="6" t="n">
        <v>39.6</v>
      </c>
      <c r="G5" s="6" t="n">
        <v>38.4</v>
      </c>
      <c r="H5" s="6" t="n">
        <v>48.3</v>
      </c>
      <c r="I5" s="6" t="n">
        <v>46</v>
      </c>
      <c r="J5" s="6" t="n">
        <v>41.3</v>
      </c>
      <c r="K5" s="6" t="n">
        <v>42.2</v>
      </c>
      <c r="L5" s="6" t="n">
        <v>33.3</v>
      </c>
      <c r="M5" s="6" t="n">
        <v>28.9</v>
      </c>
      <c r="N5" s="6" t="n">
        <v>27.5</v>
      </c>
      <c r="O5" s="6" t="n">
        <v>26.9</v>
      </c>
      <c r="P5" s="6" t="n">
        <v>28.4</v>
      </c>
      <c r="Q5" s="6" t="n">
        <v>33.5</v>
      </c>
      <c r="R5" s="6" t="n">
        <v>32.6</v>
      </c>
    </row>
    <row r="6">
      <c r="A6" s="6" t="inlineStr">
        <is>
          <t>Interest expense calculated using the EIR method (FY2014-FY2015: UK GAAP interest payable)</t>
        </is>
      </c>
      <c r="B6" s="6" t="n">
        <v>-81.09999999999999</v>
      </c>
      <c r="C6" s="6" t="n">
        <v>-52.4</v>
      </c>
      <c r="D6" s="6" t="n">
        <v>-27.9</v>
      </c>
      <c r="E6" s="6" t="n">
        <v>-21.1</v>
      </c>
      <c r="F6" s="6" t="n">
        <v>-22</v>
      </c>
      <c r="G6" s="6" t="n">
        <v>-22.8</v>
      </c>
      <c r="H6" s="6" t="n">
        <v>-28.1</v>
      </c>
      <c r="I6" s="6" t="n">
        <v>-27.7</v>
      </c>
      <c r="J6" s="6" t="n">
        <v>-27.4</v>
      </c>
      <c r="K6" s="6" t="n">
        <v>-29</v>
      </c>
      <c r="L6" s="6" t="n">
        <v>-27.7</v>
      </c>
      <c r="M6" s="6" t="n">
        <v>-26</v>
      </c>
      <c r="N6" s="6" t="n">
        <v>-29.4</v>
      </c>
      <c r="O6" s="6" t="n">
        <v>-28.7</v>
      </c>
      <c r="P6" s="6" t="n">
        <v>-28.3</v>
      </c>
      <c r="Q6" s="6" t="n">
        <v>-31</v>
      </c>
      <c r="R6" s="6" t="n">
        <v>-25.3</v>
      </c>
    </row>
    <row r="7">
      <c r="A7" s="5" t="inlineStr">
        <is>
          <t>Net interest income</t>
        </is>
      </c>
      <c r="B7" s="5" t="n">
        <v>41.8</v>
      </c>
      <c r="C7" s="5" t="n">
        <v>39.7</v>
      </c>
      <c r="D7" s="5" t="n">
        <v>39.4</v>
      </c>
      <c r="E7" s="5" t="n">
        <v>29.4</v>
      </c>
      <c r="F7" s="5" t="n">
        <v>17.6</v>
      </c>
      <c r="G7" s="5" t="n">
        <v>15.6</v>
      </c>
      <c r="H7" s="5" t="n">
        <v>20.2</v>
      </c>
      <c r="I7" s="5" t="n">
        <v>18.3</v>
      </c>
      <c r="J7" s="5" t="n">
        <v>13.9</v>
      </c>
      <c r="K7" s="5" t="n">
        <v>13.2</v>
      </c>
      <c r="L7" s="5" t="n">
        <v>5.6</v>
      </c>
      <c r="M7" s="5" t="n">
        <v>2.9</v>
      </c>
      <c r="N7" s="5" t="n">
        <v>-1.9</v>
      </c>
      <c r="O7" s="5" t="n">
        <v>-1.8</v>
      </c>
      <c r="P7" s="5" t="n">
        <v>0.2</v>
      </c>
      <c r="Q7" s="5" t="n">
        <v>2.4</v>
      </c>
      <c r="R7" s="5" t="n">
        <v>7.4</v>
      </c>
    </row>
    <row r="8">
      <c r="A8" s="6" t="inlineStr">
        <is>
          <t>Fees and commission income</t>
        </is>
      </c>
      <c r="B8" s="6" t="n">
        <v>1</v>
      </c>
      <c r="C8" s="6" t="n">
        <v>2.9</v>
      </c>
      <c r="D8" s="6" t="n">
        <v>2.5</v>
      </c>
      <c r="E8" s="6" t="n">
        <v>2.6</v>
      </c>
      <c r="F8" s="6" t="n">
        <v>2.5</v>
      </c>
      <c r="G8" s="6" t="n">
        <v>1.8</v>
      </c>
      <c r="H8" s="6" t="n">
        <v>0.7</v>
      </c>
      <c r="I8" s="6" t="n">
        <v>2.5</v>
      </c>
      <c r="J8" s="6" t="n">
        <v>0.5</v>
      </c>
      <c r="K8" s="6" t="n">
        <v>1.1</v>
      </c>
      <c r="L8" s="6" t="n">
        <v>2.8</v>
      </c>
      <c r="M8" s="6" t="n">
        <v>2.2</v>
      </c>
      <c r="N8" s="6" t="n">
        <v>1.1</v>
      </c>
      <c r="O8" s="6" t="n">
        <v>1.2</v>
      </c>
      <c r="P8" s="6" t="n">
        <v>1.3</v>
      </c>
      <c r="Q8" s="6" t="n">
        <v>1.6</v>
      </c>
      <c r="R8" s="6" t="n">
        <v>2.6</v>
      </c>
    </row>
    <row r="9">
      <c r="A9" s="6" t="inlineStr">
        <is>
          <t>Fees and commission expense</t>
        </is>
      </c>
      <c r="B9" s="6" t="n">
        <v>-3.6</v>
      </c>
      <c r="C9" s="6" t="n">
        <v>-1.2</v>
      </c>
      <c r="D9" s="6" t="n">
        <v>-0.1</v>
      </c>
      <c r="E9" s="6" t="n">
        <v>-0.1</v>
      </c>
      <c r="F9" s="6" t="n"/>
      <c r="G9" s="6" t="n"/>
      <c r="H9" s="6" t="n">
        <v>-0.1</v>
      </c>
      <c r="I9" s="6" t="n">
        <v>-1.1</v>
      </c>
      <c r="J9" s="6" t="n">
        <v>-1.2</v>
      </c>
      <c r="K9" s="6" t="n">
        <v>-0.7</v>
      </c>
      <c r="L9" s="6" t="n">
        <v>-0.8</v>
      </c>
      <c r="M9" s="6" t="n">
        <v>-1.5</v>
      </c>
      <c r="N9" s="6" t="n">
        <v>-0.3</v>
      </c>
      <c r="O9" s="6" t="n"/>
      <c r="P9" s="6" t="n">
        <v>-0.1</v>
      </c>
      <c r="Q9" s="6" t="n">
        <v>-0.4</v>
      </c>
      <c r="R9" s="6" t="n">
        <v>-1</v>
      </c>
    </row>
    <row r="10">
      <c r="A10" s="5" t="inlineStr">
        <is>
          <t>Net fee and commission income/(expense)</t>
        </is>
      </c>
      <c r="B10" s="5" t="n">
        <v>-2.6</v>
      </c>
      <c r="C10" s="5" t="n">
        <v>1.7</v>
      </c>
      <c r="D10" s="5" t="n">
        <v>2.4</v>
      </c>
      <c r="E10" s="5" t="n">
        <v>2.5</v>
      </c>
      <c r="F10" s="5" t="n">
        <v>2.5</v>
      </c>
      <c r="G10" s="5" t="n">
        <v>1.8</v>
      </c>
      <c r="H10" s="5" t="n">
        <v>0.6</v>
      </c>
      <c r="I10" s="5" t="n">
        <v>1.4</v>
      </c>
      <c r="J10" s="5" t="n">
        <v>-0.7</v>
      </c>
      <c r="K10" s="5" t="n">
        <v>0.4</v>
      </c>
      <c r="L10" s="5" t="n">
        <v>2</v>
      </c>
      <c r="M10" s="5" t="n">
        <v>0.7</v>
      </c>
      <c r="N10" s="5" t="n">
        <v>0.8</v>
      </c>
      <c r="O10" s="5" t="n">
        <v>1.2</v>
      </c>
      <c r="P10" s="5" t="n">
        <v>1.3</v>
      </c>
      <c r="Q10" s="5" t="n">
        <v>1.2</v>
      </c>
      <c r="R10" s="5" t="n">
        <v>1.6</v>
      </c>
    </row>
    <row r="11">
      <c r="A11" s="6" t="inlineStr">
        <is>
          <t>Investment income (FY2014-FY2015: 'Other finance income')</t>
        </is>
      </c>
      <c r="B11" s="6" t="n">
        <v>0.6</v>
      </c>
      <c r="C11" s="6" t="n">
        <v>0.5</v>
      </c>
      <c r="D11" s="6" t="n">
        <v>4.6</v>
      </c>
      <c r="E11" s="6" t="n">
        <v>6.7</v>
      </c>
      <c r="F11" s="6" t="n">
        <v>6</v>
      </c>
      <c r="G11" s="6" t="n">
        <v>3.5</v>
      </c>
      <c r="H11" s="6" t="n">
        <v>7.2</v>
      </c>
      <c r="I11" s="6" t="n">
        <v>6.4</v>
      </c>
      <c r="J11" s="6" t="n">
        <v>4.8</v>
      </c>
      <c r="K11" s="6" t="n"/>
      <c r="L11" s="6" t="n">
        <v>0.4</v>
      </c>
      <c r="M11" s="6" t="n">
        <v>0.8</v>
      </c>
      <c r="N11" s="6" t="n">
        <v>0.3</v>
      </c>
      <c r="O11" s="6" t="n">
        <v>0.4</v>
      </c>
      <c r="P11" s="6" t="n">
        <v>-0.1</v>
      </c>
      <c r="Q11" s="6" t="n">
        <v>0.1</v>
      </c>
      <c r="R11" s="6" t="n">
        <v>0.2</v>
      </c>
    </row>
    <row r="12">
      <c r="A12" s="6" t="inlineStr">
        <is>
          <t>Dividend income from listed equity shares and subsidiary companies (FY2009-FY2013 only)</t>
        </is>
      </c>
      <c r="B12" s="6" t="n"/>
      <c r="C12" s="6" t="n"/>
      <c r="D12" s="6" t="n"/>
      <c r="E12" s="6" t="n"/>
      <c r="F12" s="6" t="n"/>
      <c r="G12" s="6" t="n"/>
      <c r="H12" s="6" t="n"/>
      <c r="I12" s="6" t="n"/>
      <c r="J12" s="6" t="n"/>
      <c r="K12" s="6" t="n"/>
      <c r="L12" s="6" t="n"/>
      <c r="M12" s="6" t="n"/>
      <c r="N12" s="6" t="n"/>
      <c r="O12" s="6" t="n">
        <v>0.2</v>
      </c>
      <c r="P12" s="6" t="n">
        <v>0.2</v>
      </c>
      <c r="Q12" s="6" t="n">
        <v>0.1</v>
      </c>
      <c r="R12" s="6" t="n">
        <v>0.4</v>
      </c>
    </row>
    <row r="13">
      <c r="A13" s="6" t="inlineStr">
        <is>
          <t>Other operating income</t>
        </is>
      </c>
      <c r="B13" s="6" t="n"/>
      <c r="C13" s="6" t="n"/>
      <c r="D13" s="6" t="n">
        <v>0.2</v>
      </c>
      <c r="E13" s="6" t="n"/>
      <c r="F13" s="6" t="n">
        <v>0.1</v>
      </c>
      <c r="G13" s="6" t="n"/>
      <c r="H13" s="6" t="n"/>
      <c r="I13" s="6" t="n">
        <v>0.1</v>
      </c>
      <c r="J13" s="6" t="n">
        <v>1</v>
      </c>
      <c r="K13" s="6" t="n">
        <v>0.8</v>
      </c>
      <c r="L13" s="6" t="n">
        <v>5</v>
      </c>
      <c r="M13" s="6" t="n">
        <v>4.9</v>
      </c>
      <c r="N13" s="6" t="n">
        <v>9</v>
      </c>
      <c r="O13" s="6" t="n">
        <v>8.199999999999999</v>
      </c>
      <c r="P13" s="6" t="n">
        <v>7.5</v>
      </c>
      <c r="Q13" s="6" t="n">
        <v>12.2</v>
      </c>
      <c r="R13" s="6" t="n">
        <v>3.4</v>
      </c>
    </row>
    <row r="14">
      <c r="A14" s="6" t="inlineStr">
        <is>
          <t>Bad debt recovery</t>
        </is>
      </c>
      <c r="B14" s="6" t="n"/>
      <c r="C14" s="6" t="n"/>
      <c r="D14" s="6" t="n"/>
      <c r="E14" s="6" t="n">
        <v>0.4</v>
      </c>
      <c r="F14" s="6" t="n"/>
      <c r="G14" s="6" t="n"/>
      <c r="H14" s="6" t="n"/>
      <c r="I14" s="6" t="n"/>
      <c r="J14" s="6" t="n"/>
      <c r="K14" s="6" t="n"/>
      <c r="L14" s="6" t="n"/>
      <c r="M14" s="6" t="n"/>
      <c r="N14" s="6" t="n"/>
      <c r="O14" s="6" t="n"/>
      <c r="P14" s="6" t="n"/>
      <c r="Q14" s="6" t="n"/>
      <c r="R14" s="6" t="n"/>
    </row>
    <row r="15">
      <c r="A15" s="5" t="inlineStr">
        <is>
          <t>Net operating income</t>
        </is>
      </c>
      <c r="B15" s="5" t="n">
        <v>39.8</v>
      </c>
      <c r="C15" s="5" t="n">
        <v>41.9</v>
      </c>
      <c r="D15" s="5" t="n">
        <v>46.6</v>
      </c>
      <c r="E15" s="5" t="n">
        <v>38.6</v>
      </c>
      <c r="F15" s="5" t="n">
        <v>26.2</v>
      </c>
      <c r="G15" s="5" t="n">
        <v>20.9</v>
      </c>
      <c r="H15" s="5" t="n">
        <v>28</v>
      </c>
      <c r="I15" s="5" t="n">
        <v>18.2</v>
      </c>
      <c r="J15" s="5" t="n">
        <v>19.3</v>
      </c>
      <c r="K15" s="5" t="n">
        <v>33.5</v>
      </c>
      <c r="L15" s="5" t="n">
        <v>13</v>
      </c>
      <c r="M15" s="5" t="n">
        <v>9.300000000000001</v>
      </c>
      <c r="N15" s="5" t="n">
        <v>8.199999999999999</v>
      </c>
      <c r="O15" s="5" t="n">
        <v>8.1</v>
      </c>
      <c r="P15" s="5" t="n">
        <v>9</v>
      </c>
      <c r="Q15" s="5" t="n">
        <v>16.1</v>
      </c>
      <c r="R15" s="5" t="n">
        <v>13</v>
      </c>
    </row>
    <row r="16">
      <c r="A16" s="6" t="inlineStr">
        <is>
          <t>Administrative expenses</t>
        </is>
      </c>
      <c r="B16" s="6" t="n">
        <v>-33.7</v>
      </c>
      <c r="C16" s="6" t="n">
        <v>-36.4</v>
      </c>
      <c r="D16" s="6" t="n">
        <v>-35.3</v>
      </c>
      <c r="E16" s="6" t="n">
        <v>-34.2</v>
      </c>
      <c r="F16" s="6" t="n">
        <v>-25.9</v>
      </c>
      <c r="G16" s="6" t="n">
        <v>-22.3</v>
      </c>
      <c r="H16" s="6" t="n">
        <v>-16.4</v>
      </c>
      <c r="I16" s="6" t="n">
        <v>-12</v>
      </c>
      <c r="J16" s="6" t="n">
        <v>-9.9</v>
      </c>
      <c r="K16" s="6" t="n">
        <v>-8.1</v>
      </c>
      <c r="L16" s="6" t="n">
        <v>-6.7</v>
      </c>
      <c r="M16" s="6" t="n">
        <v>-5.4</v>
      </c>
      <c r="N16" s="6" t="n">
        <v>-4.5</v>
      </c>
      <c r="O16" s="6" t="n">
        <v>-4.9</v>
      </c>
      <c r="P16" s="6" t="n">
        <v>-4.9</v>
      </c>
      <c r="Q16" s="6" t="n">
        <v>-5.7</v>
      </c>
      <c r="R16" s="6" t="n">
        <v>-7.5</v>
      </c>
    </row>
    <row r="17">
      <c r="A17" s="6" t="inlineStr">
        <is>
          <t>Depreciation and amortisation</t>
        </is>
      </c>
      <c r="B17" s="6" t="n">
        <v>-3.1</v>
      </c>
      <c r="C17" s="6" t="n">
        <v>-2.9</v>
      </c>
      <c r="D17" s="6" t="n">
        <v>-2.9</v>
      </c>
      <c r="E17" s="6" t="n">
        <v>-2.5</v>
      </c>
      <c r="F17" s="6" t="n">
        <v>-2.4</v>
      </c>
      <c r="G17" s="6" t="n">
        <v>-1.8</v>
      </c>
      <c r="H17" s="6" t="n">
        <v>-1.2</v>
      </c>
      <c r="I17" s="6" t="n">
        <v>-0.9</v>
      </c>
      <c r="J17" s="6" t="n">
        <v>-0.5</v>
      </c>
      <c r="K17" s="6" t="n">
        <v>-0.2</v>
      </c>
      <c r="L17" s="6" t="n"/>
      <c r="M17" s="6" t="n"/>
      <c r="N17" s="6" t="n">
        <v>0</v>
      </c>
      <c r="O17" s="6" t="n">
        <v>0</v>
      </c>
      <c r="P17" s="6" t="n">
        <v>0</v>
      </c>
      <c r="Q17" s="6" t="n">
        <v>0</v>
      </c>
      <c r="R17" s="6" t="n">
        <v>-0.2</v>
      </c>
    </row>
    <row r="18">
      <c r="A18" s="6" t="inlineStr">
        <is>
          <t>Impairment (losses)/gains on loans and advances to customers</t>
        </is>
      </c>
      <c r="B18" s="6" t="n">
        <v>-6.5</v>
      </c>
      <c r="C18" s="6" t="n">
        <v>-2.2</v>
      </c>
      <c r="D18" s="6" t="n">
        <v>-1.6</v>
      </c>
      <c r="E18" s="6" t="n"/>
      <c r="F18" s="6" t="n"/>
      <c r="G18" s="6" t="n">
        <v>-5.4</v>
      </c>
      <c r="H18" s="6" t="n">
        <v>-3.9</v>
      </c>
      <c r="I18" s="6" t="n">
        <v>1</v>
      </c>
      <c r="J18" s="6" t="n">
        <v>1.6</v>
      </c>
      <c r="K18" s="6" t="n">
        <v>-2.4</v>
      </c>
      <c r="L18" s="6" t="n">
        <v>-2.1</v>
      </c>
      <c r="M18" s="6" t="n">
        <v>-0.7</v>
      </c>
      <c r="N18" s="6" t="n">
        <v>-0.1</v>
      </c>
      <c r="O18" s="6" t="n">
        <v>0.8</v>
      </c>
      <c r="P18" s="6" t="n">
        <v>-1.5</v>
      </c>
      <c r="Q18" s="6" t="n">
        <v>-8.199999999999999</v>
      </c>
      <c r="R18" s="6" t="n">
        <v>-4.2</v>
      </c>
    </row>
    <row r="19">
      <c r="A19" s="6" t="inlineStr">
        <is>
          <t>Movement in valuation of stock/work-in-progress (UK GAAP line, FY2009-FY2015 only)</t>
        </is>
      </c>
      <c r="B19" s="6" t="n"/>
      <c r="C19" s="6" t="n"/>
      <c r="D19" s="6" t="n"/>
      <c r="E19" s="6" t="n"/>
      <c r="F19" s="6" t="n"/>
      <c r="G19" s="6" t="n"/>
      <c r="H19" s="6" t="n"/>
      <c r="I19" s="6" t="n"/>
      <c r="J19" s="6" t="n"/>
      <c r="K19" s="6" t="n"/>
      <c r="L19" s="6" t="n">
        <v>0.9</v>
      </c>
      <c r="M19" s="6" t="n">
        <v>1.1</v>
      </c>
      <c r="N19" s="6" t="n">
        <v>-0.1</v>
      </c>
      <c r="O19" s="6" t="n">
        <v>-0.9</v>
      </c>
      <c r="P19" s="6" t="n"/>
      <c r="Q19" s="6" t="n"/>
      <c r="R19" s="6" t="n"/>
    </row>
    <row r="20">
      <c r="A20" s="5" t="inlineStr">
        <is>
          <t>Operating profit/(loss) (FY2021-FY2024 subtotal; see Net operating (loss)/income for FY2025's own equivalent line)</t>
        </is>
      </c>
      <c r="B20" s="5" t="n"/>
      <c r="C20" s="5" t="n">
        <v>0.4</v>
      </c>
      <c r="D20" s="5" t="n">
        <v>6.8</v>
      </c>
      <c r="E20" s="5" t="n">
        <v>2.3</v>
      </c>
      <c r="F20" s="5" t="n">
        <v>-2.1</v>
      </c>
      <c r="G20" s="5" t="n">
        <v>-8.6</v>
      </c>
      <c r="H20" s="5" t="n">
        <v>6.5</v>
      </c>
      <c r="I20" s="5" t="n"/>
      <c r="J20" s="5" t="n"/>
      <c r="K20" s="5" t="n"/>
      <c r="L20" s="5" t="n"/>
      <c r="M20" s="5" t="n"/>
      <c r="N20" s="5" t="n"/>
      <c r="O20" s="5" t="n"/>
      <c r="P20" s="5" t="n"/>
      <c r="Q20" s="5" t="n"/>
      <c r="R20" s="5" t="n"/>
    </row>
    <row r="21">
      <c r="A21" s="5" t="inlineStr">
        <is>
          <t>Net operating (loss)/income (FY2025's own subtotal, structured differently from FY2021-FY2024's 'Operating profit')</t>
        </is>
      </c>
      <c r="B21" s="5" t="n">
        <v>-3.5</v>
      </c>
      <c r="C21" s="5" t="n"/>
      <c r="D21" s="5" t="n"/>
      <c r="E21" s="5" t="n"/>
      <c r="F21" s="5" t="n"/>
      <c r="G21" s="5" t="n"/>
      <c r="H21" s="5" t="n"/>
      <c r="I21" s="5" t="n"/>
      <c r="J21" s="5" t="n"/>
      <c r="K21" s="5" t="n"/>
      <c r="L21" s="5" t="n"/>
      <c r="M21" s="5" t="n"/>
      <c r="N21" s="5" t="n"/>
      <c r="O21" s="5" t="n"/>
      <c r="P21" s="5" t="n"/>
      <c r="Q21" s="5" t="n"/>
      <c r="R21" s="5" t="n"/>
    </row>
    <row r="22">
      <c r="A22" s="6" t="inlineStr">
        <is>
          <t>(Loss)/gain arising from the derecognition of financial assets managed at amortised cost</t>
        </is>
      </c>
      <c r="B22" s="6" t="n"/>
      <c r="C22" s="6" t="n">
        <v>-1</v>
      </c>
      <c r="D22" s="6" t="n"/>
      <c r="E22" s="6" t="n"/>
      <c r="F22" s="6" t="n">
        <v>0</v>
      </c>
      <c r="G22" s="6" t="n">
        <v>4.2</v>
      </c>
      <c r="H22" s="6" t="n">
        <v>3.1</v>
      </c>
      <c r="I22" s="6" t="n"/>
      <c r="J22" s="6" t="n"/>
      <c r="K22" s="6" t="n"/>
      <c r="L22" s="6" t="n"/>
      <c r="M22" s="6" t="n"/>
      <c r="N22" s="6" t="n"/>
      <c r="O22" s="6" t="n"/>
      <c r="P22" s="6" t="n"/>
      <c r="Q22" s="6" t="n"/>
      <c r="R22" s="6" t="n"/>
    </row>
    <row r="23">
      <c r="A23" s="6" t="inlineStr">
        <is>
          <t>Other fair value gains/(losses)</t>
        </is>
      </c>
      <c r="B23" s="6" t="n">
        <v>-2.3</v>
      </c>
      <c r="C23" s="6" t="n">
        <v>-1.5</v>
      </c>
      <c r="D23" s="6" t="n">
        <v>-7</v>
      </c>
      <c r="E23" s="6" t="n">
        <v>4.3</v>
      </c>
      <c r="F23" s="6" t="n">
        <v>11.3</v>
      </c>
      <c r="G23" s="6" t="n">
        <v>-16.7</v>
      </c>
      <c r="H23" s="6" t="n">
        <v>-12.8</v>
      </c>
      <c r="I23" s="6" t="n">
        <v>-8</v>
      </c>
      <c r="J23" s="6" t="n">
        <v>0.3</v>
      </c>
      <c r="K23" s="6" t="n">
        <v>19.2</v>
      </c>
      <c r="L23" s="6" t="n"/>
      <c r="M23" s="6" t="n"/>
      <c r="N23" s="6" t="n"/>
      <c r="O23" s="6" t="n"/>
      <c r="P23" s="6" t="n"/>
      <c r="Q23" s="6" t="n"/>
      <c r="R23" s="6" t="n"/>
    </row>
    <row r="24">
      <c r="A24" s="6" t="inlineStr">
        <is>
          <t>Loss on disposal of loans and advances to customers held at fair value</t>
        </is>
      </c>
      <c r="B24" s="6" t="n"/>
      <c r="C24" s="6" t="n"/>
      <c r="D24" s="6" t="n"/>
      <c r="E24" s="6" t="n"/>
      <c r="F24" s="6" t="n">
        <v>-5.5</v>
      </c>
      <c r="G24" s="6" t="n"/>
      <c r="H24" s="6" t="n">
        <v>-4.6</v>
      </c>
      <c r="I24" s="6" t="n"/>
      <c r="J24" s="6" t="n"/>
      <c r="K24" s="6" t="n"/>
      <c r="L24" s="6" t="n"/>
      <c r="M24" s="6" t="n"/>
      <c r="N24" s="6" t="n"/>
      <c r="O24" s="6" t="n"/>
      <c r="P24" s="6" t="n"/>
      <c r="Q24" s="6" t="n"/>
      <c r="R24" s="6" t="n"/>
    </row>
    <row r="25">
      <c r="A25" s="5" t="inlineStr">
        <is>
          <t>Profit/(loss) before taxation (FY2014-FY2015: 'Profit on ordinary activities before taxation')</t>
        </is>
      </c>
      <c r="B25" s="5" t="n">
        <v>-5.8</v>
      </c>
      <c r="C25" s="5" t="n">
        <v>-2.1</v>
      </c>
      <c r="D25" s="5" t="n">
        <v>-0.2</v>
      </c>
      <c r="E25" s="5" t="n">
        <v>6.6</v>
      </c>
      <c r="F25" s="5" t="n">
        <v>3.7</v>
      </c>
      <c r="G25" s="5" t="n">
        <v>-21.1</v>
      </c>
      <c r="H25" s="5" t="n">
        <v>-7.8</v>
      </c>
      <c r="I25" s="5" t="n">
        <v>6.3</v>
      </c>
      <c r="J25" s="5" t="n">
        <v>10.5</v>
      </c>
      <c r="K25" s="5" t="n">
        <v>22.8</v>
      </c>
      <c r="L25" s="5" t="n">
        <v>5</v>
      </c>
      <c r="M25" s="5" t="n">
        <v>4.3</v>
      </c>
      <c r="N25" s="5" t="n">
        <v>3.5</v>
      </c>
      <c r="O25" s="5" t="n">
        <v>3.1</v>
      </c>
      <c r="P25" s="5" t="n">
        <v>2.6</v>
      </c>
      <c r="Q25" s="5" t="n">
        <v>2.1</v>
      </c>
      <c r="R25" s="5" t="n">
        <v>1.2</v>
      </c>
    </row>
    <row r="26">
      <c r="A26" s="6" t="inlineStr">
        <is>
          <t>Tax credit/(charge) on profit/(loss) before taxation</t>
        </is>
      </c>
      <c r="B26" s="6" t="n">
        <v>1.9</v>
      </c>
      <c r="C26" s="6" t="n">
        <v>0.4</v>
      </c>
      <c r="D26" s="6" t="n"/>
      <c r="E26" s="6" t="n">
        <v>-1.8</v>
      </c>
      <c r="F26" s="6" t="n">
        <v>2.1</v>
      </c>
      <c r="G26" s="6" t="n">
        <v>5.2</v>
      </c>
      <c r="H26" s="6" t="n">
        <v>2.1</v>
      </c>
      <c r="I26" s="6" t="n">
        <v>-0.8</v>
      </c>
      <c r="J26" s="6" t="n">
        <v>-0.3</v>
      </c>
      <c r="K26" s="6" t="n">
        <v>-5.2</v>
      </c>
      <c r="L26" s="6" t="n">
        <v>-0.8</v>
      </c>
      <c r="M26" s="6" t="n">
        <v>-0.2</v>
      </c>
      <c r="N26" s="6" t="n">
        <v>0.1</v>
      </c>
      <c r="O26" s="6" t="n">
        <v>-0.5</v>
      </c>
      <c r="P26" s="6" t="n">
        <v>-0.6</v>
      </c>
      <c r="Q26" s="6" t="n">
        <v>-0.8</v>
      </c>
      <c r="R26" s="6" t="n">
        <v>-0.4</v>
      </c>
    </row>
    <row r="27">
      <c r="A27" s="5" t="inlineStr">
        <is>
          <t>Profit/(loss) for the financial year</t>
        </is>
      </c>
      <c r="B27" s="5" t="n">
        <v>-3.9</v>
      </c>
      <c r="C27" s="5" t="n">
        <v>-1.7</v>
      </c>
      <c r="D27" s="5" t="n">
        <v>-0.2</v>
      </c>
      <c r="E27" s="5" t="n">
        <v>4.8</v>
      </c>
      <c r="F27" s="5" t="n">
        <v>5.8</v>
      </c>
      <c r="G27" s="5" t="n">
        <v>-15.9</v>
      </c>
      <c r="H27" s="5" t="n">
        <v>-5.7</v>
      </c>
      <c r="I27" s="5" t="n">
        <v>5.5</v>
      </c>
      <c r="J27" s="5" t="n">
        <v>10.2</v>
      </c>
      <c r="K27" s="5" t="n">
        <v>17.6</v>
      </c>
      <c r="L27" s="5" t="n">
        <v>4.3</v>
      </c>
      <c r="M27" s="5" t="n">
        <v>4.1</v>
      </c>
      <c r="N27" s="5" t="n">
        <v>3.5</v>
      </c>
      <c r="O27" s="5" t="n">
        <v>2.6</v>
      </c>
      <c r="P27" s="5" t="n">
        <v>2</v>
      </c>
      <c r="Q27" s="5" t="n">
        <v>1.3</v>
      </c>
      <c r="R27" s="5" t="n">
        <v>0.7</v>
      </c>
    </row>
    <row r="28">
      <c r="A28" s="5" t="inlineStr">
        <is>
          <t>Other comprehensive income</t>
        </is>
      </c>
      <c r="B28" s="6" t="n"/>
      <c r="C28" s="6" t="n"/>
      <c r="D28" s="6" t="n"/>
      <c r="E28" s="6" t="n"/>
      <c r="F28" s="6" t="n"/>
      <c r="G28" s="6" t="n"/>
      <c r="H28" s="6" t="n"/>
      <c r="I28" s="6" t="n"/>
      <c r="J28" s="6" t="n"/>
      <c r="K28" s="6" t="n"/>
      <c r="L28" s="6" t="n"/>
      <c r="M28" s="6" t="n"/>
      <c r="N28" s="6" t="n"/>
      <c r="O28" s="6" t="n"/>
      <c r="P28" s="6" t="n"/>
      <c r="Q28" s="6" t="n"/>
      <c r="R28" s="6" t="n"/>
    </row>
    <row r="29">
      <c r="A29" s="6" t="inlineStr">
        <is>
          <t>Re-measurement of defined benefit pension plan (FY2014-FY2015: 'Actuarial loss recognised in the pension scheme')</t>
        </is>
      </c>
      <c r="B29" s="6" t="n">
        <v>0.7</v>
      </c>
      <c r="C29" s="6" t="n">
        <v>1.7</v>
      </c>
      <c r="D29" s="6" t="n">
        <v>-1.7</v>
      </c>
      <c r="E29" s="6" t="n">
        <v>9</v>
      </c>
      <c r="F29" s="6" t="n">
        <v>2.6</v>
      </c>
      <c r="G29" s="6" t="n">
        <v>-4.4</v>
      </c>
      <c r="H29" s="6" t="n">
        <v>-3.3</v>
      </c>
      <c r="I29" s="6" t="n">
        <v>0.6</v>
      </c>
      <c r="J29" s="6" t="n">
        <v>0.4</v>
      </c>
      <c r="K29" s="6" t="n">
        <v>-9.1</v>
      </c>
      <c r="L29" s="6" t="n">
        <v>-1.1</v>
      </c>
      <c r="M29" s="6" t="n">
        <v>-1.4</v>
      </c>
      <c r="N29" s="6" t="n">
        <v>-1.2</v>
      </c>
      <c r="O29" s="6" t="n">
        <v>-1.4</v>
      </c>
      <c r="P29" s="6" t="n">
        <v>-0.5</v>
      </c>
      <c r="Q29" s="6" t="n">
        <v>0.7</v>
      </c>
      <c r="R29" s="6" t="n">
        <v>-2.8</v>
      </c>
    </row>
    <row r="30">
      <c r="A30" s="6" t="inlineStr">
        <is>
          <t>Deferred tax on pension plan re-measurement</t>
        </is>
      </c>
      <c r="B30" s="6" t="n">
        <v>-0.2</v>
      </c>
      <c r="C30" s="6" t="n">
        <v>-0.4</v>
      </c>
      <c r="D30" s="6" t="n">
        <v>0.4</v>
      </c>
      <c r="E30" s="6" t="n">
        <v>-2.2</v>
      </c>
      <c r="F30" s="6" t="n">
        <v>-0.4</v>
      </c>
      <c r="G30" s="6" t="n">
        <v>0.7</v>
      </c>
      <c r="H30" s="6" t="n">
        <v>0.6</v>
      </c>
      <c r="I30" s="6" t="n">
        <v>-0.1</v>
      </c>
      <c r="J30" s="6" t="n">
        <v>-0.1</v>
      </c>
      <c r="K30" s="6" t="n">
        <v>1.5</v>
      </c>
      <c r="L30" s="6" t="n"/>
      <c r="M30" s="6" t="n"/>
      <c r="N30" s="6" t="n">
        <v>0.2</v>
      </c>
      <c r="O30" s="6" t="n">
        <v>0.2</v>
      </c>
      <c r="P30" s="6" t="n">
        <v>0.1</v>
      </c>
      <c r="Q30" s="6" t="n"/>
      <c r="R30" s="6" t="n"/>
    </row>
    <row r="31">
      <c r="A31" s="6" t="inlineStr">
        <is>
          <t>Deficit on revaluation of investment properties (FY2011-FY2012 only)</t>
        </is>
      </c>
      <c r="B31" s="6" t="n"/>
      <c r="C31" s="6" t="n"/>
      <c r="D31" s="6" t="n"/>
      <c r="E31" s="6" t="n"/>
      <c r="F31" s="6" t="n"/>
      <c r="G31" s="6" t="n"/>
      <c r="H31" s="6" t="n"/>
      <c r="I31" s="6" t="n"/>
      <c r="J31" s="6" t="n"/>
      <c r="K31" s="6" t="n"/>
      <c r="L31" s="6" t="n"/>
      <c r="M31" s="6" t="n"/>
      <c r="N31" s="6" t="n"/>
      <c r="O31" s="6" t="n">
        <v>-0.4</v>
      </c>
      <c r="P31" s="6" t="n">
        <v>-1</v>
      </c>
      <c r="Q31" s="6" t="n"/>
      <c r="R31" s="6" t="n"/>
    </row>
    <row r="32">
      <c r="A32" s="6" t="inlineStr">
        <is>
          <t>Movement of pension scheme reimbursement asset/(liability) (FY2014-FY2015: net of deferred tax)</t>
        </is>
      </c>
      <c r="B32" s="6" t="n"/>
      <c r="C32" s="6" t="n">
        <v>-0.3</v>
      </c>
      <c r="D32" s="6" t="n">
        <v>0.4</v>
      </c>
      <c r="E32" s="6" t="n">
        <v>-0.2</v>
      </c>
      <c r="F32" s="6" t="n">
        <v>-1</v>
      </c>
      <c r="G32" s="6" t="n">
        <v>0.4</v>
      </c>
      <c r="H32" s="6" t="n">
        <v>0.5</v>
      </c>
      <c r="I32" s="6" t="n">
        <v>-0.1</v>
      </c>
      <c r="J32" s="6" t="n">
        <v>-0.9</v>
      </c>
      <c r="K32" s="6" t="n">
        <v>2.3</v>
      </c>
      <c r="L32" s="6" t="n">
        <v>0.1</v>
      </c>
      <c r="M32" s="6" t="n">
        <v>0.7</v>
      </c>
      <c r="N32" s="6" t="n"/>
      <c r="O32" s="6" t="n"/>
      <c r="P32" s="6" t="n"/>
      <c r="Q32" s="6" t="n"/>
      <c r="R32" s="6" t="n"/>
    </row>
    <row r="33">
      <c r="A33" s="6" t="inlineStr">
        <is>
          <t>Deferred tax on pension reimbursement movement</t>
        </is>
      </c>
      <c r="B33" s="6" t="n"/>
      <c r="C33" s="6" t="n">
        <v>0.1</v>
      </c>
      <c r="D33" s="6" t="n">
        <v>-0.1</v>
      </c>
      <c r="E33" s="6" t="n"/>
      <c r="F33" s="6" t="n">
        <v>0.6</v>
      </c>
      <c r="G33" s="6" t="n">
        <v>-0.1</v>
      </c>
      <c r="H33" s="6" t="n">
        <v>-0.1</v>
      </c>
      <c r="I33" s="6" t="n"/>
      <c r="J33" s="6" t="n">
        <v>0.1</v>
      </c>
      <c r="K33" s="6" t="n">
        <v>-0.4</v>
      </c>
      <c r="L33" s="6" t="n"/>
      <c r="M33" s="6" t="n"/>
      <c r="N33" s="6" t="n"/>
      <c r="O33" s="6" t="n"/>
      <c r="P33" s="6" t="n"/>
      <c r="Q33" s="6" t="n"/>
      <c r="R33" s="6" t="n"/>
    </row>
    <row r="34">
      <c r="A34" s="6" t="inlineStr">
        <is>
          <t>Fair value movements on available-for-sale investments (AFS reserve; discontinued after IFRS 9 replaced it FY2019)</t>
        </is>
      </c>
      <c r="B34" s="6" t="n"/>
      <c r="C34" s="6" t="n"/>
      <c r="D34" s="6" t="n"/>
      <c r="E34" s="6" t="n"/>
      <c r="F34" s="6" t="n"/>
      <c r="G34" s="6" t="n"/>
      <c r="H34" s="6" t="n"/>
      <c r="I34" s="6" t="n">
        <v>-1.8</v>
      </c>
      <c r="J34" s="6" t="n">
        <v>-0.1</v>
      </c>
      <c r="K34" s="6" t="n">
        <v>1.1</v>
      </c>
      <c r="L34" s="6" t="n"/>
      <c r="M34" s="6" t="n"/>
      <c r="N34" s="6" t="n"/>
      <c r="O34" s="6" t="n"/>
      <c r="P34" s="6" t="n"/>
      <c r="Q34" s="6" t="n"/>
      <c r="R34" s="6" t="n"/>
    </row>
    <row r="35">
      <c r="A35" s="6" t="inlineStr">
        <is>
          <t>Deferred tax on available-for-sale fair value movements</t>
        </is>
      </c>
      <c r="B35" s="6" t="n"/>
      <c r="C35" s="6" t="n"/>
      <c r="D35" s="6" t="n"/>
      <c r="E35" s="6" t="n"/>
      <c r="F35" s="6" t="n"/>
      <c r="G35" s="6" t="n"/>
      <c r="H35" s="6" t="n"/>
      <c r="I35" s="6" t="n">
        <v>0.3</v>
      </c>
      <c r="J35" s="6" t="n">
        <v>-0.8</v>
      </c>
      <c r="K35" s="6" t="n"/>
      <c r="L35" s="6" t="n"/>
      <c r="M35" s="6" t="n"/>
      <c r="N35" s="6" t="n"/>
      <c r="O35" s="6" t="n"/>
      <c r="P35" s="6" t="n"/>
      <c r="Q35" s="6" t="n"/>
      <c r="R35" s="6" t="n"/>
    </row>
    <row r="36">
      <c r="A36" s="6" t="inlineStr">
        <is>
          <t>Revaluation of investment properties (UK GAAP line, FY2014-FY2015 only, net of deferred tax)</t>
        </is>
      </c>
      <c r="B36" s="6" t="n"/>
      <c r="C36" s="6" t="n"/>
      <c r="D36" s="6" t="n"/>
      <c r="E36" s="6" t="n"/>
      <c r="F36" s="6" t="n"/>
      <c r="G36" s="6" t="n"/>
      <c r="H36" s="6" t="n"/>
      <c r="I36" s="6" t="n"/>
      <c r="J36" s="6" t="n"/>
      <c r="K36" s="6" t="n"/>
      <c r="L36" s="6" t="n">
        <v>-1.5</v>
      </c>
      <c r="M36" s="6" t="n">
        <v>0.3</v>
      </c>
      <c r="N36" s="6" t="n"/>
      <c r="O36" s="6" t="n"/>
      <c r="P36" s="6" t="n"/>
      <c r="Q36" s="6" t="n"/>
      <c r="R36" s="6" t="n"/>
    </row>
    <row r="37">
      <c r="A37" s="5" t="inlineStr">
        <is>
          <t>Total other comprehensive income/(loss)</t>
        </is>
      </c>
      <c r="B37" s="5" t="n">
        <v>0.5</v>
      </c>
      <c r="C37" s="5" t="n">
        <v>1.1</v>
      </c>
      <c r="D37" s="5" t="n">
        <v>-1</v>
      </c>
      <c r="E37" s="5" t="n">
        <v>6.6</v>
      </c>
      <c r="F37" s="5" t="n">
        <v>1.8</v>
      </c>
      <c r="G37" s="5" t="n">
        <v>-3.4</v>
      </c>
      <c r="H37" s="5" t="n">
        <v>-2.3</v>
      </c>
      <c r="I37" s="5" t="n">
        <v>-1.1</v>
      </c>
      <c r="J37" s="5" t="n">
        <v>-1.4</v>
      </c>
      <c r="K37" s="5" t="n">
        <v>-4.6</v>
      </c>
      <c r="L37" s="5" t="n">
        <v>-2.5</v>
      </c>
      <c r="M37" s="5" t="n">
        <v>-0.3</v>
      </c>
      <c r="N37" s="5" t="n">
        <v>-1</v>
      </c>
      <c r="O37" s="5" t="n">
        <v>-1.6</v>
      </c>
      <c r="P37" s="5" t="n">
        <v>-1.4</v>
      </c>
      <c r="Q37" s="5" t="n">
        <v>0.7</v>
      </c>
      <c r="R37" s="5" t="n">
        <v>-2.8</v>
      </c>
    </row>
    <row r="38">
      <c r="A38" s="5" t="inlineStr">
        <is>
          <t>Total comprehensive (loss)/income for the year</t>
        </is>
      </c>
      <c r="B38" s="5" t="n">
        <v>-3.4</v>
      </c>
      <c r="C38" s="5" t="n">
        <v>-0.6</v>
      </c>
      <c r="D38" s="5" t="n">
        <v>-1.2</v>
      </c>
      <c r="E38" s="5" t="n">
        <v>11.4</v>
      </c>
      <c r="F38" s="5" t="n">
        <v>7.6</v>
      </c>
      <c r="G38" s="5" t="n">
        <v>-19.3</v>
      </c>
      <c r="H38" s="5" t="n">
        <v>-8</v>
      </c>
      <c r="I38" s="5" t="n">
        <v>4.4</v>
      </c>
      <c r="J38" s="5" t="n">
        <v>8.800000000000001</v>
      </c>
      <c r="K38" s="5" t="n">
        <v>13</v>
      </c>
      <c r="L38" s="5" t="n">
        <v>1.8</v>
      </c>
      <c r="M38" s="5" t="n">
        <v>3.8</v>
      </c>
      <c r="N38" s="5" t="n">
        <v>2.6</v>
      </c>
      <c r="O38" s="5" t="n">
        <v>1</v>
      </c>
      <c r="P38" s="5" t="n">
        <v>0.5</v>
      </c>
      <c r="Q38" s="5" t="n">
        <v>2</v>
      </c>
      <c r="R38" s="5" t="n">
        <v>-2.1</v>
      </c>
    </row>
    <row r="40" ht="280" customHeight="1">
      <c r="A40"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Julian Hodge Bank Limited — Statement of Changes in Equity</t>
        </is>
      </c>
    </row>
    <row r="2">
      <c r="A2" s="2" t="inlineStr">
        <is>
          <t>Chronological roll-forward, oldest to newest, FY2014-FY2025. Reconciliation ladder ties exactly year-to-year and to each year's own Balance Sheet Total equity throughout, with one documented exception: the FY2016/FY2017 boundary carries an explicit prior-period-error restatement row (see sheet note). 'Other reserves' column is Revaluation reserve (FY2014-FY2015, UK GAAP) / Available-for-sale + Pension reserve combined (FY2016-FY2019) / Pension reserve only (FY2020 onward, post-IFRS 9). £m.</t>
        </is>
      </c>
    </row>
    <row r="3">
      <c r="A3" s="4" t="inlineStr">
        <is>
          <t>Movement</t>
        </is>
      </c>
      <c r="B3" s="4" t="inlineStr">
        <is>
          <t>Called up share capital</t>
        </is>
      </c>
      <c r="C3" s="4" t="inlineStr">
        <is>
          <t>Retained earnings</t>
        </is>
      </c>
      <c r="D3" s="4" t="inlineStr">
        <is>
          <t>Other reserves (see sheet note)</t>
        </is>
      </c>
      <c r="E3" s="4" t="inlineStr">
        <is>
          <t>Total</t>
        </is>
      </c>
    </row>
    <row r="4">
      <c r="A4" s="5" t="inlineStr">
        <is>
          <t>Opening balance at 1 November 2009 (FY2010 opening, per the FY2010 Annual Report; FY2009's own 1 November 2008 opening and component movement are not available from the sourced documents - see HD074_NOTE - so the ladder begins here, one year later than the Balance Sheet/P&amp;L sheets)</t>
        </is>
      </c>
      <c r="B4" s="5" t="n">
        <v>100</v>
      </c>
      <c r="C4" s="5" t="n">
        <v>22.1</v>
      </c>
      <c r="D4" s="5" t="n"/>
      <c r="E4" s="5" t="n">
        <v>122.1</v>
      </c>
    </row>
    <row r="5">
      <c r="A5" s="6" t="inlineStr">
        <is>
          <t>Profit for the financial year</t>
        </is>
      </c>
      <c r="B5" s="6" t="n"/>
      <c r="C5" s="6" t="n">
        <v>1.3</v>
      </c>
      <c r="D5" s="6" t="n"/>
      <c r="E5" s="6" t="n">
        <v>1.3</v>
      </c>
    </row>
    <row r="6">
      <c r="A6" s="5" t="inlineStr">
        <is>
          <t>At 31 October 2010 (FY2010 closing)</t>
        </is>
      </c>
      <c r="B6" s="5" t="n">
        <v>100</v>
      </c>
      <c r="C6" s="5" t="n">
        <v>24.1</v>
      </c>
      <c r="D6" s="5" t="n"/>
      <c r="E6" s="5" t="n">
        <v>124.1</v>
      </c>
    </row>
    <row r="7">
      <c r="A7" s="6" t="inlineStr">
        <is>
          <t>Profit for the financial year</t>
        </is>
      </c>
      <c r="B7" s="6" t="n"/>
      <c r="C7" s="6" t="n">
        <v>2</v>
      </c>
      <c r="D7" s="6" t="n"/>
      <c r="E7" s="6" t="n">
        <v>2</v>
      </c>
    </row>
    <row r="8">
      <c r="A8" s="6" t="inlineStr">
        <is>
          <t>Deficit on revaluation of investment properties</t>
        </is>
      </c>
      <c r="B8" s="6" t="n"/>
      <c r="C8" s="6" t="n"/>
      <c r="D8" s="6" t="n">
        <v>-1</v>
      </c>
      <c r="E8" s="6" t="n">
        <v>-1</v>
      </c>
    </row>
    <row r="9">
      <c r="A9" s="6" t="inlineStr">
        <is>
          <t>Actuarial loss recognised in the pension scheme (net of deferred tax)</t>
        </is>
      </c>
      <c r="B9" s="6" t="n"/>
      <c r="C9" s="6" t="n">
        <v>-0.4</v>
      </c>
      <c r="D9" s="6" t="n"/>
      <c r="E9" s="6" t="n">
        <v>-0.4</v>
      </c>
    </row>
    <row r="10">
      <c r="A10" s="5" t="inlineStr">
        <is>
          <t>At 31 October 2011 (FY2011 closing)</t>
        </is>
      </c>
      <c r="B10" s="5" t="n">
        <v>100</v>
      </c>
      <c r="C10" s="5" t="n">
        <v>25.7</v>
      </c>
      <c r="D10" s="5" t="n">
        <v>-1</v>
      </c>
      <c r="E10" s="5" t="n">
        <v>124.7</v>
      </c>
    </row>
    <row r="11">
      <c r="A11" s="6" t="inlineStr">
        <is>
          <t>Profit for the financial year</t>
        </is>
      </c>
      <c r="B11" s="6" t="n"/>
      <c r="C11" s="6" t="n">
        <v>2.6</v>
      </c>
      <c r="D11" s="6" t="n"/>
      <c r="E11" s="6" t="n">
        <v>2.6</v>
      </c>
    </row>
    <row r="12">
      <c r="A12" s="6" t="inlineStr">
        <is>
          <t>Deficit on revaluation of investment properties</t>
        </is>
      </c>
      <c r="B12" s="6" t="n"/>
      <c r="C12" s="6" t="n"/>
      <c r="D12" s="6" t="n">
        <v>-0.4</v>
      </c>
      <c r="E12" s="6" t="n">
        <v>-0.4</v>
      </c>
    </row>
    <row r="13">
      <c r="A13" s="6" t="inlineStr">
        <is>
          <t>Actuarial loss recognised in the pension scheme (net of deferred tax)</t>
        </is>
      </c>
      <c r="B13" s="6" t="n"/>
      <c r="C13" s="6" t="n">
        <v>-1.2</v>
      </c>
      <c r="D13" s="6" t="n"/>
      <c r="E13" s="6" t="n">
        <v>-1.2</v>
      </c>
    </row>
    <row r="14">
      <c r="A14" s="5" t="inlineStr">
        <is>
          <t>At 31 October 2012 (FY2012 closing, per the FY2013 Annual Report's own comparative - see HD074_NOTE on the FY2012 standalone-document gap)</t>
        </is>
      </c>
      <c r="B14" s="5" t="n">
        <v>100</v>
      </c>
      <c r="C14" s="5" t="n">
        <v>27.1</v>
      </c>
      <c r="D14" s="5" t="n">
        <v>-1.4</v>
      </c>
      <c r="E14" s="5" t="n">
        <v>125.6</v>
      </c>
    </row>
    <row r="15">
      <c r="A15" s="6" t="inlineStr">
        <is>
          <t>Profit for the financial year</t>
        </is>
      </c>
      <c r="B15" s="6" t="n"/>
      <c r="C15" s="6" t="n">
        <v>3.5</v>
      </c>
      <c r="D15" s="6" t="n"/>
      <c r="E15" s="6" t="n">
        <v>3.5</v>
      </c>
    </row>
    <row r="16">
      <c r="A16" s="6" t="inlineStr">
        <is>
          <t>Actuarial loss recognised in the pension scheme (net of deferred tax)</t>
        </is>
      </c>
      <c r="B16" s="6" t="n"/>
      <c r="C16" s="6" t="n">
        <v>-1</v>
      </c>
      <c r="D16" s="6" t="n"/>
      <c r="E16" s="6" t="n">
        <v>-1</v>
      </c>
    </row>
    <row r="17">
      <c r="A17" s="5" t="inlineStr">
        <is>
          <t>Opening balance at 1 November 2013 (FY2014 opening)</t>
        </is>
      </c>
      <c r="B17" s="5" t="n">
        <v>100</v>
      </c>
      <c r="C17" s="5" t="n">
        <v>29.7</v>
      </c>
      <c r="D17" s="5" t="n">
        <v>-1.4</v>
      </c>
      <c r="E17" s="5" t="n">
        <v>128.2</v>
      </c>
    </row>
    <row r="18">
      <c r="A18" s="6" t="inlineStr">
        <is>
          <t>Profit for the financial year</t>
        </is>
      </c>
      <c r="B18" s="6" t="n"/>
      <c r="C18" s="6" t="n">
        <v>4.1</v>
      </c>
      <c r="D18" s="6" t="n"/>
      <c r="E18" s="6" t="n">
        <v>4.1</v>
      </c>
    </row>
    <row r="19">
      <c r="A19" s="6" t="inlineStr">
        <is>
          <t>Actuarial loss recognised in the pension scheme (net of deferred tax)</t>
        </is>
      </c>
      <c r="B19" s="6" t="n"/>
      <c r="C19" s="6" t="n">
        <v>-1.4</v>
      </c>
      <c r="D19" s="6" t="n"/>
      <c r="E19" s="6" t="n">
        <v>-1.4</v>
      </c>
    </row>
    <row r="20">
      <c r="A20" s="6" t="inlineStr">
        <is>
          <t>Recognition of pension scheme reimbursement asset (net of deferred tax)</t>
        </is>
      </c>
      <c r="B20" s="6" t="n"/>
      <c r="C20" s="6" t="n">
        <v>0.7</v>
      </c>
      <c r="D20" s="6" t="n"/>
      <c r="E20" s="6" t="n">
        <v>0.7</v>
      </c>
    </row>
    <row r="21">
      <c r="A21" s="6" t="inlineStr">
        <is>
          <t>Revaluation of investment properties</t>
        </is>
      </c>
      <c r="B21" s="6" t="n"/>
      <c r="C21" s="6" t="n"/>
      <c r="D21" s="6" t="n">
        <v>0.3</v>
      </c>
      <c r="E21" s="6" t="n">
        <v>0.3</v>
      </c>
    </row>
    <row r="22">
      <c r="A22" s="5" t="inlineStr">
        <is>
          <t>At 31 October 2014 (FY2014 closing)</t>
        </is>
      </c>
      <c r="B22" s="5" t="n">
        <v>100</v>
      </c>
      <c r="C22" s="5" t="n">
        <v>33.1</v>
      </c>
      <c r="D22" s="5" t="n">
        <v>-1.1</v>
      </c>
      <c r="E22" s="5" t="n">
        <v>132</v>
      </c>
    </row>
    <row r="23">
      <c r="A23" s="6" t="inlineStr">
        <is>
          <t>Profit for the financial year</t>
        </is>
      </c>
      <c r="B23" s="6" t="n"/>
      <c r="C23" s="6" t="n">
        <v>4.3</v>
      </c>
      <c r="D23" s="6" t="n"/>
      <c r="E23" s="6" t="n">
        <v>4.3</v>
      </c>
    </row>
    <row r="24">
      <c r="A24" s="6" t="inlineStr">
        <is>
          <t>Actuarial loss recognised in the pension scheme (net of deferred tax)</t>
        </is>
      </c>
      <c r="B24" s="6" t="n"/>
      <c r="C24" s="6" t="n">
        <v>-1.1</v>
      </c>
      <c r="D24" s="6" t="n"/>
      <c r="E24" s="6" t="n">
        <v>-1.1</v>
      </c>
    </row>
    <row r="25">
      <c r="A25" s="6" t="inlineStr">
        <is>
          <t>Recognition of pension scheme reimbursement asset (net of deferred tax)</t>
        </is>
      </c>
      <c r="B25" s="6" t="n"/>
      <c r="C25" s="6" t="n">
        <v>0.1</v>
      </c>
      <c r="D25" s="6" t="n"/>
      <c r="E25" s="6" t="n">
        <v>0.1</v>
      </c>
    </row>
    <row r="26">
      <c r="A26" s="6" t="inlineStr">
        <is>
          <t>Revaluation of investment properties</t>
        </is>
      </c>
      <c r="B26" s="6" t="n"/>
      <c r="C26" s="6" t="n"/>
      <c r="D26" s="6" t="n">
        <v>-1.5</v>
      </c>
      <c r="E26" s="6" t="n">
        <v>-1.5</v>
      </c>
    </row>
    <row r="27">
      <c r="A27" s="5" t="inlineStr">
        <is>
          <t>At 31 October 2015 (FY2015 closing)</t>
        </is>
      </c>
      <c r="B27" s="5" t="n">
        <v>100</v>
      </c>
      <c r="C27" s="5" t="n">
        <v>36.4</v>
      </c>
      <c r="D27" s="5" t="n">
        <v>-2.6</v>
      </c>
      <c r="E27" s="5" t="n">
        <v>133.7</v>
      </c>
    </row>
    <row r="28">
      <c r="A28" s="6" t="inlineStr">
        <is>
          <t>Profit for the financial year</t>
        </is>
      </c>
      <c r="B28" s="6" t="n"/>
      <c r="C28" s="6" t="n">
        <v>17.6</v>
      </c>
      <c r="D28" s="6" t="n"/>
      <c r="E28" s="6" t="n">
        <v>17.6</v>
      </c>
    </row>
    <row r="29">
      <c r="A29" s="6" t="inlineStr">
        <is>
          <t>Other comprehensive income (AFS + pension, FRS101 first-year transition)</t>
        </is>
      </c>
      <c r="B29" s="6" t="n"/>
      <c r="C29" s="6" t="n"/>
      <c r="D29" s="6" t="n">
        <v>-4.6</v>
      </c>
      <c r="E29" s="6" t="n">
        <v>-4.6</v>
      </c>
    </row>
    <row r="30">
      <c r="A30" s="5" t="inlineStr">
        <is>
          <t>At 31 October 2016 (FY2016 closing, as originally reported in the FY2016 Annual Report)</t>
        </is>
      </c>
      <c r="B30" s="5" t="n">
        <v>100</v>
      </c>
      <c r="C30" s="5" t="n">
        <v>49.4</v>
      </c>
      <c r="D30" s="5" t="n">
        <v>-3.1</v>
      </c>
      <c r="E30" s="5" t="n">
        <v>146.3</v>
      </c>
    </row>
    <row r="31">
      <c r="A31" s="6" t="inlineStr">
        <is>
          <t>Prior period error restatement (FY2017 Annual Report, Note 36 - not reflected in FY2016's own original report)</t>
        </is>
      </c>
      <c r="B31" s="6" t="n"/>
      <c r="C31" s="6" t="n">
        <v>7.2</v>
      </c>
      <c r="D31" s="6" t="n"/>
      <c r="E31" s="6" t="n">
        <v>7.2</v>
      </c>
    </row>
    <row r="32">
      <c r="A32" s="5" t="inlineStr">
        <is>
          <t>At 31 October 2016 (restated, per the FY2017 Annual Report's own comparative)</t>
        </is>
      </c>
      <c r="B32" s="5" t="n">
        <v>100</v>
      </c>
      <c r="C32" s="5" t="n">
        <v>56.6</v>
      </c>
      <c r="D32" s="5" t="n">
        <v>-3.1</v>
      </c>
      <c r="E32" s="5" t="n">
        <v>153.5</v>
      </c>
    </row>
    <row r="33">
      <c r="A33" s="6" t="inlineStr">
        <is>
          <t>Profit for the financial year</t>
        </is>
      </c>
      <c r="B33" s="6" t="n"/>
      <c r="C33" s="6" t="n">
        <v>10.2</v>
      </c>
      <c r="D33" s="6" t="n"/>
      <c r="E33" s="6" t="n">
        <v>10.2</v>
      </c>
    </row>
    <row r="34">
      <c r="A34" s="6" t="inlineStr">
        <is>
          <t>Other comprehensive income (AFS + pension)</t>
        </is>
      </c>
      <c r="B34" s="6" t="n"/>
      <c r="C34" s="6" t="n"/>
      <c r="D34" s="6" t="n">
        <v>-1.4</v>
      </c>
      <c r="E34" s="6" t="n">
        <v>-1.4</v>
      </c>
    </row>
    <row r="35">
      <c r="A35" s="6" t="inlineStr">
        <is>
          <t>Issue of share capital</t>
        </is>
      </c>
      <c r="B35" s="6" t="n">
        <v>5</v>
      </c>
      <c r="C35" s="6" t="n"/>
      <c r="D35" s="6" t="n"/>
      <c r="E35" s="6" t="n">
        <v>5</v>
      </c>
    </row>
    <row r="36">
      <c r="A36" s="5" t="inlineStr">
        <is>
          <t>At 31 October 2017 (FY2017 closing)</t>
        </is>
      </c>
      <c r="B36" s="5" t="n">
        <v>105</v>
      </c>
      <c r="C36" s="5" t="n">
        <v>66.8</v>
      </c>
      <c r="D36" s="5" t="n">
        <v>-4.5</v>
      </c>
      <c r="E36" s="5" t="n">
        <v>167.3</v>
      </c>
    </row>
    <row r="37">
      <c r="A37" s="6" t="inlineStr">
        <is>
          <t>Profit for the financial year</t>
        </is>
      </c>
      <c r="B37" s="6" t="n"/>
      <c r="C37" s="6" t="n">
        <v>5.9</v>
      </c>
      <c r="D37" s="6" t="n">
        <v>-0.4</v>
      </c>
      <c r="E37" s="6" t="n">
        <v>5.5</v>
      </c>
    </row>
    <row r="38">
      <c r="A38" s="6" t="inlineStr">
        <is>
          <t>Other comprehensive income (AFS + pension)</t>
        </is>
      </c>
      <c r="B38" s="6" t="n"/>
      <c r="C38" s="6" t="n"/>
      <c r="D38" s="6" t="n">
        <v>-1.1</v>
      </c>
      <c r="E38" s="6" t="n">
        <v>-1.1</v>
      </c>
    </row>
    <row r="39">
      <c r="A39" s="5" t="inlineStr">
        <is>
          <t>At 31 October 2018 (FY2018 closing)</t>
        </is>
      </c>
      <c r="B39" s="5" t="n">
        <v>105</v>
      </c>
      <c r="C39" s="5" t="n">
        <v>72.7</v>
      </c>
      <c r="D39" s="5" t="n">
        <v>-6</v>
      </c>
      <c r="E39" s="5" t="n">
        <v>171.7</v>
      </c>
    </row>
    <row r="40">
      <c r="A40" s="6" t="inlineStr">
        <is>
          <t>Impact of adoption of IFRS 9 (extinguishes the AFS reserve)</t>
        </is>
      </c>
      <c r="B40" s="6" t="n"/>
      <c r="C40" s="6" t="n">
        <v>-0.7</v>
      </c>
      <c r="D40" s="6" t="n">
        <v>-2.7</v>
      </c>
      <c r="E40" s="6" t="n">
        <v>-3.4</v>
      </c>
    </row>
    <row r="41">
      <c r="A41" s="6" t="inlineStr">
        <is>
          <t>Loss for the financial year</t>
        </is>
      </c>
      <c r="B41" s="6" t="n"/>
      <c r="C41" s="6" t="n">
        <v>-5.3</v>
      </c>
      <c r="D41" s="6" t="n">
        <v>-0.4</v>
      </c>
      <c r="E41" s="6" t="n">
        <v>-5.7</v>
      </c>
    </row>
    <row r="42">
      <c r="A42" s="6" t="inlineStr">
        <is>
          <t>Other comprehensive income (pension only - AFS reserve extinguished)</t>
        </is>
      </c>
      <c r="B42" s="6" t="n"/>
      <c r="C42" s="6" t="n"/>
      <c r="D42" s="6" t="n">
        <v>-2.3</v>
      </c>
      <c r="E42" s="6" t="n">
        <v>-2.3</v>
      </c>
    </row>
    <row r="43">
      <c r="A43" s="5" t="inlineStr">
        <is>
          <t>At 31 October 2019 (FY2019 closing)</t>
        </is>
      </c>
      <c r="B43" s="5" t="n">
        <v>105</v>
      </c>
      <c r="C43" s="5" t="n">
        <v>66.7</v>
      </c>
      <c r="D43" s="5" t="n">
        <v>-11.4</v>
      </c>
      <c r="E43" s="5" t="n">
        <v>160.3</v>
      </c>
    </row>
    <row r="44">
      <c r="A44" s="6" t="inlineStr">
        <is>
          <t>Loss for the financial year</t>
        </is>
      </c>
      <c r="B44" s="6" t="n"/>
      <c r="C44" s="6" t="n">
        <v>-16.3</v>
      </c>
      <c r="D44" s="6" t="n">
        <v>0.4</v>
      </c>
      <c r="E44" s="6" t="n">
        <v>-15.9</v>
      </c>
    </row>
    <row r="45">
      <c r="A45" s="6" t="inlineStr">
        <is>
          <t>Other comprehensive income</t>
        </is>
      </c>
      <c r="B45" s="6" t="n"/>
      <c r="C45" s="6" t="n"/>
      <c r="D45" s="6" t="n">
        <v>-3.4</v>
      </c>
      <c r="E45" s="6" t="n">
        <v>-3.4</v>
      </c>
    </row>
    <row r="46">
      <c r="A46" s="5" t="inlineStr">
        <is>
          <t>At 30 September 2020 (FY2020 closing - 11-month transition period; opening balance below = FY2021 opening)</t>
        </is>
      </c>
      <c r="B46" s="5" t="n">
        <v>105</v>
      </c>
      <c r="C46" s="5" t="n">
        <v>50.4</v>
      </c>
      <c r="D46" s="5" t="n">
        <v>-14.4</v>
      </c>
      <c r="E46" s="5" t="n">
        <v>141</v>
      </c>
    </row>
    <row r="47">
      <c r="A47" s="5" t="inlineStr">
        <is>
          <t>Opening balance at 1 October 2020 (FY2021 opening)</t>
        </is>
      </c>
      <c r="B47" s="5" t="n">
        <v>105</v>
      </c>
      <c r="C47" s="5" t="n">
        <v>50.4</v>
      </c>
      <c r="D47" s="5" t="n">
        <v>-14.4</v>
      </c>
      <c r="E47" s="5" t="n">
        <v>141</v>
      </c>
    </row>
    <row r="48">
      <c r="A48" s="6" t="inlineStr">
        <is>
          <t>Profit for the financial year</t>
        </is>
      </c>
      <c r="B48" s="6" t="n"/>
      <c r="C48" s="6" t="n">
        <v>5.5</v>
      </c>
      <c r="D48" s="6" t="n">
        <v>0.3</v>
      </c>
      <c r="E48" s="6" t="n">
        <v>5.8</v>
      </c>
    </row>
    <row r="49">
      <c r="A49" s="6" t="inlineStr">
        <is>
          <t>Other comprehensive income</t>
        </is>
      </c>
      <c r="B49" s="6" t="n"/>
      <c r="C49" s="6" t="n"/>
      <c r="D49" s="6" t="n">
        <v>1.8</v>
      </c>
      <c r="E49" s="6" t="n">
        <v>1.8</v>
      </c>
    </row>
    <row r="50">
      <c r="A50" s="5" t="inlineStr">
        <is>
          <t>At 30 September 2021 (FY2021 closing)</t>
        </is>
      </c>
      <c r="B50" s="5" t="n">
        <v>105</v>
      </c>
      <c r="C50" s="5" t="n">
        <v>54.3</v>
      </c>
      <c r="D50" s="5" t="n">
        <v>-10.7</v>
      </c>
      <c r="E50" s="5" t="n">
        <v>148.6</v>
      </c>
    </row>
    <row r="51">
      <c r="A51" s="6" t="inlineStr">
        <is>
          <t>Issue of share capital</t>
        </is>
      </c>
      <c r="B51" s="6" t="n">
        <v>25</v>
      </c>
      <c r="C51" s="6" t="n"/>
      <c r="D51" s="6" t="n"/>
      <c r="E51" s="6" t="n">
        <v>25</v>
      </c>
    </row>
    <row r="52">
      <c r="A52" s="6" t="inlineStr">
        <is>
          <t>Profit for the financial year</t>
        </is>
      </c>
      <c r="B52" s="6" t="n"/>
      <c r="C52" s="6" t="n">
        <v>5.2</v>
      </c>
      <c r="D52" s="6" t="n">
        <v>-0.4</v>
      </c>
      <c r="E52" s="6" t="n">
        <v>4.8</v>
      </c>
    </row>
    <row r="53">
      <c r="A53" s="6" t="inlineStr">
        <is>
          <t>Other comprehensive income</t>
        </is>
      </c>
      <c r="B53" s="6" t="n"/>
      <c r="C53" s="6" t="n"/>
      <c r="D53" s="6" t="n">
        <v>6.6</v>
      </c>
      <c r="E53" s="6" t="n">
        <v>6.6</v>
      </c>
    </row>
    <row r="54">
      <c r="A54" s="6" t="inlineStr">
        <is>
          <t>Pension additional contribution</t>
        </is>
      </c>
      <c r="B54" s="6" t="n"/>
      <c r="C54" s="6" t="n">
        <v>-1.2</v>
      </c>
      <c r="D54" s="6" t="n">
        <v>1.2</v>
      </c>
      <c r="E54" s="6" t="n"/>
    </row>
    <row r="55">
      <c r="A55" s="5" t="inlineStr">
        <is>
          <t>At 30 September 2022 (FY2022 closing)</t>
        </is>
      </c>
      <c r="B55" s="5" t="n">
        <v>130</v>
      </c>
      <c r="C55" s="5" t="n">
        <v>58.3</v>
      </c>
      <c r="D55" s="5" t="n">
        <v>-3.3</v>
      </c>
      <c r="E55" s="5" t="n">
        <v>185</v>
      </c>
    </row>
    <row r="56">
      <c r="A56" s="6" t="inlineStr">
        <is>
          <t>Loss for the financial year</t>
        </is>
      </c>
      <c r="B56" s="6" t="n"/>
      <c r="C56" s="6" t="n">
        <v>0.1</v>
      </c>
      <c r="D56" s="6" t="n">
        <v>-0.3</v>
      </c>
      <c r="E56" s="6" t="n">
        <v>-0.2</v>
      </c>
    </row>
    <row r="57">
      <c r="A57" s="6" t="inlineStr">
        <is>
          <t>Other comprehensive loss</t>
        </is>
      </c>
      <c r="B57" s="6" t="n"/>
      <c r="C57" s="6" t="n"/>
      <c r="D57" s="6" t="n">
        <v>-1</v>
      </c>
      <c r="E57" s="6" t="n">
        <v>-1</v>
      </c>
    </row>
    <row r="58">
      <c r="A58" s="6" t="inlineStr">
        <is>
          <t>Pension additional contribution</t>
        </is>
      </c>
      <c r="B58" s="6" t="n"/>
      <c r="C58" s="6" t="n">
        <v>-1.8</v>
      </c>
      <c r="D58" s="6" t="n">
        <v>1.8</v>
      </c>
      <c r="E58" s="6" t="n"/>
    </row>
    <row r="59">
      <c r="A59" s="5" t="inlineStr">
        <is>
          <t>At 30 September 2023 (FY2023 closing)</t>
        </is>
      </c>
      <c r="B59" s="5" t="n">
        <v>130</v>
      </c>
      <c r="C59" s="5" t="n">
        <v>56.6</v>
      </c>
      <c r="D59" s="5" t="n">
        <v>-2.8</v>
      </c>
      <c r="E59" s="5" t="n">
        <v>183.8</v>
      </c>
    </row>
    <row r="60">
      <c r="A60" s="6" t="inlineStr">
        <is>
          <t>Loss for the financial year</t>
        </is>
      </c>
      <c r="B60" s="6" t="n"/>
      <c r="C60" s="6" t="n">
        <v>-1.5</v>
      </c>
      <c r="D60" s="6" t="n">
        <v>-0.2</v>
      </c>
      <c r="E60" s="6" t="n">
        <v>-1.7</v>
      </c>
    </row>
    <row r="61">
      <c r="A61" s="6" t="inlineStr">
        <is>
          <t>Other comprehensive income</t>
        </is>
      </c>
      <c r="B61" s="6" t="n"/>
      <c r="C61" s="6" t="n"/>
      <c r="D61" s="6" t="n">
        <v>1.1</v>
      </c>
      <c r="E61" s="6" t="n">
        <v>1.1</v>
      </c>
    </row>
    <row r="62">
      <c r="A62" s="6" t="inlineStr">
        <is>
          <t>Pension additional contribution</t>
        </is>
      </c>
      <c r="B62" s="6" t="n"/>
      <c r="C62" s="6" t="n">
        <v>-3</v>
      </c>
      <c r="D62" s="6" t="n">
        <v>3</v>
      </c>
      <c r="E62" s="6" t="n"/>
    </row>
    <row r="63">
      <c r="A63" s="5" t="inlineStr">
        <is>
          <t>At 30 September 2024 (FY2024 closing)</t>
        </is>
      </c>
      <c r="B63" s="5" t="n">
        <v>130</v>
      </c>
      <c r="C63" s="5" t="n">
        <v>52.1</v>
      </c>
      <c r="D63" s="5" t="n">
        <v>1.1</v>
      </c>
      <c r="E63" s="5" t="n">
        <v>183.2</v>
      </c>
    </row>
    <row r="64">
      <c r="A64" s="6" t="inlineStr">
        <is>
          <t>Loss for the financial year</t>
        </is>
      </c>
      <c r="B64" s="6" t="n"/>
      <c r="C64" s="6" t="n">
        <v>-3.9</v>
      </c>
      <c r="D64" s="6" t="n"/>
      <c r="E64" s="6" t="n">
        <v>-3.9</v>
      </c>
    </row>
    <row r="65">
      <c r="A65" s="6" t="inlineStr">
        <is>
          <t>Other comprehensive income</t>
        </is>
      </c>
      <c r="B65" s="6" t="n"/>
      <c r="C65" s="6" t="n"/>
      <c r="D65" s="6" t="n">
        <v>0.5</v>
      </c>
      <c r="E65" s="6" t="n">
        <v>0.5</v>
      </c>
    </row>
    <row r="66">
      <c r="A66" s="5" t="inlineStr">
        <is>
          <t>At 30 September 2025 (FY2025 closing)</t>
        </is>
      </c>
      <c r="B66" s="5" t="n">
        <v>130</v>
      </c>
      <c r="C66" s="5" t="n">
        <v>48.2</v>
      </c>
      <c r="D66" s="5" t="n">
        <v>1.6</v>
      </c>
      <c r="E66" s="5" t="n">
        <v>179.8</v>
      </c>
    </row>
    <row r="68" ht="150" customHeight="1">
      <c r="A68"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68:E6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Julian Hodge Bank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c r="N3" s="4" t="inlineStr">
        <is>
          <t>FY2013</t>
        </is>
      </c>
      <c r="O3" s="4" t="inlineStr">
        <is>
          <t>FY2012</t>
        </is>
      </c>
      <c r="P3" s="4" t="inlineStr">
        <is>
          <t>FY2011</t>
        </is>
      </c>
      <c r="Q3" s="4" t="inlineStr">
        <is>
          <t>FY2010</t>
        </is>
      </c>
      <c r="R3" s="4" t="inlineStr">
        <is>
          <t>FY2009</t>
        </is>
      </c>
    </row>
    <row r="4">
      <c r="A4" s="5" t="inlineStr">
        <is>
          <t>No Statement of Cash Flows is published by this entity in any year</t>
        </is>
      </c>
      <c r="B4" s="6" t="n"/>
      <c r="C4" s="6" t="n"/>
      <c r="D4" s="6" t="n"/>
      <c r="E4" s="6" t="n"/>
      <c r="F4" s="6" t="n"/>
      <c r="G4" s="6" t="n"/>
      <c r="H4" s="6" t="n"/>
      <c r="I4" s="6" t="n"/>
      <c r="J4" s="6" t="n"/>
      <c r="K4" s="6" t="n"/>
      <c r="L4" s="6" t="n"/>
      <c r="M4" s="6" t="n"/>
      <c r="N4" s="6" t="n"/>
      <c r="O4" s="6" t="n"/>
      <c r="P4" s="6" t="n"/>
      <c r="Q4" s="6" t="n"/>
      <c r="R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c r="L5" s="6" t="n"/>
      <c r="M5" s="6" t="n"/>
      <c r="N5" s="6" t="n"/>
      <c r="O5" s="6" t="n"/>
      <c r="P5" s="6" t="n"/>
      <c r="Q5" s="6" t="n"/>
      <c r="R5" s="6" t="n"/>
    </row>
    <row r="7" ht="260" customHeight="1">
      <c r="A7" s="8" t="inlineStr">
        <is>
          <t>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FRS 101 / FRS 1 CASH-FLOW EXEMPTION: every Annual Report FY2016-FY2025 states in Note 1 (Basis of preparation) that the Bank "has applied the exemptions available under FRS 101 in respect of the following disclosures: A Cash Flow Statement and related notes; ..." - e.g. Julian Hodge Bank Limited Annual Report 2025, Note 1.1, p.42 - https://hodgebank.co.uk/wp-content/uploads/2026/02/Hodge-AR-28.01.26.pdf. FY2014-FY2015 (pre-FRS101, old UK GAAP) rely on the equivalent predecessor exemption under FRS 1 ('the Bank is exempt from the requirement to prepare a cash flow statement on the grounds that a parent undertaking includes the Bank in its own published consolidated financial statements') - e.g. Julian Hodge Bank Limited Directors' report and financial statements 2015, p.19 - https://web.archive.org/web/20220620025258id_/https://hodgebank.co.uk/wp-content/uploads/2019/01/jhb-financial-statements-20151031.pdf. The same FRS 1 exemption wording is confirmed present in each of the FY2009-FY2013 Directors' report and financial statements sourced for HD-074 (e.g. FY2010, FY2011, FY2013 reports, each Note 1) - see HD074_NOTE below. No Statement of Cash Flows exists in any of the entity's published accounts for any year FY2009-FY2025 - a standing structural feature spanning both the old-UK-GAAP and FRS101 eras, not a one-off or data gap. Per the project's established policy for this exemption (see The Bank of New York Mellon (International) Limited / ABC International Bank plc), this workbook is built as a PILLAR-3-ONLY variant: all 11 Pillar 3 metric sheets are populated below, but no cash flow figures exist to show. See the Overview sheet for the equivalent treatment there.
HISTORICAL-DEPTH NOTE (HD-074, added 2026-09-07): extends Balance Sheet, Profit &amp; Loss and Statement of Changes in Equity back to FY2009 (one year beyond HD-004's confirmed FY2010 statutory floor) - Pillar 3, Asset Quality and RWA Breakdown remain capped at FY2014 as a deliberate project-wide scope decision, not a sourcing gap. This entity has no Cash Flow Statement in any year (see EXEMPTION_NOTE on the Cash Flow Statement sheet) - the FRS1 predecessor exemption (identical grounds: a parent undertaking includes the Bank in its own published consolidated accounts) is confirmed explicitly stated in each of the FY2013/FY2011/FY2010 Annual Reports too, so this extension adds no Cash Flow Statement columns. FY2013 (and its own FY2012 comparative): Directors' report and financial statements 2013 - https://web.archive.org/web/20220620025323id_/https://hodgebank.co.uk/wp-content/uploads/2019/01/jhb-financial-statements-20131031.pdf
FY2011 (and its own FY2010 comparative): Directors' report and financial statements 2011 - https://web.archive.org/web/20220620025317id_/https://hodgebank.co.uk/wp-content/uploads/2019/01/jhb-financial-statements-20111031.pdf
FY2010 (and its own FY2009 comparative): Directors' report and financial statements 2010 - https://web.archive.org/web/20220620025334id_/https://hodgebank.co.uk/wp-content/uploads/2019/01/jhb-financial-statements-20101031.pdf
All 3 new filings are old UK GAAP (pre-FRS101), consistent with the existing FY2014/FY2015 treatment already on this sheet - no basis-transition gap exists at the FY2013/FY2014 boundary (FY2013's own closing Total equity of GBP128.2m ties exactly to FY2014's own opening position). 'Equity shares' is a genuine small distinct holding line disclosed in the FY2010-FY2012 Balance Sheets (nil in FY2013) - not folded into Debt securities or another line, since it is its own numbered note in the source accounts. FY2012's own Profit and Loss Account (per the FY2013 Annual Report's own comparative) reclassified certain cost/income sub-lines from how they were originally presented (a reclassification only, explained in that report's own Note 1 - profit for the year and net assets are unaffected). Every one of the 5 new years' Balance Sheet ties exactly (Total assets = Total liabilities + Total equity, verified to the exact £000) and every new year's disclosed Profit on ordinary activities before taxation and Total recognised gains and losses in the financial year are reproduced exactly by the rows on this sheet and the Profit &amp; Loss sheet.</t>
        </is>
      </c>
    </row>
  </sheetData>
  <mergeCells count="1">
    <mergeCell ref="A7:R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Asset Quality</t>
        </is>
      </c>
    </row>
    <row r="2">
      <c r="A2" s="2" t="inlineStr">
        <is>
          <t>Portfolio-wide IFRS 9 Stage 1/2/3 impairment provision roll-forward (Note 13/14).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Loans and advances to customers at amortised cost</t>
        </is>
      </c>
      <c r="B4" s="6" t="n"/>
      <c r="C4" s="6" t="n"/>
      <c r="D4" s="6" t="n"/>
      <c r="E4" s="6" t="n"/>
      <c r="F4" s="6" t="n"/>
      <c r="G4" s="6" t="n"/>
      <c r="H4" s="6" t="n"/>
      <c r="I4" s="6" t="n"/>
      <c r="J4" s="6" t="n"/>
      <c r="K4" s="6" t="n"/>
      <c r="L4" s="6" t="n"/>
      <c r="M4" s="6" t="n"/>
    </row>
    <row r="5">
      <c r="A5" s="6" t="inlineStr">
        <is>
          <t>Gross balances</t>
        </is>
      </c>
      <c r="B5" s="6" t="n">
        <v>1811.1</v>
      </c>
      <c r="C5" s="6" t="n">
        <v>1671.4</v>
      </c>
      <c r="D5" s="6" t="n">
        <v>1483.1</v>
      </c>
      <c r="E5" s="6" t="n">
        <v>1403.6</v>
      </c>
      <c r="F5" s="6" t="n">
        <v>989.9</v>
      </c>
      <c r="G5" s="6" t="n">
        <v>709.3</v>
      </c>
      <c r="H5" s="6" t="n">
        <v>526.4</v>
      </c>
      <c r="I5" s="6" t="n">
        <v>562.3</v>
      </c>
      <c r="J5" s="6" t="n">
        <v>469.9</v>
      </c>
      <c r="K5" s="6" t="n">
        <v>386.5</v>
      </c>
      <c r="L5" s="6" t="n">
        <v>335.3</v>
      </c>
      <c r="M5" s="6" t="n"/>
    </row>
    <row r="6">
      <c r="A6" s="6" t="inlineStr">
        <is>
          <t>Net loan fee deferral</t>
        </is>
      </c>
      <c r="B6" s="6" t="n">
        <v>13</v>
      </c>
      <c r="C6" s="6" t="n">
        <v>8.5</v>
      </c>
      <c r="D6" s="6" t="n">
        <v>2.9</v>
      </c>
      <c r="E6" s="6" t="n">
        <v>3.7</v>
      </c>
      <c r="F6" s="6" t="n">
        <v>1.9</v>
      </c>
      <c r="G6" s="6" t="n">
        <v>-0.8</v>
      </c>
      <c r="H6" s="6" t="n">
        <v>-1.7</v>
      </c>
      <c r="I6" s="6" t="n">
        <v>-2.3</v>
      </c>
      <c r="J6" s="6" t="n">
        <v>-2.5</v>
      </c>
      <c r="K6" s="6" t="n">
        <v>-2.3</v>
      </c>
      <c r="L6" s="6" t="n">
        <v>-1.9</v>
      </c>
      <c r="M6" s="6" t="n"/>
    </row>
    <row r="7">
      <c r="A7" s="6" t="inlineStr">
        <is>
          <t>Provision for impairment</t>
        </is>
      </c>
      <c r="B7" s="6" t="n">
        <v>-13.8</v>
      </c>
      <c r="C7" s="6" t="n">
        <v>-7.7</v>
      </c>
      <c r="D7" s="6" t="n">
        <v>-6</v>
      </c>
      <c r="E7" s="6" t="n">
        <v>-8.6</v>
      </c>
      <c r="F7" s="6" t="n">
        <v>-8.4</v>
      </c>
      <c r="G7" s="6" t="n">
        <v>-7.9</v>
      </c>
      <c r="H7" s="6" t="n">
        <v>-9.800000000000001</v>
      </c>
      <c r="I7" s="6" t="n">
        <v>-3.7</v>
      </c>
      <c r="J7" s="6" t="n">
        <v>-6.4</v>
      </c>
      <c r="K7" s="6" t="n">
        <v>-10</v>
      </c>
      <c r="L7" s="6" t="n">
        <v>-7.6</v>
      </c>
      <c r="M7" s="6" t="n">
        <v>-5.8</v>
      </c>
    </row>
    <row r="8">
      <c r="A8" s="5" t="inlineStr">
        <is>
          <t>Net balance (amortised cost)</t>
        </is>
      </c>
      <c r="B8" s="5" t="n">
        <v>1810.3</v>
      </c>
      <c r="C8" s="5" t="n">
        <v>1672.2</v>
      </c>
      <c r="D8" s="5" t="n">
        <v>1480</v>
      </c>
      <c r="E8" s="5" t="n">
        <v>1398.7</v>
      </c>
      <c r="F8" s="5" t="n">
        <v>983.4</v>
      </c>
      <c r="G8" s="5" t="n">
        <v>700.6</v>
      </c>
      <c r="H8" s="5" t="n">
        <v>514.9</v>
      </c>
      <c r="I8" s="5" t="n">
        <v>556.3</v>
      </c>
      <c r="J8" s="5" t="n">
        <v>461</v>
      </c>
      <c r="K8" s="5" t="n">
        <v>374.2</v>
      </c>
      <c r="L8" s="5" t="n">
        <v>325.8</v>
      </c>
      <c r="M8" s="5" t="n"/>
    </row>
    <row r="9">
      <c r="A9" s="6" t="inlineStr">
        <is>
          <t>Impairment provision coverage (%)</t>
        </is>
      </c>
      <c r="B9" s="6" t="inlineStr">
        <is>
          <t>0.76%</t>
        </is>
      </c>
      <c r="C9" s="6" t="inlineStr">
        <is>
          <t>0.46%</t>
        </is>
      </c>
      <c r="D9" s="6" t="inlineStr">
        <is>
          <t>0.40%</t>
        </is>
      </c>
      <c r="E9" s="6" t="inlineStr">
        <is>
          <t>0.61%</t>
        </is>
      </c>
      <c r="F9" s="6" t="inlineStr">
        <is>
          <t>0.85%</t>
        </is>
      </c>
      <c r="G9" s="6" t="inlineStr">
        <is>
          <t>1.11%</t>
        </is>
      </c>
      <c r="H9" s="6" t="inlineStr">
        <is>
          <t>1.86%</t>
        </is>
      </c>
      <c r="I9" s="6" t="inlineStr">
        <is>
          <t>0.66%</t>
        </is>
      </c>
      <c r="J9" s="6" t="inlineStr">
        <is>
          <t>1.36%</t>
        </is>
      </c>
      <c r="K9" s="6" t="inlineStr">
        <is>
          <t>2.59%</t>
        </is>
      </c>
      <c r="L9" s="6" t="inlineStr">
        <is>
          <t>2.27%</t>
        </is>
      </c>
      <c r="M9" s="6" t="n"/>
    </row>
    <row r="10">
      <c r="A10" s="5" t="inlineStr">
        <is>
          <t>Impairment provision, by IFRS 9 stage (IFRS 9 adopted 1 November 2018 - stage data only exists FY2019 onward; FY2014-FY2018 show only the unstaged IAS 39/UK GAAP total provision above)</t>
        </is>
      </c>
      <c r="B10" s="6" t="n"/>
      <c r="C10" s="6" t="n"/>
      <c r="D10" s="6" t="n"/>
      <c r="E10" s="6" t="n"/>
      <c r="F10" s="6" t="n"/>
      <c r="G10" s="6" t="n"/>
      <c r="H10" s="6" t="n"/>
      <c r="I10" s="6" t="n"/>
      <c r="J10" s="6" t="n"/>
      <c r="K10" s="6" t="n"/>
      <c r="L10" s="6" t="n"/>
      <c r="M10" s="6" t="n"/>
    </row>
    <row r="11">
      <c r="A11" s="6" t="inlineStr">
        <is>
          <t>Stage 1 (12-month ECL)</t>
        </is>
      </c>
      <c r="B11" s="6" t="n">
        <v>3.6</v>
      </c>
      <c r="C11" s="6" t="n">
        <v>2.4</v>
      </c>
      <c r="D11" s="6" t="n">
        <v>1.3</v>
      </c>
      <c r="E11" s="6" t="n">
        <v>1.7</v>
      </c>
      <c r="F11" s="6" t="n">
        <v>1.3</v>
      </c>
      <c r="G11" s="6" t="n">
        <v>1.5</v>
      </c>
      <c r="H11" s="6" t="n">
        <v>2.4</v>
      </c>
      <c r="I11" s="6" t="n"/>
      <c r="J11" s="6" t="n"/>
      <c r="K11" s="6" t="n"/>
      <c r="L11" s="6" t="n"/>
      <c r="M11" s="6" t="n"/>
    </row>
    <row r="12">
      <c r="A12" s="6" t="inlineStr">
        <is>
          <t>Stage 2 (lifetime ECL, not credit-impaired)</t>
        </is>
      </c>
      <c r="B12" s="6" t="n">
        <v>1.7</v>
      </c>
      <c r="C12" s="6" t="n">
        <v>1.2</v>
      </c>
      <c r="D12" s="6" t="n">
        <v>3.1</v>
      </c>
      <c r="E12" s="6" t="n">
        <v>1.3</v>
      </c>
      <c r="F12" s="6" t="n">
        <v>2</v>
      </c>
      <c r="G12" s="6" t="n">
        <v>1.6</v>
      </c>
      <c r="H12" s="6" t="n">
        <v>0.1</v>
      </c>
      <c r="I12" s="6" t="n"/>
      <c r="J12" s="6" t="n"/>
      <c r="K12" s="6" t="n"/>
      <c r="L12" s="6" t="n"/>
      <c r="M12" s="6" t="n"/>
    </row>
    <row r="13">
      <c r="A13" s="6" t="inlineStr">
        <is>
          <t>Stage 3 (lifetime ECL, credit-impaired)</t>
        </is>
      </c>
      <c r="B13" s="6" t="n">
        <v>8.300000000000001</v>
      </c>
      <c r="C13" s="6" t="n">
        <v>4.2</v>
      </c>
      <c r="D13" s="6" t="n">
        <v>1.2</v>
      </c>
      <c r="E13" s="6" t="n">
        <v>4.8</v>
      </c>
      <c r="F13" s="6" t="n">
        <v>5.1</v>
      </c>
      <c r="G13" s="6" t="n">
        <v>4.8</v>
      </c>
      <c r="H13" s="6" t="n">
        <v>7.3</v>
      </c>
      <c r="I13" s="6" t="n"/>
      <c r="J13" s="6" t="n"/>
      <c r="K13" s="6" t="n"/>
      <c r="L13" s="6" t="n"/>
      <c r="M13" s="6" t="n"/>
    </row>
    <row r="14">
      <c r="A14" s="6" t="inlineStr">
        <is>
          <t>Post Model Adjustment</t>
        </is>
      </c>
      <c r="B14" s="6" t="n">
        <v>0.2</v>
      </c>
      <c r="C14" s="6" t="n">
        <v>-0.1</v>
      </c>
      <c r="D14" s="6" t="n">
        <v>0.4</v>
      </c>
      <c r="E14" s="6" t="n">
        <v>0.8</v>
      </c>
      <c r="F14" s="6" t="n"/>
      <c r="G14" s="6" t="n"/>
      <c r="H14" s="6" t="n"/>
      <c r="I14" s="6" t="n"/>
      <c r="J14" s="6" t="n"/>
      <c r="K14" s="6" t="n"/>
      <c r="L14" s="6" t="n"/>
      <c r="M14" s="6" t="n"/>
    </row>
    <row r="15">
      <c r="A15" s="5" t="inlineStr">
        <is>
          <t>Total provision for impairment</t>
        </is>
      </c>
      <c r="B15" s="5" t="n">
        <v>13.8</v>
      </c>
      <c r="C15" s="5" t="n">
        <v>7.7</v>
      </c>
      <c r="D15" s="5" t="n">
        <v>6</v>
      </c>
      <c r="E15" s="5" t="n">
        <v>8.6</v>
      </c>
      <c r="F15" s="5" t="n">
        <v>8.4</v>
      </c>
      <c r="G15" s="5" t="n">
        <v>7.9</v>
      </c>
      <c r="H15" s="5" t="n">
        <v>9.800000000000001</v>
      </c>
      <c r="I15" s="5" t="n">
        <v>3.7</v>
      </c>
      <c r="J15" s="5" t="n">
        <v>6.4</v>
      </c>
      <c r="K15" s="5" t="n">
        <v>10</v>
      </c>
      <c r="L15" s="5" t="n">
        <v>7.6</v>
      </c>
      <c r="M15" s="5" t="n">
        <v>5.8</v>
      </c>
    </row>
    <row r="16">
      <c r="A16" s="5" t="inlineStr">
        <is>
          <t>Loans and advances by product, at amortised cost (before hedge FV adjustment / retirement mortgages FVTPL)</t>
        </is>
      </c>
      <c r="B16" s="6" t="n"/>
      <c r="C16" s="6" t="n"/>
      <c r="D16" s="6" t="n"/>
      <c r="E16" s="6" t="n"/>
      <c r="F16" s="6" t="n"/>
      <c r="G16" s="6" t="n"/>
      <c r="H16" s="6" t="n"/>
      <c r="I16" s="6" t="n"/>
      <c r="J16" s="6" t="n"/>
      <c r="K16" s="6" t="n"/>
      <c r="L16" s="6" t="n"/>
      <c r="M16" s="6" t="n"/>
    </row>
    <row r="17">
      <c r="A17" s="6" t="inlineStr">
        <is>
          <t>Retail</t>
        </is>
      </c>
      <c r="B17" s="6" t="n">
        <v>1371.8</v>
      </c>
      <c r="C17" s="6" t="n">
        <v>1315.9</v>
      </c>
      <c r="D17" s="6" t="n">
        <v>1234.9</v>
      </c>
      <c r="E17" s="6" t="n">
        <v>1140</v>
      </c>
      <c r="F17" s="6" t="n">
        <v>679</v>
      </c>
      <c r="G17" s="6" t="n"/>
      <c r="H17" s="6" t="n"/>
      <c r="I17" s="6" t="n"/>
      <c r="J17" s="6" t="n"/>
      <c r="K17" s="6" t="n"/>
      <c r="L17" s="6" t="n"/>
      <c r="M17" s="6" t="n"/>
    </row>
    <row r="18">
      <c r="A18" s="6" t="inlineStr">
        <is>
          <t>Commercial (real estate)</t>
        </is>
      </c>
      <c r="B18" s="6" t="n">
        <v>218.1</v>
      </c>
      <c r="C18" s="6" t="n">
        <v>189.7</v>
      </c>
      <c r="D18" s="6" t="n">
        <v>170.4</v>
      </c>
      <c r="E18" s="6" t="n">
        <v>182.2</v>
      </c>
      <c r="F18" s="6" t="n">
        <v>233.9</v>
      </c>
      <c r="G18" s="6" t="n"/>
      <c r="H18" s="6" t="n"/>
      <c r="I18" s="6" t="n"/>
      <c r="J18" s="6" t="n"/>
      <c r="K18" s="6" t="n"/>
      <c r="L18" s="6" t="n"/>
      <c r="M18" s="6" t="n"/>
    </row>
    <row r="19">
      <c r="A19" s="6" t="inlineStr">
        <is>
          <t>Portfolio Buy-to-Let</t>
        </is>
      </c>
      <c r="B19" s="6" t="n">
        <v>37.3</v>
      </c>
      <c r="C19" s="6" t="n">
        <v>70.3</v>
      </c>
      <c r="D19" s="6" t="n">
        <v>74.7</v>
      </c>
      <c r="E19" s="6" t="n">
        <v>76.5</v>
      </c>
      <c r="F19" s="6" t="n">
        <v>70.5</v>
      </c>
      <c r="G19" s="6" t="n"/>
      <c r="H19" s="6" t="n"/>
      <c r="I19" s="6" t="n"/>
      <c r="J19" s="6" t="n"/>
      <c r="K19" s="6" t="n"/>
      <c r="L19" s="6" t="n"/>
      <c r="M19" s="6" t="n"/>
    </row>
    <row r="20">
      <c r="A20" s="6" t="inlineStr">
        <is>
          <t>Motor receivables</t>
        </is>
      </c>
      <c r="B20" s="6" t="n">
        <v>183.1</v>
      </c>
      <c r="C20" s="6" t="n">
        <v>96.3</v>
      </c>
      <c r="D20" s="6" t="n"/>
      <c r="E20" s="6" t="n"/>
      <c r="F20" s="6" t="n"/>
      <c r="G20" s="6" t="n"/>
      <c r="H20" s="6" t="n"/>
      <c r="I20" s="6" t="n"/>
      <c r="J20" s="6" t="n"/>
      <c r="K20" s="6" t="n"/>
      <c r="L20" s="6" t="n"/>
      <c r="M20" s="6" t="n"/>
    </row>
    <row r="21">
      <c r="A21" s="6" t="inlineStr">
        <is>
          <t>Amounts owed from parent and fellow subsidiaries</t>
        </is>
      </c>
      <c r="B21" s="6" t="n"/>
      <c r="C21" s="6" t="n"/>
      <c r="D21" s="6" t="n"/>
      <c r="E21" s="6" t="n"/>
      <c r="F21" s="6" t="n">
        <v>0.4</v>
      </c>
      <c r="G21" s="6" t="n"/>
      <c r="H21" s="6" t="n"/>
      <c r="I21" s="6" t="n"/>
      <c r="J21" s="6" t="n"/>
      <c r="K21" s="6" t="n"/>
      <c r="L21" s="6" t="n"/>
      <c r="M21" s="6" t="n"/>
    </row>
    <row r="23" ht="380" customHeight="1">
      <c r="A23" s="8" t="inlineStr">
        <is>
          <t>Sources - Julian Hodge Bank Limited Annual Reports:
FY2025: Annual Report 2025, Balance Sheet/Income Statement/Statement of Changes in Equity, p.40-41, Note 12 'Loans and advances to customers'/Note 13 'Impairment provisions', p.49-50 - https://hodgebank.co.uk/wp-content/uploads/2026/02/Hodge-AR-28.01.26.pdf
FY2024: Annual Report 2024, Balance Sheet/Income Statement/Statement of Changes in Equity, p.40-42, Note 12/13, p.48-49 - https://hodgebank.co.uk/wp-content/uploads/2025/02/Hodge-annual-report-21.02.25.pdf
FY2023: Annual Report 2023, Balance Sheet/Income Statement/Statement of Changes in Equity, p.40-42, Note 13/14, p.49-50 - https://hodgebank.co.uk/wp-content/uploads/2024/07/Annual-report-Jan-25.01.24.pdf
FY2022: Annual Report 2022, Balance Sheet/Income Statement/Statement of Changes in Equity, p.37-39, Note 13/14, p.46-47 - https://hodgebank.co.uk/wp-content/uploads/2024/07/Hodge-Annual-Report-April-04.04.23-optimised.pdf
FY2021: Annual Report 2021, Balance Sheet/Income Statement/Statement of Other Comprehensive Income/Statement of Changes in Equity, p.62-65 (printed pages 67-70) - https://hodgebank.co.uk/wp-content/uploads/2024/07/Hodge-Annual-Report-2020_2021.pdf
FY2020: Julian Hodge Bank Limited Annual Report (11-month period ended 30 September 2020), Income Statement/Balance Sheet/Statement of Changes in Equity p.26-28, Note 14 'Impairment provisions', p.44-45 - https://web.archive.org/web/20210517011507id_/https://hodgebank.co.uk/wp-content/uploads/2021/02/1.-JHB-Financial-Statements.pdf
FY2019: Julian Hodge Bank Limited Annual Report and Financial Statements 2019 (Master FINAL EY Signed), Income Statement/Balance Sheet/Statement of Changes in Equity p.20-23, Note 15 'Impairment provisions', p.42-43 - https://web.archive.org/web/20220620025335id_/https://hodgebank.co.uk/wp-content/uploads/2020/02/Julian-Hodge-Bank-Limited-Master-FINAL-EY-Signed-FY19.pdf
FY2018: Julian Hodge Bank Limited Annual Report and Financial Statements 2018, Income Statement/Balance Sheet/Statement of Changes in Equity p.24-26, Note 16 'Loans and advances to customers', p.42-44 - https://web.archive.org/web/20210517014628id_/https://hodgebank.co.uk/wp-content/uploads/2020/02/FINAL-Julian-Hodge-Bank-Limited-FY18.pdf (cross-checked against the Companies House filing for the period made up to 31 October 2018)
FY2017: Julian Hodge Bank Limited Annual report and financial statements 2017, Income Statement/Balance Sheet/Statement of Changes in Equity p.24-26, Note 16 'Loans and advances to customers', p.42-43 - https://web.archive.org/web/20220620025318id_/https://hodgebank.co.uk/wp-content/uploads/2019/01/jhb-financial-statements-20171031-1.pdf
FY2016: Julian Hodge Bank Limited Financial Statements 2016 (FRS 101, first year of transition from UK GAAP), Income Statement/Balance Sheet/Statement of Changes in Equity p.16-19, Note 16 'Loans and advances to customers', p.34 - https://web.archive.org/web/20220620025318id_/https://hodgebank.co.uk/wp-content/uploads/2019/01/jhb-financial-statements-20161031-1.pdf
FY2015: Julian Hodge Bank Limited Directors' report and financial statements 2015 (UK GAAP), Profit and loss account/Balance sheet p.13-15, Note 22 'reconciliation of movements in shareholder's funds', p.28, Note 12 'Provisions for bad and doubtful debts', p.24 - https://web.archive.org/web/20220620025258id_/https://hodgebank.co.uk/wp-content/uploads/2019/01/jhb-financial-statements-20151031.pdf
FY2014: Julian Hodge Bank Limited Directors' report and financial statements 2014 (UK GAAP), Profit and loss account/Balance sheet p.14-16, Note 12 'Provisions for bad and doubtful debts', p.24 - https://web.archive.org/web/20220620025529id_/https://hodgebank.co.uk/wp-content/uploads/2019/01/jhb-financial-statements-20141031.pdf
ENTITY NOTE: Julian Hodge Bank Limited (company 00743437, FRN 204439, incorporated 1962) is a privately-owned Cardiff-based bank; immediate parent Hodge Limited, ultimate parent The Carlyle Trust (Jersey) Limited. Fiscal year-end is 30 September from FY2021 onward (FY2020 was an 11-month transition period covering the change from the prior 31 October year-end used FY2014-FY2019). All 12 years' source documents are text-native PDFs, no OCR required.
HISTORICAL-DEPTH NOTE (HD-049): FY2016 is this entity's first year of FRS 101 reporting (transitioning from old UK GAAP used in FY2014-FY2015) - its own report's FY2015 comparative column is FRS101-restated and does NOT tie to FY2015's own contemporaneous UK GAAP report (e.g. FY2015 closing shareholder's funds/equity: GBP133.7m as originally reported in the FY2015 Annual Report vs GBP133.3m as restated in the FY2016 Annual Report's FY2015 comparative - a real GAAP-transition adjustment, not a transcription error). Per this project's convention, each year's own originally-published figures are used throughout (FY2014/FY2015 in UK GAAP format; FY2016 onward in FRS101 format), so the equity ladder has one genuine, documented break at the FY2015/FY2016 boundary rather than a forced tie-out. Separately, FY2017's own report restates FY2016's shareholder's funds from GBP146.3m (as FY2016's own report showed) to GBP153.5m, citing a 'prior period error' corrected in Note 36 (GBP6.8m addition to opening retained earnings, GBP0.3m to FY2016's own profit) - again, FY2016's own originally-published figures are used here, with this restatement documented rather than applied. IFRS 9 was adopted 1 November 2018 (start of FY2019), so IFRS 9 Stage 1/2/3 impairment staging exists only from FY2019 onward; FY2014-FY2018 show only the (unstaged) IAS 39/UK GAAP total impairment provision. FY2014-FY2015 Income Statement rows follow the old UK GAAP layout (interest receivable/payable, fees, 'other operating income' components including reversionary interest/stock profits, then a single 'profit on ordinary activities before taxation' line) rather than the FRS101 Net interest income / Net operating income / Operating profit structure used FY2016 onward - both shown on their own basis, not forced into one template, consistent with how this same script already treats the FY2025 structural change.
DATA QUALITY FLAG: AR2025's own Note 13 table prints its 2025-year closing row as "At 30 September 2024" and its 2024-year closing row as "At 30 September 2023" - both appear to be an off-by-one-year label carried over from an earlier template (each closing row's own figures follow arithmetically from that block's own opening row and match the FOLLOWING year's contemporaneous report exactly), so the closing rows are treated here as FY2025 and FY2024 respectively, not as literally labelled. No gross-exposure-by-IFRS-9-stage table exists at portfolio level in any year - only the impairment PROVISION is broken out by stage portfolio-wide; gross exposure by stage is only disclosed for the Commercial/PBTL/Motor segments separately (not for Retail, the largest segment), so a full gross-by-stage table is not reconstructable without assuming Retail's split.</t>
        </is>
      </c>
    </row>
  </sheetData>
  <mergeCells count="1">
    <mergeCell ref="A23:M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162.8</v>
      </c>
      <c r="C4" s="6" t="n">
        <v>166.2</v>
      </c>
      <c r="D4" s="6" t="n">
        <v>172.9</v>
      </c>
      <c r="E4" s="6" t="n">
        <v>177</v>
      </c>
      <c r="F4" s="6" t="n">
        <v>143.8</v>
      </c>
      <c r="G4" s="6" t="n">
        <v>136.4</v>
      </c>
      <c r="H4" s="6" t="n">
        <v>156.6</v>
      </c>
      <c r="I4" s="6" t="n">
        <v>168</v>
      </c>
      <c r="J4" s="6" t="n">
        <v>149.3</v>
      </c>
      <c r="K4" s="6" t="n">
        <v>129.1</v>
      </c>
      <c r="L4" s="6" t="n"/>
      <c r="M4" s="6" t="n"/>
    </row>
    <row r="5" ht="60" customHeight="1">
      <c r="A5" s="7" t="inlineStr">
        <is>
          <t>Note: FY2021's own report (P3 2021) shows CET1 = 143.8; the following year's Pillar 3 document (P3 2022) restates the FY2021 comparative to 144 (rounding to whole £m from that document's own precision) - each year's own originally-published figure is used per this project's convention. FY2014/FY2015 not shown: this bank's own Pillar 3 documents for those two years pre-date the CET1 concept (still reporting under Basel II Pillar 1 - 'Tier 1 capital' and 'Total capital resources' only, no CRD IV capital tiers). See the Total Capital sheet for the FY2014/FY2015 Basel II 'Total capital resources' figures instead.</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162.8</v>
      </c>
      <c r="C4" s="6" t="n">
        <v>166.2</v>
      </c>
      <c r="D4" s="6" t="n">
        <v>172.9</v>
      </c>
      <c r="E4" s="6" t="n">
        <v>177</v>
      </c>
      <c r="F4" s="6" t="n">
        <v>143.8</v>
      </c>
      <c r="G4" s="6" t="n">
        <v>136.4</v>
      </c>
      <c r="H4" s="6" t="n">
        <v>156.6</v>
      </c>
      <c r="I4" s="6" t="n">
        <v>168</v>
      </c>
      <c r="J4" s="6" t="n">
        <v>149.3</v>
      </c>
      <c r="K4" s="6" t="n">
        <v>129.1</v>
      </c>
      <c r="L4" s="6" t="n"/>
      <c r="M4" s="6" t="n"/>
    </row>
    <row r="5" ht="60" customHeight="1">
      <c r="A5" s="7" t="inlineStr">
        <is>
          <t>Note: Tier 1 = CET1 every year (no AT1 instruments in issue - 'Hold all its capital in the form of Common Equity Tier 1 and Tier 2 capital', and Tier 2 = nil every year per the Pillar 3 documents). FY2024/FY2025 not separately labelled 'Tier 1' in the Annual Report's brief capital note but equal to CET1 by the same pattern confirmed directly in FY2021-FY2023. FY2014/FY2015: pre-CRD IV Basel II regime - see CET1 Capital sheet note; for those two years 'Total Tier 1 capital' as reported was GBP117.1m (FY2014) and GBP118.6m (FY2015), which differs from the 'Total capital resources' shown on the Total Capital sheet because those two years DID hold a small amount of Tier 2 (general provisions less revaluation reserve deduction) - shown here only for completeness, not populated as a data column to avoid conflating Basel II Tier 1 with CRD IV Tier 1.</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21.1%</t>
        </is>
      </c>
      <c r="K4" s="6" t="inlineStr">
        <is>
          <t>19.2%</t>
        </is>
      </c>
      <c r="L4" s="6" t="n"/>
      <c r="M4" s="6" t="n"/>
    </row>
    <row r="5" ht="60" customHeight="1">
      <c r="A5" s="7" t="inlineStr">
        <is>
          <t>Note: Equal to CET1 ratio every year - see Tier 1 Capital sheet note.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162.8</v>
      </c>
      <c r="C4" s="6" t="n">
        <v>166.2</v>
      </c>
      <c r="D4" s="6" t="n">
        <v>172.9</v>
      </c>
      <c r="E4" s="6" t="n">
        <v>177</v>
      </c>
      <c r="F4" s="6" t="n">
        <v>143.8</v>
      </c>
      <c r="G4" s="6" t="n">
        <v>136.4</v>
      </c>
      <c r="H4" s="6" t="n">
        <v>156.6</v>
      </c>
      <c r="I4" s="6" t="n">
        <v>168</v>
      </c>
      <c r="J4" s="6" t="n">
        <v>149.5</v>
      </c>
      <c r="K4" s="6" t="n">
        <v>129.3</v>
      </c>
      <c r="L4" s="6" t="n">
        <v>122.4</v>
      </c>
      <c r="M4" s="6" t="n">
        <v>118.8</v>
      </c>
    </row>
    <row r="5" ht="60" customHeight="1">
      <c r="A5" s="7" t="inlineStr">
        <is>
          <t>Note: Equal to CET1/Tier 1 FY2016-FY2025 - the Bank holds no Tier 2 capital in those years. FY2014/FY2015: these figures are Basel II Pillar 1 'Total capital resources' (Tier 1 + a small Tier 2 add-back for eligible general provisions, net of a revaluation reserve deduction) - not directly comparable to the CRD IV 'Total capital' figures shown FY2016 onward, though presented on the same row per this project's convention of showing each year's own headline total-capital figure.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17.5%</t>
        </is>
      </c>
      <c r="C4" s="6" t="inlineStr">
        <is>
          <t>19.8%</t>
        </is>
      </c>
      <c r="D4" s="6" t="inlineStr">
        <is>
          <t>24.5%</t>
        </is>
      </c>
      <c r="E4" s="6" t="inlineStr">
        <is>
          <t>25.2%</t>
        </is>
      </c>
      <c r="F4" s="6" t="inlineStr">
        <is>
          <t>20.2%</t>
        </is>
      </c>
      <c r="G4" s="6" t="inlineStr">
        <is>
          <t>19.7%</t>
        </is>
      </c>
      <c r="H4" s="6" t="inlineStr">
        <is>
          <t>23.0%</t>
        </is>
      </c>
      <c r="I4" s="6" t="inlineStr">
        <is>
          <t>22.3%</t>
        </is>
      </c>
      <c r="J4" s="6" t="inlineStr">
        <is>
          <t>21.2%</t>
        </is>
      </c>
      <c r="K4" s="6" t="inlineStr">
        <is>
          <t>19.2%</t>
        </is>
      </c>
      <c r="L4" s="6" t="n"/>
      <c r="M4" s="6" t="n"/>
    </row>
    <row r="6" ht="170" customHeight="1">
      <c r="A6"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 exposure amount</t>
        </is>
      </c>
      <c r="B4" s="6" t="n">
        <v>930.2</v>
      </c>
      <c r="C4" s="6" t="n">
        <v>841.1</v>
      </c>
      <c r="D4" s="6" t="n">
        <v>704.7</v>
      </c>
      <c r="E4" s="6" t="n">
        <v>705</v>
      </c>
      <c r="F4" s="6" t="n">
        <v>711</v>
      </c>
      <c r="G4" s="6" t="n">
        <v>693.8</v>
      </c>
      <c r="H4" s="6" t="n">
        <v>681.9</v>
      </c>
      <c r="I4" s="6" t="n">
        <v>754.6</v>
      </c>
      <c r="J4" s="6" t="n">
        <v>706.3</v>
      </c>
      <c r="K4" s="6" t="n">
        <v>672.8</v>
      </c>
      <c r="L4" s="6" t="n"/>
      <c r="M4" s="6" t="n"/>
    </row>
    <row r="5" ht="60" customHeight="1">
      <c r="A5" s="7" t="inlineStr">
        <is>
          <t>Note: FY2021's own report (P3 2021) shows RWA = 711.0; the FY2022 Pillar 3 document's FY2021 comparative restates this to 711 (rounding only, immaterial) - each year's own originally-published figure is used. FY2014/FY2015 not available: those years' Pillar 3 documents pre-date CRD IV Pillar 3 RWA disclosure for this bank - only a Basel II 'Pillar 1 capital requirement' figure is given (FY2014: GBP36.3m; FY2015: GBP42.6m), not a risk-weighted-assets figure, so no RWA is shown for those two years rather than backing one out via an assumed 8% minimum ratio (which the source document itself does not state).</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RWA Breakdown</t>
        </is>
      </c>
    </row>
    <row r="2">
      <c r="A2" s="2" t="inlineStr">
        <is>
          <t>FY2023-FY2017 as disclosed (Pillar 3 "Risk Type Breakdown"/"Overview of RWA" table); FY2016 derived from the disclosed Pillar 1 capital requirement x 12.5 (a coarser 2-category split - see SECTION blocks and source note). FY2025/FY2024/FY2015/FY2014: no category-level RWA breakdown was located - see source note.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Risk type breakdown (as disclosed) - Pillar 3 "Risk Type Breakdown"/"Overview of RWA" table</t>
        </is>
      </c>
      <c r="B4" s="6" t="n"/>
      <c r="C4" s="6" t="n"/>
      <c r="D4" s="6" t="n"/>
      <c r="E4" s="6" t="n"/>
      <c r="F4" s="6" t="n"/>
      <c r="G4" s="6" t="n"/>
      <c r="H4" s="6" t="n"/>
      <c r="I4" s="6" t="n"/>
      <c r="J4" s="6" t="n"/>
      <c r="K4" s="6" t="n"/>
      <c r="L4" s="6" t="n"/>
      <c r="M4" s="6" t="n"/>
    </row>
    <row r="5">
      <c r="A5" s="6" t="inlineStr">
        <is>
          <t>Credit risk (excluding CCR)</t>
        </is>
      </c>
      <c r="B5" s="6" t="n"/>
      <c r="C5" s="6" t="n"/>
      <c r="D5" s="6" t="n">
        <v>629.2</v>
      </c>
      <c r="E5" s="6" t="n">
        <v>644</v>
      </c>
      <c r="F5" s="6" t="n">
        <v>639.9</v>
      </c>
      <c r="G5" s="6" t="n">
        <v>627.3</v>
      </c>
      <c r="H5" s="6" t="n">
        <v>626.8</v>
      </c>
      <c r="I5" s="6" t="n">
        <v>699.4</v>
      </c>
      <c r="J5" s="6" t="n">
        <v>661.5</v>
      </c>
      <c r="K5" s="6" t="n"/>
      <c r="L5" s="6" t="n"/>
      <c r="M5" s="6" t="n"/>
    </row>
    <row r="6">
      <c r="A6" s="6" t="inlineStr">
        <is>
          <t>Counterparty credit risk (CCR) - includes CVA memo below for FY2023/FY2022 (this year's own template shows CVA as a memo item within CCR, not a separately additive line); FY2021-FY2017's own templates show CVA as its own separately additive line instead (see next-but-one row)</t>
        </is>
      </c>
      <c r="B6" s="6" t="n"/>
      <c r="C6" s="6" t="n"/>
      <c r="D6" s="6" t="n">
        <v>2.7</v>
      </c>
      <c r="E6" s="6" t="n">
        <v>1</v>
      </c>
      <c r="F6" s="6" t="n">
        <v>4.6</v>
      </c>
      <c r="G6" s="6" t="n">
        <v>4.2</v>
      </c>
      <c r="H6" s="6" t="n">
        <v>2.1</v>
      </c>
      <c r="I6" s="6" t="n">
        <v>4</v>
      </c>
      <c r="J6" s="6" t="n">
        <v>4.3</v>
      </c>
      <c r="K6" s="6" t="n"/>
      <c r="L6" s="6" t="n"/>
      <c r="M6" s="6" t="n"/>
    </row>
    <row r="7">
      <c r="A7" s="6" t="inlineStr">
        <is>
          <t>Of which: Credit valuation adjustment (CVA) - memo only for FY2023/FY2022, already included in CCR above, not separately additive</t>
        </is>
      </c>
      <c r="B7" s="6" t="n"/>
      <c r="C7" s="6" t="n"/>
      <c r="D7" s="6" t="n">
        <v>0.2</v>
      </c>
      <c r="E7" s="6" t="n">
        <v>0</v>
      </c>
      <c r="F7" s="6" t="n"/>
      <c r="G7" s="6" t="n"/>
      <c r="H7" s="6" t="n"/>
      <c r="I7" s="6" t="n"/>
      <c r="J7" s="6" t="n"/>
      <c r="K7" s="6" t="n"/>
      <c r="L7" s="6" t="n"/>
      <c r="M7" s="6" t="n"/>
    </row>
    <row r="8">
      <c r="A8" s="6" t="inlineStr">
        <is>
          <t>Credit valuation adjustment (CVA) - shown as its own separately additive risk type in FY2021-FY2017's own Pillar 3 templates (unlike the FY2023/FY2022 memo treatment above); Market risk is a separate nil/blank line in the FY2020-FY2017 source tables and is not shown as its own row here since it is nil in every disclosed year</t>
        </is>
      </c>
      <c r="B8" s="6" t="n"/>
      <c r="C8" s="6" t="n"/>
      <c r="D8" s="6" t="n"/>
      <c r="E8" s="6" t="n"/>
      <c r="F8" s="6" t="n">
        <v>0.8</v>
      </c>
      <c r="G8" s="6" t="n">
        <v>2.3</v>
      </c>
      <c r="H8" s="6" t="n">
        <v>2.5</v>
      </c>
      <c r="I8" s="6" t="n">
        <v>5</v>
      </c>
      <c r="J8" s="6" t="n">
        <v>5.7</v>
      </c>
      <c r="K8" s="6" t="n"/>
      <c r="L8" s="6" t="n"/>
      <c r="M8" s="6" t="n"/>
    </row>
    <row r="9">
      <c r="A9" s="6" t="inlineStr">
        <is>
          <t>Operational risk</t>
        </is>
      </c>
      <c r="B9" s="6" t="n"/>
      <c r="C9" s="6" t="n"/>
      <c r="D9" s="6" t="n">
        <v>58.9</v>
      </c>
      <c r="E9" s="6" t="n">
        <v>44</v>
      </c>
      <c r="F9" s="6" t="n">
        <v>36.5</v>
      </c>
      <c r="G9" s="6" t="n">
        <v>36.2</v>
      </c>
      <c r="H9" s="6" t="n">
        <v>34</v>
      </c>
      <c r="I9" s="6" t="n">
        <v>29.9</v>
      </c>
      <c r="J9" s="6" t="n">
        <v>16.5</v>
      </c>
      <c r="K9" s="6" t="n"/>
      <c r="L9" s="6" t="n"/>
      <c r="M9" s="6" t="n"/>
    </row>
    <row r="10">
      <c r="A10" s="6" t="inlineStr">
        <is>
          <t>Amounts below the threshold for deduction (250% risk weight)</t>
        </is>
      </c>
      <c r="B10" s="6" t="n"/>
      <c r="C10" s="6" t="n"/>
      <c r="D10" s="6" t="n">
        <v>13.9</v>
      </c>
      <c r="E10" s="6" t="n">
        <v>16</v>
      </c>
      <c r="F10" s="6" t="n">
        <v>29.2</v>
      </c>
      <c r="G10" s="6" t="n">
        <v>23.8</v>
      </c>
      <c r="H10" s="6" t="n">
        <v>16.5</v>
      </c>
      <c r="I10" s="6" t="n">
        <v>16.3</v>
      </c>
      <c r="J10" s="6" t="n">
        <v>18.3</v>
      </c>
      <c r="K10" s="6" t="n"/>
      <c r="L10" s="6" t="n"/>
      <c r="M10" s="6" t="n"/>
    </row>
    <row r="11">
      <c r="A11" s="5" t="inlineStr">
        <is>
          <t>Total risk-weighted exposure amount</t>
        </is>
      </c>
      <c r="B11" s="5" t="n"/>
      <c r="C11" s="5" t="n"/>
      <c r="D11" s="5" t="n">
        <v>704.7</v>
      </c>
      <c r="E11" s="5" t="n">
        <v>705</v>
      </c>
      <c r="F11" s="5" t="n">
        <v>711</v>
      </c>
      <c r="G11" s="5" t="n">
        <v>693.8</v>
      </c>
      <c r="H11" s="5" t="n">
        <v>681.9</v>
      </c>
      <c r="I11" s="5" t="n">
        <v>754.6</v>
      </c>
      <c r="J11" s="5" t="n">
        <v>706.3</v>
      </c>
      <c r="K11" s="5" t="n"/>
      <c r="L11" s="5" t="n"/>
      <c r="M11" s="5" t="n"/>
    </row>
    <row r="12">
      <c r="A12" s="5" t="inlineStr">
        <is>
          <t>Pillar 1 capital requirement x 12.5 (derived from disclosed capital requirement - see sources note)</t>
        </is>
      </c>
      <c r="B12" s="6" t="n"/>
      <c r="C12" s="6" t="n"/>
      <c r="D12" s="6" t="n"/>
      <c r="E12" s="6" t="n"/>
      <c r="F12" s="6" t="n"/>
      <c r="G12" s="6" t="n"/>
      <c r="H12" s="6" t="n"/>
      <c r="I12" s="6" t="n"/>
      <c r="J12" s="6" t="n"/>
      <c r="K12" s="6" t="n"/>
      <c r="L12" s="6" t="n"/>
      <c r="M12" s="6" t="n"/>
    </row>
    <row r="13">
      <c r="A13" s="6" t="inlineStr">
        <is>
          <t>Credit risk (including CCR/CVA - not separately itemised in this year's own document)</t>
        </is>
      </c>
      <c r="B13" s="6" t="n"/>
      <c r="C13" s="6" t="n"/>
      <c r="D13" s="6" t="n"/>
      <c r="E13" s="6" t="n"/>
      <c r="F13" s="6" t="n"/>
      <c r="G13" s="6" t="n"/>
      <c r="H13" s="6" t="n"/>
      <c r="I13" s="6" t="n"/>
      <c r="J13" s="6" t="n"/>
      <c r="K13" s="6" t="n">
        <v>661.25</v>
      </c>
      <c r="L13" s="6" t="n"/>
      <c r="M13" s="6" t="n"/>
    </row>
    <row r="14">
      <c r="A14" s="6" t="inlineStr">
        <is>
          <t>Operational risk</t>
        </is>
      </c>
      <c r="B14" s="6" t="n"/>
      <c r="C14" s="6" t="n"/>
      <c r="D14" s="6" t="n"/>
      <c r="E14" s="6" t="n"/>
      <c r="F14" s="6" t="n"/>
      <c r="G14" s="6" t="n"/>
      <c r="H14" s="6" t="n"/>
      <c r="I14" s="6" t="n"/>
      <c r="J14" s="6" t="n"/>
      <c r="K14" s="6" t="n">
        <v>11.25</v>
      </c>
      <c r="L14" s="6" t="n"/>
      <c r="M14" s="6" t="n"/>
    </row>
    <row r="15">
      <c r="A15" s="5" t="inlineStr">
        <is>
          <t>Total risk-weighted exposure amount (derived)</t>
        </is>
      </c>
      <c r="B15" s="5" t="n"/>
      <c r="C15" s="5" t="n"/>
      <c r="D15" s="5" t="n"/>
      <c r="E15" s="5" t="n"/>
      <c r="F15" s="5" t="n"/>
      <c r="G15" s="5" t="n"/>
      <c r="H15" s="5" t="n"/>
      <c r="I15" s="5" t="n"/>
      <c r="J15" s="5" t="n"/>
      <c r="K15" s="5" t="n">
        <v>672.5</v>
      </c>
      <c r="L15" s="5" t="n"/>
      <c r="M15" s="5" t="n"/>
    </row>
    <row r="17" ht="460" customHeight="1">
      <c r="A1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RWA Breakdown-specific sources (in addition to the Total RWAs sources above):
FY2023: Hodge Bank Pillar 3 Disclosures - Period ended 30 September 2023, "Risk Type Breakdown" table, p.14 - https://hodgebank.co.uk/wp-content/uploads/2024/07/Hodge-pillar-3-11.03.24.pdf
FY2022: Hodge Bank Pillar 3 Disclosures - Period ended 30 September 2022, "Risk Type Breakdown" table, p.17 - https://hodgebank.co.uk/wp-content/uploads/2024/07/Hodge-pillar-3-19.06.23.pdf
FY2021: Hodge Bank Pillar 3 Disclosures - Period ended 30 September 2021, "Risk Type Breakdown" table, p.21 - https://hodgebank.co.uk/wp-content/uploads/2024/07/Hodge-Pillar-3-Document-2020_2021.pdf
FY2020: Julian Hodge Bank Limited Pillar 3 Disclosures - Period ended 30 September 2020, "Overview of RWA" table (own-year column), p.23 - https://web.archive.org/web/20220620025450id_/https://hodgebank.co.uk/wp-content/uploads/2021/02/2.-JHB-Pillar-III.pdf
FY2019: Julian Hodge Bank Limited Pillar 3 Disclosures - Period ended 31 October 2019, "Overview of RWA" table (own-year column), p.14 - https://web.archive.org/web/20210517002419id_/https://hodgebank.co.uk/wp-content/uploads/2020/02/Pillar-3-Disclosure-FY19-FINAL.pdf
FY2018: Julian Hodge Bank Limited Pillar 3 Disclosures - Period ended 31 October 2018, "Overview of RWA" table (own-year column), p.14 - https://web.archive.org/web/20210517004624id_/https://hodgebank.co.uk/wp-content/uploads/2019/04/jhb-pillar3-2018.pdf
FY2017: this year's own Pillar 3 document only discloses a coarser Pillar 1 capital-requirement-by-exposure-class table (no risk-type RWA split); the FY2017 figures above are instead the FY2017 comparator column of the FOLLOWING year's "Overview of RWA" table - Julian Hodge Bank Limited Pillar 3 Disclosures - Period ended 31 October 2018, "Overview of RWA" table, FY2017 comparator column, p.14 - https://web.archive.org/web/20210517004624id_/https://hodgebank.co.uk/wp-content/uploads/2019/04/jhb-pillar3-2018.pdf - which reconciles exactly (706.3) to the Total RWAs sheet's own FY2017 figure sourced from that year's own report.
FY2016: no OV1-style RWA-by-risk-type table exists in this year's own Pillar 3 document (or the following year's) - only a 2-category "Pillar 1 Capital Requirement" table (Total Credit Risk, which bundles in CCR/CVA per this document's own categorisation with no separate line for either, and Operational risk - standardised approach). DERIVED (not disclosed): each category's Pillar 1 capital requirement x 12.5 (= divided by 8%, the CRR Article 92 Pillar 1 minimum ratio) - Julian Hodge Bank Limited Pillar 3 Disclosures - Period ended 31 October 2016, "6.1 Pillar 1 Capital Requirement" table, p.17 - https://web.archive.org/web/20220620025406id_/https://hodgebank.co.uk/wp-content/uploads/2019/01/jhb-pillar3-2016.pdf (Credit Risk capital 52.9 x 12.5 = 661.25; Operational risk capital 0.9 x 12.5 = 11.25; derived total 672.5 reconciles to within 0.3 - immaterial source-table rounding before x12.5 - of the Total RWAs sheet's own FY2016 figure of 672.8). Market risk is not itemised in this document at all for FY2016 (assumed nil, consistent with every disclosed later year showing nil/blank market risk, but not confirmed for FY2016 itself).
FY2025/FY2024: Not publicly disclosed at category level - no standalone Pillar 3 document is published for these years (see BASIS_NOTE above); each year's own Annual Report 'Capital risk management' note gives only Total RWAs and CET1/capital ratios, no risk-type split - already shown on the Total RWAs sheet. Re-confirmed 2026-09-12: a Wayback CDX scan of hodgebank.co.uk's full 2025-2026 crawl history found no newly-dated Pillar 3 filename beyond the FY2023 document already cited above; the bank's own regulatory-disclosures pages returned HTTP 403 (bot-blocked) on direct fetch, so this remains an access-limited re-confirmation, not a from-scratch guarantee no such document exists.
FY2015/FY2014: no RWA figure of any kind is disclosed for these two years (pre-CRD IV regime) - see the Total RWAs sheet note.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1">
    <mergeCell ref="A17:M1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III/leverage ratio exposure measure (£m)</t>
        </is>
      </c>
      <c r="B4" s="6" t="n"/>
      <c r="C4" s="6" t="n"/>
      <c r="D4" s="6" t="n">
        <v>1649.9</v>
      </c>
      <c r="E4" s="6" t="n">
        <v>1624</v>
      </c>
      <c r="F4" s="6" t="n">
        <v>1732.2</v>
      </c>
      <c r="G4" s="6" t="n">
        <v>1423.5</v>
      </c>
      <c r="H4" s="6" t="n">
        <v>1393.2</v>
      </c>
      <c r="I4" s="6" t="n">
        <v>1412.2</v>
      </c>
      <c r="J4" s="6" t="n">
        <v>1309.5</v>
      </c>
      <c r="K4" s="6" t="n">
        <v>1359.3</v>
      </c>
      <c r="L4" s="6" t="n"/>
      <c r="M4" s="6" t="n"/>
    </row>
    <row r="5">
      <c r="A5" s="6" t="inlineStr">
        <is>
          <t>Leverage Ratio (%)</t>
        </is>
      </c>
      <c r="B5" s="6" t="n"/>
      <c r="C5" s="6" t="n"/>
      <c r="D5" s="6" t="inlineStr">
        <is>
          <t>10.5%</t>
        </is>
      </c>
      <c r="E5" s="6" t="inlineStr">
        <is>
          <t>10.9%</t>
        </is>
      </c>
      <c r="F5" s="6" t="inlineStr">
        <is>
          <t>8.3%</t>
        </is>
      </c>
      <c r="G5" s="6" t="inlineStr">
        <is>
          <t>9.6%</t>
        </is>
      </c>
      <c r="H5" s="6" t="inlineStr">
        <is>
          <t>11.2%</t>
        </is>
      </c>
      <c r="I5" s="6" t="inlineStr">
        <is>
          <t>11.9%</t>
        </is>
      </c>
      <c r="J5" s="6" t="inlineStr">
        <is>
          <t>11.4%</t>
        </is>
      </c>
      <c r="K5" s="6" t="inlineStr">
        <is>
          <t>9.5%</t>
        </is>
      </c>
      <c r="L5" s="6" t="n"/>
      <c r="M5" s="6" t="n"/>
    </row>
    <row r="6" ht="60" customHeight="1">
      <c r="A6" s="7" t="inlineStr">
        <is>
          <t>Note: FY2024/FY2025 not available - no standalone Pillar 3 document exists for those years and the Annual Report's brief 'Capital risk management' note does not include a leverage ratio. DATA QUALITY FLAG: the FY2022 Pillar 3 document's own FY2021 comparative column shows a materially different leverage exposure (£1,320m) and ratio (10.9%) than FY2021's own contemporaneous report (£1,732.2m / 8.3%) - a genuine cross-vintage restatement in the bank's own documents, not a transcription error. Per this project's convention, each year's own originally-published figure is used (FY2021 = 8.3%, not the later-restated 10.9%) - worth double-checking if this workbook is relied on for leverage-ratio trend analysis. FY2015/FY2014 not available - no leverage ratio concept existed under the Basel II regime those years used.</t>
        </is>
      </c>
    </row>
    <row r="8" ht="170" customHeight="1">
      <c r="A8"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HQLA after haircuts (£m)</t>
        </is>
      </c>
      <c r="B4" s="6" t="n"/>
      <c r="C4" s="6" t="n"/>
      <c r="D4" s="6" t="n">
        <v>230.4</v>
      </c>
      <c r="E4" s="6" t="n">
        <v>334</v>
      </c>
      <c r="F4" s="6" t="n">
        <v>479.5</v>
      </c>
      <c r="G4" s="6" t="n">
        <v>196.4</v>
      </c>
      <c r="H4" s="6" t="n">
        <v>346.4</v>
      </c>
      <c r="I4" s="6" t="n">
        <v>245.2</v>
      </c>
      <c r="J4" s="6" t="n"/>
      <c r="K4" s="6" t="n"/>
      <c r="L4" s="6" t="n"/>
      <c r="M4" s="6" t="n"/>
    </row>
    <row r="5">
      <c r="A5" s="6" t="inlineStr">
        <is>
          <t>Total net cash outflow, adjusted value (£m)</t>
        </is>
      </c>
      <c r="B5" s="6" t="n"/>
      <c r="C5" s="6" t="n"/>
      <c r="D5" s="6" t="n">
        <v>130.2</v>
      </c>
      <c r="E5" s="6" t="n">
        <v>133</v>
      </c>
      <c r="F5" s="6" t="n">
        <v>137.1</v>
      </c>
      <c r="G5" s="6" t="n">
        <v>72</v>
      </c>
      <c r="H5" s="6" t="n">
        <v>67</v>
      </c>
      <c r="I5" s="6" t="n">
        <v>103.5</v>
      </c>
      <c r="J5" s="6" t="n"/>
      <c r="K5" s="6" t="n"/>
      <c r="L5" s="6" t="n"/>
      <c r="M5" s="6" t="n"/>
    </row>
    <row r="6">
      <c r="A6" s="6" t="inlineStr">
        <is>
          <t>Liquidity Coverage Ratio (%)</t>
        </is>
      </c>
      <c r="B6" s="6" t="n"/>
      <c r="C6" s="6" t="n"/>
      <c r="D6" s="6" t="inlineStr">
        <is>
          <t>176.9%</t>
        </is>
      </c>
      <c r="E6" s="6" t="inlineStr">
        <is>
          <t>252%</t>
        </is>
      </c>
      <c r="F6" s="6" t="inlineStr">
        <is>
          <t>349.6%</t>
        </is>
      </c>
      <c r="G6" s="6" t="inlineStr">
        <is>
          <t>272.9%</t>
        </is>
      </c>
      <c r="H6" s="6" t="inlineStr">
        <is>
          <t>516.9%</t>
        </is>
      </c>
      <c r="I6" s="6" t="inlineStr">
        <is>
          <t>236.9%</t>
        </is>
      </c>
      <c r="J6" s="6" t="n"/>
      <c r="K6" s="6" t="n"/>
      <c r="L6" s="6" t="n"/>
      <c r="M6" s="6" t="n"/>
    </row>
    <row r="7" ht="60" customHeight="1">
      <c r="A7" s="7" t="inlineStr">
        <is>
          <t>Note: FY2024/FY2025 not available - see Leverage Ratio sheet note. Year-end (point-in-time) values shown, per each source document's own basis ('year end value for LCR related metrics'). FY2017/FY2016 Pillar 3 documents were reviewed in full but contain no LCR disclosure (UK LCR reporting for this class of firm phased in gradually; FY2018 is this bank's first year showing it). FY2015/FY2014 not available - see Leverage Ratio sheet note on the pre-CRD IV regime.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 (£m)</t>
        </is>
      </c>
      <c r="B4" s="6" t="n"/>
      <c r="C4" s="6" t="n"/>
      <c r="D4" s="6" t="n">
        <v>1721.9</v>
      </c>
      <c r="E4" s="6" t="n">
        <v>1549</v>
      </c>
      <c r="F4" s="6" t="n">
        <v>1551</v>
      </c>
      <c r="G4" s="6" t="n">
        <v>1226.2</v>
      </c>
      <c r="H4" s="6" t="n"/>
      <c r="I4" s="6" t="n"/>
      <c r="J4" s="6" t="n"/>
      <c r="K4" s="6" t="n"/>
      <c r="L4" s="6" t="n"/>
      <c r="M4" s="6" t="n"/>
    </row>
    <row r="5">
      <c r="A5" s="6" t="inlineStr">
        <is>
          <t>Total required stable funding (£m)</t>
        </is>
      </c>
      <c r="B5" s="6" t="n"/>
      <c r="C5" s="6" t="n"/>
      <c r="D5" s="6" t="n">
        <v>1144.2</v>
      </c>
      <c r="E5" s="6" t="n">
        <v>1085</v>
      </c>
      <c r="F5" s="6" t="n">
        <v>922.7</v>
      </c>
      <c r="G5" s="6" t="n">
        <v>793.3</v>
      </c>
      <c r="H5" s="6" t="n"/>
      <c r="I5" s="6" t="n"/>
      <c r="J5" s="6" t="n"/>
      <c r="K5" s="6" t="n"/>
      <c r="L5" s="6" t="n"/>
      <c r="M5" s="6" t="n"/>
    </row>
    <row r="6">
      <c r="A6" s="6" t="inlineStr">
        <is>
          <t>Net Stable Funding Ratio (%)</t>
        </is>
      </c>
      <c r="B6" s="6" t="n"/>
      <c r="C6" s="6" t="n"/>
      <c r="D6" s="6" t="inlineStr">
        <is>
          <t>150.5%</t>
        </is>
      </c>
      <c r="E6" s="6" t="inlineStr">
        <is>
          <t>143%</t>
        </is>
      </c>
      <c r="F6" s="6" t="inlineStr">
        <is>
          <t>168.1%</t>
        </is>
      </c>
      <c r="G6" s="6" t="inlineStr">
        <is>
          <t>154.6%</t>
        </is>
      </c>
      <c r="H6" s="6" t="inlineStr">
        <is>
          <t>217.6%</t>
        </is>
      </c>
      <c r="I6" s="6" t="n"/>
      <c r="J6" s="6" t="n"/>
      <c r="K6" s="6" t="n"/>
      <c r="L6" s="6" t="n"/>
      <c r="M6" s="6" t="n"/>
    </row>
    <row r="7" ht="60" customHeight="1">
      <c r="A7" s="7" t="inlineStr">
        <is>
          <t>Note: FY2024/FY2025 not available - see Leverage Ratio sheet note. FY2019's own Pillar 3 document gives the ratio only (217.6%), with no ASF/RSF breakdown; the breakdown shown for FY2020 comes from FY2020's own report. FY2018/FY2017/FY2016 Pillar 3 documents were reviewed in full but contain no NSFR disclosure (UK NSFR reporting phased in later than LCR for this class of firm - FY2019 is this bank's first year showing it). FY2015/FY2014 not available - see Leverage Ratio sheet note on the pre-CRD IV regime.</t>
        </is>
      </c>
    </row>
    <row r="9" ht="170" customHeight="1">
      <c r="A9"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Julian Hodge Bank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No MREL figure (numeric or qualitative) appears in any of the Pillar 3 documents reviewed (FY2014-FY2023), nor in any Annual Report's brief capital note - no reason is stated. Consistent with this small private bank not being set an independent MREL requirement by the Bank of England, the same pattern seen at other small UK banks in this project (e.g. Cynergy Bank, DF Capital Bank).</t>
        </is>
      </c>
    </row>
    <row r="7" ht="170" customHeight="1">
      <c r="A7" s="8" t="inlineStr">
        <is>
          <t>Sources - Julian Hodge Bank Limited:
FY2023: Hodge Bank Pillar 3 Disclosures - Period ended 30 September 2023, Table "3 Key Regulatory Metrics", p.9 - https://hodgebank.co.uk/wp-content/uploads/2024/07/Hodge-pillar-3-11.03.24.pdf
FY2022: Hodge Bank Pillar 3 Disclosures - Period ended 30 September 2022, Table "3 Key Regulatory Metrics", p.12 - https://hodgebank.co.uk/wp-content/uploads/2024/07/Hodge-pillar-3-19.06.23.pdf
FY2021: Hodge Bank Pillar 3 Disclosures - Period ended 30 September 2021, Table "Key Metrics", p.16 - https://hodgebank.co.uk/wp-content/uploads/2024/07/Hodge-Pillar-3-Document-2020_2021.pdf
FY2020: Julian Hodge Bank Limited Pillar 3 Disclosures - Period ended 30 September 2020, Summary of Key Regulatory Metrics, p.8 - https://web.archive.org/web/20220620025450id_/https://hodgebank.co.uk/wp-content/uploads/2021/02/2.-JHB-Pillar-III.pdf
FY2019: Julian Hodge Bank Limited Pillar 3 Disclosures - Period ended 31 October 2019, Key Regulatory Metrics, p.10-11 - https://web.archive.org/web/20210517002419id_/https://hodgebank.co.uk/wp-content/uploads/2020/02/Pillar-3-Disclosure-FY19-FINAL.pdf
FY2018: Julian Hodge Bank Limited Pillar 3 Disclosures - Period ended 31 October 2018, Key Regulatory Metrics, p.10-11 - https://web.archive.org/web/20210517004624id_/https://hodgebank.co.uk/wp-content/uploads/2019/04/jhb-pillar3-2018.pdf
FY2017: Julian Hodge Bank Limited Pillar 3 Disclosures - Period ended 31 October 2017, Summary of Key Capital Ratios/Capital Resources, p.6/15 - https://web.archive.org/web/20220620025310id_/https://hodgebank.co.uk/wp-content/uploads/2019/01/jhb-pillar3-2017.pdf
FY2016: Julian Hodge Bank Limited Pillar 3 Disclosures - Period ended 31 October 2016, Summary of Key Capital Ratios/Capital Resources, p.6/15 - https://web.archive.org/web/20220620025406id_/https://hodgebank.co.uk/wp-content/uploads/2019/01/jhb-pillar3-2016.pdf
FY2015: Julian Hodge Bank Limited Pillar 3 Disclosures - Period ended 31 October 2015, Capital Resources, p.12-13 - https://web.archive.org/web/20220620025429id_/https://hodgebank.co.uk/wp-content/uploads/2019/01/jhb-pillar3-2015.pdf
FY2014: Julian Hodge Bank Limited Pillar 3 Disclosures - period ended 31 October 2014, Capital Resources, p.12-13 - https://web.archive.org/web/20220620025434id_/https://hodgebank.co.uk/wp-content/uploads/2019/01/jhb-pillar3-2014.pdf
FY2024: Julian Hodge Bank Limited Annual Report 2024, Note 32 'Capital risk management (unaudited)', p.73 - https://hodgebank.co.uk/wp-content/uploads/2025/02/Hodge-annual-report-21.02.25.pdf
FY2025: Julian Hodge Bank Limited Annual Report 2025, Note 34 'Capital risk management (unaudited)', p.76 - https://hodgebank.co.uk/wp-content/uploads/2026/02/Hodge-AR-28.01.26.pdf
FY2021-FY2023: full UK KM1-format 'Key Regulatory Metrics' table from each year's own standalone Pillar 3 Disclosures document. FY2024-FY2025: no standalone Pillar 3 document was located on the bank's site (financial information page lists a Pillar 3 disclosure link for FY2018-FY2023 only) - CET1/RWA/ratio figures instead come from each year's own Annual Report 'Capital risk management (unaudited)' note, which does not include Leverage Ratio, LCR, or NSFR - those 3 metrics are genuinely unavailable for FY2024/FY2025 this session, not assumed absent.
SDDT EXEMPTION - REASON FOR THE FY2025 CESSATION, established 2026-09-15 (cross-bank SDDT pass). Julian Hodge Bank is a Small Domestic Deposit Taker (SDDT) and is therefore not required to publish Pillar 3 disclosures, so the FY2025 absence is an EVIDENCED STRUCTURAL EXEMPTION and no FY2025 Pillar 3 document will ever appear. Evidence - the PRA's own firm-level register, the Bank of England consolidated list of waivers and modifications granted to PRA-authorised firms (downloaded 2026-09-15, https://www.bankofengland.co.uk/-/media/boe/files/prudential-regulation/authorisations/waivers-and-modifications-of-rules/consolidated-waivers-pra-firms.csv), which carries TWO SDDT rows for FRN 204439, 'Julian Hodge Bank Limited': (a) 'CRR firms: SDDT Regime - General Application Part 1.2 &amp; 2.1(9)', sub rule 'Ru 1.2 &amp; 2.1(9)', ref 'A00009819P.pdf', start '11/02/2025', end '11/02/2028'; and (b) 'Modification by Consent - PRA Rulebook - CRR Firms - Rule 3.1 of the SDDT Regime - General Application Part', sub rule 'Ru 3.1', ref 'A00009917P.pdf', start '18/02/2025', no end date. Rule 3.1 is the modification by which a firm becomes an SDDT. What it does to Pillar 3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row: FRN 575105, Rule 3.1, start '17/01/2025' - matching its own stated approval date exactly, which is what ties the register row to the firm-stated effect.)
DATE FIT, stated precisely because the two years differ. This bank's year-end is 30 September. FY2025 (period ended 30 September 2025) falls wholly after the 18 February 2025 modification, so FY2025 is unambiguously covered. FY2024 (period ended 30 September 2024) ENDED BEFORE the modification took effect, so the exemption does not straightforwardly cover it. It may still explain the FY2024 non-publication - Cynergy's 17 January 2025 approval expressly removed its obligation for the 31 December 2024 reporting date that preceded it, and Hodge's FY2024 Pillar 3 would have fallen due at almost exactly the point its own modification landed - but Julian Hodge Bank has not said so, so FY2024 is left as NOT ESTABLISHED rather than claimed as structurally exempt. It is recorded as: no FY2024 Pillar 3 document published; SDDT exemption effective from 18 February 2025 is a plausible but unconfirmed cause.
The exemption explains NOTHING about FY2014-FY2023, every one of which has its own published Pillar 3 document cited above. Do not read SDDT back onto FY2023 or earlier. Neither Annual Report claims SDDT status in the bank's own words: both the FY2024 and FY2025 Annual Reports were downloaded and text-extracted in full (readable text layers, ~737k and ~751k characters) and searched for 'SDDT', 'Small Domestic Deposit Taker', 'modification by consent', 'Simplified Retail Deposit Ratio', 'SRDR', 'Strong and Simple', 'Interim Capital Regime' and 'Basel 3.1'. SDDT appears only as regulatory-developments context - AR2024 p.18 refers to 'the draft Small Domestic Deposit Takers' rules and AR2025 p.18 to 'the ongoing Basel 3.1 and Small Domestic Deposit Takers (SDDT) consultations' - and neither report mentions Pillar 3 disclosure obligations at all (the word 'Pillar' appears only in 'Pillar 1' and 'Pillar 2'). No Simplified Retail Deposit Ratio value is disclosed, so nothing replaces the NSFR series.</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2026-09-15T10:10:57Z</dcterms:created>
  <dcterms:modified xmlns:dcterms="http://purl.org/dc/terms/" xmlns:xsi="http://www.w3.org/2001/XMLSchema-instance" xsi:type="dcterms:W3CDTF">2026-09-15T10:10:57Z</dcterms:modified>
</cp:coreProperties>
</file>