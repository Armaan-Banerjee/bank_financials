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4513"/>
        <bgColor rgb="008B451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Julian Hodge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ser>
          <idx val="3"/>
          <order val="3"/>
          <tx>
            <strRef>
              <f>'Overview'!U9</f>
            </strRef>
          </tx>
          <spPr>
            <a:ln xmlns:a="http://schemas.openxmlformats.org/drawingml/2006/main">
              <a:prstDash val="solid"/>
            </a:ln>
          </spPr>
          <cat>
            <numRef>
              <f>'Overview'!$V$5:$AL$5</f>
            </numRef>
          </cat>
          <val>
            <numRef>
              <f>'Overview'!$V$9:$AL$9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Julian Hodge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'Overview'!AO13</f>
            </strRef>
          </tx>
          <spPr>
            <a:ln xmlns:a="http://schemas.openxmlformats.org/drawingml/2006/main">
              <a:prstDash val="solid"/>
            </a:ln>
          </spPr>
          <cat>
            <numRef>
              <f>'Overview'!$AP$12:$BF$12</f>
            </numRef>
          </cat>
          <val>
            <numRef>
              <f>'Overview'!$AP$13:$BF$13</f>
            </numRef>
          </val>
        </ser>
        <ser>
          <idx val="1"/>
          <order val="1"/>
          <tx>
            <strRef>
              <f>'Overview'!AO14</f>
            </strRef>
          </tx>
          <spPr>
            <a:ln xmlns:a="http://schemas.openxmlformats.org/drawingml/2006/main">
              <a:prstDash val="solid"/>
            </a:ln>
          </spPr>
          <cat>
            <numRef>
              <f>'Overview'!$AP$12:$BF$12</f>
            </numRef>
          </cat>
          <val>
            <numRef>
              <f>'Overview'!$AP$14:$BF$14</f>
            </numRef>
          </val>
        </ser>
        <ser>
          <idx val="2"/>
          <order val="2"/>
          <tx>
            <strRef>
              <f>'Overview'!AO15</f>
            </strRef>
          </tx>
          <spPr>
            <a:ln xmlns:a="http://schemas.openxmlformats.org/drawingml/2006/main">
              <a:prstDash val="solid"/>
            </a:ln>
          </spPr>
          <cat>
            <numRef>
              <f>'Overview'!$AP$12:$BF$12</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Julian Hodge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'Overview'!$BJ$18:$BZ$18</f>
            </numRef>
          </cat>
          <val>
            <numRef>
              <f>'Overview'!$BJ$19:$BZ$19</f>
            </numRef>
          </val>
        </ser>
        <ser>
          <idx val="1"/>
          <order val="1"/>
          <tx>
            <strRef>
              <f>'Overview'!BI20</f>
            </strRef>
          </tx>
          <spPr>
            <a:ln xmlns:a="http://schemas.openxmlformats.org/drawingml/2006/main">
              <a:prstDash val="solid"/>
            </a:ln>
          </spPr>
          <cat>
            <numRef>
              <f>'Overview'!$BJ$18:$BZ$18</f>
            </numRef>
          </cat>
          <val>
            <numRef>
              <f>'Overview'!$BJ$20:$BZ$20</f>
            </numRef>
          </val>
        </ser>
        <ser>
          <idx val="2"/>
          <order val="2"/>
          <tx>
            <strRef>
              <f>'Overview'!BI21</f>
            </strRef>
          </tx>
          <spPr>
            <a:ln xmlns:a="http://schemas.openxmlformats.org/drawingml/2006/main">
              <a:prstDash val="solid"/>
            </a:ln>
          </spPr>
          <cat>
            <numRef>
              <f>'Overview'!$BJ$18:$BZ$18</f>
            </numRef>
          </cat>
          <val>
            <numRef>
              <f>'Overview'!$BJ$21:$BZ$21</f>
            </numRef>
          </val>
        </ser>
        <ser>
          <idx val="3"/>
          <order val="3"/>
          <tx>
            <strRef>
              <f>'Overview'!BI22</f>
            </strRef>
          </tx>
          <spPr>
            <a:ln xmlns:a="http://schemas.openxmlformats.org/drawingml/2006/main">
              <a:prstDash val="solid"/>
            </a:ln>
          </spPr>
          <cat>
            <numRef>
              <f>'Overview'!$BJ$18:$BZ$18</f>
            </numRef>
          </cat>
          <val>
            <numRef>
              <f>'Overview'!$BJ$22:$BZ$22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Julian Hodge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'Overview'!CC6</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'Overview'!$CD$6:$CT$6</f>
            </numRef>
          </val>
          <smooth val="0"/>
        </ser>
        <ser>
          <idx val="1"/>
          <order val="1"/>
          <tx>
            <strRef>
              <f>'Overview'!CC7</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'Overview'!$CD$7:$CT$7</f>
            </numRef>
          </val>
          <smooth val="0"/>
        </ser>
        <ser>
          <idx val="2"/>
          <order val="2"/>
          <tx>
            <strRef>
              <f>'Overview'!CC8</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'Overview'!$CD$8:$CT$8</f>
            </numRef>
          </val>
          <smooth val="0"/>
        </ser>
        <ser>
          <idx val="3"/>
          <order val="3"/>
          <tx>
            <strRef>
              <f>'Overview'!CC9</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'Overview'!$CD$9:$CT$9</f>
            </numRef>
          </val>
          <smooth val="0"/>
        </ser>
        <ser>
          <idx val="4"/>
          <order val="4"/>
          <tx>
            <strRef>
              <f>'Overview'!CC10</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'Overview'!$CD$10:$CT$10</f>
            </numRef>
          </val>
          <smooth val="0"/>
        </ser>
        <ser>
          <idx val="5"/>
          <order val="5"/>
          <tx>
            <strRef>
              <f>'Overview'!CC11</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'Overview'!$CD$11:$CT$11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T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s>
  <sheetData>
    <row r="1">
      <c r="A1" s="1" t="inlineStr">
        <is>
          <t>Julian Hodge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V5" t="inlineStr">
        <is>
          <t>FY2009</t>
        </is>
      </c>
      <c r="W5" t="inlineStr">
        <is>
          <t>FY2010</t>
        </is>
      </c>
      <c r="X5" t="inlineStr">
        <is>
          <t>FY2011</t>
        </is>
      </c>
      <c r="Y5" t="inlineStr">
        <is>
          <t>FY2012</t>
        </is>
      </c>
      <c r="Z5" t="inlineStr">
        <is>
          <t>FY2013</t>
        </is>
      </c>
      <c r="AA5" t="inlineStr">
        <is>
          <t>FY2014</t>
        </is>
      </c>
      <c r="AB5" t="inlineStr">
        <is>
          <t>FY2015</t>
        </is>
      </c>
      <c r="AC5" t="inlineStr">
        <is>
          <t>FY2016</t>
        </is>
      </c>
      <c r="AD5" t="inlineStr">
        <is>
          <t>FY2017</t>
        </is>
      </c>
      <c r="AE5" t="inlineStr">
        <is>
          <t>FY2018</t>
        </is>
      </c>
      <c r="AF5" t="inlineStr">
        <is>
          <t>FY2019</t>
        </is>
      </c>
      <c r="AG5" t="inlineStr">
        <is>
          <t>FY2020</t>
        </is>
      </c>
      <c r="AH5" t="inlineStr">
        <is>
          <t>FY2021</t>
        </is>
      </c>
      <c r="AI5" t="inlineStr">
        <is>
          <t>FY2022</t>
        </is>
      </c>
      <c r="AJ5" t="inlineStr">
        <is>
          <t>FY2023</t>
        </is>
      </c>
      <c r="AK5" t="inlineStr">
        <is>
          <t>FY2024</t>
        </is>
      </c>
      <c r="AL5" t="inlineStr">
        <is>
          <t>FY2025</t>
        </is>
      </c>
      <c r="CD5" t="inlineStr">
        <is>
          <t>FY2009</t>
        </is>
      </c>
      <c r="CE5" t="inlineStr">
        <is>
          <t>FY2010</t>
        </is>
      </c>
      <c r="CF5" t="inlineStr">
        <is>
          <t>FY2011</t>
        </is>
      </c>
      <c r="CG5" t="inlineStr">
        <is>
          <t>FY2012</t>
        </is>
      </c>
      <c r="CH5" t="inlineStr">
        <is>
          <t>FY2013</t>
        </is>
      </c>
      <c r="CI5" t="inlineStr">
        <is>
          <t>FY2014</t>
        </is>
      </c>
      <c r="CJ5" t="inlineStr">
        <is>
          <t>FY2015</t>
        </is>
      </c>
      <c r="CK5" t="inlineStr">
        <is>
          <t>FY2016</t>
        </is>
      </c>
      <c r="CL5" t="inlineStr">
        <is>
          <t>FY2017</t>
        </is>
      </c>
      <c r="CM5" t="inlineStr">
        <is>
          <t>FY2018</t>
        </is>
      </c>
      <c r="CN5" t="inlineStr">
        <is>
          <t>FY2019</t>
        </is>
      </c>
      <c r="CO5" t="inlineStr">
        <is>
          <t>FY2020</t>
        </is>
      </c>
      <c r="CP5" t="inlineStr">
        <is>
          <t>FY2021</t>
        </is>
      </c>
      <c r="CQ5" t="inlineStr">
        <is>
          <t>FY2022</t>
        </is>
      </c>
      <c r="CR5" t="inlineStr">
        <is>
          <t>FY2023</t>
        </is>
      </c>
      <c r="CS5" t="inlineStr">
        <is>
          <t>FY2024</t>
        </is>
      </c>
      <c r="CT5" t="inlineStr">
        <is>
          <t>FY2025</t>
        </is>
      </c>
    </row>
    <row r="6">
      <c r="A6" s="5" t="inlineStr">
        <is>
          <t>Total assets</t>
        </is>
      </c>
      <c r="B6" s="5" t="n">
        <v>2122.6</v>
      </c>
      <c r="C6" s="5" t="n">
        <v>2008.8</v>
      </c>
      <c r="D6" s="5" t="n">
        <v>1823.1</v>
      </c>
      <c r="E6" s="5" t="n">
        <v>1860.8</v>
      </c>
      <c r="F6" s="5" t="n">
        <v>1713.4</v>
      </c>
      <c r="G6" s="5" t="n">
        <v>1409.2</v>
      </c>
      <c r="H6" s="5" t="n">
        <v>1378.7</v>
      </c>
      <c r="I6" s="5" t="n">
        <v>1363.4</v>
      </c>
      <c r="J6" s="5" t="n">
        <v>1267.4</v>
      </c>
      <c r="K6" s="5" t="n">
        <v>1316.8</v>
      </c>
      <c r="L6" s="5" t="n">
        <v>999</v>
      </c>
      <c r="M6" s="5" t="n">
        <v>784.7</v>
      </c>
      <c r="N6" s="5" t="n"/>
      <c r="O6" s="5" t="n"/>
      <c r="P6" s="5" t="n"/>
      <c r="Q6" s="5" t="n"/>
      <c r="R6" s="5" t="n"/>
      <c r="U6" t="inlineStr">
        <is>
          <t>Total assets</t>
        </is>
      </c>
      <c r="AA6" t="n">
        <v>784.7</v>
      </c>
      <c r="AB6" t="n">
        <v>999</v>
      </c>
      <c r="AC6" t="n">
        <v>1316.8</v>
      </c>
      <c r="AD6" t="n">
        <v>1267.4</v>
      </c>
      <c r="AE6" t="n">
        <v>1363.4</v>
      </c>
      <c r="AF6" t="n">
        <v>1378.7</v>
      </c>
      <c r="AG6" t="n">
        <v>1409.2</v>
      </c>
      <c r="AH6" t="n">
        <v>1713.4</v>
      </c>
      <c r="AI6" t="n">
        <v>1860.8</v>
      </c>
      <c r="AJ6" t="n">
        <v>1823.1</v>
      </c>
      <c r="AK6" t="n">
        <v>2008.8</v>
      </c>
      <c r="AL6" t="n">
        <v>2122.6</v>
      </c>
      <c r="CC6" t="inlineStr">
        <is>
          <t>CET1 Ratio</t>
        </is>
      </c>
      <c r="CK6" t="n">
        <v>19.2</v>
      </c>
      <c r="CL6" t="n">
        <v>21.1</v>
      </c>
      <c r="CM6" t="n">
        <v>22.3</v>
      </c>
      <c r="CN6" t="n">
        <v>23</v>
      </c>
      <c r="CO6" t="n">
        <v>19.7</v>
      </c>
      <c r="CP6" t="n">
        <v>20.2</v>
      </c>
      <c r="CQ6" t="n">
        <v>25.2</v>
      </c>
      <c r="CR6" t="n">
        <v>24.5</v>
      </c>
      <c r="CS6" t="n">
        <v>19.8</v>
      </c>
      <c r="CT6" t="n">
        <v>17.5</v>
      </c>
    </row>
    <row r="7">
      <c r="A7" s="5" t="inlineStr">
        <is>
          <t>Loans and advances to customers</t>
        </is>
      </c>
      <c r="B7" s="5" t="n">
        <v>1839.7</v>
      </c>
      <c r="C7" s="5" t="n">
        <v>1699.3</v>
      </c>
      <c r="D7" s="5" t="n">
        <v>1488.5</v>
      </c>
      <c r="E7" s="5" t="n">
        <v>1404.6</v>
      </c>
      <c r="F7" s="5" t="n">
        <v>1061.5</v>
      </c>
      <c r="G7" s="5" t="n">
        <v>930.8</v>
      </c>
      <c r="H7" s="5" t="n">
        <v>766.9</v>
      </c>
      <c r="I7" s="5" t="n">
        <v>827.9</v>
      </c>
      <c r="J7" s="5" t="n">
        <v>757.9</v>
      </c>
      <c r="K7" s="5" t="n">
        <v>706.9</v>
      </c>
      <c r="L7" s="5" t="n">
        <v>557.5</v>
      </c>
      <c r="M7" s="5" t="n">
        <v>440.8</v>
      </c>
      <c r="N7" s="5" t="n"/>
      <c r="O7" s="5" t="n"/>
      <c r="P7" s="5" t="n"/>
      <c r="Q7" s="5" t="n"/>
      <c r="R7" s="5" t="n"/>
      <c r="U7" t="inlineStr">
        <is>
          <t>Loans and advances to customers</t>
        </is>
      </c>
      <c r="AA7" t="n">
        <v>440.8</v>
      </c>
      <c r="AB7" t="n">
        <v>557.5</v>
      </c>
      <c r="AC7" t="n">
        <v>706.9</v>
      </c>
      <c r="AD7" t="n">
        <v>757.9</v>
      </c>
      <c r="AE7" t="n">
        <v>827.9</v>
      </c>
      <c r="AF7" t="n">
        <v>766.9</v>
      </c>
      <c r="AG7" t="n">
        <v>930.8</v>
      </c>
      <c r="AH7" t="n">
        <v>1061.5</v>
      </c>
      <c r="AI7" t="n">
        <v>1404.6</v>
      </c>
      <c r="AJ7" t="n">
        <v>1488.5</v>
      </c>
      <c r="AK7" t="n">
        <v>1699.3</v>
      </c>
      <c r="AL7" t="n">
        <v>1839.7</v>
      </c>
      <c r="CC7" t="inlineStr">
        <is>
          <t>Tier 1 Ratio</t>
        </is>
      </c>
      <c r="CK7" t="n">
        <v>19.2</v>
      </c>
      <c r="CL7" t="n">
        <v>21.1</v>
      </c>
      <c r="CM7" t="n">
        <v>22.3</v>
      </c>
      <c r="CN7" t="n">
        <v>23</v>
      </c>
      <c r="CO7" t="n">
        <v>19.7</v>
      </c>
      <c r="CP7" t="n">
        <v>20.2</v>
      </c>
      <c r="CQ7" t="n">
        <v>25.2</v>
      </c>
      <c r="CR7" t="n">
        <v>24.5</v>
      </c>
      <c r="CS7" t="n">
        <v>19.8</v>
      </c>
      <c r="CT7" t="n">
        <v>17.5</v>
      </c>
    </row>
    <row r="8">
      <c r="A8" s="5" t="inlineStr">
        <is>
          <t>Deposits from customers</t>
        </is>
      </c>
      <c r="B8" s="5" t="n">
        <v>1860.3</v>
      </c>
      <c r="C8" s="5" t="n">
        <v>1639.4</v>
      </c>
      <c r="D8" s="5" t="n">
        <v>1368.1</v>
      </c>
      <c r="E8" s="5" t="n">
        <v>1425</v>
      </c>
      <c r="F8" s="5" t="n">
        <v>1381</v>
      </c>
      <c r="G8" s="5" t="n">
        <v>1071.4</v>
      </c>
      <c r="H8" s="5" t="n">
        <v>1042.8</v>
      </c>
      <c r="I8" s="5" t="n">
        <v>994.6</v>
      </c>
      <c r="J8" s="5" t="n">
        <v>947.7</v>
      </c>
      <c r="K8" s="5" t="n">
        <v>991.7</v>
      </c>
      <c r="L8" s="5" t="n">
        <v>848.6</v>
      </c>
      <c r="M8" s="5" t="n">
        <v>633.2</v>
      </c>
      <c r="N8" s="5" t="n"/>
      <c r="O8" s="5" t="n"/>
      <c r="P8" s="5" t="n"/>
      <c r="Q8" s="5" t="n"/>
      <c r="R8" s="5" t="n"/>
      <c r="U8" t="inlineStr">
        <is>
          <t>Deposits from customers</t>
        </is>
      </c>
      <c r="AA8" t="n">
        <v>633.2</v>
      </c>
      <c r="AB8" t="n">
        <v>848.6</v>
      </c>
      <c r="AC8" t="n">
        <v>991.7</v>
      </c>
      <c r="AD8" t="n">
        <v>947.7</v>
      </c>
      <c r="AE8" t="n">
        <v>994.6</v>
      </c>
      <c r="AF8" t="n">
        <v>1042.8</v>
      </c>
      <c r="AG8" t="n">
        <v>1071.4</v>
      </c>
      <c r="AH8" t="n">
        <v>1381</v>
      </c>
      <c r="AI8" t="n">
        <v>1425</v>
      </c>
      <c r="AJ8" t="n">
        <v>1368.1</v>
      </c>
      <c r="AK8" t="n">
        <v>1639.4</v>
      </c>
      <c r="AL8" t="n">
        <v>1860.3</v>
      </c>
      <c r="CC8" t="inlineStr">
        <is>
          <t>Total Capital Ratio</t>
        </is>
      </c>
      <c r="CK8" t="n">
        <v>19.2</v>
      </c>
      <c r="CL8" t="n">
        <v>21.2</v>
      </c>
      <c r="CM8" t="n">
        <v>22.3</v>
      </c>
      <c r="CN8" t="n">
        <v>23</v>
      </c>
      <c r="CO8" t="n">
        <v>19.7</v>
      </c>
      <c r="CP8" t="n">
        <v>20.2</v>
      </c>
      <c r="CQ8" t="n">
        <v>25.2</v>
      </c>
      <c r="CR8" t="n">
        <v>24.5</v>
      </c>
      <c r="CS8" t="n">
        <v>19.8</v>
      </c>
      <c r="CT8" t="n">
        <v>17.5</v>
      </c>
    </row>
    <row r="9">
      <c r="A9" s="5" t="inlineStr">
        <is>
          <t>Total equity</t>
        </is>
      </c>
      <c r="B9" s="5" t="n">
        <v>179.8</v>
      </c>
      <c r="C9" s="5" t="n">
        <v>183.2</v>
      </c>
      <c r="D9" s="5" t="n">
        <v>183.8</v>
      </c>
      <c r="E9" s="5" t="n">
        <v>185</v>
      </c>
      <c r="F9" s="5" t="n">
        <v>148.6</v>
      </c>
      <c r="G9" s="5" t="n">
        <v>141</v>
      </c>
      <c r="H9" s="5" t="n">
        <v>160.3</v>
      </c>
      <c r="I9" s="5" t="n">
        <v>171.7</v>
      </c>
      <c r="J9" s="5" t="n">
        <v>167.3</v>
      </c>
      <c r="K9" s="5" t="n">
        <v>146.3</v>
      </c>
      <c r="L9" s="5" t="n">
        <v>133.7</v>
      </c>
      <c r="M9" s="5" t="n">
        <v>132</v>
      </c>
      <c r="N9" s="5" t="n"/>
      <c r="O9" s="5" t="n"/>
      <c r="P9" s="5" t="n"/>
      <c r="Q9" s="5" t="n"/>
      <c r="R9" s="5" t="n"/>
      <c r="U9" t="inlineStr">
        <is>
          <t>Total equity</t>
        </is>
      </c>
      <c r="AA9" t="n">
        <v>132</v>
      </c>
      <c r="AB9" t="n">
        <v>133.7</v>
      </c>
      <c r="AC9" t="n">
        <v>146.3</v>
      </c>
      <c r="AD9" t="n">
        <v>167.3</v>
      </c>
      <c r="AE9" t="n">
        <v>171.7</v>
      </c>
      <c r="AF9" t="n">
        <v>160.3</v>
      </c>
      <c r="AG9" t="n">
        <v>141</v>
      </c>
      <c r="AH9" t="n">
        <v>148.6</v>
      </c>
      <c r="AI9" t="n">
        <v>185</v>
      </c>
      <c r="AJ9" t="n">
        <v>183.8</v>
      </c>
      <c r="AK9" t="n">
        <v>183.2</v>
      </c>
      <c r="AL9" t="n">
        <v>179.8</v>
      </c>
      <c r="CC9" t="inlineStr">
        <is>
          <t>Leverage Ratio (incl. claims on central banks - the only basis comparable across all years; see note)</t>
        </is>
      </c>
      <c r="CK9" t="n">
        <v>9.5</v>
      </c>
      <c r="CL9" t="n">
        <v>11.4</v>
      </c>
      <c r="CM9" t="n">
        <v>11.9</v>
      </c>
      <c r="CN9" t="n">
        <v>11.2</v>
      </c>
      <c r="CO9" t="n">
        <v>9.6</v>
      </c>
      <c r="CP9" t="n">
        <v>8.300000000000001</v>
      </c>
      <c r="CQ9" t="n">
        <v>9.6</v>
      </c>
      <c r="CR9" t="n">
        <v>9.6</v>
      </c>
    </row>
    <row r="10">
      <c r="CC10" t="inlineStr">
        <is>
          <t>LCR</t>
        </is>
      </c>
      <c r="CM10" t="n">
        <v>236.9</v>
      </c>
      <c r="CN10" t="n">
        <v>516.9</v>
      </c>
      <c r="CO10" t="n">
        <v>272.9</v>
      </c>
      <c r="CP10" t="n">
        <v>349.6</v>
      </c>
      <c r="CQ10" t="n">
        <v>252</v>
      </c>
      <c r="CR10" t="n">
        <v>176.9</v>
      </c>
    </row>
    <row r="11">
      <c r="A11" s="3" t="inlineStr">
        <is>
          <t>Profit &amp; Loss Summary (£m)</t>
        </is>
      </c>
      <c r="CC11" t="inlineStr">
        <is>
          <t>NSFR</t>
        </is>
      </c>
      <c r="CN11" t="n">
        <v>217.6</v>
      </c>
      <c r="CO11" t="n">
        <v>154.6</v>
      </c>
      <c r="CP11" t="n">
        <v>168.1</v>
      </c>
      <c r="CQ11" t="n">
        <v>143</v>
      </c>
      <c r="CR11" t="n">
        <v>150.5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AP12" t="inlineStr">
        <is>
          <t>FY2009</t>
        </is>
      </c>
      <c r="AQ12" t="inlineStr">
        <is>
          <t>FY2010</t>
        </is>
      </c>
      <c r="AR12" t="inlineStr">
        <is>
          <t>FY2011</t>
        </is>
      </c>
      <c r="AS12" t="inlineStr">
        <is>
          <t>FY2012</t>
        </is>
      </c>
      <c r="AT12" t="inlineStr">
        <is>
          <t>FY2013</t>
        </is>
      </c>
      <c r="AU12" t="inlineStr">
        <is>
          <t>FY2014</t>
        </is>
      </c>
      <c r="AV12" t="inlineStr">
        <is>
          <t>FY2015</t>
        </is>
      </c>
      <c r="AW12" t="inlineStr">
        <is>
          <t>FY2016</t>
        </is>
      </c>
      <c r="AX12" t="inlineStr">
        <is>
          <t>FY2017</t>
        </is>
      </c>
      <c r="AY12" t="inlineStr">
        <is>
          <t>FY2018</t>
        </is>
      </c>
      <c r="AZ12" t="inlineStr">
        <is>
          <t>FY2019</t>
        </is>
      </c>
      <c r="BA12" t="inlineStr">
        <is>
          <t>FY2020</t>
        </is>
      </c>
      <c r="BB12" t="inlineStr">
        <is>
          <t>FY2021</t>
        </is>
      </c>
      <c r="BC12" t="inlineStr">
        <is>
          <t>FY2022</t>
        </is>
      </c>
      <c r="BD12" t="inlineStr">
        <is>
          <t>FY2023</t>
        </is>
      </c>
      <c r="BE12" t="inlineStr">
        <is>
          <t>FY2024</t>
        </is>
      </c>
      <c r="BF12" t="inlineStr">
        <is>
          <t>FY2025</t>
        </is>
      </c>
    </row>
    <row r="13">
      <c r="A13" s="5" t="inlineStr">
        <is>
          <t>Net interest income</t>
        </is>
      </c>
      <c r="B13" s="5" t="n">
        <v>41.8</v>
      </c>
      <c r="C13" s="5" t="n">
        <v>39.7</v>
      </c>
      <c r="D13" s="5" t="n">
        <v>39.4</v>
      </c>
      <c r="E13" s="5" t="n">
        <v>29.4</v>
      </c>
      <c r="F13" s="5" t="n">
        <v>17.6</v>
      </c>
      <c r="G13" s="5" t="n">
        <v>15.6</v>
      </c>
      <c r="H13" s="5" t="n">
        <v>20.2</v>
      </c>
      <c r="I13" s="5" t="n">
        <v>18.3</v>
      </c>
      <c r="J13" s="5" t="n">
        <v>13.9</v>
      </c>
      <c r="K13" s="5" t="n">
        <v>13.2</v>
      </c>
      <c r="L13" s="5" t="n">
        <v>5.6</v>
      </c>
      <c r="M13" s="5" t="n">
        <v>2.9</v>
      </c>
      <c r="N13" s="5" t="n"/>
      <c r="O13" s="5" t="n"/>
      <c r="P13" s="5" t="n"/>
      <c r="Q13" s="5" t="n"/>
      <c r="R13" s="5" t="n"/>
      <c r="AO13" t="inlineStr">
        <is>
          <t>Net interest income</t>
        </is>
      </c>
      <c r="AU13" t="n">
        <v>2.9</v>
      </c>
      <c r="AV13" t="n">
        <v>5.6</v>
      </c>
      <c r="AW13" t="n">
        <v>13.2</v>
      </c>
      <c r="AX13" t="n">
        <v>13.9</v>
      </c>
      <c r="AY13" t="n">
        <v>18.3</v>
      </c>
      <c r="AZ13" t="n">
        <v>20.2</v>
      </c>
      <c r="BA13" t="n">
        <v>15.6</v>
      </c>
      <c r="BB13" t="n">
        <v>17.6</v>
      </c>
      <c r="BC13" t="n">
        <v>29.4</v>
      </c>
      <c r="BD13" t="n">
        <v>39.4</v>
      </c>
      <c r="BE13" t="n">
        <v>39.7</v>
      </c>
      <c r="BF13" t="n">
        <v>41.8</v>
      </c>
    </row>
    <row r="14">
      <c r="A14" s="5" t="inlineStr">
        <is>
          <t>Net operating income</t>
        </is>
      </c>
      <c r="B14" s="5" t="n">
        <v>39.8</v>
      </c>
      <c r="C14" s="5" t="n">
        <v>41.9</v>
      </c>
      <c r="D14" s="5" t="n">
        <v>46.6</v>
      </c>
      <c r="E14" s="5" t="n">
        <v>38.6</v>
      </c>
      <c r="F14" s="5" t="n">
        <v>26.2</v>
      </c>
      <c r="G14" s="5" t="n">
        <v>20.9</v>
      </c>
      <c r="H14" s="5" t="n">
        <v>28</v>
      </c>
      <c r="I14" s="5" t="n">
        <v>18.2</v>
      </c>
      <c r="J14" s="5" t="n">
        <v>19.3</v>
      </c>
      <c r="K14" s="5" t="n">
        <v>33.5</v>
      </c>
      <c r="L14" s="5" t="n">
        <v>13</v>
      </c>
      <c r="M14" s="5" t="n">
        <v>9.300000000000001</v>
      </c>
      <c r="N14" s="5" t="n"/>
      <c r="O14" s="5" t="n"/>
      <c r="P14" s="5" t="n"/>
      <c r="Q14" s="5" t="n"/>
      <c r="R14" s="5" t="n"/>
      <c r="AO14" t="inlineStr">
        <is>
          <t>Net operating income</t>
        </is>
      </c>
      <c r="AU14" t="n">
        <v>9.300000000000001</v>
      </c>
      <c r="AV14" t="n">
        <v>13</v>
      </c>
      <c r="AW14" t="n">
        <v>33.5</v>
      </c>
      <c r="AX14" t="n">
        <v>19.3</v>
      </c>
      <c r="AY14" t="n">
        <v>18.2</v>
      </c>
      <c r="AZ14" t="n">
        <v>28</v>
      </c>
      <c r="BA14" t="n">
        <v>20.9</v>
      </c>
      <c r="BB14" t="n">
        <v>26.2</v>
      </c>
      <c r="BC14" t="n">
        <v>38.6</v>
      </c>
      <c r="BD14" t="n">
        <v>46.6</v>
      </c>
      <c r="BE14" t="n">
        <v>41.9</v>
      </c>
      <c r="BF14" t="n">
        <v>39.8</v>
      </c>
    </row>
    <row r="15">
      <c r="A15" s="5" t="inlineStr">
        <is>
          <t>Profit/(loss) for the financial year</t>
        </is>
      </c>
      <c r="B15" s="5" t="n">
        <v>-3.9</v>
      </c>
      <c r="C15" s="5" t="n">
        <v>-1.7</v>
      </c>
      <c r="D15" s="5" t="n">
        <v>-0.2</v>
      </c>
      <c r="E15" s="5" t="n">
        <v>4.8</v>
      </c>
      <c r="F15" s="5" t="n">
        <v>5.8</v>
      </c>
      <c r="G15" s="5" t="n">
        <v>-15.9</v>
      </c>
      <c r="H15" s="5" t="n">
        <v>-5.7</v>
      </c>
      <c r="I15" s="5" t="n">
        <v>5.5</v>
      </c>
      <c r="J15" s="5" t="n">
        <v>10.2</v>
      </c>
      <c r="K15" s="5" t="n">
        <v>17.6</v>
      </c>
      <c r="L15" s="5" t="n">
        <v>4.3</v>
      </c>
      <c r="M15" s="5" t="n">
        <v>4.1</v>
      </c>
      <c r="N15" s="5" t="n"/>
      <c r="O15" s="5" t="n"/>
      <c r="P15" s="5" t="n"/>
      <c r="Q15" s="5" t="n"/>
      <c r="R15" s="5" t="n"/>
      <c r="AO15" t="inlineStr">
        <is>
          <t>Profit/(loss) for the financial year</t>
        </is>
      </c>
      <c r="AU15" t="n">
        <v>4.1</v>
      </c>
      <c r="AV15" t="n">
        <v>4.3</v>
      </c>
      <c r="AW15" t="n">
        <v>17.6</v>
      </c>
      <c r="AX15" t="n">
        <v>10.2</v>
      </c>
      <c r="AY15" t="n">
        <v>5.5</v>
      </c>
      <c r="AZ15" t="n">
        <v>-5.7</v>
      </c>
      <c r="BA15" t="n">
        <v>-15.9</v>
      </c>
      <c r="BB15" t="n">
        <v>5.8</v>
      </c>
      <c r="BC15" t="n">
        <v>4.8</v>
      </c>
      <c r="BD15" t="n">
        <v>-0.2</v>
      </c>
      <c r="BE15" t="n">
        <v>-1.7</v>
      </c>
      <c r="BF15" t="n">
        <v>-3.9</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BJ18" t="inlineStr">
        <is>
          <t>FY2009</t>
        </is>
      </c>
      <c r="BK18" t="inlineStr">
        <is>
          <t>FY2010</t>
        </is>
      </c>
      <c r="BL18" t="inlineStr">
        <is>
          <t>FY2011</t>
        </is>
      </c>
      <c r="BM18" t="inlineStr">
        <is>
          <t>FY2012</t>
        </is>
      </c>
      <c r="BN18" t="inlineStr">
        <is>
          <t>FY2013</t>
        </is>
      </c>
      <c r="BO18" t="inlineStr">
        <is>
          <t>FY2014</t>
        </is>
      </c>
      <c r="BP18" t="inlineStr">
        <is>
          <t>FY2015</t>
        </is>
      </c>
      <c r="BQ18" t="inlineStr">
        <is>
          <t>FY2016</t>
        </is>
      </c>
      <c r="BR18" t="inlineStr">
        <is>
          <t>FY2017</t>
        </is>
      </c>
      <c r="BS18" t="inlineStr">
        <is>
          <t>FY2018</t>
        </is>
      </c>
      <c r="BT18" t="inlineStr">
        <is>
          <t>FY2019</t>
        </is>
      </c>
      <c r="BU18" t="inlineStr">
        <is>
          <t>FY2020</t>
        </is>
      </c>
      <c r="BV18" t="inlineStr">
        <is>
          <t>FY2021</t>
        </is>
      </c>
      <c r="BW18" t="inlineStr">
        <is>
          <t>FY2022</t>
        </is>
      </c>
      <c r="BX18" t="inlineStr">
        <is>
          <t>FY2023</t>
        </is>
      </c>
      <c r="BY18" t="inlineStr">
        <is>
          <t>FY2024</t>
        </is>
      </c>
      <c r="BZ18" t="inlineStr">
        <is>
          <t>FY2025</t>
        </is>
      </c>
    </row>
    <row r="19">
      <c r="A19" s="5" t="inlineStr">
        <is>
          <t>Opening equity</t>
        </is>
      </c>
      <c r="B19" s="5" t="n">
        <v>183.2</v>
      </c>
      <c r="C19" s="5" t="n">
        <v>183.8</v>
      </c>
      <c r="D19" s="5" t="n">
        <v>185</v>
      </c>
      <c r="E19" s="5" t="n">
        <v>148.6</v>
      </c>
      <c r="F19" s="5" t="n">
        <v>141</v>
      </c>
      <c r="G19" s="5" t="n">
        <v>160.3</v>
      </c>
      <c r="H19" s="5" t="n">
        <v>171.7</v>
      </c>
      <c r="I19" s="5" t="n">
        <v>167.3</v>
      </c>
      <c r="J19" s="5" t="n">
        <v>153.5</v>
      </c>
      <c r="K19" s="5" t="n">
        <v>133.3</v>
      </c>
      <c r="L19" s="5" t="n">
        <v>132</v>
      </c>
      <c r="M19" s="5" t="n">
        <v>128.2</v>
      </c>
      <c r="N19" s="5" t="n"/>
      <c r="O19" s="5" t="n"/>
      <c r="P19" s="5" t="n"/>
      <c r="Q19" s="5" t="n"/>
      <c r="R19" s="5" t="n"/>
      <c r="BI19" t="inlineStr">
        <is>
          <t>Opening equity</t>
        </is>
      </c>
      <c r="BO19" t="n">
        <v>128.2</v>
      </c>
      <c r="BP19" t="n">
        <v>132</v>
      </c>
      <c r="BQ19" t="n">
        <v>133.3</v>
      </c>
      <c r="BR19" t="n">
        <v>153.5</v>
      </c>
      <c r="BS19" t="n">
        <v>167.3</v>
      </c>
      <c r="BT19" t="n">
        <v>171.7</v>
      </c>
      <c r="BU19" t="n">
        <v>160.3</v>
      </c>
      <c r="BV19" t="n">
        <v>141</v>
      </c>
      <c r="BW19" t="n">
        <v>148.6</v>
      </c>
      <c r="BX19" t="n">
        <v>185</v>
      </c>
      <c r="BY19" t="n">
        <v>183.8</v>
      </c>
      <c r="BZ19" t="n">
        <v>183.2</v>
      </c>
    </row>
    <row r="20">
      <c r="A20" s="5" t="inlineStr">
        <is>
          <t>Total comprehensive income/(loss) for the year</t>
        </is>
      </c>
      <c r="B20" s="5" t="n">
        <v>-3.4</v>
      </c>
      <c r="C20" s="5" t="n">
        <v>-0.6</v>
      </c>
      <c r="D20" s="5" t="n">
        <v>-1.2</v>
      </c>
      <c r="E20" s="5" t="n">
        <v>11.4</v>
      </c>
      <c r="F20" s="5" t="n">
        <v>7.6</v>
      </c>
      <c r="G20" s="5" t="n">
        <v>-19.3</v>
      </c>
      <c r="H20" s="5" t="n">
        <v>-8</v>
      </c>
      <c r="I20" s="5" t="n">
        <v>4.4</v>
      </c>
      <c r="J20" s="5" t="n">
        <v>8.800000000000001</v>
      </c>
      <c r="K20" s="5" t="n">
        <v>13</v>
      </c>
      <c r="L20" s="5" t="n">
        <v>1.8</v>
      </c>
      <c r="M20" s="5" t="n">
        <v>3.8</v>
      </c>
      <c r="N20" s="5" t="n"/>
      <c r="O20" s="5" t="n"/>
      <c r="P20" s="5" t="n"/>
      <c r="Q20" s="5" t="n"/>
      <c r="R20" s="5" t="n"/>
      <c r="BI20" t="inlineStr">
        <is>
          <t>Total comprehensive income/(loss) for the year</t>
        </is>
      </c>
      <c r="BO20" t="n">
        <v>3.8</v>
      </c>
      <c r="BP20" t="n">
        <v>1.8</v>
      </c>
      <c r="BQ20" t="n">
        <v>13</v>
      </c>
      <c r="BR20" t="n">
        <v>8.800000000000001</v>
      </c>
      <c r="BS20" t="n">
        <v>4.4</v>
      </c>
      <c r="BT20" t="n">
        <v>-8</v>
      </c>
      <c r="BU20" t="n">
        <v>-19.3</v>
      </c>
      <c r="BV20" t="n">
        <v>7.6</v>
      </c>
      <c r="BW20" t="n">
        <v>11.4</v>
      </c>
      <c r="BX20" t="n">
        <v>-1.2</v>
      </c>
      <c r="BY20" t="n">
        <v>-0.6</v>
      </c>
      <c r="BZ20" t="n">
        <v>-3.4</v>
      </c>
    </row>
    <row r="21">
      <c r="A21" s="5" t="inlineStr">
        <is>
          <t>Other equity movements, net</t>
        </is>
      </c>
      <c r="B21" s="5" t="n">
        <v>0</v>
      </c>
      <c r="C21" s="5" t="n">
        <v>0</v>
      </c>
      <c r="D21" s="5" t="n">
        <v>0</v>
      </c>
      <c r="E21" s="5" t="n">
        <v>25</v>
      </c>
      <c r="F21" s="5" t="n">
        <v>0</v>
      </c>
      <c r="G21" s="5" t="n">
        <v>0</v>
      </c>
      <c r="H21" s="5" t="n">
        <v>-3.4</v>
      </c>
      <c r="I21" s="5" t="n">
        <v>0</v>
      </c>
      <c r="J21" s="5" t="n">
        <v>5</v>
      </c>
      <c r="K21" s="5" t="n">
        <v>0</v>
      </c>
      <c r="L21" s="5" t="n">
        <v>0</v>
      </c>
      <c r="M21" s="5" t="n">
        <v>0</v>
      </c>
      <c r="N21" s="5" t="n"/>
      <c r="O21" s="5" t="n"/>
      <c r="P21" s="5" t="n"/>
      <c r="Q21" s="5" t="n"/>
      <c r="R21" s="5" t="n"/>
      <c r="BI21" t="inlineStr">
        <is>
          <t>Other equity movements, net</t>
        </is>
      </c>
      <c r="BO21" t="n">
        <v>0</v>
      </c>
      <c r="BP21" t="n">
        <v>0</v>
      </c>
      <c r="BQ21" t="n">
        <v>0</v>
      </c>
      <c r="BR21" t="n">
        <v>5</v>
      </c>
      <c r="BS21" t="n">
        <v>0</v>
      </c>
      <c r="BT21" t="n">
        <v>-3.4</v>
      </c>
      <c r="BU21" t="n">
        <v>0</v>
      </c>
      <c r="BV21" t="n">
        <v>0</v>
      </c>
      <c r="BW21" t="n">
        <v>25</v>
      </c>
      <c r="BX21" t="n">
        <v>0</v>
      </c>
      <c r="BY21" t="n">
        <v>0</v>
      </c>
      <c r="BZ21" t="n">
        <v>0</v>
      </c>
    </row>
    <row r="22">
      <c r="A22" s="5" t="inlineStr">
        <is>
          <t>Closing equity</t>
        </is>
      </c>
      <c r="B22" s="5" t="n">
        <v>179.8</v>
      </c>
      <c r="C22" s="5" t="n">
        <v>183.2</v>
      </c>
      <c r="D22" s="5" t="n">
        <v>183.8</v>
      </c>
      <c r="E22" s="5" t="n">
        <v>185</v>
      </c>
      <c r="F22" s="5" t="n">
        <v>148.6</v>
      </c>
      <c r="G22" s="5" t="n">
        <v>141</v>
      </c>
      <c r="H22" s="5" t="n">
        <v>160.3</v>
      </c>
      <c r="I22" s="5" t="n">
        <v>171.7</v>
      </c>
      <c r="J22" s="5" t="n">
        <v>167.3</v>
      </c>
      <c r="K22" s="5" t="n">
        <v>146.3</v>
      </c>
      <c r="L22" s="5" t="n">
        <v>133.7</v>
      </c>
      <c r="M22" s="5" t="n">
        <v>132</v>
      </c>
      <c r="N22" s="5" t="n"/>
      <c r="O22" s="5" t="n"/>
      <c r="P22" s="5" t="n"/>
      <c r="Q22" s="5" t="n"/>
      <c r="R22" s="5" t="n"/>
      <c r="BI22" t="inlineStr">
        <is>
          <t>Closing equity</t>
        </is>
      </c>
      <c r="BO22" t="n">
        <v>132</v>
      </c>
      <c r="BP22" t="n">
        <v>133.7</v>
      </c>
      <c r="BQ22" t="n">
        <v>146.3</v>
      </c>
      <c r="BR22" t="n">
        <v>167.3</v>
      </c>
      <c r="BS22" t="n">
        <v>171.7</v>
      </c>
      <c r="BT22" t="n">
        <v>160.3</v>
      </c>
      <c r="BU22" t="n">
        <v>141</v>
      </c>
      <c r="BV22" t="n">
        <v>148.6</v>
      </c>
      <c r="BW22" t="n">
        <v>185</v>
      </c>
      <c r="BX22" t="n">
        <v>183.8</v>
      </c>
      <c r="BY22" t="n">
        <v>183.2</v>
      </c>
      <c r="BZ22" t="n">
        <v>179.8</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c r="M27" s="4" t="inlineStr">
        <is>
          <t>FY2014</t>
        </is>
      </c>
      <c r="N27" s="4" t="inlineStr">
        <is>
          <t>FY2013</t>
        </is>
      </c>
      <c r="O27" s="4" t="inlineStr">
        <is>
          <t>FY2012</t>
        </is>
      </c>
      <c r="P27" s="4" t="inlineStr">
        <is>
          <t>FY2011</t>
        </is>
      </c>
      <c r="Q27" s="4" t="inlineStr">
        <is>
          <t>FY2010</t>
        </is>
      </c>
      <c r="R27" s="4" t="inlineStr">
        <is>
          <t>FY2009</t>
        </is>
      </c>
    </row>
    <row r="28">
      <c r="A28" s="6" t="inlineStr">
        <is>
          <t>CET1 Ratio</t>
        </is>
      </c>
      <c r="B28" s="6" t="inlineStr">
        <is>
          <t>17.5%</t>
        </is>
      </c>
      <c r="C28" s="6" t="inlineStr">
        <is>
          <t>19.8%</t>
        </is>
      </c>
      <c r="D28" s="6" t="inlineStr">
        <is>
          <t>24.5%</t>
        </is>
      </c>
      <c r="E28" s="6" t="inlineStr">
        <is>
          <t>25.2%</t>
        </is>
      </c>
      <c r="F28" s="6" t="inlineStr">
        <is>
          <t>20.2%</t>
        </is>
      </c>
      <c r="G28" s="6" t="inlineStr">
        <is>
          <t>19.7%</t>
        </is>
      </c>
      <c r="H28" s="6" t="inlineStr">
        <is>
          <t>23.0%</t>
        </is>
      </c>
      <c r="I28" s="6" t="inlineStr">
        <is>
          <t>22.3%</t>
        </is>
      </c>
      <c r="J28" s="6" t="inlineStr">
        <is>
          <t>21.1%</t>
        </is>
      </c>
      <c r="K28" s="6" t="inlineStr">
        <is>
          <t>19.2%</t>
        </is>
      </c>
      <c r="L28" s="6" t="n"/>
      <c r="M28" s="6" t="n"/>
      <c r="N28" s="6" t="n"/>
      <c r="O28" s="6" t="n"/>
      <c r="P28" s="6" t="n"/>
      <c r="Q28" s="6" t="n"/>
      <c r="R28" s="6" t="n"/>
    </row>
    <row r="29">
      <c r="A29" s="6" t="inlineStr">
        <is>
          <t>Tier 1 Ratio</t>
        </is>
      </c>
      <c r="B29" s="6" t="inlineStr">
        <is>
          <t>17.5%</t>
        </is>
      </c>
      <c r="C29" s="6" t="inlineStr">
        <is>
          <t>19.8%</t>
        </is>
      </c>
      <c r="D29" s="6" t="inlineStr">
        <is>
          <t>24.5%</t>
        </is>
      </c>
      <c r="E29" s="6" t="inlineStr">
        <is>
          <t>25.2%</t>
        </is>
      </c>
      <c r="F29" s="6" t="inlineStr">
        <is>
          <t>20.2%</t>
        </is>
      </c>
      <c r="G29" s="6" t="inlineStr">
        <is>
          <t>19.7%</t>
        </is>
      </c>
      <c r="H29" s="6" t="inlineStr">
        <is>
          <t>23.0%</t>
        </is>
      </c>
      <c r="I29" s="6" t="inlineStr">
        <is>
          <t>22.3%</t>
        </is>
      </c>
      <c r="J29" s="6" t="inlineStr">
        <is>
          <t>21.1%</t>
        </is>
      </c>
      <c r="K29" s="6" t="inlineStr">
        <is>
          <t>19.2%</t>
        </is>
      </c>
      <c r="L29" s="6" t="n"/>
      <c r="M29" s="6" t="n"/>
      <c r="N29" s="6" t="n"/>
      <c r="O29" s="6" t="n"/>
      <c r="P29" s="6" t="n"/>
      <c r="Q29" s="6" t="n"/>
      <c r="R29" s="6" t="n"/>
    </row>
    <row r="30">
      <c r="A30" s="6" t="inlineStr">
        <is>
          <t>Total Capital Ratio</t>
        </is>
      </c>
      <c r="B30" s="6" t="inlineStr">
        <is>
          <t>17.5%</t>
        </is>
      </c>
      <c r="C30" s="6" t="inlineStr">
        <is>
          <t>19.8%</t>
        </is>
      </c>
      <c r="D30" s="6" t="inlineStr">
        <is>
          <t>24.5%</t>
        </is>
      </c>
      <c r="E30" s="6" t="inlineStr">
        <is>
          <t>25.2%</t>
        </is>
      </c>
      <c r="F30" s="6" t="inlineStr">
        <is>
          <t>20.2%</t>
        </is>
      </c>
      <c r="G30" s="6" t="inlineStr">
        <is>
          <t>19.7%</t>
        </is>
      </c>
      <c r="H30" s="6" t="inlineStr">
        <is>
          <t>23.0%</t>
        </is>
      </c>
      <c r="I30" s="6" t="inlineStr">
        <is>
          <t>22.3%</t>
        </is>
      </c>
      <c r="J30" s="6" t="inlineStr">
        <is>
          <t>21.2%</t>
        </is>
      </c>
      <c r="K30" s="6" t="inlineStr">
        <is>
          <t>19.2%</t>
        </is>
      </c>
      <c r="L30" s="6" t="n"/>
      <c r="M30" s="6" t="n"/>
      <c r="N30" s="6" t="n"/>
      <c r="O30" s="6" t="n"/>
      <c r="P30" s="6" t="n"/>
      <c r="Q30" s="6" t="n"/>
      <c r="R30" s="6" t="n"/>
    </row>
    <row r="31">
      <c r="A31" s="6" t="inlineStr">
        <is>
          <t>Leverage Ratio (incl. claims on central banks - the only basis comparable across all years; see note)</t>
        </is>
      </c>
      <c r="B31" s="6" t="n"/>
      <c r="C31" s="6" t="n"/>
      <c r="D31" s="6" t="inlineStr">
        <is>
          <t>9.6%</t>
        </is>
      </c>
      <c r="E31" s="6" t="inlineStr">
        <is>
          <t>9.6%</t>
        </is>
      </c>
      <c r="F31" s="6" t="inlineStr">
        <is>
          <t>8.3%</t>
        </is>
      </c>
      <c r="G31" s="6" t="inlineStr">
        <is>
          <t>9.6%</t>
        </is>
      </c>
      <c r="H31" s="6" t="inlineStr">
        <is>
          <t>11.2%</t>
        </is>
      </c>
      <c r="I31" s="6" t="inlineStr">
        <is>
          <t>11.9%</t>
        </is>
      </c>
      <c r="J31" s="6" t="inlineStr">
        <is>
          <t>11.4%</t>
        </is>
      </c>
      <c r="K31" s="6" t="inlineStr">
        <is>
          <t>9.5%</t>
        </is>
      </c>
      <c r="L31" s="6" t="n"/>
      <c r="M31" s="6" t="n"/>
      <c r="N31" s="6" t="n"/>
      <c r="O31" s="6" t="n"/>
      <c r="P31" s="6" t="n"/>
      <c r="Q31" s="6" t="n"/>
      <c r="R31" s="6" t="n"/>
    </row>
    <row r="32">
      <c r="A32" s="6" t="inlineStr">
        <is>
          <t>LCR</t>
        </is>
      </c>
      <c r="B32" s="6" t="n"/>
      <c r="C32" s="6" t="n"/>
      <c r="D32" s="6" t="inlineStr">
        <is>
          <t>176.9%</t>
        </is>
      </c>
      <c r="E32" s="6" t="inlineStr">
        <is>
          <t>252%</t>
        </is>
      </c>
      <c r="F32" s="6" t="inlineStr">
        <is>
          <t>349.6%</t>
        </is>
      </c>
      <c r="G32" s="6" t="inlineStr">
        <is>
          <t>272.9%</t>
        </is>
      </c>
      <c r="H32" s="6" t="inlineStr">
        <is>
          <t>516.9%</t>
        </is>
      </c>
      <c r="I32" s="6" t="inlineStr">
        <is>
          <t>236.9%</t>
        </is>
      </c>
      <c r="J32" s="6" t="n"/>
      <c r="K32" s="6" t="n"/>
      <c r="L32" s="6" t="n"/>
      <c r="M32" s="6" t="n"/>
      <c r="N32" s="6" t="n"/>
      <c r="O32" s="6" t="n"/>
      <c r="P32" s="6" t="n"/>
      <c r="Q32" s="6" t="n"/>
      <c r="R32" s="6" t="n"/>
    </row>
    <row r="33">
      <c r="A33" s="6" t="inlineStr">
        <is>
          <t>NSFR</t>
        </is>
      </c>
      <c r="B33" s="6" t="n"/>
      <c r="C33" s="6" t="n"/>
      <c r="D33" s="6" t="inlineStr">
        <is>
          <t>150.5%</t>
        </is>
      </c>
      <c r="E33" s="6" t="inlineStr">
        <is>
          <t>143%</t>
        </is>
      </c>
      <c r="F33" s="6" t="inlineStr">
        <is>
          <t>168.1%</t>
        </is>
      </c>
      <c r="G33" s="6" t="inlineStr">
        <is>
          <t>154.6%</t>
        </is>
      </c>
      <c r="H33" s="6" t="inlineStr">
        <is>
          <t>217.6%</t>
        </is>
      </c>
      <c r="I33" s="6" t="n"/>
      <c r="J33" s="6" t="n"/>
      <c r="K33" s="6" t="n"/>
      <c r="L33" s="6" t="n"/>
      <c r="M33" s="6" t="n"/>
      <c r="N33" s="6" t="n"/>
      <c r="O33" s="6" t="n"/>
      <c r="P33" s="6" t="n"/>
      <c r="Q33" s="6" t="n"/>
      <c r="R33" s="6" t="n"/>
    </row>
    <row r="35" ht="45" customHeight="1">
      <c r="A35" s="7" t="inlineStr">
        <is>
          <t>Note: This entity takes the FRS 101/FRS 1 cash-flow-statement exemption every year FY2014-FY2025 (see the Cash Flow Statement sheet), so no cash flow summary or chart is shown here - Balance Sheet/Profit &amp; Loss/Statement of Changes in Equity summaries and the Pillar 3 Key Metrics trend chart are shown instead. PILLAR 3 YEAR COVERAGE (updated 2026-09-16, HD-080): the 11 capital metric sheets now run back to FY2010, on the strength of a continuous FY2010-FY2023 run of 14 published Pillar 3 documents. Only the Total Capital sheet carries data before FY2016, because FY2010-FY2015 are Basel II editions that disclose 'Total capital resources' but no risk-weighted assets, no CET1 and no capital ratio of any kind - every other pre-FY2016 cell is blank BY DESIGN and well-sourced, never back-solved. The Asset Quality and RWA Breakdown sheets deliberately stop at FY2014, where their content genuinely stops. FY2025's Pillar 3 cells read 'Not applicable' rather than 'Not publicly disclosed': the SDDT modification (PRA Rule 3.1, effective 18 February 2025) ended the disclosure duty before that year-end, so the figures cannot exist. FY2024 is an ordinary open gap, its year having ended before the modification took effect. Leverage/LCR/NSFR availability varies by year - see each Pillar 3 sheet's own source citation for detail (pre-CRD IV FY2015-FY2010 have none of the three; LCR/NSFR were phased in for this bank in FY2018/FY2019 respectively). LEVERAGE RATIO BASIS, stated here because this sheet is a standalone copy and the chart would otherwise draw a false trend: the PRA's UK Leverage Ratio Framework, in force from 1 January 2022, lets firms exclude claims on central banks from the exposure measure, and from FY2022 the Bank reports on that excluding basis as its headline (FY2021 restated 10.9%, FY2022 10.9%, FY2023 10.5%). Charting the headline figures would show an 8.3% -&gt; 10.9% jump across the FY2021/FY2022 boundary that is purely the change of denominator. The row above therefore uses the INCLUDING-claims-on-central-banks basis, which is the one the Bank reports consistently from FY2016 through FY2023 (UK LRCom row UK-25c for FY2022-FY2023, the Basel III/CRR ratio before that). Both bases, with their exposure measures and the amounts excluded, are on the Leverage Ratio sheet - see its note. The FY2022 and FY2017 'Other equity movements' figures (£25.0m and £5.0m) are real share capital issuances those years, not plugs; the FY2019 figure (-£3.4m) is the IFRS 9 transition adjustment on adoption. Note FY2017's own 'Opening equity' (£153.5m) is the FY2017 Annual Report's RESTATED FY2016 closing position (Note 36 prior-period error, +£7.2m vs. the £146.3m FY2016 originally reported as its own closing figure) - both figures are shown, and this discontinuity, on the Statement of Changes in Equity sheet.</t>
        </is>
      </c>
    </row>
  </sheetData>
  <mergeCells count="1">
    <mergeCell ref="A35:R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Julian Hodge Bank Limited — Balance Sheet</t>
        </is>
      </c>
    </row>
    <row r="2">
      <c r="A2" s="2" t="inlineStr">
        <is>
          <t>Entity-level (Company-only, FRS 101).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Cash and balances held at central banks</t>
        </is>
      </c>
      <c r="B5" s="6" t="n">
        <v>69.5</v>
      </c>
      <c r="C5" s="6" t="n">
        <v>151.3</v>
      </c>
      <c r="D5" s="6" t="n">
        <v>93.7</v>
      </c>
      <c r="E5" s="6" t="n">
        <v>118.1</v>
      </c>
      <c r="F5" s="6" t="n">
        <v>412.2</v>
      </c>
      <c r="G5" s="6" t="n">
        <v>147.9</v>
      </c>
      <c r="H5" s="6" t="n">
        <v>321.9</v>
      </c>
      <c r="I5" s="6" t="n">
        <v>153.2</v>
      </c>
      <c r="J5" s="6" t="n">
        <v>87</v>
      </c>
      <c r="K5" s="6" t="n">
        <v>168</v>
      </c>
      <c r="L5" s="6" t="n">
        <v>101.6</v>
      </c>
      <c r="M5" s="6" t="n">
        <v>18.5</v>
      </c>
      <c r="N5" s="6" t="n">
        <v>35.6</v>
      </c>
      <c r="O5" s="6" t="n">
        <v>37</v>
      </c>
      <c r="P5" s="6" t="n"/>
      <c r="Q5" s="6" t="n"/>
      <c r="R5" s="6" t="n"/>
    </row>
    <row r="6">
      <c r="A6" s="6" t="inlineStr">
        <is>
          <t>Loans and advances to credit institutions</t>
        </is>
      </c>
      <c r="B6" s="6" t="n">
        <v>7.9</v>
      </c>
      <c r="C6" s="6" t="n">
        <v>4.5</v>
      </c>
      <c r="D6" s="6" t="n">
        <v>11.2</v>
      </c>
      <c r="E6" s="6" t="n">
        <v>0.2</v>
      </c>
      <c r="F6" s="6" t="n">
        <v>45.9</v>
      </c>
      <c r="G6" s="6" t="n">
        <v>105.2</v>
      </c>
      <c r="H6" s="6" t="n">
        <v>86.09999999999999</v>
      </c>
      <c r="I6" s="6" t="n">
        <v>96.2</v>
      </c>
      <c r="J6" s="6" t="n">
        <v>107.6</v>
      </c>
      <c r="K6" s="6" t="n">
        <v>128.3</v>
      </c>
      <c r="L6" s="6" t="n">
        <v>20.5</v>
      </c>
      <c r="M6" s="6" t="n">
        <v>28.8</v>
      </c>
      <c r="N6" s="6" t="n">
        <v>25.6</v>
      </c>
      <c r="O6" s="6" t="n">
        <v>90.59999999999999</v>
      </c>
      <c r="P6" s="6" t="n">
        <v>78.40000000000001</v>
      </c>
      <c r="Q6" s="6" t="n">
        <v>188.5</v>
      </c>
      <c r="R6" s="6" t="n">
        <v>91.8</v>
      </c>
    </row>
    <row r="7">
      <c r="A7" s="6" t="inlineStr">
        <is>
          <t>Derivative financial instruments (asset)</t>
        </is>
      </c>
      <c r="B7" s="6" t="n">
        <v>16.8</v>
      </c>
      <c r="C7" s="6" t="n">
        <v>27.9</v>
      </c>
      <c r="D7" s="6" t="n">
        <v>58.5</v>
      </c>
      <c r="E7" s="6" t="n">
        <v>75.8</v>
      </c>
      <c r="F7" s="6" t="n"/>
      <c r="G7" s="6" t="n"/>
      <c r="H7" s="6" t="n"/>
      <c r="I7" s="6" t="n"/>
      <c r="J7" s="6" t="n"/>
      <c r="K7" s="6" t="n"/>
      <c r="L7" s="6" t="n"/>
      <c r="M7" s="6" t="n"/>
      <c r="N7" s="6" t="n"/>
      <c r="O7" s="6" t="n"/>
      <c r="P7" s="6" t="n"/>
      <c r="Q7" s="6" t="n"/>
      <c r="R7" s="6" t="n"/>
    </row>
    <row r="8">
      <c r="A8" s="6" t="inlineStr">
        <is>
          <t>Government bonds (called 'Treasury bills' in FY2009-FY2019 reports)</t>
        </is>
      </c>
      <c r="B8" s="6" t="n">
        <v>27.9</v>
      </c>
      <c r="C8" s="6" t="n">
        <v>27.7</v>
      </c>
      <c r="D8" s="6" t="n">
        <v>61.7</v>
      </c>
      <c r="E8" s="6" t="n">
        <v>111.2</v>
      </c>
      <c r="F8" s="6" t="n">
        <v>29.8</v>
      </c>
      <c r="G8" s="6" t="n">
        <v>48.6</v>
      </c>
      <c r="H8" s="6" t="n">
        <v>25.1</v>
      </c>
      <c r="I8" s="6" t="n">
        <v>81.2</v>
      </c>
      <c r="J8" s="6" t="n">
        <v>87.3</v>
      </c>
      <c r="K8" s="6" t="n">
        <v>84.7</v>
      </c>
      <c r="L8" s="6" t="n">
        <v>81</v>
      </c>
      <c r="M8" s="6" t="n">
        <v>75.5</v>
      </c>
      <c r="N8" s="6" t="n">
        <v>78.09999999999999</v>
      </c>
      <c r="O8" s="6" t="n">
        <v>81.3</v>
      </c>
      <c r="P8" s="6" t="n">
        <v>35.3</v>
      </c>
      <c r="Q8" s="6" t="n">
        <v>42.5</v>
      </c>
      <c r="R8" s="6" t="n">
        <v>17.9</v>
      </c>
    </row>
    <row r="9">
      <c r="A9" s="6" t="inlineStr">
        <is>
          <t>Debt securities</t>
        </is>
      </c>
      <c r="B9" s="6" t="n">
        <v>135.8</v>
      </c>
      <c r="C9" s="6" t="n">
        <v>70.7</v>
      </c>
      <c r="D9" s="6" t="n">
        <v>82</v>
      </c>
      <c r="E9" s="6" t="n">
        <v>116.2</v>
      </c>
      <c r="F9" s="6" t="n">
        <v>42.3</v>
      </c>
      <c r="G9" s="6" t="n">
        <v>50.7</v>
      </c>
      <c r="H9" s="6" t="n">
        <v>57</v>
      </c>
      <c r="I9" s="6" t="n">
        <v>87.5</v>
      </c>
      <c r="J9" s="6" t="n">
        <v>77</v>
      </c>
      <c r="K9" s="6" t="n">
        <v>89.09999999999999</v>
      </c>
      <c r="L9" s="6" t="n">
        <v>81.5</v>
      </c>
      <c r="M9" s="6" t="n">
        <v>85.09999999999999</v>
      </c>
      <c r="N9" s="6" t="n">
        <v>87.59999999999999</v>
      </c>
      <c r="O9" s="6" t="n">
        <v>89.5</v>
      </c>
      <c r="P9" s="6" t="n">
        <v>67.40000000000001</v>
      </c>
      <c r="Q9" s="6" t="n">
        <v>54.2</v>
      </c>
      <c r="R9" s="6" t="n">
        <v>31.6</v>
      </c>
    </row>
    <row r="10">
      <c r="A10" s="6" t="inlineStr">
        <is>
          <t>Loans and advances to customers</t>
        </is>
      </c>
      <c r="B10" s="6" t="n">
        <v>1839.7</v>
      </c>
      <c r="C10" s="6" t="n">
        <v>1699.3</v>
      </c>
      <c r="D10" s="6" t="n">
        <v>1488.5</v>
      </c>
      <c r="E10" s="6" t="n">
        <v>1404.6</v>
      </c>
      <c r="F10" s="6" t="n">
        <v>1061.5</v>
      </c>
      <c r="G10" s="6" t="n">
        <v>930.8</v>
      </c>
      <c r="H10" s="6" t="n">
        <v>766.9</v>
      </c>
      <c r="I10" s="6" t="n">
        <v>827.9</v>
      </c>
      <c r="J10" s="6" t="n">
        <v>757.9</v>
      </c>
      <c r="K10" s="6" t="n">
        <v>706.9</v>
      </c>
      <c r="L10" s="6" t="n">
        <v>557.5</v>
      </c>
      <c r="M10" s="6" t="n">
        <v>440.8</v>
      </c>
      <c r="N10" s="6" t="n">
        <v>384</v>
      </c>
      <c r="O10" s="6" t="n">
        <v>358.8</v>
      </c>
      <c r="P10" s="6" t="n">
        <v>362.8</v>
      </c>
      <c r="Q10" s="6" t="n">
        <v>398.4</v>
      </c>
      <c r="R10" s="6" t="n">
        <v>470.2</v>
      </c>
    </row>
    <row r="11">
      <c r="A11" s="6" t="inlineStr">
        <is>
          <t>Shares in group undertakings and participating interests (Hodge Life Assurance Company - sold/reclassified out by FY2018)</t>
        </is>
      </c>
      <c r="B11" s="6" t="n"/>
      <c r="C11" s="6" t="n"/>
      <c r="D11" s="6" t="n"/>
      <c r="E11" s="6" t="n"/>
      <c r="F11" s="6" t="n"/>
      <c r="G11" s="6" t="n"/>
      <c r="H11" s="6" t="n"/>
      <c r="I11" s="6" t="n"/>
      <c r="J11" s="6" t="n">
        <v>16</v>
      </c>
      <c r="K11" s="6" t="n">
        <v>16</v>
      </c>
      <c r="L11" s="6" t="n">
        <v>16</v>
      </c>
      <c r="M11" s="6" t="n">
        <v>16</v>
      </c>
      <c r="N11" s="6" t="n">
        <v>16</v>
      </c>
      <c r="O11" s="6" t="n">
        <v>16.1</v>
      </c>
      <c r="P11" s="6" t="n">
        <v>16.1</v>
      </c>
      <c r="Q11" s="6" t="n">
        <v>16.1</v>
      </c>
      <c r="R11" s="6" t="n">
        <v>16.1</v>
      </c>
    </row>
    <row r="12">
      <c r="A12" s="6" t="inlineStr">
        <is>
          <t>Equity shares (a small distinct holding, genuinely nil/absent in some years - not a residual)</t>
        </is>
      </c>
      <c r="B12" s="6" t="n"/>
      <c r="C12" s="6" t="n"/>
      <c r="D12" s="6" t="n"/>
      <c r="E12" s="6" t="n"/>
      <c r="F12" s="6" t="n"/>
      <c r="G12" s="6" t="n"/>
      <c r="H12" s="6" t="n"/>
      <c r="I12" s="6" t="n"/>
      <c r="J12" s="6" t="n"/>
      <c r="K12" s="6" t="n"/>
      <c r="L12" s="6" t="n"/>
      <c r="M12" s="6" t="n"/>
      <c r="N12" s="6" t="n"/>
      <c r="O12" s="6" t="n">
        <v>0.8</v>
      </c>
      <c r="P12" s="6" t="n">
        <v>0.8</v>
      </c>
      <c r="Q12" s="6" t="n">
        <v>0.4</v>
      </c>
      <c r="R12" s="6" t="n">
        <v>0.4</v>
      </c>
    </row>
    <row r="13">
      <c r="A13" s="6" t="inlineStr">
        <is>
          <t>Stock and work in progress (UK GAAP line, folded into other line items after the FY2016 FRS101 transition)</t>
        </is>
      </c>
      <c r="B13" s="6" t="n"/>
      <c r="C13" s="6" t="n"/>
      <c r="D13" s="6" t="n"/>
      <c r="E13" s="6" t="n"/>
      <c r="F13" s="6" t="n"/>
      <c r="G13" s="6" t="n"/>
      <c r="H13" s="6" t="n"/>
      <c r="I13" s="6" t="n"/>
      <c r="J13" s="6" t="n"/>
      <c r="K13" s="6" t="n"/>
      <c r="L13" s="6" t="n">
        <v>3.4</v>
      </c>
      <c r="M13" s="6" t="n">
        <v>3.2</v>
      </c>
      <c r="N13" s="6" t="n">
        <v>4.5</v>
      </c>
      <c r="O13" s="6" t="n">
        <v>5.2</v>
      </c>
      <c r="P13" s="6" t="n"/>
      <c r="Q13" s="6" t="n"/>
      <c r="R13" s="6" t="n"/>
    </row>
    <row r="14">
      <c r="A14" s="6" t="inlineStr">
        <is>
          <t>Reversionary interests in properties (UK GAAP line, folded into Investment properties after the FY2016 FRS101 transition)</t>
        </is>
      </c>
      <c r="B14" s="6" t="n"/>
      <c r="C14" s="6" t="n"/>
      <c r="D14" s="6" t="n"/>
      <c r="E14" s="6" t="n"/>
      <c r="F14" s="6" t="n"/>
      <c r="G14" s="6" t="n"/>
      <c r="H14" s="6" t="n"/>
      <c r="I14" s="6" t="n"/>
      <c r="J14" s="6" t="n"/>
      <c r="K14" s="6" t="n"/>
      <c r="L14" s="6" t="n">
        <v>55</v>
      </c>
      <c r="M14" s="6" t="n">
        <v>57.4</v>
      </c>
      <c r="N14" s="6" t="n">
        <v>59.4</v>
      </c>
      <c r="O14" s="6" t="n">
        <v>61.2</v>
      </c>
      <c r="P14" s="6" t="n">
        <v>62.6</v>
      </c>
      <c r="Q14" s="6" t="n">
        <v>63.3</v>
      </c>
      <c r="R14" s="6" t="n">
        <v>57.3</v>
      </c>
    </row>
    <row r="15">
      <c r="A15" s="6" t="inlineStr">
        <is>
          <t>Intangible assets</t>
        </is>
      </c>
      <c r="B15" s="6" t="n">
        <v>14.5</v>
      </c>
      <c r="C15" s="6" t="n">
        <v>15.1</v>
      </c>
      <c r="D15" s="6" t="n">
        <v>12.7</v>
      </c>
      <c r="E15" s="6" t="n">
        <v>9.699999999999999</v>
      </c>
      <c r="F15" s="6" t="n">
        <v>7.4</v>
      </c>
      <c r="G15" s="6" t="n">
        <v>7.3</v>
      </c>
      <c r="H15" s="6" t="n">
        <v>5.8</v>
      </c>
      <c r="I15" s="6" t="n">
        <v>3.1</v>
      </c>
      <c r="J15" s="6" t="n">
        <v>1.7</v>
      </c>
      <c r="K15" s="6" t="n">
        <v>1.2</v>
      </c>
      <c r="L15" s="6" t="n"/>
      <c r="M15" s="6" t="n"/>
      <c r="N15" s="6" t="n"/>
      <c r="O15" s="6" t="n"/>
      <c r="P15" s="6" t="n"/>
      <c r="Q15" s="6" t="n"/>
      <c r="R15" s="6" t="n"/>
    </row>
    <row r="16">
      <c r="A16" s="6" t="inlineStr">
        <is>
          <t>Property and equipment</t>
        </is>
      </c>
      <c r="B16" s="6" t="n">
        <v>0.6</v>
      </c>
      <c r="C16" s="6" t="n">
        <v>1</v>
      </c>
      <c r="D16" s="6" t="n">
        <v>1.2</v>
      </c>
      <c r="E16" s="6" t="n">
        <v>1.5</v>
      </c>
      <c r="F16" s="6" t="n">
        <v>1.6</v>
      </c>
      <c r="G16" s="6" t="n">
        <v>1.9</v>
      </c>
      <c r="H16" s="6" t="n">
        <v>1.9</v>
      </c>
      <c r="I16" s="6" t="n">
        <v>2.2</v>
      </c>
      <c r="J16" s="6" t="n">
        <v>2</v>
      </c>
      <c r="K16" s="6" t="n">
        <v>2.1</v>
      </c>
      <c r="L16" s="6" t="n">
        <v>1.3</v>
      </c>
      <c r="M16" s="6" t="n">
        <v>0.6</v>
      </c>
      <c r="N16" s="6" t="n">
        <v>0.1</v>
      </c>
      <c r="O16" s="6" t="n">
        <v>0.1</v>
      </c>
      <c r="P16" s="6" t="n">
        <v>0</v>
      </c>
      <c r="Q16" s="6" t="n">
        <v>0</v>
      </c>
      <c r="R16" s="6" t="n">
        <v>0.1</v>
      </c>
    </row>
    <row r="17">
      <c r="A17" s="6" t="inlineStr">
        <is>
          <t>Investment properties</t>
        </is>
      </c>
      <c r="B17" s="6" t="n">
        <v>0.2</v>
      </c>
      <c r="C17" s="6" t="n">
        <v>1.5</v>
      </c>
      <c r="D17" s="6" t="n">
        <v>2.6</v>
      </c>
      <c r="E17" s="6" t="n">
        <v>9.199999999999999</v>
      </c>
      <c r="F17" s="6" t="n">
        <v>94.59999999999999</v>
      </c>
      <c r="G17" s="6" t="n">
        <v>97.40000000000001</v>
      </c>
      <c r="H17" s="6" t="n">
        <v>97.3</v>
      </c>
      <c r="I17" s="6" t="n">
        <v>100.3</v>
      </c>
      <c r="J17" s="6" t="n">
        <v>118.6</v>
      </c>
      <c r="K17" s="6" t="n">
        <v>107.8</v>
      </c>
      <c r="L17" s="6" t="n">
        <v>7.7</v>
      </c>
      <c r="M17" s="6" t="n">
        <v>9.199999999999999</v>
      </c>
      <c r="N17" s="6" t="n">
        <v>8.9</v>
      </c>
      <c r="O17" s="6" t="n">
        <v>8.9</v>
      </c>
      <c r="P17" s="6" t="n">
        <v>9.300000000000001</v>
      </c>
      <c r="Q17" s="6" t="n">
        <v>10.3</v>
      </c>
      <c r="R17" s="6" t="n">
        <v>10.3</v>
      </c>
    </row>
    <row r="18">
      <c r="A18" s="6" t="inlineStr">
        <is>
          <t>Deferred tax assets</t>
        </is>
      </c>
      <c r="B18" s="6" t="n">
        <v>2.2</v>
      </c>
      <c r="C18" s="6" t="n">
        <v>3.7</v>
      </c>
      <c r="D18" s="6" t="n">
        <v>5.6</v>
      </c>
      <c r="E18" s="6" t="n">
        <v>6.3</v>
      </c>
      <c r="F18" s="6" t="n">
        <v>11.5</v>
      </c>
      <c r="G18" s="6" t="n">
        <v>9.5</v>
      </c>
      <c r="H18" s="6" t="n">
        <v>6.6</v>
      </c>
      <c r="I18" s="6" t="n">
        <v>6.5</v>
      </c>
      <c r="J18" s="6" t="n">
        <v>7.3</v>
      </c>
      <c r="K18" s="6" t="n">
        <v>8.300000000000001</v>
      </c>
      <c r="L18" s="6" t="n"/>
      <c r="M18" s="6" t="n"/>
      <c r="N18" s="6" t="n"/>
      <c r="O18" s="6" t="n"/>
      <c r="P18" s="6" t="n"/>
      <c r="Q18" s="6" t="n"/>
      <c r="R18" s="6" t="n"/>
    </row>
    <row r="19">
      <c r="A19" s="6" t="inlineStr">
        <is>
          <t>Other assets (includes prepayments/accrued income in FY2009-FY2015)</t>
        </is>
      </c>
      <c r="B19" s="6" t="n">
        <v>6.6</v>
      </c>
      <c r="C19" s="6" t="n">
        <v>5.9</v>
      </c>
      <c r="D19" s="6" t="n">
        <v>5.4</v>
      </c>
      <c r="E19" s="6" t="n">
        <v>8</v>
      </c>
      <c r="F19" s="6" t="n">
        <v>6.6</v>
      </c>
      <c r="G19" s="6" t="n">
        <v>9.9</v>
      </c>
      <c r="H19" s="6" t="n">
        <v>10.1</v>
      </c>
      <c r="I19" s="6" t="n">
        <v>5.3</v>
      </c>
      <c r="J19" s="6" t="n">
        <v>5</v>
      </c>
      <c r="K19" s="6" t="n">
        <v>4.4</v>
      </c>
      <c r="L19" s="6" t="n">
        <v>73.5</v>
      </c>
      <c r="M19" s="6" t="n">
        <v>49.7</v>
      </c>
      <c r="N19" s="6" t="n">
        <v>26.7</v>
      </c>
      <c r="O19" s="6" t="n">
        <v>53</v>
      </c>
      <c r="P19" s="6" t="n">
        <v>78.2</v>
      </c>
      <c r="Q19" s="6" t="n">
        <v>51.7</v>
      </c>
      <c r="R19" s="6" t="n">
        <v>42.4</v>
      </c>
    </row>
    <row r="20">
      <c r="A20" s="6" t="inlineStr">
        <is>
          <t>Pension asset</t>
        </is>
      </c>
      <c r="B20" s="6" t="n">
        <v>0.9</v>
      </c>
      <c r="C20" s="6" t="n">
        <v>0.2</v>
      </c>
      <c r="D20" s="6" t="n"/>
      <c r="E20" s="6" t="n"/>
      <c r="F20" s="6" t="n"/>
      <c r="G20" s="6" t="n"/>
      <c r="H20" s="6" t="n"/>
      <c r="I20" s="6" t="n"/>
      <c r="J20" s="6" t="n"/>
      <c r="K20" s="6" t="n"/>
      <c r="L20" s="6" t="n"/>
      <c r="M20" s="6" t="n"/>
      <c r="N20" s="6" t="n"/>
      <c r="O20" s="6" t="n"/>
      <c r="P20" s="6" t="n"/>
      <c r="Q20" s="6" t="n"/>
      <c r="R20" s="6" t="n"/>
    </row>
    <row r="21">
      <c r="A21" s="5" t="inlineStr">
        <is>
          <t>Total assets</t>
        </is>
      </c>
      <c r="B21" s="5" t="n">
        <v>2122.6</v>
      </c>
      <c r="C21" s="5" t="n">
        <v>2008.8</v>
      </c>
      <c r="D21" s="5" t="n">
        <v>1823.1</v>
      </c>
      <c r="E21" s="5" t="n">
        <v>1860.8</v>
      </c>
      <c r="F21" s="5" t="n">
        <v>1713.4</v>
      </c>
      <c r="G21" s="5" t="n">
        <v>1409.2</v>
      </c>
      <c r="H21" s="5" t="n">
        <v>1378.7</v>
      </c>
      <c r="I21" s="5" t="n">
        <v>1363.4</v>
      </c>
      <c r="J21" s="5" t="n">
        <v>1267.4</v>
      </c>
      <c r="K21" s="5" t="n">
        <v>1316.8</v>
      </c>
      <c r="L21" s="5" t="n">
        <v>999</v>
      </c>
      <c r="M21" s="5" t="n">
        <v>784.7</v>
      </c>
      <c r="N21" s="5" t="n">
        <v>726.5</v>
      </c>
      <c r="O21" s="5" t="n">
        <v>802.5</v>
      </c>
      <c r="P21" s="5" t="n">
        <v>710.9</v>
      </c>
      <c r="Q21" s="5" t="n">
        <v>825.3</v>
      </c>
      <c r="R21" s="5" t="n">
        <v>738</v>
      </c>
    </row>
    <row r="22">
      <c r="A22" s="5" t="inlineStr">
        <is>
          <t>Liabilities</t>
        </is>
      </c>
      <c r="B22" s="6" t="n"/>
      <c r="C22" s="6" t="n"/>
      <c r="D22" s="6" t="n"/>
      <c r="E22" s="6" t="n"/>
      <c r="F22" s="6" t="n"/>
      <c r="G22" s="6" t="n"/>
      <c r="H22" s="6" t="n"/>
      <c r="I22" s="6" t="n"/>
      <c r="J22" s="6" t="n"/>
      <c r="K22" s="6" t="n"/>
      <c r="L22" s="6" t="n"/>
      <c r="M22" s="6" t="n"/>
      <c r="N22" s="6" t="n"/>
      <c r="O22" s="6" t="n"/>
      <c r="P22" s="6" t="n"/>
      <c r="Q22" s="6" t="n"/>
      <c r="R22" s="6" t="n"/>
    </row>
    <row r="23">
      <c r="A23" s="6" t="inlineStr">
        <is>
          <t>Deposits from banks (called 'amounts owed to credit institutions and central banks' in FY2014-FY2015)</t>
        </is>
      </c>
      <c r="B23" s="6" t="n">
        <v>67</v>
      </c>
      <c r="C23" s="6" t="n">
        <v>167.7</v>
      </c>
      <c r="D23" s="6" t="n">
        <v>240.7</v>
      </c>
      <c r="E23" s="6" t="n">
        <v>221</v>
      </c>
      <c r="F23" s="6" t="n">
        <v>145</v>
      </c>
      <c r="G23" s="6" t="n">
        <v>87.5</v>
      </c>
      <c r="H23" s="6" t="n">
        <v>72.5</v>
      </c>
      <c r="I23" s="6" t="n">
        <v>72.5</v>
      </c>
      <c r="J23" s="6" t="n">
        <v>2.8</v>
      </c>
      <c r="K23" s="6" t="n">
        <v>2.8</v>
      </c>
      <c r="L23" s="6" t="n">
        <v>2.8</v>
      </c>
      <c r="M23" s="6" t="n">
        <v>10</v>
      </c>
      <c r="N23" s="6" t="n">
        <v>5</v>
      </c>
      <c r="O23" s="6" t="n">
        <v>8.9</v>
      </c>
      <c r="P23" s="6" t="n">
        <v>1.1</v>
      </c>
      <c r="Q23" s="6" t="n">
        <v>0.5</v>
      </c>
      <c r="R23" s="6" t="n"/>
    </row>
    <row r="24">
      <c r="A24" s="6" t="inlineStr">
        <is>
          <t>Deposits from customers (called 'customer accounts' in FY2014-FY2015)</t>
        </is>
      </c>
      <c r="B24" s="6" t="n">
        <v>1860.3</v>
      </c>
      <c r="C24" s="6" t="n">
        <v>1639.4</v>
      </c>
      <c r="D24" s="6" t="n">
        <v>1368.1</v>
      </c>
      <c r="E24" s="6" t="n">
        <v>1425</v>
      </c>
      <c r="F24" s="6" t="n">
        <v>1381</v>
      </c>
      <c r="G24" s="6" t="n">
        <v>1071.4</v>
      </c>
      <c r="H24" s="6" t="n">
        <v>1042.8</v>
      </c>
      <c r="I24" s="6" t="n">
        <v>994.6</v>
      </c>
      <c r="J24" s="6" t="n">
        <v>947.7</v>
      </c>
      <c r="K24" s="6" t="n">
        <v>991.7</v>
      </c>
      <c r="L24" s="6" t="n">
        <v>848.6</v>
      </c>
      <c r="M24" s="6" t="n">
        <v>633.2</v>
      </c>
      <c r="N24" s="6" t="n">
        <v>583.6</v>
      </c>
      <c r="O24" s="6" t="n">
        <v>658.9</v>
      </c>
      <c r="P24" s="6" t="n">
        <v>579.6</v>
      </c>
      <c r="Q24" s="6" t="n">
        <v>696.2</v>
      </c>
      <c r="R24" s="6" t="n">
        <v>610.5</v>
      </c>
    </row>
    <row r="25">
      <c r="A25" s="6" t="inlineStr">
        <is>
          <t>Derivative financial instruments (liability)</t>
        </is>
      </c>
      <c r="B25" s="6" t="n">
        <v>5.1</v>
      </c>
      <c r="C25" s="6" t="n">
        <v>5.6</v>
      </c>
      <c r="D25" s="6" t="n">
        <v>9.699999999999999</v>
      </c>
      <c r="E25" s="6" t="n">
        <v>11.4</v>
      </c>
      <c r="F25" s="6" t="n">
        <v>14.7</v>
      </c>
      <c r="G25" s="6" t="n">
        <v>82</v>
      </c>
      <c r="H25" s="6" t="n">
        <v>80.40000000000001</v>
      </c>
      <c r="I25" s="6" t="n">
        <v>107.8</v>
      </c>
      <c r="J25" s="6" t="n">
        <v>131.1</v>
      </c>
      <c r="K25" s="6" t="n">
        <v>150.6</v>
      </c>
      <c r="L25" s="6" t="n"/>
      <c r="M25" s="6" t="n"/>
      <c r="N25" s="6" t="n"/>
      <c r="O25" s="6" t="n"/>
      <c r="P25" s="6" t="n"/>
      <c r="Q25" s="6" t="n"/>
      <c r="R25" s="6" t="n"/>
    </row>
    <row r="26">
      <c r="A26" s="6" t="inlineStr">
        <is>
          <t>Other liabilities (includes accruals/deferred income and other provisions in FY2009-FY2020)</t>
        </is>
      </c>
      <c r="B26" s="6" t="n">
        <v>10.4</v>
      </c>
      <c r="C26" s="6" t="n">
        <v>12.9</v>
      </c>
      <c r="D26" s="6" t="n">
        <v>16.5</v>
      </c>
      <c r="E26" s="6" t="n">
        <v>13.9</v>
      </c>
      <c r="F26" s="6" t="n">
        <v>9.9</v>
      </c>
      <c r="G26" s="6" t="n">
        <v>6.3</v>
      </c>
      <c r="H26" s="6" t="n">
        <v>6.1</v>
      </c>
      <c r="I26" s="6" t="n">
        <v>4</v>
      </c>
      <c r="J26" s="6" t="n">
        <v>5.5</v>
      </c>
      <c r="K26" s="6" t="n">
        <v>11.9</v>
      </c>
      <c r="L26" s="6" t="n">
        <v>10.3</v>
      </c>
      <c r="M26" s="6" t="n">
        <v>6.6</v>
      </c>
      <c r="N26" s="6" t="n">
        <v>7.5</v>
      </c>
      <c r="O26" s="6" t="n">
        <v>7.7</v>
      </c>
      <c r="P26" s="6" t="n">
        <v>4.9</v>
      </c>
      <c r="Q26" s="6" t="n">
        <v>4.3</v>
      </c>
      <c r="R26" s="6" t="n">
        <v>4.5</v>
      </c>
    </row>
    <row r="27">
      <c r="A27" s="6" t="inlineStr">
        <is>
          <t>Pension liabilities</t>
        </is>
      </c>
      <c r="B27" s="6" t="n"/>
      <c r="C27" s="6" t="n"/>
      <c r="D27" s="6" t="n">
        <v>4.3</v>
      </c>
      <c r="E27" s="6" t="n">
        <v>4.5</v>
      </c>
      <c r="F27" s="6" t="n">
        <v>14.2</v>
      </c>
      <c r="G27" s="6" t="n">
        <v>21</v>
      </c>
      <c r="H27" s="6" t="n">
        <v>16.6</v>
      </c>
      <c r="I27" s="6" t="n">
        <v>12.8</v>
      </c>
      <c r="J27" s="6" t="n">
        <v>13</v>
      </c>
      <c r="K27" s="6" t="n">
        <v>13.5</v>
      </c>
      <c r="L27" s="6" t="n">
        <v>3.6</v>
      </c>
      <c r="M27" s="6" t="n">
        <v>2.9</v>
      </c>
      <c r="N27" s="6" t="n">
        <v>2.2</v>
      </c>
      <c r="O27" s="6" t="n">
        <v>1.4</v>
      </c>
      <c r="P27" s="6" t="n">
        <v>0.6</v>
      </c>
      <c r="Q27" s="6" t="n">
        <v>0.1</v>
      </c>
      <c r="R27" s="6" t="n">
        <v>0.9</v>
      </c>
    </row>
    <row r="28">
      <c r="A28" s="5" t="inlineStr">
        <is>
          <t>Total liabilities</t>
        </is>
      </c>
      <c r="B28" s="5" t="n">
        <v>1942.8</v>
      </c>
      <c r="C28" s="5" t="n">
        <v>1825.6</v>
      </c>
      <c r="D28" s="5" t="n">
        <v>1639.3</v>
      </c>
      <c r="E28" s="5" t="n">
        <v>1675.8</v>
      </c>
      <c r="F28" s="5" t="n">
        <v>1564.8</v>
      </c>
      <c r="G28" s="5" t="n">
        <v>1268.2</v>
      </c>
      <c r="H28" s="5" t="n">
        <v>1218.4</v>
      </c>
      <c r="I28" s="5" t="n">
        <v>1191.7</v>
      </c>
      <c r="J28" s="5" t="n">
        <v>1100.1</v>
      </c>
      <c r="K28" s="5" t="n">
        <v>1170.5</v>
      </c>
      <c r="L28" s="5" t="n">
        <v>865.3</v>
      </c>
      <c r="M28" s="5" t="n">
        <v>652.7</v>
      </c>
      <c r="N28" s="5" t="n">
        <v>598.3</v>
      </c>
      <c r="O28" s="5" t="n">
        <v>676.9</v>
      </c>
      <c r="P28" s="5" t="n">
        <v>586.2</v>
      </c>
      <c r="Q28" s="5" t="n">
        <v>701.1</v>
      </c>
      <c r="R28" s="5" t="n">
        <v>615.9</v>
      </c>
    </row>
    <row r="29">
      <c r="A29" s="5" t="inlineStr">
        <is>
          <t>Equity</t>
        </is>
      </c>
      <c r="B29" s="6" t="n"/>
      <c r="C29" s="6" t="n"/>
      <c r="D29" s="6" t="n"/>
      <c r="E29" s="6" t="n"/>
      <c r="F29" s="6" t="n"/>
      <c r="G29" s="6" t="n"/>
      <c r="H29" s="6" t="n"/>
      <c r="I29" s="6" t="n"/>
      <c r="J29" s="6" t="n"/>
      <c r="K29" s="6" t="n"/>
      <c r="L29" s="6" t="n"/>
      <c r="M29" s="6" t="n"/>
      <c r="N29" s="6" t="n"/>
      <c r="O29" s="6" t="n"/>
      <c r="P29" s="6" t="n"/>
      <c r="Q29" s="6" t="n"/>
      <c r="R29" s="6" t="n"/>
    </row>
    <row r="30">
      <c r="A30" s="6" t="inlineStr">
        <is>
          <t>Called up share capital</t>
        </is>
      </c>
      <c r="B30" s="6" t="n">
        <v>130</v>
      </c>
      <c r="C30" s="6" t="n">
        <v>130</v>
      </c>
      <c r="D30" s="6" t="n">
        <v>130</v>
      </c>
      <c r="E30" s="6" t="n">
        <v>130</v>
      </c>
      <c r="F30" s="6" t="n">
        <v>105</v>
      </c>
      <c r="G30" s="6" t="n">
        <v>105</v>
      </c>
      <c r="H30" s="6" t="n">
        <v>105</v>
      </c>
      <c r="I30" s="6" t="n">
        <v>105</v>
      </c>
      <c r="J30" s="6" t="n">
        <v>105</v>
      </c>
      <c r="K30" s="6" t="n">
        <v>100</v>
      </c>
      <c r="L30" s="6" t="n">
        <v>100</v>
      </c>
      <c r="M30" s="6" t="n">
        <v>100</v>
      </c>
      <c r="N30" s="6" t="n">
        <v>100</v>
      </c>
      <c r="O30" s="6" t="n">
        <v>100</v>
      </c>
      <c r="P30" s="6" t="n">
        <v>100</v>
      </c>
      <c r="Q30" s="6" t="n">
        <v>100</v>
      </c>
      <c r="R30" s="6" t="n">
        <v>100</v>
      </c>
    </row>
    <row r="31">
      <c r="A31" s="6" t="inlineStr">
        <is>
          <t>Other reserves (retained earnings + pension reserve; profit and loss account + revaluation reserve in FY2009-FY2015 UK GAAP)</t>
        </is>
      </c>
      <c r="B31" s="6" t="n">
        <v>49.8</v>
      </c>
      <c r="C31" s="6" t="n">
        <v>53.2</v>
      </c>
      <c r="D31" s="6" t="n">
        <v>53.8</v>
      </c>
      <c r="E31" s="6" t="n">
        <v>55</v>
      </c>
      <c r="F31" s="6" t="n">
        <v>43.6</v>
      </c>
      <c r="G31" s="6" t="n">
        <v>36</v>
      </c>
      <c r="H31" s="6" t="n">
        <v>55.3</v>
      </c>
      <c r="I31" s="6" t="n">
        <v>66.7</v>
      </c>
      <c r="J31" s="6" t="n">
        <v>62.3</v>
      </c>
      <c r="K31" s="6" t="n">
        <v>46.3</v>
      </c>
      <c r="L31" s="6" t="n">
        <v>33.7</v>
      </c>
      <c r="M31" s="6" t="n">
        <v>32</v>
      </c>
      <c r="N31" s="6" t="n">
        <v>28.2</v>
      </c>
      <c r="O31" s="6" t="n">
        <v>25.6</v>
      </c>
      <c r="P31" s="6" t="n">
        <v>24.7</v>
      </c>
      <c r="Q31" s="6" t="n">
        <v>24.1</v>
      </c>
      <c r="R31" s="6" t="n">
        <v>22.1</v>
      </c>
    </row>
    <row r="32">
      <c r="A32" s="5" t="inlineStr">
        <is>
          <t>Total equity</t>
        </is>
      </c>
      <c r="B32" s="5" t="n">
        <v>179.8</v>
      </c>
      <c r="C32" s="5" t="n">
        <v>183.2</v>
      </c>
      <c r="D32" s="5" t="n">
        <v>183.8</v>
      </c>
      <c r="E32" s="5" t="n">
        <v>185</v>
      </c>
      <c r="F32" s="5" t="n">
        <v>148.6</v>
      </c>
      <c r="G32" s="5" t="n">
        <v>141</v>
      </c>
      <c r="H32" s="5" t="n">
        <v>160.3</v>
      </c>
      <c r="I32" s="5" t="n">
        <v>171.7</v>
      </c>
      <c r="J32" s="5" t="n">
        <v>167.3</v>
      </c>
      <c r="K32" s="5" t="n">
        <v>146.3</v>
      </c>
      <c r="L32" s="5" t="n">
        <v>133.7</v>
      </c>
      <c r="M32" s="5" t="n">
        <v>132</v>
      </c>
      <c r="N32" s="5" t="n">
        <v>128.2</v>
      </c>
      <c r="O32" s="5" t="n">
        <v>125.6</v>
      </c>
      <c r="P32" s="5" t="n">
        <v>124.7</v>
      </c>
      <c r="Q32" s="5" t="n">
        <v>124.1</v>
      </c>
      <c r="R32" s="5" t="n">
        <v>122.1</v>
      </c>
    </row>
    <row r="33">
      <c r="A33" s="5" t="inlineStr">
        <is>
          <t>Total equity and liabilities</t>
        </is>
      </c>
      <c r="B33" s="5" t="n">
        <v>2122.6</v>
      </c>
      <c r="C33" s="5" t="n">
        <v>2008.8</v>
      </c>
      <c r="D33" s="5" t="n">
        <v>1823.1</v>
      </c>
      <c r="E33" s="5" t="n">
        <v>1860.8</v>
      </c>
      <c r="F33" s="5" t="n">
        <v>1713.4</v>
      </c>
      <c r="G33" s="5" t="n">
        <v>1409.2</v>
      </c>
      <c r="H33" s="5" t="n">
        <v>1378.7</v>
      </c>
      <c r="I33" s="5" t="n">
        <v>1363.4</v>
      </c>
      <c r="J33" s="5" t="n">
        <v>1267.4</v>
      </c>
      <c r="K33" s="5" t="n">
        <v>1316.8</v>
      </c>
      <c r="L33" s="5" t="n">
        <v>999</v>
      </c>
      <c r="M33" s="5" t="n">
        <v>784.7</v>
      </c>
      <c r="N33" s="5" t="n">
        <v>726.5</v>
      </c>
      <c r="O33" s="5" t="n">
        <v>802.5</v>
      </c>
      <c r="P33" s="5" t="n">
        <v>710.9</v>
      </c>
      <c r="Q33" s="5" t="n">
        <v>825.3</v>
      </c>
      <c r="R33" s="5" t="n">
        <v>738</v>
      </c>
    </row>
    <row r="35" ht="280" customHeight="1">
      <c r="A35"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
HISTORICAL-DEPTH NOTE (HD-074, added 2026-09-07): extends Balance Sheet, Profit &amp; Loss and Statement of Changes in Equity back to FY2009 (one year beyond HD-004's confirmed FY2010 statutory floor) - Pillar 3, Asset Quality and RWA Breakdown remain capped at FY2014 as a deliberate project-wide scope decision, not a sourcing gap. This entity has no Cash Flow Statement in any year (see EXEMPTION_NOTE on the Cash Flow Statement sheet) - the FRS1 predecessor exemption (identical grounds: a parent undertaking includes the Bank in its own published consolidated accounts) is confirmed explicitly stated in each of the FY2013/FY2011/FY2010 Annual Reports too, so this extension adds no Cash Flow Statement columns. FY2013 (and its own FY2012 comparative): Directors' report and financial statements 2013 - https://web.archive.org/web/20220620025323id_/https://hodgebank.co.uk/wp-content/uploads/2019/01/jhb-financial-statements-20131031.pdf
FY2011 (and its own FY2010 comparative): Directors' report and financial statements 2011 - https://web.archive.org/web/20220620025317id_/https://hodgebank.co.uk/wp-content/uploads/2019/01/jhb-financial-statements-20111031.pdf
FY2010 (and its own FY2009 comparative): Directors' report and financial statements 2010 - https://web.archive.org/web/20220620025334id_/https://hodgebank.co.uk/wp-content/uploads/2019/01/jhb-financial-statements-20101031.pdf
All 3 new filings are old UK GAAP (pre-FRS101), consistent with the existing FY2014/FY2015 treatment already on this sheet - no basis-transition gap exists at the FY2013/FY2014 boundary (FY2013's own closing Total equity of GBP128.2m ties exactly to FY2014's own opening position). 'Equity shares' is a genuine small distinct holding line disclosed in the FY2010-FY2012 Balance Sheets (nil in FY2013) - not folded into Debt securities or another line, since it is its own numbered note in the source accounts. FY2012's own Profit and Loss Account (per the FY2013 Annual Report's own comparative) reclassified certain cost/income sub-lines from how they were originally presented (a reclassification only, explained in that report's own Note 1 - profit for the year and net assets are unaffected). Every one of the 5 new years' Balance Sheet ties exactly (Total assets = Total liabilities + Total equity, verified to the exact £000) and every new year's disclosed Profit on ordinary activities before taxation and Total recognised gains and losses in the financial year are reproduced exactly by the rows on this sheet and the Profit &amp; Loss sheet.</t>
        </is>
      </c>
    </row>
  </sheetData>
  <mergeCells count="1">
    <mergeCell ref="A35:R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Julian Hodge Bank Limited — Profit &amp; Loss</t>
        </is>
      </c>
    </row>
    <row r="2">
      <c r="A2" s="2" t="inlineStr">
        <is>
          <t>Entity-level (Company-only, FRS 101). £m. Structure genuinely changes FY2025 (Net operating (loss)/income subtotal replaces the FY2021-FY2024 'Operating profit' subtotal) - both shown on their own basis, not forced into one template. Each year's own originally-published figures used throughout; note AR2025's own FY2024 comparative column is separately labelled 'Restated' (Note 33 interest revenue/expense reclassification) - that restated column is NOT used here, FY2024's own contemporaneous report is used instead, per project convention.</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revenue calculated using the EIR method (FY2014-FY2015: UK GAAP interest receivable, not EIR-method - same row for comparability, see note)</t>
        </is>
      </c>
      <c r="B5" s="6" t="n">
        <v>122.9</v>
      </c>
      <c r="C5" s="6" t="n">
        <v>92.09999999999999</v>
      </c>
      <c r="D5" s="6" t="n">
        <v>67.3</v>
      </c>
      <c r="E5" s="6" t="n">
        <v>50.5</v>
      </c>
      <c r="F5" s="6" t="n">
        <v>39.6</v>
      </c>
      <c r="G5" s="6" t="n">
        <v>38.4</v>
      </c>
      <c r="H5" s="6" t="n">
        <v>48.3</v>
      </c>
      <c r="I5" s="6" t="n">
        <v>46</v>
      </c>
      <c r="J5" s="6" t="n">
        <v>41.3</v>
      </c>
      <c r="K5" s="6" t="n">
        <v>42.2</v>
      </c>
      <c r="L5" s="6" t="n">
        <v>33.3</v>
      </c>
      <c r="M5" s="6" t="n">
        <v>28.9</v>
      </c>
      <c r="N5" s="6" t="n">
        <v>27.5</v>
      </c>
      <c r="O5" s="6" t="n">
        <v>26.9</v>
      </c>
      <c r="P5" s="6" t="n">
        <v>28.4</v>
      </c>
      <c r="Q5" s="6" t="n">
        <v>33.5</v>
      </c>
      <c r="R5" s="6" t="n">
        <v>32.6</v>
      </c>
    </row>
    <row r="6">
      <c r="A6" s="6" t="inlineStr">
        <is>
          <t>Interest expense calculated using the EIR method (FY2014-FY2015: UK GAAP interest payable)</t>
        </is>
      </c>
      <c r="B6" s="6" t="n">
        <v>-81.09999999999999</v>
      </c>
      <c r="C6" s="6" t="n">
        <v>-52.4</v>
      </c>
      <c r="D6" s="6" t="n">
        <v>-27.9</v>
      </c>
      <c r="E6" s="6" t="n">
        <v>-21.1</v>
      </c>
      <c r="F6" s="6" t="n">
        <v>-22</v>
      </c>
      <c r="G6" s="6" t="n">
        <v>-22.8</v>
      </c>
      <c r="H6" s="6" t="n">
        <v>-28.1</v>
      </c>
      <c r="I6" s="6" t="n">
        <v>-27.7</v>
      </c>
      <c r="J6" s="6" t="n">
        <v>-27.4</v>
      </c>
      <c r="K6" s="6" t="n">
        <v>-29</v>
      </c>
      <c r="L6" s="6" t="n">
        <v>-27.7</v>
      </c>
      <c r="M6" s="6" t="n">
        <v>-26</v>
      </c>
      <c r="N6" s="6" t="n">
        <v>-29.4</v>
      </c>
      <c r="O6" s="6" t="n">
        <v>-28.7</v>
      </c>
      <c r="P6" s="6" t="n">
        <v>-28.3</v>
      </c>
      <c r="Q6" s="6" t="n">
        <v>-31</v>
      </c>
      <c r="R6" s="6" t="n">
        <v>-25.3</v>
      </c>
    </row>
    <row r="7">
      <c r="A7" s="5" t="inlineStr">
        <is>
          <t>Net interest income</t>
        </is>
      </c>
      <c r="B7" s="5" t="n">
        <v>41.8</v>
      </c>
      <c r="C7" s="5" t="n">
        <v>39.7</v>
      </c>
      <c r="D7" s="5" t="n">
        <v>39.4</v>
      </c>
      <c r="E7" s="5" t="n">
        <v>29.4</v>
      </c>
      <c r="F7" s="5" t="n">
        <v>17.6</v>
      </c>
      <c r="G7" s="5" t="n">
        <v>15.6</v>
      </c>
      <c r="H7" s="5" t="n">
        <v>20.2</v>
      </c>
      <c r="I7" s="5" t="n">
        <v>18.3</v>
      </c>
      <c r="J7" s="5" t="n">
        <v>13.9</v>
      </c>
      <c r="K7" s="5" t="n">
        <v>13.2</v>
      </c>
      <c r="L7" s="5" t="n">
        <v>5.6</v>
      </c>
      <c r="M7" s="5" t="n">
        <v>2.9</v>
      </c>
      <c r="N7" s="5" t="n">
        <v>-1.9</v>
      </c>
      <c r="O7" s="5" t="n">
        <v>-1.8</v>
      </c>
      <c r="P7" s="5" t="n">
        <v>0.2</v>
      </c>
      <c r="Q7" s="5" t="n">
        <v>2.4</v>
      </c>
      <c r="R7" s="5" t="n">
        <v>7.4</v>
      </c>
    </row>
    <row r="8">
      <c r="A8" s="6" t="inlineStr">
        <is>
          <t>Fees and commission income</t>
        </is>
      </c>
      <c r="B8" s="6" t="n">
        <v>1</v>
      </c>
      <c r="C8" s="6" t="n">
        <v>2.9</v>
      </c>
      <c r="D8" s="6" t="n">
        <v>2.5</v>
      </c>
      <c r="E8" s="6" t="n">
        <v>2.6</v>
      </c>
      <c r="F8" s="6" t="n">
        <v>2.5</v>
      </c>
      <c r="G8" s="6" t="n">
        <v>1.8</v>
      </c>
      <c r="H8" s="6" t="n">
        <v>0.7</v>
      </c>
      <c r="I8" s="6" t="n">
        <v>2.5</v>
      </c>
      <c r="J8" s="6" t="n">
        <v>0.5</v>
      </c>
      <c r="K8" s="6" t="n">
        <v>1.1</v>
      </c>
      <c r="L8" s="6" t="n">
        <v>2.8</v>
      </c>
      <c r="M8" s="6" t="n">
        <v>2.2</v>
      </c>
      <c r="N8" s="6" t="n">
        <v>1.1</v>
      </c>
      <c r="O8" s="6" t="n">
        <v>1.2</v>
      </c>
      <c r="P8" s="6" t="n">
        <v>1.3</v>
      </c>
      <c r="Q8" s="6" t="n">
        <v>1.6</v>
      </c>
      <c r="R8" s="6" t="n">
        <v>2.6</v>
      </c>
    </row>
    <row r="9">
      <c r="A9" s="6" t="inlineStr">
        <is>
          <t>Fees and commission expense</t>
        </is>
      </c>
      <c r="B9" s="6" t="n">
        <v>-3.6</v>
      </c>
      <c r="C9" s="6" t="n">
        <v>-1.2</v>
      </c>
      <c r="D9" s="6" t="n">
        <v>-0.1</v>
      </c>
      <c r="E9" s="6" t="n">
        <v>-0.1</v>
      </c>
      <c r="F9" s="6" t="n"/>
      <c r="G9" s="6" t="n"/>
      <c r="H9" s="6" t="n">
        <v>-0.1</v>
      </c>
      <c r="I9" s="6" t="n">
        <v>-1.1</v>
      </c>
      <c r="J9" s="6" t="n">
        <v>-1.2</v>
      </c>
      <c r="K9" s="6" t="n">
        <v>-0.7</v>
      </c>
      <c r="L9" s="6" t="n">
        <v>-0.8</v>
      </c>
      <c r="M9" s="6" t="n">
        <v>-1.5</v>
      </c>
      <c r="N9" s="6" t="n">
        <v>-0.3</v>
      </c>
      <c r="O9" s="6" t="n"/>
      <c r="P9" s="6" t="n">
        <v>-0.1</v>
      </c>
      <c r="Q9" s="6" t="n">
        <v>-0.4</v>
      </c>
      <c r="R9" s="6" t="n">
        <v>-1</v>
      </c>
    </row>
    <row r="10">
      <c r="A10" s="5" t="inlineStr">
        <is>
          <t>Net fee and commission income/(expense)</t>
        </is>
      </c>
      <c r="B10" s="5" t="n">
        <v>-2.6</v>
      </c>
      <c r="C10" s="5" t="n">
        <v>1.7</v>
      </c>
      <c r="D10" s="5" t="n">
        <v>2.4</v>
      </c>
      <c r="E10" s="5" t="n">
        <v>2.5</v>
      </c>
      <c r="F10" s="5" t="n">
        <v>2.5</v>
      </c>
      <c r="G10" s="5" t="n">
        <v>1.8</v>
      </c>
      <c r="H10" s="5" t="n">
        <v>0.6</v>
      </c>
      <c r="I10" s="5" t="n">
        <v>1.4</v>
      </c>
      <c r="J10" s="5" t="n">
        <v>-0.7</v>
      </c>
      <c r="K10" s="5" t="n">
        <v>0.4</v>
      </c>
      <c r="L10" s="5" t="n">
        <v>2</v>
      </c>
      <c r="M10" s="5" t="n">
        <v>0.7</v>
      </c>
      <c r="N10" s="5" t="n">
        <v>0.8</v>
      </c>
      <c r="O10" s="5" t="n">
        <v>1.2</v>
      </c>
      <c r="P10" s="5" t="n">
        <v>1.3</v>
      </c>
      <c r="Q10" s="5" t="n">
        <v>1.2</v>
      </c>
      <c r="R10" s="5" t="n">
        <v>1.6</v>
      </c>
    </row>
    <row r="11">
      <c r="A11" s="6" t="inlineStr">
        <is>
          <t>Investment income (FY2014-FY2015: 'Other finance income')</t>
        </is>
      </c>
      <c r="B11" s="6" t="n">
        <v>0.6</v>
      </c>
      <c r="C11" s="6" t="n">
        <v>0.5</v>
      </c>
      <c r="D11" s="6" t="n">
        <v>4.6</v>
      </c>
      <c r="E11" s="6" t="n">
        <v>6.7</v>
      </c>
      <c r="F11" s="6" t="n">
        <v>6</v>
      </c>
      <c r="G11" s="6" t="n">
        <v>3.5</v>
      </c>
      <c r="H11" s="6" t="n">
        <v>7.2</v>
      </c>
      <c r="I11" s="6" t="n">
        <v>6.4</v>
      </c>
      <c r="J11" s="6" t="n">
        <v>4.8</v>
      </c>
      <c r="K11" s="6" t="n"/>
      <c r="L11" s="6" t="n">
        <v>0.4</v>
      </c>
      <c r="M11" s="6" t="n">
        <v>0.8</v>
      </c>
      <c r="N11" s="6" t="n">
        <v>0.3</v>
      </c>
      <c r="O11" s="6" t="n">
        <v>0.4</v>
      </c>
      <c r="P11" s="6" t="n">
        <v>-0.1</v>
      </c>
      <c r="Q11" s="6" t="n">
        <v>0.1</v>
      </c>
      <c r="R11" s="6" t="n">
        <v>0.2</v>
      </c>
    </row>
    <row r="12">
      <c r="A12" s="6" t="inlineStr">
        <is>
          <t>Dividend income from listed equity shares and subsidiary companies (FY2009-FY2013 only)</t>
        </is>
      </c>
      <c r="B12" s="6" t="n"/>
      <c r="C12" s="6" t="n"/>
      <c r="D12" s="6" t="n"/>
      <c r="E12" s="6" t="n"/>
      <c r="F12" s="6" t="n"/>
      <c r="G12" s="6" t="n"/>
      <c r="H12" s="6" t="n"/>
      <c r="I12" s="6" t="n"/>
      <c r="J12" s="6" t="n"/>
      <c r="K12" s="6" t="n"/>
      <c r="L12" s="6" t="n"/>
      <c r="M12" s="6" t="n"/>
      <c r="N12" s="6" t="n"/>
      <c r="O12" s="6" t="n">
        <v>0.2</v>
      </c>
      <c r="P12" s="6" t="n">
        <v>0.2</v>
      </c>
      <c r="Q12" s="6" t="n">
        <v>0.1</v>
      </c>
      <c r="R12" s="6" t="n">
        <v>0.4</v>
      </c>
    </row>
    <row r="13">
      <c r="A13" s="6" t="inlineStr">
        <is>
          <t>Other operating income</t>
        </is>
      </c>
      <c r="B13" s="6" t="n"/>
      <c r="C13" s="6" t="n"/>
      <c r="D13" s="6" t="n">
        <v>0.2</v>
      </c>
      <c r="E13" s="6" t="n"/>
      <c r="F13" s="6" t="n">
        <v>0.1</v>
      </c>
      <c r="G13" s="6" t="n"/>
      <c r="H13" s="6" t="n"/>
      <c r="I13" s="6" t="n">
        <v>0.1</v>
      </c>
      <c r="J13" s="6" t="n">
        <v>1</v>
      </c>
      <c r="K13" s="6" t="n">
        <v>0.8</v>
      </c>
      <c r="L13" s="6" t="n">
        <v>5</v>
      </c>
      <c r="M13" s="6" t="n">
        <v>4.9</v>
      </c>
      <c r="N13" s="6" t="n">
        <v>9</v>
      </c>
      <c r="O13" s="6" t="n">
        <v>8.199999999999999</v>
      </c>
      <c r="P13" s="6" t="n">
        <v>7.5</v>
      </c>
      <c r="Q13" s="6" t="n">
        <v>12.2</v>
      </c>
      <c r="R13" s="6" t="n">
        <v>3.4</v>
      </c>
    </row>
    <row r="14">
      <c r="A14" s="6" t="inlineStr">
        <is>
          <t>Bad debt recovery</t>
        </is>
      </c>
      <c r="B14" s="6" t="n"/>
      <c r="C14" s="6" t="n"/>
      <c r="D14" s="6" t="n"/>
      <c r="E14" s="6" t="n">
        <v>0.4</v>
      </c>
      <c r="F14" s="6" t="n"/>
      <c r="G14" s="6" t="n"/>
      <c r="H14" s="6" t="n"/>
      <c r="I14" s="6" t="n"/>
      <c r="J14" s="6" t="n"/>
      <c r="K14" s="6" t="n"/>
      <c r="L14" s="6" t="n"/>
      <c r="M14" s="6" t="n"/>
      <c r="N14" s="6" t="n"/>
      <c r="O14" s="6" t="n"/>
      <c r="P14" s="6" t="n"/>
      <c r="Q14" s="6" t="n"/>
      <c r="R14" s="6" t="n"/>
    </row>
    <row r="15">
      <c r="A15" s="5" t="inlineStr">
        <is>
          <t>Net operating income</t>
        </is>
      </c>
      <c r="B15" s="5" t="n">
        <v>39.8</v>
      </c>
      <c r="C15" s="5" t="n">
        <v>41.9</v>
      </c>
      <c r="D15" s="5" t="n">
        <v>46.6</v>
      </c>
      <c r="E15" s="5" t="n">
        <v>38.6</v>
      </c>
      <c r="F15" s="5" t="n">
        <v>26.2</v>
      </c>
      <c r="G15" s="5" t="n">
        <v>20.9</v>
      </c>
      <c r="H15" s="5" t="n">
        <v>28</v>
      </c>
      <c r="I15" s="5" t="n">
        <v>18.2</v>
      </c>
      <c r="J15" s="5" t="n">
        <v>19.3</v>
      </c>
      <c r="K15" s="5" t="n">
        <v>33.5</v>
      </c>
      <c r="L15" s="5" t="n">
        <v>13</v>
      </c>
      <c r="M15" s="5" t="n">
        <v>9.300000000000001</v>
      </c>
      <c r="N15" s="5" t="n">
        <v>8.199999999999999</v>
      </c>
      <c r="O15" s="5" t="n">
        <v>8.1</v>
      </c>
      <c r="P15" s="5" t="n">
        <v>9</v>
      </c>
      <c r="Q15" s="5" t="n">
        <v>16.1</v>
      </c>
      <c r="R15" s="5" t="n">
        <v>13</v>
      </c>
    </row>
    <row r="16">
      <c r="A16" s="6" t="inlineStr">
        <is>
          <t>Administrative expenses</t>
        </is>
      </c>
      <c r="B16" s="6" t="n">
        <v>-33.7</v>
      </c>
      <c r="C16" s="6" t="n">
        <v>-36.4</v>
      </c>
      <c r="D16" s="6" t="n">
        <v>-35.3</v>
      </c>
      <c r="E16" s="6" t="n">
        <v>-34.2</v>
      </c>
      <c r="F16" s="6" t="n">
        <v>-25.9</v>
      </c>
      <c r="G16" s="6" t="n">
        <v>-22.3</v>
      </c>
      <c r="H16" s="6" t="n">
        <v>-16.4</v>
      </c>
      <c r="I16" s="6" t="n">
        <v>-12</v>
      </c>
      <c r="J16" s="6" t="n">
        <v>-9.9</v>
      </c>
      <c r="K16" s="6" t="n">
        <v>-8.1</v>
      </c>
      <c r="L16" s="6" t="n">
        <v>-6.7</v>
      </c>
      <c r="M16" s="6" t="n">
        <v>-5.4</v>
      </c>
      <c r="N16" s="6" t="n">
        <v>-4.5</v>
      </c>
      <c r="O16" s="6" t="n">
        <v>-4.9</v>
      </c>
      <c r="P16" s="6" t="n">
        <v>-4.9</v>
      </c>
      <c r="Q16" s="6" t="n">
        <v>-5.7</v>
      </c>
      <c r="R16" s="6" t="n">
        <v>-7.5</v>
      </c>
    </row>
    <row r="17">
      <c r="A17" s="6" t="inlineStr">
        <is>
          <t>Depreciation and amortisation</t>
        </is>
      </c>
      <c r="B17" s="6" t="n">
        <v>-3.1</v>
      </c>
      <c r="C17" s="6" t="n">
        <v>-2.9</v>
      </c>
      <c r="D17" s="6" t="n">
        <v>-2.9</v>
      </c>
      <c r="E17" s="6" t="n">
        <v>-2.5</v>
      </c>
      <c r="F17" s="6" t="n">
        <v>-2.4</v>
      </c>
      <c r="G17" s="6" t="n">
        <v>-1.8</v>
      </c>
      <c r="H17" s="6" t="n">
        <v>-1.2</v>
      </c>
      <c r="I17" s="6" t="n">
        <v>-0.9</v>
      </c>
      <c r="J17" s="6" t="n">
        <v>-0.5</v>
      </c>
      <c r="K17" s="6" t="n">
        <v>-0.2</v>
      </c>
      <c r="L17" s="6" t="n"/>
      <c r="M17" s="6" t="n"/>
      <c r="N17" s="6" t="n">
        <v>0</v>
      </c>
      <c r="O17" s="6" t="n">
        <v>0</v>
      </c>
      <c r="P17" s="6" t="n">
        <v>0</v>
      </c>
      <c r="Q17" s="6" t="n">
        <v>0</v>
      </c>
      <c r="R17" s="6" t="n">
        <v>-0.2</v>
      </c>
    </row>
    <row r="18">
      <c r="A18" s="6" t="inlineStr">
        <is>
          <t>Impairment (losses)/gains on loans and advances to customers</t>
        </is>
      </c>
      <c r="B18" s="6" t="n">
        <v>-6.5</v>
      </c>
      <c r="C18" s="6" t="n">
        <v>-2.2</v>
      </c>
      <c r="D18" s="6" t="n">
        <v>-1.6</v>
      </c>
      <c r="E18" s="6" t="n"/>
      <c r="F18" s="6" t="n"/>
      <c r="G18" s="6" t="n">
        <v>-5.4</v>
      </c>
      <c r="H18" s="6" t="n">
        <v>-3.9</v>
      </c>
      <c r="I18" s="6" t="n">
        <v>1</v>
      </c>
      <c r="J18" s="6" t="n">
        <v>1.6</v>
      </c>
      <c r="K18" s="6" t="n">
        <v>-2.4</v>
      </c>
      <c r="L18" s="6" t="n">
        <v>-2.1</v>
      </c>
      <c r="M18" s="6" t="n">
        <v>-0.7</v>
      </c>
      <c r="N18" s="6" t="n">
        <v>-0.1</v>
      </c>
      <c r="O18" s="6" t="n">
        <v>0.8</v>
      </c>
      <c r="P18" s="6" t="n">
        <v>-1.5</v>
      </c>
      <c r="Q18" s="6" t="n">
        <v>-8.199999999999999</v>
      </c>
      <c r="R18" s="6" t="n">
        <v>-4.2</v>
      </c>
    </row>
    <row r="19">
      <c r="A19" s="6" t="inlineStr">
        <is>
          <t>Movement in valuation of stock/work-in-progress (UK GAAP line, FY2009-FY2015 only)</t>
        </is>
      </c>
      <c r="B19" s="6" t="n"/>
      <c r="C19" s="6" t="n"/>
      <c r="D19" s="6" t="n"/>
      <c r="E19" s="6" t="n"/>
      <c r="F19" s="6" t="n"/>
      <c r="G19" s="6" t="n"/>
      <c r="H19" s="6" t="n"/>
      <c r="I19" s="6" t="n"/>
      <c r="J19" s="6" t="n"/>
      <c r="K19" s="6" t="n"/>
      <c r="L19" s="6" t="n">
        <v>0.9</v>
      </c>
      <c r="M19" s="6" t="n">
        <v>1.1</v>
      </c>
      <c r="N19" s="6" t="n">
        <v>-0.1</v>
      </c>
      <c r="O19" s="6" t="n">
        <v>-0.9</v>
      </c>
      <c r="P19" s="6" t="n"/>
      <c r="Q19" s="6" t="n"/>
      <c r="R19" s="6" t="n"/>
    </row>
    <row r="20">
      <c r="A20" s="5" t="inlineStr">
        <is>
          <t>Operating profit/(loss) (FY2021-FY2024 subtotal; see Net operating (loss)/income for FY2025's own equivalent line)</t>
        </is>
      </c>
      <c r="B20" s="5" t="n"/>
      <c r="C20" s="5" t="n">
        <v>0.4</v>
      </c>
      <c r="D20" s="5" t="n">
        <v>6.8</v>
      </c>
      <c r="E20" s="5" t="n">
        <v>2.3</v>
      </c>
      <c r="F20" s="5" t="n">
        <v>-2.1</v>
      </c>
      <c r="G20" s="5" t="n">
        <v>-8.6</v>
      </c>
      <c r="H20" s="5" t="n">
        <v>6.5</v>
      </c>
      <c r="I20" s="5" t="n"/>
      <c r="J20" s="5" t="n"/>
      <c r="K20" s="5" t="n"/>
      <c r="L20" s="5" t="n"/>
      <c r="M20" s="5" t="n"/>
      <c r="N20" s="5" t="n"/>
      <c r="O20" s="5" t="n"/>
      <c r="P20" s="5" t="n"/>
      <c r="Q20" s="5" t="n"/>
      <c r="R20" s="5" t="n"/>
    </row>
    <row r="21">
      <c r="A21" s="5" t="inlineStr">
        <is>
          <t>Net operating (loss)/income (FY2025's own subtotal, structured differently from FY2021-FY2024's 'Operating profit')</t>
        </is>
      </c>
      <c r="B21" s="5" t="n">
        <v>-3.5</v>
      </c>
      <c r="C21" s="5" t="n"/>
      <c r="D21" s="5" t="n"/>
      <c r="E21" s="5" t="n"/>
      <c r="F21" s="5" t="n"/>
      <c r="G21" s="5" t="n"/>
      <c r="H21" s="5" t="n"/>
      <c r="I21" s="5" t="n"/>
      <c r="J21" s="5" t="n"/>
      <c r="K21" s="5" t="n"/>
      <c r="L21" s="5" t="n"/>
      <c r="M21" s="5" t="n"/>
      <c r="N21" s="5" t="n"/>
      <c r="O21" s="5" t="n"/>
      <c r="P21" s="5" t="n"/>
      <c r="Q21" s="5" t="n"/>
      <c r="R21" s="5" t="n"/>
    </row>
    <row r="22">
      <c r="A22" s="6" t="inlineStr">
        <is>
          <t>(Loss)/gain arising from the derecognition of financial assets managed at amortised cost</t>
        </is>
      </c>
      <c r="B22" s="6" t="n"/>
      <c r="C22" s="6" t="n">
        <v>-1</v>
      </c>
      <c r="D22" s="6" t="n"/>
      <c r="E22" s="6" t="n"/>
      <c r="F22" s="6" t="n">
        <v>0</v>
      </c>
      <c r="G22" s="6" t="n">
        <v>4.2</v>
      </c>
      <c r="H22" s="6" t="n">
        <v>3.1</v>
      </c>
      <c r="I22" s="6" t="n"/>
      <c r="J22" s="6" t="n"/>
      <c r="K22" s="6" t="n"/>
      <c r="L22" s="6" t="n"/>
      <c r="M22" s="6" t="n"/>
      <c r="N22" s="6" t="n"/>
      <c r="O22" s="6" t="n"/>
      <c r="P22" s="6" t="n"/>
      <c r="Q22" s="6" t="n"/>
      <c r="R22" s="6" t="n"/>
    </row>
    <row r="23">
      <c r="A23" s="6" t="inlineStr">
        <is>
          <t>Other fair value gains/(losses)</t>
        </is>
      </c>
      <c r="B23" s="6" t="n">
        <v>-2.3</v>
      </c>
      <c r="C23" s="6" t="n">
        <v>-1.5</v>
      </c>
      <c r="D23" s="6" t="n">
        <v>-7</v>
      </c>
      <c r="E23" s="6" t="n">
        <v>4.3</v>
      </c>
      <c r="F23" s="6" t="n">
        <v>11.3</v>
      </c>
      <c r="G23" s="6" t="n">
        <v>-16.7</v>
      </c>
      <c r="H23" s="6" t="n">
        <v>-12.8</v>
      </c>
      <c r="I23" s="6" t="n">
        <v>-8</v>
      </c>
      <c r="J23" s="6" t="n">
        <v>0.3</v>
      </c>
      <c r="K23" s="6" t="n">
        <v>19.2</v>
      </c>
      <c r="L23" s="6" t="n"/>
      <c r="M23" s="6" t="n"/>
      <c r="N23" s="6" t="n"/>
      <c r="O23" s="6" t="n"/>
      <c r="P23" s="6" t="n"/>
      <c r="Q23" s="6" t="n"/>
      <c r="R23" s="6" t="n"/>
    </row>
    <row r="24">
      <c r="A24" s="6" t="inlineStr">
        <is>
          <t>Loss on disposal of loans and advances to customers held at fair value</t>
        </is>
      </c>
      <c r="B24" s="6" t="n"/>
      <c r="C24" s="6" t="n"/>
      <c r="D24" s="6" t="n"/>
      <c r="E24" s="6" t="n"/>
      <c r="F24" s="6" t="n">
        <v>-5.5</v>
      </c>
      <c r="G24" s="6" t="n"/>
      <c r="H24" s="6" t="n">
        <v>-4.6</v>
      </c>
      <c r="I24" s="6" t="n"/>
      <c r="J24" s="6" t="n"/>
      <c r="K24" s="6" t="n"/>
      <c r="L24" s="6" t="n"/>
      <c r="M24" s="6" t="n"/>
      <c r="N24" s="6" t="n"/>
      <c r="O24" s="6" t="n"/>
      <c r="P24" s="6" t="n"/>
      <c r="Q24" s="6" t="n"/>
      <c r="R24" s="6" t="n"/>
    </row>
    <row r="25">
      <c r="A25" s="5" t="inlineStr">
        <is>
          <t>Profit/(loss) before taxation (FY2014-FY2015: 'Profit on ordinary activities before taxation')</t>
        </is>
      </c>
      <c r="B25" s="5" t="n">
        <v>-5.8</v>
      </c>
      <c r="C25" s="5" t="n">
        <v>-2.1</v>
      </c>
      <c r="D25" s="5" t="n">
        <v>-0.2</v>
      </c>
      <c r="E25" s="5" t="n">
        <v>6.6</v>
      </c>
      <c r="F25" s="5" t="n">
        <v>3.7</v>
      </c>
      <c r="G25" s="5" t="n">
        <v>-21.1</v>
      </c>
      <c r="H25" s="5" t="n">
        <v>-7.8</v>
      </c>
      <c r="I25" s="5" t="n">
        <v>6.3</v>
      </c>
      <c r="J25" s="5" t="n">
        <v>10.5</v>
      </c>
      <c r="K25" s="5" t="n">
        <v>22.8</v>
      </c>
      <c r="L25" s="5" t="n">
        <v>5</v>
      </c>
      <c r="M25" s="5" t="n">
        <v>4.3</v>
      </c>
      <c r="N25" s="5" t="n">
        <v>3.5</v>
      </c>
      <c r="O25" s="5" t="n">
        <v>3.1</v>
      </c>
      <c r="P25" s="5" t="n">
        <v>2.6</v>
      </c>
      <c r="Q25" s="5" t="n">
        <v>2.1</v>
      </c>
      <c r="R25" s="5" t="n">
        <v>1.2</v>
      </c>
    </row>
    <row r="26">
      <c r="A26" s="6" t="inlineStr">
        <is>
          <t>Tax credit/(charge) on profit/(loss) before taxation</t>
        </is>
      </c>
      <c r="B26" s="6" t="n">
        <v>1.9</v>
      </c>
      <c r="C26" s="6" t="n">
        <v>0.4</v>
      </c>
      <c r="D26" s="6" t="n"/>
      <c r="E26" s="6" t="n">
        <v>-1.8</v>
      </c>
      <c r="F26" s="6" t="n">
        <v>2.1</v>
      </c>
      <c r="G26" s="6" t="n">
        <v>5.2</v>
      </c>
      <c r="H26" s="6" t="n">
        <v>2.1</v>
      </c>
      <c r="I26" s="6" t="n">
        <v>-0.8</v>
      </c>
      <c r="J26" s="6" t="n">
        <v>-0.3</v>
      </c>
      <c r="K26" s="6" t="n">
        <v>-5.2</v>
      </c>
      <c r="L26" s="6" t="n">
        <v>-0.8</v>
      </c>
      <c r="M26" s="6" t="n">
        <v>-0.2</v>
      </c>
      <c r="N26" s="6" t="n">
        <v>0.1</v>
      </c>
      <c r="O26" s="6" t="n">
        <v>-0.5</v>
      </c>
      <c r="P26" s="6" t="n">
        <v>-0.6</v>
      </c>
      <c r="Q26" s="6" t="n">
        <v>-0.8</v>
      </c>
      <c r="R26" s="6" t="n">
        <v>-0.4</v>
      </c>
    </row>
    <row r="27">
      <c r="A27" s="5" t="inlineStr">
        <is>
          <t>Profit/(loss) for the financial year</t>
        </is>
      </c>
      <c r="B27" s="5" t="n">
        <v>-3.9</v>
      </c>
      <c r="C27" s="5" t="n">
        <v>-1.7</v>
      </c>
      <c r="D27" s="5" t="n">
        <v>-0.2</v>
      </c>
      <c r="E27" s="5" t="n">
        <v>4.8</v>
      </c>
      <c r="F27" s="5" t="n">
        <v>5.8</v>
      </c>
      <c r="G27" s="5" t="n">
        <v>-15.9</v>
      </c>
      <c r="H27" s="5" t="n">
        <v>-5.7</v>
      </c>
      <c r="I27" s="5" t="n">
        <v>5.5</v>
      </c>
      <c r="J27" s="5" t="n">
        <v>10.2</v>
      </c>
      <c r="K27" s="5" t="n">
        <v>17.6</v>
      </c>
      <c r="L27" s="5" t="n">
        <v>4.3</v>
      </c>
      <c r="M27" s="5" t="n">
        <v>4.1</v>
      </c>
      <c r="N27" s="5" t="n">
        <v>3.5</v>
      </c>
      <c r="O27" s="5" t="n">
        <v>2.6</v>
      </c>
      <c r="P27" s="5" t="n">
        <v>2</v>
      </c>
      <c r="Q27" s="5" t="n">
        <v>1.3</v>
      </c>
      <c r="R27" s="5" t="n">
        <v>0.7</v>
      </c>
    </row>
    <row r="28">
      <c r="A28" s="5" t="inlineStr">
        <is>
          <t>Other comprehensive income</t>
        </is>
      </c>
      <c r="B28" s="6" t="n"/>
      <c r="C28" s="6" t="n"/>
      <c r="D28" s="6" t="n"/>
      <c r="E28" s="6" t="n"/>
      <c r="F28" s="6" t="n"/>
      <c r="G28" s="6" t="n"/>
      <c r="H28" s="6" t="n"/>
      <c r="I28" s="6" t="n"/>
      <c r="J28" s="6" t="n"/>
      <c r="K28" s="6" t="n"/>
      <c r="L28" s="6" t="n"/>
      <c r="M28" s="6" t="n"/>
      <c r="N28" s="6" t="n"/>
      <c r="O28" s="6" t="n"/>
      <c r="P28" s="6" t="n"/>
      <c r="Q28" s="6" t="n"/>
      <c r="R28" s="6" t="n"/>
    </row>
    <row r="29">
      <c r="A29" s="6" t="inlineStr">
        <is>
          <t>Re-measurement of defined benefit pension plan (FY2014-FY2015: 'Actuarial loss recognised in the pension scheme')</t>
        </is>
      </c>
      <c r="B29" s="6" t="n">
        <v>0.7</v>
      </c>
      <c r="C29" s="6" t="n">
        <v>1.7</v>
      </c>
      <c r="D29" s="6" t="n">
        <v>-1.7</v>
      </c>
      <c r="E29" s="6" t="n">
        <v>9</v>
      </c>
      <c r="F29" s="6" t="n">
        <v>2.6</v>
      </c>
      <c r="G29" s="6" t="n">
        <v>-4.4</v>
      </c>
      <c r="H29" s="6" t="n">
        <v>-3.3</v>
      </c>
      <c r="I29" s="6" t="n">
        <v>0.6</v>
      </c>
      <c r="J29" s="6" t="n">
        <v>0.4</v>
      </c>
      <c r="K29" s="6" t="n">
        <v>-9.1</v>
      </c>
      <c r="L29" s="6" t="n">
        <v>-1.1</v>
      </c>
      <c r="M29" s="6" t="n">
        <v>-1.4</v>
      </c>
      <c r="N29" s="6" t="n">
        <v>-1.2</v>
      </c>
      <c r="O29" s="6" t="n">
        <v>-1.4</v>
      </c>
      <c r="P29" s="6" t="n">
        <v>-0.5</v>
      </c>
      <c r="Q29" s="6" t="n">
        <v>0.7</v>
      </c>
      <c r="R29" s="6" t="n">
        <v>-2.8</v>
      </c>
    </row>
    <row r="30">
      <c r="A30" s="6" t="inlineStr">
        <is>
          <t>Deferred tax on pension plan re-measurement</t>
        </is>
      </c>
      <c r="B30" s="6" t="n">
        <v>-0.2</v>
      </c>
      <c r="C30" s="6" t="n">
        <v>-0.4</v>
      </c>
      <c r="D30" s="6" t="n">
        <v>0.4</v>
      </c>
      <c r="E30" s="6" t="n">
        <v>-2.2</v>
      </c>
      <c r="F30" s="6" t="n">
        <v>-0.4</v>
      </c>
      <c r="G30" s="6" t="n">
        <v>0.7</v>
      </c>
      <c r="H30" s="6" t="n">
        <v>0.6</v>
      </c>
      <c r="I30" s="6" t="n">
        <v>-0.1</v>
      </c>
      <c r="J30" s="6" t="n">
        <v>-0.1</v>
      </c>
      <c r="K30" s="6" t="n">
        <v>1.5</v>
      </c>
      <c r="L30" s="6" t="n"/>
      <c r="M30" s="6" t="n"/>
      <c r="N30" s="6" t="n">
        <v>0.2</v>
      </c>
      <c r="O30" s="6" t="n">
        <v>0.2</v>
      </c>
      <c r="P30" s="6" t="n">
        <v>0.1</v>
      </c>
      <c r="Q30" s="6" t="n"/>
      <c r="R30" s="6" t="n"/>
    </row>
    <row r="31">
      <c r="A31" s="6" t="inlineStr">
        <is>
          <t>Deficit on revaluation of investment properties (FY2011-FY2012 only)</t>
        </is>
      </c>
      <c r="B31" s="6" t="n"/>
      <c r="C31" s="6" t="n"/>
      <c r="D31" s="6" t="n"/>
      <c r="E31" s="6" t="n"/>
      <c r="F31" s="6" t="n"/>
      <c r="G31" s="6" t="n"/>
      <c r="H31" s="6" t="n"/>
      <c r="I31" s="6" t="n"/>
      <c r="J31" s="6" t="n"/>
      <c r="K31" s="6" t="n"/>
      <c r="L31" s="6" t="n"/>
      <c r="M31" s="6" t="n"/>
      <c r="N31" s="6" t="n"/>
      <c r="O31" s="6" t="n">
        <v>-0.4</v>
      </c>
      <c r="P31" s="6" t="n">
        <v>-1</v>
      </c>
      <c r="Q31" s="6" t="n"/>
      <c r="R31" s="6" t="n"/>
    </row>
    <row r="32">
      <c r="A32" s="6" t="inlineStr">
        <is>
          <t>Movement of pension scheme reimbursement asset/(liability) (FY2014-FY2015: net of deferred tax)</t>
        </is>
      </c>
      <c r="B32" s="6" t="n"/>
      <c r="C32" s="6" t="n">
        <v>-0.3</v>
      </c>
      <c r="D32" s="6" t="n">
        <v>0.4</v>
      </c>
      <c r="E32" s="6" t="n">
        <v>-0.2</v>
      </c>
      <c r="F32" s="6" t="n">
        <v>-1</v>
      </c>
      <c r="G32" s="6" t="n">
        <v>0.4</v>
      </c>
      <c r="H32" s="6" t="n">
        <v>0.5</v>
      </c>
      <c r="I32" s="6" t="n">
        <v>-0.1</v>
      </c>
      <c r="J32" s="6" t="n">
        <v>-0.9</v>
      </c>
      <c r="K32" s="6" t="n">
        <v>2.3</v>
      </c>
      <c r="L32" s="6" t="n">
        <v>0.1</v>
      </c>
      <c r="M32" s="6" t="n">
        <v>0.7</v>
      </c>
      <c r="N32" s="6" t="n"/>
      <c r="O32" s="6" t="n"/>
      <c r="P32" s="6" t="n"/>
      <c r="Q32" s="6" t="n"/>
      <c r="R32" s="6" t="n"/>
    </row>
    <row r="33">
      <c r="A33" s="6" t="inlineStr">
        <is>
          <t>Deferred tax on pension reimbursement movement</t>
        </is>
      </c>
      <c r="B33" s="6" t="n"/>
      <c r="C33" s="6" t="n">
        <v>0.1</v>
      </c>
      <c r="D33" s="6" t="n">
        <v>-0.1</v>
      </c>
      <c r="E33" s="6" t="n"/>
      <c r="F33" s="6" t="n">
        <v>0.6</v>
      </c>
      <c r="G33" s="6" t="n">
        <v>-0.1</v>
      </c>
      <c r="H33" s="6" t="n">
        <v>-0.1</v>
      </c>
      <c r="I33" s="6" t="n"/>
      <c r="J33" s="6" t="n">
        <v>0.1</v>
      </c>
      <c r="K33" s="6" t="n">
        <v>-0.4</v>
      </c>
      <c r="L33" s="6" t="n"/>
      <c r="M33" s="6" t="n"/>
      <c r="N33" s="6" t="n"/>
      <c r="O33" s="6" t="n"/>
      <c r="P33" s="6" t="n"/>
      <c r="Q33" s="6" t="n"/>
      <c r="R33" s="6" t="n"/>
    </row>
    <row r="34">
      <c r="A34" s="6" t="inlineStr">
        <is>
          <t>Fair value movements on available-for-sale investments (AFS reserve; discontinued after IFRS 9 replaced it FY2019)</t>
        </is>
      </c>
      <c r="B34" s="6" t="n"/>
      <c r="C34" s="6" t="n"/>
      <c r="D34" s="6" t="n"/>
      <c r="E34" s="6" t="n"/>
      <c r="F34" s="6" t="n"/>
      <c r="G34" s="6" t="n"/>
      <c r="H34" s="6" t="n"/>
      <c r="I34" s="6" t="n">
        <v>-1.8</v>
      </c>
      <c r="J34" s="6" t="n">
        <v>-0.1</v>
      </c>
      <c r="K34" s="6" t="n">
        <v>1.1</v>
      </c>
      <c r="L34" s="6" t="n"/>
      <c r="M34" s="6" t="n"/>
      <c r="N34" s="6" t="n"/>
      <c r="O34" s="6" t="n"/>
      <c r="P34" s="6" t="n"/>
      <c r="Q34" s="6" t="n"/>
      <c r="R34" s="6" t="n"/>
    </row>
    <row r="35">
      <c r="A35" s="6" t="inlineStr">
        <is>
          <t>Deferred tax on available-for-sale fair value movements</t>
        </is>
      </c>
      <c r="B35" s="6" t="n"/>
      <c r="C35" s="6" t="n"/>
      <c r="D35" s="6" t="n"/>
      <c r="E35" s="6" t="n"/>
      <c r="F35" s="6" t="n"/>
      <c r="G35" s="6" t="n"/>
      <c r="H35" s="6" t="n"/>
      <c r="I35" s="6" t="n">
        <v>0.3</v>
      </c>
      <c r="J35" s="6" t="n">
        <v>-0.8</v>
      </c>
      <c r="K35" s="6" t="n"/>
      <c r="L35" s="6" t="n"/>
      <c r="M35" s="6" t="n"/>
      <c r="N35" s="6" t="n"/>
      <c r="O35" s="6" t="n"/>
      <c r="P35" s="6" t="n"/>
      <c r="Q35" s="6" t="n"/>
      <c r="R35" s="6" t="n"/>
    </row>
    <row r="36">
      <c r="A36" s="6" t="inlineStr">
        <is>
          <t>Revaluation of investment properties (UK GAAP line, FY2014-FY2015 only, net of deferred tax)</t>
        </is>
      </c>
      <c r="B36" s="6" t="n"/>
      <c r="C36" s="6" t="n"/>
      <c r="D36" s="6" t="n"/>
      <c r="E36" s="6" t="n"/>
      <c r="F36" s="6" t="n"/>
      <c r="G36" s="6" t="n"/>
      <c r="H36" s="6" t="n"/>
      <c r="I36" s="6" t="n"/>
      <c r="J36" s="6" t="n"/>
      <c r="K36" s="6" t="n"/>
      <c r="L36" s="6" t="n">
        <v>-1.5</v>
      </c>
      <c r="M36" s="6" t="n">
        <v>0.3</v>
      </c>
      <c r="N36" s="6" t="n"/>
      <c r="O36" s="6" t="n"/>
      <c r="P36" s="6" t="n"/>
      <c r="Q36" s="6" t="n"/>
      <c r="R36" s="6" t="n"/>
    </row>
    <row r="37">
      <c r="A37" s="5" t="inlineStr">
        <is>
          <t>Total other comprehensive income/(loss)</t>
        </is>
      </c>
      <c r="B37" s="5" t="n">
        <v>0.5</v>
      </c>
      <c r="C37" s="5" t="n">
        <v>1.1</v>
      </c>
      <c r="D37" s="5" t="n">
        <v>-1</v>
      </c>
      <c r="E37" s="5" t="n">
        <v>6.6</v>
      </c>
      <c r="F37" s="5" t="n">
        <v>1.8</v>
      </c>
      <c r="G37" s="5" t="n">
        <v>-3.4</v>
      </c>
      <c r="H37" s="5" t="n">
        <v>-2.3</v>
      </c>
      <c r="I37" s="5" t="n">
        <v>-1.1</v>
      </c>
      <c r="J37" s="5" t="n">
        <v>-1.4</v>
      </c>
      <c r="K37" s="5" t="n">
        <v>-4.6</v>
      </c>
      <c r="L37" s="5" t="n">
        <v>-2.5</v>
      </c>
      <c r="M37" s="5" t="n">
        <v>-0.3</v>
      </c>
      <c r="N37" s="5" t="n">
        <v>-1</v>
      </c>
      <c r="O37" s="5" t="n">
        <v>-1.6</v>
      </c>
      <c r="P37" s="5" t="n">
        <v>-1.4</v>
      </c>
      <c r="Q37" s="5" t="n">
        <v>0.7</v>
      </c>
      <c r="R37" s="5" t="n">
        <v>-2.8</v>
      </c>
    </row>
    <row r="38">
      <c r="A38" s="5" t="inlineStr">
        <is>
          <t>Total comprehensive (loss)/income for the year</t>
        </is>
      </c>
      <c r="B38" s="5" t="n">
        <v>-3.4</v>
      </c>
      <c r="C38" s="5" t="n">
        <v>-0.6</v>
      </c>
      <c r="D38" s="5" t="n">
        <v>-1.2</v>
      </c>
      <c r="E38" s="5" t="n">
        <v>11.4</v>
      </c>
      <c r="F38" s="5" t="n">
        <v>7.6</v>
      </c>
      <c r="G38" s="5" t="n">
        <v>-19.3</v>
      </c>
      <c r="H38" s="5" t="n">
        <v>-8</v>
      </c>
      <c r="I38" s="5" t="n">
        <v>4.4</v>
      </c>
      <c r="J38" s="5" t="n">
        <v>8.800000000000001</v>
      </c>
      <c r="K38" s="5" t="n">
        <v>13</v>
      </c>
      <c r="L38" s="5" t="n">
        <v>1.8</v>
      </c>
      <c r="M38" s="5" t="n">
        <v>3.8</v>
      </c>
      <c r="N38" s="5" t="n">
        <v>2.6</v>
      </c>
      <c r="O38" s="5" t="n">
        <v>1</v>
      </c>
      <c r="P38" s="5" t="n">
        <v>0.5</v>
      </c>
      <c r="Q38" s="5" t="n">
        <v>2</v>
      </c>
      <c r="R38" s="5" t="n">
        <v>-2.1</v>
      </c>
    </row>
    <row r="40" ht="280" customHeight="1">
      <c r="A40"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
HISTORICAL-DEPTH NOTE (HD-074, added 2026-09-07): extends Balance Sheet, Profit &amp; Loss and Statement of Changes in Equity back to FY2009 (one year beyond HD-004's confirmed FY2010 statutory floor) - Pillar 3, Asset Quality and RWA Breakdown remain capped at FY2014 as a deliberate project-wide scope decision, not a sourcing gap. This entity has no Cash Flow Statement in any year (see EXEMPTION_NOTE on the Cash Flow Statement sheet) - the FRS1 predecessor exemption (identical grounds: a parent undertaking includes the Bank in its own published consolidated accounts) is confirmed explicitly stated in each of the FY2013/FY2011/FY2010 Annual Reports too, so this extension adds no Cash Flow Statement columns. FY2013 (and its own FY2012 comparative): Directors' report and financial statements 2013 - https://web.archive.org/web/20220620025323id_/https://hodgebank.co.uk/wp-content/uploads/2019/01/jhb-financial-statements-20131031.pdf
FY2011 (and its own FY2010 comparative): Directors' report and financial statements 2011 - https://web.archive.org/web/20220620025317id_/https://hodgebank.co.uk/wp-content/uploads/2019/01/jhb-financial-statements-20111031.pdf
FY2010 (and its own FY2009 comparative): Directors' report and financial statements 2010 - https://web.archive.org/web/20220620025334id_/https://hodgebank.co.uk/wp-content/uploads/2019/01/jhb-financial-statements-20101031.pdf
All 3 new filings are old UK GAAP (pre-FRS101), consistent with the existing FY2014/FY2015 treatment already on this sheet - no basis-transition gap exists at the FY2013/FY2014 boundary (FY2013's own closing Total equity of GBP128.2m ties exactly to FY2014's own opening position). 'Equity shares' is a genuine small distinct holding line disclosed in the FY2010-FY2012 Balance Sheets (nil in FY2013) - not folded into Debt securities or another line, since it is its own numbered note in the source accounts. FY2012's own Profit and Loss Account (per the FY2013 Annual Report's own comparative) reclassified certain cost/income sub-lines from how they were originally presented (a reclassification only, explained in that report's own Note 1 - profit for the year and net assets are unaffected). Every one of the 5 new years' Balance Sheet ties exactly (Total assets = Total liabilities + Total equity, verified to the exact £000) and every new year's disclosed Profit on ordinary activities before taxation and Total recognised gains and losses in the financial year are reproduced exactly by the rows on this sheet and the Profit &amp; Loss sheet.</t>
        </is>
      </c>
    </row>
  </sheetData>
  <mergeCells count="1">
    <mergeCell ref="A40:R4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Julian Hodge Bank Limited — Statement of Changes in Equity</t>
        </is>
      </c>
    </row>
    <row r="2">
      <c r="A2" s="2" t="inlineStr">
        <is>
          <t>Chronological roll-forward, oldest to newest, FY2014-FY2025. Reconciliation ladder ties exactly year-to-year and to each year's own Balance Sheet Total equity throughout, with one documented exception: the FY2016/FY2017 boundary carries an explicit prior-period-error restatement row (see sheet note). 'Other reserves' column is Revaluation reserve (FY2014-FY2015, UK GAAP) / Available-for-sale + Pension reserve combined (FY2016-FY2019) / Pension reserve only (FY2020 onward, post-IFRS 9). £m.</t>
        </is>
      </c>
    </row>
    <row r="3">
      <c r="A3" s="4" t="inlineStr">
        <is>
          <t>Movement</t>
        </is>
      </c>
      <c r="B3" s="4" t="inlineStr">
        <is>
          <t>Called up share capital</t>
        </is>
      </c>
      <c r="C3" s="4" t="inlineStr">
        <is>
          <t>Retained earnings</t>
        </is>
      </c>
      <c r="D3" s="4" t="inlineStr">
        <is>
          <t>Other reserves (see sheet note)</t>
        </is>
      </c>
      <c r="E3" s="4" t="inlineStr">
        <is>
          <t>Total</t>
        </is>
      </c>
    </row>
    <row r="4">
      <c r="A4" s="5" t="inlineStr">
        <is>
          <t>Opening balance at 1 November 2009 (FY2010 opening, per the FY2010 Annual Report; FY2009's own 1 November 2008 opening and component movement are not available from the sourced documents - see HD074_NOTE - so the ladder begins here, one year later than the Balance Sheet/P&amp;L sheets)</t>
        </is>
      </c>
      <c r="B4" s="5" t="n">
        <v>100</v>
      </c>
      <c r="C4" s="5" t="n">
        <v>22.1</v>
      </c>
      <c r="D4" s="5" t="n"/>
      <c r="E4" s="5" t="n">
        <v>122.1</v>
      </c>
    </row>
    <row r="5">
      <c r="A5" s="6" t="inlineStr">
        <is>
          <t>Profit for the financial year</t>
        </is>
      </c>
      <c r="B5" s="6" t="n"/>
      <c r="C5" s="6" t="n">
        <v>1.3</v>
      </c>
      <c r="D5" s="6" t="n"/>
      <c r="E5" s="6" t="n">
        <v>1.3</v>
      </c>
    </row>
    <row r="6">
      <c r="A6" s="5" t="inlineStr">
        <is>
          <t>At 31 October 2010 (FY2010 closing)</t>
        </is>
      </c>
      <c r="B6" s="5" t="n">
        <v>100</v>
      </c>
      <c r="C6" s="5" t="n">
        <v>24.1</v>
      </c>
      <c r="D6" s="5" t="n"/>
      <c r="E6" s="5" t="n">
        <v>124.1</v>
      </c>
    </row>
    <row r="7">
      <c r="A7" s="6" t="inlineStr">
        <is>
          <t>Profit for the financial year</t>
        </is>
      </c>
      <c r="B7" s="6" t="n"/>
      <c r="C7" s="6" t="n">
        <v>2</v>
      </c>
      <c r="D7" s="6" t="n"/>
      <c r="E7" s="6" t="n">
        <v>2</v>
      </c>
    </row>
    <row r="8">
      <c r="A8" s="6" t="inlineStr">
        <is>
          <t>Deficit on revaluation of investment properties</t>
        </is>
      </c>
      <c r="B8" s="6" t="n"/>
      <c r="C8" s="6" t="n"/>
      <c r="D8" s="6" t="n">
        <v>-1</v>
      </c>
      <c r="E8" s="6" t="n">
        <v>-1</v>
      </c>
    </row>
    <row r="9">
      <c r="A9" s="6" t="inlineStr">
        <is>
          <t>Actuarial loss recognised in the pension scheme (net of deferred tax)</t>
        </is>
      </c>
      <c r="B9" s="6" t="n"/>
      <c r="C9" s="6" t="n">
        <v>-0.4</v>
      </c>
      <c r="D9" s="6" t="n"/>
      <c r="E9" s="6" t="n">
        <v>-0.4</v>
      </c>
    </row>
    <row r="10">
      <c r="A10" s="5" t="inlineStr">
        <is>
          <t>At 31 October 2011 (FY2011 closing)</t>
        </is>
      </c>
      <c r="B10" s="5" t="n">
        <v>100</v>
      </c>
      <c r="C10" s="5" t="n">
        <v>25.7</v>
      </c>
      <c r="D10" s="5" t="n">
        <v>-1</v>
      </c>
      <c r="E10" s="5" t="n">
        <v>124.7</v>
      </c>
    </row>
    <row r="11">
      <c r="A11" s="6" t="inlineStr">
        <is>
          <t>Profit for the financial year</t>
        </is>
      </c>
      <c r="B11" s="6" t="n"/>
      <c r="C11" s="6" t="n">
        <v>2.6</v>
      </c>
      <c r="D11" s="6" t="n"/>
      <c r="E11" s="6" t="n">
        <v>2.6</v>
      </c>
    </row>
    <row r="12">
      <c r="A12" s="6" t="inlineStr">
        <is>
          <t>Deficit on revaluation of investment properties</t>
        </is>
      </c>
      <c r="B12" s="6" t="n"/>
      <c r="C12" s="6" t="n"/>
      <c r="D12" s="6" t="n">
        <v>-0.4</v>
      </c>
      <c r="E12" s="6" t="n">
        <v>-0.4</v>
      </c>
    </row>
    <row r="13">
      <c r="A13" s="6" t="inlineStr">
        <is>
          <t>Actuarial loss recognised in the pension scheme (net of deferred tax)</t>
        </is>
      </c>
      <c r="B13" s="6" t="n"/>
      <c r="C13" s="6" t="n">
        <v>-1.2</v>
      </c>
      <c r="D13" s="6" t="n"/>
      <c r="E13" s="6" t="n">
        <v>-1.2</v>
      </c>
    </row>
    <row r="14">
      <c r="A14" s="5" t="inlineStr">
        <is>
          <t>At 31 October 2012 (FY2012 closing, per the FY2013 Annual Report's own comparative - see HD074_NOTE on the FY2012 standalone-document gap)</t>
        </is>
      </c>
      <c r="B14" s="5" t="n">
        <v>100</v>
      </c>
      <c r="C14" s="5" t="n">
        <v>27.1</v>
      </c>
      <c r="D14" s="5" t="n">
        <v>-1.4</v>
      </c>
      <c r="E14" s="5" t="n">
        <v>125.6</v>
      </c>
    </row>
    <row r="15">
      <c r="A15" s="6" t="inlineStr">
        <is>
          <t>Profit for the financial year</t>
        </is>
      </c>
      <c r="B15" s="6" t="n"/>
      <c r="C15" s="6" t="n">
        <v>3.5</v>
      </c>
      <c r="D15" s="6" t="n"/>
      <c r="E15" s="6" t="n">
        <v>3.5</v>
      </c>
    </row>
    <row r="16">
      <c r="A16" s="6" t="inlineStr">
        <is>
          <t>Actuarial loss recognised in the pension scheme (net of deferred tax)</t>
        </is>
      </c>
      <c r="B16" s="6" t="n"/>
      <c r="C16" s="6" t="n">
        <v>-1</v>
      </c>
      <c r="D16" s="6" t="n"/>
      <c r="E16" s="6" t="n">
        <v>-1</v>
      </c>
    </row>
    <row r="17">
      <c r="A17" s="5" t="inlineStr">
        <is>
          <t>Opening balance at 1 November 2013 (FY2014 opening)</t>
        </is>
      </c>
      <c r="B17" s="5" t="n">
        <v>100</v>
      </c>
      <c r="C17" s="5" t="n">
        <v>29.7</v>
      </c>
      <c r="D17" s="5" t="n">
        <v>-1.4</v>
      </c>
      <c r="E17" s="5" t="n">
        <v>128.2</v>
      </c>
    </row>
    <row r="18">
      <c r="A18" s="6" t="inlineStr">
        <is>
          <t>Profit for the financial year</t>
        </is>
      </c>
      <c r="B18" s="6" t="n"/>
      <c r="C18" s="6" t="n">
        <v>4.1</v>
      </c>
      <c r="D18" s="6" t="n"/>
      <c r="E18" s="6" t="n">
        <v>4.1</v>
      </c>
    </row>
    <row r="19">
      <c r="A19" s="6" t="inlineStr">
        <is>
          <t>Actuarial loss recognised in the pension scheme (net of deferred tax)</t>
        </is>
      </c>
      <c r="B19" s="6" t="n"/>
      <c r="C19" s="6" t="n">
        <v>-1.4</v>
      </c>
      <c r="D19" s="6" t="n"/>
      <c r="E19" s="6" t="n">
        <v>-1.4</v>
      </c>
    </row>
    <row r="20">
      <c r="A20" s="6" t="inlineStr">
        <is>
          <t>Recognition of pension scheme reimbursement asset (net of deferred tax)</t>
        </is>
      </c>
      <c r="B20" s="6" t="n"/>
      <c r="C20" s="6" t="n">
        <v>0.7</v>
      </c>
      <c r="D20" s="6" t="n"/>
      <c r="E20" s="6" t="n">
        <v>0.7</v>
      </c>
    </row>
    <row r="21">
      <c r="A21" s="6" t="inlineStr">
        <is>
          <t>Revaluation of investment properties</t>
        </is>
      </c>
      <c r="B21" s="6" t="n"/>
      <c r="C21" s="6" t="n"/>
      <c r="D21" s="6" t="n">
        <v>0.3</v>
      </c>
      <c r="E21" s="6" t="n">
        <v>0.3</v>
      </c>
    </row>
    <row r="22">
      <c r="A22" s="5" t="inlineStr">
        <is>
          <t>At 31 October 2014 (FY2014 closing)</t>
        </is>
      </c>
      <c r="B22" s="5" t="n">
        <v>100</v>
      </c>
      <c r="C22" s="5" t="n">
        <v>33.1</v>
      </c>
      <c r="D22" s="5" t="n">
        <v>-1.1</v>
      </c>
      <c r="E22" s="5" t="n">
        <v>132</v>
      </c>
    </row>
    <row r="23">
      <c r="A23" s="6" t="inlineStr">
        <is>
          <t>Profit for the financial year</t>
        </is>
      </c>
      <c r="B23" s="6" t="n"/>
      <c r="C23" s="6" t="n">
        <v>4.3</v>
      </c>
      <c r="D23" s="6" t="n"/>
      <c r="E23" s="6" t="n">
        <v>4.3</v>
      </c>
    </row>
    <row r="24">
      <c r="A24" s="6" t="inlineStr">
        <is>
          <t>Actuarial loss recognised in the pension scheme (net of deferred tax)</t>
        </is>
      </c>
      <c r="B24" s="6" t="n"/>
      <c r="C24" s="6" t="n">
        <v>-1.1</v>
      </c>
      <c r="D24" s="6" t="n"/>
      <c r="E24" s="6" t="n">
        <v>-1.1</v>
      </c>
    </row>
    <row r="25">
      <c r="A25" s="6" t="inlineStr">
        <is>
          <t>Recognition of pension scheme reimbursement asset (net of deferred tax)</t>
        </is>
      </c>
      <c r="B25" s="6" t="n"/>
      <c r="C25" s="6" t="n">
        <v>0.1</v>
      </c>
      <c r="D25" s="6" t="n"/>
      <c r="E25" s="6" t="n">
        <v>0.1</v>
      </c>
    </row>
    <row r="26">
      <c r="A26" s="6" t="inlineStr">
        <is>
          <t>Revaluation of investment properties</t>
        </is>
      </c>
      <c r="B26" s="6" t="n"/>
      <c r="C26" s="6" t="n"/>
      <c r="D26" s="6" t="n">
        <v>-1.5</v>
      </c>
      <c r="E26" s="6" t="n">
        <v>-1.5</v>
      </c>
    </row>
    <row r="27">
      <c r="A27" s="5" t="inlineStr">
        <is>
          <t>At 31 October 2015 (FY2015 closing)</t>
        </is>
      </c>
      <c r="B27" s="5" t="n">
        <v>100</v>
      </c>
      <c r="C27" s="5" t="n">
        <v>36.4</v>
      </c>
      <c r="D27" s="5" t="n">
        <v>-2.6</v>
      </c>
      <c r="E27" s="5" t="n">
        <v>133.7</v>
      </c>
    </row>
    <row r="28">
      <c r="A28" s="6" t="inlineStr">
        <is>
          <t>Profit for the financial year</t>
        </is>
      </c>
      <c r="B28" s="6" t="n"/>
      <c r="C28" s="6" t="n">
        <v>17.6</v>
      </c>
      <c r="D28" s="6" t="n"/>
      <c r="E28" s="6" t="n">
        <v>17.6</v>
      </c>
    </row>
    <row r="29">
      <c r="A29" s="6" t="inlineStr">
        <is>
          <t>Other comprehensive income (AFS + pension, FRS101 first-year transition)</t>
        </is>
      </c>
      <c r="B29" s="6" t="n"/>
      <c r="C29" s="6" t="n"/>
      <c r="D29" s="6" t="n">
        <v>-4.6</v>
      </c>
      <c r="E29" s="6" t="n">
        <v>-4.6</v>
      </c>
    </row>
    <row r="30">
      <c r="A30" s="5" t="inlineStr">
        <is>
          <t>At 31 October 2016 (FY2016 closing, as originally reported in the FY2016 Annual Report)</t>
        </is>
      </c>
      <c r="B30" s="5" t="n">
        <v>100</v>
      </c>
      <c r="C30" s="5" t="n">
        <v>49.4</v>
      </c>
      <c r="D30" s="5" t="n">
        <v>-3.1</v>
      </c>
      <c r="E30" s="5" t="n">
        <v>146.3</v>
      </c>
    </row>
    <row r="31">
      <c r="A31" s="6" t="inlineStr">
        <is>
          <t>Prior period error restatement (FY2017 Annual Report, Note 36 - not reflected in FY2016's own original report)</t>
        </is>
      </c>
      <c r="B31" s="6" t="n"/>
      <c r="C31" s="6" t="n">
        <v>7.2</v>
      </c>
      <c r="D31" s="6" t="n"/>
      <c r="E31" s="6" t="n">
        <v>7.2</v>
      </c>
    </row>
    <row r="32">
      <c r="A32" s="5" t="inlineStr">
        <is>
          <t>At 31 October 2016 (restated, per the FY2017 Annual Report's own comparative)</t>
        </is>
      </c>
      <c r="B32" s="5" t="n">
        <v>100</v>
      </c>
      <c r="C32" s="5" t="n">
        <v>56.6</v>
      </c>
      <c r="D32" s="5" t="n">
        <v>-3.1</v>
      </c>
      <c r="E32" s="5" t="n">
        <v>153.5</v>
      </c>
    </row>
    <row r="33">
      <c r="A33" s="6" t="inlineStr">
        <is>
          <t>Profit for the financial year</t>
        </is>
      </c>
      <c r="B33" s="6" t="n"/>
      <c r="C33" s="6" t="n">
        <v>10.2</v>
      </c>
      <c r="D33" s="6" t="n"/>
      <c r="E33" s="6" t="n">
        <v>10.2</v>
      </c>
    </row>
    <row r="34">
      <c r="A34" s="6" t="inlineStr">
        <is>
          <t>Other comprehensive income (AFS + pension)</t>
        </is>
      </c>
      <c r="B34" s="6" t="n"/>
      <c r="C34" s="6" t="n"/>
      <c r="D34" s="6" t="n">
        <v>-1.4</v>
      </c>
      <c r="E34" s="6" t="n">
        <v>-1.4</v>
      </c>
    </row>
    <row r="35">
      <c r="A35" s="6" t="inlineStr">
        <is>
          <t>Issue of share capital</t>
        </is>
      </c>
      <c r="B35" s="6" t="n">
        <v>5</v>
      </c>
      <c r="C35" s="6" t="n"/>
      <c r="D35" s="6" t="n"/>
      <c r="E35" s="6" t="n">
        <v>5</v>
      </c>
    </row>
    <row r="36">
      <c r="A36" s="5" t="inlineStr">
        <is>
          <t>At 31 October 2017 (FY2017 closing)</t>
        </is>
      </c>
      <c r="B36" s="5" t="n">
        <v>105</v>
      </c>
      <c r="C36" s="5" t="n">
        <v>66.8</v>
      </c>
      <c r="D36" s="5" t="n">
        <v>-4.5</v>
      </c>
      <c r="E36" s="5" t="n">
        <v>167.3</v>
      </c>
    </row>
    <row r="37">
      <c r="A37" s="6" t="inlineStr">
        <is>
          <t>Profit for the financial year</t>
        </is>
      </c>
      <c r="B37" s="6" t="n"/>
      <c r="C37" s="6" t="n">
        <v>5.9</v>
      </c>
      <c r="D37" s="6" t="n">
        <v>-0.4</v>
      </c>
      <c r="E37" s="6" t="n">
        <v>5.5</v>
      </c>
    </row>
    <row r="38">
      <c r="A38" s="6" t="inlineStr">
        <is>
          <t>Other comprehensive income (AFS + pension)</t>
        </is>
      </c>
      <c r="B38" s="6" t="n"/>
      <c r="C38" s="6" t="n"/>
      <c r="D38" s="6" t="n">
        <v>-1.1</v>
      </c>
      <c r="E38" s="6" t="n">
        <v>-1.1</v>
      </c>
    </row>
    <row r="39">
      <c r="A39" s="5" t="inlineStr">
        <is>
          <t>At 31 October 2018 (FY2018 closing)</t>
        </is>
      </c>
      <c r="B39" s="5" t="n">
        <v>105</v>
      </c>
      <c r="C39" s="5" t="n">
        <v>72.7</v>
      </c>
      <c r="D39" s="5" t="n">
        <v>-6</v>
      </c>
      <c r="E39" s="5" t="n">
        <v>171.7</v>
      </c>
    </row>
    <row r="40">
      <c r="A40" s="6" t="inlineStr">
        <is>
          <t>Impact of adoption of IFRS 9 (extinguishes the AFS reserve)</t>
        </is>
      </c>
      <c r="B40" s="6" t="n"/>
      <c r="C40" s="6" t="n">
        <v>-0.7</v>
      </c>
      <c r="D40" s="6" t="n">
        <v>-2.7</v>
      </c>
      <c r="E40" s="6" t="n">
        <v>-3.4</v>
      </c>
    </row>
    <row r="41">
      <c r="A41" s="6" t="inlineStr">
        <is>
          <t>Loss for the financial year</t>
        </is>
      </c>
      <c r="B41" s="6" t="n"/>
      <c r="C41" s="6" t="n">
        <v>-5.3</v>
      </c>
      <c r="D41" s="6" t="n">
        <v>-0.4</v>
      </c>
      <c r="E41" s="6" t="n">
        <v>-5.7</v>
      </c>
    </row>
    <row r="42">
      <c r="A42" s="6" t="inlineStr">
        <is>
          <t>Other comprehensive income (pension only - AFS reserve extinguished)</t>
        </is>
      </c>
      <c r="B42" s="6" t="n"/>
      <c r="C42" s="6" t="n"/>
      <c r="D42" s="6" t="n">
        <v>-2.3</v>
      </c>
      <c r="E42" s="6" t="n">
        <v>-2.3</v>
      </c>
    </row>
    <row r="43">
      <c r="A43" s="5" t="inlineStr">
        <is>
          <t>At 31 October 2019 (FY2019 closing)</t>
        </is>
      </c>
      <c r="B43" s="5" t="n">
        <v>105</v>
      </c>
      <c r="C43" s="5" t="n">
        <v>66.7</v>
      </c>
      <c r="D43" s="5" t="n">
        <v>-11.4</v>
      </c>
      <c r="E43" s="5" t="n">
        <v>160.3</v>
      </c>
    </row>
    <row r="44">
      <c r="A44" s="6" t="inlineStr">
        <is>
          <t>Loss for the financial year</t>
        </is>
      </c>
      <c r="B44" s="6" t="n"/>
      <c r="C44" s="6" t="n">
        <v>-16.3</v>
      </c>
      <c r="D44" s="6" t="n">
        <v>0.4</v>
      </c>
      <c r="E44" s="6" t="n">
        <v>-15.9</v>
      </c>
    </row>
    <row r="45">
      <c r="A45" s="6" t="inlineStr">
        <is>
          <t>Other comprehensive income</t>
        </is>
      </c>
      <c r="B45" s="6" t="n"/>
      <c r="C45" s="6" t="n"/>
      <c r="D45" s="6" t="n">
        <v>-3.4</v>
      </c>
      <c r="E45" s="6" t="n">
        <v>-3.4</v>
      </c>
    </row>
    <row r="46">
      <c r="A46" s="5" t="inlineStr">
        <is>
          <t>At 30 September 2020 (FY2020 closing - 11-month transition period; opening balance below = FY2021 opening)</t>
        </is>
      </c>
      <c r="B46" s="5" t="n">
        <v>105</v>
      </c>
      <c r="C46" s="5" t="n">
        <v>50.4</v>
      </c>
      <c r="D46" s="5" t="n">
        <v>-14.4</v>
      </c>
      <c r="E46" s="5" t="n">
        <v>141</v>
      </c>
    </row>
    <row r="47">
      <c r="A47" s="5" t="inlineStr">
        <is>
          <t>Opening balance at 1 October 2020 (FY2021 opening)</t>
        </is>
      </c>
      <c r="B47" s="5" t="n">
        <v>105</v>
      </c>
      <c r="C47" s="5" t="n">
        <v>50.4</v>
      </c>
      <c r="D47" s="5" t="n">
        <v>-14.4</v>
      </c>
      <c r="E47" s="5" t="n">
        <v>141</v>
      </c>
    </row>
    <row r="48">
      <c r="A48" s="6" t="inlineStr">
        <is>
          <t>Profit for the financial year</t>
        </is>
      </c>
      <c r="B48" s="6" t="n"/>
      <c r="C48" s="6" t="n">
        <v>5.5</v>
      </c>
      <c r="D48" s="6" t="n">
        <v>0.3</v>
      </c>
      <c r="E48" s="6" t="n">
        <v>5.8</v>
      </c>
    </row>
    <row r="49">
      <c r="A49" s="6" t="inlineStr">
        <is>
          <t>Other comprehensive income</t>
        </is>
      </c>
      <c r="B49" s="6" t="n"/>
      <c r="C49" s="6" t="n"/>
      <c r="D49" s="6" t="n">
        <v>1.8</v>
      </c>
      <c r="E49" s="6" t="n">
        <v>1.8</v>
      </c>
    </row>
    <row r="50">
      <c r="A50" s="5" t="inlineStr">
        <is>
          <t>At 30 September 2021 (FY2021 closing)</t>
        </is>
      </c>
      <c r="B50" s="5" t="n">
        <v>105</v>
      </c>
      <c r="C50" s="5" t="n">
        <v>54.3</v>
      </c>
      <c r="D50" s="5" t="n">
        <v>-10.7</v>
      </c>
      <c r="E50" s="5" t="n">
        <v>148.6</v>
      </c>
    </row>
    <row r="51">
      <c r="A51" s="6" t="inlineStr">
        <is>
          <t>Issue of share capital</t>
        </is>
      </c>
      <c r="B51" s="6" t="n">
        <v>25</v>
      </c>
      <c r="C51" s="6" t="n"/>
      <c r="D51" s="6" t="n"/>
      <c r="E51" s="6" t="n">
        <v>25</v>
      </c>
    </row>
    <row r="52">
      <c r="A52" s="6" t="inlineStr">
        <is>
          <t>Profit for the financial year</t>
        </is>
      </c>
      <c r="B52" s="6" t="n"/>
      <c r="C52" s="6" t="n">
        <v>5.2</v>
      </c>
      <c r="D52" s="6" t="n">
        <v>-0.4</v>
      </c>
      <c r="E52" s="6" t="n">
        <v>4.8</v>
      </c>
    </row>
    <row r="53">
      <c r="A53" s="6" t="inlineStr">
        <is>
          <t>Other comprehensive income</t>
        </is>
      </c>
      <c r="B53" s="6" t="n"/>
      <c r="C53" s="6" t="n"/>
      <c r="D53" s="6" t="n">
        <v>6.6</v>
      </c>
      <c r="E53" s="6" t="n">
        <v>6.6</v>
      </c>
    </row>
    <row r="54">
      <c r="A54" s="6" t="inlineStr">
        <is>
          <t>Pension additional contribution</t>
        </is>
      </c>
      <c r="B54" s="6" t="n"/>
      <c r="C54" s="6" t="n">
        <v>-1.2</v>
      </c>
      <c r="D54" s="6" t="n">
        <v>1.2</v>
      </c>
      <c r="E54" s="6" t="n"/>
    </row>
    <row r="55">
      <c r="A55" s="5" t="inlineStr">
        <is>
          <t>At 30 September 2022 (FY2022 closing)</t>
        </is>
      </c>
      <c r="B55" s="5" t="n">
        <v>130</v>
      </c>
      <c r="C55" s="5" t="n">
        <v>58.3</v>
      </c>
      <c r="D55" s="5" t="n">
        <v>-3.3</v>
      </c>
      <c r="E55" s="5" t="n">
        <v>185</v>
      </c>
    </row>
    <row r="56">
      <c r="A56" s="6" t="inlineStr">
        <is>
          <t>Loss for the financial year</t>
        </is>
      </c>
      <c r="B56" s="6" t="n"/>
      <c r="C56" s="6" t="n">
        <v>0.1</v>
      </c>
      <c r="D56" s="6" t="n">
        <v>-0.3</v>
      </c>
      <c r="E56" s="6" t="n">
        <v>-0.2</v>
      </c>
    </row>
    <row r="57">
      <c r="A57" s="6" t="inlineStr">
        <is>
          <t>Other comprehensive loss</t>
        </is>
      </c>
      <c r="B57" s="6" t="n"/>
      <c r="C57" s="6" t="n"/>
      <c r="D57" s="6" t="n">
        <v>-1</v>
      </c>
      <c r="E57" s="6" t="n">
        <v>-1</v>
      </c>
    </row>
    <row r="58">
      <c r="A58" s="6" t="inlineStr">
        <is>
          <t>Pension additional contribution</t>
        </is>
      </c>
      <c r="B58" s="6" t="n"/>
      <c r="C58" s="6" t="n">
        <v>-1.8</v>
      </c>
      <c r="D58" s="6" t="n">
        <v>1.8</v>
      </c>
      <c r="E58" s="6" t="n"/>
    </row>
    <row r="59">
      <c r="A59" s="5" t="inlineStr">
        <is>
          <t>At 30 September 2023 (FY2023 closing)</t>
        </is>
      </c>
      <c r="B59" s="5" t="n">
        <v>130</v>
      </c>
      <c r="C59" s="5" t="n">
        <v>56.6</v>
      </c>
      <c r="D59" s="5" t="n">
        <v>-2.8</v>
      </c>
      <c r="E59" s="5" t="n">
        <v>183.8</v>
      </c>
    </row>
    <row r="60">
      <c r="A60" s="6" t="inlineStr">
        <is>
          <t>Loss for the financial year</t>
        </is>
      </c>
      <c r="B60" s="6" t="n"/>
      <c r="C60" s="6" t="n">
        <v>-1.5</v>
      </c>
      <c r="D60" s="6" t="n">
        <v>-0.2</v>
      </c>
      <c r="E60" s="6" t="n">
        <v>-1.7</v>
      </c>
    </row>
    <row r="61">
      <c r="A61" s="6" t="inlineStr">
        <is>
          <t>Other comprehensive income</t>
        </is>
      </c>
      <c r="B61" s="6" t="n"/>
      <c r="C61" s="6" t="n"/>
      <c r="D61" s="6" t="n">
        <v>1.1</v>
      </c>
      <c r="E61" s="6" t="n">
        <v>1.1</v>
      </c>
    </row>
    <row r="62">
      <c r="A62" s="6" t="inlineStr">
        <is>
          <t>Pension additional contribution</t>
        </is>
      </c>
      <c r="B62" s="6" t="n"/>
      <c r="C62" s="6" t="n">
        <v>-3</v>
      </c>
      <c r="D62" s="6" t="n">
        <v>3</v>
      </c>
      <c r="E62" s="6" t="n"/>
    </row>
    <row r="63">
      <c r="A63" s="5" t="inlineStr">
        <is>
          <t>At 30 September 2024 (FY2024 closing)</t>
        </is>
      </c>
      <c r="B63" s="5" t="n">
        <v>130</v>
      </c>
      <c r="C63" s="5" t="n">
        <v>52.1</v>
      </c>
      <c r="D63" s="5" t="n">
        <v>1.1</v>
      </c>
      <c r="E63" s="5" t="n">
        <v>183.2</v>
      </c>
    </row>
    <row r="64">
      <c r="A64" s="6" t="inlineStr">
        <is>
          <t>Loss for the financial year</t>
        </is>
      </c>
      <c r="B64" s="6" t="n"/>
      <c r="C64" s="6" t="n">
        <v>-3.9</v>
      </c>
      <c r="D64" s="6" t="n"/>
      <c r="E64" s="6" t="n">
        <v>-3.9</v>
      </c>
    </row>
    <row r="65">
      <c r="A65" s="6" t="inlineStr">
        <is>
          <t>Other comprehensive income</t>
        </is>
      </c>
      <c r="B65" s="6" t="n"/>
      <c r="C65" s="6" t="n"/>
      <c r="D65" s="6" t="n">
        <v>0.5</v>
      </c>
      <c r="E65" s="6" t="n">
        <v>0.5</v>
      </c>
    </row>
    <row r="66">
      <c r="A66" s="5" t="inlineStr">
        <is>
          <t>At 30 September 2025 (FY2025 closing)</t>
        </is>
      </c>
      <c r="B66" s="5" t="n">
        <v>130</v>
      </c>
      <c r="C66" s="5" t="n">
        <v>48.2</v>
      </c>
      <c r="D66" s="5" t="n">
        <v>1.6</v>
      </c>
      <c r="E66" s="5" t="n">
        <v>179.8</v>
      </c>
    </row>
    <row r="68" ht="150" customHeight="1">
      <c r="A68"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
HISTORICAL-DEPTH NOTE (HD-074, added 2026-09-07): extends Balance Sheet, Profit &amp; Loss and Statement of Changes in Equity back to FY2009 (one year beyond HD-004's confirmed FY2010 statutory floor) - Pillar 3, Asset Quality and RWA Breakdown remain capped at FY2014 as a deliberate project-wide scope decision, not a sourcing gap. This entity has no Cash Flow Statement in any year (see EXEMPTION_NOTE on the Cash Flow Statement sheet) - the FRS1 predecessor exemption (identical grounds: a parent undertaking includes the Bank in its own published consolidated accounts) is confirmed explicitly stated in each of the FY2013/FY2011/FY2010 Annual Reports too, so this extension adds no Cash Flow Statement columns. FY2013 (and its own FY2012 comparative): Directors' report and financial statements 2013 - https://web.archive.org/web/20220620025323id_/https://hodgebank.co.uk/wp-content/uploads/2019/01/jhb-financial-statements-20131031.pdf
FY2011 (and its own FY2010 comparative): Directors' report and financial statements 2011 - https://web.archive.org/web/20220620025317id_/https://hodgebank.co.uk/wp-content/uploads/2019/01/jhb-financial-statements-20111031.pdf
FY2010 (and its own FY2009 comparative): Directors' report and financial statements 2010 - https://web.archive.org/web/20220620025334id_/https://hodgebank.co.uk/wp-content/uploads/2019/01/jhb-financial-statements-20101031.pdf
All 3 new filings are old UK GAAP (pre-FRS101), consistent with the existing FY2014/FY2015 treatment already on this sheet - no basis-transition gap exists at the FY2013/FY2014 boundary (FY2013's own closing Total equity of GBP128.2m ties exactly to FY2014's own opening position). 'Equity shares' is a genuine small distinct holding line disclosed in the FY2010-FY2012 Balance Sheets (nil in FY2013) - not folded into Debt securities or another line, since it is its own numbered note in the source accounts. FY2012's own Profit and Loss Account (per the FY2013 Annual Report's own comparative) reclassified certain cost/income sub-lines from how they were originally presented (a reclassification only, explained in that report's own Note 1 - profit for the year and net assets are unaffected). Every one of the 5 new years' Balance Sheet ties exactly (Total assets = Total liabilities + Total equity, verified to the exact £000) and every new year's disclosed Profit on ordinary activities before taxation and Total recognised gains and losses in the financial year are reproduced exactly by the rows on this sheet and the Profit &amp; Loss sheet.</t>
        </is>
      </c>
    </row>
  </sheetData>
  <mergeCells count="1">
    <mergeCell ref="A68:E6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Julian Hodge Bank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5" t="inlineStr">
        <is>
          <t>No Statement of Cash Flows is published by this entity in any year</t>
        </is>
      </c>
      <c r="B4" s="6" t="n"/>
      <c r="C4" s="6" t="n"/>
      <c r="D4" s="6" t="n"/>
      <c r="E4" s="6" t="n"/>
      <c r="F4" s="6" t="n"/>
      <c r="G4" s="6" t="n"/>
      <c r="H4" s="6" t="n"/>
      <c r="I4" s="6" t="n"/>
      <c r="J4" s="6" t="n"/>
      <c r="K4" s="6" t="n"/>
      <c r="L4" s="6" t="n"/>
      <c r="M4" s="6" t="n"/>
      <c r="N4" s="6" t="n"/>
      <c r="O4" s="6" t="n"/>
      <c r="P4" s="6" t="n"/>
      <c r="Q4" s="6" t="n"/>
      <c r="R4" s="6" t="n"/>
    </row>
    <row r="5">
      <c r="A5" s="6" t="inlineStr">
        <is>
          <t>See the note below for the FRS 101 exemption this entity relies on every year, and why this workbook is built as a Pillar-3-only variant.</t>
        </is>
      </c>
      <c r="B5" s="6" t="n"/>
      <c r="C5" s="6" t="n"/>
      <c r="D5" s="6" t="n"/>
      <c r="E5" s="6" t="n"/>
      <c r="F5" s="6" t="n"/>
      <c r="G5" s="6" t="n"/>
      <c r="H5" s="6" t="n"/>
      <c r="I5" s="6" t="n"/>
      <c r="J5" s="6" t="n"/>
      <c r="K5" s="6" t="n"/>
      <c r="L5" s="6" t="n"/>
      <c r="M5" s="6" t="n"/>
      <c r="N5" s="6" t="n"/>
      <c r="O5" s="6" t="n"/>
      <c r="P5" s="6" t="n"/>
      <c r="Q5" s="6" t="n"/>
      <c r="R5" s="6" t="n"/>
    </row>
    <row r="7" ht="260" customHeight="1">
      <c r="A7" s="8" t="inlineStr">
        <is>
          <t>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FRS 101 / FRS 1 CASH-FLOW EXEMPTION: every Annual Report FY2016-FY2025 states in Note 1 (Basis of preparation) that the Bank "has applied the exemptions available under FRS 101 in respect of the following disclosures: A Cash Flow Statement and related notes; ..." - e.g. Julian Hodge Bank Limited Annual Report 2025, Note 1.1, p.42 - https://hodgebank.co.uk/wp-content/uploads/2026/02/Hodge-AR-28.01.26.pdf. FY2014-FY2015 (pre-FRS101, old UK GAAP) rely on the equivalent predecessor exemption under FRS 1 ('the Bank is exempt from the requirement to prepare a cash flow statement on the grounds that a parent undertaking includes the Bank in its own published consolidated financial statements') - e.g. Julian Hodge Bank Limited Directors' report and financial statements 2015, p.19 - https://web.archive.org/web/20220620025258id_/https://hodgebank.co.uk/wp-content/uploads/2019/01/jhb-financial-statements-20151031.pdf. The same FRS 1 exemption wording is confirmed present in each of the FY2009-FY2013 Directors' report and financial statements sourced for HD-074 (e.g. FY2010, FY2011, FY2013 reports, each Note 1) - see HD074_NOTE below. No Statement of Cash Flows exists in any of the entity's published accounts for any year FY2009-FY2025 - a standing structural feature spanning both the old-UK-GAAP and FRS101 eras, not a one-off or data gap. Per the project's established policy for this exemption (see The Bank of New York Mellon (International) Limited / ABC International Bank plc), this workbook is built as a PILLAR-3-ONLY variant: all 11 Pillar 3 metric sheets are populated below, but no cash flow figures exist to show. See the Overview sheet for the equivalent treatment there.
HISTORICAL-DEPTH NOTE (HD-074, added 2026-09-07): extends Balance Sheet, Profit &amp; Loss and Statement of Changes in Equity back to FY2009 (one year beyond HD-004's confirmed FY2010 statutory floor) - Pillar 3, Asset Quality and RWA Breakdown remain capped at FY2014 as a deliberate project-wide scope decision, not a sourcing gap. This entity has no Cash Flow Statement in any year (see EXEMPTION_NOTE on the Cash Flow Statement sheet) - the FRS1 predecessor exemption (identical grounds: a parent undertaking includes the Bank in its own published consolidated accounts) is confirmed explicitly stated in each of the FY2013/FY2011/FY2010 Annual Reports too, so this extension adds no Cash Flow Statement columns. FY2013 (and its own FY2012 comparative): Directors' report and financial statements 2013 - https://web.archive.org/web/20220620025323id_/https://hodgebank.co.uk/wp-content/uploads/2019/01/jhb-financial-statements-20131031.pdf
FY2011 (and its own FY2010 comparative): Directors' report and financial statements 2011 - https://web.archive.org/web/20220620025317id_/https://hodgebank.co.uk/wp-content/uploads/2019/01/jhb-financial-statements-20111031.pdf
FY2010 (and its own FY2009 comparative): Directors' report and financial statements 2010 - https://web.archive.org/web/20220620025334id_/https://hodgebank.co.uk/wp-content/uploads/2019/01/jhb-financial-statements-20101031.pdf
All 3 new filings are old UK GAAP (pre-FRS101), consistent with the existing FY2014/FY2015 treatment already on this sheet - no basis-transition gap exists at the FY2013/FY2014 boundary (FY2013's own closing Total equity of GBP128.2m ties exactly to FY2014's own opening position). 'Equity shares' is a genuine small distinct holding line disclosed in the FY2010-FY2012 Balance Sheets (nil in FY2013) - not folded into Debt securities or another line, since it is its own numbered note in the source accounts. FY2012's own Profit and Loss Account (per the FY2013 Annual Report's own comparative) reclassified certain cost/income sub-lines from how they were originally presented (a reclassification only, explained in that report's own Note 1 - profit for the year and net assets are unaffected). Every one of the 5 new years' Balance Sheet ties exactly (Total assets = Total liabilities + Total equity, verified to the exact £000) and every new year's disclosed Profit on ordinary activities before taxation and Total recognised gains and losses in the financial year are reproduced exactly by the rows on this sheet and the Profit &amp; Loss sheet.</t>
        </is>
      </c>
    </row>
  </sheetData>
  <mergeCells count="1">
    <mergeCell ref="A7:R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Asset Quality</t>
        </is>
      </c>
    </row>
    <row r="2">
      <c r="A2" s="2" t="inlineStr">
        <is>
          <t>Portfolio-wide IFRS 9 Stage 1/2/3 impairment provision roll-forward (Note 13/14).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Loans and advances to customers at amortised cost</t>
        </is>
      </c>
      <c r="B4" s="6" t="n"/>
      <c r="C4" s="6" t="n"/>
      <c r="D4" s="6" t="n"/>
      <c r="E4" s="6" t="n"/>
      <c r="F4" s="6" t="n"/>
      <c r="G4" s="6" t="n"/>
      <c r="H4" s="6" t="n"/>
      <c r="I4" s="6" t="n"/>
      <c r="J4" s="6" t="n"/>
      <c r="K4" s="6" t="n"/>
      <c r="L4" s="6" t="n"/>
      <c r="M4" s="6" t="n"/>
    </row>
    <row r="5">
      <c r="A5" s="6" t="inlineStr">
        <is>
          <t>Gross balances</t>
        </is>
      </c>
      <c r="B5" s="6" t="n">
        <v>1811.1</v>
      </c>
      <c r="C5" s="6" t="n">
        <v>1671.4</v>
      </c>
      <c r="D5" s="6" t="n">
        <v>1483.1</v>
      </c>
      <c r="E5" s="6" t="n">
        <v>1403.6</v>
      </c>
      <c r="F5" s="6" t="n">
        <v>989.9</v>
      </c>
      <c r="G5" s="6" t="n">
        <v>709.3</v>
      </c>
      <c r="H5" s="6" t="n">
        <v>526.4</v>
      </c>
      <c r="I5" s="6" t="n">
        <v>562.3</v>
      </c>
      <c r="J5" s="6" t="n">
        <v>469.9</v>
      </c>
      <c r="K5" s="6" t="n">
        <v>386.5</v>
      </c>
      <c r="L5" s="6" t="n">
        <v>335.3</v>
      </c>
      <c r="M5" s="6" t="n"/>
    </row>
    <row r="6">
      <c r="A6" s="6" t="inlineStr">
        <is>
          <t>Net loan fee deferral</t>
        </is>
      </c>
      <c r="B6" s="6" t="n">
        <v>13</v>
      </c>
      <c r="C6" s="6" t="n">
        <v>8.5</v>
      </c>
      <c r="D6" s="6" t="n">
        <v>2.9</v>
      </c>
      <c r="E6" s="6" t="n">
        <v>3.7</v>
      </c>
      <c r="F6" s="6" t="n">
        <v>1.9</v>
      </c>
      <c r="G6" s="6" t="n">
        <v>-0.8</v>
      </c>
      <c r="H6" s="6" t="n">
        <v>-1.7</v>
      </c>
      <c r="I6" s="6" t="n">
        <v>-2.3</v>
      </c>
      <c r="J6" s="6" t="n">
        <v>-2.5</v>
      </c>
      <c r="K6" s="6" t="n">
        <v>-2.3</v>
      </c>
      <c r="L6" s="6" t="n">
        <v>-1.9</v>
      </c>
      <c r="M6" s="6" t="n"/>
    </row>
    <row r="7">
      <c r="A7" s="6" t="inlineStr">
        <is>
          <t>Provision for impairment</t>
        </is>
      </c>
      <c r="B7" s="6" t="n">
        <v>-13.8</v>
      </c>
      <c r="C7" s="6" t="n">
        <v>-7.7</v>
      </c>
      <c r="D7" s="6" t="n">
        <v>-6</v>
      </c>
      <c r="E7" s="6" t="n">
        <v>-8.6</v>
      </c>
      <c r="F7" s="6" t="n">
        <v>-8.4</v>
      </c>
      <c r="G7" s="6" t="n">
        <v>-7.9</v>
      </c>
      <c r="H7" s="6" t="n">
        <v>-9.800000000000001</v>
      </c>
      <c r="I7" s="6" t="n">
        <v>-3.7</v>
      </c>
      <c r="J7" s="6" t="n">
        <v>-6.4</v>
      </c>
      <c r="K7" s="6" t="n">
        <v>-10</v>
      </c>
      <c r="L7" s="6" t="n">
        <v>-7.6</v>
      </c>
      <c r="M7" s="6" t="n">
        <v>-5.8</v>
      </c>
    </row>
    <row r="8">
      <c r="A8" s="5" t="inlineStr">
        <is>
          <t>Net balance (amortised cost)</t>
        </is>
      </c>
      <c r="B8" s="5" t="n">
        <v>1810.3</v>
      </c>
      <c r="C8" s="5" t="n">
        <v>1672.2</v>
      </c>
      <c r="D8" s="5" t="n">
        <v>1480</v>
      </c>
      <c r="E8" s="5" t="n">
        <v>1398.7</v>
      </c>
      <c r="F8" s="5" t="n">
        <v>983.4</v>
      </c>
      <c r="G8" s="5" t="n">
        <v>700.6</v>
      </c>
      <c r="H8" s="5" t="n">
        <v>514.9</v>
      </c>
      <c r="I8" s="5" t="n">
        <v>556.3</v>
      </c>
      <c r="J8" s="5" t="n">
        <v>461</v>
      </c>
      <c r="K8" s="5" t="n">
        <v>374.2</v>
      </c>
      <c r="L8" s="5" t="n">
        <v>325.8</v>
      </c>
      <c r="M8" s="5" t="n"/>
    </row>
    <row r="9">
      <c r="A9" s="6" t="inlineStr">
        <is>
          <t>Impairment provision coverage (%)</t>
        </is>
      </c>
      <c r="B9" s="6" t="inlineStr">
        <is>
          <t>0.76%</t>
        </is>
      </c>
      <c r="C9" s="6" t="inlineStr">
        <is>
          <t>0.46%</t>
        </is>
      </c>
      <c r="D9" s="6" t="inlineStr">
        <is>
          <t>0.40%</t>
        </is>
      </c>
      <c r="E9" s="6" t="inlineStr">
        <is>
          <t>0.61%</t>
        </is>
      </c>
      <c r="F9" s="6" t="inlineStr">
        <is>
          <t>0.85%</t>
        </is>
      </c>
      <c r="G9" s="6" t="inlineStr">
        <is>
          <t>1.11%</t>
        </is>
      </c>
      <c r="H9" s="6" t="inlineStr">
        <is>
          <t>1.86%</t>
        </is>
      </c>
      <c r="I9" s="6" t="inlineStr">
        <is>
          <t>0.66%</t>
        </is>
      </c>
      <c r="J9" s="6" t="inlineStr">
        <is>
          <t>1.36%</t>
        </is>
      </c>
      <c r="K9" s="6" t="inlineStr">
        <is>
          <t>2.59%</t>
        </is>
      </c>
      <c r="L9" s="6" t="inlineStr">
        <is>
          <t>2.27%</t>
        </is>
      </c>
      <c r="M9" s="6" t="n"/>
    </row>
    <row r="10">
      <c r="A10" s="5" t="inlineStr">
        <is>
          <t>Impairment provision, by IFRS 9 stage (IFRS 9 adopted 1 November 2018 - stage data only exists FY2019 onward; FY2014-FY2018 show only the unstaged IAS 39/UK GAAP total provision above)</t>
        </is>
      </c>
      <c r="B10" s="6" t="n"/>
      <c r="C10" s="6" t="n"/>
      <c r="D10" s="6" t="n"/>
      <c r="E10" s="6" t="n"/>
      <c r="F10" s="6" t="n"/>
      <c r="G10" s="6" t="n"/>
      <c r="H10" s="6" t="n"/>
      <c r="I10" s="6" t="n"/>
      <c r="J10" s="6" t="n"/>
      <c r="K10" s="6" t="n"/>
      <c r="L10" s="6" t="n"/>
      <c r="M10" s="6" t="n"/>
    </row>
    <row r="11">
      <c r="A11" s="6" t="inlineStr">
        <is>
          <t>Stage 1 (12-month ECL)</t>
        </is>
      </c>
      <c r="B11" s="6" t="n">
        <v>3.6</v>
      </c>
      <c r="C11" s="6" t="n">
        <v>2.4</v>
      </c>
      <c r="D11" s="6" t="n">
        <v>1.3</v>
      </c>
      <c r="E11" s="6" t="n">
        <v>1.7</v>
      </c>
      <c r="F11" s="6" t="n">
        <v>1.3</v>
      </c>
      <c r="G11" s="6" t="n">
        <v>1.5</v>
      </c>
      <c r="H11" s="6" t="n">
        <v>2.4</v>
      </c>
      <c r="I11" s="6" t="n"/>
      <c r="J11" s="6" t="n"/>
      <c r="K11" s="6" t="n"/>
      <c r="L11" s="6" t="n"/>
      <c r="M11" s="6" t="n"/>
    </row>
    <row r="12">
      <c r="A12" s="6" t="inlineStr">
        <is>
          <t>Stage 2 (lifetime ECL, not credit-impaired)</t>
        </is>
      </c>
      <c r="B12" s="6" t="n">
        <v>1.7</v>
      </c>
      <c r="C12" s="6" t="n">
        <v>1.2</v>
      </c>
      <c r="D12" s="6" t="n">
        <v>3.1</v>
      </c>
      <c r="E12" s="6" t="n">
        <v>1.3</v>
      </c>
      <c r="F12" s="6" t="n">
        <v>2</v>
      </c>
      <c r="G12" s="6" t="n">
        <v>1.6</v>
      </c>
      <c r="H12" s="6" t="n">
        <v>0.1</v>
      </c>
      <c r="I12" s="6" t="n"/>
      <c r="J12" s="6" t="n"/>
      <c r="K12" s="6" t="n"/>
      <c r="L12" s="6" t="n"/>
      <c r="M12" s="6" t="n"/>
    </row>
    <row r="13">
      <c r="A13" s="6" t="inlineStr">
        <is>
          <t>Stage 3 (lifetime ECL, credit-impaired)</t>
        </is>
      </c>
      <c r="B13" s="6" t="n">
        <v>8.300000000000001</v>
      </c>
      <c r="C13" s="6" t="n">
        <v>4.2</v>
      </c>
      <c r="D13" s="6" t="n">
        <v>1.2</v>
      </c>
      <c r="E13" s="6" t="n">
        <v>4.8</v>
      </c>
      <c r="F13" s="6" t="n">
        <v>5.1</v>
      </c>
      <c r="G13" s="6" t="n">
        <v>4.8</v>
      </c>
      <c r="H13" s="6" t="n">
        <v>7.3</v>
      </c>
      <c r="I13" s="6" t="n"/>
      <c r="J13" s="6" t="n"/>
      <c r="K13" s="6" t="n"/>
      <c r="L13" s="6" t="n"/>
      <c r="M13" s="6" t="n"/>
    </row>
    <row r="14">
      <c r="A14" s="6" t="inlineStr">
        <is>
          <t>Post Model Adjustment</t>
        </is>
      </c>
      <c r="B14" s="6" t="n">
        <v>0.2</v>
      </c>
      <c r="C14" s="6" t="n">
        <v>-0.1</v>
      </c>
      <c r="D14" s="6" t="n">
        <v>0.4</v>
      </c>
      <c r="E14" s="6" t="n">
        <v>0.8</v>
      </c>
      <c r="F14" s="6" t="n"/>
      <c r="G14" s="6" t="n"/>
      <c r="H14" s="6" t="n"/>
      <c r="I14" s="6" t="n"/>
      <c r="J14" s="6" t="n"/>
      <c r="K14" s="6" t="n"/>
      <c r="L14" s="6" t="n"/>
      <c r="M14" s="6" t="n"/>
    </row>
    <row r="15">
      <c r="A15" s="5" t="inlineStr">
        <is>
          <t>Total provision for impairment</t>
        </is>
      </c>
      <c r="B15" s="5" t="n">
        <v>13.8</v>
      </c>
      <c r="C15" s="5" t="n">
        <v>7.7</v>
      </c>
      <c r="D15" s="5" t="n">
        <v>6</v>
      </c>
      <c r="E15" s="5" t="n">
        <v>8.6</v>
      </c>
      <c r="F15" s="5" t="n">
        <v>8.4</v>
      </c>
      <c r="G15" s="5" t="n">
        <v>7.9</v>
      </c>
      <c r="H15" s="5" t="n">
        <v>9.800000000000001</v>
      </c>
      <c r="I15" s="5" t="n">
        <v>3.7</v>
      </c>
      <c r="J15" s="5" t="n">
        <v>6.4</v>
      </c>
      <c r="K15" s="5" t="n">
        <v>10</v>
      </c>
      <c r="L15" s="5" t="n">
        <v>7.6</v>
      </c>
      <c r="M15" s="5" t="n">
        <v>5.8</v>
      </c>
    </row>
    <row r="16">
      <c r="A16" s="5" t="inlineStr">
        <is>
          <t>Loans and advances by product, at amortised cost (before hedge FV adjustment / retirement mortgages FVTPL)</t>
        </is>
      </c>
      <c r="B16" s="6" t="n"/>
      <c r="C16" s="6" t="n"/>
      <c r="D16" s="6" t="n"/>
      <c r="E16" s="6" t="n"/>
      <c r="F16" s="6" t="n"/>
      <c r="G16" s="6" t="n"/>
      <c r="H16" s="6" t="n"/>
      <c r="I16" s="6" t="n"/>
      <c r="J16" s="6" t="n"/>
      <c r="K16" s="6" t="n"/>
      <c r="L16" s="6" t="n"/>
      <c r="M16" s="6" t="n"/>
    </row>
    <row r="17">
      <c r="A17" s="6" t="inlineStr">
        <is>
          <t>Retail</t>
        </is>
      </c>
      <c r="B17" s="6" t="n">
        <v>1371.8</v>
      </c>
      <c r="C17" s="6" t="n">
        <v>1315.9</v>
      </c>
      <c r="D17" s="6" t="n">
        <v>1234.9</v>
      </c>
      <c r="E17" s="6" t="n">
        <v>1140</v>
      </c>
      <c r="F17" s="6" t="n">
        <v>679</v>
      </c>
      <c r="G17" s="6" t="n"/>
      <c r="H17" s="6" t="n"/>
      <c r="I17" s="6" t="n"/>
      <c r="J17" s="6" t="n"/>
      <c r="K17" s="6" t="n"/>
      <c r="L17" s="6" t="n"/>
      <c r="M17" s="6" t="n"/>
    </row>
    <row r="18">
      <c r="A18" s="6" t="inlineStr">
        <is>
          <t>Commercial (real estate)</t>
        </is>
      </c>
      <c r="B18" s="6" t="n">
        <v>218.1</v>
      </c>
      <c r="C18" s="6" t="n">
        <v>189.7</v>
      </c>
      <c r="D18" s="6" t="n">
        <v>170.4</v>
      </c>
      <c r="E18" s="6" t="n">
        <v>182.2</v>
      </c>
      <c r="F18" s="6" t="n">
        <v>233.9</v>
      </c>
      <c r="G18" s="6" t="n"/>
      <c r="H18" s="6" t="n"/>
      <c r="I18" s="6" t="n"/>
      <c r="J18" s="6" t="n"/>
      <c r="K18" s="6" t="n"/>
      <c r="L18" s="6" t="n"/>
      <c r="M18" s="6" t="n"/>
    </row>
    <row r="19">
      <c r="A19" s="6" t="inlineStr">
        <is>
          <t>Portfolio Buy-to-Let</t>
        </is>
      </c>
      <c r="B19" s="6" t="n">
        <v>37.3</v>
      </c>
      <c r="C19" s="6" t="n">
        <v>70.3</v>
      </c>
      <c r="D19" s="6" t="n">
        <v>74.7</v>
      </c>
      <c r="E19" s="6" t="n">
        <v>76.5</v>
      </c>
      <c r="F19" s="6" t="n">
        <v>70.5</v>
      </c>
      <c r="G19" s="6" t="n"/>
      <c r="H19" s="6" t="n"/>
      <c r="I19" s="6" t="n"/>
      <c r="J19" s="6" t="n"/>
      <c r="K19" s="6" t="n"/>
      <c r="L19" s="6" t="n"/>
      <c r="M19" s="6" t="n"/>
    </row>
    <row r="20">
      <c r="A20" s="6" t="inlineStr">
        <is>
          <t>Motor receivables</t>
        </is>
      </c>
      <c r="B20" s="6" t="n">
        <v>183.1</v>
      </c>
      <c r="C20" s="6" t="n">
        <v>96.3</v>
      </c>
      <c r="D20" s="6" t="n"/>
      <c r="E20" s="6" t="n"/>
      <c r="F20" s="6" t="n"/>
      <c r="G20" s="6" t="n"/>
      <c r="H20" s="6" t="n"/>
      <c r="I20" s="6" t="n"/>
      <c r="J20" s="6" t="n"/>
      <c r="K20" s="6" t="n"/>
      <c r="L20" s="6" t="n"/>
      <c r="M20" s="6" t="n"/>
    </row>
    <row r="21">
      <c r="A21" s="6" t="inlineStr">
        <is>
          <t>Amounts owed from parent and fellow subsidiaries</t>
        </is>
      </c>
      <c r="B21" s="6" t="n"/>
      <c r="C21" s="6" t="n"/>
      <c r="D21" s="6" t="n"/>
      <c r="E21" s="6" t="n"/>
      <c r="F21" s="6" t="n">
        <v>0.4</v>
      </c>
      <c r="G21" s="6" t="n"/>
      <c r="H21" s="6" t="n"/>
      <c r="I21" s="6" t="n"/>
      <c r="J21" s="6" t="n"/>
      <c r="K21" s="6" t="n"/>
      <c r="L21" s="6" t="n"/>
      <c r="M21" s="6" t="n"/>
    </row>
    <row r="23" ht="380" customHeight="1">
      <c r="A23"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
DATA QUALITY FLAG: AR2025's own Note 13 table prints its 2025-year closing row as "At 30 September 2024" and its 2024-year closing row as "At 30 September 2023" - both appear to be an off-by-one-year label carried over from an earlier template (each closing row's own figures follow arithmetically from that block's own opening row and match the FOLLOWING year's contemporaneous report exactly), so the closing rows are treated here as FY2025 and FY2024 respectively, not as literally labelled. No gross-exposure-by-IFRS-9-stage table exists at portfolio level in any year - only the impairment PROVISION is broken out by stage portfolio-wide; gross exposure by stage is only disclosed for the Commercial/PBTL/Motor segments separately (not for Retail, the largest segment), so a full gross-by-stage table is not reconstructable without assuming Retail's split.</t>
        </is>
      </c>
    </row>
  </sheetData>
  <mergeCells count="1">
    <mergeCell ref="A23:M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Julian Hodge Bank Limited (Hodge Bank) - KM1 Key Metrics</t>
        </is>
      </c>
    </row>
    <row r="2">
      <c r="A2" s="2" t="inlineStr">
        <is>
          <t>The Bank's own published key-metrics template, reproduced in Hodge's row order, row numbers, labels and printed precision. Solo basis; amounts in £m, ratios as printed. Shown as TWO blocks because Hodge changes template generation mid-series: the numbered UK KM1 in its FY2022 and FY2023 editions, and the unnumbered BCBS Basel III KM1 in FY2018-FY2021. The two are not merged - their leverage rows alone sit on opposite sides of the 1 January 2022 basis break. FY2024 has no Pillar 3 document and FY2025 is covered by the Bank's SDDT modification;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5" t="inlineStr">
        <is>
          <t>UK KM1 template - "3 Key Regulatory Metrics" (FY2022 and FY2023 editions; row numbers as Hodge prints them)</t>
        </is>
      </c>
      <c r="B4" s="6" t="n"/>
      <c r="C4" s="6" t="n"/>
      <c r="D4" s="6" t="n"/>
      <c r="E4" s="6" t="n"/>
      <c r="F4" s="6" t="n"/>
      <c r="G4" s="6" t="n"/>
      <c r="H4" s="6" t="n"/>
      <c r="I4" s="6" t="n"/>
    </row>
    <row r="5">
      <c r="A5" s="5" t="inlineStr">
        <is>
          <t>Available own funds (amounts) (£m)</t>
        </is>
      </c>
      <c r="B5" s="6" t="n"/>
      <c r="C5" s="6" t="n"/>
      <c r="D5" s="6" t="n"/>
      <c r="E5" s="6" t="n"/>
      <c r="F5" s="6" t="n"/>
      <c r="G5" s="6" t="n"/>
      <c r="H5" s="6" t="n"/>
      <c r="I5" s="6" t="n"/>
    </row>
    <row r="6">
      <c r="A6" s="6" t="inlineStr">
        <is>
          <t>1    Common Equity Tier 1 (CET1)</t>
        </is>
      </c>
      <c r="B6" s="6" t="n"/>
      <c r="C6" s="6" t="n"/>
      <c r="D6" s="6" t="n">
        <v>172.9</v>
      </c>
      <c r="E6" s="6" t="n">
        <v>177</v>
      </c>
      <c r="F6" s="6" t="n"/>
      <c r="G6" s="6" t="n"/>
      <c r="H6" s="6" t="n"/>
      <c r="I6" s="6" t="n"/>
    </row>
    <row r="7">
      <c r="A7" s="6" t="inlineStr">
        <is>
          <t>2    Tier 1</t>
        </is>
      </c>
      <c r="B7" s="6" t="n"/>
      <c r="C7" s="6" t="n"/>
      <c r="D7" s="6" t="n">
        <v>172.9</v>
      </c>
      <c r="E7" s="6" t="n">
        <v>177</v>
      </c>
      <c r="F7" s="6" t="n"/>
      <c r="G7" s="6" t="n"/>
      <c r="H7" s="6" t="n"/>
      <c r="I7" s="6" t="n"/>
    </row>
    <row r="8">
      <c r="A8" s="6" t="inlineStr">
        <is>
          <t>Total capital    [Hodge prints this row WITHOUT the template's row number 3]</t>
        </is>
      </c>
      <c r="B8" s="6" t="n"/>
      <c r="C8" s="6" t="n"/>
      <c r="D8" s="6" t="n">
        <v>172.9</v>
      </c>
      <c r="E8" s="6" t="n">
        <v>177</v>
      </c>
      <c r="F8" s="6" t="n"/>
      <c r="G8" s="6" t="n"/>
      <c r="H8" s="6" t="n"/>
      <c r="I8" s="6" t="n"/>
    </row>
    <row r="9">
      <c r="A9" s="5" t="inlineStr">
        <is>
          <t>Risk-weighted exposure amounts RWEA (£m)</t>
        </is>
      </c>
      <c r="B9" s="6" t="n"/>
      <c r="C9" s="6" t="n"/>
      <c r="D9" s="6" t="n"/>
      <c r="E9" s="6" t="n"/>
      <c r="F9" s="6" t="n"/>
      <c r="G9" s="6" t="n"/>
      <c r="H9" s="6" t="n"/>
      <c r="I9" s="6" t="n"/>
    </row>
    <row r="10">
      <c r="A10" s="6" t="inlineStr">
        <is>
          <t>4    Total RWEA</t>
        </is>
      </c>
      <c r="B10" s="6" t="n"/>
      <c r="C10" s="6" t="n"/>
      <c r="D10" s="6" t="n">
        <v>704.7</v>
      </c>
      <c r="E10" s="6" t="n">
        <v>705</v>
      </c>
      <c r="F10" s="6" t="n"/>
      <c r="G10" s="6" t="n"/>
      <c r="H10" s="6" t="n"/>
      <c r="I10" s="6" t="n"/>
    </row>
    <row r="11">
      <c r="A11" s="5" t="inlineStr">
        <is>
          <t>Capital ratios (as a percentage of RWEA)</t>
        </is>
      </c>
      <c r="B11" s="6" t="n"/>
      <c r="C11" s="6" t="n"/>
      <c r="D11" s="6" t="n"/>
      <c r="E11" s="6" t="n"/>
      <c r="F11" s="6" t="n"/>
      <c r="G11" s="6" t="n"/>
      <c r="H11" s="6" t="n"/>
      <c r="I11" s="6" t="n"/>
    </row>
    <row r="12">
      <c r="A12" s="6" t="inlineStr">
        <is>
          <t>5    Common Equity Tier 1 ratio</t>
        </is>
      </c>
      <c r="B12" s="6" t="n"/>
      <c r="C12" s="6" t="n"/>
      <c r="D12" s="6" t="inlineStr">
        <is>
          <t>24.5%</t>
        </is>
      </c>
      <c r="E12" s="6" t="inlineStr">
        <is>
          <t>25.2%</t>
        </is>
      </c>
      <c r="F12" s="6" t="n"/>
      <c r="G12" s="6" t="n"/>
      <c r="H12" s="6" t="n"/>
      <c r="I12" s="6" t="n"/>
    </row>
    <row r="13">
      <c r="A13" s="6" t="inlineStr">
        <is>
          <t>6    Tier 1 ratio</t>
        </is>
      </c>
      <c r="B13" s="6" t="n"/>
      <c r="C13" s="6" t="n"/>
      <c r="D13" s="6" t="inlineStr">
        <is>
          <t>24.5%</t>
        </is>
      </c>
      <c r="E13" s="6" t="inlineStr">
        <is>
          <t>25.2%</t>
        </is>
      </c>
      <c r="F13" s="6" t="n"/>
      <c r="G13" s="6" t="n"/>
      <c r="H13" s="6" t="n"/>
      <c r="I13" s="6" t="n"/>
    </row>
    <row r="14">
      <c r="A14" s="6" t="inlineStr">
        <is>
          <t>7    Total capital ratio</t>
        </is>
      </c>
      <c r="B14" s="6" t="n"/>
      <c r="C14" s="6" t="n"/>
      <c r="D14" s="6" t="inlineStr">
        <is>
          <t>24.5%</t>
        </is>
      </c>
      <c r="E14" s="6" t="inlineStr">
        <is>
          <t>25.2%</t>
        </is>
      </c>
      <c r="F14" s="6" t="n"/>
      <c r="G14" s="6" t="n"/>
      <c r="H14" s="6" t="n"/>
      <c r="I14" s="6" t="n"/>
    </row>
    <row r="15">
      <c r="A15" s="5" t="inlineStr">
        <is>
          <t>Combined buffer requirement (as a percentage of RWEA)</t>
        </is>
      </c>
      <c r="B15" s="6" t="n"/>
      <c r="C15" s="6" t="n"/>
      <c r="D15" s="6" t="n"/>
      <c r="E15" s="6" t="n"/>
      <c r="F15" s="6" t="n"/>
      <c r="G15" s="6" t="n"/>
      <c r="H15" s="6" t="n"/>
      <c r="I15" s="6" t="n"/>
    </row>
    <row r="16">
      <c r="A16" s="6" t="inlineStr">
        <is>
          <t>8    Capital conservation buffer</t>
        </is>
      </c>
      <c r="B16" s="6" t="n"/>
      <c r="C16" s="6" t="n"/>
      <c r="D16" s="6" t="inlineStr">
        <is>
          <t>2.5%</t>
        </is>
      </c>
      <c r="E16" s="6" t="inlineStr">
        <is>
          <t>2.5%</t>
        </is>
      </c>
      <c r="F16" s="6" t="n"/>
      <c r="G16" s="6" t="n"/>
      <c r="H16" s="6" t="n"/>
      <c r="I16" s="6" t="n"/>
    </row>
    <row r="17">
      <c r="A17" s="6" t="inlineStr">
        <is>
          <t>9    Institution specific countercyclical capital buffer</t>
        </is>
      </c>
      <c r="B17" s="6" t="n"/>
      <c r="C17" s="6" t="n"/>
      <c r="D17" s="6" t="inlineStr">
        <is>
          <t>2.0%</t>
        </is>
      </c>
      <c r="E17" s="6" t="inlineStr">
        <is>
          <t>0.0%</t>
        </is>
      </c>
      <c r="F17" s="6" t="n"/>
      <c r="G17" s="6" t="n"/>
      <c r="H17" s="6" t="n"/>
      <c r="I17" s="6" t="n"/>
    </row>
    <row r="18">
      <c r="A18" s="6" t="inlineStr">
        <is>
          <t>11    Combined buffer requirement</t>
        </is>
      </c>
      <c r="B18" s="6" t="n"/>
      <c r="C18" s="6" t="n"/>
      <c r="D18" s="6" t="inlineStr">
        <is>
          <t>4.5%</t>
        </is>
      </c>
      <c r="E18" s="6" t="inlineStr">
        <is>
          <t>2.5%</t>
        </is>
      </c>
      <c r="F18" s="6" t="n"/>
      <c r="G18" s="6" t="n"/>
      <c r="H18" s="6" t="n"/>
      <c r="I18" s="6" t="n"/>
    </row>
    <row r="19">
      <c r="A19" s="6" t="inlineStr">
        <is>
          <t>UK11a    Overall capital requirements</t>
        </is>
      </c>
      <c r="B19" s="6" t="n"/>
      <c r="C19" s="6" t="n"/>
      <c r="D19" s="6" t="inlineStr">
        <is>
          <t>16.0%</t>
        </is>
      </c>
      <c r="E19" s="6" t="inlineStr">
        <is>
          <t>15.9%</t>
        </is>
      </c>
      <c r="F19" s="6" t="n"/>
      <c r="G19" s="6" t="n"/>
      <c r="H19" s="6" t="n"/>
      <c r="I19" s="6" t="n"/>
    </row>
    <row r="20">
      <c r="A20" s="6" t="inlineStr">
        <is>
          <t>12    CET1 available after meeting the total SREP own funds requirements</t>
        </is>
      </c>
      <c r="B20" s="6" t="n"/>
      <c r="C20" s="6" t="n"/>
      <c r="D20" s="6" t="inlineStr">
        <is>
          <t>13.0%</t>
        </is>
      </c>
      <c r="E20" s="6" t="inlineStr">
        <is>
          <t>9.3%</t>
        </is>
      </c>
      <c r="F20" s="6" t="n"/>
      <c r="G20" s="6" t="n"/>
      <c r="H20" s="6" t="n"/>
      <c r="I20" s="6" t="n"/>
    </row>
    <row r="21">
      <c r="A21" s="5" t="inlineStr">
        <is>
          <t>Leverage Ratio</t>
        </is>
      </c>
      <c r="B21" s="6" t="n"/>
      <c r="C21" s="6" t="n"/>
      <c r="D21" s="6" t="n"/>
      <c r="E21" s="6" t="n"/>
      <c r="F21" s="6" t="n"/>
      <c r="G21" s="6" t="n"/>
      <c r="H21" s="6" t="n"/>
      <c r="I21" s="6" t="n"/>
    </row>
    <row r="22">
      <c r="A22" s="6" t="inlineStr">
        <is>
          <t>13    Total leverage Ratio exposure measure (£m)</t>
        </is>
      </c>
      <c r="B22" s="6" t="n"/>
      <c r="C22" s="6" t="n"/>
      <c r="D22" s="6" t="n">
        <v>1649.9</v>
      </c>
      <c r="E22" s="6" t="n">
        <v>1624</v>
      </c>
      <c r="F22" s="6" t="n"/>
      <c r="G22" s="6" t="n"/>
      <c r="H22" s="6" t="n"/>
      <c r="I22" s="6" t="n"/>
    </row>
    <row r="23">
      <c r="A23" s="6" t="inlineStr">
        <is>
          <t>14    Leverage Ratio</t>
        </is>
      </c>
      <c r="B23" s="6" t="n"/>
      <c r="C23" s="6" t="n"/>
      <c r="D23" s="6" t="inlineStr">
        <is>
          <t>10.5%</t>
        </is>
      </c>
      <c r="E23" s="6" t="inlineStr">
        <is>
          <t>10.9%</t>
        </is>
      </c>
      <c r="F23" s="6" t="n"/>
      <c r="G23" s="6" t="n"/>
      <c r="H23" s="6" t="n"/>
      <c r="I23" s="6" t="n"/>
    </row>
    <row r="24">
      <c r="A24" s="5" t="inlineStr">
        <is>
          <t>Liquidity Coverage Ratio*</t>
        </is>
      </c>
      <c r="B24" s="6" t="n"/>
      <c r="C24" s="6" t="n"/>
      <c r="D24" s="6" t="n"/>
      <c r="E24" s="6" t="n"/>
      <c r="F24" s="6" t="n"/>
      <c r="G24" s="6" t="n"/>
      <c r="H24" s="6" t="n"/>
      <c r="I24" s="6" t="n"/>
    </row>
    <row r="25">
      <c r="A25" s="6" t="inlineStr">
        <is>
          <t>15    Total HQLA after haircuts (£m)</t>
        </is>
      </c>
      <c r="B25" s="6" t="n"/>
      <c r="C25" s="6" t="n"/>
      <c r="D25" s="6" t="n">
        <v>230.4</v>
      </c>
      <c r="E25" s="6" t="n">
        <v>334</v>
      </c>
      <c r="F25" s="6" t="n"/>
      <c r="G25" s="6" t="n"/>
      <c r="H25" s="6" t="n"/>
      <c r="I25" s="6" t="n"/>
    </row>
    <row r="26">
      <c r="A26" s="6" t="inlineStr">
        <is>
          <t>UK16a    Cash outflows - Total weighted value (£m)</t>
        </is>
      </c>
      <c r="B26" s="6" t="n"/>
      <c r="C26" s="6" t="n"/>
      <c r="D26" s="6" t="n">
        <v>141</v>
      </c>
      <c r="E26" s="6" t="n">
        <v>137</v>
      </c>
      <c r="F26" s="6" t="n"/>
      <c r="G26" s="6" t="n"/>
      <c r="H26" s="6" t="n"/>
      <c r="I26" s="6" t="n"/>
    </row>
    <row r="27">
      <c r="A27" s="6" t="inlineStr">
        <is>
          <t>UK16b    Cash inflows - Total weighted value (£m)</t>
        </is>
      </c>
      <c r="B27" s="6" t="n"/>
      <c r="C27" s="6" t="n"/>
      <c r="D27" s="6" t="n">
        <v>10.7</v>
      </c>
      <c r="E27" s="6" t="n">
        <v>4</v>
      </c>
      <c r="F27" s="6" t="n"/>
      <c r="G27" s="6" t="n"/>
      <c r="H27" s="6" t="n"/>
      <c r="I27" s="6" t="n"/>
    </row>
    <row r="28">
      <c r="A28" s="6" t="inlineStr">
        <is>
          <t>16    Total net cash outflows (adjusted value) (£m)</t>
        </is>
      </c>
      <c r="B28" s="6" t="n"/>
      <c r="C28" s="6" t="n"/>
      <c r="D28" s="6" t="n">
        <v>130.2</v>
      </c>
      <c r="E28" s="6" t="n">
        <v>133</v>
      </c>
      <c r="F28" s="6" t="n"/>
      <c r="G28" s="6" t="n"/>
      <c r="H28" s="6" t="n"/>
      <c r="I28" s="6" t="n"/>
    </row>
    <row r="29">
      <c r="A29" s="6" t="inlineStr">
        <is>
          <t>17    Liquidity coverage ratio (%)</t>
        </is>
      </c>
      <c r="B29" s="6" t="n"/>
      <c r="C29" s="6" t="n"/>
      <c r="D29" s="6" t="inlineStr">
        <is>
          <t>176.9%</t>
        </is>
      </c>
      <c r="E29" s="6" t="inlineStr">
        <is>
          <t>252%</t>
        </is>
      </c>
      <c r="F29" s="6" t="n"/>
      <c r="G29" s="6" t="n"/>
      <c r="H29" s="6" t="n"/>
      <c r="I29" s="6" t="n"/>
    </row>
    <row r="30">
      <c r="A30" s="5" t="inlineStr">
        <is>
          <t>Net Stable Funding Ratio</t>
        </is>
      </c>
      <c r="B30" s="6" t="n"/>
      <c r="C30" s="6" t="n"/>
      <c r="D30" s="6" t="n"/>
      <c r="E30" s="6" t="n"/>
      <c r="F30" s="6" t="n"/>
      <c r="G30" s="6" t="n"/>
      <c r="H30" s="6" t="n"/>
      <c r="I30" s="6" t="n"/>
    </row>
    <row r="31">
      <c r="A31" s="6" t="inlineStr">
        <is>
          <t>18    Total available stable funding</t>
        </is>
      </c>
      <c r="B31" s="6" t="n"/>
      <c r="C31" s="6" t="n"/>
      <c r="D31" s="6" t="n">
        <v>1721.9</v>
      </c>
      <c r="E31" s="6" t="n">
        <v>1549</v>
      </c>
      <c r="F31" s="6" t="n"/>
      <c r="G31" s="6" t="n"/>
      <c r="H31" s="6" t="n"/>
      <c r="I31" s="6" t="n"/>
    </row>
    <row r="32">
      <c r="A32" s="6" t="inlineStr">
        <is>
          <t>19    Total required stable funding</t>
        </is>
      </c>
      <c r="B32" s="6" t="n"/>
      <c r="C32" s="6" t="n"/>
      <c r="D32" s="6" t="n">
        <v>1144.2</v>
      </c>
      <c r="E32" s="6" t="n">
        <v>1085</v>
      </c>
      <c r="F32" s="6" t="n"/>
      <c r="G32" s="6" t="n"/>
      <c r="H32" s="6" t="n"/>
      <c r="I32" s="6" t="n"/>
    </row>
    <row r="33">
      <c r="A33" s="6" t="inlineStr">
        <is>
          <t>20    NSFR ratio (%)</t>
        </is>
      </c>
      <c r="B33" s="6" t="n"/>
      <c r="C33" s="6" t="n"/>
      <c r="D33" s="6" t="inlineStr">
        <is>
          <t>150.5%</t>
        </is>
      </c>
      <c r="E33" s="6" t="inlineStr">
        <is>
          <t>143%</t>
        </is>
      </c>
      <c r="F33" s="6" t="n"/>
      <c r="G33" s="6" t="n"/>
      <c r="H33" s="6" t="n"/>
      <c r="I33" s="6" t="n"/>
    </row>
    <row r="34">
      <c r="A34" s="5" t="inlineStr">
        <is>
          <t>Basel III (BCBS) KM1 - "Key metrics" (FY2018 to FY2021 editions; Hodge prints no row numbers in these, and none have been added)</t>
        </is>
      </c>
      <c r="B34" s="6" t="n"/>
      <c r="C34" s="6" t="n"/>
      <c r="D34" s="6" t="n"/>
      <c r="E34" s="6" t="n"/>
      <c r="F34" s="6" t="n"/>
      <c r="G34" s="6" t="n"/>
      <c r="H34" s="6" t="n"/>
      <c r="I34" s="6" t="n"/>
    </row>
    <row r="35">
      <c r="A35" s="5" t="inlineStr">
        <is>
          <t>Available capital (amounts)</t>
        </is>
      </c>
      <c r="B35" s="6" t="n"/>
      <c r="C35" s="6" t="n"/>
      <c r="D35" s="6" t="n"/>
      <c r="E35" s="6" t="n"/>
      <c r="F35" s="6" t="n"/>
      <c r="G35" s="6" t="n"/>
      <c r="H35" s="6" t="n"/>
      <c r="I35" s="6" t="n"/>
    </row>
    <row r="36">
      <c r="A36" s="6" t="inlineStr">
        <is>
          <t>Common Equity Tier 1 (CET1) (£m)</t>
        </is>
      </c>
      <c r="B36" s="6" t="n"/>
      <c r="C36" s="6" t="n"/>
      <c r="D36" s="6" t="n"/>
      <c r="E36" s="6" t="n"/>
      <c r="F36" s="6" t="n">
        <v>143.8</v>
      </c>
      <c r="G36" s="6" t="n">
        <v>136.4</v>
      </c>
      <c r="H36" s="6" t="n">
        <v>156.6</v>
      </c>
      <c r="I36" s="6" t="n">
        <v>168</v>
      </c>
    </row>
    <row r="37">
      <c r="A37" s="6" t="inlineStr">
        <is>
          <t>Tier 1 (£m)</t>
        </is>
      </c>
      <c r="B37" s="6" t="n"/>
      <c r="C37" s="6" t="n"/>
      <c r="D37" s="6" t="n"/>
      <c r="E37" s="6" t="n"/>
      <c r="F37" s="6" t="n">
        <v>143.8</v>
      </c>
      <c r="G37" s="6" t="n">
        <v>136.4</v>
      </c>
      <c r="H37" s="6" t="n">
        <v>156.6</v>
      </c>
      <c r="I37" s="6" t="n">
        <v>168</v>
      </c>
    </row>
    <row r="38">
      <c r="A38" s="6" t="inlineStr">
        <is>
          <t>Tier 2 (£m)    [printed "-" in every one of the four editions - left blank, not zeroed]</t>
        </is>
      </c>
      <c r="B38" s="6" t="n"/>
      <c r="C38" s="6" t="n"/>
      <c r="D38" s="6" t="n"/>
      <c r="E38" s="6" t="n"/>
      <c r="F38" s="6" t="n"/>
      <c r="G38" s="6" t="n"/>
      <c r="H38" s="6" t="n"/>
      <c r="I38" s="6" t="n"/>
    </row>
    <row r="39">
      <c r="A39" s="6" t="inlineStr">
        <is>
          <t>Total capital (£m)</t>
        </is>
      </c>
      <c r="B39" s="6" t="n"/>
      <c r="C39" s="6" t="n"/>
      <c r="D39" s="6" t="n"/>
      <c r="E39" s="6" t="n"/>
      <c r="F39" s="6" t="n">
        <v>143.8</v>
      </c>
      <c r="G39" s="6" t="n">
        <v>136.4</v>
      </c>
      <c r="H39" s="6" t="n">
        <v>156.6</v>
      </c>
      <c r="I39" s="6" t="n">
        <v>168</v>
      </c>
    </row>
    <row r="40">
      <c r="A40" s="5" t="inlineStr">
        <is>
          <t>Risk weighted assets (amounts)</t>
        </is>
      </c>
      <c r="B40" s="6" t="n"/>
      <c r="C40" s="6" t="n"/>
      <c r="D40" s="6" t="n"/>
      <c r="E40" s="6" t="n"/>
      <c r="F40" s="6" t="n"/>
      <c r="G40" s="6" t="n"/>
      <c r="H40" s="6" t="n"/>
      <c r="I40" s="6" t="n"/>
    </row>
    <row r="41">
      <c r="A41" s="6" t="inlineStr">
        <is>
          <t>Total risk-weighted assets (RWA) (£m)</t>
        </is>
      </c>
      <c r="B41" s="6" t="n"/>
      <c r="C41" s="6" t="n"/>
      <c r="D41" s="6" t="n"/>
      <c r="E41" s="6" t="n"/>
      <c r="F41" s="6" t="n">
        <v>711</v>
      </c>
      <c r="G41" s="6" t="n">
        <v>693.8</v>
      </c>
      <c r="H41" s="6" t="n">
        <v>681.9</v>
      </c>
      <c r="I41" s="6" t="n">
        <v>754.6</v>
      </c>
    </row>
    <row r="42">
      <c r="A42" s="5" t="inlineStr">
        <is>
          <t>Risk-based capital ratios as a percentage of RWA</t>
        </is>
      </c>
      <c r="B42" s="6" t="n"/>
      <c r="C42" s="6" t="n"/>
      <c r="D42" s="6" t="n"/>
      <c r="E42" s="6" t="n"/>
      <c r="F42" s="6" t="n"/>
      <c r="G42" s="6" t="n"/>
      <c r="H42" s="6" t="n"/>
      <c r="I42" s="6" t="n"/>
    </row>
    <row r="43">
      <c r="A43" s="6" t="inlineStr">
        <is>
          <t>Common Equity Tier 1 ratio (%)</t>
        </is>
      </c>
      <c r="B43" s="6" t="n"/>
      <c r="C43" s="6" t="n"/>
      <c r="D43" s="6" t="n"/>
      <c r="E43" s="6" t="n"/>
      <c r="F43" s="6" t="inlineStr">
        <is>
          <t>20.2%</t>
        </is>
      </c>
      <c r="G43" s="6" t="inlineStr">
        <is>
          <t>19.7%</t>
        </is>
      </c>
      <c r="H43" s="6" t="inlineStr">
        <is>
          <t>23.0%</t>
        </is>
      </c>
      <c r="I43" s="6" t="inlineStr">
        <is>
          <t>22.3%</t>
        </is>
      </c>
    </row>
    <row r="44">
      <c r="A44" s="6" t="inlineStr">
        <is>
          <t>Tier 1 ratio (%)</t>
        </is>
      </c>
      <c r="B44" s="6" t="n"/>
      <c r="C44" s="6" t="n"/>
      <c r="D44" s="6" t="n"/>
      <c r="E44" s="6" t="n"/>
      <c r="F44" s="6" t="inlineStr">
        <is>
          <t>20.2%</t>
        </is>
      </c>
      <c r="G44" s="6" t="inlineStr">
        <is>
          <t>19.7%</t>
        </is>
      </c>
      <c r="H44" s="6" t="inlineStr">
        <is>
          <t>23.0%</t>
        </is>
      </c>
      <c r="I44" s="6" t="inlineStr">
        <is>
          <t>22.3%</t>
        </is>
      </c>
    </row>
    <row r="45">
      <c r="A45" s="6" t="inlineStr">
        <is>
          <t>Total capital ratio (%)</t>
        </is>
      </c>
      <c r="B45" s="6" t="n"/>
      <c r="C45" s="6" t="n"/>
      <c r="D45" s="6" t="n"/>
      <c r="E45" s="6" t="n"/>
      <c r="F45" s="6" t="inlineStr">
        <is>
          <t>20.2%</t>
        </is>
      </c>
      <c r="G45" s="6" t="inlineStr">
        <is>
          <t>19.7%</t>
        </is>
      </c>
      <c r="H45" s="6" t="inlineStr">
        <is>
          <t>23.0%</t>
        </is>
      </c>
      <c r="I45" s="6" t="inlineStr">
        <is>
          <t>22.3%</t>
        </is>
      </c>
    </row>
    <row r="46">
      <c r="A46" s="5" t="inlineStr">
        <is>
          <t>Additional CET1 buffer requirements as a percentage of RWA</t>
        </is>
      </c>
      <c r="B46" s="6" t="n"/>
      <c r="C46" s="6" t="n"/>
      <c r="D46" s="6" t="n"/>
      <c r="E46" s="6" t="n"/>
      <c r="F46" s="6" t="n"/>
      <c r="G46" s="6" t="n"/>
      <c r="H46" s="6" t="n"/>
      <c r="I46" s="6" t="n"/>
    </row>
    <row r="47">
      <c r="A47" s="6" t="inlineStr">
        <is>
          <t>Capital conservation buffer requirement (%)</t>
        </is>
      </c>
      <c r="B47" s="6" t="n"/>
      <c r="C47" s="6" t="n"/>
      <c r="D47" s="6" t="n"/>
      <c r="E47" s="6" t="n"/>
      <c r="F47" s="6" t="inlineStr">
        <is>
          <t>2.50%</t>
        </is>
      </c>
      <c r="G47" s="6" t="inlineStr">
        <is>
          <t>2.50%</t>
        </is>
      </c>
      <c r="H47" s="6" t="inlineStr">
        <is>
          <t>2.50%</t>
        </is>
      </c>
      <c r="I47" s="6" t="inlineStr">
        <is>
          <t>1.88%</t>
        </is>
      </c>
    </row>
    <row r="48">
      <c r="A48" s="6" t="inlineStr">
        <is>
          <t>Countercyclical buffer requirement (%)</t>
        </is>
      </c>
      <c r="B48" s="6" t="n"/>
      <c r="C48" s="6" t="n"/>
      <c r="D48" s="6" t="n"/>
      <c r="E48" s="6" t="n"/>
      <c r="F48" s="6" t="inlineStr">
        <is>
          <t>0.00%</t>
        </is>
      </c>
      <c r="G48" s="6" t="inlineStr">
        <is>
          <t>0.00%</t>
        </is>
      </c>
      <c r="H48" s="6" t="inlineStr">
        <is>
          <t>1.00%</t>
        </is>
      </c>
      <c r="I48" s="6" t="inlineStr">
        <is>
          <t>0.50%</t>
        </is>
      </c>
    </row>
    <row r="49">
      <c r="A49" s="6" t="inlineStr">
        <is>
          <t>Total of bank CET1 specific buffer requirements (%)</t>
        </is>
      </c>
      <c r="B49" s="6" t="n"/>
      <c r="C49" s="6" t="n"/>
      <c r="D49" s="6" t="n"/>
      <c r="E49" s="6" t="n"/>
      <c r="F49" s="6" t="inlineStr">
        <is>
          <t>2.50%</t>
        </is>
      </c>
      <c r="G49" s="6" t="inlineStr">
        <is>
          <t>2.50%</t>
        </is>
      </c>
      <c r="H49" s="6" t="inlineStr">
        <is>
          <t>3.50%</t>
        </is>
      </c>
      <c r="I49" s="6" t="inlineStr">
        <is>
          <t>2.38%</t>
        </is>
      </c>
    </row>
    <row r="50">
      <c r="A50" s="5" t="inlineStr">
        <is>
          <t>Basel III leverage ratio (INCLUDING claims on central banks - the pre-1-January-2022 measure)</t>
        </is>
      </c>
      <c r="B50" s="6" t="n"/>
      <c r="C50" s="6" t="n"/>
      <c r="D50" s="6" t="n"/>
      <c r="E50" s="6" t="n"/>
      <c r="F50" s="6" t="n"/>
      <c r="G50" s="6" t="n"/>
      <c r="H50" s="6" t="n"/>
      <c r="I50" s="6" t="n"/>
    </row>
    <row r="51">
      <c r="A51" s="6" t="inlineStr">
        <is>
          <t>Total Basel III leverage ratio exposure measure (£m)</t>
        </is>
      </c>
      <c r="B51" s="6" t="n"/>
      <c r="C51" s="6" t="n"/>
      <c r="D51" s="6" t="n"/>
      <c r="E51" s="6" t="n"/>
      <c r="F51" s="6" t="n">
        <v>1732.2</v>
      </c>
      <c r="G51" s="6" t="n">
        <v>1423.5</v>
      </c>
      <c r="H51" s="6" t="n">
        <v>1393.2</v>
      </c>
      <c r="I51" s="6" t="n">
        <v>1412.2</v>
      </c>
    </row>
    <row r="52">
      <c r="A52" s="6" t="inlineStr">
        <is>
          <t>Basel III leverage ratio (%)</t>
        </is>
      </c>
      <c r="B52" s="6" t="n"/>
      <c r="C52" s="6" t="n"/>
      <c r="D52" s="6" t="n"/>
      <c r="E52" s="6" t="n"/>
      <c r="F52" s="6" t="inlineStr">
        <is>
          <t>8.3%</t>
        </is>
      </c>
      <c r="G52" s="6" t="inlineStr">
        <is>
          <t>9.6%</t>
        </is>
      </c>
      <c r="H52" s="6" t="inlineStr">
        <is>
          <t>11.2%</t>
        </is>
      </c>
      <c r="I52" s="6" t="inlineStr">
        <is>
          <t>11.9%</t>
        </is>
      </c>
    </row>
    <row r="53">
      <c r="A53" s="5" t="inlineStr">
        <is>
          <t>Liquidity Coverage Ratio</t>
        </is>
      </c>
      <c r="B53" s="6" t="n"/>
      <c r="C53" s="6" t="n"/>
      <c r="D53" s="6" t="n"/>
      <c r="E53" s="6" t="n"/>
      <c r="F53" s="6" t="n"/>
      <c r="G53" s="6" t="n"/>
      <c r="H53" s="6" t="n"/>
      <c r="I53" s="6" t="n"/>
    </row>
    <row r="54">
      <c r="A54" s="6" t="inlineStr">
        <is>
          <t>Total HQLA after haircuts (£m)    [FY2018 edition prints "Total HQLA (£m)", without "after haircuts"]</t>
        </is>
      </c>
      <c r="B54" s="6" t="n"/>
      <c r="C54" s="6" t="n"/>
      <c r="D54" s="6" t="n"/>
      <c r="E54" s="6" t="n"/>
      <c r="F54" s="6" t="n">
        <v>479.5</v>
      </c>
      <c r="G54" s="6" t="n">
        <v>196.4</v>
      </c>
      <c r="H54" s="6" t="n">
        <v>346.4</v>
      </c>
      <c r="I54" s="6" t="n">
        <v>245.2</v>
      </c>
    </row>
    <row r="55">
      <c r="A55" s="6" t="inlineStr">
        <is>
          <t>Total net cash outflow (£m)</t>
        </is>
      </c>
      <c r="B55" s="6" t="n"/>
      <c r="C55" s="6" t="n"/>
      <c r="D55" s="6" t="n"/>
      <c r="E55" s="6" t="n"/>
      <c r="F55" s="6" t="n">
        <v>137.1</v>
      </c>
      <c r="G55" s="6" t="n">
        <v>72</v>
      </c>
      <c r="H55" s="6" t="n">
        <v>67</v>
      </c>
      <c r="I55" s="6" t="n">
        <v>103.5</v>
      </c>
    </row>
    <row r="56">
      <c r="A56" s="6" t="inlineStr">
        <is>
          <t>LCR ratio (%)    [FY2021 edition prints the row as "LCR (%)"]</t>
        </is>
      </c>
      <c r="B56" s="6" t="n"/>
      <c r="C56" s="6" t="n"/>
      <c r="D56" s="6" t="n"/>
      <c r="E56" s="6" t="n"/>
      <c r="F56" s="6" t="inlineStr">
        <is>
          <t>349.6%</t>
        </is>
      </c>
      <c r="G56" s="6" t="inlineStr">
        <is>
          <t>272.9%</t>
        </is>
      </c>
      <c r="H56" s="6" t="inlineStr">
        <is>
          <t>516.9%</t>
        </is>
      </c>
      <c r="I56" s="6" t="inlineStr">
        <is>
          <t>236.9%</t>
        </is>
      </c>
    </row>
    <row r="57">
      <c r="A57" s="5" t="inlineStr">
        <is>
          <t>Net Stable Funding Ratio    [this whole block is absent from the FY2018 and FY2019 editions]</t>
        </is>
      </c>
      <c r="B57" s="6" t="n"/>
      <c r="C57" s="6" t="n"/>
      <c r="D57" s="6" t="n"/>
      <c r="E57" s="6" t="n"/>
      <c r="F57" s="6" t="n"/>
      <c r="G57" s="6" t="n"/>
      <c r="H57" s="6" t="n"/>
      <c r="I57" s="6" t="n"/>
    </row>
    <row r="58">
      <c r="A58" s="6" t="inlineStr">
        <is>
          <t>Total available stable funding</t>
        </is>
      </c>
      <c r="B58" s="6" t="n"/>
      <c r="C58" s="6" t="n"/>
      <c r="D58" s="6" t="n"/>
      <c r="E58" s="6" t="n"/>
      <c r="F58" s="6" t="n">
        <v>1551</v>
      </c>
      <c r="G58" s="6" t="n">
        <v>1226.2</v>
      </c>
      <c r="H58" s="6" t="n"/>
      <c r="I58" s="6" t="n"/>
    </row>
    <row r="59">
      <c r="A59" s="6" t="inlineStr">
        <is>
          <t>Total required stable funding</t>
        </is>
      </c>
      <c r="B59" s="6" t="n"/>
      <c r="C59" s="6" t="n"/>
      <c r="D59" s="6" t="n"/>
      <c r="E59" s="6" t="n"/>
      <c r="F59" s="6" t="n">
        <v>922.7</v>
      </c>
      <c r="G59" s="6" t="n">
        <v>793.3</v>
      </c>
      <c r="H59" s="6" t="n"/>
      <c r="I59" s="6" t="n"/>
    </row>
    <row r="60">
      <c r="A60" s="6" t="inlineStr">
        <is>
          <t>NSFR</t>
        </is>
      </c>
      <c r="B60" s="6" t="n"/>
      <c r="C60" s="6" t="n"/>
      <c r="D60" s="6" t="n"/>
      <c r="E60" s="6" t="n"/>
      <c r="F60" s="6" t="inlineStr">
        <is>
          <t>168.1%</t>
        </is>
      </c>
      <c r="G60" s="6" t="inlineStr">
        <is>
          <t>154.6%</t>
        </is>
      </c>
      <c r="H60" s="6" t="n"/>
      <c r="I60" s="6" t="n"/>
    </row>
    <row r="62" ht="460" customHeight="1">
      <c r="A62" s="8" t="inlineStr">
        <is>
          <t>Sources - Julian Hodge Bank Limited's own key-metrics table in each year's Pillar 3 Disclosures, from the Bank's own Financial Information page (https://hodgebank.co.uk/hodge/financial-information/). Page numbers below are the PRINTED folio on the page carrying the table:
FY2023: Hodge Bank Pillar 3 Disclosures - Period ended 30 September 2023, "3 Key Regulatory Metrics", printed p.10, column headed 2023, footed "Source: Template UK KM1" - https://hodgebank.co.uk/wp-content/uploads/2024/07/Hodge-pillar-3-11.03.24.pdf
FY2022: Hodge Bank Pillar 3 Disclosures - Period ended 30 September 2022, "3 Key Regulatory Metrics", printed p.13, column headed 2022, footed "Source: Template UK KM1" - https://hodgebank.co.uk/wp-content/uploads/2024/07/Hodge-pillar-3-19.06.23.pdf
FY2021: Hodge Bank Pillar 3 Disclosures - Period ended 30 September 2021, "Key Metrics", printed p.16, column headed 30 September 2021 - https://hodgebank.co.uk/wp-content/uploads/2024/07/Hodge-Pillar-3-Document-2020_2021.pdf
FY2020: Julian Hodge Bank Limited Pillar 3 Disclosures - Period ended 30 September 2020, "3. Key Regulatory Metrics", printed p.16, column headed 30 September 2020 - https://hodgebank.co.uk/wp-content/uploads/2024/07/2.-JHB-Pillar-III.pdf
FY2019: Julian Hodge Bank Limited Pillar 3 Disclosures - Period ended 31 October 2019, "4. Key Regulatory Metrics" / "Key metrics", printed p.9, column headed 31 October 2019 - https://hodgebank.co.uk/wp-content/uploads/2024/07/Pillar-3-Disclosure-FY19-FINAL.pdf
FY2018: Julian Hodge Bank Limited Pillar 3 Disclosures - Period ended 31 October 2018, "4. Key Regulatory Metrics" / "Key metrics", printed p.9, column headed 31 October 2018 - https://hodgebank.co.uk/wp-content/uploads/2024/07/jhb-pillar3-2018.pdf
KM1 presentation notes:
• ENTITY: Julian Hodge Bank Limited (trading as Hodge Bank), solo. Every edition's table is headed "for JHB" or "for the Bank"; no group or consolidated column is printed anywhere, so there is no basis ambiguity to resolve.
• TWO TEMPLATE GENERATIONS, SHOWN AS TWO BLOCKS AND NEVER MERGED. The FY2022 and FY2023 editions print the numbered UK KM1 and foot it "Source: Template UK KM1". The FY2018-FY2021 editions print the BCBS Basel III KM1 instead: unnumbered, with a "Tier 2 (£m)" row the UK template does not contain, "Total of bank CET1 specific buffer requirements" in place of "Combined buffer requirement", no UK11a / row 12 / UK16a / UK16b rows, and leverage rows on the old INCLUDING-claims-on-central-banks measure. Running the two down one set of rows would assert a continuity Hodge never published, so they are kept apart - the same treatment the map requires for the 1 January 2022 leverage basis break, which is in fact exactly what separates them.
• EACH YEAR FROM ITS OWN EDITION. Two visible consequences: (1) FY2021 CET1/Tier 1/Total capital are 143.8 here, from the FY2021 edition, where the FY2022 edition's comparative column rounds them to 144 and its RWA comparative to 711 (from 711.0); (2) FY2021's leverage exposure and ratio are 1,732.2 and 8.3% here, on its own edition's including-central-banks basis, where the FY2022 edition restates the same comparative to 1,320 and 10.9% on the excluding basis. Both restatements are real and neither is applied.
• DIVERGENCE FROM THE NSFR METRIC SHEET, DELIBERATE AND EXPLAINED: that sheet carries an FY2019 NSFR of 217.6%, which this sheet leaves blank. 217.6% is the FY2020 edition's 31 October 2019 COMPARATIVE column; the FY2019 edition itself prints no Net Stable Funding Ratio block at all (its table ends after the LCR rows), and neither does the FY2018 edition. A reproduction of the FY2019 table therefore cannot carry an NSFR row, so the FY2019 and FY2018 NSFR cells are blank here rather than back-filled from the following edition.
• A DASH IS NOT A ZERO: the "Tier 2 (£m)" row is printed "-" in all four Basel III-era editions and is left BLANK here. The FY2018 edition prints its FY2017 countercyclical buffer comparative as "-%", the same glyph - that column is not on this sheet in any case, since the FY2017 edition prints no key-metrics table.
• PRECISION AND LABEL DRIFT, REPRODUCED: the FY2022 edition prints amounts as whole £m (177, 705, 1,624) where FY2023 prints one decimal (172.9, 704.7, 1,649.9); FY2022 prints buffers as "2.5%" where the Basel III-era editions print "2.50%"; FY2022's row 4 is captioned "Total risk-weighted exposures amounts" and FY2023's "Total RWEA" (FY2023's wording labels the row); FY2022's row 9 is "Institution specific countercyclical buffer" and FY2023's adds "capital" (FY2023's wording labels the row). The FY2020 edition lower-cases "Basel III leverage ratio" where FY2021 capitalises it.
• ROW 3 IS UNNUMBERED IN THE SOURCE: both UK KM1 editions print "Total capital" with no row number in the number column, while numbering 1, 2 and 4 normally. Reproduced as printed rather than silently corrected to "3". Neither edition prints rows UK 7a-7d, UK 8a, UK 9a, 10 or UK 10a at all.
• LCR BASIS FOOTNOTE, HODGE'S OWN: both UK KM1 editions foot the table "*=year end value for LCR related metrics whereas detailed analysis at LIQ1 reports average values as defined in the table", so rows 15-17 are point-in-time, not the 12-month average most filers print. The asterisk is kept on the section heading.
• FY2024 AND FY2025 ARE BLANK FOR DIFFERENT REASONS. FY2024 is an ordinary gap: no Pillar 3 document was published for the year ended 30 September 2024, and its capital figures on the metric sheets come from Note 32 of the FY2024 Annual Report, which is a statutory source and is deliberately NOT back-filled into this template. FY2025 is NOT APPLICABLE rather than missing: the Bank's SDDT modification (PRA Disclosure Rule 3.1, effective 18 February 2025) removed its Pillar 3 duty before the 30 September 2025 year-end, so no FY2025 KM1 will ever exist. FY2017 and earlier are blank because no edition before FY2018 prints a key-metrics table of any kind; FY2017's figures survive only as the FY2018 edition's comparative column and are not transcribed here.
• LATEST-EDITION CHECK, 2026-09-16: Hodge's own Financial Information page (https://hodgebank.co.uk/hodge/financial-information/) was fetched directly and read in full. Newest Pillar 3 listed = "Pillar 3 Disclosure 2023" (the FY2023 document already cited here); newest Annual Report listed = "Annual Report and Financial Statements, 30 September 2025" (Hodge-AR-28.01.26.pdf), which this workbook already carries as its FY2025 source. The page lists an unbroken Pillar 3 series 2010-2023 and simply stops - consistent with the SDDT modification above. None newer.</t>
        </is>
      </c>
    </row>
  </sheetData>
  <mergeCells count="1">
    <mergeCell ref="A62:I6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Julian Hodge 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row>
    <row r="4">
      <c r="A4" s="6" t="inlineStr">
        <is>
          <t>Common Equity Tier 1 (CET1) capital</t>
        </is>
      </c>
      <c r="B4" s="6" t="n">
        <v>162.8</v>
      </c>
      <c r="C4" s="6" t="n">
        <v>166.2</v>
      </c>
      <c r="D4" s="6" t="n">
        <v>172.9</v>
      </c>
      <c r="E4" s="6" t="n">
        <v>177</v>
      </c>
      <c r="F4" s="6" t="n">
        <v>143.8</v>
      </c>
      <c r="G4" s="6" t="n">
        <v>136.4</v>
      </c>
      <c r="H4" s="6" t="n">
        <v>156.6</v>
      </c>
      <c r="I4" s="6" t="n">
        <v>168</v>
      </c>
      <c r="J4" s="6" t="n">
        <v>149.3</v>
      </c>
      <c r="K4" s="6" t="n">
        <v>129.1</v>
      </c>
      <c r="L4" s="6" t="n"/>
      <c r="M4" s="6" t="n"/>
      <c r="N4" s="6" t="n"/>
      <c r="O4" s="6" t="n"/>
      <c r="P4" s="6" t="n"/>
      <c r="Q4" s="6" t="n"/>
    </row>
    <row r="5" ht="60" customHeight="1">
      <c r="A5" s="7" t="inlineStr">
        <is>
          <t>Note: FY2021's own report (P3 2021) shows CET1 = 143.8; the following year's Pillar 3 document (P3 2022) restates the FY2021 comparative to 144 (rounding to whole £m from that document's own precision) - each year's own originally-published figure is used per this project's convention. FY2015-FY2010 not shown: this bank's own Pillar 3 documents for those six years pre-date the CET1 concept (still reporting under Basel II Pillar 1 - 'Tier 1 capital' and 'Total capital resources' only, no CRD IV capital tiers). A Basel II 'Total Tier 1 capital' is not a CET1 figure and is deliberately not placed here. See the Total Capital sheet for those years' Basel II 'Total capital resources' figures instead, and this sheet's sources for the full pre-CRD IV note. The FY2013-FY2010 columns are blank BY DESIGN and well-sourced, not unresearched: all four documents were located live, read in full and are cited.</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 CET1/RWA/ratio figures instead come from each year's own Annual Report 'Capital risk management (unaudited)' note, which does not include Leverage Ratio, LCR, or NSFR. For FY2025 those 3 metrics are NOT APPLICABLE (structurally exempt, see below); for FY2024 they are an ordinary open gap - genuinely not located, not assumed absent.
SDDT EXEMPTION - REASON FOR THE FY2025 CESSATION, established 2026-09-15 (cross-bank SDDT pass). Julian Hodge Bank is a Small Domestic Deposit Taker (SDDT) and is therefore not required to publish Pillar 3 disclosures, so the FY2025 absence is an EVIDENCED STRUCTURAL EXEMPTION and no FY2025 Pillar 3 document will ever appear.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(HTTP 503/504, 'Internet Archive services are temporarily offline') and is therefore recorded as unknown, not as an absence - worth re-running, though the media API is already a complete listing of the WP library. Result: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Q5"/>
    <mergeCell ref="A7:Q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Julian Hodge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row>
    <row r="4">
      <c r="A4" s="6" t="inlineStr">
        <is>
          <t>Common Equity Tier 1 (CET1) ratio</t>
        </is>
      </c>
      <c r="B4" s="6" t="inlineStr">
        <is>
          <t>17.5%</t>
        </is>
      </c>
      <c r="C4" s="6" t="inlineStr">
        <is>
          <t>19.8%</t>
        </is>
      </c>
      <c r="D4" s="6" t="inlineStr">
        <is>
          <t>24.5%</t>
        </is>
      </c>
      <c r="E4" s="6" t="inlineStr">
        <is>
          <t>25.2%</t>
        </is>
      </c>
      <c r="F4" s="6" t="inlineStr">
        <is>
          <t>20.2%</t>
        </is>
      </c>
      <c r="G4" s="6" t="inlineStr">
        <is>
          <t>19.7%</t>
        </is>
      </c>
      <c r="H4" s="6" t="inlineStr">
        <is>
          <t>23.0%</t>
        </is>
      </c>
      <c r="I4" s="6" t="inlineStr">
        <is>
          <t>22.3%</t>
        </is>
      </c>
      <c r="J4" s="6" t="inlineStr">
        <is>
          <t>21.1%</t>
        </is>
      </c>
      <c r="K4" s="6" t="inlineStr">
        <is>
          <t>19.2%</t>
        </is>
      </c>
      <c r="L4" s="6" t="n"/>
      <c r="M4" s="6" t="n"/>
      <c r="N4" s="6" t="n"/>
      <c r="O4" s="6" t="n"/>
      <c r="P4" s="6" t="n"/>
      <c r="Q4" s="6" t="n"/>
    </row>
    <row r="5" ht="60" customHeight="1">
      <c r="A5" s="7" t="inlineStr">
        <is>
          <t>Note: FY2015-FY2010 are blank by design, not unresearched. All six years' Pillar 3 documents were located, read in full and are cited in this sheet's sources. They are Basel II: none defines CET1, none discloses a risk-weighted-asset amount to serve as a denominator, and none prints a capital ratio of any kind. There is therefore no ratio to transcribe, and one is deliberately not derived by grossing the disclosed Pillar 1 capital requirement up by 12.5. See the Total RWAs sheet note and the pre-CRD IV note in this sheet's sources.</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 CET1/RWA/ratio figures instead come from each year's own Annual Report 'Capital risk management (unaudited)' note, which does not include Leverage Ratio, LCR, or NSFR. For FY2025 those 3 metrics are NOT APPLICABLE (structurally exempt, see below); for FY2024 they are an ordinary open gap - genuinely not located, not assumed absent.
SDDT EXEMPTION - REASON FOR THE FY2025 CESSATION, established 2026-09-15 (cross-bank SDDT pass). Julian Hodge Bank is a Small Domestic Deposit Taker (SDDT) and is therefore not required to publish Pillar 3 disclosures, so the FY2025 absence is an EVIDENCED STRUCTURAL EXEMPTION and no FY2025 Pillar 3 document will ever appear.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(HTTP 503/504, 'Internet Archive services are temporarily offline') and is therefore recorded as unknown, not as an absence - worth re-running, though the media API is already a complete listing of the WP library. Result: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Q5"/>
    <mergeCell ref="A7:Q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Julian Hodge Bank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row>
    <row r="4">
      <c r="A4" s="6" t="inlineStr">
        <is>
          <t>Tier 1 capital</t>
        </is>
      </c>
      <c r="B4" s="6" t="n">
        <v>162.8</v>
      </c>
      <c r="C4" s="6" t="n">
        <v>166.2</v>
      </c>
      <c r="D4" s="6" t="n">
        <v>172.9</v>
      </c>
      <c r="E4" s="6" t="n">
        <v>177</v>
      </c>
      <c r="F4" s="6" t="n">
        <v>143.8</v>
      </c>
      <c r="G4" s="6" t="n">
        <v>136.4</v>
      </c>
      <c r="H4" s="6" t="n">
        <v>156.6</v>
      </c>
      <c r="I4" s="6" t="n">
        <v>168</v>
      </c>
      <c r="J4" s="6" t="n">
        <v>149.3</v>
      </c>
      <c r="K4" s="6" t="n">
        <v>129.1</v>
      </c>
      <c r="L4" s="6" t="n"/>
      <c r="M4" s="6" t="n"/>
      <c r="N4" s="6" t="n"/>
      <c r="O4" s="6" t="n"/>
      <c r="P4" s="6" t="n"/>
      <c r="Q4" s="6" t="n"/>
    </row>
    <row r="5" ht="60" customHeight="1">
      <c r="A5" s="7" t="inlineStr">
        <is>
          <t>Note: Tier 1 = CET1 every year (no AT1 instruments in issue - 'Hold all its capital in the form of Common Equity Tier 1 and Tier 2 capital', and Tier 2 = nil every year per the Pillar 3 documents). FY2024/FY2025 not separately labelled 'Tier 1' in the Annual Report's brief capital note but equal to CET1 by the same pattern confirmed directly in FY2021-FY2023. FY2015-FY2010: pre-CRD IV Basel II regime - see CET1 Capital sheet note; for those six years 'Total Tier 1 capital' as reported was GBP118.6m (FY2015), GBP117.1m (FY2014), GBP113.7m (FY2013), GBP111.1m (FY2012), GBP109.7m (FY2011) and GBP108.1m (FY2010), each after that edition's deduction for investments in subsidiaries (GBP16.0m throughout). Each differs from the 'Total capital resources' shown on the Total Capital sheet because every one of those years DID hold a small amount of Tier 2 (general provisions, less a revaluation reserve deduction in FY2013/FY2012/FY2011) - shown here only for completeness, not populated as a data column to avoid conflating Basel II Tier 1 with CRD IV Tier 1. The FY2013-FY2010 figures were added 2026-09-16 (HD-080) on exactly the same prose-only footing the FY2015/FY2014 pair already had, deliberately keeping one consistent treatment across the whole Basel II run rather than promoting the new years to a data column.</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 CET1/RWA/ratio figures instead come from each year's own Annual Report 'Capital risk management (unaudited)' note, which does not include Leverage Ratio, LCR, or NSFR. For FY2025 those 3 metrics are NOT APPLICABLE (structurally exempt, see below); for FY2024 they are an ordinary open gap - genuinely not located, not assumed absent.
SDDT EXEMPTION - REASON FOR THE FY2025 CESSATION, established 2026-09-15 (cross-bank SDDT pass). Julian Hodge Bank is a Small Domestic Deposit Taker (SDDT) and is therefore not required to publish Pillar 3 disclosures, so the FY2025 absence is an EVIDENCED STRUCTURAL EXEMPTION and no FY2025 Pillar 3 document will ever appear.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(HTTP 503/504, 'Internet Archive services are temporarily offline') and is therefore recorded as unknown, not as an absence - worth re-running, though the media API is already a complete listing of the WP library. Result: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Q5"/>
    <mergeCell ref="A7:Q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Julian Hodge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row>
    <row r="4">
      <c r="A4" s="6" t="inlineStr">
        <is>
          <t>Tier 1 ratio</t>
        </is>
      </c>
      <c r="B4" s="6" t="inlineStr">
        <is>
          <t>17.5%</t>
        </is>
      </c>
      <c r="C4" s="6" t="inlineStr">
        <is>
          <t>19.8%</t>
        </is>
      </c>
      <c r="D4" s="6" t="inlineStr">
        <is>
          <t>24.5%</t>
        </is>
      </c>
      <c r="E4" s="6" t="inlineStr">
        <is>
          <t>25.2%</t>
        </is>
      </c>
      <c r="F4" s="6" t="inlineStr">
        <is>
          <t>20.2%</t>
        </is>
      </c>
      <c r="G4" s="6" t="inlineStr">
        <is>
          <t>19.7%</t>
        </is>
      </c>
      <c r="H4" s="6" t="inlineStr">
        <is>
          <t>23.0%</t>
        </is>
      </c>
      <c r="I4" s="6" t="inlineStr">
        <is>
          <t>22.3%</t>
        </is>
      </c>
      <c r="J4" s="6" t="inlineStr">
        <is>
          <t>21.1%</t>
        </is>
      </c>
      <c r="K4" s="6" t="inlineStr">
        <is>
          <t>19.2%</t>
        </is>
      </c>
      <c r="L4" s="6" t="n"/>
      <c r="M4" s="6" t="n"/>
      <c r="N4" s="6" t="n"/>
      <c r="O4" s="6" t="n"/>
      <c r="P4" s="6" t="n"/>
      <c r="Q4" s="6" t="n"/>
    </row>
    <row r="5" ht="60" customHeight="1">
      <c r="A5" s="7" t="inlineStr">
        <is>
          <t>Note: Equal to CET1 ratio every year - see Tier 1 Capital sheet note. FY2015-FY2010 blank by design: no RWA denominator and no capital ratio is published in any of those six Basel II editions, and none is derived - see the CET1 Ratio and Total RWAs sheet notes.</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 CET1/RWA/ratio figures instead come from each year's own Annual Report 'Capital risk management (unaudited)' note, which does not include Leverage Ratio, LCR, or NSFR. For FY2025 those 3 metrics are NOT APPLICABLE (structurally exempt, see below); for FY2024 they are an ordinary open gap - genuinely not located, not assumed absent.
SDDT EXEMPTION - REASON FOR THE FY2025 CESSATION, established 2026-09-15 (cross-bank SDDT pass). Julian Hodge Bank is a Small Domestic Deposit Taker (SDDT) and is therefore not required to publish Pillar 3 disclosures, so the FY2025 absence is an EVIDENCED STRUCTURAL EXEMPTION and no FY2025 Pillar 3 document will ever appear.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(HTTP 503/504, 'Internet Archive services are temporarily offline') and is therefore recorded as unknown, not as an absence - worth re-running, though the media API is already a complete listing of the WP library. Result: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Q5"/>
    <mergeCell ref="A7:Q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Julian Hodge Bank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row>
    <row r="4">
      <c r="A4" s="6" t="inlineStr">
        <is>
          <t>Total capital</t>
        </is>
      </c>
      <c r="B4" s="6" t="n">
        <v>162.8</v>
      </c>
      <c r="C4" s="6" t="n">
        <v>166.2</v>
      </c>
      <c r="D4" s="6" t="n">
        <v>172.9</v>
      </c>
      <c r="E4" s="6" t="n">
        <v>177</v>
      </c>
      <c r="F4" s="6" t="n">
        <v>143.8</v>
      </c>
      <c r="G4" s="6" t="n">
        <v>136.4</v>
      </c>
      <c r="H4" s="6" t="n">
        <v>156.6</v>
      </c>
      <c r="I4" s="6" t="n">
        <v>168</v>
      </c>
      <c r="J4" s="6" t="n">
        <v>149.5</v>
      </c>
      <c r="K4" s="6" t="n">
        <v>129.3</v>
      </c>
      <c r="L4" s="6" t="n">
        <v>122.4</v>
      </c>
      <c r="M4" s="6" t="n">
        <v>118.8</v>
      </c>
      <c r="N4" s="6" t="n">
        <v>114.3</v>
      </c>
      <c r="O4" s="6" t="n">
        <v>114.1</v>
      </c>
      <c r="P4" s="6" t="n">
        <v>114.8</v>
      </c>
      <c r="Q4" s="6" t="n">
        <v>114.7</v>
      </c>
    </row>
    <row r="5" ht="60" customHeight="1">
      <c r="A5" s="7" t="inlineStr">
        <is>
          <t>Note: Equal to CET1/Tier 1 FY2016-FY2025 - the Bank holds no Tier 2 capital in those years. FY2015-FY2010: these figures are Basel II 'Total capital resources' (Tier 1 after the deduction for investments in subsidiaries, plus a small Tier 2 add-back for eligible general provisions, net of a revaluation reserve deduction in FY2013/FY2012/FY2011) - each is a total the source document states directly, none is summed or derived here. They are NOT directly comparable to the CRD IV 'Total capital' figures shown FY2016 onward, though presented on the same row per this project's convention of showing each year's own headline total-capital figure. FY2013-FY2010 added 2026-09-16 (HD-080) from the four newly-located Basel II editions; FY2015/FY2014 were already on this basis before that, so the four new years extend an existing Basel II run rather than introducing a new mixed basis. This is the ONLY metric sheet those four years populate - see the pre-CRD IV note in this sheet's sources for why every other sheet is deliberately blank for them.</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 CET1/RWA/ratio figures instead come from each year's own Annual Report 'Capital risk management (unaudited)' note, which does not include Leverage Ratio, LCR, or NSFR. For FY2025 those 3 metrics are NOT APPLICABLE (structurally exempt, see below); for FY2024 they are an ordinary open gap - genuinely not located, not assumed absent.
SDDT EXEMPTION - REASON FOR THE FY2025 CESSATION, established 2026-09-15 (cross-bank SDDT pass). Julian Hodge Bank is a Small Domestic Deposit Taker (SDDT) and is therefore not required to publish Pillar 3 disclosures, so the FY2025 absence is an EVIDENCED STRUCTURAL EXEMPTION and no FY2025 Pillar 3 document will ever appear.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(HTTP 503/504, 'Internet Archive services are temporarily offline') and is therefore recorded as unknown, not as an absence - worth re-running, though the media API is already a complete listing of the WP library. Result: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Q5"/>
    <mergeCell ref="A7:Q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Julian Hodge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row>
    <row r="4">
      <c r="A4" s="6" t="inlineStr">
        <is>
          <t>Total capital ratio</t>
        </is>
      </c>
      <c r="B4" s="6" t="inlineStr">
        <is>
          <t>17.5%</t>
        </is>
      </c>
      <c r="C4" s="6" t="inlineStr">
        <is>
          <t>19.8%</t>
        </is>
      </c>
      <c r="D4" s="6" t="inlineStr">
        <is>
          <t>24.5%</t>
        </is>
      </c>
      <c r="E4" s="6" t="inlineStr">
        <is>
          <t>25.2%</t>
        </is>
      </c>
      <c r="F4" s="6" t="inlineStr">
        <is>
          <t>20.2%</t>
        </is>
      </c>
      <c r="G4" s="6" t="inlineStr">
        <is>
          <t>19.7%</t>
        </is>
      </c>
      <c r="H4" s="6" t="inlineStr">
        <is>
          <t>23.0%</t>
        </is>
      </c>
      <c r="I4" s="6" t="inlineStr">
        <is>
          <t>22.3%</t>
        </is>
      </c>
      <c r="J4" s="6" t="inlineStr">
        <is>
          <t>21.2%</t>
        </is>
      </c>
      <c r="K4" s="6" t="inlineStr">
        <is>
          <t>19.2%</t>
        </is>
      </c>
      <c r="L4" s="6" t="n"/>
      <c r="M4" s="6" t="n"/>
      <c r="N4" s="6" t="n"/>
      <c r="O4" s="6" t="n"/>
      <c r="P4" s="6" t="n"/>
      <c r="Q4" s="6" t="n"/>
    </row>
    <row r="5" ht="60" customHeight="1">
      <c r="A5" s="7" t="inlineStr">
        <is>
          <t>Note: FY2015-FY2010 blank by design even though the NUMERATOR is known for all six years (the Total Capital sheet carries each year's disclosed 'Total capital resources'). The Basel II editions publish no risk-weighted-asset amount at all, so there is no denominator, and computing one from the Pillar 1 capital requirement would be back-solving a figure no document states. See the CET1 Ratio and Total RWAs sheet notes.</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 CET1/RWA/ratio figures instead come from each year's own Annual Report 'Capital risk management (unaudited)' note, which does not include Leverage Ratio, LCR, or NSFR. For FY2025 those 3 metrics are NOT APPLICABLE (structurally exempt, see below); for FY2024 they are an ordinary open gap - genuinely not located, not assumed absent.
SDDT EXEMPTION - REASON FOR THE FY2025 CESSATION, established 2026-09-15 (cross-bank SDDT pass). Julian Hodge Bank is a Small Domestic Deposit Taker (SDDT) and is therefore not required to publish Pillar 3 disclosures, so the FY2025 absence is an EVIDENCED STRUCTURAL EXEMPTION and no FY2025 Pillar 3 document will ever appear.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(HTTP 503/504, 'Internet Archive services are temporarily offline') and is therefore recorded as unknown, not as an absence - worth re-running, though the media API is already a complete listing of the WP library. Result: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Q5"/>
    <mergeCell ref="A7:Q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Julian Hodge 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row>
    <row r="4">
      <c r="A4" s="6" t="inlineStr">
        <is>
          <t>Total risk-weighted assets / exposure amount</t>
        </is>
      </c>
      <c r="B4" s="6" t="n">
        <v>930.2</v>
      </c>
      <c r="C4" s="6" t="n">
        <v>841.1</v>
      </c>
      <c r="D4" s="6" t="n">
        <v>704.7</v>
      </c>
      <c r="E4" s="6" t="n">
        <v>705</v>
      </c>
      <c r="F4" s="6" t="n">
        <v>711</v>
      </c>
      <c r="G4" s="6" t="n">
        <v>693.8</v>
      </c>
      <c r="H4" s="6" t="n">
        <v>681.9</v>
      </c>
      <c r="I4" s="6" t="n">
        <v>754.6</v>
      </c>
      <c r="J4" s="6" t="n">
        <v>706.3</v>
      </c>
      <c r="K4" s="6" t="n">
        <v>672.8</v>
      </c>
      <c r="L4" s="6" t="n"/>
      <c r="M4" s="6" t="n"/>
      <c r="N4" s="6" t="n"/>
      <c r="O4" s="6" t="n"/>
      <c r="P4" s="6" t="n"/>
      <c r="Q4" s="6" t="n"/>
    </row>
    <row r="5" ht="60" customHeight="1">
      <c r="A5" s="7" t="inlineStr">
        <is>
          <t>Note: FY2021's own report (P3 2021) shows RWA = 711.0; the FY2022 Pillar 3 document's FY2021 comparative restates this to 711 (rounding only, immaterial) - each year's own originally-published figure is used. FY2015-FY2010 not available, and this is the most important gap to understand in the historical columns: those years' Pillar 3 documents pre-date CRD IV Pillar 3 RWA disclosure for this bank. A search for 'risk weighted'/'risk-weighted' returns ZERO hits in the FY2013, FY2012, FY2011 and FY2010 documents - no risk-weighted-asset amount is printed anywhere in any of them, and no capital ratio is either. What each gives instead is a Basel II 'Pillar 1 capital requirement', which is CAPITAL, not RWA: FY2015 GBP42.6m, FY2014 GBP36.3m, FY2013 GBP35.3m (credit risk 34.9 + operational risk 0.4), FY2012 GBP36.8m (36.0 + 0.8), FY2011 GBP38.9m (37.7 + 1.2), FY2010 GBP41.5m (40.2 + 1.3). No RWA is shown for any of these years rather than backing one out by grossing those figures up via an assumed 8% minimum ratio - a multiplication none of the source documents itself states or invites. Note the contrast with the FY2016 entry on the RWA Breakdown sheet, where a x12.5 derivation WAS made and is labelled as derived; that year is CRD IV and its document states the ratio the derivation reproduces, which is what makes it checkable. Nothing equivalent exists pre-FY2014, so nothing is derived there.</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 CET1/RWA/ratio figures instead come from each year's own Annual Report 'Capital risk management (unaudited)' note, which does not include Leverage Ratio, LCR, or NSFR. For FY2025 those 3 metrics are NOT APPLICABLE (structurally exempt, see below); for FY2024 they are an ordinary open gap - genuinely not located, not assumed absent.
SDDT EXEMPTION - REASON FOR THE FY2025 CESSATION, established 2026-09-15 (cross-bank SDDT pass). Julian Hodge Bank is a Small Domestic Deposit Taker (SDDT) and is therefore not required to publish Pillar 3 disclosures, so the FY2025 absence is an EVIDENCED STRUCTURAL EXEMPTION and no FY2025 Pillar 3 document will ever appear.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(HTTP 503/504, 'Internet Archive services are temporarily offline') and is therefore recorded as unknown, not as an absence - worth re-running, though the media API is already a complete listing of the WP library. Result: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Q5"/>
    <mergeCell ref="A7:Q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RWA Breakdown</t>
        </is>
      </c>
    </row>
    <row r="2">
      <c r="A2" s="2" t="inlineStr">
        <is>
          <t>FY2023-FY2017 as disclosed (Pillar 3 "Risk Type Breakdown"/"Overview of RWA" table); FY2016 derived from the disclosed Pillar 1 capital requirement x 12.5 (a coarser 2-category split - see SECTION blocks and source note). FY2025/FY2024/FY2015/FY2014: no category-level RWA breakdown was located - see source note.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Risk type breakdown (as disclosed) - Pillar 3 "Risk Type Breakdown"/"Overview of RWA" table</t>
        </is>
      </c>
      <c r="B4" s="6" t="n"/>
      <c r="C4" s="6" t="n"/>
      <c r="D4" s="6" t="n"/>
      <c r="E4" s="6" t="n"/>
      <c r="F4" s="6" t="n"/>
      <c r="G4" s="6" t="n"/>
      <c r="H4" s="6" t="n"/>
      <c r="I4" s="6" t="n"/>
      <c r="J4" s="6" t="n"/>
      <c r="K4" s="6" t="n"/>
      <c r="L4" s="6" t="n"/>
      <c r="M4" s="6" t="n"/>
    </row>
    <row r="5">
      <c r="A5" s="6" t="inlineStr">
        <is>
          <t>Credit risk (excluding CCR)</t>
        </is>
      </c>
      <c r="B5" s="6" t="n"/>
      <c r="C5" s="6" t="n"/>
      <c r="D5" s="6" t="n">
        <v>629.2</v>
      </c>
      <c r="E5" s="6" t="n">
        <v>644</v>
      </c>
      <c r="F5" s="6" t="n">
        <v>639.9</v>
      </c>
      <c r="G5" s="6" t="n">
        <v>627.3</v>
      </c>
      <c r="H5" s="6" t="n">
        <v>626.8</v>
      </c>
      <c r="I5" s="6" t="n">
        <v>699.4</v>
      </c>
      <c r="J5" s="6" t="n">
        <v>661.5</v>
      </c>
      <c r="K5" s="6" t="n"/>
      <c r="L5" s="6" t="n"/>
      <c r="M5" s="6" t="n"/>
    </row>
    <row r="6">
      <c r="A6" s="6" t="inlineStr">
        <is>
          <t>Counterparty credit risk (CCR) - includes CVA memo below for FY2023/FY2022 (this year's own template shows CVA as a memo item within CCR, not a separately additive line); FY2021-FY2017's own templates show CVA as its own separately additive line instead (see next-but-one row)</t>
        </is>
      </c>
      <c r="B6" s="6" t="n"/>
      <c r="C6" s="6" t="n"/>
      <c r="D6" s="6" t="n">
        <v>2.7</v>
      </c>
      <c r="E6" s="6" t="n">
        <v>1</v>
      </c>
      <c r="F6" s="6" t="n">
        <v>4.6</v>
      </c>
      <c r="G6" s="6" t="n">
        <v>4.2</v>
      </c>
      <c r="H6" s="6" t="n">
        <v>2.1</v>
      </c>
      <c r="I6" s="6" t="n">
        <v>4</v>
      </c>
      <c r="J6" s="6" t="n">
        <v>4.3</v>
      </c>
      <c r="K6" s="6" t="n"/>
      <c r="L6" s="6" t="n"/>
      <c r="M6" s="6" t="n"/>
    </row>
    <row r="7">
      <c r="A7" s="6" t="inlineStr">
        <is>
          <t>Of which: Credit valuation adjustment (CVA) - memo only for FY2023/FY2022, already included in CCR above, not separately additive</t>
        </is>
      </c>
      <c r="B7" s="6" t="n"/>
      <c r="C7" s="6" t="n"/>
      <c r="D7" s="6" t="n">
        <v>0.2</v>
      </c>
      <c r="E7" s="6" t="n">
        <v>0</v>
      </c>
      <c r="F7" s="6" t="n"/>
      <c r="G7" s="6" t="n"/>
      <c r="H7" s="6" t="n"/>
      <c r="I7" s="6" t="n"/>
      <c r="J7" s="6" t="n"/>
      <c r="K7" s="6" t="n"/>
      <c r="L7" s="6" t="n"/>
      <c r="M7" s="6" t="n"/>
    </row>
    <row r="8">
      <c r="A8" s="6" t="inlineStr">
        <is>
          <t>Credit valuation adjustment (CVA) - shown as its own separately additive risk type in FY2021-FY2017's own Pillar 3 templates (unlike the FY2023/FY2022 memo treatment above); Market risk is a separate nil/blank line in the FY2020-FY2017 source tables and is not shown as its own row here since it is nil in every disclosed year</t>
        </is>
      </c>
      <c r="B8" s="6" t="n"/>
      <c r="C8" s="6" t="n"/>
      <c r="D8" s="6" t="n"/>
      <c r="E8" s="6" t="n"/>
      <c r="F8" s="6" t="n">
        <v>0.8</v>
      </c>
      <c r="G8" s="6" t="n">
        <v>2.3</v>
      </c>
      <c r="H8" s="6" t="n">
        <v>2.5</v>
      </c>
      <c r="I8" s="6" t="n">
        <v>5</v>
      </c>
      <c r="J8" s="6" t="n">
        <v>5.7</v>
      </c>
      <c r="K8" s="6" t="n"/>
      <c r="L8" s="6" t="n"/>
      <c r="M8" s="6" t="n"/>
    </row>
    <row r="9">
      <c r="A9" s="6" t="inlineStr">
        <is>
          <t>Operational risk</t>
        </is>
      </c>
      <c r="B9" s="6" t="n"/>
      <c r="C9" s="6" t="n"/>
      <c r="D9" s="6" t="n">
        <v>58.9</v>
      </c>
      <c r="E9" s="6" t="n">
        <v>44</v>
      </c>
      <c r="F9" s="6" t="n">
        <v>36.5</v>
      </c>
      <c r="G9" s="6" t="n">
        <v>36.2</v>
      </c>
      <c r="H9" s="6" t="n">
        <v>34</v>
      </c>
      <c r="I9" s="6" t="n">
        <v>29.9</v>
      </c>
      <c r="J9" s="6" t="n">
        <v>16.5</v>
      </c>
      <c r="K9" s="6" t="n"/>
      <c r="L9" s="6" t="n"/>
      <c r="M9" s="6" t="n"/>
    </row>
    <row r="10">
      <c r="A10" s="6" t="inlineStr">
        <is>
          <t>Amounts below the threshold for deduction (250% risk weight)</t>
        </is>
      </c>
      <c r="B10" s="6" t="n"/>
      <c r="C10" s="6" t="n"/>
      <c r="D10" s="6" t="n">
        <v>13.9</v>
      </c>
      <c r="E10" s="6" t="n">
        <v>16</v>
      </c>
      <c r="F10" s="6" t="n">
        <v>29.2</v>
      </c>
      <c r="G10" s="6" t="n">
        <v>23.8</v>
      </c>
      <c r="H10" s="6" t="n">
        <v>16.5</v>
      </c>
      <c r="I10" s="6" t="n">
        <v>16.3</v>
      </c>
      <c r="J10" s="6" t="n">
        <v>18.3</v>
      </c>
      <c r="K10" s="6" t="n"/>
      <c r="L10" s="6" t="n"/>
      <c r="M10" s="6" t="n"/>
    </row>
    <row r="11">
      <c r="A11" s="5" t="inlineStr">
        <is>
          <t>Total risk-weighted exposure amount</t>
        </is>
      </c>
      <c r="B11" s="5" t="n"/>
      <c r="C11" s="5" t="n"/>
      <c r="D11" s="5" t="n">
        <v>704.7</v>
      </c>
      <c r="E11" s="5" t="n">
        <v>705</v>
      </c>
      <c r="F11" s="5" t="n">
        <v>711</v>
      </c>
      <c r="G11" s="5" t="n">
        <v>693.8</v>
      </c>
      <c r="H11" s="5" t="n">
        <v>681.9</v>
      </c>
      <c r="I11" s="5" t="n">
        <v>754.6</v>
      </c>
      <c r="J11" s="5" t="n">
        <v>706.3</v>
      </c>
      <c r="K11" s="5" t="n"/>
      <c r="L11" s="5" t="n"/>
      <c r="M11" s="5" t="n"/>
    </row>
    <row r="12">
      <c r="A12" s="5" t="inlineStr">
        <is>
          <t>Pillar 1 capital requirement x 12.5 (derived from disclosed capital requirement - see sources note)</t>
        </is>
      </c>
      <c r="B12" s="6" t="n"/>
      <c r="C12" s="6" t="n"/>
      <c r="D12" s="6" t="n"/>
      <c r="E12" s="6" t="n"/>
      <c r="F12" s="6" t="n"/>
      <c r="G12" s="6" t="n"/>
      <c r="H12" s="6" t="n"/>
      <c r="I12" s="6" t="n"/>
      <c r="J12" s="6" t="n"/>
      <c r="K12" s="6" t="n"/>
      <c r="L12" s="6" t="n"/>
      <c r="M12" s="6" t="n"/>
    </row>
    <row r="13">
      <c r="A13" s="6" t="inlineStr">
        <is>
          <t>Credit risk (including CCR/CVA - not separately itemised in this year's own document)</t>
        </is>
      </c>
      <c r="B13" s="6" t="n"/>
      <c r="C13" s="6" t="n"/>
      <c r="D13" s="6" t="n"/>
      <c r="E13" s="6" t="n"/>
      <c r="F13" s="6" t="n"/>
      <c r="G13" s="6" t="n"/>
      <c r="H13" s="6" t="n"/>
      <c r="I13" s="6" t="n"/>
      <c r="J13" s="6" t="n"/>
      <c r="K13" s="6" t="n">
        <v>661.25</v>
      </c>
      <c r="L13" s="6" t="n"/>
      <c r="M13" s="6" t="n"/>
    </row>
    <row r="14">
      <c r="A14" s="6" t="inlineStr">
        <is>
          <t>Operational risk</t>
        </is>
      </c>
      <c r="B14" s="6" t="n"/>
      <c r="C14" s="6" t="n"/>
      <c r="D14" s="6" t="n"/>
      <c r="E14" s="6" t="n"/>
      <c r="F14" s="6" t="n"/>
      <c r="G14" s="6" t="n"/>
      <c r="H14" s="6" t="n"/>
      <c r="I14" s="6" t="n"/>
      <c r="J14" s="6" t="n"/>
      <c r="K14" s="6" t="n">
        <v>11.25</v>
      </c>
      <c r="L14" s="6" t="n"/>
      <c r="M14" s="6" t="n"/>
    </row>
    <row r="15">
      <c r="A15" s="5" t="inlineStr">
        <is>
          <t>Total risk-weighted exposure amount (derived)</t>
        </is>
      </c>
      <c r="B15" s="5" t="n"/>
      <c r="C15" s="5" t="n"/>
      <c r="D15" s="5" t="n"/>
      <c r="E15" s="5" t="n"/>
      <c r="F15" s="5" t="n"/>
      <c r="G15" s="5" t="n"/>
      <c r="H15" s="5" t="n"/>
      <c r="I15" s="5" t="n"/>
      <c r="J15" s="5" t="n"/>
      <c r="K15" s="5" t="n">
        <v>672.5</v>
      </c>
      <c r="L15" s="5" t="n"/>
      <c r="M15" s="5" t="n"/>
    </row>
    <row r="17" ht="460" customHeight="1">
      <c r="A1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RWA Breakdown-specific sources (in addition to the Total RWAs sources above):
FY2023: Hodge Bank Pillar 3 Disclosures - Period ended 30 September 2023, "Risk Type Breakdown" table, p.14 - https://hodgebank.co.uk/wp-content/uploads/2024/07/Hodge-pillar-3-11.03.24.pdf
FY2022: Hodge Bank Pillar 3 Disclosures - Period ended 30 September 2022, "Risk Type Breakdown" table, p.17 - https://hodgebank.co.uk/wp-content/uploads/2024/07/Hodge-pillar-3-19.06.23.pdf
FY2021: Hodge Bank Pillar 3 Disclosures - Period ended 30 September 2021, "Risk Type Breakdown" table, p.21 - https://hodgebank.co.uk/wp-content/uploads/2024/07/Hodge-Pillar-3-Document-2020_2021.pdf
FY2020: Julian Hodge Bank Limited Pillar 3 Disclosures - Period ended 30 September 2020, "Overview of RWA" table (own-year column), p.23 - https://hodgebank.co.uk/wp-content/uploads/2024/07/2.-JHB-Pillar-III.pdf
FY2019: Julian Hodge Bank Limited Pillar 3 Disclosures - Period ended 31 October 2019, "Overview of RWA" table (own-year column), p.14 - https://hodgebank.co.uk/wp-content/uploads/2024/07/Pillar-3-Disclosure-FY19-FINAL.pdf
FY2018: Julian Hodge Bank Limited Pillar 3 Disclosures - Period ended 31 October 2018, "Overview of RWA" table (own-year column), p.14 - https://hodgebank.co.uk/wp-content/uploads/2024/07/jhb-pillar3-2018.pdf
FY2017: this year's own Pillar 3 document only discloses a coarser Pillar 1 capital-requirement-by-exposure-class table (no risk-type RWA split); the FY2017 figures above are instead the FY2017 comparator column of the FOLLOWING year's "Overview of RWA" table - Julian Hodge Bank Limited Pillar 3 Disclosures - Period ended 31 October 2018, "Overview of RWA" table, FY2017 comparator column, p.14 - https://hodgebank.co.uk/wp-content/uploads/2024/07/jhb-pillar3-2018.pdf - which reconciles exactly (706.3) to the Total RWAs sheet's own FY2017 figure sourced from that year's own report.
FY2016: no OV1-style RWA-by-risk-type table exists in this year's own Pillar 3 document (or the following year's) - only a 2-category "Pillar 1 Capital Requirement" table (Total Credit Risk, which bundles in CCR/CVA per this document's own categorisation with no separate line for either, and Operational risk - standardised approach). DERIVED (not disclosed): each category's Pillar 1 capital requirement x 12.5 (= divided by 8%, the CRR Article 92 Pillar 1 minimum ratio) - Julian Hodge Bank Limited Pillar 3 Disclosures - Period ended 31 October 2016, "6.1 Pillar 1 Capital Requirement" table, p.17 - https://hodgebank.co.uk/wp-content/uploads/2024/07/jhb-pillar3-2016.pdf (Credit Risk capital 52.9 x 12.5 = 661.25; Operational risk capital 0.9 x 12.5 = 11.25; derived total 672.5 reconciles to within 0.3 - immaterial source-table rounding before x12.5 - of the Total RWAs sheet's own FY2016 figure of 672.8). Market risk is not itemised in this document at all for FY2016 (assumed nil, consistent with every disclosed later year showing nil/blank market risk, but not confirmed for FY2016 itself).
FY2025/FY2024: Not publicly disclosed at category level - no standalone Pillar 3 document is published for these years (see BASIS_NOTE above); each year's own Annual Report 'Capital risk management' note gives only Total RWAs and CET1/capital ratios, no risk-type split - already shown on the Total RWAs sheet. Re-confirmed 2026-09-12: a Wayback CDX scan of hodgebank.co.uk's full 2025-2026 crawl history found no newly-dated Pillar 3 filename beyond the FY2023 document already cited above; the bank's own regulatory-disclosures pages returned HTTP 403 (bot-blocked) on direct fetch, so this remains an access-limited re-confirmation, not a from-scratch guarantee no such document exists.
FY2015/FY2014: no RWA figure of any kind is disclosed for these two years (pre-CRD IV regime) - see the Total RWAs sheet note.
FY2013-FY2010 ARE DELIBERATELY NOT COLUMNS ON THIS SHEET, even though all four of those years' Pillar 3 documents were located live and read in full in 2026-09-16's HD-080 pass. This sheet (and the Asset Quality sheet) stay pinned to the FY2014 window while the 11 capital metric sheets extend back to FY2010, because there is literally nothing pre-FY2014 to put here: none of the four Basel II editions discloses a risk-weighted-asset amount at all, in total or by risk type. Adding the columns would add four entirely empty ones. The four editions' Pillar 1 CAPITAL requirements are recorded instead on the Total RWAs sheet's note, as capital, deliberately never multiplied by 12.5 into an RWA no document states.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 CET1/RWA/ratio figures instead come from each year's own Annual Report 'Capital risk management (unaudited)' note, which does not include Leverage Ratio, LCR, or NSFR. For FY2025 those 3 metrics are NOT APPLICABLE (structurally exempt, see below); for FY2024 they are an ordinary open gap - genuinely not located, not assumed absent.
SDDT EXEMPTION - REASON FOR THE FY2025 CESSATION, established 2026-09-15 (cross-bank SDDT pass). Julian Hodge Bank is a Small Domestic Deposit Taker (SDDT) and is therefore not required to publish Pillar 3 disclosures, so the FY2025 absence is an EVIDENCED STRUCTURAL EXEMPTION and no FY2025 Pillar 3 document will ever appear.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(HTTP 503/504, 'Internet Archive services are temporarily offline') and is therefore recorded as unknown, not as an absence - worth re-running, though the media API is already a complete listing of the WP library. Result: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1">
    <mergeCell ref="A17:M1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10"/>
  <sheetViews>
    <sheetView workbookViewId="0">
      <selection activeCell="A1" sqref="A1"/>
    </sheetView>
  </sheetViews>
  <sheetFormatPr baseColWidth="8" defaultRowHeight="15"/>
  <cols>
    <col width="9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Julian Hodge Bank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row>
    <row r="4">
      <c r="A4" s="6" t="inlineStr">
        <is>
          <t>Total exposure measure EXCLUDING claims on central banks (£m) (UK LRCom row UK-24b / UK KM1 row 13; the FY2022-onward basis)</t>
        </is>
      </c>
      <c r="B4" s="6" t="n"/>
      <c r="C4" s="6" t="n"/>
      <c r="D4" s="6" t="n">
        <v>1649.9</v>
      </c>
      <c r="E4" s="6" t="n">
        <v>1624</v>
      </c>
      <c r="F4" s="6" t="n">
        <v>1320</v>
      </c>
      <c r="G4" s="6" t="n"/>
      <c r="H4" s="6" t="n"/>
      <c r="I4" s="6" t="n"/>
      <c r="J4" s="6" t="n"/>
      <c r="K4" s="6" t="n"/>
      <c r="L4" s="6" t="n"/>
      <c r="M4" s="6" t="n"/>
      <c r="N4" s="6" t="n"/>
      <c r="O4" s="6" t="n"/>
      <c r="P4" s="6" t="n"/>
      <c r="Q4" s="6" t="n"/>
    </row>
    <row r="5">
      <c r="A5" s="6" t="inlineStr">
        <is>
          <t>Leverage ratio EXCLUDING claims on central banks (%) (UK LRCom row 25 / UK KM1 row 14; the FY2022-onward basis)</t>
        </is>
      </c>
      <c r="B5" s="6" t="n"/>
      <c r="C5" s="6" t="n"/>
      <c r="D5" s="6" t="inlineStr">
        <is>
          <t>10.5%</t>
        </is>
      </c>
      <c r="E5" s="6" t="inlineStr">
        <is>
          <t>10.9%</t>
        </is>
      </c>
      <c r="F5" s="6" t="inlineStr">
        <is>
          <t>10.9%</t>
        </is>
      </c>
      <c r="G5" s="6" t="n"/>
      <c r="H5" s="6" t="n"/>
      <c r="I5" s="6" t="n"/>
      <c r="J5" s="6" t="n"/>
      <c r="K5" s="6" t="n"/>
      <c r="L5" s="6" t="n"/>
      <c r="M5" s="6" t="n"/>
      <c r="N5" s="6" t="n"/>
      <c r="O5" s="6" t="n"/>
      <c r="P5" s="6" t="n"/>
      <c r="Q5" s="6" t="n"/>
    </row>
    <row r="6">
      <c r="A6" s="6" t="inlineStr">
        <is>
          <t>Total exposure measure INCLUDING claims on central banks (£m) (UK LRCom row 24 for FY2022-FY2023; the Basel III/CRR exposure measure as originally reported FY2016-FY2021)</t>
        </is>
      </c>
      <c r="B6" s="6" t="n"/>
      <c r="C6" s="6" t="n"/>
      <c r="D6" s="6" t="n">
        <v>1803.7</v>
      </c>
      <c r="E6" s="6" t="n">
        <v>1852</v>
      </c>
      <c r="F6" s="6" t="n">
        <v>1732.2</v>
      </c>
      <c r="G6" s="6" t="n">
        <v>1423.5</v>
      </c>
      <c r="H6" s="6" t="n">
        <v>1393.2</v>
      </c>
      <c r="I6" s="6" t="n">
        <v>1412.2</v>
      </c>
      <c r="J6" s="6" t="n">
        <v>1309.5</v>
      </c>
      <c r="K6" s="6" t="n">
        <v>1359.3</v>
      </c>
      <c r="L6" s="6" t="n"/>
      <c r="M6" s="6" t="n"/>
      <c r="N6" s="6" t="n"/>
      <c r="O6" s="6" t="n"/>
      <c r="P6" s="6" t="n"/>
      <c r="Q6" s="6" t="n"/>
    </row>
    <row r="7">
      <c r="A7" s="6" t="inlineStr">
        <is>
          <t>Leverage ratio INCLUDING claims on central banks (%) (UK LRCom row UK-25c for FY2022-FY2023; the Basel III/CRR leverage ratio as originally reported FY2016-FY2021)</t>
        </is>
      </c>
      <c r="B7" s="6" t="n"/>
      <c r="C7" s="6" t="n"/>
      <c r="D7" s="6" t="inlineStr">
        <is>
          <t>9.6%</t>
        </is>
      </c>
      <c r="E7" s="6" t="inlineStr">
        <is>
          <t>9.6%</t>
        </is>
      </c>
      <c r="F7" s="6" t="inlineStr">
        <is>
          <t>8.3%</t>
        </is>
      </c>
      <c r="G7" s="6" t="inlineStr">
        <is>
          <t>9.6%</t>
        </is>
      </c>
      <c r="H7" s="6" t="inlineStr">
        <is>
          <t>11.2%</t>
        </is>
      </c>
      <c r="I7" s="6" t="inlineStr">
        <is>
          <t>11.9%</t>
        </is>
      </c>
      <c r="J7" s="6" t="inlineStr">
        <is>
          <t>11.4%</t>
        </is>
      </c>
      <c r="K7" s="6" t="inlineStr">
        <is>
          <t>9.5%</t>
        </is>
      </c>
      <c r="L7" s="6" t="n"/>
      <c r="M7" s="6" t="n"/>
      <c r="N7" s="6" t="n"/>
      <c r="O7" s="6" t="n"/>
      <c r="P7" s="6" t="n"/>
      <c r="Q7" s="6" t="n"/>
    </row>
    <row r="8" ht="60" customHeight="1">
      <c r="A8" s="7" t="inlineStr">
        <is>
          <t>Note: THE TWO PAIRS OF ROWS ARE NOT A LIKE-FOR-LIKE SERIES AND MUST NOT BE READ AS ONE. The PRA's UK Leverage Ratio Framework, in force from 1 January 2022, allows firms in its scope to exclude claims on central banks from the total exposure measure - the Bank's own FY2022 Pillar 3 says so in terms ('The PRA's UK Leverage Ratio framework that came into force from 1 January 2022, allows institutions within its scope to exclude assets held with the Bank of England from their leverage calculations'). From FY2022 the Bank prints BOTH bases in Template UK LRCom, and restated FY2021 onto the excluding basis. Excluding basis: FY2021 10.9%, FY2022 10.9%, FY2023 10.5% - i.e. flat, then slightly down. Including basis: FY2021 8.3%, FY2022 9.6%, FY2023 9.6%. The apparent 8.3% -&gt; 10.9% jump a single blended row would show across the FY2021/FY2022 boundary is ENTIRELY the change of denominator, not a change in the Bank: on either basis held consistently the ratio did not improve by 2.6pp. The excluded amounts are stated by the Bank: UK-24a '(-) Claims on central banks excluded' = £411m at 30 Sep 2021, £228m (£228.4m in the FY2023 edition) at 30 Sep 2022, £153.9m at 30 Sep 2023. Neither basis is computed here from the other; every figure above is printed in one of the cited documents. FY2021's excluding-basis pair (1,320 / 10.9%) exists only as the FY2022 edition's comparative column - the Bank published no excluding-basis figure for FY2020 or earlier, so those years appear on the including row only and are NOT back-solved. FY2022's exposure measure is 1,624 / 1,852 as the FY2022 edition printed it and 1,623.2 / 1,851.6 as the FY2023 edition's comparative restates it, a rounding-level difference recorded rather than reconciled; the own-year figure is the one shown. FY2021's including-basis exposure is 1,732.2 per FY2021's own report and 1,731 per the FY2022 edition's comparative - same, to rounding. FY2025 is NOT APPLICABLE rather than undisclosed - the SDDT modification (PRA Rule 3.1, effective 18 February 2025) removed the Pillar 3 duty before the 30 September 2025 year-end, so no FY2025 leverage disclosure will ever exist; FY2024 is an ordinary open gap, its year having ended before that modification took effect, and the Annual Report's brief 'Capital risk management' note carries no leverage ratio. FY2015-FY2010 not available - no Basel III leverage ratio existed as a UK disclosure requirement under the Basel II regime those six years used. Those years belong on NEITHER of the two rows above: the excluding-/including-claims-on-central-banks distinction is a UK framework change effective 1 January 2022 and is meaningless applied to a Basel II year. The FY2013 document mentions a leverage ratio exactly once, as forward-looking prose about CRD IV's forthcoming requirements, with no value attached; FY2012/FY2011/FY2010 do not mention it at all. (FY2013-FY2010 columns added 2026-09-16 by HD-080's Basel II extension; that pass added no figure to this sheet and collapsed none of its rows.)</t>
        </is>
      </c>
    </row>
    <row r="10" ht="420" customHeight="1">
      <c r="A10"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LEVERAGE-RATIO DUAL-BASIS SOURCES (both bases are printed by the Bank; neither is derived here):
FY2023 and FY2022 comparative, Template UK LRCom 'Leverage Ratio common disclosure at 30 September', section 9 'Leverage Ratio' (rows 24, UK-24a, UK-24b, 25, UK-25c) - https://hodgebank.co.uk/wp-content/uploads/2024/07/Hodge-pillar-3-11.03.24.pdf
FY2022 and FY2021 comparative, Template UK LRCom, section 9 'Leverage Ratio' (same rows), and Table '3 Key Regulatory Metrics' rows 13/14 - https://hodgebank.co.uk/wp-content/uploads/2024/07/Hodge-pillar-3-19.06.23.pdf
FY2021 as originally reported ('Basel III Leverage Ratio' / 'Total Basel III Leverage Ratio exposure measure'), Summary of Key Regulatory Metrics - https://hodgebank.co.uk/wp-content/uploads/2024/07/Hodge-Pillar-3-Document-2020_2021.pdf
All three PDFs were downloaded and verified before reading (%PDF magic bytes; pdfinfo page counts 39, 41 and 58 respectively; none at the 1,048,576-byte Wayback truncation size), 2026-09-16.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 CET1/RWA/ratio figures instead come from each year's own Annual Report 'Capital risk management (unaudited)' note, which does not include Leverage Ratio, LCR, or NSFR. For FY2025 those 3 metrics are NOT APPLICABLE (structurally exempt, see below); for FY2024 they are an ordinary open gap - genuinely not located, not assumed absent.
SDDT EXEMPTION - REASON FOR THE FY2025 CESSATION, established 2026-09-15 (cross-bank SDDT pass). Julian Hodge Bank is a Small Domestic Deposit Taker (SDDT) and is therefore not required to publish Pillar 3 disclosures, so the FY2025 absence is an EVIDENCED STRUCTURAL EXEMPTION and no FY2025 Pillar 3 document will ever appear.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(HTTP 503/504, 'Internet Archive services are temporarily offline') and is therefore recorded as unknown, not as an absence - worth re-running, though the media API is already a complete listing of the WP library. Result: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8:Q8"/>
    <mergeCell ref="A10:Q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Julian Hodge Bank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row>
    <row r="4">
      <c r="A4" s="6" t="inlineStr">
        <is>
          <t>Total HQLA after haircuts (£m)</t>
        </is>
      </c>
      <c r="B4" s="6" t="n"/>
      <c r="C4" s="6" t="n"/>
      <c r="D4" s="6" t="n">
        <v>230.4</v>
      </c>
      <c r="E4" s="6" t="n">
        <v>334</v>
      </c>
      <c r="F4" s="6" t="n">
        <v>479.5</v>
      </c>
      <c r="G4" s="6" t="n">
        <v>196.4</v>
      </c>
      <c r="H4" s="6" t="n">
        <v>346.4</v>
      </c>
      <c r="I4" s="6" t="n">
        <v>245.2</v>
      </c>
      <c r="J4" s="6" t="n"/>
      <c r="K4" s="6" t="n"/>
      <c r="L4" s="6" t="n"/>
      <c r="M4" s="6" t="n"/>
      <c r="N4" s="6" t="n"/>
      <c r="O4" s="6" t="n"/>
      <c r="P4" s="6" t="n"/>
      <c r="Q4" s="6" t="n"/>
    </row>
    <row r="5">
      <c r="A5" s="6" t="inlineStr">
        <is>
          <t>Total net cash outflow, adjusted value (£m)</t>
        </is>
      </c>
      <c r="B5" s="6" t="n"/>
      <c r="C5" s="6" t="n"/>
      <c r="D5" s="6" t="n">
        <v>130.2</v>
      </c>
      <c r="E5" s="6" t="n">
        <v>133</v>
      </c>
      <c r="F5" s="6" t="n">
        <v>137.1</v>
      </c>
      <c r="G5" s="6" t="n">
        <v>72</v>
      </c>
      <c r="H5" s="6" t="n">
        <v>67</v>
      </c>
      <c r="I5" s="6" t="n">
        <v>103.5</v>
      </c>
      <c r="J5" s="6" t="n"/>
      <c r="K5" s="6" t="n"/>
      <c r="L5" s="6" t="n"/>
      <c r="M5" s="6" t="n"/>
      <c r="N5" s="6" t="n"/>
      <c r="O5" s="6" t="n"/>
      <c r="P5" s="6" t="n"/>
      <c r="Q5" s="6" t="n"/>
    </row>
    <row r="6">
      <c r="A6" s="6" t="inlineStr">
        <is>
          <t>Liquidity Coverage Ratio (%)</t>
        </is>
      </c>
      <c r="B6" s="6" t="n"/>
      <c r="C6" s="6" t="n"/>
      <c r="D6" s="6" t="inlineStr">
        <is>
          <t>176.9%</t>
        </is>
      </c>
      <c r="E6" s="6" t="inlineStr">
        <is>
          <t>252%</t>
        </is>
      </c>
      <c r="F6" s="6" t="inlineStr">
        <is>
          <t>349.6%</t>
        </is>
      </c>
      <c r="G6" s="6" t="inlineStr">
        <is>
          <t>272.9%</t>
        </is>
      </c>
      <c r="H6" s="6" t="inlineStr">
        <is>
          <t>516.9%</t>
        </is>
      </c>
      <c r="I6" s="6" t="inlineStr">
        <is>
          <t>236.9%</t>
        </is>
      </c>
      <c r="J6" s="6" t="n"/>
      <c r="K6" s="6" t="n"/>
      <c r="L6" s="6" t="n"/>
      <c r="M6" s="6" t="n"/>
      <c r="N6" s="6" t="n"/>
      <c r="O6" s="6" t="n"/>
      <c r="P6" s="6" t="n"/>
      <c r="Q6" s="6" t="n"/>
    </row>
    <row r="7" ht="60" customHeight="1">
      <c r="A7" s="7" t="inlineStr">
        <is>
          <t>Note: FY2025 is NOT APPLICABLE, not merely undisclosed - the SDDT modification (PRA Rule 3.1, effective 18 February 2025) removed this bank's Pillar 3 duty before its 30 September 2025 year-end, so no FY2025 LCR disclosure will ever exist. FY2024 is an ordinary open gap: its year ended 30 September 2024, BEFORE that modification took effect, so the exemption does not cover it and no document was found. The distinction is deliberate - see BASIS_NOTE. Year-end (point-in-time) values shown, per each source document's own basis ('year end value for LCR related metrics'); these are NOT the 12-month averages a UK KM1 template prints elsewhere, and the two bases are never merged. FY2017/FY2016 Pillar 3 documents were reviewed in full but contain no LCR disclosure (UK LCR reporting for this class of firm phased in gradually; FY2018 is this bank's first year showing it). FY2015-FY2010 not available - the LCR did not exist as a UK disclosure requirement under the Basel II regime those six years used; see the pre-CRD IV note in this sheet's sources.</t>
        </is>
      </c>
    </row>
    <row r="9" ht="170" customHeight="1">
      <c r="A9"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 CET1/RWA/ratio figures instead come from each year's own Annual Report 'Capital risk management (unaudited)' note, which does not include Leverage Ratio, LCR, or NSFR. For FY2025 those 3 metrics are NOT APPLICABLE (structurally exempt, see below); for FY2024 they are an ordinary open gap - genuinely not located, not assumed absent.
SDDT EXEMPTION - REASON FOR THE FY2025 CESSATION, established 2026-09-15 (cross-bank SDDT pass). Julian Hodge Bank is a Small Domestic Deposit Taker (SDDT) and is therefore not required to publish Pillar 3 disclosures, so the FY2025 absence is an EVIDENCED STRUCTURAL EXEMPTION and no FY2025 Pillar 3 document will ever appear.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(HTTP 503/504, 'Internet Archive services are temporarily offline') and is therefore recorded as unknown, not as an absence - worth re-running, though the media API is already a complete listing of the WP library. Result: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7:Q7"/>
    <mergeCell ref="A9:Q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Julian Hodge Bank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row>
    <row r="4">
      <c r="A4" s="6" t="inlineStr">
        <is>
          <t>Total available stable funding (£m)</t>
        </is>
      </c>
      <c r="B4" s="6" t="n"/>
      <c r="C4" s="6" t="n"/>
      <c r="D4" s="6" t="n">
        <v>1721.9</v>
      </c>
      <c r="E4" s="6" t="n">
        <v>1549</v>
      </c>
      <c r="F4" s="6" t="n">
        <v>1551</v>
      </c>
      <c r="G4" s="6" t="n">
        <v>1226.2</v>
      </c>
      <c r="H4" s="6" t="n"/>
      <c r="I4" s="6" t="n"/>
      <c r="J4" s="6" t="n"/>
      <c r="K4" s="6" t="n"/>
      <c r="L4" s="6" t="n"/>
      <c r="M4" s="6" t="n"/>
      <c r="N4" s="6" t="n"/>
      <c r="O4" s="6" t="n"/>
      <c r="P4" s="6" t="n"/>
      <c r="Q4" s="6" t="n"/>
    </row>
    <row r="5">
      <c r="A5" s="6" t="inlineStr">
        <is>
          <t>Total required stable funding (£m)</t>
        </is>
      </c>
      <c r="B5" s="6" t="n"/>
      <c r="C5" s="6" t="n"/>
      <c r="D5" s="6" t="n">
        <v>1144.2</v>
      </c>
      <c r="E5" s="6" t="n">
        <v>1085</v>
      </c>
      <c r="F5" s="6" t="n">
        <v>922.7</v>
      </c>
      <c r="G5" s="6" t="n">
        <v>793.3</v>
      </c>
      <c r="H5" s="6" t="n"/>
      <c r="I5" s="6" t="n"/>
      <c r="J5" s="6" t="n"/>
      <c r="K5" s="6" t="n"/>
      <c r="L5" s="6" t="n"/>
      <c r="M5" s="6" t="n"/>
      <c r="N5" s="6" t="n"/>
      <c r="O5" s="6" t="n"/>
      <c r="P5" s="6" t="n"/>
      <c r="Q5" s="6" t="n"/>
    </row>
    <row r="6">
      <c r="A6" s="6" t="inlineStr">
        <is>
          <t>Net Stable Funding Ratio (%)</t>
        </is>
      </c>
      <c r="B6" s="6" t="n"/>
      <c r="C6" s="6" t="n"/>
      <c r="D6" s="6" t="inlineStr">
        <is>
          <t>150.5%</t>
        </is>
      </c>
      <c r="E6" s="6" t="inlineStr">
        <is>
          <t>143%</t>
        </is>
      </c>
      <c r="F6" s="6" t="inlineStr">
        <is>
          <t>168.1%</t>
        </is>
      </c>
      <c r="G6" s="6" t="inlineStr">
        <is>
          <t>154.6%</t>
        </is>
      </c>
      <c r="H6" s="6" t="inlineStr">
        <is>
          <t>217.6%</t>
        </is>
      </c>
      <c r="I6" s="6" t="n"/>
      <c r="J6" s="6" t="n"/>
      <c r="K6" s="6" t="n"/>
      <c r="L6" s="6" t="n"/>
      <c r="M6" s="6" t="n"/>
      <c r="N6" s="6" t="n"/>
      <c r="O6" s="6" t="n"/>
      <c r="P6" s="6" t="n"/>
      <c r="Q6" s="6" t="n"/>
    </row>
    <row r="7" ht="60" customHeight="1">
      <c r="A7" s="7" t="inlineStr">
        <is>
          <t>Note: FY2025 is NOT APPLICABLE, not merely undisclosed - see the LCR sheet note; the SDDT modification (effective 18 February 2025) also replaces the full NSFR with a Simplified Retail Deposit Ratio going forward, and no SRDR value is disclosed either, so nothing succeeds this series. FY2024 is an ordinary open gap (year ended before the modification took effect). FY2019's own Pillar 3 document gives the ratio only (217.6%), with no ASF/RSF breakdown; the breakdown shown for FY2020 comes from FY2020's own report. FY2018/FY2017/FY2016 Pillar 3 documents were reviewed in full but contain no NSFR disclosure (UK NSFR reporting phased in later than LCR for this class of firm - FY2019 is this bank's first year showing it). FY2015-FY2010 not available - the NSFR did not exist as a UK disclosure requirement under the Basel II regime those six years used; see the pre-CRD IV note in this sheet's sources.</t>
        </is>
      </c>
    </row>
    <row r="9" ht="170" customHeight="1">
      <c r="A9"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 CET1/RWA/ratio figures instead come from each year's own Annual Report 'Capital risk management (unaudited)' note, which does not include Leverage Ratio, LCR, or NSFR. For FY2025 those 3 metrics are NOT APPLICABLE (structurally exempt, see below); for FY2024 they are an ordinary open gap - genuinely not located, not assumed absent.
SDDT EXEMPTION - REASON FOR THE FY2025 CESSATION, established 2026-09-15 (cross-bank SDDT pass). Julian Hodge Bank is a Small Domestic Deposit Taker (SDDT) and is therefore not required to publish Pillar 3 disclosures, so the FY2025 absence is an EVIDENCED STRUCTURAL EXEMPTION and no FY2025 Pillar 3 document will ever appear.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(HTTP 503/504, 'Internet Archive services are temporarily offline') and is therefore recorded as unknown, not as an absence - worth re-running, though the media API is already a complete listing of the WP library. Result: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7:Q7"/>
    <mergeCell ref="A9:Q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Julian Hodge Bank Limited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row>
    <row r="4">
      <c r="A4" s="6" t="inlineStr">
        <is>
          <t>MREL ratio</t>
        </is>
      </c>
      <c r="B4" s="6" t="inlineStr">
        <is>
          <t>Not applicable</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c r="N4" s="6" t="inlineStr">
        <is>
          <t>Not publicly disclosed</t>
        </is>
      </c>
      <c r="O4" s="6" t="inlineStr">
        <is>
          <t>Not publicly disclosed</t>
        </is>
      </c>
      <c r="P4" s="6" t="inlineStr">
        <is>
          <t>Not publicly disclosed</t>
        </is>
      </c>
      <c r="Q4" s="6" t="inlineStr">
        <is>
          <t>Not publicly disclosed</t>
        </is>
      </c>
    </row>
    <row r="5" ht="60" customHeight="1">
      <c r="A5" s="7" t="inlineStr">
        <is>
          <t>Note: FY2025 reads 'Not applicable', every other year 'Not publicly disclosed', and the difference is deliberate and load-bearing. 'Not publicly disclosed' asserts a figure may exist that was not found; 'Not applicable' means no such disclosure can exist. FY2025 is the latter: the SDDT modification (PRA Rule 3.1, FRN 204439, effective 18 February 2025) removed this bank's Pillar 3 disclosure duty before its 30 September 2025 year-end, so no FY2025 Pillar 3 document will ever be published. FY2024 stays 'Not publicly disclosed' because its year ended 30 September 2024, BEFORE the modification took effect - it is an ordinary negative, not a structural exemption (see BASIS_NOTE for why that is left as NOT ESTABLISHED rather than claimed). For FY2023-FY2010, no MREL figure (numeric or qualitative) appears in any of the 14 Pillar 3 documents reviewed, nor in any Annual Report's brief capital note, and no reason is stated; for the six Basel II years FY2015-FY2010 the concept did not exist as a UK requirement at all. Consistent with this small private bank not being set an independent MREL requirement by the Bank of England, the same pattern seen at other small UK banks in this project (e.g. Cynergy Bank, DF Capital Bank).</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 CET1/RWA/ratio figures instead come from each year's own Annual Report 'Capital risk management (unaudited)' note, which does not include Leverage Ratio, LCR, or NSFR. For FY2025 those 3 metrics are NOT APPLICABLE (structurally exempt, see below); for FY2024 they are an ordinary open gap - genuinely not located, not assumed absent.
SDDT EXEMPTION - REASON FOR THE FY2025 CESSATION, established 2026-09-15 (cross-bank SDDT pass). Julian Hodge Bank is a Small Domestic Deposit Taker (SDDT) and is therefore not required to publish Pillar 3 disclosures, so the FY2025 absence is an EVIDENCED STRUCTURAL EXEMPTION and no FY2025 Pillar 3 document will ever appear.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(HTTP 503/504, 'Internet Archive services are temporarily offline') and is therefore recorded as unknown, not as an absence - worth re-running, though the media API is already a complete listing of the WP library. Result: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Q5"/>
    <mergeCell ref="A7:Q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2026-09-16T11:24:03Z</dcterms:created>
  <dcterms:modified xmlns:dcterms="http://purl.org/dc/terms/" xmlns:xsi="http://www.w3.org/2001/XMLSchema-instance" xsi:type="dcterms:W3CDTF">2026-09-16T11:24:04Z</dcterms:modified>
</cp:coreProperties>
</file>