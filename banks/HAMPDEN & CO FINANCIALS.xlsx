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Hampden &amp; Co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175034</v>
      </c>
      <c r="C6" s="5" t="n">
        <v>85876</v>
      </c>
      <c r="D6" s="5" t="n">
        <v>-14109</v>
      </c>
      <c r="E6" s="5" t="n">
        <v>50082</v>
      </c>
      <c r="F6" s="5" t="n">
        <v>61740</v>
      </c>
      <c r="I6" t="inlineStr">
        <is>
          <t>Net cash from/(used in) operating activities</t>
        </is>
      </c>
      <c r="J6" t="n">
        <v>61740</v>
      </c>
      <c r="K6" t="n">
        <v>50082</v>
      </c>
      <c r="L6" t="n">
        <v>-14109</v>
      </c>
      <c r="M6" t="n">
        <v>85876</v>
      </c>
      <c r="N6" t="n">
        <v>175034</v>
      </c>
      <c r="Q6" t="inlineStr">
        <is>
          <t>CET1 Ratio</t>
        </is>
      </c>
      <c r="R6" t="n">
        <v>19</v>
      </c>
      <c r="S6" t="n">
        <v>20.77</v>
      </c>
      <c r="T6" t="n">
        <v>20.53</v>
      </c>
    </row>
    <row r="7">
      <c r="A7" s="5" t="inlineStr">
        <is>
          <t>Net cash from/(used in) investing activities</t>
        </is>
      </c>
      <c r="B7" s="5" t="n">
        <v>-142233</v>
      </c>
      <c r="C7" s="5" t="n">
        <v>-164582</v>
      </c>
      <c r="D7" s="5" t="n">
        <v>-69327</v>
      </c>
      <c r="E7" s="5" t="n">
        <v>-977</v>
      </c>
      <c r="F7" s="5" t="n">
        <v>-1145</v>
      </c>
      <c r="I7" t="inlineStr">
        <is>
          <t>Net cash from/(used in) investing activities</t>
        </is>
      </c>
      <c r="J7" t="n">
        <v>-1145</v>
      </c>
      <c r="K7" t="n">
        <v>-977</v>
      </c>
      <c r="L7" t="n">
        <v>-69327</v>
      </c>
      <c r="M7" t="n">
        <v>-164582</v>
      </c>
      <c r="N7" t="n">
        <v>-142233</v>
      </c>
      <c r="Q7" t="inlineStr">
        <is>
          <t>Tier 1 Ratio</t>
        </is>
      </c>
      <c r="R7" t="n">
        <v>19</v>
      </c>
      <c r="S7" t="n">
        <v>20.77</v>
      </c>
      <c r="T7" t="n">
        <v>20.53</v>
      </c>
    </row>
    <row r="8">
      <c r="A8" s="5" t="inlineStr">
        <is>
          <t>Net cash from/(used in) financing activities</t>
        </is>
      </c>
      <c r="B8" s="5" t="n">
        <v>-3098</v>
      </c>
      <c r="C8" s="5" t="n">
        <v>-2012</v>
      </c>
      <c r="D8" s="5" t="n">
        <v>1540</v>
      </c>
      <c r="E8" s="5" t="n">
        <v>7468</v>
      </c>
      <c r="F8" s="5" t="n">
        <v>7446</v>
      </c>
      <c r="I8" t="inlineStr">
        <is>
          <t>Net cash from/(used in) financing activities</t>
        </is>
      </c>
      <c r="J8" t="n">
        <v>7446</v>
      </c>
      <c r="K8" t="n">
        <v>7468</v>
      </c>
      <c r="L8" t="n">
        <v>1540</v>
      </c>
      <c r="M8" t="n">
        <v>-2012</v>
      </c>
      <c r="N8" t="n">
        <v>-3098</v>
      </c>
      <c r="Q8" t="inlineStr">
        <is>
          <t>Total Capital Ratio</t>
        </is>
      </c>
      <c r="R8" t="n">
        <v>19</v>
      </c>
      <c r="S8" t="n">
        <v>20.77</v>
      </c>
      <c r="T8" t="n">
        <v>20.53</v>
      </c>
      <c r="U8" t="n">
        <v>17</v>
      </c>
      <c r="V8" t="n">
        <v>17</v>
      </c>
    </row>
    <row r="9">
      <c r="A9" s="5" t="inlineStr">
        <is>
          <t>Cash and cash equivalents at end of year</t>
        </is>
      </c>
      <c r="B9" s="5" t="n">
        <v>154351</v>
      </c>
      <c r="C9" s="5" t="n">
        <v>125315</v>
      </c>
      <c r="D9" s="5" t="n">
        <v>207363</v>
      </c>
      <c r="E9" s="5" t="n">
        <v>294851</v>
      </c>
      <c r="F9" s="5" t="n">
        <v>228768</v>
      </c>
      <c r="I9" t="inlineStr">
        <is>
          <t>Cash and cash equivalents at end of year</t>
        </is>
      </c>
      <c r="J9" t="n">
        <v>228768</v>
      </c>
      <c r="K9" t="n">
        <v>294851</v>
      </c>
      <c r="L9" t="n">
        <v>207363</v>
      </c>
      <c r="M9" t="n">
        <v>125315</v>
      </c>
      <c r="N9" t="n">
        <v>154351</v>
      </c>
      <c r="Q9" t="inlineStr">
        <is>
          <t>LCR</t>
        </is>
      </c>
      <c r="R9" t="n">
        <v>180</v>
      </c>
      <c r="S9" t="n">
        <v>213</v>
      </c>
      <c r="T9" t="n">
        <v>262</v>
      </c>
    </row>
    <row r="10">
      <c r="Q10" t="inlineStr">
        <is>
          <t>NSFR</t>
        </is>
      </c>
      <c r="S10" t="n">
        <v>186</v>
      </c>
      <c r="T10" t="n">
        <v>186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n"/>
      <c r="D13" s="6" t="inlineStr">
        <is>
          <t>20.53%</t>
        </is>
      </c>
      <c r="E13" s="6" t="inlineStr">
        <is>
          <t>20.77%</t>
        </is>
      </c>
      <c r="F13" s="6" t="inlineStr">
        <is>
          <t>19%</t>
        </is>
      </c>
    </row>
    <row r="14">
      <c r="A14" s="6" t="inlineStr">
        <is>
          <t>Tier 1 Ratio</t>
        </is>
      </c>
      <c r="B14" s="6" t="n"/>
      <c r="C14" s="6" t="n"/>
      <c r="D14" s="6" t="inlineStr">
        <is>
          <t>20.53%</t>
        </is>
      </c>
      <c r="E14" s="6" t="inlineStr">
        <is>
          <t>20.77%</t>
        </is>
      </c>
      <c r="F14" s="6" t="inlineStr">
        <is>
          <t>19%</t>
        </is>
      </c>
    </row>
    <row r="15">
      <c r="A15" s="6" t="inlineStr">
        <is>
          <t>Total Capital Ratio</t>
        </is>
      </c>
      <c r="B15" s="6" t="inlineStr">
        <is>
          <t>17%</t>
        </is>
      </c>
      <c r="C15" s="6" t="inlineStr">
        <is>
          <t>17%</t>
        </is>
      </c>
      <c r="D15" s="6" t="inlineStr">
        <is>
          <t>20.53%</t>
        </is>
      </c>
      <c r="E15" s="6" t="inlineStr">
        <is>
          <t>20.77%</t>
        </is>
      </c>
      <c r="F15" s="6" t="inlineStr">
        <is>
          <t>19%</t>
        </is>
      </c>
    </row>
    <row r="16">
      <c r="A16" s="6" t="inlineStr">
        <is>
          <t>LCR</t>
        </is>
      </c>
      <c r="B16" s="6" t="n"/>
      <c r="C16" s="6" t="n"/>
      <c r="D16" s="6" t="inlineStr">
        <is>
          <t>262%</t>
        </is>
      </c>
      <c r="E16" s="6" t="inlineStr">
        <is>
          <t>213%</t>
        </is>
      </c>
      <c r="F16" s="6" t="inlineStr">
        <is>
          <t>180%</t>
        </is>
      </c>
    </row>
    <row r="17">
      <c r="A17" s="6" t="inlineStr">
        <is>
          <t>NSFR</t>
        </is>
      </c>
      <c r="B17" s="6" t="n"/>
      <c r="C17" s="6" t="n"/>
      <c r="D17" s="6" t="inlineStr">
        <is>
          <t>186%</t>
        </is>
      </c>
      <c r="E17" s="6" t="inlineStr">
        <is>
          <t>186%</t>
        </is>
      </c>
      <c r="F17" s="6" t="n"/>
    </row>
    <row r="19" ht="45" customHeight="1">
      <c r="A19" s="7" t="inlineStr">
        <is>
          <t>Note: Figures are duplicated from the detail sheets for at-a-glance trend viewing; see each sheet's own source citation for the underlying document/page. FY2024/FY2025 ratios other than Total Capital Ratio are blank - no standalone Pillar 3 document was found published for either year.</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6953</v>
      </c>
      <c r="C5" s="6" t="n">
        <v>8181</v>
      </c>
      <c r="D5" s="6" t="n">
        <v>9143</v>
      </c>
      <c r="E5" s="6" t="n">
        <v>2045</v>
      </c>
      <c r="F5" s="6" t="n">
        <v>-2970</v>
      </c>
    </row>
    <row r="6">
      <c r="A6" s="6" t="inlineStr">
        <is>
          <t>Net losses/(gains) from derivatives and hedge accounting</t>
        </is>
      </c>
      <c r="B6" s="6" t="n">
        <v>111</v>
      </c>
      <c r="C6" s="6" t="n">
        <v>203</v>
      </c>
      <c r="D6" s="6" t="n">
        <v>303</v>
      </c>
      <c r="E6" s="6" t="n">
        <v>-820</v>
      </c>
      <c r="F6" s="6" t="n"/>
    </row>
    <row r="7">
      <c r="A7" s="6" t="inlineStr">
        <is>
          <t>Depreciation and amortisation</t>
        </is>
      </c>
      <c r="B7" s="6" t="n">
        <v>2672</v>
      </c>
      <c r="C7" s="6" t="n">
        <v>1258</v>
      </c>
      <c r="D7" s="6" t="n">
        <v>1038</v>
      </c>
      <c r="E7" s="6" t="n">
        <v>945</v>
      </c>
      <c r="F7" s="6" t="n">
        <v>1176</v>
      </c>
    </row>
    <row r="8">
      <c r="A8" s="6" t="inlineStr">
        <is>
          <t>Equity settled share-based payments</t>
        </is>
      </c>
      <c r="B8" s="6" t="n">
        <v>145</v>
      </c>
      <c r="C8" s="6" t="n">
        <v>176</v>
      </c>
      <c r="D8" s="6" t="n">
        <v>186</v>
      </c>
      <c r="E8" s="6" t="n">
        <v>840</v>
      </c>
      <c r="F8" s="6" t="n">
        <v>1042</v>
      </c>
    </row>
    <row r="9">
      <c r="A9" s="6" t="inlineStr">
        <is>
          <t>Dividend equivalent on share options</t>
        </is>
      </c>
      <c r="B9" s="6" t="n">
        <v>-182</v>
      </c>
      <c r="C9" s="6" t="n">
        <v>-91</v>
      </c>
      <c r="D9" s="6" t="n"/>
      <c r="E9" s="6" t="n"/>
      <c r="F9" s="6" t="n"/>
    </row>
    <row r="10">
      <c r="A10" s="6" t="inlineStr">
        <is>
          <t>Cancellation of share options</t>
        </is>
      </c>
      <c r="B10" s="6" t="n"/>
      <c r="C10" s="6" t="n"/>
      <c r="D10" s="6" t="n">
        <v>-688</v>
      </c>
      <c r="E10" s="6" t="n"/>
      <c r="F10" s="6" t="n"/>
    </row>
    <row r="11">
      <c r="A11" s="6" t="inlineStr">
        <is>
          <t>Impairment (credit)/charge for the year</t>
        </is>
      </c>
      <c r="B11" s="6" t="n">
        <v>-107</v>
      </c>
      <c r="C11" s="6" t="n">
        <v>12</v>
      </c>
      <c r="D11" s="6" t="n">
        <v>103</v>
      </c>
      <c r="E11" s="6" t="n">
        <v>29</v>
      </c>
      <c r="F11" s="6" t="n">
        <v>-5</v>
      </c>
    </row>
    <row r="12">
      <c r="A12" s="6" t="inlineStr">
        <is>
          <t>(Increase) in prepayments and accrued income</t>
        </is>
      </c>
      <c r="B12" s="6" t="n"/>
      <c r="C12" s="6" t="n"/>
      <c r="D12" s="6" t="n"/>
      <c r="E12" s="6" t="n"/>
      <c r="F12" s="6" t="n">
        <v>-185</v>
      </c>
    </row>
    <row r="13">
      <c r="A13" s="6" t="inlineStr">
        <is>
          <t>Increase/(decrease) in accruals and deferred income</t>
        </is>
      </c>
      <c r="B13" s="6" t="n"/>
      <c r="C13" s="6" t="n"/>
      <c r="D13" s="6" t="n"/>
      <c r="E13" s="6" t="n"/>
      <c r="F13" s="6" t="n">
        <v>353</v>
      </c>
    </row>
    <row r="14">
      <c r="A14" s="6" t="inlineStr">
        <is>
          <t>(Increase) in loans and advances to clients and banks</t>
        </is>
      </c>
      <c r="B14" s="6" t="n"/>
      <c r="C14" s="6" t="n"/>
      <c r="D14" s="6" t="n"/>
      <c r="E14" s="6" t="n"/>
      <c r="F14" s="6" t="n">
        <v>-132311</v>
      </c>
    </row>
    <row r="15">
      <c r="A15" s="6" t="inlineStr">
        <is>
          <t>Increase in deposits by clients and banks</t>
        </is>
      </c>
      <c r="B15" s="6" t="n"/>
      <c r="C15" s="6" t="n"/>
      <c r="D15" s="6" t="n"/>
      <c r="E15" s="6" t="n"/>
      <c r="F15" s="6" t="n">
        <v>194668</v>
      </c>
    </row>
    <row r="16">
      <c r="A16" s="6" t="inlineStr">
        <is>
          <t>Decrease in other assets</t>
        </is>
      </c>
      <c r="B16" s="6" t="n"/>
      <c r="C16" s="6" t="n"/>
      <c r="D16" s="6" t="n"/>
      <c r="E16" s="6" t="n"/>
      <c r="F16" s="6" t="n">
        <v>3</v>
      </c>
    </row>
    <row r="17">
      <c r="A17" s="6" t="inlineStr">
        <is>
          <t>(Decrease)/increase in other liabilities and provisions</t>
        </is>
      </c>
      <c r="B17" s="6" t="n"/>
      <c r="C17" s="6" t="n"/>
      <c r="D17" s="6" t="n"/>
      <c r="E17" s="6" t="n"/>
      <c r="F17" s="6" t="n">
        <v>-22</v>
      </c>
    </row>
    <row r="18">
      <c r="A18" s="6" t="inlineStr">
        <is>
          <t>Elimination of foreign exchange differences</t>
        </is>
      </c>
      <c r="B18" s="6" t="n"/>
      <c r="C18" s="6" t="n"/>
      <c r="D18" s="6" t="n"/>
      <c r="E18" s="6" t="n">
        <v>8</v>
      </c>
      <c r="F18" s="6" t="n">
        <v>-9</v>
      </c>
    </row>
    <row r="19">
      <c r="A19" s="5" t="inlineStr">
        <is>
          <t>Cash generated from/(used in) operations</t>
        </is>
      </c>
      <c r="B19" s="5" t="n">
        <v>9592</v>
      </c>
      <c r="C19" s="5" t="n">
        <v>9739</v>
      </c>
      <c r="D19" s="5" t="n">
        <v>10085</v>
      </c>
      <c r="E19" s="5" t="n"/>
      <c r="F19" s="5" t="n"/>
    </row>
    <row r="20">
      <c r="A20" s="5" t="inlineStr">
        <is>
          <t>Changes in operating assets and liabilities</t>
        </is>
      </c>
      <c r="B20" s="6" t="n"/>
      <c r="C20" s="6" t="n"/>
      <c r="D20" s="6" t="n"/>
      <c r="E20" s="6" t="n"/>
      <c r="F20" s="6" t="n"/>
    </row>
    <row r="21">
      <c r="A21" s="6" t="inlineStr">
        <is>
          <t>Increase/(decrease) in prepayments and accrued income</t>
        </is>
      </c>
      <c r="B21" s="6" t="n">
        <v>-1271</v>
      </c>
      <c r="C21" s="6" t="n">
        <v>-441</v>
      </c>
      <c r="D21" s="6" t="n">
        <v>421</v>
      </c>
      <c r="E21" s="6" t="n">
        <v>-205</v>
      </c>
      <c r="F21" s="6" t="n"/>
    </row>
    <row r="22">
      <c r="A22" s="6" t="inlineStr">
        <is>
          <t>Increase/(decrease) in accruals and deferred income</t>
        </is>
      </c>
      <c r="B22" s="6" t="n">
        <v>-942</v>
      </c>
      <c r="C22" s="6" t="n">
        <v>25</v>
      </c>
      <c r="D22" s="6" t="n">
        <v>6</v>
      </c>
      <c r="E22" s="6" t="n">
        <v>1560</v>
      </c>
      <c r="F22" s="6" t="n"/>
    </row>
    <row r="23">
      <c r="A23" s="6" t="inlineStr">
        <is>
          <t>Decrease/(increase) in loans and advances to clients and banks</t>
        </is>
      </c>
      <c r="B23" s="6" t="n">
        <v>34430</v>
      </c>
      <c r="C23" s="6" t="n">
        <v>-57243</v>
      </c>
      <c r="D23" s="6" t="n">
        <v>-93474</v>
      </c>
      <c r="E23" s="6" t="n">
        <v>-43506</v>
      </c>
      <c r="F23" s="6" t="n"/>
    </row>
    <row r="24">
      <c r="A24" s="6" t="inlineStr">
        <is>
          <t>Increase in deposits from clients/by clients and banks</t>
        </is>
      </c>
      <c r="B24" s="6" t="n">
        <v>133690</v>
      </c>
      <c r="C24" s="6" t="n">
        <v>134544</v>
      </c>
      <c r="D24" s="6" t="n">
        <v>67050</v>
      </c>
      <c r="E24" s="6" t="n">
        <v>90941</v>
      </c>
      <c r="F24" s="6" t="n"/>
    </row>
    <row r="25">
      <c r="A25" s="6" t="inlineStr">
        <is>
          <t>(Increase)/decrease in other assets</t>
        </is>
      </c>
      <c r="B25" s="6" t="n">
        <v>-49</v>
      </c>
      <c r="C25" s="6" t="n">
        <v>5</v>
      </c>
      <c r="D25" s="6" t="n">
        <v>1859</v>
      </c>
      <c r="E25" s="6" t="n">
        <v>-2160</v>
      </c>
      <c r="F25" s="6" t="n"/>
    </row>
    <row r="26">
      <c r="A26" s="6" t="inlineStr">
        <is>
          <t>(Decrease)/increase in other liabilities and provisions</t>
        </is>
      </c>
      <c r="B26" s="6" t="n">
        <v>-285</v>
      </c>
      <c r="C26" s="6" t="n">
        <v>117</v>
      </c>
      <c r="D26" s="6" t="n">
        <v>-56</v>
      </c>
      <c r="E26" s="6" t="n">
        <v>405</v>
      </c>
      <c r="F26" s="6" t="n"/>
    </row>
    <row r="27">
      <c r="A27" s="5" t="inlineStr">
        <is>
          <t>Cash generated from/(used in) operating activities</t>
        </is>
      </c>
      <c r="B27" s="5" t="n">
        <v>175165</v>
      </c>
      <c r="C27" s="5" t="n">
        <v>86746</v>
      </c>
      <c r="D27" s="5" t="n">
        <v>-14109</v>
      </c>
      <c r="E27" s="5" t="n"/>
      <c r="F27" s="5" t="n"/>
    </row>
    <row r="28">
      <c r="A28" s="6" t="inlineStr">
        <is>
          <t>Tax paid/(income tax received)</t>
        </is>
      </c>
      <c r="B28" s="6" t="n">
        <v>-131</v>
      </c>
      <c r="C28" s="6" t="n">
        <v>-870</v>
      </c>
      <c r="D28" s="6" t="n"/>
      <c r="E28" s="6" t="n"/>
      <c r="F28" s="6" t="n">
        <v>0</v>
      </c>
    </row>
    <row r="29">
      <c r="A29" s="5" t="inlineStr">
        <is>
          <t>Net cash from/(used in) operating activities</t>
        </is>
      </c>
      <c r="B29" s="5" t="n">
        <v>175034</v>
      </c>
      <c r="C29" s="5" t="n">
        <v>85876</v>
      </c>
      <c r="D29" s="5" t="n">
        <v>-14109</v>
      </c>
      <c r="E29" s="5" t="n">
        <v>50082</v>
      </c>
      <c r="F29" s="5" t="n">
        <v>61740</v>
      </c>
    </row>
    <row r="30">
      <c r="A30" s="5" t="inlineStr">
        <is>
          <t>Investing activities</t>
        </is>
      </c>
      <c r="B30" s="6" t="n"/>
      <c r="C30" s="6" t="n"/>
      <c r="D30" s="6" t="n"/>
      <c r="E30" s="6" t="n"/>
      <c r="F30" s="6" t="n"/>
    </row>
    <row r="31">
      <c r="A31" s="6" t="inlineStr">
        <is>
          <t>Purchase of debt securities</t>
        </is>
      </c>
      <c r="B31" s="6" t="n">
        <v>-853557</v>
      </c>
      <c r="C31" s="6" t="n">
        <v>-414862</v>
      </c>
      <c r="D31" s="6" t="n">
        <v>-67066</v>
      </c>
      <c r="E31" s="6" t="n"/>
      <c r="F31" s="6" t="n"/>
    </row>
    <row r="32">
      <c r="A32" s="6" t="inlineStr">
        <is>
          <t>Sales and maturities of debt securities</t>
        </is>
      </c>
      <c r="B32" s="6" t="n">
        <v>715908</v>
      </c>
      <c r="C32" s="6" t="n">
        <v>257177</v>
      </c>
      <c r="D32" s="6" t="n"/>
      <c r="E32" s="6" t="n"/>
      <c r="F32" s="6" t="n"/>
    </row>
    <row r="33">
      <c r="A33" s="6" t="inlineStr">
        <is>
          <t>Purchase of property, plant and equipment</t>
        </is>
      </c>
      <c r="B33" s="6" t="n">
        <v>-1848</v>
      </c>
      <c r="C33" s="6" t="n">
        <v>-902</v>
      </c>
      <c r="D33" s="6" t="n">
        <v>-77</v>
      </c>
      <c r="E33" s="6" t="n">
        <v>-86</v>
      </c>
      <c r="F33" s="6" t="n"/>
    </row>
    <row r="34">
      <c r="A34" s="6" t="inlineStr">
        <is>
          <t>Purchases/development of intangible assets</t>
        </is>
      </c>
      <c r="B34" s="6" t="n">
        <v>-2736</v>
      </c>
      <c r="C34" s="6" t="n">
        <v>-5995</v>
      </c>
      <c r="D34" s="6" t="n">
        <v>-2184</v>
      </c>
      <c r="E34" s="6" t="n">
        <v>-891</v>
      </c>
      <c r="F34" s="6" t="n">
        <v>-1145</v>
      </c>
    </row>
    <row r="35">
      <c r="A35" s="5" t="inlineStr">
        <is>
          <t>Net cash from/(used in) investing activities</t>
        </is>
      </c>
      <c r="B35" s="5" t="n">
        <v>-142233</v>
      </c>
      <c r="C35" s="5" t="n">
        <v>-164582</v>
      </c>
      <c r="D35" s="5" t="n">
        <v>-69327</v>
      </c>
      <c r="E35" s="5" t="n">
        <v>-977</v>
      </c>
      <c r="F35" s="5" t="n">
        <v>-1145</v>
      </c>
    </row>
    <row r="36">
      <c r="A36" s="5" t="inlineStr">
        <is>
          <t>Financing activities</t>
        </is>
      </c>
      <c r="B36" s="6" t="n"/>
      <c r="C36" s="6" t="n"/>
      <c r="D36" s="6" t="n"/>
      <c r="E36" s="6" t="n"/>
      <c r="F36" s="6" t="n"/>
    </row>
    <row r="37">
      <c r="A37" s="6" t="inlineStr">
        <is>
          <t>Repayment of lease liabilities</t>
        </is>
      </c>
      <c r="B37" s="6" t="n">
        <v>-74</v>
      </c>
      <c r="C37" s="6" t="n">
        <v>-500</v>
      </c>
      <c r="D37" s="6" t="n">
        <v>-427</v>
      </c>
      <c r="E37" s="6" t="n">
        <v>-378</v>
      </c>
      <c r="F37" s="6" t="n">
        <v>-445</v>
      </c>
    </row>
    <row r="38">
      <c r="A38" s="6" t="inlineStr">
        <is>
          <t>Proceeds from issue of shares</t>
        </is>
      </c>
      <c r="B38" s="6" t="n"/>
      <c r="C38" s="6" t="n"/>
      <c r="D38" s="6" t="n">
        <v>2059</v>
      </c>
      <c r="E38" s="6" t="n">
        <v>8000</v>
      </c>
      <c r="F38" s="6" t="n">
        <v>8000</v>
      </c>
    </row>
    <row r="39">
      <c r="A39" s="6" t="inlineStr">
        <is>
          <t>Direct costs of share issuance</t>
        </is>
      </c>
      <c r="B39" s="6" t="n"/>
      <c r="C39" s="6" t="n"/>
      <c r="D39" s="6" t="n">
        <v>-92</v>
      </c>
      <c r="E39" s="6" t="n">
        <v>-154</v>
      </c>
      <c r="F39" s="6" t="n">
        <v>-109</v>
      </c>
    </row>
    <row r="40">
      <c r="A40" s="6" t="inlineStr">
        <is>
          <t>Equity dividends paid</t>
        </is>
      </c>
      <c r="B40" s="6" t="n">
        <v>-3024</v>
      </c>
      <c r="C40" s="6" t="n">
        <v>-1512</v>
      </c>
      <c r="D40" s="6" t="n"/>
      <c r="E40" s="6" t="n"/>
      <c r="F40" s="6" t="n"/>
    </row>
    <row r="41">
      <c r="A41" s="5" t="inlineStr">
        <is>
          <t>Net cash from/(used in) financing activities</t>
        </is>
      </c>
      <c r="B41" s="5" t="n">
        <v>-3098</v>
      </c>
      <c r="C41" s="5" t="n">
        <v>-2012</v>
      </c>
      <c r="D41" s="5" t="n">
        <v>1540</v>
      </c>
      <c r="E41" s="5" t="n">
        <v>7468</v>
      </c>
      <c r="F41" s="5" t="n">
        <v>7446</v>
      </c>
    </row>
    <row r="42">
      <c r="A42" s="5" t="inlineStr">
        <is>
          <t>Net increase/(decrease) in cash and cash equivalents</t>
        </is>
      </c>
      <c r="B42" s="5" t="n">
        <v>29703</v>
      </c>
      <c r="C42" s="5" t="n">
        <v>-80718</v>
      </c>
      <c r="D42" s="5" t="n">
        <v>-81896</v>
      </c>
      <c r="E42" s="5" t="n">
        <v>56573</v>
      </c>
      <c r="F42" s="5" t="n">
        <v>68041</v>
      </c>
    </row>
    <row r="43">
      <c r="A43" s="6" t="inlineStr">
        <is>
          <t>Cash and cash equivalents at the beginning of the year</t>
        </is>
      </c>
      <c r="B43" s="6" t="n">
        <v>125315</v>
      </c>
      <c r="C43" s="6" t="n">
        <v>207363</v>
      </c>
      <c r="D43" s="6" t="n">
        <v>294851</v>
      </c>
      <c r="E43" s="6" t="n">
        <v>228768</v>
      </c>
      <c r="F43" s="6" t="n">
        <v>160960</v>
      </c>
    </row>
    <row r="44">
      <c r="A44" s="6" t="inlineStr">
        <is>
          <t>Effects of foreign exchange rate changes on cash and cash equivalents</t>
        </is>
      </c>
      <c r="B44" s="6" t="n">
        <v>-667</v>
      </c>
      <c r="C44" s="6" t="n">
        <v>-1330</v>
      </c>
      <c r="D44" s="6" t="n">
        <v>-5592</v>
      </c>
      <c r="E44" s="6" t="n">
        <v>9510</v>
      </c>
      <c r="F44" s="6" t="n">
        <v>-233</v>
      </c>
    </row>
    <row r="45">
      <c r="A45" s="5" t="inlineStr">
        <is>
          <t>Cash and cash equivalents at the end of the year</t>
        </is>
      </c>
      <c r="B45" s="5" t="n">
        <v>154351</v>
      </c>
      <c r="C45" s="5" t="n">
        <v>125315</v>
      </c>
      <c r="D45" s="5" t="n">
        <v>207363</v>
      </c>
      <c r="E45" s="5" t="n">
        <v>294851</v>
      </c>
      <c r="F45" s="5" t="n">
        <v>228768</v>
      </c>
    </row>
    <row r="47" ht="170" customHeight="1">
      <c r="A47"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Hampden &amp; Co Plc (Companies House SC386922, FRN 606934) is a small Edinburgh-based private/relationship banking group; it began trading as 'Hampden Bank' during 2025/2026 but the legal entity name and company number are unchanged - confirmed via the entity's own 'about us' page. The cash flow statement's presentation structure genuinely changes mid-series: FY2021-FY2022 present operating activities as a single reconciliation block;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5-year window.</t>
        </is>
      </c>
    </row>
  </sheetData>
  <mergeCells count="1">
    <mergeCell ref="A47:F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c r="D4" s="6" t="n">
        <v>74173</v>
      </c>
      <c r="E4" s="6" t="n">
        <v>65731</v>
      </c>
      <c r="F4" s="6" t="n">
        <v>55264</v>
      </c>
    </row>
    <row r="5" ht="60" customHeight="1">
      <c r="A5" s="7" t="inlineStr">
        <is>
          <t>Note: No Additional Tier 1 or Tier 2 capital any year - CET1 = Tier 1 = Total Capital throughout.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n"/>
      <c r="D4" s="6" t="inlineStr">
        <is>
          <t>20.53%</t>
        </is>
      </c>
      <c r="E4" s="6" t="inlineStr">
        <is>
          <t>20.77%</t>
        </is>
      </c>
      <c r="F4" s="6" t="inlineStr">
        <is>
          <t>19%</t>
        </is>
      </c>
    </row>
    <row r="5" ht="60" customHeight="1">
      <c r="A5" s="7" t="inlineStr">
        <is>
          <t>Note: Not disclosed for FY2024/FY2025 (no standalone Pillar 3 document located for either year); only the aggregate Total Capital Ratio is given in those years' own Annual Reports.</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v>74173</v>
      </c>
      <c r="E4" s="6" t="n">
        <v>65731</v>
      </c>
      <c r="F4" s="6" t="n">
        <v>55264</v>
      </c>
    </row>
    <row r="5" ht="60" customHeight="1">
      <c r="A5" s="7" t="inlineStr">
        <is>
          <t>Note: No AT1 capital any year - Tier 1 = CET1 = Total Capital throughout. Not disclosed for FY2024/FY2025.</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inlineStr">
        <is>
          <t>20.53%</t>
        </is>
      </c>
      <c r="E4" s="6" t="inlineStr">
        <is>
          <t>20.77%</t>
        </is>
      </c>
      <c r="F4" s="6" t="inlineStr">
        <is>
          <t>19%</t>
        </is>
      </c>
    </row>
    <row r="5" ht="60" customHeight="1">
      <c r="A5" s="7" t="inlineStr">
        <is>
          <t>Note: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c r="D4" s="6" t="n">
        <v>74173</v>
      </c>
      <c r="E4" s="6" t="n">
        <v>65731</v>
      </c>
      <c r="F4" s="6" t="n">
        <v>55264</v>
      </c>
    </row>
    <row r="5" ht="60" customHeight="1">
      <c r="A5" s="7" t="inlineStr">
        <is>
          <t>Note: Not disclosed in £'000 terms for FY2024/FY2025 - only the ratio (below) is given.</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t>
        </is>
      </c>
      <c r="C4" s="6" t="inlineStr">
        <is>
          <t>17%</t>
        </is>
      </c>
      <c r="D4" s="6" t="inlineStr">
        <is>
          <t>20.53%</t>
        </is>
      </c>
      <c r="E4" s="6" t="inlineStr">
        <is>
          <t>20.77%</t>
        </is>
      </c>
      <c r="F4" s="6" t="inlineStr">
        <is>
          <t>19%</t>
        </is>
      </c>
    </row>
    <row r="5" ht="60" customHeight="1">
      <c r="A5" s="7" t="inlineStr">
        <is>
          <t>Note: FY2024/FY2025 sourced from each year's own Annual Report Key Performance Indicators table (the only capital metric given there) rather than a standalone Pillar 3 document - none was found published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c r="D4" s="6" t="n">
        <v>361317</v>
      </c>
      <c r="E4" s="6" t="n">
        <v>316422</v>
      </c>
      <c r="F4" s="6" t="n">
        <v>285422</v>
      </c>
    </row>
    <row r="5" ht="60" customHeight="1">
      <c r="A5" s="7" t="inlineStr">
        <is>
          <t>Note: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 FY2022-FY2023)</t>
        </is>
      </c>
      <c r="B4" s="6" t="n"/>
      <c r="C4" s="6" t="n"/>
      <c r="D4" s="6" t="inlineStr">
        <is>
          <t>8.36%</t>
        </is>
      </c>
      <c r="E4" s="6" t="inlineStr">
        <is>
          <t>8.72%</t>
        </is>
      </c>
      <c r="F4" s="6" t="n"/>
    </row>
    <row r="5">
      <c r="A5" s="6" t="inlineStr">
        <is>
          <t>Leverage ratio (FY2021 basis, as originally disclosed)</t>
        </is>
      </c>
      <c r="B5" s="6" t="n"/>
      <c r="C5" s="6" t="n"/>
      <c r="D5" s="6" t="n"/>
      <c r="E5" s="6" t="n"/>
      <c r="F5" s="6" t="inlineStr">
        <is>
          <t>7%</t>
        </is>
      </c>
    </row>
    <row r="6" ht="60" customHeight="1">
      <c r="A6" s="7" t="inlineStr">
        <is>
          <t>Note: FY2021's pre-UK-KM1-format disclosure does not specify whether central-bank claims are excluded - shown on its own row rather than merged with the later, explicitly-labelled basis. Not disclosed for FY2024/FY2025.</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t>
        </is>
      </c>
      <c r="B4" s="6" t="n"/>
      <c r="C4" s="6" t="n"/>
      <c r="D4" s="6" t="inlineStr">
        <is>
          <t>262%</t>
        </is>
      </c>
      <c r="E4" s="6" t="inlineStr">
        <is>
          <t>213%</t>
        </is>
      </c>
      <c r="F4" s="6" t="n"/>
    </row>
    <row r="5">
      <c r="A5" s="6" t="inlineStr">
        <is>
          <t>Liquidity Coverage Ratio (point-in-time, FY2021 basis)</t>
        </is>
      </c>
      <c r="B5" s="6" t="n"/>
      <c r="C5" s="6" t="n"/>
      <c r="D5" s="6" t="n"/>
      <c r="E5" s="6" t="n"/>
      <c r="F5" s="6" t="inlineStr">
        <is>
          <t>180%</t>
        </is>
      </c>
    </row>
    <row r="6" ht="60" customHeight="1">
      <c r="A6" s="7" t="inlineStr">
        <is>
          <t>Note: FY2021's disclosure predates the UK KM1 format and does not state an averaging basis (later years use a 12-month average per KM1) - shown on its own row rather than assumed equivalent. Not disclosed for FY2024/FY2025.</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(4-quarter average)</t>
        </is>
      </c>
      <c r="B4" s="6" t="n"/>
      <c r="C4" s="6" t="n"/>
      <c r="D4" s="6" t="inlineStr">
        <is>
          <t>186%</t>
        </is>
      </c>
      <c r="E4" s="6" t="inlineStr">
        <is>
          <t>186%</t>
        </is>
      </c>
      <c r="F4" s="6" t="n"/>
    </row>
    <row r="5" ht="60" customHeight="1">
      <c r="A5" s="7" t="inlineStr">
        <is>
          <t>Note: Not disclosed for FY2021 - the Bank's own FY2021 Pillar 3 report contains no NSFR section at all, consistent with the UK's NSFR reporting requirement only commencing during 2022 for firms of this size (the same commencement pattern already seen at Ghana International Bank). Not disclosed for FY2024/FY2025.</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MREL-related content appears in any Pillar 3 document reviewed (FY2021-FY2023);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2026-08-28T13:45:44Z</dcterms:created>
  <dcterms:modified xsi:type="dcterms:W3CDTF">2026-08-28T13:45:44Z</dcterms:modified>
</cp:coreProperties>
</file>