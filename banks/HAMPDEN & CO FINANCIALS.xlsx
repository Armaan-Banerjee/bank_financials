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1227049</v>
      </c>
      <c r="C6" s="5" t="n">
        <v>1089302</v>
      </c>
      <c r="D6" s="5" t="n">
        <v>946163</v>
      </c>
      <c r="E6" s="5" t="n">
        <v>874485</v>
      </c>
      <c r="F6" s="5" t="n">
        <v>756181</v>
      </c>
      <c r="I6" t="inlineStr">
        <is>
          <t>Total assets</t>
        </is>
      </c>
      <c r="J6" t="n">
        <v>756181</v>
      </c>
      <c r="K6" t="n">
        <v>874485</v>
      </c>
      <c r="L6" t="n">
        <v>946163</v>
      </c>
      <c r="M6" t="n">
        <v>1089302</v>
      </c>
      <c r="N6" t="n">
        <v>1227049</v>
      </c>
      <c r="AO6" t="inlineStr">
        <is>
          <t>CET1 Ratio</t>
        </is>
      </c>
      <c r="AP6" t="n">
        <v>19</v>
      </c>
      <c r="AQ6" t="n">
        <v>20.77</v>
      </c>
      <c r="AR6" t="n">
        <v>20.53</v>
      </c>
    </row>
    <row r="7">
      <c r="A7" s="5" t="inlineStr">
        <is>
          <t>Loans and advances to clients</t>
        </is>
      </c>
      <c r="B7" s="5" t="n">
        <v>639581</v>
      </c>
      <c r="C7" s="5" t="n">
        <v>585893</v>
      </c>
      <c r="D7" s="5" t="n">
        <v>487624</v>
      </c>
      <c r="E7" s="5" t="n">
        <v>447675</v>
      </c>
      <c r="F7" s="5" t="n">
        <v>422160</v>
      </c>
      <c r="I7" t="inlineStr">
        <is>
          <t>Loans and advances to clients</t>
        </is>
      </c>
      <c r="J7" t="n">
        <v>422160</v>
      </c>
      <c r="K7" t="n">
        <v>447675</v>
      </c>
      <c r="L7" t="n">
        <v>487624</v>
      </c>
      <c r="M7" t="n">
        <v>585893</v>
      </c>
      <c r="N7" t="n">
        <v>639581</v>
      </c>
      <c r="AO7" t="inlineStr">
        <is>
          <t>Tier 1 Ratio</t>
        </is>
      </c>
      <c r="AP7" t="n">
        <v>19</v>
      </c>
      <c r="AQ7" t="n">
        <v>20.77</v>
      </c>
      <c r="AR7" t="n">
        <v>20.53</v>
      </c>
    </row>
    <row r="8">
      <c r="A8" s="5" t="inlineStr">
        <is>
          <t>Deposits from clients</t>
        </is>
      </c>
      <c r="B8" s="5" t="n">
        <v>1123743</v>
      </c>
      <c r="C8" s="5" t="n">
        <v>990720</v>
      </c>
      <c r="D8" s="5" t="n">
        <v>857506</v>
      </c>
      <c r="E8" s="5" t="n">
        <v>796049</v>
      </c>
      <c r="F8" s="5" t="n">
        <v>695590</v>
      </c>
      <c r="I8" t="inlineStr">
        <is>
          <t>Deposits from clients</t>
        </is>
      </c>
      <c r="J8" t="n">
        <v>695590</v>
      </c>
      <c r="K8" t="n">
        <v>796049</v>
      </c>
      <c r="L8" t="n">
        <v>857506</v>
      </c>
      <c r="M8" t="n">
        <v>990720</v>
      </c>
      <c r="N8" t="n">
        <v>1123743</v>
      </c>
      <c r="AO8" t="inlineStr">
        <is>
          <t>Total Capital Ratio</t>
        </is>
      </c>
      <c r="AP8" t="n">
        <v>19</v>
      </c>
      <c r="AQ8" t="n">
        <v>20.77</v>
      </c>
      <c r="AR8" t="n">
        <v>20.53</v>
      </c>
      <c r="AS8" t="n">
        <v>17</v>
      </c>
      <c r="AT8" t="n">
        <v>17</v>
      </c>
    </row>
    <row r="9">
      <c r="A9" s="5" t="inlineStr">
        <is>
          <t>Total equity</t>
        </is>
      </c>
      <c r="B9" s="5" t="n">
        <v>92036</v>
      </c>
      <c r="C9" s="5" t="n">
        <v>90108</v>
      </c>
      <c r="D9" s="5" t="n">
        <v>82424</v>
      </c>
      <c r="E9" s="5" t="n">
        <v>72852</v>
      </c>
      <c r="F9" s="5" t="n">
        <v>57302</v>
      </c>
      <c r="I9" t="inlineStr">
        <is>
          <t>Total equity</t>
        </is>
      </c>
      <c r="J9" t="n">
        <v>57302</v>
      </c>
      <c r="K9" t="n">
        <v>72852</v>
      </c>
      <c r="L9" t="n">
        <v>82424</v>
      </c>
      <c r="M9" t="n">
        <v>90108</v>
      </c>
      <c r="N9" t="n">
        <v>92036</v>
      </c>
      <c r="AO9" t="inlineStr">
        <is>
          <t>LCR</t>
        </is>
      </c>
      <c r="AP9" t="n">
        <v>180</v>
      </c>
      <c r="AQ9" t="n">
        <v>213</v>
      </c>
      <c r="AR9" t="n">
        <v>262</v>
      </c>
    </row>
    <row r="10">
      <c r="AO10" t="inlineStr">
        <is>
          <t>NSFR</t>
        </is>
      </c>
      <c r="AQ10" t="n">
        <v>186</v>
      </c>
      <c r="AR10" t="n">
        <v>186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31463</v>
      </c>
      <c r="C13" s="5" t="n">
        <v>30324</v>
      </c>
      <c r="D13" s="5" t="n">
        <v>31187</v>
      </c>
      <c r="E13" s="5" t="n">
        <v>22856</v>
      </c>
      <c r="F13" s="5" t="n">
        <v>13207</v>
      </c>
      <c r="Q13" t="inlineStr">
        <is>
          <t>Total income</t>
        </is>
      </c>
      <c r="R13" t="n">
        <v>13207</v>
      </c>
      <c r="S13" t="n">
        <v>22856</v>
      </c>
      <c r="T13" t="n">
        <v>31187</v>
      </c>
      <c r="U13" t="n">
        <v>30324</v>
      </c>
      <c r="V13" t="n">
        <v>31463</v>
      </c>
    </row>
    <row r="14">
      <c r="A14" s="5" t="inlineStr">
        <is>
          <t>Operating expenses</t>
        </is>
      </c>
      <c r="B14" s="5" t="n">
        <v>-24617</v>
      </c>
      <c r="C14" s="5" t="n">
        <v>-22131</v>
      </c>
      <c r="D14" s="5" t="n">
        <v>-21941</v>
      </c>
      <c r="E14" s="5" t="n">
        <v>-20782</v>
      </c>
      <c r="F14" s="5" t="n">
        <v>-16182</v>
      </c>
      <c r="Q14" t="inlineStr">
        <is>
          <t>Operating expenses</t>
        </is>
      </c>
      <c r="R14" t="n">
        <v>-16182</v>
      </c>
      <c r="S14" t="n">
        <v>-20782</v>
      </c>
      <c r="T14" t="n">
        <v>-21941</v>
      </c>
      <c r="U14" t="n">
        <v>-22131</v>
      </c>
      <c r="V14" t="n">
        <v>-24617</v>
      </c>
    </row>
    <row r="15">
      <c r="A15" s="5" t="inlineStr">
        <is>
          <t>Profit/(loss) for the year</t>
        </is>
      </c>
      <c r="B15" s="5" t="n">
        <v>4989</v>
      </c>
      <c r="C15" s="5" t="n">
        <v>9111</v>
      </c>
      <c r="D15" s="5" t="n">
        <v>8107</v>
      </c>
      <c r="E15" s="5" t="n">
        <v>6864</v>
      </c>
      <c r="F15" s="5" t="n">
        <v>-2970</v>
      </c>
      <c r="Q15" t="inlineStr">
        <is>
          <t>Profit/(loss) for the year</t>
        </is>
      </c>
      <c r="R15" t="n">
        <v>-2970</v>
      </c>
      <c r="S15" t="n">
        <v>6864</v>
      </c>
      <c r="T15" t="n">
        <v>8107</v>
      </c>
      <c r="U15" t="n">
        <v>9111</v>
      </c>
      <c r="V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90108</v>
      </c>
      <c r="C19" s="5" t="n">
        <v>82424</v>
      </c>
      <c r="D19" s="5" t="n">
        <v>72852</v>
      </c>
      <c r="E19" s="5" t="n">
        <v>57302</v>
      </c>
      <c r="F19" s="5" t="n">
        <v>51339</v>
      </c>
      <c r="Y19" t="inlineStr">
        <is>
          <t>Opening equity</t>
        </is>
      </c>
      <c r="Z19" t="n">
        <v>51339</v>
      </c>
      <c r="AA19" t="n">
        <v>57302</v>
      </c>
      <c r="AB19" t="n">
        <v>72852</v>
      </c>
      <c r="AC19" t="n">
        <v>82424</v>
      </c>
      <c r="AD19" t="n">
        <v>90108</v>
      </c>
    </row>
    <row r="20">
      <c r="A20" s="5" t="inlineStr">
        <is>
          <t>Profit/(loss) for the year</t>
        </is>
      </c>
      <c r="B20" s="5" t="n">
        <v>4989</v>
      </c>
      <c r="C20" s="5" t="n">
        <v>9111</v>
      </c>
      <c r="D20" s="5" t="n">
        <v>8107</v>
      </c>
      <c r="E20" s="5" t="n">
        <v>6864</v>
      </c>
      <c r="F20" s="5" t="n">
        <v>-2970</v>
      </c>
      <c r="Y20" t="inlineStr">
        <is>
          <t>Profit/(loss) for the year</t>
        </is>
      </c>
      <c r="Z20" t="n">
        <v>-2970</v>
      </c>
      <c r="AA20" t="n">
        <v>6864</v>
      </c>
      <c r="AB20" t="n">
        <v>8107</v>
      </c>
      <c r="AC20" t="n">
        <v>9111</v>
      </c>
      <c r="AD20" t="n">
        <v>4989</v>
      </c>
    </row>
    <row r="21">
      <c r="A21" s="5" t="inlineStr">
        <is>
          <t>Other equity movements, net</t>
        </is>
      </c>
      <c r="B21" s="5" t="n">
        <v>-3061</v>
      </c>
      <c r="C21" s="5" t="n">
        <v>-1427</v>
      </c>
      <c r="D21" s="5" t="n">
        <v>1465</v>
      </c>
      <c r="E21" s="5" t="n">
        <v>8686</v>
      </c>
      <c r="F21" s="5" t="n">
        <v>8933</v>
      </c>
      <c r="Y21" t="inlineStr">
        <is>
          <t>Other equity movements, net</t>
        </is>
      </c>
      <c r="Z21" t="n">
        <v>8933</v>
      </c>
      <c r="AA21" t="n">
        <v>8686</v>
      </c>
      <c r="AB21" t="n">
        <v>1465</v>
      </c>
      <c r="AC21" t="n">
        <v>-1427</v>
      </c>
      <c r="AD21" t="n">
        <v>-3061</v>
      </c>
    </row>
    <row r="22">
      <c r="A22" s="5" t="inlineStr">
        <is>
          <t>Closing equity</t>
        </is>
      </c>
      <c r="B22" s="5" t="n">
        <v>92036</v>
      </c>
      <c r="C22" s="5" t="n">
        <v>90108</v>
      </c>
      <c r="D22" s="5" t="n">
        <v>82424</v>
      </c>
      <c r="E22" s="5" t="n">
        <v>72852</v>
      </c>
      <c r="F22" s="5" t="n">
        <v>57302</v>
      </c>
      <c r="Y22" t="inlineStr">
        <is>
          <t>Closing equity</t>
        </is>
      </c>
      <c r="Z22" t="n">
        <v>57302</v>
      </c>
      <c r="AA22" t="n">
        <v>72852</v>
      </c>
      <c r="AB22" t="n">
        <v>82424</v>
      </c>
      <c r="AC22" t="n">
        <v>90108</v>
      </c>
      <c r="AD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175034</v>
      </c>
      <c r="C26" s="5" t="n">
        <v>85876</v>
      </c>
      <c r="D26" s="5" t="n">
        <v>-14109</v>
      </c>
      <c r="E26" s="5" t="n">
        <v>50082</v>
      </c>
      <c r="F26" s="5" t="n">
        <v>61740</v>
      </c>
      <c r="AG26" t="inlineStr">
        <is>
          <t>Net cash from/(used in) operating activities</t>
        </is>
      </c>
      <c r="AH26" t="n">
        <v>61740</v>
      </c>
      <c r="AI26" t="n">
        <v>50082</v>
      </c>
      <c r="AJ26" t="n">
        <v>-14109</v>
      </c>
      <c r="AK26" t="n">
        <v>85876</v>
      </c>
      <c r="AL26" t="n">
        <v>175034</v>
      </c>
    </row>
    <row r="27">
      <c r="A27" s="5" t="inlineStr">
        <is>
          <t>Net cash from/(used in) investing activities</t>
        </is>
      </c>
      <c r="B27" s="5" t="n">
        <v>-142233</v>
      </c>
      <c r="C27" s="5" t="n">
        <v>-164582</v>
      </c>
      <c r="D27" s="5" t="n">
        <v>-69327</v>
      </c>
      <c r="E27" s="5" t="n">
        <v>-977</v>
      </c>
      <c r="F27" s="5" t="n">
        <v>-1145</v>
      </c>
      <c r="AG27" t="inlineStr">
        <is>
          <t>Net cash from/(used in) investing activities</t>
        </is>
      </c>
      <c r="AH27" t="n">
        <v>-1145</v>
      </c>
      <c r="AI27" t="n">
        <v>-977</v>
      </c>
      <c r="AJ27" t="n">
        <v>-69327</v>
      </c>
      <c r="AK27" t="n">
        <v>-164582</v>
      </c>
      <c r="AL27" t="n">
        <v>-142233</v>
      </c>
    </row>
    <row r="28">
      <c r="A28" s="5" t="inlineStr">
        <is>
          <t>Net cash from/(used in) financing activities</t>
        </is>
      </c>
      <c r="B28" s="5" t="n">
        <v>-3098</v>
      </c>
      <c r="C28" s="5" t="n">
        <v>-2012</v>
      </c>
      <c r="D28" s="5" t="n">
        <v>1540</v>
      </c>
      <c r="E28" s="5" t="n">
        <v>7468</v>
      </c>
      <c r="F28" s="5" t="n">
        <v>7446</v>
      </c>
      <c r="AG28" t="inlineStr">
        <is>
          <t>Net cash from/(used in) financing activities</t>
        </is>
      </c>
      <c r="AH28" t="n">
        <v>7446</v>
      </c>
      <c r="AI28" t="n">
        <v>7468</v>
      </c>
      <c r="AJ28" t="n">
        <v>1540</v>
      </c>
      <c r="AK28" t="n">
        <v>-2012</v>
      </c>
      <c r="AL28" t="n">
        <v>-3098</v>
      </c>
    </row>
    <row r="29">
      <c r="A29" s="5" t="inlineStr">
        <is>
          <t>Cash and cash equivalents at end of year</t>
        </is>
      </c>
      <c r="B29" s="5" t="n">
        <v>154351</v>
      </c>
      <c r="C29" s="5" t="n">
        <v>125315</v>
      </c>
      <c r="D29" s="5" t="n">
        <v>207363</v>
      </c>
      <c r="E29" s="5" t="n">
        <v>294851</v>
      </c>
      <c r="F29" s="5" t="n">
        <v>228768</v>
      </c>
      <c r="AG29" t="inlineStr">
        <is>
          <t>Cash and cash equivalents at end of year</t>
        </is>
      </c>
      <c r="AH29" t="n">
        <v>228768</v>
      </c>
      <c r="AI29" t="n">
        <v>294851</v>
      </c>
      <c r="AJ29" t="n">
        <v>207363</v>
      </c>
      <c r="AK29" t="n">
        <v>125315</v>
      </c>
      <c r="AL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c r="C33" s="6" t="n"/>
      <c r="D33" s="6" t="inlineStr">
        <is>
          <t>20.53%</t>
        </is>
      </c>
      <c r="E33" s="6" t="inlineStr">
        <is>
          <t>20.77%</t>
        </is>
      </c>
      <c r="F33" s="6" t="inlineStr">
        <is>
          <t>19%</t>
        </is>
      </c>
    </row>
    <row r="34">
      <c r="A34" s="6" t="inlineStr">
        <is>
          <t>Tier 1 Ratio</t>
        </is>
      </c>
      <c r="B34" s="6" t="n"/>
      <c r="C34" s="6" t="n"/>
      <c r="D34" s="6" t="inlineStr">
        <is>
          <t>20.53%</t>
        </is>
      </c>
      <c r="E34" s="6" t="inlineStr">
        <is>
          <t>20.77%</t>
        </is>
      </c>
      <c r="F34" s="6" t="inlineStr">
        <is>
          <t>19%</t>
        </is>
      </c>
    </row>
    <row r="35">
      <c r="A35" s="6" t="inlineStr">
        <is>
          <t>Total Capital Ratio</t>
        </is>
      </c>
      <c r="B35" s="6" t="inlineStr">
        <is>
          <t>17%</t>
        </is>
      </c>
      <c r="C35" s="6" t="inlineStr">
        <is>
          <t>17%</t>
        </is>
      </c>
      <c r="D35" s="6" t="inlineStr">
        <is>
          <t>20.53%</t>
        </is>
      </c>
      <c r="E35" s="6" t="inlineStr">
        <is>
          <t>20.77%</t>
        </is>
      </c>
      <c r="F35" s="6" t="inlineStr">
        <is>
          <t>19%</t>
        </is>
      </c>
    </row>
    <row r="36">
      <c r="A36" s="6" t="inlineStr">
        <is>
          <t>LCR</t>
        </is>
      </c>
      <c r="B36" s="6" t="n"/>
      <c r="C36" s="6" t="n"/>
      <c r="D36" s="6" t="inlineStr">
        <is>
          <t>262%</t>
        </is>
      </c>
      <c r="E36" s="6" t="inlineStr">
        <is>
          <t>213%</t>
        </is>
      </c>
      <c r="F36" s="6" t="inlineStr">
        <is>
          <t>180%</t>
        </is>
      </c>
    </row>
    <row r="37">
      <c r="A37" s="6" t="inlineStr">
        <is>
          <t>NSFR</t>
        </is>
      </c>
      <c r="B37" s="6" t="n"/>
      <c r="C37" s="6" t="n"/>
      <c r="D37" s="6" t="inlineStr">
        <is>
          <t>186%</t>
        </is>
      </c>
      <c r="E37" s="6" t="inlineStr">
        <is>
          <t>186%</t>
        </is>
      </c>
      <c r="F37" s="6" t="n"/>
    </row>
    <row r="39" ht="45" customHeight="1">
      <c r="A39" s="7" t="inlineStr">
        <is>
          <t>Note: Figures are duplicated from the detail sheets for at-a-glance trend viewing; see each sheet's own source citation for the underlying document/page. FY2024/FY2025 ratios other than Total Capital Ratio are blank - no standalone Pillar 3 document was found published for either year.</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60397</v>
      </c>
      <c r="C5" s="6" t="n">
        <v>52771</v>
      </c>
      <c r="D5" s="6" t="n">
        <v>104956</v>
      </c>
      <c r="E5" s="6" t="n">
        <v>172477</v>
      </c>
      <c r="F5" s="6" t="n">
        <v>139948</v>
      </c>
    </row>
    <row r="6">
      <c r="A6" s="6" t="inlineStr">
        <is>
          <t>Loans and advances to banks</t>
        </is>
      </c>
      <c r="B6" s="6" t="n">
        <v>137120</v>
      </c>
      <c r="C6" s="6" t="n">
        <v>203664</v>
      </c>
      <c r="D6" s="6" t="n">
        <v>274523</v>
      </c>
      <c r="E6" s="6" t="n">
        <v>241254</v>
      </c>
      <c r="F6" s="6" t="n">
        <v>189686</v>
      </c>
    </row>
    <row r="7">
      <c r="A7" s="6" t="inlineStr">
        <is>
          <t>Debt securities</t>
        </is>
      </c>
      <c r="B7" s="6" t="n">
        <v>362399</v>
      </c>
      <c r="C7" s="6" t="n">
        <v>224751</v>
      </c>
      <c r="D7" s="6" t="n">
        <v>67066</v>
      </c>
      <c r="E7" s="6" t="n">
        <v>0</v>
      </c>
      <c r="F7" s="6" t="n"/>
    </row>
    <row r="8">
      <c r="A8" s="6" t="inlineStr">
        <is>
          <t>Loans and advances to clients</t>
        </is>
      </c>
      <c r="B8" s="6" t="n">
        <v>639581</v>
      </c>
      <c r="C8" s="6" t="n">
        <v>585893</v>
      </c>
      <c r="D8" s="6" t="n">
        <v>487624</v>
      </c>
      <c r="E8" s="6" t="n">
        <v>447675</v>
      </c>
      <c r="F8" s="6" t="n">
        <v>422160</v>
      </c>
    </row>
    <row r="9">
      <c r="A9" s="6" t="inlineStr">
        <is>
          <t>Fair value adjustment for hedged risk on loans and advances to clients</t>
        </is>
      </c>
      <c r="B9" s="6" t="n">
        <v>607</v>
      </c>
      <c r="C9" s="6" t="n">
        <v>-175</v>
      </c>
      <c r="D9" s="6" t="n">
        <v>759</v>
      </c>
      <c r="E9" s="6" t="n">
        <v>-256</v>
      </c>
      <c r="F9" s="6" t="n">
        <v>0</v>
      </c>
    </row>
    <row r="10">
      <c r="A10" s="6" t="inlineStr">
        <is>
          <t>Derivative financial instruments</t>
        </is>
      </c>
      <c r="B10" s="6" t="n">
        <v>413</v>
      </c>
      <c r="C10" s="6" t="n">
        <v>1016</v>
      </c>
      <c r="D10" s="6" t="n">
        <v>1083</v>
      </c>
      <c r="E10" s="6" t="n">
        <v>1867</v>
      </c>
      <c r="F10" s="6" t="n">
        <v>0</v>
      </c>
    </row>
    <row r="11">
      <c r="A11" s="6" t="inlineStr">
        <is>
          <t>Deferred tax asset</t>
        </is>
      </c>
      <c r="B11" s="6" t="n">
        <v>3823</v>
      </c>
      <c r="C11" s="6" t="n">
        <v>5605</v>
      </c>
      <c r="D11" s="6" t="n">
        <v>4315</v>
      </c>
      <c r="E11" s="6" t="n">
        <v>4819</v>
      </c>
      <c r="F11" s="6" t="n">
        <v>0</v>
      </c>
    </row>
    <row r="12">
      <c r="A12" s="6" t="inlineStr">
        <is>
          <t>Prepayments and accrued income</t>
        </is>
      </c>
      <c r="B12" s="6" t="n">
        <v>2334</v>
      </c>
      <c r="C12" s="6" t="n">
        <v>1063</v>
      </c>
      <c r="D12" s="6" t="n">
        <v>623</v>
      </c>
      <c r="E12" s="6" t="n">
        <v>1118</v>
      </c>
      <c r="F12" s="6" t="n">
        <v>913</v>
      </c>
    </row>
    <row r="13">
      <c r="A13" s="6" t="inlineStr">
        <is>
          <t>Other assets</t>
        </is>
      </c>
      <c r="B13" s="6" t="n">
        <v>558</v>
      </c>
      <c r="C13" s="6" t="n">
        <v>508</v>
      </c>
      <c r="D13" s="6" t="n">
        <v>513</v>
      </c>
      <c r="E13" s="6" t="n">
        <v>2372</v>
      </c>
      <c r="F13" s="6" t="n">
        <v>212</v>
      </c>
    </row>
    <row r="14">
      <c r="A14" s="6" t="inlineStr">
        <is>
          <t>Property, plant and equipment</t>
        </is>
      </c>
      <c r="B14" s="6" t="n">
        <v>1370</v>
      </c>
      <c r="C14" s="6" t="n">
        <v>570</v>
      </c>
      <c r="D14" s="6" t="n">
        <v>176</v>
      </c>
      <c r="E14" s="6" t="n">
        <v>143</v>
      </c>
      <c r="F14" s="6" t="n">
        <v>85</v>
      </c>
    </row>
    <row r="15">
      <c r="A15" s="6" t="inlineStr">
        <is>
          <t>Right-of-use assets</t>
        </is>
      </c>
      <c r="B15" s="6" t="n">
        <v>8051</v>
      </c>
      <c r="C15" s="6" t="n">
        <v>4439</v>
      </c>
      <c r="D15" s="6" t="n">
        <v>589</v>
      </c>
      <c r="E15" s="6" t="n">
        <v>714</v>
      </c>
      <c r="F15" s="6" t="n">
        <v>1139</v>
      </c>
    </row>
    <row r="16">
      <c r="A16" s="6" t="inlineStr">
        <is>
          <t>Intangible assets</t>
        </is>
      </c>
      <c r="B16" s="6" t="n">
        <v>10396</v>
      </c>
      <c r="C16" s="6" t="n">
        <v>9197</v>
      </c>
      <c r="D16" s="6" t="n">
        <v>3936</v>
      </c>
      <c r="E16" s="6" t="n">
        <v>2302</v>
      </c>
      <c r="F16" s="6" t="n">
        <v>2038</v>
      </c>
    </row>
    <row r="17">
      <c r="A17" s="5" t="inlineStr">
        <is>
          <t>Total assets</t>
        </is>
      </c>
      <c r="B17" s="5" t="n">
        <v>1227049</v>
      </c>
      <c r="C17" s="5" t="n">
        <v>1089302</v>
      </c>
      <c r="D17" s="5" t="n">
        <v>946163</v>
      </c>
      <c r="E17" s="5" t="n">
        <v>874485</v>
      </c>
      <c r="F17" s="5" t="n">
        <v>756181</v>
      </c>
    </row>
    <row r="18">
      <c r="A18" s="5" t="inlineStr">
        <is>
          <t>Liabilities</t>
        </is>
      </c>
      <c r="B18" s="6" t="n"/>
      <c r="C18" s="6" t="n"/>
      <c r="D18" s="6" t="n"/>
      <c r="E18" s="6" t="n"/>
      <c r="F18" s="6" t="n"/>
    </row>
    <row r="19">
      <c r="A19" s="6" t="inlineStr">
        <is>
          <t>Deposits from clients</t>
        </is>
      </c>
      <c r="B19" s="6" t="n">
        <v>1123743</v>
      </c>
      <c r="C19" s="6" t="n">
        <v>990720</v>
      </c>
      <c r="D19" s="6" t="n">
        <v>857506</v>
      </c>
      <c r="E19" s="6" t="n">
        <v>796049</v>
      </c>
      <c r="F19" s="6" t="n">
        <v>695590</v>
      </c>
    </row>
    <row r="20">
      <c r="A20" s="6" t="inlineStr">
        <is>
          <t>Derivative financial instruments (liability)</t>
        </is>
      </c>
      <c r="B20" s="6" t="n">
        <v>788</v>
      </c>
      <c r="C20" s="6" t="n">
        <v>436</v>
      </c>
      <c r="D20" s="6" t="n">
        <v>1194</v>
      </c>
      <c r="E20" s="6" t="n">
        <v>838</v>
      </c>
      <c r="F20" s="6" t="n">
        <v>0</v>
      </c>
    </row>
    <row r="21">
      <c r="A21" s="6" t="inlineStr">
        <is>
          <t>Current tax liabilities</t>
        </is>
      </c>
      <c r="B21" s="6" t="n">
        <v>72</v>
      </c>
      <c r="C21" s="6" t="n">
        <v>22</v>
      </c>
      <c r="D21" s="6" t="n">
        <v>532</v>
      </c>
      <c r="E21" s="6" t="n">
        <v>0</v>
      </c>
      <c r="F21" s="6" t="n"/>
    </row>
    <row r="22">
      <c r="A22" s="6" t="inlineStr">
        <is>
          <t>Accruals and deferred income</t>
        </is>
      </c>
      <c r="B22" s="6" t="n">
        <v>2530</v>
      </c>
      <c r="C22" s="6" t="n">
        <v>3472</v>
      </c>
      <c r="D22" s="6" t="n">
        <v>3447</v>
      </c>
      <c r="E22" s="6" t="n">
        <v>3440</v>
      </c>
      <c r="F22" s="6" t="n">
        <v>2014</v>
      </c>
    </row>
    <row r="23">
      <c r="A23" s="6" t="inlineStr">
        <is>
          <t>Lease liabilities</t>
        </is>
      </c>
      <c r="B23" s="6" t="n">
        <v>7565</v>
      </c>
      <c r="C23" s="6" t="n">
        <v>3940</v>
      </c>
      <c r="D23" s="6" t="n">
        <v>574</v>
      </c>
      <c r="E23" s="6" t="n">
        <v>756</v>
      </c>
      <c r="F23" s="6" t="n">
        <v>1134</v>
      </c>
    </row>
    <row r="24">
      <c r="A24" s="6" t="inlineStr">
        <is>
          <t>Other liabilities</t>
        </is>
      </c>
      <c r="B24" s="6" t="n">
        <v>24</v>
      </c>
      <c r="C24" s="6" t="n">
        <v>87</v>
      </c>
      <c r="D24" s="6" t="n">
        <v>21</v>
      </c>
      <c r="E24" s="6" t="n">
        <v>174</v>
      </c>
      <c r="F24" s="6" t="n">
        <v>18</v>
      </c>
    </row>
    <row r="25">
      <c r="A25" s="6" t="inlineStr">
        <is>
          <t>Provisions</t>
        </is>
      </c>
      <c r="B25" s="6" t="n">
        <v>291</v>
      </c>
      <c r="C25" s="6" t="n">
        <v>517</v>
      </c>
      <c r="D25" s="6" t="n">
        <v>465</v>
      </c>
      <c r="E25" s="6" t="n">
        <v>376</v>
      </c>
      <c r="F25" s="6" t="n">
        <v>123</v>
      </c>
    </row>
    <row r="26">
      <c r="A26" s="5" t="inlineStr">
        <is>
          <t>Total liabilities</t>
        </is>
      </c>
      <c r="B26" s="5" t="n">
        <v>1135013</v>
      </c>
      <c r="C26" s="5" t="n">
        <v>999194</v>
      </c>
      <c r="D26" s="5" t="n">
        <v>863739</v>
      </c>
      <c r="E26" s="5" t="n">
        <v>801633</v>
      </c>
      <c r="F26" s="5" t="n">
        <v>698879</v>
      </c>
    </row>
    <row r="27">
      <c r="A27" s="5" t="inlineStr">
        <is>
          <t>Equity</t>
        </is>
      </c>
      <c r="B27" s="6" t="n"/>
      <c r="C27" s="6" t="n"/>
      <c r="D27" s="6" t="n"/>
      <c r="E27" s="6" t="n"/>
      <c r="F27" s="6" t="n"/>
    </row>
    <row r="28">
      <c r="A28" s="6" t="inlineStr">
        <is>
          <t>Share capital</t>
        </is>
      </c>
      <c r="B28" s="6" t="n">
        <v>4726</v>
      </c>
      <c r="C28" s="6" t="n">
        <v>4726</v>
      </c>
      <c r="D28" s="6" t="n">
        <v>4726</v>
      </c>
      <c r="E28" s="6" t="n">
        <v>4623</v>
      </c>
      <c r="F28" s="6" t="n">
        <v>4223</v>
      </c>
    </row>
    <row r="29">
      <c r="A29" s="6" t="inlineStr">
        <is>
          <t>Share premium account</t>
        </is>
      </c>
      <c r="B29" s="6" t="n">
        <v>25865</v>
      </c>
      <c r="C29" s="6" t="n">
        <v>25865</v>
      </c>
      <c r="D29" s="6" t="n">
        <v>25865</v>
      </c>
      <c r="E29" s="6" t="n">
        <v>24001</v>
      </c>
      <c r="F29" s="6" t="n">
        <v>16555</v>
      </c>
    </row>
    <row r="30">
      <c r="A30" s="6" t="inlineStr">
        <is>
          <t>Retained earnings</t>
        </is>
      </c>
      <c r="B30" s="6" t="n">
        <v>61445</v>
      </c>
      <c r="C30" s="6" t="n">
        <v>59517</v>
      </c>
      <c r="D30" s="6" t="n">
        <v>51833</v>
      </c>
      <c r="E30" s="6" t="n">
        <v>44228</v>
      </c>
      <c r="F30" s="6" t="n">
        <v>36524</v>
      </c>
    </row>
    <row r="31">
      <c r="A31" s="5" t="inlineStr">
        <is>
          <t>Total equity</t>
        </is>
      </c>
      <c r="B31" s="5" t="n">
        <v>92036</v>
      </c>
      <c r="C31" s="5" t="n">
        <v>90108</v>
      </c>
      <c r="D31" s="5" t="n">
        <v>82424</v>
      </c>
      <c r="E31" s="5" t="n">
        <v>72852</v>
      </c>
      <c r="F31" s="5" t="n">
        <v>57302</v>
      </c>
    </row>
    <row r="32">
      <c r="A32" s="5" t="inlineStr">
        <is>
          <t>Total liabilities and equity</t>
        </is>
      </c>
      <c r="B32" s="5" t="n">
        <v>1227049</v>
      </c>
      <c r="C32" s="5" t="n">
        <v>1089302</v>
      </c>
      <c r="D32" s="5" t="n">
        <v>946163</v>
      </c>
      <c r="E32" s="5" t="n">
        <v>874485</v>
      </c>
      <c r="F32" s="5" t="n">
        <v>756181</v>
      </c>
    </row>
    <row r="34" ht="190" customHeight="1">
      <c r="A34"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Hampden &amp; Co Plc (Companies House SC386922, FRN 606934) is a small Edinburgh-based private/relationship banking group; it began trading as 'Hampden Bank' during 2025/2026 but the legal entity name and company number are unchanged - confirmed via the entity's own 'about us' page. The cash flow statement's presentation structure genuinely changes mid-series: FY2021-FY2022 present operating activities as a single reconciliation block;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5-year window.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54016</v>
      </c>
      <c r="C5" s="6" t="n">
        <v>53961</v>
      </c>
      <c r="D5" s="6" t="n">
        <v>45265</v>
      </c>
      <c r="E5" s="6" t="n">
        <v>22882</v>
      </c>
      <c r="F5" s="6" t="n">
        <v>12542</v>
      </c>
    </row>
    <row r="6">
      <c r="A6" s="6" t="inlineStr">
        <is>
          <t>Interest payable and similar charges</t>
        </is>
      </c>
      <c r="B6" s="6" t="n">
        <v>-24738</v>
      </c>
      <c r="C6" s="6" t="n">
        <v>-25613</v>
      </c>
      <c r="D6" s="6" t="n">
        <v>-16096</v>
      </c>
      <c r="E6" s="6" t="n">
        <v>-2821</v>
      </c>
      <c r="F6" s="6" t="n">
        <v>-868</v>
      </c>
    </row>
    <row r="7">
      <c r="A7" s="5" t="inlineStr">
        <is>
          <t>Net interest income</t>
        </is>
      </c>
      <c r="B7" s="5" t="n">
        <v>29278</v>
      </c>
      <c r="C7" s="5" t="n">
        <v>28348</v>
      </c>
      <c r="D7" s="5" t="n">
        <v>29169</v>
      </c>
      <c r="E7" s="5" t="n">
        <v>20061</v>
      </c>
      <c r="F7" s="5" t="n">
        <v>11674</v>
      </c>
    </row>
    <row r="8">
      <c r="A8" s="6" t="inlineStr">
        <is>
          <t>Non-interest income</t>
        </is>
      </c>
      <c r="B8" s="6" t="n">
        <v>1152</v>
      </c>
      <c r="C8" s="6" t="n">
        <v>1055</v>
      </c>
      <c r="D8" s="6" t="n">
        <v>1043</v>
      </c>
      <c r="E8" s="6" t="n">
        <v>906</v>
      </c>
      <c r="F8" s="6" t="n">
        <v>758</v>
      </c>
    </row>
    <row r="9">
      <c r="A9" s="6" t="inlineStr">
        <is>
          <t>Income from currency operations</t>
        </is>
      </c>
      <c r="B9" s="6" t="n">
        <v>1144</v>
      </c>
      <c r="C9" s="6" t="n">
        <v>1124</v>
      </c>
      <c r="D9" s="6" t="n">
        <v>1278</v>
      </c>
      <c r="E9" s="6" t="n">
        <v>1069</v>
      </c>
      <c r="F9" s="6" t="n">
        <v>775</v>
      </c>
    </row>
    <row r="10">
      <c r="A10" s="6" t="inlineStr">
        <is>
          <t>Net (losses)/gains from derivatives and hedge accounting</t>
        </is>
      </c>
      <c r="B10" s="6" t="n">
        <v>-111</v>
      </c>
      <c r="C10" s="6" t="n">
        <v>-203</v>
      </c>
      <c r="D10" s="6" t="n">
        <v>-303</v>
      </c>
      <c r="E10" s="6" t="n">
        <v>820</v>
      </c>
      <c r="F10" s="6" t="n">
        <v>0</v>
      </c>
    </row>
    <row r="11">
      <c r="A11" s="5" t="inlineStr">
        <is>
          <t>Total income</t>
        </is>
      </c>
      <c r="B11" s="5" t="n">
        <v>31463</v>
      </c>
      <c r="C11" s="5" t="n">
        <v>30324</v>
      </c>
      <c r="D11" s="5" t="n">
        <v>31187</v>
      </c>
      <c r="E11" s="5" t="n">
        <v>22856</v>
      </c>
      <c r="F11" s="5" t="n">
        <v>13207</v>
      </c>
    </row>
    <row r="12">
      <c r="A12" s="5" t="inlineStr">
        <is>
          <t>Operating expenses</t>
        </is>
      </c>
      <c r="B12" s="6" t="n"/>
      <c r="C12" s="6" t="n"/>
      <c r="D12" s="6" t="n"/>
      <c r="E12" s="6" t="n"/>
      <c r="F12" s="6" t="n"/>
    </row>
    <row r="13">
      <c r="A13" s="6" t="inlineStr">
        <is>
          <t>Administrative expenses</t>
        </is>
      </c>
      <c r="B13" s="6" t="n">
        <v>-21945</v>
      </c>
      <c r="C13" s="6" t="n">
        <v>-20873</v>
      </c>
      <c r="D13" s="6" t="n">
        <v>-20903</v>
      </c>
      <c r="E13" s="6" t="n">
        <v>-19837</v>
      </c>
      <c r="F13" s="6" t="n">
        <v>-15006</v>
      </c>
    </row>
    <row r="14">
      <c r="A14" s="6" t="inlineStr">
        <is>
          <t>Depreciation and amortisation</t>
        </is>
      </c>
      <c r="B14" s="6" t="n">
        <v>-2672</v>
      </c>
      <c r="C14" s="6" t="n">
        <v>-1258</v>
      </c>
      <c r="D14" s="6" t="n">
        <v>-1038</v>
      </c>
      <c r="E14" s="6" t="n">
        <v>-945</v>
      </c>
      <c r="F14" s="6" t="n">
        <v>-1176</v>
      </c>
    </row>
    <row r="15">
      <c r="A15" s="5" t="inlineStr">
        <is>
          <t>Operating expenses</t>
        </is>
      </c>
      <c r="B15" s="5" t="n">
        <v>-24617</v>
      </c>
      <c r="C15" s="5" t="n">
        <v>-22131</v>
      </c>
      <c r="D15" s="5" t="n">
        <v>-21941</v>
      </c>
      <c r="E15" s="5" t="n">
        <v>-20782</v>
      </c>
      <c r="F15" s="5" t="n">
        <v>-16182</v>
      </c>
    </row>
    <row r="16">
      <c r="A16" s="5" t="inlineStr">
        <is>
          <t>Operating profit/(loss) before impairment losses</t>
        </is>
      </c>
      <c r="B16" s="5" t="n">
        <v>6846</v>
      </c>
      <c r="C16" s="5" t="n">
        <v>8193</v>
      </c>
      <c r="D16" s="5" t="n">
        <v>9246</v>
      </c>
      <c r="E16" s="5" t="n">
        <v>2074</v>
      </c>
      <c r="F16" s="5" t="n">
        <v>-2975</v>
      </c>
    </row>
    <row r="17">
      <c r="A17" s="6" t="inlineStr">
        <is>
          <t>Impairment credit/(charge) on loans and advances to clients</t>
        </is>
      </c>
      <c r="B17" s="6" t="n">
        <v>107</v>
      </c>
      <c r="C17" s="6" t="n">
        <v>-12</v>
      </c>
      <c r="D17" s="6" t="n">
        <v>-103</v>
      </c>
      <c r="E17" s="6" t="n">
        <v>-29</v>
      </c>
      <c r="F17" s="6" t="n">
        <v>5</v>
      </c>
    </row>
    <row r="18">
      <c r="A18" s="5" t="inlineStr">
        <is>
          <t>Profit/(loss) before tax</t>
        </is>
      </c>
      <c r="B18" s="5" t="n">
        <v>6953</v>
      </c>
      <c r="C18" s="5" t="n">
        <v>8181</v>
      </c>
      <c r="D18" s="5" t="n">
        <v>9143</v>
      </c>
      <c r="E18" s="5" t="n">
        <v>2045</v>
      </c>
      <c r="F18" s="5" t="n">
        <v>-2970</v>
      </c>
    </row>
    <row r="19">
      <c r="A19" s="6" t="inlineStr">
        <is>
          <t>Tax (expense)/income</t>
        </is>
      </c>
      <c r="B19" s="6" t="n">
        <v>-1964</v>
      </c>
      <c r="C19" s="6" t="n">
        <v>930</v>
      </c>
      <c r="D19" s="6" t="n">
        <v>-1036</v>
      </c>
      <c r="E19" s="6" t="n">
        <v>4819</v>
      </c>
      <c r="F19" s="6" t="n">
        <v>0</v>
      </c>
    </row>
    <row r="20">
      <c r="A20" s="5" t="inlineStr">
        <is>
          <t>Profit/(loss) for the year and total comprehensive profit/(loss)</t>
        </is>
      </c>
      <c r="B20" s="5" t="n">
        <v>4989</v>
      </c>
      <c r="C20" s="5" t="n">
        <v>9111</v>
      </c>
      <c r="D20" s="5" t="n">
        <v>8107</v>
      </c>
      <c r="E20" s="5" t="n">
        <v>6864</v>
      </c>
      <c r="F20" s="5" t="n">
        <v>-2970</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Hampden &amp; Co Plc (Companies House SC386922, FRN 606934) is a small Edinburgh-based private/relationship banking group; it began trading as 'Hampden Bank' during 2025/2026 but the legal entity name and company number are unchanged - confirmed via the entity's own 'about us' page. The cash flow statement's presentation structure genuinely changes mid-series: FY2021-FY2022 present operating activities as a single reconciliation block;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5-year window.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Retained earnings</t>
        </is>
      </c>
      <c r="E3" s="4" t="inlineStr">
        <is>
          <t>Total equity</t>
        </is>
      </c>
    </row>
    <row r="4">
      <c r="A4" s="5" t="inlineStr">
        <is>
          <t>At 1 January 2021</t>
        </is>
      </c>
      <c r="B4" s="5" t="n">
        <v>3823</v>
      </c>
      <c r="C4" s="5" t="n">
        <v>9064</v>
      </c>
      <c r="D4" s="5" t="n">
        <v>38452</v>
      </c>
      <c r="E4" s="5" t="n">
        <v>51339</v>
      </c>
    </row>
    <row r="5">
      <c r="A5" s="6" t="inlineStr">
        <is>
          <t>Loss for the year and total comprehensive loss</t>
        </is>
      </c>
      <c r="B5" s="6" t="n"/>
      <c r="C5" s="6" t="n"/>
      <c r="D5" s="6" t="n">
        <v>-2970</v>
      </c>
      <c r="E5" s="6" t="n">
        <v>-2970</v>
      </c>
    </row>
    <row r="6">
      <c r="A6" s="6" t="inlineStr">
        <is>
          <t>Issue of share capital</t>
        </is>
      </c>
      <c r="B6" s="6" t="n">
        <v>400</v>
      </c>
      <c r="C6" s="6" t="n">
        <v>7600</v>
      </c>
      <c r="D6" s="6" t="n"/>
      <c r="E6" s="6" t="n">
        <v>8000</v>
      </c>
    </row>
    <row r="7">
      <c r="A7" s="6" t="inlineStr">
        <is>
          <t>Direct share issue costs</t>
        </is>
      </c>
      <c r="B7" s="6" t="n"/>
      <c r="C7" s="6" t="n">
        <v>-109</v>
      </c>
      <c r="D7" s="6" t="n"/>
      <c r="E7" s="6" t="n">
        <v>-109</v>
      </c>
    </row>
    <row r="8">
      <c r="A8" s="6" t="inlineStr">
        <is>
          <t>Equity settled share-based payments</t>
        </is>
      </c>
      <c r="B8" s="6" t="n"/>
      <c r="C8" s="6" t="n"/>
      <c r="D8" s="6" t="n">
        <v>1042</v>
      </c>
      <c r="E8" s="6" t="n">
        <v>1042</v>
      </c>
    </row>
    <row r="9">
      <c r="A9" s="5" t="inlineStr">
        <is>
          <t>At 31 December 2021</t>
        </is>
      </c>
      <c r="B9" s="5" t="n">
        <v>4223</v>
      </c>
      <c r="C9" s="5" t="n">
        <v>16555</v>
      </c>
      <c r="D9" s="5" t="n">
        <v>36524</v>
      </c>
      <c r="E9" s="5" t="n">
        <v>57302</v>
      </c>
    </row>
    <row r="10">
      <c r="A10" s="6" t="inlineStr">
        <is>
          <t>Profit for the year and total comprehensive profit</t>
        </is>
      </c>
      <c r="B10" s="6" t="n"/>
      <c r="C10" s="6" t="n"/>
      <c r="D10" s="6" t="n">
        <v>6864</v>
      </c>
      <c r="E10" s="6" t="n">
        <v>6864</v>
      </c>
    </row>
    <row r="11">
      <c r="A11" s="6" t="inlineStr">
        <is>
          <t>Issue of share capital</t>
        </is>
      </c>
      <c r="B11" s="6" t="n">
        <v>400</v>
      </c>
      <c r="C11" s="6" t="n">
        <v>7600</v>
      </c>
      <c r="D11" s="6" t="n"/>
      <c r="E11" s="6" t="n">
        <v>8000</v>
      </c>
    </row>
    <row r="12">
      <c r="A12" s="6" t="inlineStr">
        <is>
          <t>Direct share issue costs</t>
        </is>
      </c>
      <c r="B12" s="6" t="n"/>
      <c r="C12" s="6" t="n">
        <v>-154</v>
      </c>
      <c r="D12" s="6" t="n"/>
      <c r="E12" s="6" t="n">
        <v>-154</v>
      </c>
    </row>
    <row r="13">
      <c r="A13" s="6" t="inlineStr">
        <is>
          <t>Equity settled share-based payments</t>
        </is>
      </c>
      <c r="B13" s="6" t="n"/>
      <c r="C13" s="6" t="n"/>
      <c r="D13" s="6" t="n">
        <v>840</v>
      </c>
      <c r="E13" s="6" t="n">
        <v>840</v>
      </c>
    </row>
    <row r="14">
      <c r="A14" s="5" t="inlineStr">
        <is>
          <t>At 31 December 2022</t>
        </is>
      </c>
      <c r="B14" s="5" t="n">
        <v>4623</v>
      </c>
      <c r="C14" s="5" t="n">
        <v>24001</v>
      </c>
      <c r="D14" s="5" t="n">
        <v>44228</v>
      </c>
      <c r="E14" s="5" t="n">
        <v>72852</v>
      </c>
    </row>
    <row r="15">
      <c r="A15" s="6" t="inlineStr">
        <is>
          <t>Profit for the year and total comprehensive profit</t>
        </is>
      </c>
      <c r="B15" s="6" t="n"/>
      <c r="C15" s="6" t="n"/>
      <c r="D15" s="6" t="n">
        <v>8107</v>
      </c>
      <c r="E15" s="6" t="n">
        <v>8107</v>
      </c>
    </row>
    <row r="16">
      <c r="A16" s="6" t="inlineStr">
        <is>
          <t>Issue of share capital</t>
        </is>
      </c>
      <c r="B16" s="6" t="n">
        <v>103</v>
      </c>
      <c r="C16" s="6" t="n">
        <v>1956</v>
      </c>
      <c r="D16" s="6" t="n"/>
      <c r="E16" s="6" t="n">
        <v>2059</v>
      </c>
    </row>
    <row r="17">
      <c r="A17" s="6" t="inlineStr">
        <is>
          <t>Direct share issue costs</t>
        </is>
      </c>
      <c r="B17" s="6" t="n"/>
      <c r="C17" s="6" t="n">
        <v>-92</v>
      </c>
      <c r="D17" s="6" t="n"/>
      <c r="E17" s="6" t="n">
        <v>-92</v>
      </c>
    </row>
    <row r="18">
      <c r="A18" s="6" t="inlineStr">
        <is>
          <t>Equity settled share-based payments</t>
        </is>
      </c>
      <c r="B18" s="6" t="n"/>
      <c r="C18" s="6" t="n"/>
      <c r="D18" s="6" t="n">
        <v>186</v>
      </c>
      <c r="E18" s="6" t="n">
        <v>186</v>
      </c>
    </row>
    <row r="19">
      <c r="A19" s="6" t="inlineStr">
        <is>
          <t>Cancellation of share options</t>
        </is>
      </c>
      <c r="B19" s="6" t="n"/>
      <c r="C19" s="6" t="n"/>
      <c r="D19" s="6" t="n">
        <v>-688</v>
      </c>
      <c r="E19" s="6" t="n">
        <v>-688</v>
      </c>
    </row>
    <row r="20">
      <c r="A20" s="5" t="inlineStr">
        <is>
          <t>At 31 December 2023</t>
        </is>
      </c>
      <c r="B20" s="5" t="n">
        <v>4726</v>
      </c>
      <c r="C20" s="5" t="n">
        <v>25865</v>
      </c>
      <c r="D20" s="5" t="n">
        <v>51833</v>
      </c>
      <c r="E20" s="5" t="n">
        <v>82424</v>
      </c>
    </row>
    <row r="21">
      <c r="A21" s="6" t="inlineStr">
        <is>
          <t>Profit for the year and total comprehensive profit</t>
        </is>
      </c>
      <c r="B21" s="6" t="n"/>
      <c r="C21" s="6" t="n"/>
      <c r="D21" s="6" t="n">
        <v>9111</v>
      </c>
      <c r="E21" s="6" t="n">
        <v>9111</v>
      </c>
    </row>
    <row r="22">
      <c r="A22" s="6" t="inlineStr">
        <is>
          <t>Dividends</t>
        </is>
      </c>
      <c r="B22" s="6" t="n"/>
      <c r="C22" s="6" t="n"/>
      <c r="D22" s="6" t="n">
        <v>-1512</v>
      </c>
      <c r="E22" s="6" t="n">
        <v>-1512</v>
      </c>
    </row>
    <row r="23">
      <c r="A23" s="6" t="inlineStr">
        <is>
          <t>Equity settled share-based payments</t>
        </is>
      </c>
      <c r="B23" s="6" t="n"/>
      <c r="C23" s="6" t="n"/>
      <c r="D23" s="6" t="n">
        <v>176</v>
      </c>
      <c r="E23" s="6" t="n">
        <v>176</v>
      </c>
    </row>
    <row r="24">
      <c r="A24" s="6" t="inlineStr">
        <is>
          <t>Dividend equivalent on share options</t>
        </is>
      </c>
      <c r="B24" s="6" t="n"/>
      <c r="C24" s="6" t="n"/>
      <c r="D24" s="6" t="n">
        <v>-91</v>
      </c>
      <c r="E24" s="6" t="n">
        <v>-91</v>
      </c>
    </row>
    <row r="25">
      <c r="A25" s="5" t="inlineStr">
        <is>
          <t>At 31 December 2024</t>
        </is>
      </c>
      <c r="B25" s="5" t="n">
        <v>4726</v>
      </c>
      <c r="C25" s="5" t="n">
        <v>25865</v>
      </c>
      <c r="D25" s="5" t="n">
        <v>59517</v>
      </c>
      <c r="E25" s="5" t="n">
        <v>90108</v>
      </c>
    </row>
    <row r="26">
      <c r="A26" s="6" t="inlineStr">
        <is>
          <t>Profit for the year and total comprehensive profit</t>
        </is>
      </c>
      <c r="B26" s="6" t="n"/>
      <c r="C26" s="6" t="n"/>
      <c r="D26" s="6" t="n">
        <v>4989</v>
      </c>
      <c r="E26" s="6" t="n">
        <v>4989</v>
      </c>
    </row>
    <row r="27">
      <c r="A27" s="6" t="inlineStr">
        <is>
          <t>Dividends</t>
        </is>
      </c>
      <c r="B27" s="6" t="n"/>
      <c r="C27" s="6" t="n"/>
      <c r="D27" s="6" t="n">
        <v>-3024</v>
      </c>
      <c r="E27" s="6" t="n">
        <v>-3024</v>
      </c>
    </row>
    <row r="28">
      <c r="A28" s="6" t="inlineStr">
        <is>
          <t>Equity settled share-based payments</t>
        </is>
      </c>
      <c r="B28" s="6" t="n"/>
      <c r="C28" s="6" t="n"/>
      <c r="D28" s="6" t="n">
        <v>145</v>
      </c>
      <c r="E28" s="6" t="n">
        <v>145</v>
      </c>
    </row>
    <row r="29">
      <c r="A29" s="6" t="inlineStr">
        <is>
          <t>Dividend equivalent on share options</t>
        </is>
      </c>
      <c r="B29" s="6" t="n"/>
      <c r="C29" s="6" t="n"/>
      <c r="D29" s="6" t="n">
        <v>-182</v>
      </c>
      <c r="E29" s="6" t="n">
        <v>-182</v>
      </c>
    </row>
    <row r="30">
      <c r="A30" s="5" t="inlineStr">
        <is>
          <t>At 31 December 2025</t>
        </is>
      </c>
      <c r="B30" s="5" t="n">
        <v>4726</v>
      </c>
      <c r="C30" s="5" t="n">
        <v>25865</v>
      </c>
      <c r="D30" s="5" t="n">
        <v>61445</v>
      </c>
      <c r="E30" s="5" t="n">
        <v>92036</v>
      </c>
    </row>
    <row r="32" ht="190" customHeight="1">
      <c r="A3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Hampden &amp; Co Plc (Companies House SC386922, FRN 606934) is a small Edinburgh-based private/relationship banking group; it began trading as 'Hampden Bank' during 2025/2026 but the legal entity name and company number are unchanged - confirmed via the entity's own 'about us' page. The cash flow statement's presentation structure genuinely changes mid-series: FY2021-FY2022 present operating activities as a single reconciliation block;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5-year window.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Equity reconciliation ladder: every year's closing balance ties exactly to both the next year's own reported opening balance and that year's own Balance Sheet Total equity - zero plug rows needed anywhere in this 5-year window.</t>
        </is>
      </c>
    </row>
  </sheetData>
  <mergeCells count="1">
    <mergeCell ref="A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6953</v>
      </c>
      <c r="C5" s="6" t="n">
        <v>8181</v>
      </c>
      <c r="D5" s="6" t="n">
        <v>9143</v>
      </c>
      <c r="E5" s="6" t="n">
        <v>2045</v>
      </c>
      <c r="F5" s="6" t="n">
        <v>-2970</v>
      </c>
    </row>
    <row r="6">
      <c r="A6" s="6" t="inlineStr">
        <is>
          <t>Net losses/(gains) from derivatives and hedge accounting</t>
        </is>
      </c>
      <c r="B6" s="6" t="n">
        <v>111</v>
      </c>
      <c r="C6" s="6" t="n">
        <v>203</v>
      </c>
      <c r="D6" s="6" t="n">
        <v>303</v>
      </c>
      <c r="E6" s="6" t="n">
        <v>-820</v>
      </c>
      <c r="F6" s="6" t="n"/>
    </row>
    <row r="7">
      <c r="A7" s="6" t="inlineStr">
        <is>
          <t>Depreciation and amortisation</t>
        </is>
      </c>
      <c r="B7" s="6" t="n">
        <v>2672</v>
      </c>
      <c r="C7" s="6" t="n">
        <v>1258</v>
      </c>
      <c r="D7" s="6" t="n">
        <v>1038</v>
      </c>
      <c r="E7" s="6" t="n">
        <v>945</v>
      </c>
      <c r="F7" s="6" t="n">
        <v>1176</v>
      </c>
    </row>
    <row r="8">
      <c r="A8" s="6" t="inlineStr">
        <is>
          <t>Equity settled share-based payments</t>
        </is>
      </c>
      <c r="B8" s="6" t="n">
        <v>145</v>
      </c>
      <c r="C8" s="6" t="n">
        <v>176</v>
      </c>
      <c r="D8" s="6" t="n">
        <v>186</v>
      </c>
      <c r="E8" s="6" t="n">
        <v>840</v>
      </c>
      <c r="F8" s="6" t="n">
        <v>1042</v>
      </c>
    </row>
    <row r="9">
      <c r="A9" s="6" t="inlineStr">
        <is>
          <t>Dividend equivalent on share options</t>
        </is>
      </c>
      <c r="B9" s="6" t="n">
        <v>-182</v>
      </c>
      <c r="C9" s="6" t="n">
        <v>-91</v>
      </c>
      <c r="D9" s="6" t="n"/>
      <c r="E9" s="6" t="n"/>
      <c r="F9" s="6" t="n"/>
    </row>
    <row r="10">
      <c r="A10" s="6" t="inlineStr">
        <is>
          <t>Cancellation of share options</t>
        </is>
      </c>
      <c r="B10" s="6" t="n"/>
      <c r="C10" s="6" t="n"/>
      <c r="D10" s="6" t="n">
        <v>-688</v>
      </c>
      <c r="E10" s="6" t="n"/>
      <c r="F10" s="6" t="n"/>
    </row>
    <row r="11">
      <c r="A11" s="6" t="inlineStr">
        <is>
          <t>Impairment (credit)/charge for the year</t>
        </is>
      </c>
      <c r="B11" s="6" t="n">
        <v>-107</v>
      </c>
      <c r="C11" s="6" t="n">
        <v>12</v>
      </c>
      <c r="D11" s="6" t="n">
        <v>103</v>
      </c>
      <c r="E11" s="6" t="n">
        <v>29</v>
      </c>
      <c r="F11" s="6" t="n">
        <v>-5</v>
      </c>
    </row>
    <row r="12">
      <c r="A12" s="6" t="inlineStr">
        <is>
          <t>(Increase) in prepayments and accrued income</t>
        </is>
      </c>
      <c r="B12" s="6" t="n"/>
      <c r="C12" s="6" t="n"/>
      <c r="D12" s="6" t="n"/>
      <c r="E12" s="6" t="n"/>
      <c r="F12" s="6" t="n">
        <v>-185</v>
      </c>
    </row>
    <row r="13">
      <c r="A13" s="6" t="inlineStr">
        <is>
          <t>Increase/(decrease) in accruals and deferred income</t>
        </is>
      </c>
      <c r="B13" s="6" t="n"/>
      <c r="C13" s="6" t="n"/>
      <c r="D13" s="6" t="n"/>
      <c r="E13" s="6" t="n"/>
      <c r="F13" s="6" t="n">
        <v>353</v>
      </c>
    </row>
    <row r="14">
      <c r="A14" s="6" t="inlineStr">
        <is>
          <t>(Increase) in loans and advances to clients and banks</t>
        </is>
      </c>
      <c r="B14" s="6" t="n"/>
      <c r="C14" s="6" t="n"/>
      <c r="D14" s="6" t="n"/>
      <c r="E14" s="6" t="n"/>
      <c r="F14" s="6" t="n">
        <v>-132311</v>
      </c>
    </row>
    <row r="15">
      <c r="A15" s="6" t="inlineStr">
        <is>
          <t>Increase in deposits by clients and banks</t>
        </is>
      </c>
      <c r="B15" s="6" t="n"/>
      <c r="C15" s="6" t="n"/>
      <c r="D15" s="6" t="n"/>
      <c r="E15" s="6" t="n"/>
      <c r="F15" s="6" t="n">
        <v>194668</v>
      </c>
    </row>
    <row r="16">
      <c r="A16" s="6" t="inlineStr">
        <is>
          <t>Decrease in other assets</t>
        </is>
      </c>
      <c r="B16" s="6" t="n"/>
      <c r="C16" s="6" t="n"/>
      <c r="D16" s="6" t="n"/>
      <c r="E16" s="6" t="n"/>
      <c r="F16" s="6" t="n">
        <v>3</v>
      </c>
    </row>
    <row r="17">
      <c r="A17" s="6" t="inlineStr">
        <is>
          <t>(Decrease)/increase in other liabilities and provisions</t>
        </is>
      </c>
      <c r="B17" s="6" t="n"/>
      <c r="C17" s="6" t="n"/>
      <c r="D17" s="6" t="n"/>
      <c r="E17" s="6" t="n"/>
      <c r="F17" s="6" t="n">
        <v>-22</v>
      </c>
    </row>
    <row r="18">
      <c r="A18" s="6" t="inlineStr">
        <is>
          <t>Elimination of foreign exchange differences</t>
        </is>
      </c>
      <c r="B18" s="6" t="n"/>
      <c r="C18" s="6" t="n"/>
      <c r="D18" s="6" t="n"/>
      <c r="E18" s="6" t="n">
        <v>8</v>
      </c>
      <c r="F18" s="6" t="n">
        <v>-9</v>
      </c>
    </row>
    <row r="19">
      <c r="A19" s="5" t="inlineStr">
        <is>
          <t>Cash generated from/(used in) operations</t>
        </is>
      </c>
      <c r="B19" s="5" t="n">
        <v>9592</v>
      </c>
      <c r="C19" s="5" t="n">
        <v>9739</v>
      </c>
      <c r="D19" s="5" t="n">
        <v>10085</v>
      </c>
      <c r="E19" s="5" t="n"/>
      <c r="F19" s="5" t="n"/>
    </row>
    <row r="20">
      <c r="A20" s="5" t="inlineStr">
        <is>
          <t>Changes in operating assets and liabilities</t>
        </is>
      </c>
      <c r="B20" s="6" t="n"/>
      <c r="C20" s="6" t="n"/>
      <c r="D20" s="6" t="n"/>
      <c r="E20" s="6" t="n"/>
      <c r="F20" s="6" t="n"/>
    </row>
    <row r="21">
      <c r="A21" s="6" t="inlineStr">
        <is>
          <t>Increase/(decrease) in prepayments and accrued income</t>
        </is>
      </c>
      <c r="B21" s="6" t="n">
        <v>-1271</v>
      </c>
      <c r="C21" s="6" t="n">
        <v>-441</v>
      </c>
      <c r="D21" s="6" t="n">
        <v>421</v>
      </c>
      <c r="E21" s="6" t="n">
        <v>-205</v>
      </c>
      <c r="F21" s="6" t="n"/>
    </row>
    <row r="22">
      <c r="A22" s="6" t="inlineStr">
        <is>
          <t>Increase/(decrease) in accruals and deferred income</t>
        </is>
      </c>
      <c r="B22" s="6" t="n">
        <v>-942</v>
      </c>
      <c r="C22" s="6" t="n">
        <v>25</v>
      </c>
      <c r="D22" s="6" t="n">
        <v>6</v>
      </c>
      <c r="E22" s="6" t="n">
        <v>1560</v>
      </c>
      <c r="F22" s="6" t="n"/>
    </row>
    <row r="23">
      <c r="A23" s="6" t="inlineStr">
        <is>
          <t>Decrease/(increase) in loans and advances to clients and banks</t>
        </is>
      </c>
      <c r="B23" s="6" t="n">
        <v>34430</v>
      </c>
      <c r="C23" s="6" t="n">
        <v>-57243</v>
      </c>
      <c r="D23" s="6" t="n">
        <v>-93474</v>
      </c>
      <c r="E23" s="6" t="n">
        <v>-43506</v>
      </c>
      <c r="F23" s="6" t="n"/>
    </row>
    <row r="24">
      <c r="A24" s="6" t="inlineStr">
        <is>
          <t>Increase in deposits from clients/by clients and banks</t>
        </is>
      </c>
      <c r="B24" s="6" t="n">
        <v>133690</v>
      </c>
      <c r="C24" s="6" t="n">
        <v>134544</v>
      </c>
      <c r="D24" s="6" t="n">
        <v>67050</v>
      </c>
      <c r="E24" s="6" t="n">
        <v>90941</v>
      </c>
      <c r="F24" s="6" t="n"/>
    </row>
    <row r="25">
      <c r="A25" s="6" t="inlineStr">
        <is>
          <t>(Increase)/decrease in other assets</t>
        </is>
      </c>
      <c r="B25" s="6" t="n">
        <v>-49</v>
      </c>
      <c r="C25" s="6" t="n">
        <v>5</v>
      </c>
      <c r="D25" s="6" t="n">
        <v>1859</v>
      </c>
      <c r="E25" s="6" t="n">
        <v>-2160</v>
      </c>
      <c r="F25" s="6" t="n"/>
    </row>
    <row r="26">
      <c r="A26" s="6" t="inlineStr">
        <is>
          <t>(Decrease)/increase in other liabilities and provisions</t>
        </is>
      </c>
      <c r="B26" s="6" t="n">
        <v>-285</v>
      </c>
      <c r="C26" s="6" t="n">
        <v>117</v>
      </c>
      <c r="D26" s="6" t="n">
        <v>-56</v>
      </c>
      <c r="E26" s="6" t="n">
        <v>405</v>
      </c>
      <c r="F26" s="6" t="n"/>
    </row>
    <row r="27">
      <c r="A27" s="5" t="inlineStr">
        <is>
          <t>Cash generated from/(used in) operating activities</t>
        </is>
      </c>
      <c r="B27" s="5" t="n">
        <v>175165</v>
      </c>
      <c r="C27" s="5" t="n">
        <v>86746</v>
      </c>
      <c r="D27" s="5" t="n">
        <v>-14109</v>
      </c>
      <c r="E27" s="5" t="n"/>
      <c r="F27" s="5" t="n"/>
    </row>
    <row r="28">
      <c r="A28" s="6" t="inlineStr">
        <is>
          <t>Tax paid/(income tax received)</t>
        </is>
      </c>
      <c r="B28" s="6" t="n">
        <v>-131</v>
      </c>
      <c r="C28" s="6" t="n">
        <v>-870</v>
      </c>
      <c r="D28" s="6" t="n"/>
      <c r="E28" s="6" t="n"/>
      <c r="F28" s="6" t="n">
        <v>0</v>
      </c>
    </row>
    <row r="29">
      <c r="A29" s="5" t="inlineStr">
        <is>
          <t>Net cash from/(used in) operating activities</t>
        </is>
      </c>
      <c r="B29" s="5" t="n">
        <v>175034</v>
      </c>
      <c r="C29" s="5" t="n">
        <v>85876</v>
      </c>
      <c r="D29" s="5" t="n">
        <v>-14109</v>
      </c>
      <c r="E29" s="5" t="n">
        <v>50082</v>
      </c>
      <c r="F29" s="5" t="n">
        <v>61740</v>
      </c>
    </row>
    <row r="30">
      <c r="A30" s="5" t="inlineStr">
        <is>
          <t>Investing activities</t>
        </is>
      </c>
      <c r="B30" s="6" t="n"/>
      <c r="C30" s="6" t="n"/>
      <c r="D30" s="6" t="n"/>
      <c r="E30" s="6" t="n"/>
      <c r="F30" s="6" t="n"/>
    </row>
    <row r="31">
      <c r="A31" s="6" t="inlineStr">
        <is>
          <t>Purchase of debt securities</t>
        </is>
      </c>
      <c r="B31" s="6" t="n">
        <v>-853557</v>
      </c>
      <c r="C31" s="6" t="n">
        <v>-414862</v>
      </c>
      <c r="D31" s="6" t="n">
        <v>-67066</v>
      </c>
      <c r="E31" s="6" t="n"/>
      <c r="F31" s="6" t="n"/>
    </row>
    <row r="32">
      <c r="A32" s="6" t="inlineStr">
        <is>
          <t>Sales and maturities of debt securities</t>
        </is>
      </c>
      <c r="B32" s="6" t="n">
        <v>715908</v>
      </c>
      <c r="C32" s="6" t="n">
        <v>257177</v>
      </c>
      <c r="D32" s="6" t="n"/>
      <c r="E32" s="6" t="n"/>
      <c r="F32" s="6" t="n"/>
    </row>
    <row r="33">
      <c r="A33" s="6" t="inlineStr">
        <is>
          <t>Purchase of property, plant and equipment</t>
        </is>
      </c>
      <c r="B33" s="6" t="n">
        <v>-1848</v>
      </c>
      <c r="C33" s="6" t="n">
        <v>-902</v>
      </c>
      <c r="D33" s="6" t="n">
        <v>-77</v>
      </c>
      <c r="E33" s="6" t="n">
        <v>-86</v>
      </c>
      <c r="F33" s="6" t="n"/>
    </row>
    <row r="34">
      <c r="A34" s="6" t="inlineStr">
        <is>
          <t>Purchases/development of intangible assets</t>
        </is>
      </c>
      <c r="B34" s="6" t="n">
        <v>-2736</v>
      </c>
      <c r="C34" s="6" t="n">
        <v>-5995</v>
      </c>
      <c r="D34" s="6" t="n">
        <v>-2184</v>
      </c>
      <c r="E34" s="6" t="n">
        <v>-891</v>
      </c>
      <c r="F34" s="6" t="n">
        <v>-1145</v>
      </c>
    </row>
    <row r="35">
      <c r="A35" s="5" t="inlineStr">
        <is>
          <t>Net cash from/(used in) investing activities</t>
        </is>
      </c>
      <c r="B35" s="5" t="n">
        <v>-142233</v>
      </c>
      <c r="C35" s="5" t="n">
        <v>-164582</v>
      </c>
      <c r="D35" s="5" t="n">
        <v>-69327</v>
      </c>
      <c r="E35" s="5" t="n">
        <v>-977</v>
      </c>
      <c r="F35" s="5" t="n">
        <v>-1145</v>
      </c>
    </row>
    <row r="36">
      <c r="A36" s="5" t="inlineStr">
        <is>
          <t>Financing activities</t>
        </is>
      </c>
      <c r="B36" s="6" t="n"/>
      <c r="C36" s="6" t="n"/>
      <c r="D36" s="6" t="n"/>
      <c r="E36" s="6" t="n"/>
      <c r="F36" s="6" t="n"/>
    </row>
    <row r="37">
      <c r="A37" s="6" t="inlineStr">
        <is>
          <t>Repayment of lease liabilities</t>
        </is>
      </c>
      <c r="B37" s="6" t="n">
        <v>-74</v>
      </c>
      <c r="C37" s="6" t="n">
        <v>-500</v>
      </c>
      <c r="D37" s="6" t="n">
        <v>-427</v>
      </c>
      <c r="E37" s="6" t="n">
        <v>-378</v>
      </c>
      <c r="F37" s="6" t="n">
        <v>-445</v>
      </c>
    </row>
    <row r="38">
      <c r="A38" s="6" t="inlineStr">
        <is>
          <t>Proceeds from issue of shares</t>
        </is>
      </c>
      <c r="B38" s="6" t="n"/>
      <c r="C38" s="6" t="n"/>
      <c r="D38" s="6" t="n">
        <v>2059</v>
      </c>
      <c r="E38" s="6" t="n">
        <v>8000</v>
      </c>
      <c r="F38" s="6" t="n">
        <v>8000</v>
      </c>
    </row>
    <row r="39">
      <c r="A39" s="6" t="inlineStr">
        <is>
          <t>Direct costs of share issuance</t>
        </is>
      </c>
      <c r="B39" s="6" t="n"/>
      <c r="C39" s="6" t="n"/>
      <c r="D39" s="6" t="n">
        <v>-92</v>
      </c>
      <c r="E39" s="6" t="n">
        <v>-154</v>
      </c>
      <c r="F39" s="6" t="n">
        <v>-109</v>
      </c>
    </row>
    <row r="40">
      <c r="A40" s="6" t="inlineStr">
        <is>
          <t>Equity dividends paid</t>
        </is>
      </c>
      <c r="B40" s="6" t="n">
        <v>-3024</v>
      </c>
      <c r="C40" s="6" t="n">
        <v>-1512</v>
      </c>
      <c r="D40" s="6" t="n"/>
      <c r="E40" s="6" t="n"/>
      <c r="F40" s="6" t="n"/>
    </row>
    <row r="41">
      <c r="A41" s="5" t="inlineStr">
        <is>
          <t>Net cash from/(used in) financing activities</t>
        </is>
      </c>
      <c r="B41" s="5" t="n">
        <v>-3098</v>
      </c>
      <c r="C41" s="5" t="n">
        <v>-2012</v>
      </c>
      <c r="D41" s="5" t="n">
        <v>1540</v>
      </c>
      <c r="E41" s="5" t="n">
        <v>7468</v>
      </c>
      <c r="F41" s="5" t="n">
        <v>7446</v>
      </c>
    </row>
    <row r="42">
      <c r="A42" s="5" t="inlineStr">
        <is>
          <t>Net increase/(decrease) in cash and cash equivalents</t>
        </is>
      </c>
      <c r="B42" s="5" t="n">
        <v>29703</v>
      </c>
      <c r="C42" s="5" t="n">
        <v>-80718</v>
      </c>
      <c r="D42" s="5" t="n">
        <v>-81896</v>
      </c>
      <c r="E42" s="5" t="n">
        <v>56573</v>
      </c>
      <c r="F42" s="5" t="n">
        <v>68041</v>
      </c>
    </row>
    <row r="43">
      <c r="A43" s="6" t="inlineStr">
        <is>
          <t>Cash and cash equivalents at the beginning of the year</t>
        </is>
      </c>
      <c r="B43" s="6" t="n">
        <v>125315</v>
      </c>
      <c r="C43" s="6" t="n">
        <v>207363</v>
      </c>
      <c r="D43" s="6" t="n">
        <v>294851</v>
      </c>
      <c r="E43" s="6" t="n">
        <v>228768</v>
      </c>
      <c r="F43" s="6" t="n">
        <v>160960</v>
      </c>
    </row>
    <row r="44">
      <c r="A44" s="6" t="inlineStr">
        <is>
          <t>Effects of foreign exchange rate changes on cash and cash equivalents</t>
        </is>
      </c>
      <c r="B44" s="6" t="n">
        <v>-667</v>
      </c>
      <c r="C44" s="6" t="n">
        <v>-1330</v>
      </c>
      <c r="D44" s="6" t="n">
        <v>-5592</v>
      </c>
      <c r="E44" s="6" t="n">
        <v>9510</v>
      </c>
      <c r="F44" s="6" t="n">
        <v>-233</v>
      </c>
    </row>
    <row r="45">
      <c r="A45" s="5" t="inlineStr">
        <is>
          <t>Cash and cash equivalents at the end of the year</t>
        </is>
      </c>
      <c r="B45" s="5" t="n">
        <v>154351</v>
      </c>
      <c r="C45" s="5" t="n">
        <v>125315</v>
      </c>
      <c r="D45" s="5" t="n">
        <v>207363</v>
      </c>
      <c r="E45" s="5" t="n">
        <v>294851</v>
      </c>
      <c r="F45" s="5" t="n">
        <v>228768</v>
      </c>
    </row>
    <row r="47" ht="170" customHeight="1">
      <c r="A47"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Hampden &amp; Co Plc (Companies House SC386922, FRN 606934) is a small Edinburgh-based private/relationship banking group; it began trading as 'Hampden Bank' during 2025/2026 but the legal entity name and company number are unchanged - confirmed via the entity's own 'about us' page. The cash flow statement's presentation structure genuinely changes mid-series: FY2021-FY2022 present operating activities as a single reconciliation block;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5-year window.</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clients, gross carrying amount by IFRS 9 stage</t>
        </is>
      </c>
      <c r="B4" s="6" t="n"/>
      <c r="C4" s="6" t="n"/>
      <c r="D4" s="6" t="n"/>
      <c r="E4" s="6" t="n"/>
      <c r="F4" s="6" t="n"/>
    </row>
    <row r="5">
      <c r="A5" s="6" t="inlineStr">
        <is>
          <t>Stage 1</t>
        </is>
      </c>
      <c r="B5" s="6" t="n">
        <v>609002</v>
      </c>
      <c r="C5" s="6" t="n">
        <v>562580</v>
      </c>
      <c r="D5" s="6" t="n">
        <v>471836</v>
      </c>
      <c r="E5" s="6" t="n">
        <v>432518</v>
      </c>
      <c r="F5" s="6" t="n">
        <v>402514</v>
      </c>
    </row>
    <row r="6">
      <c r="A6" s="6" t="inlineStr">
        <is>
          <t>Stage 2</t>
        </is>
      </c>
      <c r="B6" s="6" t="n">
        <v>12202</v>
      </c>
      <c r="C6" s="6" t="n">
        <v>17094</v>
      </c>
      <c r="D6" s="6" t="n">
        <v>13154</v>
      </c>
      <c r="E6" s="6" t="n">
        <v>15223</v>
      </c>
      <c r="F6" s="6" t="n">
        <v>19690</v>
      </c>
    </row>
    <row r="7">
      <c r="A7" s="6" t="inlineStr">
        <is>
          <t>Stage 3</t>
        </is>
      </c>
      <c r="B7" s="6" t="n">
        <v>18589</v>
      </c>
      <c r="C7" s="6" t="n">
        <v>6534</v>
      </c>
      <c r="D7" s="6" t="n">
        <v>2939</v>
      </c>
      <c r="E7" s="6" t="n">
        <v>128</v>
      </c>
      <c r="F7" s="6" t="n">
        <v>124</v>
      </c>
    </row>
    <row r="8">
      <c r="A8" s="5" t="inlineStr">
        <is>
          <t>Gross loans and advances to clients</t>
        </is>
      </c>
      <c r="B8" s="5" t="n">
        <v>639793</v>
      </c>
      <c r="C8" s="5" t="n">
        <v>586208</v>
      </c>
      <c r="D8" s="5" t="n">
        <v>487929</v>
      </c>
      <c r="E8" s="5" t="n">
        <v>447869</v>
      </c>
      <c r="F8" s="5" t="n">
        <v>422328</v>
      </c>
    </row>
    <row r="9">
      <c r="A9" s="5" t="inlineStr">
        <is>
          <t>Impairment allowances by IFRS 9 stage</t>
        </is>
      </c>
      <c r="B9" s="6" t="n"/>
      <c r="C9" s="6" t="n"/>
      <c r="D9" s="6" t="n"/>
      <c r="E9" s="6" t="n"/>
      <c r="F9" s="6" t="n"/>
    </row>
    <row r="10">
      <c r="A10" s="6" t="inlineStr">
        <is>
          <t>Stage 1</t>
        </is>
      </c>
      <c r="B10" s="6" t="n">
        <v>-115</v>
      </c>
      <c r="C10" s="6" t="n">
        <v>-102</v>
      </c>
      <c r="D10" s="6" t="n">
        <v>-67</v>
      </c>
      <c r="E10" s="6" t="n">
        <v>-111</v>
      </c>
      <c r="F10" s="6" t="n">
        <v>-106</v>
      </c>
    </row>
    <row r="11">
      <c r="A11" s="6" t="inlineStr">
        <is>
          <t>Stage 2</t>
        </is>
      </c>
      <c r="B11" s="6" t="n">
        <v>-56</v>
      </c>
      <c r="C11" s="6" t="n">
        <v>-164</v>
      </c>
      <c r="D11" s="6" t="n">
        <v>-218</v>
      </c>
      <c r="E11" s="6" t="n">
        <v>-67</v>
      </c>
      <c r="F11" s="6" t="n">
        <v>-56</v>
      </c>
    </row>
    <row r="12">
      <c r="A12" s="6" t="inlineStr">
        <is>
          <t>Stage 3</t>
        </is>
      </c>
      <c r="B12" s="6" t="n">
        <v>-41</v>
      </c>
      <c r="C12" s="6" t="n">
        <v>-49</v>
      </c>
      <c r="D12" s="6" t="n">
        <v>-20</v>
      </c>
      <c r="E12" s="6" t="n">
        <v>-16</v>
      </c>
      <c r="F12" s="6" t="n">
        <v>-6</v>
      </c>
    </row>
    <row r="13">
      <c r="A13" s="5" t="inlineStr">
        <is>
          <t>Total impairment allowances</t>
        </is>
      </c>
      <c r="B13" s="5" t="n">
        <v>-212</v>
      </c>
      <c r="C13" s="5" t="n">
        <v>-315</v>
      </c>
      <c r="D13" s="5" t="n">
        <v>-305</v>
      </c>
      <c r="E13" s="5" t="n">
        <v>-194</v>
      </c>
      <c r="F13" s="5" t="n">
        <v>-168</v>
      </c>
    </row>
    <row r="14">
      <c r="A14" s="5" t="inlineStr">
        <is>
          <t>Loans and advances to clients, net carrying amount by IFRS 9 stage</t>
        </is>
      </c>
      <c r="B14" s="6" t="n"/>
      <c r="C14" s="6" t="n"/>
      <c r="D14" s="6" t="n"/>
      <c r="E14" s="6" t="n"/>
      <c r="F14" s="6" t="n"/>
    </row>
    <row r="15">
      <c r="A15" s="6" t="inlineStr">
        <is>
          <t>Stage 1</t>
        </is>
      </c>
      <c r="B15" s="6" t="n">
        <v>608887</v>
      </c>
      <c r="C15" s="6" t="n">
        <v>562478</v>
      </c>
      <c r="D15" s="6" t="n">
        <v>471769</v>
      </c>
      <c r="E15" s="6" t="n">
        <v>432407</v>
      </c>
      <c r="F15" s="6" t="n">
        <v>402408</v>
      </c>
    </row>
    <row r="16">
      <c r="A16" s="6" t="inlineStr">
        <is>
          <t>Stage 2</t>
        </is>
      </c>
      <c r="B16" s="6" t="n">
        <v>12146</v>
      </c>
      <c r="C16" s="6" t="n">
        <v>16930</v>
      </c>
      <c r="D16" s="6" t="n">
        <v>12936</v>
      </c>
      <c r="E16" s="6" t="n">
        <v>15156</v>
      </c>
      <c r="F16" s="6" t="n">
        <v>19634</v>
      </c>
    </row>
    <row r="17">
      <c r="A17" s="6" t="inlineStr">
        <is>
          <t>Stage 3</t>
        </is>
      </c>
      <c r="B17" s="6" t="n">
        <v>18548</v>
      </c>
      <c r="C17" s="6" t="n">
        <v>6485</v>
      </c>
      <c r="D17" s="6" t="n">
        <v>2919</v>
      </c>
      <c r="E17" s="6" t="n">
        <v>112</v>
      </c>
      <c r="F17" s="6" t="n">
        <v>118</v>
      </c>
    </row>
    <row r="18">
      <c r="A18" s="5" t="inlineStr">
        <is>
          <t>Net loans and advances to clients</t>
        </is>
      </c>
      <c r="B18" s="5" t="n">
        <v>639581</v>
      </c>
      <c r="C18" s="5" t="n">
        <v>585893</v>
      </c>
      <c r="D18" s="5" t="n">
        <v>487624</v>
      </c>
      <c r="E18" s="5" t="n">
        <v>447675</v>
      </c>
      <c r="F18" s="5" t="n">
        <v>422160</v>
      </c>
    </row>
    <row r="19">
      <c r="A19" s="5" t="inlineStr">
        <is>
          <t>Coverage ratios (each year's own disclosed figure)</t>
        </is>
      </c>
      <c r="B19" s="6" t="n"/>
      <c r="C19" s="6" t="n"/>
      <c r="D19" s="6" t="n"/>
      <c r="E19" s="6" t="n"/>
      <c r="F19" s="6" t="n"/>
    </row>
    <row r="20">
      <c r="A20" s="6" t="inlineStr">
        <is>
          <t>Stage 3 coverage ratio</t>
        </is>
      </c>
      <c r="B20" s="6" t="inlineStr">
        <is>
          <t>0.221%</t>
        </is>
      </c>
      <c r="C20" s="6" t="inlineStr">
        <is>
          <t>0.750%</t>
        </is>
      </c>
      <c r="D20" s="6" t="inlineStr">
        <is>
          <t>0.680%</t>
        </is>
      </c>
      <c r="E20" s="6" t="inlineStr">
        <is>
          <t>12.500%</t>
        </is>
      </c>
      <c r="F20" s="6" t="inlineStr">
        <is>
          <t>4.839%</t>
        </is>
      </c>
    </row>
    <row r="21">
      <c r="A21" s="6" t="inlineStr">
        <is>
          <t>Total coverage ratio</t>
        </is>
      </c>
      <c r="B21" s="6" t="inlineStr">
        <is>
          <t>0.033%</t>
        </is>
      </c>
      <c r="C21" s="6" t="inlineStr">
        <is>
          <t>0.054%</t>
        </is>
      </c>
      <c r="D21" s="6" t="inlineStr">
        <is>
          <t>0.063%</t>
        </is>
      </c>
      <c r="E21" s="6" t="inlineStr">
        <is>
          <t>0.043%</t>
        </is>
      </c>
      <c r="F21" s="6" t="inlineStr">
        <is>
          <t>0.040%</t>
        </is>
      </c>
    </row>
    <row r="23" ht="170" customHeight="1">
      <c r="A23" s="8" t="inlineStr">
        <is>
          <t>Sources - Hampden &amp; Co Plc's own Note 13 'Impairment of loans and advances to clients' (Note 12 in FY2021's Annual Report),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c r="D4" s="6" t="n">
        <v>74173</v>
      </c>
      <c r="E4" s="6" t="n">
        <v>65731</v>
      </c>
      <c r="F4" s="6" t="n">
        <v>55264</v>
      </c>
    </row>
    <row r="5" ht="60" customHeight="1">
      <c r="A5" s="7" t="inlineStr">
        <is>
          <t>Note: No Additional Tier 1 or Tier 2 capital any year - CET1 = Tier 1 = Total Capital throughout. Not disclosed for FY2024/FY2025 (no standalone Pillar 3 document located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n"/>
      <c r="D4" s="6" t="inlineStr">
        <is>
          <t>20.53%</t>
        </is>
      </c>
      <c r="E4" s="6" t="inlineStr">
        <is>
          <t>20.77%</t>
        </is>
      </c>
      <c r="F4" s="6" t="inlineStr">
        <is>
          <t>19%</t>
        </is>
      </c>
    </row>
    <row r="5" ht="60" customHeight="1">
      <c r="A5" s="7" t="inlineStr">
        <is>
          <t>Note: Not disclosed for FY2024/FY2025 (no standalone Pillar 3 document located for either year); only the aggregate Total Capital Ratio is given in those years' own Annual Reports.</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c r="D4" s="6" t="n">
        <v>74173</v>
      </c>
      <c r="E4" s="6" t="n">
        <v>65731</v>
      </c>
      <c r="F4" s="6" t="n">
        <v>55264</v>
      </c>
    </row>
    <row r="5" ht="60" customHeight="1">
      <c r="A5" s="7" t="inlineStr">
        <is>
          <t>Note: No AT1 capital any year - Tier 1 = CET1 = Total Capital throughout. Not disclosed for FY2024/FY2025.</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n"/>
      <c r="D4" s="6" t="inlineStr">
        <is>
          <t>20.53%</t>
        </is>
      </c>
      <c r="E4" s="6" t="inlineStr">
        <is>
          <t>20.77%</t>
        </is>
      </c>
      <c r="F4" s="6" t="inlineStr">
        <is>
          <t>19%</t>
        </is>
      </c>
    </row>
    <row r="5" ht="60" customHeight="1">
      <c r="A5" s="7" t="inlineStr">
        <is>
          <t>Note: Not disclosed for FY2024/FY2025 (no standalone Pillar 3 document located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c r="D4" s="6" t="n">
        <v>74173</v>
      </c>
      <c r="E4" s="6" t="n">
        <v>65731</v>
      </c>
      <c r="F4" s="6" t="n">
        <v>55264</v>
      </c>
    </row>
    <row r="5" ht="60" customHeight="1">
      <c r="A5" s="7" t="inlineStr">
        <is>
          <t>Note: Not disclosed in £'000 terms for FY2024/FY2025 - only the ratio (below) is given.</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t>
        </is>
      </c>
      <c r="C4" s="6" t="inlineStr">
        <is>
          <t>17%</t>
        </is>
      </c>
      <c r="D4" s="6" t="inlineStr">
        <is>
          <t>20.53%</t>
        </is>
      </c>
      <c r="E4" s="6" t="inlineStr">
        <is>
          <t>20.77%</t>
        </is>
      </c>
      <c r="F4" s="6" t="inlineStr">
        <is>
          <t>19%</t>
        </is>
      </c>
    </row>
    <row r="5" ht="60" customHeight="1">
      <c r="A5" s="7" t="inlineStr">
        <is>
          <t>Note: FY2024/FY2025 sourced from each year's own Annual Report Key Performance Indicators table (the only capital metric given there) rather than a standalone Pillar 3 document - none was found published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c r="D4" s="6" t="n">
        <v>361317</v>
      </c>
      <c r="E4" s="6" t="n">
        <v>316422</v>
      </c>
      <c r="F4" s="6" t="n">
        <v>285422</v>
      </c>
    </row>
    <row r="5" ht="60" customHeight="1">
      <c r="A5" s="7" t="inlineStr">
        <is>
          <t>Note: Not disclosed for FY2024/FY2025 (no standalone Pillar 3 document located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RWA Breakdown</t>
        </is>
      </c>
    </row>
    <row r="2">
      <c r="A2" s="2" t="inlineStr">
        <is>
          <t>Pillar 1 risk weighted exposure amounts by risk category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c r="C4" s="6" t="n"/>
      <c r="D4" s="6" t="n">
        <v>317736</v>
      </c>
      <c r="E4" s="6" t="n">
        <v>284658</v>
      </c>
      <c r="F4" s="6" t="n">
        <v>269622</v>
      </c>
    </row>
    <row r="5">
      <c r="A5" s="6" t="inlineStr">
        <is>
          <t>Counterparty credit risk (CCR)</t>
        </is>
      </c>
      <c r="B5" s="6" t="n"/>
      <c r="C5" s="6" t="n"/>
      <c r="D5" s="6" t="n">
        <v>1549</v>
      </c>
      <c r="E5" s="6" t="n">
        <v>2826</v>
      </c>
      <c r="F5" s="6" t="n"/>
    </row>
    <row r="6">
      <c r="A6" s="6" t="inlineStr">
        <is>
          <t>Of which credit valuation adjustment (CVA)</t>
        </is>
      </c>
      <c r="B6" s="6" t="n"/>
      <c r="C6" s="6" t="n"/>
      <c r="D6" s="6" t="n">
        <v>738</v>
      </c>
      <c r="E6" s="6" t="n">
        <v>1750</v>
      </c>
      <c r="F6" s="6" t="n"/>
    </row>
    <row r="7">
      <c r="A7" s="6" t="inlineStr">
        <is>
          <t>Of which other CCR</t>
        </is>
      </c>
      <c r="B7" s="6" t="n"/>
      <c r="C7" s="6" t="n"/>
      <c r="D7" s="6" t="n">
        <v>811</v>
      </c>
      <c r="E7" s="6" t="n">
        <v>1076</v>
      </c>
      <c r="F7" s="6" t="n"/>
    </row>
    <row r="8">
      <c r="A8" s="6" t="inlineStr">
        <is>
          <t>Market risk (FX)</t>
        </is>
      </c>
      <c r="B8" s="6" t="n"/>
      <c r="C8" s="6" t="n"/>
      <c r="D8" s="6" t="n"/>
      <c r="E8" s="6" t="n"/>
      <c r="F8" s="6" t="n">
        <v>0</v>
      </c>
    </row>
    <row r="9">
      <c r="A9" s="6" t="inlineStr">
        <is>
          <t>Operational risk</t>
        </is>
      </c>
      <c r="B9" s="6" t="n"/>
      <c r="C9" s="6" t="n"/>
      <c r="D9" s="6" t="n">
        <v>42032</v>
      </c>
      <c r="E9" s="6" t="n">
        <v>28938</v>
      </c>
      <c r="F9" s="6" t="n">
        <v>15800</v>
      </c>
    </row>
    <row r="10">
      <c r="A10" s="5" t="inlineStr">
        <is>
          <t>Total risk-weighted exposure amount</t>
        </is>
      </c>
      <c r="B10" s="5" t="n"/>
      <c r="C10" s="5" t="n"/>
      <c r="D10" s="5" t="n">
        <v>361317</v>
      </c>
      <c r="E10" s="5" t="n">
        <v>316422</v>
      </c>
      <c r="F10" s="5" t="n">
        <v>285422</v>
      </c>
    </row>
    <row r="12" ht="190" customHeight="1">
      <c r="A12"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https://hampdenandco.com/content/hampden/content/Hampden-Co-plc-2021-Pillar-3-Disclosures-FINAL.pdf.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Not disclosed for FY2024/FY2025 (no standalone Pillar 3 document located for either year, consistent with the pre-existing Total RWAs sheet). Every year's Total ties exactly to the pre-existing Total RWAs metric sheet.</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 FY2022-FY2023)</t>
        </is>
      </c>
      <c r="B4" s="6" t="n"/>
      <c r="C4" s="6" t="n"/>
      <c r="D4" s="6" t="inlineStr">
        <is>
          <t>8.36%</t>
        </is>
      </c>
      <c r="E4" s="6" t="inlineStr">
        <is>
          <t>8.72%</t>
        </is>
      </c>
      <c r="F4" s="6" t="n"/>
    </row>
    <row r="5">
      <c r="A5" s="6" t="inlineStr">
        <is>
          <t>Leverage ratio (FY2021 basis, as originally disclosed)</t>
        </is>
      </c>
      <c r="B5" s="6" t="n"/>
      <c r="C5" s="6" t="n"/>
      <c r="D5" s="6" t="n"/>
      <c r="E5" s="6" t="n"/>
      <c r="F5" s="6" t="inlineStr">
        <is>
          <t>7%</t>
        </is>
      </c>
    </row>
    <row r="6" ht="60" customHeight="1">
      <c r="A6" s="7" t="inlineStr">
        <is>
          <t>Note: FY2021's pre-UK-KM1-format disclosure does not specify whether central-bank claims are excluded - shown on its own row rather than merged with the later, explicitly-labelled basis. Not disclosed for FY2024/FY2025.</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t>
        </is>
      </c>
      <c r="B4" s="6" t="n"/>
      <c r="C4" s="6" t="n"/>
      <c r="D4" s="6" t="inlineStr">
        <is>
          <t>262%</t>
        </is>
      </c>
      <c r="E4" s="6" t="inlineStr">
        <is>
          <t>213%</t>
        </is>
      </c>
      <c r="F4" s="6" t="n"/>
    </row>
    <row r="5">
      <c r="A5" s="6" t="inlineStr">
        <is>
          <t>Liquidity Coverage Ratio (point-in-time, FY2021 basis)</t>
        </is>
      </c>
      <c r="B5" s="6" t="n"/>
      <c r="C5" s="6" t="n"/>
      <c r="D5" s="6" t="n"/>
      <c r="E5" s="6" t="n"/>
      <c r="F5" s="6" t="inlineStr">
        <is>
          <t>180%</t>
        </is>
      </c>
    </row>
    <row r="6" ht="60" customHeight="1">
      <c r="A6" s="7" t="inlineStr">
        <is>
          <t>Note: FY2021's disclosure predates the UK KM1 format and does not state an averaging basis (later years use a 12-month average per KM1) - shown on its own row rather than assumed equivalent. Not disclosed for FY2024/FY2025.</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(4-quarter average)</t>
        </is>
      </c>
      <c r="B4" s="6" t="n"/>
      <c r="C4" s="6" t="n"/>
      <c r="D4" s="6" t="inlineStr">
        <is>
          <t>186%</t>
        </is>
      </c>
      <c r="E4" s="6" t="inlineStr">
        <is>
          <t>186%</t>
        </is>
      </c>
      <c r="F4" s="6" t="n"/>
    </row>
    <row r="5" ht="60" customHeight="1">
      <c r="A5" s="7" t="inlineStr">
        <is>
          <t>Note: Not disclosed for FY2021 - the Bank's own FY2021 Pillar 3 report contains no NSFR section at all, consistent with the UK's NSFR reporting requirement only commencing during 2022 for firms of this size (the same commencement pattern already seen at Ghana International Bank). Not disclosed for FY2024/FY2025.</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MREL-related content appears in any Pillar 3 document reviewed (FY2021-FY2023);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https://hampdenandco.com/content/hampden/content/Hampden-Co-plc-2021-Pillar-3-Disclosures-FINAL.pdf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2026-09-03T09:33:08Z</dcterms:created>
  <dcterms:modified xmlns:dcterms="http://purl.org/dc/terms/" xmlns:xsi="http://www.w3.org/2001/XMLSchema-instance" xsi:type="dcterms:W3CDTF">2026-09-03T09:33:08Z</dcterms:modified>
</cp:coreProperties>
</file>