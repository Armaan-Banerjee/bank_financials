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P5" t="inlineStr">
        <is>
          <t>FY2016</t>
        </is>
      </c>
      <c r="Q5" t="inlineStr">
        <is>
          <t>FY2017</t>
        </is>
      </c>
      <c r="R5" t="inlineStr">
        <is>
          <t>FY2018</t>
        </is>
      </c>
      <c r="S5" t="inlineStr">
        <is>
          <t>FY2019</t>
        </is>
      </c>
      <c r="T5" t="inlineStr">
        <is>
          <t>FY2020</t>
        </is>
      </c>
      <c r="U5" t="inlineStr">
        <is>
          <t>FY2021</t>
        </is>
      </c>
      <c r="V5" t="inlineStr">
        <is>
          <t>FY2022</t>
        </is>
      </c>
      <c r="W5" t="inlineStr">
        <is>
          <t>FY2023</t>
        </is>
      </c>
      <c r="X5" t="inlineStr">
        <is>
          <t>FY2024</t>
        </is>
      </c>
      <c r="Y5" t="inlineStr">
        <is>
          <t>FY2025</t>
        </is>
      </c>
      <c r="Z5" t="inlineStr">
        <is>
          <t>FY2026</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c r="CD5" t="inlineStr">
        <is>
          <t>FY2026</t>
        </is>
      </c>
    </row>
    <row r="6">
      <c r="A6" s="5" t="inlineStr">
        <is>
          <t>Total assets</t>
        </is>
      </c>
      <c r="B6" s="5" t="n">
        <v>10226400</v>
      </c>
      <c r="C6" s="5" t="n">
        <v>8990900</v>
      </c>
      <c r="D6" s="5" t="n">
        <v>7224900</v>
      </c>
      <c r="E6" s="5" t="n">
        <v>7801381</v>
      </c>
      <c r="F6" s="5" t="n">
        <v>4558515</v>
      </c>
      <c r="G6" s="5" t="n">
        <v>2827121</v>
      </c>
      <c r="H6" s="5" t="n">
        <v>2705431</v>
      </c>
      <c r="I6" s="5" t="n">
        <v>2772299</v>
      </c>
      <c r="J6" s="5" t="n">
        <v>1957331</v>
      </c>
      <c r="K6" s="5" t="n">
        <v>648973</v>
      </c>
      <c r="L6" s="5" t="n">
        <v>37489</v>
      </c>
      <c r="O6" t="inlineStr">
        <is>
          <t>Total assets</t>
        </is>
      </c>
      <c r="P6" t="n">
        <v>37489</v>
      </c>
      <c r="Q6" t="n">
        <v>648973</v>
      </c>
      <c r="R6" t="n">
        <v>1957331</v>
      </c>
      <c r="S6" t="n">
        <v>2772299</v>
      </c>
      <c r="T6" t="n">
        <v>2705431</v>
      </c>
      <c r="U6" t="n">
        <v>2827121</v>
      </c>
      <c r="V6" t="n">
        <v>4558515</v>
      </c>
      <c r="W6" t="n">
        <v>7801381</v>
      </c>
      <c r="X6" t="n">
        <v>7224900</v>
      </c>
      <c r="Y6" t="n">
        <v>8990900</v>
      </c>
      <c r="Z6" t="n">
        <v>10226400</v>
      </c>
      <c r="BS6" t="inlineStr">
        <is>
          <t>CET1 Ratio</t>
        </is>
      </c>
      <c r="BT6" t="n">
        <v>25.2</v>
      </c>
      <c r="BU6" t="n">
        <v>43.9</v>
      </c>
      <c r="BV6" t="n">
        <v>17.5</v>
      </c>
      <c r="BW6" t="n">
        <v>17.9</v>
      </c>
      <c r="BX6" t="n">
        <v>18.6</v>
      </c>
      <c r="BY6" t="n">
        <v>15.3</v>
      </c>
      <c r="BZ6" t="n">
        <v>20.8</v>
      </c>
      <c r="CA6" t="n">
        <v>19</v>
      </c>
      <c r="CB6" t="n">
        <v>19</v>
      </c>
      <c r="CC6" t="n">
        <v>15</v>
      </c>
      <c r="CD6" t="n">
        <v>13.4</v>
      </c>
    </row>
    <row r="7">
      <c r="A7" s="5" t="inlineStr">
        <is>
          <t>Loans and advances to customers</t>
        </is>
      </c>
      <c r="B7" s="5" t="n">
        <v>5807500</v>
      </c>
      <c r="C7" s="5" t="n">
        <v>5301500</v>
      </c>
      <c r="D7" s="5" t="n">
        <v>4100900</v>
      </c>
      <c r="E7" s="5" t="n">
        <v>2958769</v>
      </c>
      <c r="F7" s="5" t="n">
        <v>2384066</v>
      </c>
      <c r="G7" s="5" t="n">
        <v>1638851</v>
      </c>
      <c r="H7" s="5" t="n">
        <v>1970818</v>
      </c>
      <c r="I7" s="5" t="n">
        <v>2399861</v>
      </c>
      <c r="J7" s="5" t="n">
        <v>1219356</v>
      </c>
      <c r="K7" s="5" t="n">
        <v>99209</v>
      </c>
      <c r="L7" s="5" t="n"/>
      <c r="O7" t="inlineStr">
        <is>
          <t>Loans and advances to customers</t>
        </is>
      </c>
      <c r="Q7" t="n">
        <v>99209</v>
      </c>
      <c r="R7" t="n">
        <v>1219356</v>
      </c>
      <c r="S7" t="n">
        <v>2399861</v>
      </c>
      <c r="T7" t="n">
        <v>1970818</v>
      </c>
      <c r="U7" t="n">
        <v>1638851</v>
      </c>
      <c r="V7" t="n">
        <v>2384066</v>
      </c>
      <c r="W7" t="n">
        <v>2958769</v>
      </c>
      <c r="X7" t="n">
        <v>4100900</v>
      </c>
      <c r="Y7" t="n">
        <v>5301500</v>
      </c>
      <c r="Z7" t="n">
        <v>5807500</v>
      </c>
      <c r="BS7" t="inlineStr">
        <is>
          <t>Tier 1 Ratio</t>
        </is>
      </c>
      <c r="BT7" t="n">
        <v>25.2</v>
      </c>
      <c r="BU7" t="n">
        <v>43.9</v>
      </c>
      <c r="BV7" t="n">
        <v>17.5</v>
      </c>
      <c r="BW7" t="n">
        <v>17.9</v>
      </c>
      <c r="BX7" t="n">
        <v>18.6</v>
      </c>
      <c r="BY7" t="n">
        <v>15.3</v>
      </c>
      <c r="BZ7" t="n">
        <v>20.8</v>
      </c>
      <c r="CA7" t="n">
        <v>19</v>
      </c>
      <c r="CB7" t="n">
        <v>19</v>
      </c>
      <c r="CC7" t="n">
        <v>15</v>
      </c>
      <c r="CD7" t="n">
        <v>15.2</v>
      </c>
    </row>
    <row r="8">
      <c r="A8" s="5" t="inlineStr">
        <is>
          <t>Customer deposits</t>
        </is>
      </c>
      <c r="B8" s="5" t="n">
        <v>8347600</v>
      </c>
      <c r="C8" s="5" t="n">
        <v>7538700</v>
      </c>
      <c r="D8" s="5" t="n">
        <v>5746200</v>
      </c>
      <c r="E8" s="5" t="n">
        <v>6551325</v>
      </c>
      <c r="F8" s="5" t="n">
        <v>3229796</v>
      </c>
      <c r="G8" s="5" t="n">
        <v>2154419</v>
      </c>
      <c r="H8" s="5" t="n">
        <v>1864812</v>
      </c>
      <c r="I8" s="5" t="n">
        <v>1771121</v>
      </c>
      <c r="J8" s="5" t="n">
        <v>1439793</v>
      </c>
      <c r="K8" s="5" t="n">
        <v>538060</v>
      </c>
      <c r="L8" s="5" t="n">
        <v>10</v>
      </c>
      <c r="O8" t="inlineStr">
        <is>
          <t>Customer deposits</t>
        </is>
      </c>
      <c r="P8" t="n">
        <v>10</v>
      </c>
      <c r="Q8" t="n">
        <v>538060</v>
      </c>
      <c r="R8" t="n">
        <v>1439793</v>
      </c>
      <c r="S8" t="n">
        <v>1771121</v>
      </c>
      <c r="T8" t="n">
        <v>1864812</v>
      </c>
      <c r="U8" t="n">
        <v>2154419</v>
      </c>
      <c r="V8" t="n">
        <v>3229796</v>
      </c>
      <c r="W8" t="n">
        <v>6551325</v>
      </c>
      <c r="X8" t="n">
        <v>5746200</v>
      </c>
      <c r="Y8" t="n">
        <v>7538700</v>
      </c>
      <c r="Z8" t="n">
        <v>8347600</v>
      </c>
      <c r="BS8" t="inlineStr">
        <is>
          <t>Total Capital Ratio</t>
        </is>
      </c>
      <c r="BT8" t="n">
        <v>25.2</v>
      </c>
      <c r="BU8" t="n">
        <v>44.1</v>
      </c>
      <c r="BV8" t="n">
        <v>18.9</v>
      </c>
      <c r="BW8" t="n">
        <v>18.7</v>
      </c>
      <c r="BX8" t="n">
        <v>19.5</v>
      </c>
      <c r="BY8" t="n">
        <v>16.4</v>
      </c>
      <c r="BZ8" t="n">
        <v>21.6</v>
      </c>
      <c r="CA8" t="n">
        <v>19.5</v>
      </c>
      <c r="CB8" t="n">
        <v>19</v>
      </c>
      <c r="CC8" t="n">
        <v>17.1</v>
      </c>
      <c r="CD8" t="n">
        <v>17</v>
      </c>
    </row>
    <row r="9">
      <c r="A9" s="5" t="inlineStr">
        <is>
          <t>Total equity</t>
        </is>
      </c>
      <c r="B9" s="5" t="n">
        <v>504600</v>
      </c>
      <c r="C9" s="5" t="n">
        <v>425200</v>
      </c>
      <c r="D9" s="5" t="n">
        <v>403800</v>
      </c>
      <c r="E9" s="5" t="n">
        <v>284631</v>
      </c>
      <c r="F9" s="5" t="n">
        <v>251094</v>
      </c>
      <c r="G9" s="5" t="n">
        <v>141330</v>
      </c>
      <c r="H9" s="5" t="n">
        <v>200503</v>
      </c>
      <c r="I9" s="5" t="n">
        <v>212704</v>
      </c>
      <c r="J9" s="5" t="n">
        <v>134971</v>
      </c>
      <c r="K9" s="5" t="n">
        <v>104082</v>
      </c>
      <c r="L9" s="5" t="n">
        <v>29296</v>
      </c>
      <c r="O9" t="inlineStr">
        <is>
          <t>Total equity</t>
        </is>
      </c>
      <c r="P9" t="n">
        <v>29296</v>
      </c>
      <c r="Q9" t="n">
        <v>104082</v>
      </c>
      <c r="R9" t="n">
        <v>134971</v>
      </c>
      <c r="S9" t="n">
        <v>212704</v>
      </c>
      <c r="T9" t="n">
        <v>200503</v>
      </c>
      <c r="U9" t="n">
        <v>141330</v>
      </c>
      <c r="V9" t="n">
        <v>251094</v>
      </c>
      <c r="W9" t="n">
        <v>284631</v>
      </c>
      <c r="X9" t="n">
        <v>403800</v>
      </c>
      <c r="Y9" t="n">
        <v>425200</v>
      </c>
      <c r="Z9" t="n">
        <v>504600</v>
      </c>
      <c r="BS9" t="inlineStr">
        <is>
          <t>Leverage Ratio</t>
        </is>
      </c>
      <c r="BT9" t="n">
        <v>54.9</v>
      </c>
      <c r="BU9" t="n">
        <v>10.9</v>
      </c>
      <c r="BV9" t="n">
        <v>5</v>
      </c>
      <c r="BW9" t="n">
        <v>6.5</v>
      </c>
      <c r="BX9" t="n">
        <v>6</v>
      </c>
      <c r="BY9" t="n">
        <v>3.9</v>
      </c>
      <c r="BZ9" t="n">
        <v>6.6</v>
      </c>
      <c r="CA9" t="n">
        <v>6.5</v>
      </c>
      <c r="CB9" t="n">
        <v>6.9</v>
      </c>
      <c r="CC9" t="n">
        <v>5</v>
      </c>
      <c r="CD9" t="n">
        <v>5.4</v>
      </c>
    </row>
    <row r="10">
      <c r="BS10" t="inlineStr">
        <is>
          <t>LCR</t>
        </is>
      </c>
      <c r="BU10" t="n">
        <v>645.9</v>
      </c>
      <c r="BV10" t="n">
        <v>485.2</v>
      </c>
      <c r="BW10" t="n">
        <v>323.6</v>
      </c>
      <c r="BX10" t="n">
        <v>763.7</v>
      </c>
      <c r="BY10" t="n">
        <v>241.8</v>
      </c>
      <c r="BZ10" t="n">
        <v>316.7</v>
      </c>
      <c r="CA10" t="n">
        <v>578.6</v>
      </c>
      <c r="CB10" t="n">
        <v>727.8</v>
      </c>
      <c r="CC10" t="n">
        <v>418.6</v>
      </c>
      <c r="CD10" t="n">
        <v>350.9</v>
      </c>
    </row>
    <row r="11">
      <c r="A11" s="3" t="inlineStr">
        <is>
          <t>Profit &amp; Loss Summary (£'000)</t>
        </is>
      </c>
      <c r="BS11" t="inlineStr">
        <is>
          <t>NSFR</t>
        </is>
      </c>
      <c r="BY11" t="n">
        <v>125</v>
      </c>
      <c r="BZ11" t="n">
        <v>154.9</v>
      </c>
      <c r="CA11" t="n">
        <v>211.8</v>
      </c>
      <c r="CB11" t="n">
        <v>221.8</v>
      </c>
      <c r="CC11" t="n">
        <v>171.2</v>
      </c>
      <c r="CD11" t="n">
        <v>196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AD12" t="inlineStr">
        <is>
          <t>FY2016</t>
        </is>
      </c>
      <c r="AE12" t="inlineStr">
        <is>
          <t>FY2017</t>
        </is>
      </c>
      <c r="AF12" t="inlineStr">
        <is>
          <t>FY2018</t>
        </is>
      </c>
      <c r="AG12" t="inlineStr">
        <is>
          <t>FY2019</t>
        </is>
      </c>
      <c r="AH12" t="inlineStr">
        <is>
          <t>FY2020</t>
        </is>
      </c>
      <c r="AI12" t="inlineStr">
        <is>
          <t>FY2021</t>
        </is>
      </c>
      <c r="AJ12" t="inlineStr">
        <is>
          <t>FY2022</t>
        </is>
      </c>
      <c r="AK12" t="inlineStr">
        <is>
          <t>FY2023</t>
        </is>
      </c>
      <c r="AL12" t="inlineStr">
        <is>
          <t>FY2024</t>
        </is>
      </c>
      <c r="AM12" t="inlineStr">
        <is>
          <t>FY2025</t>
        </is>
      </c>
      <c r="AN12" t="inlineStr">
        <is>
          <t>FY2026</t>
        </is>
      </c>
    </row>
    <row r="13">
      <c r="A13" s="5" t="inlineStr">
        <is>
          <t>Net operating income/(expense)</t>
        </is>
      </c>
      <c r="B13" s="5" t="n">
        <v>99300</v>
      </c>
      <c r="C13" s="5" t="n">
        <v>93500</v>
      </c>
      <c r="D13" s="5" t="n">
        <v>88100</v>
      </c>
      <c r="E13" s="5" t="n">
        <v>65564</v>
      </c>
      <c r="F13" s="5" t="n">
        <v>48018</v>
      </c>
      <c r="G13" s="5" t="n">
        <v>-1714</v>
      </c>
      <c r="H13" s="5" t="n">
        <v>-14533</v>
      </c>
      <c r="I13" s="5" t="n">
        <v>-5025</v>
      </c>
      <c r="J13" s="5" t="n">
        <v>-2576</v>
      </c>
      <c r="K13" s="5" t="n">
        <v>-1335</v>
      </c>
      <c r="L13" s="5" t="n">
        <v>18</v>
      </c>
      <c r="AC13" t="inlineStr">
        <is>
          <t>Net operating income/(expense)</t>
        </is>
      </c>
      <c r="AD13" t="n">
        <v>18</v>
      </c>
      <c r="AE13" t="n">
        <v>-1335</v>
      </c>
      <c r="AF13" t="n">
        <v>-2576</v>
      </c>
      <c r="AG13" t="n">
        <v>-5025</v>
      </c>
      <c r="AH13" t="n">
        <v>-14533</v>
      </c>
      <c r="AI13" t="n">
        <v>-1714</v>
      </c>
      <c r="AJ13" t="n">
        <v>48018</v>
      </c>
      <c r="AK13" t="n">
        <v>65564</v>
      </c>
      <c r="AL13" t="n">
        <v>88100</v>
      </c>
      <c r="AM13" t="n">
        <v>93500</v>
      </c>
      <c r="AN13" t="n">
        <v>99300</v>
      </c>
    </row>
    <row r="14">
      <c r="A14" s="5" t="inlineStr">
        <is>
          <t>Staff and administrative expense</t>
        </is>
      </c>
      <c r="B14" s="5" t="n">
        <v>-73700</v>
      </c>
      <c r="C14" s="5" t="n">
        <v>-68400</v>
      </c>
      <c r="D14" s="5" t="n">
        <v>-61500</v>
      </c>
      <c r="E14" s="5" t="n">
        <v>-59128</v>
      </c>
      <c r="F14" s="5" t="n">
        <v>-50182</v>
      </c>
      <c r="G14" s="5" t="n">
        <v>-47129</v>
      </c>
      <c r="H14" s="5" t="n">
        <v>-39764</v>
      </c>
      <c r="I14" s="5" t="n">
        <v>-43355</v>
      </c>
      <c r="J14" s="5" t="n">
        <v>-44387</v>
      </c>
      <c r="K14" s="5" t="n">
        <v>-37460</v>
      </c>
      <c r="L14" s="5" t="n">
        <v>-23349</v>
      </c>
      <c r="AC14" t="inlineStr">
        <is>
          <t>Staff and administrative expense</t>
        </is>
      </c>
      <c r="AD14" t="n">
        <v>-23349</v>
      </c>
      <c r="AE14" t="n">
        <v>-37460</v>
      </c>
      <c r="AF14" t="n">
        <v>-44387</v>
      </c>
      <c r="AG14" t="n">
        <v>-43355</v>
      </c>
      <c r="AH14" t="n">
        <v>-39764</v>
      </c>
      <c r="AI14" t="n">
        <v>-47129</v>
      </c>
      <c r="AJ14" t="n">
        <v>-50182</v>
      </c>
      <c r="AK14" t="n">
        <v>-59128</v>
      </c>
      <c r="AL14" t="n">
        <v>-61500</v>
      </c>
      <c r="AM14" t="n">
        <v>-68400</v>
      </c>
      <c r="AN14" t="n">
        <v>-73700</v>
      </c>
    </row>
    <row r="15">
      <c r="A15" s="5" t="inlineStr">
        <is>
          <t>Profit/(loss) for the year</t>
        </is>
      </c>
      <c r="B15" s="5" t="n">
        <v>27700</v>
      </c>
      <c r="C15" s="5" t="n">
        <v>16900</v>
      </c>
      <c r="D15" s="5" t="n">
        <v>12300</v>
      </c>
      <c r="E15" s="5" t="n">
        <v>-5623</v>
      </c>
      <c r="F15" s="5" t="n">
        <v>-11927</v>
      </c>
      <c r="G15" s="5" t="n">
        <v>-62379</v>
      </c>
      <c r="H15" s="5" t="n">
        <v>-63945</v>
      </c>
      <c r="I15" s="5" t="n">
        <v>-79857</v>
      </c>
      <c r="J15" s="5" t="n">
        <v>-52680</v>
      </c>
      <c r="K15" s="5" t="n">
        <v>-42169</v>
      </c>
      <c r="L15" s="5" t="n">
        <v>-22515</v>
      </c>
      <c r="AC15" t="inlineStr">
        <is>
          <t>Profit/(loss) for the year</t>
        </is>
      </c>
      <c r="AD15" t="n">
        <v>-22515</v>
      </c>
      <c r="AE15" t="n">
        <v>-42169</v>
      </c>
      <c r="AF15" t="n">
        <v>-52680</v>
      </c>
      <c r="AG15" t="n">
        <v>-79857</v>
      </c>
      <c r="AH15" t="n">
        <v>-63945</v>
      </c>
      <c r="AI15" t="n">
        <v>-62379</v>
      </c>
      <c r="AJ15" t="n">
        <v>-11927</v>
      </c>
      <c r="AK15" t="n">
        <v>-5623</v>
      </c>
      <c r="AL15" t="n">
        <v>12300</v>
      </c>
      <c r="AM15" t="n">
        <v>16900</v>
      </c>
      <c r="AN15" t="n">
        <v>27700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AR18" t="inlineStr">
        <is>
          <t>FY2016</t>
        </is>
      </c>
      <c r="AS18" t="inlineStr">
        <is>
          <t>FY2017</t>
        </is>
      </c>
      <c r="AT18" t="inlineStr">
        <is>
          <t>FY2018</t>
        </is>
      </c>
      <c r="AU18" t="inlineStr">
        <is>
          <t>FY2019</t>
        </is>
      </c>
      <c r="AV18" t="inlineStr">
        <is>
          <t>FY2020</t>
        </is>
      </c>
      <c r="AW18" t="inlineStr">
        <is>
          <t>FY2021</t>
        </is>
      </c>
      <c r="AX18" t="inlineStr">
        <is>
          <t>FY2022</t>
        </is>
      </c>
      <c r="AY18" t="inlineStr">
        <is>
          <t>FY2023</t>
        </is>
      </c>
      <c r="AZ18" t="inlineStr">
        <is>
          <t>FY2024</t>
        </is>
      </c>
      <c r="BA18" t="inlineStr">
        <is>
          <t>FY2025</t>
        </is>
      </c>
      <c r="BB18" t="inlineStr">
        <is>
          <t>FY2026</t>
        </is>
      </c>
    </row>
    <row r="19">
      <c r="A19" s="5" t="inlineStr">
        <is>
          <t>Opening equity</t>
        </is>
      </c>
      <c r="B19" s="5" t="n">
        <v>425200</v>
      </c>
      <c r="C19" s="5" t="n">
        <v>403800</v>
      </c>
      <c r="D19" s="5" t="n">
        <v>284500</v>
      </c>
      <c r="E19" s="5" t="n">
        <v>251094</v>
      </c>
      <c r="F19" s="5" t="n">
        <v>141330</v>
      </c>
      <c r="G19" s="5" t="n">
        <v>200503</v>
      </c>
      <c r="H19" s="5" t="n">
        <v>212704</v>
      </c>
      <c r="I19" s="5" t="n">
        <v>134971</v>
      </c>
      <c r="J19" s="5" t="n">
        <v>104082</v>
      </c>
      <c r="K19" s="5" t="n">
        <v>29296</v>
      </c>
      <c r="L19" s="5" t="n">
        <v>9023</v>
      </c>
      <c r="AQ19" t="inlineStr">
        <is>
          <t>Opening equity</t>
        </is>
      </c>
      <c r="AR19" t="n">
        <v>9023</v>
      </c>
      <c r="AS19" t="n">
        <v>29296</v>
      </c>
      <c r="AT19" t="n">
        <v>104082</v>
      </c>
      <c r="AU19" t="n">
        <v>134971</v>
      </c>
      <c r="AV19" t="n">
        <v>212704</v>
      </c>
      <c r="AW19" t="n">
        <v>200503</v>
      </c>
      <c r="AX19" t="n">
        <v>141330</v>
      </c>
      <c r="AY19" t="n">
        <v>251094</v>
      </c>
      <c r="AZ19" t="n">
        <v>284500</v>
      </c>
      <c r="BA19" t="n">
        <v>403800</v>
      </c>
      <c r="BB19" t="n">
        <v>425200</v>
      </c>
    </row>
    <row r="20">
      <c r="A20" s="5" t="inlineStr">
        <is>
          <t>Total comprehensive income/(expense) for the year</t>
        </is>
      </c>
      <c r="B20" s="5" t="n">
        <v>27700</v>
      </c>
      <c r="C20" s="5" t="n">
        <v>15400</v>
      </c>
      <c r="D20" s="5" t="n">
        <v>12500</v>
      </c>
      <c r="E20" s="5" t="n">
        <v>-352</v>
      </c>
      <c r="F20" s="5" t="n">
        <v>-12264</v>
      </c>
      <c r="G20" s="5" t="n">
        <v>-61670</v>
      </c>
      <c r="H20" s="5" t="n">
        <v>-64121</v>
      </c>
      <c r="I20" s="5" t="n">
        <v>-79769</v>
      </c>
      <c r="J20" s="5" t="n">
        <v>-53351</v>
      </c>
      <c r="K20" s="5" t="n">
        <v>-41843</v>
      </c>
      <c r="L20" s="5" t="n">
        <v>-22515</v>
      </c>
      <c r="AQ20" t="inlineStr">
        <is>
          <t>Total comprehensive income/(expense) for the year</t>
        </is>
      </c>
      <c r="AR20" t="n">
        <v>-22515</v>
      </c>
      <c r="AS20" t="n">
        <v>-41843</v>
      </c>
      <c r="AT20" t="n">
        <v>-53351</v>
      </c>
      <c r="AU20" t="n">
        <v>-79769</v>
      </c>
      <c r="AV20" t="n">
        <v>-64121</v>
      </c>
      <c r="AW20" t="n">
        <v>-61670</v>
      </c>
      <c r="AX20" t="n">
        <v>-12264</v>
      </c>
      <c r="AY20" t="n">
        <v>-352</v>
      </c>
      <c r="AZ20" t="n">
        <v>12500</v>
      </c>
      <c r="BA20" t="n">
        <v>15400</v>
      </c>
      <c r="BB20" t="n">
        <v>27700</v>
      </c>
    </row>
    <row r="21">
      <c r="A21" s="5" t="inlineStr">
        <is>
          <t>Other equity movements, net</t>
        </is>
      </c>
      <c r="B21" s="5" t="n">
        <v>51700</v>
      </c>
      <c r="C21" s="5" t="n">
        <v>6000</v>
      </c>
      <c r="D21" s="5" t="n">
        <v>106800</v>
      </c>
      <c r="E21" s="5" t="n">
        <v>33889</v>
      </c>
      <c r="F21" s="5" t="n">
        <v>122028</v>
      </c>
      <c r="G21" s="5" t="n">
        <v>2497</v>
      </c>
      <c r="H21" s="5" t="n">
        <v>51920</v>
      </c>
      <c r="I21" s="5" t="n">
        <v>157502</v>
      </c>
      <c r="J21" s="5" t="n">
        <v>84240</v>
      </c>
      <c r="K21" s="5" t="n">
        <v>116629</v>
      </c>
      <c r="L21" s="5" t="n">
        <v>42788</v>
      </c>
      <c r="AQ21" t="inlineStr">
        <is>
          <t>Other equity movements, net</t>
        </is>
      </c>
      <c r="AR21" t="n">
        <v>42788</v>
      </c>
      <c r="AS21" t="n">
        <v>116629</v>
      </c>
      <c r="AT21" t="n">
        <v>84240</v>
      </c>
      <c r="AU21" t="n">
        <v>157502</v>
      </c>
      <c r="AV21" t="n">
        <v>51920</v>
      </c>
      <c r="AW21" t="n">
        <v>2497</v>
      </c>
      <c r="AX21" t="n">
        <v>122028</v>
      </c>
      <c r="AY21" t="n">
        <v>33889</v>
      </c>
      <c r="AZ21" t="n">
        <v>106800</v>
      </c>
      <c r="BA21" t="n">
        <v>6000</v>
      </c>
      <c r="BB21" t="n">
        <v>51700</v>
      </c>
    </row>
    <row r="22">
      <c r="A22" s="5" t="inlineStr">
        <is>
          <t>Closing equity</t>
        </is>
      </c>
      <c r="B22" s="5" t="n">
        <v>504600</v>
      </c>
      <c r="C22" s="5" t="n">
        <v>425200</v>
      </c>
      <c r="D22" s="5" t="n">
        <v>403800</v>
      </c>
      <c r="E22" s="5" t="n">
        <v>284631</v>
      </c>
      <c r="F22" s="5" t="n">
        <v>251094</v>
      </c>
      <c r="G22" s="5" t="n">
        <v>141330</v>
      </c>
      <c r="H22" s="5" t="n">
        <v>200503</v>
      </c>
      <c r="I22" s="5" t="n">
        <v>212704</v>
      </c>
      <c r="J22" s="5" t="n">
        <v>134971</v>
      </c>
      <c r="K22" s="5" t="n">
        <v>104082</v>
      </c>
      <c r="L22" s="5" t="n">
        <v>29296</v>
      </c>
      <c r="AQ22" t="inlineStr">
        <is>
          <t>Closing equity</t>
        </is>
      </c>
      <c r="AR22" t="n">
        <v>29296</v>
      </c>
      <c r="AS22" t="n">
        <v>104082</v>
      </c>
      <c r="AT22" t="n">
        <v>134971</v>
      </c>
      <c r="AU22" t="n">
        <v>212704</v>
      </c>
      <c r="AV22" t="n">
        <v>200503</v>
      </c>
      <c r="AW22" t="n">
        <v>141330</v>
      </c>
      <c r="AX22" t="n">
        <v>251094</v>
      </c>
      <c r="AY22" t="n">
        <v>284631</v>
      </c>
      <c r="AZ22" t="n">
        <v>403800</v>
      </c>
      <c r="BA22" t="n">
        <v>425200</v>
      </c>
      <c r="BB22" t="n">
        <v>504600</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BF25" t="inlineStr">
        <is>
          <t>FY2016</t>
        </is>
      </c>
      <c r="BG25" t="inlineStr">
        <is>
          <t>FY2017</t>
        </is>
      </c>
      <c r="BH25" t="inlineStr">
        <is>
          <t>FY2018</t>
        </is>
      </c>
      <c r="BI25" t="inlineStr">
        <is>
          <t>FY2019</t>
        </is>
      </c>
      <c r="BJ25" t="inlineStr">
        <is>
          <t>FY2020</t>
        </is>
      </c>
      <c r="BK25" t="inlineStr">
        <is>
          <t>FY2021</t>
        </is>
      </c>
      <c r="BL25" t="inlineStr">
        <is>
          <t>FY2022</t>
        </is>
      </c>
      <c r="BM25" t="inlineStr">
        <is>
          <t>FY2023</t>
        </is>
      </c>
      <c r="BN25" t="inlineStr">
        <is>
          <t>FY2024</t>
        </is>
      </c>
      <c r="BO25" t="inlineStr">
        <is>
          <t>FY2025</t>
        </is>
      </c>
      <c r="BP25" t="inlineStr">
        <is>
          <t>FY2026</t>
        </is>
      </c>
    </row>
    <row r="26">
      <c r="A26" s="5" t="inlineStr">
        <is>
          <t>Net cash from/(used in) operating activities</t>
        </is>
      </c>
      <c r="B26" s="5" t="n"/>
      <c r="C26" s="5" t="n"/>
      <c r="D26" s="5" t="n"/>
      <c r="E26" s="5" t="n"/>
      <c r="F26" s="5" t="n">
        <v>1176233</v>
      </c>
      <c r="G26" s="5" t="n">
        <v>30842</v>
      </c>
      <c r="H26" s="5" t="n">
        <v>86814</v>
      </c>
      <c r="I26" s="5" t="n">
        <v>-496336</v>
      </c>
      <c r="J26" s="5" t="n">
        <v>101686</v>
      </c>
      <c r="K26" s="5" t="n">
        <v>395754</v>
      </c>
      <c r="L26" s="5" t="n">
        <v>-18557</v>
      </c>
      <c r="BE26" t="inlineStr">
        <is>
          <t>Net cash from/(used in) operating activities</t>
        </is>
      </c>
      <c r="BF26" t="n">
        <v>-18557</v>
      </c>
      <c r="BG26" t="n">
        <v>395754</v>
      </c>
      <c r="BH26" t="n">
        <v>101686</v>
      </c>
      <c r="BI26" t="n">
        <v>-496336</v>
      </c>
      <c r="BJ26" t="n">
        <v>86814</v>
      </c>
      <c r="BK26" t="n">
        <v>30842</v>
      </c>
      <c r="BL26" t="n">
        <v>1176233</v>
      </c>
    </row>
    <row r="27">
      <c r="A27" s="5" t="inlineStr">
        <is>
          <t>Net cash from/(used in) investing activities</t>
        </is>
      </c>
      <c r="B27" s="5" t="n"/>
      <c r="C27" s="5" t="n"/>
      <c r="D27" s="5" t="n"/>
      <c r="E27" s="5" t="n"/>
      <c r="F27" s="5" t="n">
        <v>-156256</v>
      </c>
      <c r="G27" s="5" t="n">
        <v>16769</v>
      </c>
      <c r="H27" s="5" t="n">
        <v>-91063</v>
      </c>
      <c r="I27" s="5" t="n">
        <v>204637</v>
      </c>
      <c r="J27" s="5" t="n">
        <v>-253264</v>
      </c>
      <c r="K27" s="5" t="n">
        <v>-86510</v>
      </c>
      <c r="L27" s="5" t="n">
        <v>-18672</v>
      </c>
      <c r="BE27" t="inlineStr">
        <is>
          <t>Net cash from/(used in) investing activities</t>
        </is>
      </c>
      <c r="BF27" t="n">
        <v>-18672</v>
      </c>
      <c r="BG27" t="n">
        <v>-86510</v>
      </c>
      <c r="BH27" t="n">
        <v>-253264</v>
      </c>
      <c r="BI27" t="n">
        <v>204637</v>
      </c>
      <c r="BJ27" t="n">
        <v>-91063</v>
      </c>
      <c r="BK27" t="n">
        <v>16769</v>
      </c>
      <c r="BL27" t="n">
        <v>-156256</v>
      </c>
    </row>
    <row r="28">
      <c r="A28" s="5" t="inlineStr">
        <is>
          <t>Net cash from/(used in) financing activities</t>
        </is>
      </c>
      <c r="B28" s="5" t="n"/>
      <c r="C28" s="5" t="n"/>
      <c r="D28" s="5" t="n"/>
      <c r="E28" s="5" t="n"/>
      <c r="F28" s="5" t="n">
        <v>116793</v>
      </c>
      <c r="G28" s="5" t="n">
        <v>-699</v>
      </c>
      <c r="H28" s="5" t="n">
        <v>49011</v>
      </c>
      <c r="I28" s="5" t="n">
        <v>152543</v>
      </c>
      <c r="J28" s="5" t="n">
        <v>87082</v>
      </c>
      <c r="K28" s="5" t="n">
        <v>112321</v>
      </c>
      <c r="L28" s="5" t="n">
        <v>39287</v>
      </c>
      <c r="BE28" t="inlineStr">
        <is>
          <t>Net cash from/(used in) financing activities</t>
        </is>
      </c>
      <c r="BF28" t="n">
        <v>39287</v>
      </c>
      <c r="BG28" t="n">
        <v>112321</v>
      </c>
      <c r="BH28" t="n">
        <v>87082</v>
      </c>
      <c r="BI28" t="n">
        <v>152543</v>
      </c>
      <c r="BJ28" t="n">
        <v>49011</v>
      </c>
      <c r="BK28" t="n">
        <v>-699</v>
      </c>
      <c r="BL28" t="n">
        <v>116793</v>
      </c>
    </row>
    <row r="29">
      <c r="A29" s="5" t="inlineStr">
        <is>
          <t>Cash and balances at central banks at end of year</t>
        </is>
      </c>
      <c r="B29" s="5" t="n"/>
      <c r="C29" s="5" t="n"/>
      <c r="D29" s="5" t="n"/>
      <c r="E29" s="5" t="n"/>
      <c r="F29" s="5" t="n">
        <v>1453596</v>
      </c>
      <c r="G29" s="5" t="n">
        <v>316827</v>
      </c>
      <c r="H29" s="5" t="n">
        <v>269915</v>
      </c>
      <c r="I29" s="5" t="n">
        <v>225153</v>
      </c>
      <c r="J29" s="5" t="n">
        <v>364309</v>
      </c>
      <c r="K29" s="5" t="n">
        <v>428805</v>
      </c>
      <c r="L29" s="5" t="n">
        <v>7240</v>
      </c>
      <c r="BE29" t="inlineStr">
        <is>
          <t>Cash and balances at central banks at end of year</t>
        </is>
      </c>
      <c r="BF29" t="n">
        <v>7240</v>
      </c>
      <c r="BG29" t="n">
        <v>428805</v>
      </c>
      <c r="BH29" t="n">
        <v>364309</v>
      </c>
      <c r="BI29" t="n">
        <v>225153</v>
      </c>
      <c r="BJ29" t="n">
        <v>269915</v>
      </c>
      <c r="BK29" t="n">
        <v>316827</v>
      </c>
      <c r="BL29" t="n">
        <v>1453596</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row>
    <row r="33">
      <c r="A33" s="6" t="inlineStr">
        <is>
          <t>CET1 Ratio</t>
        </is>
      </c>
      <c r="B33" s="6" t="inlineStr">
        <is>
          <t>13.4%</t>
        </is>
      </c>
      <c r="C33" s="6" t="inlineStr">
        <is>
          <t>15.0%</t>
        </is>
      </c>
      <c r="D33" s="6" t="inlineStr">
        <is>
          <t>19.0%</t>
        </is>
      </c>
      <c r="E33" s="6" t="inlineStr">
        <is>
          <t>19.0%</t>
        </is>
      </c>
      <c r="F33" s="6" t="inlineStr">
        <is>
          <t>20.8%</t>
        </is>
      </c>
      <c r="G33" s="6" t="inlineStr">
        <is>
          <t>15.3%</t>
        </is>
      </c>
      <c r="H33" s="6" t="inlineStr">
        <is>
          <t>18.6%</t>
        </is>
      </c>
      <c r="I33" s="6" t="inlineStr">
        <is>
          <t>17.9%</t>
        </is>
      </c>
      <c r="J33" s="6" t="inlineStr">
        <is>
          <t>17.5%</t>
        </is>
      </c>
      <c r="K33" s="6" t="inlineStr">
        <is>
          <t>43.9%</t>
        </is>
      </c>
      <c r="L33" s="6" t="inlineStr">
        <is>
          <t>25.2%</t>
        </is>
      </c>
    </row>
    <row r="34">
      <c r="A34" s="6" t="inlineStr">
        <is>
          <t>Tier 1 Ratio</t>
        </is>
      </c>
      <c r="B34" s="6" t="inlineStr">
        <is>
          <t>15.2%</t>
        </is>
      </c>
      <c r="C34" s="6" t="inlineStr">
        <is>
          <t>15.0%</t>
        </is>
      </c>
      <c r="D34" s="6" t="inlineStr">
        <is>
          <t>19.0%</t>
        </is>
      </c>
      <c r="E34" s="6" t="inlineStr">
        <is>
          <t>19.0%</t>
        </is>
      </c>
      <c r="F34" s="6" t="inlineStr">
        <is>
          <t>20.8%</t>
        </is>
      </c>
      <c r="G34" s="6" t="inlineStr">
        <is>
          <t>15.3%</t>
        </is>
      </c>
      <c r="H34" s="6" t="inlineStr">
        <is>
          <t>18.6%</t>
        </is>
      </c>
      <c r="I34" s="6" t="inlineStr">
        <is>
          <t>17.9%</t>
        </is>
      </c>
      <c r="J34" s="6" t="inlineStr">
        <is>
          <t>17.5%</t>
        </is>
      </c>
      <c r="K34" s="6" t="inlineStr">
        <is>
          <t>43.9%</t>
        </is>
      </c>
      <c r="L34" s="6" t="inlineStr">
        <is>
          <t>25.2%</t>
        </is>
      </c>
    </row>
    <row r="35">
      <c r="A35" s="6" t="inlineStr">
        <is>
          <t>Total Capital Ratio</t>
        </is>
      </c>
      <c r="B35" s="6" t="inlineStr">
        <is>
          <t>17.0%</t>
        </is>
      </c>
      <c r="C35" s="6" t="inlineStr">
        <is>
          <t>17.1%</t>
        </is>
      </c>
      <c r="D35" s="6" t="inlineStr">
        <is>
          <t>19.0%</t>
        </is>
      </c>
      <c r="E35" s="6" t="inlineStr">
        <is>
          <t>19.5%</t>
        </is>
      </c>
      <c r="F35" s="6" t="inlineStr">
        <is>
          <t>21.6%</t>
        </is>
      </c>
      <c r="G35" s="6" t="inlineStr">
        <is>
          <t>16.4%</t>
        </is>
      </c>
      <c r="H35" s="6" t="inlineStr">
        <is>
          <t>19.5%</t>
        </is>
      </c>
      <c r="I35" s="6" t="inlineStr">
        <is>
          <t>18.7%</t>
        </is>
      </c>
      <c r="J35" s="6" t="inlineStr">
        <is>
          <t>18.9%</t>
        </is>
      </c>
      <c r="K35" s="6" t="inlineStr">
        <is>
          <t>44.1%</t>
        </is>
      </c>
      <c r="L35" s="6" t="inlineStr">
        <is>
          <t>25.2%</t>
        </is>
      </c>
    </row>
    <row r="36">
      <c r="A36" s="6" t="inlineStr">
        <is>
          <t>Leverage Ratio</t>
        </is>
      </c>
      <c r="B36" s="6" t="inlineStr">
        <is>
          <t>5.4%</t>
        </is>
      </c>
      <c r="C36" s="6" t="inlineStr">
        <is>
          <t>5.0%</t>
        </is>
      </c>
      <c r="D36" s="6" t="inlineStr">
        <is>
          <t>6.9%</t>
        </is>
      </c>
      <c r="E36" s="6" t="inlineStr">
        <is>
          <t>6.5%</t>
        </is>
      </c>
      <c r="F36" s="6" t="inlineStr">
        <is>
          <t>6.6%</t>
        </is>
      </c>
      <c r="G36" s="6" t="inlineStr">
        <is>
          <t>3.9%</t>
        </is>
      </c>
      <c r="H36" s="6" t="inlineStr">
        <is>
          <t>6.0%</t>
        </is>
      </c>
      <c r="I36" s="6" t="inlineStr">
        <is>
          <t>6.5%</t>
        </is>
      </c>
      <c r="J36" s="6" t="inlineStr">
        <is>
          <t>5.0%</t>
        </is>
      </c>
      <c r="K36" s="6" t="inlineStr">
        <is>
          <t>10.9%</t>
        </is>
      </c>
      <c r="L36" s="6" t="inlineStr">
        <is>
          <t>54.9%</t>
        </is>
      </c>
    </row>
    <row r="37">
      <c r="A37" s="6" t="inlineStr">
        <is>
          <t>LCR</t>
        </is>
      </c>
      <c r="B37" s="6" t="inlineStr">
        <is>
          <t>350.9%</t>
        </is>
      </c>
      <c r="C37" s="6" t="inlineStr">
        <is>
          <t>418.6%</t>
        </is>
      </c>
      <c r="D37" s="6" t="inlineStr">
        <is>
          <t>727.8%</t>
        </is>
      </c>
      <c r="E37" s="6" t="inlineStr">
        <is>
          <t>578.6%</t>
        </is>
      </c>
      <c r="F37" s="6" t="inlineStr">
        <is>
          <t>316.7%</t>
        </is>
      </c>
      <c r="G37" s="6" t="inlineStr">
        <is>
          <t>241.8%</t>
        </is>
      </c>
      <c r="H37" s="6" t="inlineStr">
        <is>
          <t>763.7%</t>
        </is>
      </c>
      <c r="I37" s="6" t="inlineStr">
        <is>
          <t>323.6%</t>
        </is>
      </c>
      <c r="J37" s="6" t="inlineStr">
        <is>
          <t>485.2%</t>
        </is>
      </c>
      <c r="K37" s="6" t="inlineStr">
        <is>
          <t>645.9%</t>
        </is>
      </c>
      <c r="L37" s="6" t="n"/>
    </row>
    <row r="38">
      <c r="A38" s="6" t="inlineStr">
        <is>
          <t>NSFR</t>
        </is>
      </c>
      <c r="B38" s="6" t="inlineStr">
        <is>
          <t>196.0%</t>
        </is>
      </c>
      <c r="C38" s="6" t="inlineStr">
        <is>
          <t>171.2%</t>
        </is>
      </c>
      <c r="D38" s="6" t="inlineStr">
        <is>
          <t>221.8%</t>
        </is>
      </c>
      <c r="E38" s="6" t="inlineStr">
        <is>
          <t>211.8%</t>
        </is>
      </c>
      <c r="F38" s="6" t="inlineStr">
        <is>
          <t>154.9%</t>
        </is>
      </c>
      <c r="G38" s="6" t="inlineStr">
        <is>
          <t>125.0%</t>
        </is>
      </c>
      <c r="H38" s="6" t="n"/>
      <c r="I38" s="6" t="n"/>
      <c r="J38" s="6" t="n"/>
      <c r="K38" s="6" t="n"/>
      <c r="L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Financial Position</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Assets</t>
        </is>
      </c>
      <c r="B4" s="6" t="n"/>
      <c r="C4" s="6" t="n"/>
      <c r="D4" s="6" t="n"/>
      <c r="E4" s="6" t="n"/>
      <c r="F4" s="6" t="n"/>
      <c r="G4" s="6" t="n"/>
      <c r="H4" s="6" t="n"/>
      <c r="I4" s="6" t="n"/>
      <c r="J4" s="6" t="n"/>
      <c r="K4" s="6" t="n"/>
      <c r="L4" s="6" t="n"/>
    </row>
    <row r="5">
      <c r="A5" s="6" t="inlineStr">
        <is>
          <t>Cash and cash equivalents (FY2016 pre-product-launch presentation)</t>
        </is>
      </c>
      <c r="B5" s="6" t="n"/>
      <c r="C5" s="6" t="n"/>
      <c r="D5" s="6" t="n"/>
      <c r="E5" s="6" t="n"/>
      <c r="F5" s="6" t="n"/>
      <c r="G5" s="6" t="n"/>
      <c r="H5" s="6" t="n"/>
      <c r="I5" s="6" t="n"/>
      <c r="J5" s="6" t="n"/>
      <c r="K5" s="6" t="n"/>
      <c r="L5" s="6" t="n">
        <v>7240</v>
      </c>
    </row>
    <row r="6">
      <c r="A6" s="6" t="inlineStr">
        <is>
          <t>Cash and balances at central banks</t>
        </is>
      </c>
      <c r="B6" s="6" t="n">
        <v>2619500</v>
      </c>
      <c r="C6" s="6" t="n">
        <v>1902200</v>
      </c>
      <c r="D6" s="6" t="n">
        <v>2405000</v>
      </c>
      <c r="E6" s="6" t="n">
        <v>4177488</v>
      </c>
      <c r="F6" s="6" t="n">
        <v>1453596</v>
      </c>
      <c r="G6" s="6" t="n">
        <v>316826</v>
      </c>
      <c r="H6" s="6" t="n">
        <v>269915</v>
      </c>
      <c r="I6" s="6" t="n">
        <v>225153</v>
      </c>
      <c r="J6" s="6" t="n">
        <v>364309</v>
      </c>
      <c r="K6" s="6" t="n">
        <v>419765</v>
      </c>
      <c r="L6" s="6" t="n"/>
    </row>
    <row r="7">
      <c r="A7" s="6" t="inlineStr">
        <is>
          <t>Financial investments - UK Treasury Bills and Gilts (FY2016 pre-IFRS 9 presentation)</t>
        </is>
      </c>
      <c r="B7" s="6" t="n"/>
      <c r="C7" s="6" t="n"/>
      <c r="D7" s="6" t="n"/>
      <c r="E7" s="6" t="n"/>
      <c r="F7" s="6" t="n"/>
      <c r="G7" s="6" t="n"/>
      <c r="H7" s="6" t="n"/>
      <c r="I7" s="6" t="n"/>
      <c r="J7" s="6" t="n"/>
      <c r="K7" s="6" t="n"/>
      <c r="L7" s="6" t="n">
        <v>6559</v>
      </c>
    </row>
    <row r="8">
      <c r="A8" s="6" t="inlineStr">
        <is>
          <t>Debt instruments at fair value through other comprehensive income (total)</t>
        </is>
      </c>
      <c r="B8" s="6" t="n">
        <v>1245600</v>
      </c>
      <c r="C8" s="6" t="n">
        <v>1384500</v>
      </c>
      <c r="D8" s="6" t="n">
        <v>474700</v>
      </c>
      <c r="E8" s="6" t="n">
        <v>323978</v>
      </c>
      <c r="F8" s="6" t="n">
        <v>297334</v>
      </c>
      <c r="G8" s="6" t="n">
        <v>151052</v>
      </c>
      <c r="H8" s="6" t="n">
        <v>176733</v>
      </c>
      <c r="I8" s="6" t="n">
        <v>99072</v>
      </c>
      <c r="J8" s="6" t="n">
        <v>322361</v>
      </c>
      <c r="K8" s="6" t="n">
        <v>87249</v>
      </c>
      <c r="L8" s="6" t="n"/>
    </row>
    <row r="9">
      <c r="A9" s="6" t="inlineStr">
        <is>
          <t>Debt securities at FVOCI - UK Gilts &amp; T-Bills</t>
        </is>
      </c>
      <c r="B9" s="6" t="n">
        <v>790600</v>
      </c>
      <c r="C9" s="6" t="n">
        <v>982600</v>
      </c>
      <c r="D9" s="6" t="n">
        <v>174600</v>
      </c>
      <c r="E9" s="6" t="n">
        <v>142297</v>
      </c>
      <c r="F9" s="6" t="n">
        <v>191363</v>
      </c>
      <c r="G9" s="6" t="n">
        <v>65036</v>
      </c>
      <c r="H9" s="6" t="n">
        <v>103717</v>
      </c>
      <c r="I9" s="6" t="n">
        <v>22032</v>
      </c>
      <c r="J9" s="6" t="n">
        <v>238136</v>
      </c>
      <c r="K9" s="6" t="n">
        <v>33970</v>
      </c>
      <c r="L9" s="6" t="n"/>
    </row>
    <row r="10">
      <c r="A10" s="6" t="inlineStr">
        <is>
          <t>Debt securities at FVOCI - Covered Bonds</t>
        </is>
      </c>
      <c r="B10" s="6" t="n">
        <v>349000</v>
      </c>
      <c r="C10" s="6" t="n">
        <v>351600</v>
      </c>
      <c r="D10" s="6" t="n">
        <v>290100</v>
      </c>
      <c r="E10" s="6" t="n">
        <v>142784</v>
      </c>
      <c r="F10" s="6" t="n">
        <v>70051</v>
      </c>
      <c r="G10" s="6" t="n">
        <v>79513</v>
      </c>
      <c r="H10" s="6" t="n">
        <v>54584</v>
      </c>
      <c r="I10" s="6" t="n">
        <v>49975</v>
      </c>
      <c r="J10" s="6" t="n">
        <v>20939</v>
      </c>
      <c r="K10" s="6" t="n">
        <v>20752</v>
      </c>
      <c r="L10" s="6" t="n"/>
    </row>
    <row r="11">
      <c r="A11" s="6" t="inlineStr">
        <is>
          <t>Debt securities at FVOCI - Residential Mortgage Backed Securities (RMBS)</t>
        </is>
      </c>
      <c r="B11" s="6" t="n">
        <v>76000</v>
      </c>
      <c r="C11" s="6" t="n">
        <v>50300</v>
      </c>
      <c r="D11" s="6" t="n">
        <v>7800</v>
      </c>
      <c r="E11" s="6" t="n"/>
      <c r="F11" s="6" t="n"/>
      <c r="G11" s="6" t="n"/>
      <c r="H11" s="6" t="n">
        <v>1807</v>
      </c>
      <c r="I11" s="6" t="n">
        <v>10564</v>
      </c>
      <c r="J11" s="6" t="n">
        <v>11132</v>
      </c>
      <c r="K11" s="6" t="n">
        <v>10192</v>
      </c>
      <c r="L11" s="6" t="n"/>
    </row>
    <row r="12">
      <c r="A12" s="6" t="inlineStr">
        <is>
          <t>Debt securities at FVOCI - Multilateral Development Bank and Government Sponsored Debt</t>
        </is>
      </c>
      <c r="B12" s="6" t="n">
        <v>30000</v>
      </c>
      <c r="C12" s="6" t="n"/>
      <c r="D12" s="6" t="n">
        <v>2200</v>
      </c>
      <c r="E12" s="6" t="n">
        <v>38897</v>
      </c>
      <c r="F12" s="6" t="n">
        <v>35920</v>
      </c>
      <c r="G12" s="6" t="n">
        <v>6503</v>
      </c>
      <c r="H12" s="6" t="n">
        <v>16625</v>
      </c>
      <c r="I12" s="6" t="n">
        <v>16501</v>
      </c>
      <c r="J12" s="6" t="n">
        <v>52154</v>
      </c>
      <c r="K12" s="6" t="n">
        <v>13295</v>
      </c>
      <c r="L12" s="6" t="n"/>
    </row>
    <row r="13">
      <c r="A13" s="6" t="inlineStr">
        <is>
          <t>Debt securities at FVOCI - Money Market Funds</t>
        </is>
      </c>
      <c r="B13" s="6" t="n"/>
      <c r="C13" s="6" t="n"/>
      <c r="D13" s="6" t="n"/>
      <c r="E13" s="6" t="n"/>
      <c r="F13" s="6" t="n"/>
      <c r="G13" s="6" t="n"/>
      <c r="H13" s="6" t="n"/>
      <c r="I13" s="6" t="n"/>
      <c r="J13" s="6" t="n"/>
      <c r="K13" s="6" t="n">
        <v>9040</v>
      </c>
      <c r="L13" s="6" t="n"/>
    </row>
    <row r="14">
      <c r="A14" s="6" t="inlineStr">
        <is>
          <t>Debt instruments held at amortised cost</t>
        </is>
      </c>
      <c r="B14" s="6" t="n">
        <v>326800</v>
      </c>
      <c r="C14" s="6" t="n">
        <v>202500</v>
      </c>
      <c r="D14" s="6" t="n">
        <v>23000</v>
      </c>
      <c r="E14" s="6" t="n">
        <v>150273</v>
      </c>
      <c r="F14" s="6" t="n">
        <v>295103</v>
      </c>
      <c r="G14" s="6" t="n">
        <v>649503</v>
      </c>
      <c r="H14" s="6" t="n">
        <v>223311</v>
      </c>
      <c r="I14" s="6" t="n"/>
      <c r="J14" s="6" t="n"/>
      <c r="K14" s="6" t="n"/>
      <c r="L14" s="6" t="n"/>
    </row>
    <row r="15">
      <c r="A15" s="6" t="inlineStr">
        <is>
          <t>Derivatives held for hedging purposes</t>
        </is>
      </c>
      <c r="B15" s="6" t="n">
        <v>47200</v>
      </c>
      <c r="C15" s="6" t="n">
        <v>55800</v>
      </c>
      <c r="D15" s="6" t="n">
        <v>62400</v>
      </c>
      <c r="E15" s="6" t="n">
        <v>76882</v>
      </c>
      <c r="F15" s="6" t="n">
        <v>36021</v>
      </c>
      <c r="G15" s="6" t="n">
        <v>4058</v>
      </c>
      <c r="H15" s="6" t="n">
        <v>736</v>
      </c>
      <c r="I15" s="6" t="n"/>
      <c r="J15" s="6" t="n">
        <v>8008</v>
      </c>
      <c r="K15" s="6" t="n"/>
      <c r="L15" s="6" t="n"/>
    </row>
    <row r="16">
      <c r="A16" s="6" t="inlineStr">
        <is>
          <t>Loans and advances to customers</t>
        </is>
      </c>
      <c r="B16" s="6" t="n">
        <v>5807500</v>
      </c>
      <c r="C16" s="6" t="n">
        <v>5301500</v>
      </c>
      <c r="D16" s="6" t="n">
        <v>4100900</v>
      </c>
      <c r="E16" s="6" t="n">
        <v>2958769</v>
      </c>
      <c r="F16" s="6" t="n">
        <v>2384066</v>
      </c>
      <c r="G16" s="6" t="n">
        <v>1638851</v>
      </c>
      <c r="H16" s="6" t="n">
        <v>1970818</v>
      </c>
      <c r="I16" s="6" t="n">
        <v>2399861</v>
      </c>
      <c r="J16" s="6" t="n">
        <v>1219356</v>
      </c>
      <c r="K16" s="6" t="n">
        <v>99209</v>
      </c>
      <c r="L16" s="6" t="n"/>
    </row>
    <row r="17">
      <c r="A17" s="6" t="inlineStr">
        <is>
          <t>Other assets</t>
        </is>
      </c>
      <c r="B17" s="6" t="n">
        <v>80100</v>
      </c>
      <c r="C17" s="6" t="n">
        <v>76700</v>
      </c>
      <c r="D17" s="6" t="n">
        <v>100100</v>
      </c>
      <c r="E17" s="6" t="n">
        <v>63182</v>
      </c>
      <c r="F17" s="6" t="n">
        <v>46845</v>
      </c>
      <c r="G17" s="6" t="n">
        <v>26077</v>
      </c>
      <c r="H17" s="6" t="n">
        <v>21634</v>
      </c>
      <c r="I17" s="6" t="n">
        <v>17931</v>
      </c>
      <c r="J17" s="6" t="n">
        <v>8649</v>
      </c>
      <c r="K17" s="6" t="n">
        <v>11482</v>
      </c>
      <c r="L17" s="6" t="n">
        <v>2445</v>
      </c>
    </row>
    <row r="18">
      <c r="A18" s="6" t="inlineStr">
        <is>
          <t>Property, plant and equipment</t>
        </is>
      </c>
      <c r="B18" s="6" t="n">
        <v>12900</v>
      </c>
      <c r="C18" s="6" t="n">
        <v>600</v>
      </c>
      <c r="D18" s="6" t="n">
        <v>700</v>
      </c>
      <c r="E18" s="6" t="n">
        <v>3180</v>
      </c>
      <c r="F18" s="6" t="n">
        <v>4068</v>
      </c>
      <c r="G18" s="6" t="n">
        <v>4865</v>
      </c>
      <c r="H18" s="6" t="n">
        <v>5638</v>
      </c>
      <c r="I18" s="6" t="n">
        <v>562</v>
      </c>
      <c r="J18" s="6" t="n">
        <v>539</v>
      </c>
      <c r="K18" s="6" t="n">
        <v>722</v>
      </c>
      <c r="L18" s="6" t="n">
        <v>484</v>
      </c>
    </row>
    <row r="19">
      <c r="A19" s="6" t="inlineStr">
        <is>
          <t>Intangible assets</t>
        </is>
      </c>
      <c r="B19" s="6" t="n">
        <v>37600</v>
      </c>
      <c r="C19" s="6" t="n">
        <v>38000</v>
      </c>
      <c r="D19" s="6" t="n">
        <v>41600</v>
      </c>
      <c r="E19" s="6" t="n">
        <v>37829</v>
      </c>
      <c r="F19" s="6" t="n">
        <v>36129</v>
      </c>
      <c r="G19" s="6" t="n">
        <v>35889</v>
      </c>
      <c r="H19" s="6" t="n">
        <v>36646</v>
      </c>
      <c r="I19" s="6" t="n">
        <v>29720</v>
      </c>
      <c r="J19" s="6" t="n">
        <v>34109</v>
      </c>
      <c r="K19" s="6" t="n">
        <v>30546</v>
      </c>
      <c r="L19" s="6" t="n">
        <v>19341</v>
      </c>
    </row>
    <row r="20">
      <c r="A20" s="6" t="inlineStr">
        <is>
          <t>Current tax assets (FY2016 only; recognised as deferred thereafter)</t>
        </is>
      </c>
      <c r="B20" s="6" t="n"/>
      <c r="C20" s="6" t="n"/>
      <c r="D20" s="6" t="n"/>
      <c r="E20" s="6" t="n"/>
      <c r="F20" s="6" t="n"/>
      <c r="G20" s="6" t="n"/>
      <c r="H20" s="6" t="n"/>
      <c r="I20" s="6" t="n"/>
      <c r="J20" s="6" t="n"/>
      <c r="K20" s="6" t="n"/>
      <c r="L20" s="6" t="n">
        <v>1420</v>
      </c>
    </row>
    <row r="21">
      <c r="A21" s="6" t="inlineStr">
        <is>
          <t>Deferred tax asset</t>
        </is>
      </c>
      <c r="B21" s="6" t="n">
        <v>49200</v>
      </c>
      <c r="C21" s="6" t="n">
        <v>29100</v>
      </c>
      <c r="D21" s="6" t="n">
        <v>16500</v>
      </c>
      <c r="E21" s="6" t="n">
        <v>9800</v>
      </c>
      <c r="F21" s="6" t="n">
        <v>5353</v>
      </c>
      <c r="G21" s="6" t="n"/>
      <c r="H21" s="6" t="n"/>
      <c r="I21" s="6" t="n"/>
      <c r="J21" s="6" t="n"/>
      <c r="K21" s="6" t="n"/>
      <c r="L21" s="6" t="n"/>
    </row>
    <row r="22">
      <c r="A22" s="5" t="inlineStr">
        <is>
          <t>Total assets</t>
        </is>
      </c>
      <c r="B22" s="5" t="n">
        <v>10226400</v>
      </c>
      <c r="C22" s="5" t="n">
        <v>8990900</v>
      </c>
      <c r="D22" s="5" t="n">
        <v>7224900</v>
      </c>
      <c r="E22" s="5" t="n">
        <v>7801381</v>
      </c>
      <c r="F22" s="5" t="n">
        <v>4558515</v>
      </c>
      <c r="G22" s="5" t="n">
        <v>2827121</v>
      </c>
      <c r="H22" s="5" t="n">
        <v>2705431</v>
      </c>
      <c r="I22" s="5" t="n">
        <v>2772299</v>
      </c>
      <c r="J22" s="5" t="n">
        <v>1957331</v>
      </c>
      <c r="K22" s="5" t="n">
        <v>648973</v>
      </c>
      <c r="L22" s="5" t="n">
        <v>37489</v>
      </c>
    </row>
    <row r="23">
      <c r="A23" s="5" t="inlineStr">
        <is>
          <t>Liabilities</t>
        </is>
      </c>
      <c r="B23" s="6" t="n"/>
      <c r="C23" s="6" t="n"/>
      <c r="D23" s="6" t="n"/>
      <c r="E23" s="6" t="n"/>
      <c r="F23" s="6" t="n"/>
      <c r="G23" s="6" t="n"/>
      <c r="H23" s="6" t="n"/>
      <c r="I23" s="6" t="n"/>
      <c r="J23" s="6" t="n"/>
      <c r="K23" s="6" t="n"/>
      <c r="L23" s="6" t="n"/>
    </row>
    <row r="24">
      <c r="A24" s="6" t="inlineStr">
        <is>
          <t>Customer deposits</t>
        </is>
      </c>
      <c r="B24" s="6" t="n">
        <v>8347600</v>
      </c>
      <c r="C24" s="6" t="n">
        <v>7538700</v>
      </c>
      <c r="D24" s="6" t="n">
        <v>5746200</v>
      </c>
      <c r="E24" s="6" t="n">
        <v>6551325</v>
      </c>
      <c r="F24" s="6" t="n">
        <v>3229796</v>
      </c>
      <c r="G24" s="6" t="n">
        <v>2154419</v>
      </c>
      <c r="H24" s="6" t="n">
        <v>1864812</v>
      </c>
      <c r="I24" s="6" t="n">
        <v>1771121</v>
      </c>
      <c r="J24" s="6" t="n">
        <v>1439793</v>
      </c>
      <c r="K24" s="6" t="n">
        <v>538060</v>
      </c>
      <c r="L24" s="6" t="n">
        <v>10</v>
      </c>
    </row>
    <row r="25">
      <c r="A25" s="6" t="inlineStr">
        <is>
          <t>Borrowings from central banks</t>
        </is>
      </c>
      <c r="B25" s="6" t="n">
        <v>515900</v>
      </c>
      <c r="C25" s="6" t="n">
        <v>358200</v>
      </c>
      <c r="D25" s="6" t="n">
        <v>683800</v>
      </c>
      <c r="E25" s="6" t="n">
        <v>681403</v>
      </c>
      <c r="F25" s="6" t="n">
        <v>675749</v>
      </c>
      <c r="G25" s="6" t="n">
        <v>378093</v>
      </c>
      <c r="H25" s="6" t="n">
        <v>355481</v>
      </c>
      <c r="I25" s="6" t="n">
        <v>355437</v>
      </c>
      <c r="J25" s="6" t="n">
        <v>355215</v>
      </c>
      <c r="K25" s="6" t="n"/>
      <c r="L25" s="6" t="n"/>
    </row>
    <row r="26">
      <c r="A26" s="6" t="inlineStr">
        <is>
          <t>Deemed loan</t>
        </is>
      </c>
      <c r="B26" s="6" t="n">
        <v>740700</v>
      </c>
      <c r="C26" s="6" t="n">
        <v>556100</v>
      </c>
      <c r="D26" s="6" t="n">
        <v>322400</v>
      </c>
      <c r="E26" s="6" t="n">
        <v>186864</v>
      </c>
      <c r="F26" s="6" t="n">
        <v>343856</v>
      </c>
      <c r="G26" s="6" t="n">
        <v>110700</v>
      </c>
      <c r="H26" s="6" t="n">
        <v>233091</v>
      </c>
      <c r="I26" s="6" t="n">
        <v>364204</v>
      </c>
      <c r="J26" s="6" t="n"/>
      <c r="K26" s="6" t="n"/>
      <c r="L26" s="6" t="n"/>
    </row>
    <row r="27">
      <c r="A27" s="6" t="inlineStr">
        <is>
          <t>Repurchase agreements</t>
        </is>
      </c>
      <c r="B27" s="6" t="n"/>
      <c r="C27" s="6" t="n"/>
      <c r="D27" s="6" t="n"/>
      <c r="E27" s="6" t="n"/>
      <c r="F27" s="6" t="n"/>
      <c r="G27" s="6" t="n"/>
      <c r="H27" s="6" t="n"/>
      <c r="I27" s="6" t="n">
        <v>34851</v>
      </c>
      <c r="J27" s="6" t="n"/>
      <c r="K27" s="6" t="n"/>
      <c r="L27" s="6" t="n"/>
    </row>
    <row r="28">
      <c r="A28" s="6" t="inlineStr">
        <is>
          <t>Subordinated liabilities</t>
        </is>
      </c>
      <c r="B28" s="6" t="n">
        <v>50200</v>
      </c>
      <c r="C28" s="6" t="n">
        <v>50100</v>
      </c>
      <c r="D28" s="6" t="n">
        <v>0</v>
      </c>
      <c r="E28" s="6" t="n">
        <v>8201</v>
      </c>
      <c r="F28" s="6" t="n">
        <v>8192</v>
      </c>
      <c r="G28" s="6" t="n">
        <v>8180</v>
      </c>
      <c r="H28" s="6" t="n">
        <v>8166</v>
      </c>
      <c r="I28" s="6" t="n">
        <v>8149</v>
      </c>
      <c r="J28" s="6" t="n">
        <v>8134</v>
      </c>
      <c r="K28" s="6" t="n"/>
      <c r="L28" s="6" t="n"/>
    </row>
    <row r="29">
      <c r="A29" s="6" t="inlineStr">
        <is>
          <t>Derivatives held for hedging purposes</t>
        </is>
      </c>
      <c r="B29" s="6" t="n"/>
      <c r="C29" s="6" t="n">
        <v>200</v>
      </c>
      <c r="D29" s="6" t="n">
        <v>1100</v>
      </c>
      <c r="E29" s="6" t="n">
        <v>0</v>
      </c>
      <c r="F29" s="6" t="n">
        <v>108</v>
      </c>
      <c r="G29" s="6" t="n">
        <v>4422</v>
      </c>
      <c r="H29" s="6" t="n">
        <v>15113</v>
      </c>
      <c r="I29" s="6" t="n">
        <v>8628</v>
      </c>
      <c r="J29" s="6" t="n"/>
      <c r="K29" s="6" t="n">
        <v>124</v>
      </c>
      <c r="L29" s="6" t="n"/>
    </row>
    <row r="30">
      <c r="A30" s="6" t="inlineStr">
        <is>
          <t>Provisions</t>
        </is>
      </c>
      <c r="B30" s="6" t="n"/>
      <c r="C30" s="6" t="n">
        <v>900</v>
      </c>
      <c r="D30" s="6" t="n">
        <v>800</v>
      </c>
      <c r="E30" s="6" t="n">
        <v>425</v>
      </c>
      <c r="F30" s="6" t="n">
        <v>310</v>
      </c>
      <c r="G30" s="6" t="n">
        <v>197</v>
      </c>
      <c r="H30" s="6" t="n">
        <v>2752</v>
      </c>
      <c r="I30" s="6" t="n">
        <v>3585</v>
      </c>
      <c r="J30" s="6" t="n">
        <v>64</v>
      </c>
      <c r="K30" s="6" t="n">
        <v>132</v>
      </c>
      <c r="L30" s="6" t="n"/>
    </row>
    <row r="31">
      <c r="A31" s="6" t="inlineStr">
        <is>
          <t>Deferred tax liability</t>
        </is>
      </c>
      <c r="B31" s="6" t="n">
        <v>1500</v>
      </c>
      <c r="C31" s="6" t="n"/>
      <c r="D31" s="6" t="n"/>
      <c r="E31" s="6" t="n"/>
      <c r="F31" s="6" t="n"/>
      <c r="G31" s="6" t="n"/>
      <c r="H31" s="6" t="n"/>
      <c r="I31" s="6" t="n"/>
      <c r="J31" s="6" t="n"/>
      <c r="K31" s="6" t="n"/>
      <c r="L31" s="6" t="n"/>
    </row>
    <row r="32">
      <c r="A32" s="6" t="inlineStr">
        <is>
          <t>Other liabilities</t>
        </is>
      </c>
      <c r="B32" s="6" t="n">
        <v>65900</v>
      </c>
      <c r="C32" s="6" t="n">
        <v>61500</v>
      </c>
      <c r="D32" s="6" t="n">
        <v>66800</v>
      </c>
      <c r="E32" s="6" t="n">
        <v>88532</v>
      </c>
      <c r="F32" s="6" t="n">
        <v>49410</v>
      </c>
      <c r="G32" s="6" t="n">
        <v>29780</v>
      </c>
      <c r="H32" s="6" t="n">
        <v>25513</v>
      </c>
      <c r="I32" s="6" t="n">
        <v>13620</v>
      </c>
      <c r="J32" s="6" t="n">
        <v>19154</v>
      </c>
      <c r="K32" s="6" t="n">
        <v>6575</v>
      </c>
      <c r="L32" s="6" t="n">
        <v>8183</v>
      </c>
    </row>
    <row r="33">
      <c r="A33" s="5" t="inlineStr">
        <is>
          <t>Total liabilities</t>
        </is>
      </c>
      <c r="B33" s="5" t="n">
        <v>9721800</v>
      </c>
      <c r="C33" s="5" t="n">
        <v>8565700</v>
      </c>
      <c r="D33" s="5" t="n">
        <v>6821100</v>
      </c>
      <c r="E33" s="5" t="n">
        <v>7516750</v>
      </c>
      <c r="F33" s="5" t="n">
        <v>4307421</v>
      </c>
      <c r="G33" s="5" t="n">
        <v>2685791</v>
      </c>
      <c r="H33" s="5" t="n">
        <v>2504928</v>
      </c>
      <c r="I33" s="5" t="n">
        <v>2559595</v>
      </c>
      <c r="J33" s="5" t="n">
        <v>1822360</v>
      </c>
      <c r="K33" s="5" t="n">
        <v>544891</v>
      </c>
      <c r="L33" s="5" t="n">
        <v>8193</v>
      </c>
    </row>
    <row r="34">
      <c r="A34" s="5" t="inlineStr">
        <is>
          <t>Equity</t>
        </is>
      </c>
      <c r="B34" s="6" t="n"/>
      <c r="C34" s="6" t="n"/>
      <c r="D34" s="6" t="n"/>
      <c r="E34" s="6" t="n"/>
      <c r="F34" s="6" t="n"/>
      <c r="G34" s="6" t="n"/>
      <c r="H34" s="6" t="n"/>
      <c r="I34" s="6" t="n"/>
      <c r="J34" s="6" t="n"/>
      <c r="K34" s="6" t="n"/>
      <c r="L34" s="6" t="n"/>
    </row>
    <row r="35">
      <c r="A35" s="6" t="inlineStr">
        <is>
          <t>Share capital and share premium</t>
        </is>
      </c>
      <c r="B35" s="6" t="n">
        <v>144000</v>
      </c>
      <c r="C35" s="6" t="n">
        <v>128900</v>
      </c>
      <c r="D35" s="6" t="n">
        <v>128900</v>
      </c>
      <c r="E35" s="6" t="n">
        <v>29305</v>
      </c>
      <c r="F35" s="6" t="n">
        <v>566378</v>
      </c>
      <c r="G35" s="6" t="n">
        <v>448935</v>
      </c>
      <c r="H35" s="6" t="n">
        <v>448935</v>
      </c>
      <c r="I35" s="6" t="n">
        <v>399207</v>
      </c>
      <c r="J35" s="6" t="n">
        <v>246664</v>
      </c>
      <c r="K35" s="6" t="n">
        <v>167318</v>
      </c>
      <c r="L35" s="6" t="n">
        <v>54997</v>
      </c>
    </row>
    <row r="36">
      <c r="A36" s="6" t="inlineStr">
        <is>
          <t>Other equity instruments (AT1)</t>
        </is>
      </c>
      <c r="B36" s="6" t="n">
        <v>49100</v>
      </c>
      <c r="C36" s="6" t="n"/>
      <c r="D36" s="6" t="n"/>
      <c r="E36" s="6" t="n"/>
      <c r="F36" s="6" t="n"/>
      <c r="G36" s="6" t="n"/>
      <c r="H36" s="6" t="n"/>
      <c r="I36" s="6" t="n"/>
      <c r="J36" s="6" t="n"/>
      <c r="K36" s="6" t="n"/>
      <c r="L36" s="6" t="n"/>
    </row>
    <row r="37">
      <c r="A37" s="6" t="inlineStr">
        <is>
          <t>Other reserves</t>
        </is>
      </c>
      <c r="B37" s="6" t="n">
        <v>51700</v>
      </c>
      <c r="C37" s="6" t="n">
        <v>49200</v>
      </c>
      <c r="D37" s="6" t="n">
        <v>44700</v>
      </c>
      <c r="E37" s="6" t="n">
        <v>37379</v>
      </c>
      <c r="F37" s="6" t="n">
        <v>26875</v>
      </c>
      <c r="G37" s="6" t="n">
        <v>22627</v>
      </c>
      <c r="H37" s="6" t="n">
        <v>19421</v>
      </c>
      <c r="I37" s="6" t="n">
        <v>17405</v>
      </c>
      <c r="J37" s="6" t="n">
        <v>12358</v>
      </c>
      <c r="K37" s="6" t="n">
        <v>8135</v>
      </c>
      <c r="L37" s="6" t="n">
        <v>3501</v>
      </c>
    </row>
    <row r="38">
      <c r="A38" s="6" t="inlineStr">
        <is>
          <t>Accumulated gains/(losses)</t>
        </is>
      </c>
      <c r="B38" s="6" t="n">
        <v>259800</v>
      </c>
      <c r="C38" s="6" t="n">
        <v>247100</v>
      </c>
      <c r="D38" s="6" t="n">
        <v>230200</v>
      </c>
      <c r="E38" s="6" t="n">
        <v>217947</v>
      </c>
      <c r="F38" s="6" t="n">
        <v>-342159</v>
      </c>
      <c r="G38" s="6" t="n">
        <v>-330232</v>
      </c>
      <c r="H38" s="6" t="n">
        <v>-267853</v>
      </c>
      <c r="I38" s="6" t="n">
        <v>-203908</v>
      </c>
      <c r="J38" s="6" t="n">
        <v>-124051</v>
      </c>
      <c r="K38" s="6" t="n">
        <v>-71371</v>
      </c>
      <c r="L38" s="6" t="n">
        <v>-29202</v>
      </c>
    </row>
    <row r="39">
      <c r="A39" s="5" t="inlineStr">
        <is>
          <t>Total equity</t>
        </is>
      </c>
      <c r="B39" s="5" t="n">
        <v>504600</v>
      </c>
      <c r="C39" s="5" t="n">
        <v>425200</v>
      </c>
      <c r="D39" s="5" t="n">
        <v>403800</v>
      </c>
      <c r="E39" s="5" t="n">
        <v>284631</v>
      </c>
      <c r="F39" s="5" t="n">
        <v>251094</v>
      </c>
      <c r="G39" s="5" t="n">
        <v>141330</v>
      </c>
      <c r="H39" s="5" t="n">
        <v>200503</v>
      </c>
      <c r="I39" s="5" t="n">
        <v>212704</v>
      </c>
      <c r="J39" s="5" t="n">
        <v>134971</v>
      </c>
      <c r="K39" s="5" t="n">
        <v>104082</v>
      </c>
      <c r="L39" s="5" t="n">
        <v>29296</v>
      </c>
    </row>
    <row r="40">
      <c r="A40" s="5" t="inlineStr">
        <is>
          <t>Total liabilities and equity</t>
        </is>
      </c>
      <c r="B40" s="5" t="n">
        <v>10226400</v>
      </c>
      <c r="C40" s="5" t="n">
        <v>8990900</v>
      </c>
      <c r="D40" s="5" t="n">
        <v>7224900</v>
      </c>
      <c r="E40" s="5" t="n">
        <v>7801381</v>
      </c>
      <c r="F40" s="5" t="n">
        <v>4558515</v>
      </c>
      <c r="G40" s="5" t="n">
        <v>2827121</v>
      </c>
      <c r="H40" s="5" t="n">
        <v>2705431</v>
      </c>
      <c r="I40" s="5" t="n">
        <v>2772299</v>
      </c>
      <c r="J40" s="5" t="n">
        <v>1957331</v>
      </c>
      <c r="K40" s="5" t="n">
        <v>648973</v>
      </c>
      <c r="L40" s="5" t="n">
        <v>37489</v>
      </c>
    </row>
    <row r="42" ht="430" customHeight="1">
      <c r="A42" s="8" t="inlineStr">
        <is>
          <t>Sources - Statement of financial position, Bank basis, £'000:
FY2026: Atom bank plc Annual Report FY26 (full accounts made up to 31 March 2026, filed 25 Aug 2026), p.58 (Statement of financial position); FVOCI issuer split from p.110 (Note 23, Assets held for liquidity management) - https://find-and-update.company-information.service.gov.uk/company/08632552/filing-history/MzU0MDgxMjIwMGFkaXF6a2N4/document?format=pdf&amp;download=0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FY2026 SOURCE AND PRESENTATION NOTES. (1) ENTITY: FY2026 is taken from ATOM BANK PLC's OWN Companies House filing, NOT from the Atom Holdco plc Annual Report published on atombank.co.uk. The Holdco report is consolidated group statements plus holding-company-only statements, and would be the wrong entity for these Bank-solo sheets however convenient it is to find. The Bank's own filing states the basis in terms: 'The Bank is therefore exempt by virtue of section 400 of the Companies Act 2006 from the requirement to prepare group financial statements. These financial statements present information about the Bank as an individual undertaking and not about its group' (p.60, Note 1b) - so it carries no Group column at all, unlike the FY2018-FY2022 filings. (2) UNIT: that filing is 'rounded to the nearest million (£'m)' (Note 1b), shown here x1,000 into £'000 on this sheet's stated unit, exactly as FY2024/FY2025 already were. (3) PRESENTATION CHANGE - two rows go blank for FY2026 rather than to zero: the FY2026 filing no longer shows 'Provisions' or the derivative LIABILITY as separate lines, folding both into 'Other liabilities'. Its own FY2025 comparative for that line is 62.6, which is this workbook's FY2025 Other liabilities 61,500 + Provisions 900 + Derivatives 200 - so the balances did not disappear, the disclosure did. Those rows are left blank for FY2026 rather than forced to 0. (4) TWO NEW ROWS, both genuinely new instruments rather than relabelled ones: 'Other equity instruments (AT1)' 49,100 (AT1 capital issued in the year - it is also why KM1 row 2 Tier 1 exceeds row 1 CET1 for the first time) and 'Deferred tax liability' 1,500. (5) The FVOCI sub-rows reconcile EXACTLY to their own total for FY2026: 790,600 Gilts &amp; T-Bills + 349,000 Covered Bonds + 76,000 RMBS + 30,000 Multilateral/Government Sponsored = 1,245,600. (6) THE FILING IS AN IMAGE-ONLY SCAN (144pp, ~1 character of extractable text per page), so every FY2026 figure here was read by eye from 150 dpi page renders, not from text extraction; the primary statements were located from the document's own contents page (p.4, 'Financial statements 57') rather than by searching for digit-dense pages.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2:L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Comprehensive Income</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Income</t>
        </is>
      </c>
      <c r="B4" s="6" t="n"/>
      <c r="C4" s="6" t="n"/>
      <c r="D4" s="6" t="n"/>
      <c r="E4" s="6" t="n"/>
      <c r="F4" s="6" t="n"/>
      <c r="G4" s="6" t="n"/>
      <c r="H4" s="6" t="n"/>
      <c r="I4" s="6" t="n"/>
      <c r="J4" s="6" t="n"/>
      <c r="K4" s="6" t="n"/>
      <c r="L4" s="6" t="n"/>
    </row>
    <row r="5">
      <c r="A5" s="6" t="inlineStr">
        <is>
          <t>Interest income</t>
        </is>
      </c>
      <c r="B5" s="6" t="n">
        <v>510200</v>
      </c>
      <c r="C5" s="6" t="n">
        <v>441700</v>
      </c>
      <c r="D5" s="6" t="n">
        <v>440900</v>
      </c>
      <c r="E5" s="6" t="n">
        <v>208467</v>
      </c>
      <c r="F5" s="6" t="n">
        <v>76836</v>
      </c>
      <c r="G5" s="6" t="n">
        <v>42262</v>
      </c>
      <c r="H5" s="6" t="n">
        <v>46363</v>
      </c>
      <c r="I5" s="6" t="n">
        <v>37916</v>
      </c>
      <c r="J5" s="6" t="n">
        <v>13738</v>
      </c>
      <c r="K5" s="6" t="n">
        <v>725</v>
      </c>
      <c r="L5" s="6" t="n">
        <v>46</v>
      </c>
    </row>
    <row r="6">
      <c r="A6" s="6" t="inlineStr">
        <is>
          <t>Interest expense</t>
        </is>
      </c>
      <c r="B6" s="6" t="n">
        <v>-401300</v>
      </c>
      <c r="C6" s="6" t="n">
        <v>-340400</v>
      </c>
      <c r="D6" s="6" t="n">
        <v>-341800</v>
      </c>
      <c r="E6" s="6" t="n">
        <v>-133218</v>
      </c>
      <c r="F6" s="6" t="n">
        <v>-33566</v>
      </c>
      <c r="G6" s="6" t="n">
        <v>-30199</v>
      </c>
      <c r="H6" s="6" t="n">
        <v>-45135</v>
      </c>
      <c r="I6" s="6" t="n">
        <v>-39800</v>
      </c>
      <c r="J6" s="6" t="n">
        <v>-19367</v>
      </c>
      <c r="K6" s="6" t="n">
        <v>-1601</v>
      </c>
      <c r="L6" s="6" t="n"/>
    </row>
    <row r="7">
      <c r="A7" s="5" t="inlineStr">
        <is>
          <t>Net interest income</t>
        </is>
      </c>
      <c r="B7" s="5" t="n">
        <v>108900</v>
      </c>
      <c r="C7" s="5" t="n">
        <v>101300</v>
      </c>
      <c r="D7" s="5" t="n">
        <v>99100</v>
      </c>
      <c r="E7" s="5" t="n">
        <v>75249</v>
      </c>
      <c r="F7" s="5" t="n">
        <v>43270</v>
      </c>
      <c r="G7" s="5" t="n">
        <v>12063</v>
      </c>
      <c r="H7" s="5" t="n">
        <v>1228</v>
      </c>
      <c r="I7" s="5" t="n">
        <v>-1884</v>
      </c>
      <c r="J7" s="5" t="n">
        <v>-5629</v>
      </c>
      <c r="K7" s="5" t="n">
        <v>-876</v>
      </c>
      <c r="L7" s="5" t="n">
        <v>46</v>
      </c>
    </row>
    <row r="8">
      <c r="A8" s="6" t="inlineStr">
        <is>
          <t>Net fee and commission expense</t>
        </is>
      </c>
      <c r="B8" s="6" t="n"/>
      <c r="C8" s="6" t="n"/>
      <c r="D8" s="6" t="n"/>
      <c r="E8" s="6" t="n"/>
      <c r="F8" s="6" t="n"/>
      <c r="G8" s="6" t="n">
        <v>-1072</v>
      </c>
      <c r="H8" s="6" t="n">
        <v>-775</v>
      </c>
      <c r="I8" s="6" t="n">
        <v>-1010</v>
      </c>
      <c r="J8" s="6" t="n">
        <v>-264</v>
      </c>
      <c r="K8" s="6" t="n">
        <v>-156</v>
      </c>
      <c r="L8" s="6" t="n">
        <v>-28</v>
      </c>
    </row>
    <row r="9">
      <c r="A9" s="6" t="inlineStr">
        <is>
          <t>Gain on disposal of assets held at amortised cost</t>
        </is>
      </c>
      <c r="B9" s="6" t="n"/>
      <c r="C9" s="6" t="n"/>
      <c r="D9" s="6" t="n"/>
      <c r="E9" s="6" t="n">
        <v>0</v>
      </c>
      <c r="F9" s="6" t="n">
        <v>1749</v>
      </c>
      <c r="G9" s="6" t="n"/>
      <c r="H9" s="6" t="n"/>
      <c r="I9" s="6" t="n"/>
      <c r="J9" s="6" t="n"/>
      <c r="K9" s="6" t="n"/>
      <c r="L9" s="6" t="n"/>
    </row>
    <row r="10">
      <c r="A10" s="6" t="inlineStr">
        <is>
          <t>Loss on disposal of assets held at amortised cost</t>
        </is>
      </c>
      <c r="B10" s="6" t="n"/>
      <c r="C10" s="6" t="n"/>
      <c r="D10" s="6" t="n"/>
      <c r="E10" s="6" t="n"/>
      <c r="F10" s="6" t="n"/>
      <c r="G10" s="6" t="n">
        <v>-9241</v>
      </c>
      <c r="H10" s="6" t="n">
        <v>-9074</v>
      </c>
      <c r="I10" s="6" t="n"/>
      <c r="J10" s="6" t="n"/>
      <c r="K10" s="6" t="n"/>
      <c r="L10" s="6" t="n"/>
    </row>
    <row r="11">
      <c r="A11" s="6" t="inlineStr">
        <is>
          <t>Other income</t>
        </is>
      </c>
      <c r="B11" s="6" t="n"/>
      <c r="C11" s="6" t="n"/>
      <c r="D11" s="6" t="n"/>
      <c r="E11" s="6" t="n">
        <v>3083</v>
      </c>
      <c r="F11" s="6" t="n">
        <v>4099</v>
      </c>
      <c r="G11" s="6" t="n"/>
      <c r="H11" s="6" t="n"/>
      <c r="I11" s="6" t="n"/>
      <c r="J11" s="6" t="n">
        <v>3573</v>
      </c>
      <c r="K11" s="6" t="n">
        <v>2</v>
      </c>
      <c r="L11" s="6" t="n"/>
    </row>
    <row r="12">
      <c r="A12" s="6" t="inlineStr">
        <is>
          <t>Other expense</t>
        </is>
      </c>
      <c r="B12" s="6" t="n">
        <v>-200</v>
      </c>
      <c r="C12" s="6" t="n">
        <v>-700</v>
      </c>
      <c r="D12" s="6" t="n">
        <v>0</v>
      </c>
      <c r="E12" s="6" t="n"/>
      <c r="F12" s="6" t="n"/>
      <c r="G12" s="6" t="n"/>
      <c r="H12" s="6" t="n">
        <v>-131</v>
      </c>
      <c r="I12" s="6" t="n">
        <v>-1238</v>
      </c>
      <c r="J12" s="6" t="n"/>
      <c r="K12" s="6" t="n"/>
      <c r="L12" s="6" t="n"/>
    </row>
    <row r="13">
      <c r="A13" s="6" t="inlineStr">
        <is>
          <t>Other income/(expense)</t>
        </is>
      </c>
      <c r="B13" s="6" t="n"/>
      <c r="C13" s="6" t="n"/>
      <c r="D13" s="6" t="n"/>
      <c r="E13" s="6" t="n"/>
      <c r="F13" s="6" t="n"/>
      <c r="G13" s="6" t="n">
        <v>188</v>
      </c>
      <c r="H13" s="6" t="n"/>
      <c r="I13" s="6" t="n"/>
      <c r="J13" s="6" t="n"/>
      <c r="K13" s="6" t="n"/>
      <c r="L13" s="6" t="n"/>
    </row>
    <row r="14">
      <c r="A14" s="6" t="inlineStr">
        <is>
          <t>Credit impairment charges</t>
        </is>
      </c>
      <c r="B14" s="6" t="n">
        <v>-9400</v>
      </c>
      <c r="C14" s="6" t="n">
        <v>-7100</v>
      </c>
      <c r="D14" s="6" t="n">
        <v>-11000</v>
      </c>
      <c r="E14" s="6" t="n">
        <v>-12768</v>
      </c>
      <c r="F14" s="6" t="n">
        <v>-1100</v>
      </c>
      <c r="G14" s="6" t="n">
        <v>-3652</v>
      </c>
      <c r="H14" s="6" t="n">
        <v>-5783</v>
      </c>
      <c r="I14" s="6" t="n">
        <v>-893</v>
      </c>
      <c r="J14" s="6" t="n">
        <v>-256</v>
      </c>
      <c r="K14" s="6" t="n">
        <v>-305</v>
      </c>
      <c r="L14" s="6" t="n"/>
    </row>
    <row r="15">
      <c r="A15" s="5" t="inlineStr">
        <is>
          <t>Net operating income/(expense)</t>
        </is>
      </c>
      <c r="B15" s="5" t="n">
        <v>99300</v>
      </c>
      <c r="C15" s="5" t="n">
        <v>93500</v>
      </c>
      <c r="D15" s="5" t="n">
        <v>88100</v>
      </c>
      <c r="E15" s="5" t="n">
        <v>65564</v>
      </c>
      <c r="F15" s="5" t="n">
        <v>48018</v>
      </c>
      <c r="G15" s="5" t="n">
        <v>-1714</v>
      </c>
      <c r="H15" s="5" t="n">
        <v>-14533</v>
      </c>
      <c r="I15" s="5" t="n">
        <v>-5025</v>
      </c>
      <c r="J15" s="5" t="n">
        <v>-2576</v>
      </c>
      <c r="K15" s="5" t="n">
        <v>-1335</v>
      </c>
      <c r="L15" s="5" t="n">
        <v>18</v>
      </c>
    </row>
    <row r="16">
      <c r="A16" s="5" t="inlineStr">
        <is>
          <t>Operating expenses</t>
        </is>
      </c>
      <c r="B16" s="6" t="n"/>
      <c r="C16" s="6" t="n"/>
      <c r="D16" s="6" t="n"/>
      <c r="E16" s="6" t="n"/>
      <c r="F16" s="6" t="n"/>
      <c r="G16" s="6" t="n"/>
      <c r="H16" s="6" t="n"/>
      <c r="I16" s="6" t="n"/>
      <c r="J16" s="6" t="n"/>
      <c r="K16" s="6" t="n"/>
      <c r="L16" s="6" t="n"/>
    </row>
    <row r="17">
      <c r="A17" s="6" t="inlineStr">
        <is>
          <t>Staff costs</t>
        </is>
      </c>
      <c r="B17" s="6" t="n">
        <v>-40100</v>
      </c>
      <c r="C17" s="6" t="n">
        <v>-36900</v>
      </c>
      <c r="D17" s="6" t="n">
        <v>-32700</v>
      </c>
      <c r="E17" s="6" t="n">
        <v>-31347</v>
      </c>
      <c r="F17" s="6" t="n">
        <v>-25882</v>
      </c>
      <c r="G17" s="6" t="n">
        <v>-24183</v>
      </c>
      <c r="H17" s="6" t="n">
        <v>-20554</v>
      </c>
      <c r="I17" s="6" t="n">
        <v>-23026</v>
      </c>
      <c r="J17" s="6" t="n">
        <v>-26707</v>
      </c>
      <c r="K17" s="6" t="n">
        <v>-19321</v>
      </c>
      <c r="L17" s="6" t="n">
        <v>-11580</v>
      </c>
    </row>
    <row r="18">
      <c r="A18" s="6" t="inlineStr">
        <is>
          <t>Administrative and general expenses</t>
        </is>
      </c>
      <c r="B18" s="6" t="n">
        <v>-33600</v>
      </c>
      <c r="C18" s="6" t="n">
        <v>-31500</v>
      </c>
      <c r="D18" s="6" t="n">
        <v>-28800</v>
      </c>
      <c r="E18" s="6" t="n">
        <v>-27781</v>
      </c>
      <c r="F18" s="6" t="n">
        <v>-24300</v>
      </c>
      <c r="G18" s="6" t="n">
        <v>-22946</v>
      </c>
      <c r="H18" s="6" t="n">
        <v>-19210</v>
      </c>
      <c r="I18" s="6" t="n">
        <v>-20329</v>
      </c>
      <c r="J18" s="6" t="n">
        <v>-17680</v>
      </c>
      <c r="K18" s="6" t="n">
        <v>-18139</v>
      </c>
      <c r="L18" s="6" t="n">
        <v>-11769</v>
      </c>
    </row>
    <row r="19">
      <c r="A19" s="5" t="inlineStr">
        <is>
          <t>Staff and administrative expense</t>
        </is>
      </c>
      <c r="B19" s="5" t="n">
        <v>-73700</v>
      </c>
      <c r="C19" s="5" t="n">
        <v>-68400</v>
      </c>
      <c r="D19" s="5" t="n">
        <v>-61500</v>
      </c>
      <c r="E19" s="5" t="n">
        <v>-59128</v>
      </c>
      <c r="F19" s="5" t="n">
        <v>-50182</v>
      </c>
      <c r="G19" s="5" t="n">
        <v>-47129</v>
      </c>
      <c r="H19" s="5" t="n">
        <v>-39764</v>
      </c>
      <c r="I19" s="5" t="n">
        <v>-43355</v>
      </c>
      <c r="J19" s="5" t="n">
        <v>-44387</v>
      </c>
      <c r="K19" s="5" t="n">
        <v>-37460</v>
      </c>
      <c r="L19" s="5" t="n">
        <v>-23349</v>
      </c>
    </row>
    <row r="20">
      <c r="A20" s="5" t="inlineStr">
        <is>
          <t>Profit/(loss) before other charges</t>
        </is>
      </c>
      <c r="B20" s="5" t="n">
        <v>25600</v>
      </c>
      <c r="C20" s="5" t="n">
        <v>25100</v>
      </c>
      <c r="D20" s="5" t="n">
        <v>26600</v>
      </c>
      <c r="E20" s="5" t="n">
        <v>6436</v>
      </c>
      <c r="F20" s="5" t="n">
        <v>-2164</v>
      </c>
      <c r="G20" s="5" t="n">
        <v>-48843</v>
      </c>
      <c r="H20" s="5" t="n">
        <v>-54297</v>
      </c>
      <c r="I20" s="5" t="n">
        <v>-48380</v>
      </c>
      <c r="J20" s="5" t="n">
        <v>-46963</v>
      </c>
      <c r="K20" s="5" t="n">
        <v>-38795</v>
      </c>
      <c r="L20" s="5" t="n">
        <v>-23331</v>
      </c>
    </row>
    <row r="21">
      <c r="A21" s="5" t="inlineStr">
        <is>
          <t>Other charges</t>
        </is>
      </c>
      <c r="B21" s="6" t="n"/>
      <c r="C21" s="6" t="n"/>
      <c r="D21" s="6" t="n"/>
      <c r="E21" s="6" t="n"/>
      <c r="F21" s="6" t="n"/>
      <c r="G21" s="6" t="n"/>
      <c r="H21" s="6" t="n"/>
      <c r="I21" s="6" t="n"/>
      <c r="J21" s="6" t="n"/>
      <c r="K21" s="6" t="n"/>
      <c r="L21" s="6" t="n"/>
    </row>
    <row r="22">
      <c r="A22" s="6" t="inlineStr">
        <is>
          <t>Amortisation, depreciation and intangible impairment</t>
        </is>
      </c>
      <c r="B22" s="6" t="n">
        <v>-13800</v>
      </c>
      <c r="C22" s="6" t="n">
        <v>-13900</v>
      </c>
      <c r="D22" s="6" t="n">
        <v>-12700</v>
      </c>
      <c r="E22" s="6" t="n">
        <v>-11273</v>
      </c>
      <c r="F22" s="6" t="n">
        <v>-10531</v>
      </c>
      <c r="G22" s="6" t="n">
        <v>-10443</v>
      </c>
      <c r="H22" s="6" t="n">
        <v>-7156</v>
      </c>
      <c r="I22" s="6" t="n">
        <v>-23018</v>
      </c>
      <c r="J22" s="6" t="n">
        <v>-5717</v>
      </c>
      <c r="K22" s="6" t="n">
        <v>-3417</v>
      </c>
      <c r="L22" s="6" t="n">
        <v>-604</v>
      </c>
    </row>
    <row r="23">
      <c r="A23" s="6" t="inlineStr">
        <is>
          <t>Platform transformation costs</t>
        </is>
      </c>
      <c r="B23" s="6" t="n"/>
      <c r="C23" s="6" t="n"/>
      <c r="D23" s="6" t="n"/>
      <c r="E23" s="6" t="n"/>
      <c r="F23" s="6" t="n"/>
      <c r="G23" s="6" t="n">
        <v>-596</v>
      </c>
      <c r="H23" s="6" t="n">
        <v>-300</v>
      </c>
      <c r="I23" s="6" t="n">
        <v>-3500</v>
      </c>
      <c r="J23" s="6" t="n"/>
      <c r="K23" s="6" t="n"/>
      <c r="L23" s="6" t="n"/>
    </row>
    <row r="24">
      <c r="A24" s="6" t="inlineStr">
        <is>
          <t>Equity-settled share-based payments</t>
        </is>
      </c>
      <c r="B24" s="6" t="n">
        <v>-2500</v>
      </c>
      <c r="C24" s="6" t="n">
        <v>-6100</v>
      </c>
      <c r="D24" s="6" t="n">
        <v>-7200</v>
      </c>
      <c r="E24" s="6" t="n">
        <v>-5233</v>
      </c>
      <c r="F24" s="6" t="n">
        <v>-4585</v>
      </c>
      <c r="G24" s="6" t="n">
        <v>-2497</v>
      </c>
      <c r="H24" s="6" t="n">
        <v>-2192</v>
      </c>
      <c r="I24" s="6" t="n">
        <v>-4959</v>
      </c>
      <c r="J24" s="6" t="n"/>
      <c r="K24" s="6" t="n"/>
      <c r="L24" s="6" t="n"/>
    </row>
    <row r="25">
      <c r="A25" s="5" t="inlineStr">
        <is>
          <t>Other charges</t>
        </is>
      </c>
      <c r="B25" s="5" t="n">
        <v>-16300</v>
      </c>
      <c r="C25" s="5" t="n">
        <v>-20000</v>
      </c>
      <c r="D25" s="5" t="n">
        <v>-19900</v>
      </c>
      <c r="E25" s="5" t="n">
        <v>-16506</v>
      </c>
      <c r="F25" s="5" t="n">
        <v>-15116</v>
      </c>
      <c r="G25" s="5" t="n">
        <v>-13536</v>
      </c>
      <c r="H25" s="5" t="n">
        <v>-9648</v>
      </c>
      <c r="I25" s="5" t="n">
        <v>-31477</v>
      </c>
      <c r="J25" s="5" t="n">
        <v>-5717</v>
      </c>
      <c r="K25" s="5" t="n">
        <v>-3417</v>
      </c>
      <c r="L25" s="5" t="n">
        <v>-604</v>
      </c>
    </row>
    <row r="26">
      <c r="A26" s="5" t="inlineStr">
        <is>
          <t>Profit/(loss) before taxation</t>
        </is>
      </c>
      <c r="B26" s="5" t="n">
        <v>9300</v>
      </c>
      <c r="C26" s="5" t="n">
        <v>5100</v>
      </c>
      <c r="D26" s="5" t="n">
        <v>6700</v>
      </c>
      <c r="E26" s="5" t="n">
        <v>-10070</v>
      </c>
      <c r="F26" s="5" t="n">
        <v>-17280</v>
      </c>
      <c r="G26" s="5" t="n"/>
      <c r="H26" s="5" t="n">
        <v>-63945</v>
      </c>
      <c r="I26" s="5" t="n">
        <v>-79857</v>
      </c>
      <c r="J26" s="5" t="n">
        <v>-52680</v>
      </c>
      <c r="K26" s="5" t="n">
        <v>-42212</v>
      </c>
      <c r="L26" s="5" t="n">
        <v>-23935</v>
      </c>
    </row>
    <row r="27">
      <c r="A27" s="6" t="inlineStr">
        <is>
          <t>Taxation credit/(expense)</t>
        </is>
      </c>
      <c r="B27" s="6" t="n">
        <v>18400</v>
      </c>
      <c r="C27" s="6" t="n">
        <v>11800</v>
      </c>
      <c r="D27" s="6" t="n">
        <v>5600</v>
      </c>
      <c r="E27" s="6" t="n">
        <v>4447</v>
      </c>
      <c r="F27" s="6" t="n">
        <v>5353</v>
      </c>
      <c r="G27" s="6" t="n"/>
      <c r="H27" s="6" t="n"/>
      <c r="I27" s="6" t="n"/>
      <c r="J27" s="6" t="n"/>
      <c r="K27" s="6" t="n">
        <v>43</v>
      </c>
      <c r="L27" s="6" t="n">
        <v>1420</v>
      </c>
    </row>
    <row r="28">
      <c r="A28" s="5" t="inlineStr">
        <is>
          <t>Profit/(loss) for the year</t>
        </is>
      </c>
      <c r="B28" s="5" t="n">
        <v>27700</v>
      </c>
      <c r="C28" s="5" t="n">
        <v>16900</v>
      </c>
      <c r="D28" s="5" t="n">
        <v>12300</v>
      </c>
      <c r="E28" s="5" t="n">
        <v>-5623</v>
      </c>
      <c r="F28" s="5" t="n">
        <v>-11927</v>
      </c>
      <c r="G28" s="5" t="n">
        <v>-62379</v>
      </c>
      <c r="H28" s="5" t="n">
        <v>-63945</v>
      </c>
      <c r="I28" s="5" t="n">
        <v>-79857</v>
      </c>
      <c r="J28" s="5" t="n">
        <v>-52680</v>
      </c>
      <c r="K28" s="5" t="n">
        <v>-42169</v>
      </c>
      <c r="L28" s="5" t="n">
        <v>-22515</v>
      </c>
    </row>
    <row r="29">
      <c r="A29" s="5" t="inlineStr">
        <is>
          <t>Other comprehensive income/(expense), net of tax</t>
        </is>
      </c>
      <c r="B29" s="6" t="n"/>
      <c r="C29" s="6" t="n"/>
      <c r="D29" s="6" t="n"/>
      <c r="E29" s="6" t="n"/>
      <c r="F29" s="6" t="n"/>
      <c r="G29" s="6" t="n"/>
      <c r="H29" s="6" t="n"/>
      <c r="I29" s="6" t="n"/>
      <c r="J29" s="6" t="n"/>
      <c r="K29" s="6" t="n"/>
      <c r="L29" s="6" t="n"/>
    </row>
    <row r="30">
      <c r="A30" s="6" t="inlineStr">
        <is>
          <t>Net (loss)/gain in fair value (fair value reserve)</t>
        </is>
      </c>
      <c r="B30" s="6" t="n">
        <v>1100</v>
      </c>
      <c r="C30" s="6" t="n">
        <v>-400</v>
      </c>
      <c r="D30" s="6" t="n">
        <v>500</v>
      </c>
      <c r="E30" s="6" t="n">
        <v>117</v>
      </c>
      <c r="F30" s="6" t="n">
        <v>-388</v>
      </c>
      <c r="G30" s="6" t="n">
        <v>725</v>
      </c>
      <c r="H30" s="6" t="n">
        <v>-305</v>
      </c>
      <c r="I30" s="6" t="n">
        <v>171</v>
      </c>
      <c r="J30" s="6" t="n">
        <v>-766</v>
      </c>
      <c r="K30" s="6" t="n">
        <v>317</v>
      </c>
      <c r="L30" s="6" t="n"/>
    </row>
    <row r="31">
      <c r="A31" s="6" t="inlineStr">
        <is>
          <t>Net amount transferred to profit or loss (fair value reserve)</t>
        </is>
      </c>
      <c r="B31" s="6" t="n">
        <v>0</v>
      </c>
      <c r="C31" s="6" t="n">
        <v>200</v>
      </c>
      <c r="D31" s="6" t="n">
        <v>100</v>
      </c>
      <c r="E31" s="6" t="n">
        <v>-9</v>
      </c>
      <c r="F31" s="6" t="n">
        <v>51</v>
      </c>
      <c r="G31" s="6" t="n">
        <v>-16</v>
      </c>
      <c r="H31" s="6" t="n">
        <v>129</v>
      </c>
      <c r="I31" s="6" t="n">
        <v>-83</v>
      </c>
      <c r="J31" s="6" t="n">
        <v>95</v>
      </c>
      <c r="K31" s="6" t="n">
        <v>9</v>
      </c>
      <c r="L31" s="6" t="n"/>
    </row>
    <row r="32">
      <c r="A32" s="6" t="inlineStr">
        <is>
          <t>Net (losses)/gains from changes in fair value (cash flow hedge reserve)</t>
        </is>
      </c>
      <c r="B32" s="6" t="n">
        <v>-1100</v>
      </c>
      <c r="C32" s="6" t="n">
        <v>-1300</v>
      </c>
      <c r="D32" s="6" t="n">
        <v>-400</v>
      </c>
      <c r="E32" s="6" t="n">
        <v>5163</v>
      </c>
      <c r="F32" s="6" t="n"/>
      <c r="G32" s="6" t="n"/>
      <c r="H32" s="6" t="n"/>
      <c r="I32" s="6" t="n"/>
      <c r="J32" s="6" t="n"/>
      <c r="K32" s="6" t="n"/>
      <c r="L32" s="6" t="n"/>
    </row>
    <row r="33">
      <c r="A33" s="5" t="inlineStr">
        <is>
          <t>Other comprehensive income/(expense), net of tax</t>
        </is>
      </c>
      <c r="B33" s="5" t="n">
        <v>0</v>
      </c>
      <c r="C33" s="5" t="n">
        <v>-1500</v>
      </c>
      <c r="D33" s="5" t="n">
        <v>200</v>
      </c>
      <c r="E33" s="5" t="n">
        <v>5271</v>
      </c>
      <c r="F33" s="5" t="n">
        <v>-337</v>
      </c>
      <c r="G33" s="5" t="n">
        <v>709</v>
      </c>
      <c r="H33" s="5" t="n">
        <v>-176</v>
      </c>
      <c r="I33" s="5" t="n">
        <v>88</v>
      </c>
      <c r="J33" s="5" t="n">
        <v>-671</v>
      </c>
      <c r="K33" s="5" t="n">
        <v>326</v>
      </c>
      <c r="L33" s="5" t="n"/>
    </row>
    <row r="34">
      <c r="A34" s="5" t="inlineStr">
        <is>
          <t>Total comprehensive income/(expense) for the year</t>
        </is>
      </c>
      <c r="B34" s="5" t="n">
        <v>27700</v>
      </c>
      <c r="C34" s="5" t="n">
        <v>15400</v>
      </c>
      <c r="D34" s="5" t="n">
        <v>12500</v>
      </c>
      <c r="E34" s="5" t="n">
        <v>-352</v>
      </c>
      <c r="F34" s="5" t="n">
        <v>-12264</v>
      </c>
      <c r="G34" s="5" t="n">
        <v>-61670</v>
      </c>
      <c r="H34" s="5" t="n">
        <v>-64121</v>
      </c>
      <c r="I34" s="5" t="n">
        <v>-79769</v>
      </c>
      <c r="J34" s="5" t="n">
        <v>-53351</v>
      </c>
      <c r="K34" s="5" t="n">
        <v>-41843</v>
      </c>
      <c r="L34" s="5" t="n">
        <v>-22515</v>
      </c>
    </row>
    <row r="36" ht="260" customHeight="1">
      <c r="A36" s="8" t="inlineStr">
        <is>
          <t>Sources - Statement of comprehensive income, Bank basis, £'000:
FY2026: Atom bank plc Annual Report FY26 (full accounts made up to 31 March 2026, filed 25 Aug 2026), p.57 (Statement of comprehensive income) - https://find-and-update.company-information.service.gov.uk/company/08632552/filing-history/MzU0MDgxMjIwMGFkaXF6a2N4/document?format=pdf&amp;download=0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Other equity instruments</t>
        </is>
      </c>
      <c r="D3" s="4" t="inlineStr">
        <is>
          <t>Fair value reserve</t>
        </is>
      </c>
      <c r="E3" s="4" t="inlineStr">
        <is>
          <t>Cash flow hedge reserve</t>
        </is>
      </c>
      <c r="F3" s="4" t="inlineStr">
        <is>
          <t>Share-based payment reserve</t>
        </is>
      </c>
      <c r="G3" s="4" t="inlineStr">
        <is>
          <t>Accumulated gains/(losses)</t>
        </is>
      </c>
      <c r="H3" s="4" t="inlineStr">
        <is>
          <t>Total equity</t>
        </is>
      </c>
    </row>
    <row r="4">
      <c r="A4" s="5" t="inlineStr">
        <is>
          <t>Balance as at 1 April 2015 (opening FY2016)</t>
        </is>
      </c>
      <c r="B4" s="5" t="n">
        <v>15607</v>
      </c>
      <c r="C4" s="5" t="n"/>
      <c r="D4" s="5" t="n"/>
      <c r="E4" s="5" t="n"/>
      <c r="F4" s="5" t="n">
        <v>103</v>
      </c>
      <c r="G4" s="5" t="n">
        <v>-6687</v>
      </c>
      <c r="H4" s="5" t="n">
        <v>9023</v>
      </c>
    </row>
    <row r="5">
      <c r="A5" s="6" t="inlineStr">
        <is>
          <t>Issue of new ordinary shares, net of transaction costs (FY2016)</t>
        </is>
      </c>
      <c r="B5" s="6" t="n">
        <v>39440</v>
      </c>
      <c r="C5" s="6" t="n"/>
      <c r="D5" s="6" t="n"/>
      <c r="E5" s="6" t="n"/>
      <c r="F5" s="6" t="n">
        <v>-103</v>
      </c>
      <c r="G5" s="6" t="n"/>
      <c r="H5" s="6" t="n">
        <v>39337</v>
      </c>
    </row>
    <row r="6">
      <c r="A6" s="6" t="inlineStr">
        <is>
          <t>Redemption of preference shares</t>
        </is>
      </c>
      <c r="B6" s="6" t="n">
        <v>-50</v>
      </c>
      <c r="C6" s="6" t="n"/>
      <c r="D6" s="6" t="n"/>
      <c r="E6" s="6" t="n"/>
      <c r="F6" s="6" t="n"/>
      <c r="G6" s="6" t="n"/>
      <c r="H6" s="6" t="n">
        <v>-50</v>
      </c>
    </row>
    <row r="7">
      <c r="A7" s="6" t="inlineStr">
        <is>
          <t>Share option scheme reserves (FY2016)</t>
        </is>
      </c>
      <c r="B7" s="6" t="n"/>
      <c r="C7" s="6" t="n"/>
      <c r="D7" s="6" t="n"/>
      <c r="E7" s="6" t="n"/>
      <c r="F7" s="6" t="n">
        <v>3501</v>
      </c>
      <c r="G7" s="6" t="n"/>
      <c r="H7" s="6" t="n">
        <v>3501</v>
      </c>
    </row>
    <row r="8">
      <c r="A8" s="6" t="inlineStr">
        <is>
          <t>Loss for the year (FY2016)</t>
        </is>
      </c>
      <c r="B8" s="6" t="n"/>
      <c r="C8" s="6" t="n"/>
      <c r="D8" s="6" t="n"/>
      <c r="E8" s="6" t="n"/>
      <c r="F8" s="6" t="n"/>
      <c r="G8" s="6" t="n">
        <v>-22515</v>
      </c>
      <c r="H8" s="6" t="n">
        <v>-22515</v>
      </c>
    </row>
    <row r="9">
      <c r="A9" s="5" t="inlineStr">
        <is>
          <t>Balance as at 31 March 2016</t>
        </is>
      </c>
      <c r="B9" s="5" t="n">
        <v>54997</v>
      </c>
      <c r="C9" s="5" t="n"/>
      <c r="D9" s="5" t="n"/>
      <c r="E9" s="5" t="n"/>
      <c r="F9" s="5" t="n">
        <v>3501</v>
      </c>
      <c r="G9" s="5" t="n">
        <v>-29202</v>
      </c>
      <c r="H9" s="5" t="n">
        <v>29296</v>
      </c>
    </row>
    <row r="10">
      <c r="A10" s="6" t="inlineStr">
        <is>
          <t>Loss for the year (FY2017)</t>
        </is>
      </c>
      <c r="B10" s="6" t="n"/>
      <c r="C10" s="6" t="n"/>
      <c r="D10" s="6" t="n"/>
      <c r="E10" s="6" t="n"/>
      <c r="F10" s="6" t="n"/>
      <c r="G10" s="6" t="n">
        <v>-42169</v>
      </c>
      <c r="H10" s="6" t="n">
        <v>-42169</v>
      </c>
    </row>
    <row r="11">
      <c r="A11" s="6" t="inlineStr">
        <is>
          <t>Net gain in fair value (FY2017)</t>
        </is>
      </c>
      <c r="B11" s="6" t="n"/>
      <c r="C11" s="6" t="n"/>
      <c r="D11" s="6" t="n">
        <v>317</v>
      </c>
      <c r="E11" s="6" t="n"/>
      <c r="F11" s="6" t="n"/>
      <c r="G11" s="6" t="n"/>
      <c r="H11" s="6" t="n">
        <v>317</v>
      </c>
    </row>
    <row r="12">
      <c r="A12" s="6" t="inlineStr">
        <is>
          <t>Net amount transferred to profit or loss (FY2017)</t>
        </is>
      </c>
      <c r="B12" s="6" t="n"/>
      <c r="C12" s="6" t="n"/>
      <c r="D12" s="6" t="n">
        <v>9</v>
      </c>
      <c r="E12" s="6" t="n"/>
      <c r="F12" s="6" t="n"/>
      <c r="G12" s="6" t="n"/>
      <c r="H12" s="6" t="n">
        <v>9</v>
      </c>
    </row>
    <row r="13">
      <c r="A13" s="5" t="inlineStr">
        <is>
          <t>Total comprehensive income/(expense) (FY2017)</t>
        </is>
      </c>
      <c r="B13" s="5" t="n"/>
      <c r="C13" s="5" t="n"/>
      <c r="D13" s="5" t="n">
        <v>326</v>
      </c>
      <c r="E13" s="5" t="n"/>
      <c r="F13" s="5" t="n"/>
      <c r="G13" s="5" t="n">
        <v>-42169</v>
      </c>
      <c r="H13" s="5" t="n">
        <v>-41843</v>
      </c>
    </row>
    <row r="14">
      <c r="A14" s="6" t="inlineStr">
        <is>
          <t>Issue of new ordinary shares, net of transaction costs (FY2017)</t>
        </is>
      </c>
      <c r="B14" s="6" t="n">
        <v>112321</v>
      </c>
      <c r="C14" s="6" t="n"/>
      <c r="D14" s="6" t="n"/>
      <c r="E14" s="6" t="n"/>
      <c r="F14" s="6" t="n"/>
      <c r="G14" s="6" t="n"/>
      <c r="H14" s="6" t="n">
        <v>112321</v>
      </c>
    </row>
    <row r="15">
      <c r="A15" s="6" t="inlineStr">
        <is>
          <t>Employee share schemes - value of services (FY2017)</t>
        </is>
      </c>
      <c r="B15" s="6" t="n"/>
      <c r="C15" s="6" t="n"/>
      <c r="D15" s="6" t="n"/>
      <c r="E15" s="6" t="n"/>
      <c r="F15" s="6" t="n">
        <v>4308</v>
      </c>
      <c r="G15" s="6" t="n"/>
      <c r="H15" s="6" t="n">
        <v>4308</v>
      </c>
    </row>
    <row r="16">
      <c r="A16" s="5" t="inlineStr">
        <is>
          <t>Balance as at 31 March 2017</t>
        </is>
      </c>
      <c r="B16" s="5" t="n">
        <v>167318</v>
      </c>
      <c r="C16" s="5" t="n"/>
      <c r="D16" s="5" t="n">
        <v>326</v>
      </c>
      <c r="E16" s="5" t="n"/>
      <c r="F16" s="5" t="n">
        <v>7809</v>
      </c>
      <c r="G16" s="5" t="n">
        <v>-71371</v>
      </c>
      <c r="H16" s="5" t="n">
        <v>104082</v>
      </c>
    </row>
    <row r="17">
      <c r="A17" s="6" t="inlineStr">
        <is>
          <t>Loss for the year (FY2018)</t>
        </is>
      </c>
      <c r="B17" s="6" t="n"/>
      <c r="C17" s="6" t="n"/>
      <c r="D17" s="6" t="n"/>
      <c r="E17" s="6" t="n"/>
      <c r="F17" s="6" t="n"/>
      <c r="G17" s="6" t="n">
        <v>-52680</v>
      </c>
      <c r="H17" s="6" t="n">
        <v>-52680</v>
      </c>
    </row>
    <row r="18">
      <c r="A18" s="6" t="inlineStr">
        <is>
          <t>Net loss in fair value (FY2018)</t>
        </is>
      </c>
      <c r="B18" s="6" t="n"/>
      <c r="C18" s="6" t="n"/>
      <c r="D18" s="6" t="n">
        <v>-766</v>
      </c>
      <c r="E18" s="6" t="n"/>
      <c r="F18" s="6" t="n"/>
      <c r="G18" s="6" t="n"/>
      <c r="H18" s="6" t="n">
        <v>-766</v>
      </c>
    </row>
    <row r="19">
      <c r="A19" s="6" t="inlineStr">
        <is>
          <t>Net amount transferred to profit or loss (FY2018)</t>
        </is>
      </c>
      <c r="B19" s="6" t="n"/>
      <c r="C19" s="6" t="n"/>
      <c r="D19" s="6" t="n">
        <v>95</v>
      </c>
      <c r="E19" s="6" t="n"/>
      <c r="F19" s="6" t="n"/>
      <c r="G19" s="6" t="n"/>
      <c r="H19" s="6" t="n">
        <v>95</v>
      </c>
    </row>
    <row r="20">
      <c r="A20" s="5" t="inlineStr">
        <is>
          <t>Total comprehensive expense (FY2018)</t>
        </is>
      </c>
      <c r="B20" s="5" t="n"/>
      <c r="C20" s="5" t="n"/>
      <c r="D20" s="5" t="n">
        <v>-671</v>
      </c>
      <c r="E20" s="5" t="n"/>
      <c r="F20" s="5" t="n"/>
      <c r="G20" s="5" t="n">
        <v>-52680</v>
      </c>
      <c r="H20" s="5" t="n">
        <v>-53351</v>
      </c>
    </row>
    <row r="21">
      <c r="A21" s="6" t="inlineStr">
        <is>
          <t>Issue of new ordinary shares, net of transaction costs (FY2018)</t>
        </is>
      </c>
      <c r="B21" s="6" t="n">
        <v>79346</v>
      </c>
      <c r="C21" s="6" t="n"/>
      <c r="D21" s="6" t="n"/>
      <c r="E21" s="6" t="n"/>
      <c r="F21" s="6" t="n"/>
      <c r="G21" s="6" t="n"/>
      <c r="H21" s="6" t="n">
        <v>79346</v>
      </c>
    </row>
    <row r="22">
      <c r="A22" s="6" t="inlineStr">
        <is>
          <t>Employee share schemes - value of services (FY2018)</t>
        </is>
      </c>
      <c r="B22" s="6" t="n"/>
      <c r="C22" s="6" t="n"/>
      <c r="D22" s="6" t="n"/>
      <c r="E22" s="6" t="n"/>
      <c r="F22" s="6" t="n">
        <v>4894</v>
      </c>
      <c r="G22" s="6" t="n"/>
      <c r="H22" s="6" t="n">
        <v>4894</v>
      </c>
    </row>
    <row r="23">
      <c r="A23" s="5" t="inlineStr">
        <is>
          <t>Balance as at 31 March 2018</t>
        </is>
      </c>
      <c r="B23" s="5" t="n">
        <v>246664</v>
      </c>
      <c r="C23" s="5" t="n"/>
      <c r="D23" s="5" t="n">
        <v>-345</v>
      </c>
      <c r="E23" s="5" t="n"/>
      <c r="F23" s="5" t="n">
        <v>12703</v>
      </c>
      <c r="G23" s="5" t="n">
        <v>-124051</v>
      </c>
      <c r="H23" s="5" t="n">
        <v>134971</v>
      </c>
    </row>
    <row r="24">
      <c r="A24" s="6" t="inlineStr">
        <is>
          <t>Loss for the year (FY2019)</t>
        </is>
      </c>
      <c r="B24" s="6" t="n"/>
      <c r="C24" s="6" t="n"/>
      <c r="D24" s="6" t="n"/>
      <c r="E24" s="6" t="n"/>
      <c r="F24" s="6" t="n"/>
      <c r="G24" s="6" t="n">
        <v>-79857</v>
      </c>
      <c r="H24" s="6" t="n">
        <v>-79857</v>
      </c>
    </row>
    <row r="25">
      <c r="A25" s="6" t="inlineStr">
        <is>
          <t>Net gain in fair value (FY2019)</t>
        </is>
      </c>
      <c r="B25" s="6" t="n"/>
      <c r="C25" s="6" t="n"/>
      <c r="D25" s="6" t="n">
        <v>171</v>
      </c>
      <c r="E25" s="6" t="n"/>
      <c r="F25" s="6" t="n"/>
      <c r="G25" s="6" t="n"/>
      <c r="H25" s="6" t="n">
        <v>171</v>
      </c>
    </row>
    <row r="26">
      <c r="A26" s="6" t="inlineStr">
        <is>
          <t>Net amount transferred to profit or loss (FY2019)</t>
        </is>
      </c>
      <c r="B26" s="6" t="n"/>
      <c r="C26" s="6" t="n"/>
      <c r="D26" s="6" t="n">
        <v>-83</v>
      </c>
      <c r="E26" s="6" t="n"/>
      <c r="F26" s="6" t="n"/>
      <c r="G26" s="6" t="n"/>
      <c r="H26" s="6" t="n">
        <v>-83</v>
      </c>
    </row>
    <row r="27">
      <c r="A27" s="5" t="inlineStr">
        <is>
          <t>Total comprehensive income/(expense) (FY2019)</t>
        </is>
      </c>
      <c r="B27" s="5" t="n"/>
      <c r="C27" s="5" t="n"/>
      <c r="D27" s="5" t="n">
        <v>88</v>
      </c>
      <c r="E27" s="5" t="n"/>
      <c r="F27" s="5" t="n"/>
      <c r="G27" s="5" t="n">
        <v>-79857</v>
      </c>
      <c r="H27" s="5" t="n">
        <v>-79769</v>
      </c>
    </row>
    <row r="28">
      <c r="A28" s="6" t="inlineStr">
        <is>
          <t>Issue of new ordinary shares, net of transaction costs (FY2019)</t>
        </is>
      </c>
      <c r="B28" s="6" t="n">
        <v>152543</v>
      </c>
      <c r="C28" s="6" t="n"/>
      <c r="D28" s="6" t="n"/>
      <c r="E28" s="6" t="n"/>
      <c r="F28" s="6" t="n"/>
      <c r="G28" s="6" t="n"/>
      <c r="H28" s="6" t="n">
        <v>152543</v>
      </c>
    </row>
    <row r="29">
      <c r="A29" s="6" t="inlineStr">
        <is>
          <t>Share schemes - value of services received (FY2019)</t>
        </is>
      </c>
      <c r="B29" s="6" t="n"/>
      <c r="C29" s="6" t="n"/>
      <c r="D29" s="6" t="n"/>
      <c r="E29" s="6" t="n"/>
      <c r="F29" s="6" t="n">
        <v>4959</v>
      </c>
      <c r="G29" s="6" t="n"/>
      <c r="H29" s="6" t="n">
        <v>4959</v>
      </c>
    </row>
    <row r="30">
      <c r="A30" s="5" t="inlineStr">
        <is>
          <t>Balance as at 31 March 2019</t>
        </is>
      </c>
      <c r="B30" s="5" t="n">
        <v>399207</v>
      </c>
      <c r="C30" s="5" t="n"/>
      <c r="D30" s="5" t="n">
        <v>-257</v>
      </c>
      <c r="E30" s="5" t="n"/>
      <c r="F30" s="5" t="n">
        <v>17662</v>
      </c>
      <c r="G30" s="5" t="n">
        <v>-203908</v>
      </c>
      <c r="H30" s="5" t="n">
        <v>212704</v>
      </c>
    </row>
    <row r="31">
      <c r="A31" s="6" t="inlineStr">
        <is>
          <t>Loss for the year (FY2020)</t>
        </is>
      </c>
      <c r="B31" s="6" t="n"/>
      <c r="C31" s="6" t="n"/>
      <c r="D31" s="6" t="n"/>
      <c r="E31" s="6" t="n"/>
      <c r="F31" s="6" t="n"/>
      <c r="G31" s="6" t="n">
        <v>-63945</v>
      </c>
      <c r="H31" s="6" t="n">
        <v>-63945</v>
      </c>
    </row>
    <row r="32">
      <c r="A32" s="6" t="inlineStr">
        <is>
          <t>Net loss in fair value (FY2020)</t>
        </is>
      </c>
      <c r="B32" s="6" t="n"/>
      <c r="C32" s="6" t="n"/>
      <c r="D32" s="6" t="n">
        <v>-305</v>
      </c>
      <c r="E32" s="6" t="n"/>
      <c r="F32" s="6" t="n"/>
      <c r="G32" s="6" t="n"/>
      <c r="H32" s="6" t="n">
        <v>-305</v>
      </c>
    </row>
    <row r="33">
      <c r="A33" s="6" t="inlineStr">
        <is>
          <t>Net amount transferred to profit or loss (FY2020)</t>
        </is>
      </c>
      <c r="B33" s="6" t="n"/>
      <c r="C33" s="6" t="n"/>
      <c r="D33" s="6" t="n">
        <v>129</v>
      </c>
      <c r="E33" s="6" t="n"/>
      <c r="F33" s="6" t="n"/>
      <c r="G33" s="6" t="n"/>
      <c r="H33" s="6" t="n">
        <v>129</v>
      </c>
    </row>
    <row r="34">
      <c r="A34" s="5" t="inlineStr">
        <is>
          <t>Total comprehensive income/(expense) (FY2020)</t>
        </is>
      </c>
      <c r="B34" s="5" t="n"/>
      <c r="C34" s="5" t="n"/>
      <c r="D34" s="5" t="n">
        <v>-176</v>
      </c>
      <c r="E34" s="5" t="n"/>
      <c r="F34" s="5" t="n"/>
      <c r="G34" s="5" t="n">
        <v>-63945</v>
      </c>
      <c r="H34" s="5" t="n">
        <v>-64121</v>
      </c>
    </row>
    <row r="35">
      <c r="A35" s="6" t="inlineStr">
        <is>
          <t>Issue of new ordinary shares, net of transaction costs (FY2020)</t>
        </is>
      </c>
      <c r="B35" s="6" t="n">
        <v>49728</v>
      </c>
      <c r="C35" s="6" t="n"/>
      <c r="D35" s="6" t="n"/>
      <c r="E35" s="6" t="n"/>
      <c r="F35" s="6" t="n"/>
      <c r="G35" s="6" t="n"/>
      <c r="H35" s="6" t="n">
        <v>49728</v>
      </c>
    </row>
    <row r="36">
      <c r="A36" s="6" t="inlineStr">
        <is>
          <t>Share schemes - value of services received (FY2020)</t>
        </is>
      </c>
      <c r="B36" s="6" t="n"/>
      <c r="C36" s="6" t="n"/>
      <c r="D36" s="6" t="n"/>
      <c r="E36" s="6" t="n"/>
      <c r="F36" s="6" t="n">
        <v>2192</v>
      </c>
      <c r="G36" s="6" t="n"/>
      <c r="H36" s="6" t="n">
        <v>2192</v>
      </c>
    </row>
    <row r="37">
      <c r="A37" s="5" t="inlineStr">
        <is>
          <t>Balance as at 1 April 2020 (opening FY2021)</t>
        </is>
      </c>
      <c r="B37" s="5" t="n">
        <v>448935</v>
      </c>
      <c r="C37" s="5" t="n"/>
      <c r="D37" s="5" t="n">
        <v>-433</v>
      </c>
      <c r="E37" s="5" t="n"/>
      <c r="F37" s="5" t="n">
        <v>19854</v>
      </c>
      <c r="G37" s="5" t="n">
        <v>-267853</v>
      </c>
      <c r="H37" s="5" t="n">
        <v>200503</v>
      </c>
    </row>
    <row r="38">
      <c r="A38" s="6" t="inlineStr">
        <is>
          <t>Loss for the year (FY2021)</t>
        </is>
      </c>
      <c r="B38" s="6" t="n"/>
      <c r="C38" s="6" t="n"/>
      <c r="D38" s="6" t="n"/>
      <c r="E38" s="6" t="n"/>
      <c r="F38" s="6" t="n"/>
      <c r="G38" s="6" t="n">
        <v>-62379</v>
      </c>
      <c r="H38" s="6" t="n">
        <v>-62379</v>
      </c>
    </row>
    <row r="39">
      <c r="A39" s="6" t="inlineStr">
        <is>
          <t>Net gain in fair value</t>
        </is>
      </c>
      <c r="B39" s="6" t="n"/>
      <c r="C39" s="6" t="n"/>
      <c r="D39" s="6" t="n">
        <v>725</v>
      </c>
      <c r="E39" s="6" t="n"/>
      <c r="F39" s="6" t="n"/>
      <c r="G39" s="6" t="n"/>
      <c r="H39" s="6" t="n">
        <v>725</v>
      </c>
    </row>
    <row r="40">
      <c r="A40" s="6" t="inlineStr">
        <is>
          <t>Net amount transferred to profit or loss</t>
        </is>
      </c>
      <c r="B40" s="6" t="n"/>
      <c r="C40" s="6" t="n"/>
      <c r="D40" s="6" t="n">
        <v>-16</v>
      </c>
      <c r="E40" s="6" t="n"/>
      <c r="F40" s="6" t="n"/>
      <c r="G40" s="6" t="n"/>
      <c r="H40" s="6" t="n">
        <v>-16</v>
      </c>
    </row>
    <row r="41">
      <c r="A41" s="5" t="inlineStr">
        <is>
          <t>Total comprehensive income/(expense) (FY2021)</t>
        </is>
      </c>
      <c r="B41" s="5" t="n"/>
      <c r="C41" s="5" t="n"/>
      <c r="D41" s="5" t="n">
        <v>709</v>
      </c>
      <c r="E41" s="5" t="n"/>
      <c r="F41" s="5" t="n"/>
      <c r="G41" s="5" t="n">
        <v>-62379</v>
      </c>
      <c r="H41" s="5" t="n">
        <v>-61670</v>
      </c>
    </row>
    <row r="42">
      <c r="A42" s="6" t="inlineStr">
        <is>
          <t>Share schemes - value of employee services</t>
        </is>
      </c>
      <c r="B42" s="6" t="n"/>
      <c r="C42" s="6" t="n"/>
      <c r="D42" s="6" t="n"/>
      <c r="E42" s="6" t="n"/>
      <c r="F42" s="6" t="n">
        <v>2497</v>
      </c>
      <c r="G42" s="6" t="n"/>
      <c r="H42" s="6" t="n">
        <v>2497</v>
      </c>
    </row>
    <row r="43">
      <c r="A43" s="5" t="inlineStr">
        <is>
          <t>Balance as at 31 March 2021</t>
        </is>
      </c>
      <c r="B43" s="5" t="n">
        <v>448935</v>
      </c>
      <c r="C43" s="5" t="n"/>
      <c r="D43" s="5" t="n">
        <v>276</v>
      </c>
      <c r="E43" s="5" t="n"/>
      <c r="F43" s="5" t="n">
        <v>22351</v>
      </c>
      <c r="G43" s="5" t="n">
        <v>-330232</v>
      </c>
      <c r="H43" s="5" t="n">
        <v>141330</v>
      </c>
    </row>
    <row r="44">
      <c r="A44" s="6" t="inlineStr">
        <is>
          <t>Loss for the year (FY2022)</t>
        </is>
      </c>
      <c r="B44" s="6" t="n"/>
      <c r="C44" s="6" t="n"/>
      <c r="D44" s="6" t="n"/>
      <c r="E44" s="6" t="n"/>
      <c r="F44" s="6" t="n"/>
      <c r="G44" s="6" t="n">
        <v>-11927</v>
      </c>
      <c r="H44" s="6" t="n">
        <v>-11927</v>
      </c>
    </row>
    <row r="45">
      <c r="A45" s="6" t="inlineStr">
        <is>
          <t>Net loss in fair value</t>
        </is>
      </c>
      <c r="B45" s="6" t="n"/>
      <c r="C45" s="6" t="n"/>
      <c r="D45" s="6" t="n">
        <v>-388</v>
      </c>
      <c r="E45" s="6" t="n"/>
      <c r="F45" s="6" t="n"/>
      <c r="G45" s="6" t="n"/>
      <c r="H45" s="6" t="n">
        <v>-388</v>
      </c>
    </row>
    <row r="46">
      <c r="A46" s="6" t="inlineStr">
        <is>
          <t>Net amount transferred to profit or loss</t>
        </is>
      </c>
      <c r="B46" s="6" t="n"/>
      <c r="C46" s="6" t="n"/>
      <c r="D46" s="6" t="n">
        <v>51</v>
      </c>
      <c r="E46" s="6" t="n"/>
      <c r="F46" s="6" t="n"/>
      <c r="G46" s="6" t="n"/>
      <c r="H46" s="6" t="n">
        <v>51</v>
      </c>
    </row>
    <row r="47">
      <c r="A47" s="5" t="inlineStr">
        <is>
          <t>Total comprehensive expense (FY2022)</t>
        </is>
      </c>
      <c r="B47" s="5" t="n"/>
      <c r="C47" s="5" t="n"/>
      <c r="D47" s="5" t="n">
        <v>-337</v>
      </c>
      <c r="E47" s="5" t="n"/>
      <c r="F47" s="5" t="n"/>
      <c r="G47" s="5" t="n">
        <v>-11927</v>
      </c>
      <c r="H47" s="5" t="n">
        <v>-12264</v>
      </c>
    </row>
    <row r="48">
      <c r="A48" s="6" t="inlineStr">
        <is>
          <t>Issue of new ordinary shares, net of transaction costs</t>
        </is>
      </c>
      <c r="B48" s="6" t="n">
        <v>117443</v>
      </c>
      <c r="C48" s="6" t="n"/>
      <c r="D48" s="6" t="n"/>
      <c r="E48" s="6" t="n"/>
      <c r="F48" s="6" t="n"/>
      <c r="G48" s="6" t="n"/>
      <c r="H48" s="6" t="n">
        <v>117443</v>
      </c>
    </row>
    <row r="49">
      <c r="A49" s="6" t="inlineStr">
        <is>
          <t>Share schemes - value of employee services</t>
        </is>
      </c>
      <c r="B49" s="6" t="n"/>
      <c r="C49" s="6" t="n"/>
      <c r="D49" s="6" t="n"/>
      <c r="E49" s="6" t="n"/>
      <c r="F49" s="6" t="n">
        <v>4585</v>
      </c>
      <c r="G49" s="6" t="n"/>
      <c r="H49" s="6" t="n">
        <v>4585</v>
      </c>
    </row>
    <row r="50">
      <c r="A50" s="5" t="inlineStr">
        <is>
          <t>Balance as at 31 March 2022</t>
        </is>
      </c>
      <c r="B50" s="5" t="n">
        <v>566378</v>
      </c>
      <c r="C50" s="5" t="n"/>
      <c r="D50" s="5" t="n">
        <v>-61</v>
      </c>
      <c r="E50" s="5" t="n"/>
      <c r="F50" s="5" t="n">
        <v>26936</v>
      </c>
      <c r="G50" s="5" t="n">
        <v>-342159</v>
      </c>
      <c r="H50" s="5" t="n">
        <v>251094</v>
      </c>
    </row>
    <row r="51">
      <c r="A51" s="6" t="inlineStr">
        <is>
          <t>Loss for the year (FY2023)</t>
        </is>
      </c>
      <c r="B51" s="6" t="n"/>
      <c r="C51" s="6" t="n"/>
      <c r="D51" s="6" t="n"/>
      <c r="E51" s="6" t="n"/>
      <c r="F51" s="6" t="n"/>
      <c r="G51" s="6" t="n">
        <v>-5623</v>
      </c>
      <c r="H51" s="6" t="n">
        <v>-5623</v>
      </c>
    </row>
    <row r="52">
      <c r="A52" s="6" t="inlineStr">
        <is>
          <t>Net gain in fair value</t>
        </is>
      </c>
      <c r="B52" s="6" t="n"/>
      <c r="C52" s="6" t="n"/>
      <c r="D52" s="6" t="n">
        <v>117</v>
      </c>
      <c r="E52" s="6" t="n"/>
      <c r="F52" s="6" t="n"/>
      <c r="G52" s="6" t="n"/>
      <c r="H52" s="6" t="n">
        <v>117</v>
      </c>
    </row>
    <row r="53">
      <c r="A53" s="6" t="inlineStr">
        <is>
          <t>Hedging adjustment (cash flow hedge reserve)</t>
        </is>
      </c>
      <c r="B53" s="6" t="n"/>
      <c r="C53" s="6" t="n"/>
      <c r="D53" s="6" t="n"/>
      <c r="E53" s="6" t="n">
        <v>5163</v>
      </c>
      <c r="F53" s="6" t="n"/>
      <c r="G53" s="6" t="n"/>
      <c r="H53" s="6" t="n">
        <v>5163</v>
      </c>
    </row>
    <row r="54">
      <c r="A54" s="6" t="inlineStr">
        <is>
          <t>Net amount transferred to profit or loss</t>
        </is>
      </c>
      <c r="B54" s="6" t="n"/>
      <c r="C54" s="6" t="n"/>
      <c r="D54" s="6" t="n">
        <v>-9</v>
      </c>
      <c r="E54" s="6" t="n"/>
      <c r="F54" s="6" t="n"/>
      <c r="G54" s="6" t="n"/>
      <c r="H54" s="6" t="n">
        <v>-9</v>
      </c>
    </row>
    <row r="55">
      <c r="A55" s="5" t="inlineStr">
        <is>
          <t>Total comprehensive income/(expense) (FY2023)</t>
        </is>
      </c>
      <c r="B55" s="5" t="n"/>
      <c r="C55" s="5" t="n"/>
      <c r="D55" s="5" t="n">
        <v>108</v>
      </c>
      <c r="E55" s="5" t="n">
        <v>5163</v>
      </c>
      <c r="F55" s="5" t="n"/>
      <c r="G55" s="5" t="n">
        <v>-5623</v>
      </c>
      <c r="H55" s="5" t="n">
        <v>-352</v>
      </c>
    </row>
    <row r="56">
      <c r="A56" s="6" t="inlineStr">
        <is>
          <t>Issue of new ordinary shares, net of transaction costs</t>
        </is>
      </c>
      <c r="B56" s="6" t="n">
        <v>28656</v>
      </c>
      <c r="C56" s="6" t="n"/>
      <c r="D56" s="6" t="n"/>
      <c r="E56" s="6" t="n"/>
      <c r="F56" s="6" t="n"/>
      <c r="G56" s="6" t="n"/>
      <c r="H56" s="6" t="n">
        <v>28656</v>
      </c>
    </row>
    <row r="57">
      <c r="A57" s="6" t="inlineStr">
        <is>
          <t>Share premium reduction</t>
        </is>
      </c>
      <c r="B57" s="6" t="n">
        <v>-565729</v>
      </c>
      <c r="C57" s="6" t="n"/>
      <c r="D57" s="6" t="n"/>
      <c r="E57" s="6" t="n"/>
      <c r="F57" s="6" t="n"/>
      <c r="G57" s="6" t="n">
        <v>565729</v>
      </c>
      <c r="H57" s="6" t="n">
        <v>0</v>
      </c>
    </row>
    <row r="58">
      <c r="A58" s="6" t="inlineStr">
        <is>
          <t>Share schemes - value of employee services</t>
        </is>
      </c>
      <c r="B58" s="6" t="n"/>
      <c r="C58" s="6" t="n"/>
      <c r="D58" s="6" t="n"/>
      <c r="E58" s="6" t="n"/>
      <c r="F58" s="6" t="n">
        <v>5233</v>
      </c>
      <c r="G58" s="6" t="n"/>
      <c r="H58" s="6" t="n">
        <v>5233</v>
      </c>
    </row>
    <row r="59">
      <c r="A59" s="5" t="inlineStr">
        <is>
          <t>Balance as at 31 March 2023 (per FY2023 report)</t>
        </is>
      </c>
      <c r="B59" s="5" t="n">
        <v>29305</v>
      </c>
      <c r="C59" s="5" t="n"/>
      <c r="D59" s="5" t="n">
        <v>47</v>
      </c>
      <c r="E59" s="5" t="n">
        <v>5163</v>
      </c>
      <c r="F59" s="5" t="n">
        <v>32169</v>
      </c>
      <c r="G59" s="5" t="n">
        <v>217947</v>
      </c>
      <c r="H59" s="5" t="n">
        <v>284631</v>
      </c>
    </row>
    <row r="60">
      <c r="A60" s="5" t="inlineStr">
        <is>
          <t>Balance as at 1 April 2023 (per FY2025 report - restated)</t>
        </is>
      </c>
      <c r="B60" s="5" t="n">
        <v>29300</v>
      </c>
      <c r="C60" s="5" t="n"/>
      <c r="D60" s="5" t="n">
        <v>0</v>
      </c>
      <c r="E60" s="5" t="n">
        <v>5200</v>
      </c>
      <c r="F60" s="5" t="n">
        <v>32100</v>
      </c>
      <c r="G60" s="5" t="n">
        <v>217900</v>
      </c>
      <c r="H60" s="5" t="n">
        <v>284500</v>
      </c>
    </row>
    <row r="61">
      <c r="A61" s="6" t="inlineStr">
        <is>
          <t>Profit for the year (FY2024)</t>
        </is>
      </c>
      <c r="B61" s="6" t="n"/>
      <c r="C61" s="6" t="n"/>
      <c r="D61" s="6" t="n"/>
      <c r="E61" s="6" t="n"/>
      <c r="F61" s="6" t="n"/>
      <c r="G61" s="6" t="n">
        <v>12300</v>
      </c>
      <c r="H61" s="6" t="n">
        <v>12300</v>
      </c>
    </row>
    <row r="62">
      <c r="A62" s="6" t="inlineStr">
        <is>
          <t>Net gain in fair value</t>
        </is>
      </c>
      <c r="B62" s="6" t="n"/>
      <c r="C62" s="6" t="n"/>
      <c r="D62" s="6" t="n">
        <v>500</v>
      </c>
      <c r="E62" s="6" t="n"/>
      <c r="F62" s="6" t="n"/>
      <c r="G62" s="6" t="n"/>
      <c r="H62" s="6" t="n">
        <v>500</v>
      </c>
    </row>
    <row r="63">
      <c r="A63" s="6" t="inlineStr">
        <is>
          <t>Hedging adjustment (cash flow hedge reserve)</t>
        </is>
      </c>
      <c r="B63" s="6" t="n"/>
      <c r="C63" s="6" t="n"/>
      <c r="D63" s="6" t="n"/>
      <c r="E63" s="6" t="n">
        <v>-400</v>
      </c>
      <c r="F63" s="6" t="n"/>
      <c r="G63" s="6" t="n"/>
      <c r="H63" s="6" t="n">
        <v>-400</v>
      </c>
    </row>
    <row r="64">
      <c r="A64" s="6" t="inlineStr">
        <is>
          <t>Net amount transferred to profit or loss</t>
        </is>
      </c>
      <c r="B64" s="6" t="n"/>
      <c r="C64" s="6" t="n"/>
      <c r="D64" s="6" t="n">
        <v>100</v>
      </c>
      <c r="E64" s="6" t="n"/>
      <c r="F64" s="6" t="n"/>
      <c r="G64" s="6" t="n"/>
      <c r="H64" s="6" t="n">
        <v>100</v>
      </c>
    </row>
    <row r="65">
      <c r="A65" s="5" t="inlineStr">
        <is>
          <t>Total comprehensive income (FY2024)</t>
        </is>
      </c>
      <c r="B65" s="5" t="n"/>
      <c r="C65" s="5" t="n"/>
      <c r="D65" s="5" t="n">
        <v>600</v>
      </c>
      <c r="E65" s="5" t="n">
        <v>-400</v>
      </c>
      <c r="F65" s="5" t="n"/>
      <c r="G65" s="5" t="n">
        <v>12300</v>
      </c>
      <c r="H65" s="5" t="n">
        <v>12500</v>
      </c>
    </row>
    <row r="66">
      <c r="A66" s="6" t="inlineStr">
        <is>
          <t>Issue of new ordinary shares, net of transaction costs</t>
        </is>
      </c>
      <c r="B66" s="6" t="n">
        <v>99600</v>
      </c>
      <c r="C66" s="6" t="n"/>
      <c r="D66" s="6" t="n"/>
      <c r="E66" s="6" t="n"/>
      <c r="F66" s="6" t="n"/>
      <c r="G66" s="6" t="n"/>
      <c r="H66" s="6" t="n">
        <v>99600</v>
      </c>
    </row>
    <row r="67">
      <c r="A67" s="6" t="inlineStr">
        <is>
          <t>Share schemes - value of employee services</t>
        </is>
      </c>
      <c r="B67" s="6" t="n"/>
      <c r="C67" s="6" t="n"/>
      <c r="D67" s="6" t="n"/>
      <c r="E67" s="6" t="n"/>
      <c r="F67" s="6" t="n">
        <v>7200</v>
      </c>
      <c r="G67" s="6" t="n"/>
      <c r="H67" s="6" t="n">
        <v>7200</v>
      </c>
    </row>
    <row r="68">
      <c r="A68" s="5" t="inlineStr">
        <is>
          <t>Balance as at 31 March 2024</t>
        </is>
      </c>
      <c r="B68" s="5" t="n">
        <v>128900</v>
      </c>
      <c r="C68" s="5" t="n"/>
      <c r="D68" s="5" t="n">
        <v>600</v>
      </c>
      <c r="E68" s="5" t="n">
        <v>4800</v>
      </c>
      <c r="F68" s="5" t="n">
        <v>39300</v>
      </c>
      <c r="G68" s="5" t="n">
        <v>230200</v>
      </c>
      <c r="H68" s="5" t="n">
        <v>403800</v>
      </c>
    </row>
    <row r="69">
      <c r="A69" s="6" t="inlineStr">
        <is>
          <t>Profit for the year (FY2025)</t>
        </is>
      </c>
      <c r="B69" s="6" t="n"/>
      <c r="C69" s="6" t="n"/>
      <c r="D69" s="6" t="n"/>
      <c r="E69" s="6" t="n"/>
      <c r="F69" s="6" t="n"/>
      <c r="G69" s="6" t="n">
        <v>16900</v>
      </c>
      <c r="H69" s="6" t="n">
        <v>16900</v>
      </c>
    </row>
    <row r="70">
      <c r="A70" s="6" t="inlineStr">
        <is>
          <t>Net loss in fair value</t>
        </is>
      </c>
      <c r="B70" s="6" t="n"/>
      <c r="C70" s="6" t="n"/>
      <c r="D70" s="6" t="n">
        <v>-400</v>
      </c>
      <c r="E70" s="6" t="n"/>
      <c r="F70" s="6" t="n"/>
      <c r="G70" s="6" t="n"/>
      <c r="H70" s="6" t="n">
        <v>-400</v>
      </c>
    </row>
    <row r="71">
      <c r="A71" s="6" t="inlineStr">
        <is>
          <t>Hedging adjustment (cash flow hedge reserve)</t>
        </is>
      </c>
      <c r="B71" s="6" t="n"/>
      <c r="C71" s="6" t="n"/>
      <c r="D71" s="6" t="n"/>
      <c r="E71" s="6" t="n">
        <v>-1300</v>
      </c>
      <c r="F71" s="6" t="n"/>
      <c r="G71" s="6" t="n"/>
      <c r="H71" s="6" t="n">
        <v>-1300</v>
      </c>
    </row>
    <row r="72">
      <c r="A72" s="6" t="inlineStr">
        <is>
          <t>Net amount transferred to profit or loss</t>
        </is>
      </c>
      <c r="B72" s="6" t="n"/>
      <c r="C72" s="6" t="n"/>
      <c r="D72" s="6" t="n">
        <v>200</v>
      </c>
      <c r="E72" s="6" t="n"/>
      <c r="F72" s="6" t="n"/>
      <c r="G72" s="6" t="n"/>
      <c r="H72" s="6" t="n">
        <v>200</v>
      </c>
    </row>
    <row r="73">
      <c r="A73" s="5" t="inlineStr">
        <is>
          <t>Total comprehensive income (FY2025)</t>
        </is>
      </c>
      <c r="B73" s="5" t="n"/>
      <c r="C73" s="5" t="n"/>
      <c r="D73" s="5" t="n">
        <v>-200</v>
      </c>
      <c r="E73" s="5" t="n">
        <v>-1300</v>
      </c>
      <c r="F73" s="5" t="n"/>
      <c r="G73" s="5" t="n">
        <v>16900</v>
      </c>
      <c r="H73" s="5" t="n">
        <v>15400</v>
      </c>
    </row>
    <row r="74">
      <c r="A74" s="6" t="inlineStr">
        <is>
          <t>Share schemes - value of employee services</t>
        </is>
      </c>
      <c r="B74" s="6" t="n"/>
      <c r="C74" s="6" t="n"/>
      <c r="D74" s="6" t="n"/>
      <c r="E74" s="6" t="n"/>
      <c r="F74" s="6" t="n">
        <v>6000</v>
      </c>
      <c r="G74" s="6" t="n"/>
      <c r="H74" s="6" t="n">
        <v>6000</v>
      </c>
    </row>
    <row r="75">
      <c r="A75" s="5" t="inlineStr">
        <is>
          <t>Balance as at 31 March 2025</t>
        </is>
      </c>
      <c r="B75" s="5" t="n">
        <v>128900</v>
      </c>
      <c r="C75" s="5" t="n"/>
      <c r="D75" s="5" t="n">
        <v>400</v>
      </c>
      <c r="E75" s="5" t="n">
        <v>3500</v>
      </c>
      <c r="F75" s="5" t="n">
        <v>45300</v>
      </c>
      <c r="G75" s="5" t="n">
        <v>247100</v>
      </c>
      <c r="H75" s="5" t="n">
        <v>425200</v>
      </c>
    </row>
    <row r="76">
      <c r="A76" s="6" t="inlineStr">
        <is>
          <t>Profit for the year (FY2026)</t>
        </is>
      </c>
      <c r="B76" s="6" t="n"/>
      <c r="C76" s="6" t="n"/>
      <c r="D76" s="6" t="n"/>
      <c r="E76" s="6" t="n"/>
      <c r="F76" s="6" t="n"/>
      <c r="G76" s="6" t="n">
        <v>27700</v>
      </c>
      <c r="H76" s="6" t="n">
        <v>27700</v>
      </c>
    </row>
    <row r="77">
      <c r="A77" s="6" t="inlineStr">
        <is>
          <t>Net gain in fair value</t>
        </is>
      </c>
      <c r="B77" s="6" t="n"/>
      <c r="C77" s="6" t="n"/>
      <c r="D77" s="6" t="n">
        <v>1100</v>
      </c>
      <c r="E77" s="6" t="n"/>
      <c r="F77" s="6" t="n"/>
      <c r="G77" s="6" t="n"/>
      <c r="H77" s="6" t="n">
        <v>1100</v>
      </c>
    </row>
    <row r="78">
      <c r="A78" s="6" t="inlineStr">
        <is>
          <t>Hedging adjustment (cash flow hedge reserve)</t>
        </is>
      </c>
      <c r="B78" s="6" t="n"/>
      <c r="C78" s="6" t="n"/>
      <c r="D78" s="6" t="n"/>
      <c r="E78" s="6" t="n">
        <v>-1100</v>
      </c>
      <c r="F78" s="6" t="n"/>
      <c r="G78" s="6" t="n"/>
      <c r="H78" s="6" t="n">
        <v>-1100</v>
      </c>
    </row>
    <row r="79">
      <c r="A79" s="5" t="inlineStr">
        <is>
          <t>Total comprehensive income (FY2026)</t>
        </is>
      </c>
      <c r="B79" s="5" t="n"/>
      <c r="C79" s="5" t="n"/>
      <c r="D79" s="5" t="n">
        <v>1100</v>
      </c>
      <c r="E79" s="5" t="n">
        <v>-1100</v>
      </c>
      <c r="F79" s="5" t="n"/>
      <c r="G79" s="5" t="n">
        <v>27700</v>
      </c>
      <c r="H79" s="5" t="n">
        <v>27700</v>
      </c>
    </row>
    <row r="80">
      <c r="A80" s="6" t="inlineStr">
        <is>
          <t>Issue of new ordinary shares, net of transaction costs</t>
        </is>
      </c>
      <c r="B80" s="6" t="n">
        <v>15100</v>
      </c>
      <c r="C80" s="6" t="n">
        <v>49100</v>
      </c>
      <c r="D80" s="6" t="n"/>
      <c r="E80" s="6" t="n"/>
      <c r="F80" s="6" t="n"/>
      <c r="G80" s="6" t="n"/>
      <c r="H80" s="6" t="n">
        <v>64200</v>
      </c>
    </row>
    <row r="81">
      <c r="A81" s="6" t="inlineStr">
        <is>
          <t>Dividend distribution</t>
        </is>
      </c>
      <c r="B81" s="6" t="n"/>
      <c r="C81" s="6" t="n"/>
      <c r="D81" s="6" t="n"/>
      <c r="E81" s="6" t="n"/>
      <c r="F81" s="6" t="n"/>
      <c r="G81" s="6" t="n">
        <v>-15000</v>
      </c>
      <c r="H81" s="6" t="n">
        <v>-15000</v>
      </c>
    </row>
    <row r="82">
      <c r="A82" s="6" t="inlineStr">
        <is>
          <t>Share schemes - value of employee services</t>
        </is>
      </c>
      <c r="B82" s="6" t="n"/>
      <c r="C82" s="6" t="n"/>
      <c r="D82" s="6" t="n"/>
      <c r="E82" s="6" t="n"/>
      <c r="F82" s="6" t="n">
        <v>2500</v>
      </c>
      <c r="G82" s="6" t="n"/>
      <c r="H82" s="6" t="n">
        <v>2500</v>
      </c>
    </row>
    <row r="83">
      <c r="A83" s="5" t="inlineStr">
        <is>
          <t>Balance as at 31 March 2026</t>
        </is>
      </c>
      <c r="B83" s="5" t="n">
        <v>144000</v>
      </c>
      <c r="C83" s="5" t="n">
        <v>49100</v>
      </c>
      <c r="D83" s="5" t="n">
        <v>1500</v>
      </c>
      <c r="E83" s="5" t="n">
        <v>2400</v>
      </c>
      <c r="F83" s="5" t="n">
        <v>47800</v>
      </c>
      <c r="G83" s="5" t="n">
        <v>259800</v>
      </c>
      <c r="H83" s="5" t="n">
        <v>504600</v>
      </c>
    </row>
    <row r="85" ht="280" customHeight="1">
      <c r="A85" s="8" t="inlineStr">
        <is>
          <t>Sources - Statement of changes in equity, Bank basis, £'000, read chronologically:
FY2026 movements: Atom bank plc Annual Report FY26 (full accounts made up to 31 March 2026, filed 25 Aug 2026), p.59 (Statement of changes in equity) - https://find-and-update.company-information.service.gov.uk/company/08632552/filing-history/MzU0MDgxMjIwMGFkaXF6a2N4/document?format=pdf&amp;download=0
A NEW COLUMN WAS ADDED FOR FY2026: 'Other equity instruments'. Atom issued £49.1m of Additional Tier 1 (AT1) capital during FY2026 - an instrument it had never held before - and the closing balance cannot tie without it (144,000 + 49,100 + 1,500 + 2,400 + 47,800 + 259,800 = 504,600, which equals the Balance Sheet sheet's own Total equity for FY2026). Every pre-FY2026 row carries a blank in that column because the instrument did not exist, not because the figure is unknown. The same AT1 issue is why KM1 row 2 (Tier 1) exceeds row 1 (CET1) for the first time in Atom's history.
The source prints the year's share issuance as a SINGLE row - 'Issue of new ordinary shares net of transaction costs', 15.1 into share capital and share premium and 49.1 into other equity instruments, 64.2 in total - and it is reproduced here as one row on those two columns rather than split into two invented rows. FY2026 also carries the first dividend distribution (15,000) anywhere in this workbook's eleven-year history.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85:H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Cash Flows</t>
        </is>
      </c>
    </row>
    <row r="2">
      <c r="A2" s="2" t="inlineStr">
        <is>
          <t>Bank (solo) basis, £'000. FY2023-FY2026 blank - see source note at bottom (FRS 101 cash-flow exemption).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Operating activities</t>
        </is>
      </c>
      <c r="B4" s="6" t="n"/>
      <c r="C4" s="6" t="n"/>
      <c r="D4" s="6" t="n"/>
      <c r="E4" s="6" t="n"/>
      <c r="F4" s="6" t="n"/>
      <c r="G4" s="6" t="n"/>
      <c r="H4" s="6" t="n"/>
      <c r="I4" s="6" t="n"/>
      <c r="J4" s="6" t="n"/>
      <c r="K4" s="6" t="n"/>
      <c r="L4" s="6" t="n"/>
    </row>
    <row r="5">
      <c r="A5" s="6" t="inlineStr">
        <is>
          <t>Loss for the year</t>
        </is>
      </c>
      <c r="B5" s="6" t="n"/>
      <c r="C5" s="6" t="n"/>
      <c r="D5" s="6" t="n"/>
      <c r="E5" s="6" t="n"/>
      <c r="F5" s="6" t="n">
        <v>-11927</v>
      </c>
      <c r="G5" s="6" t="n">
        <v>-62379</v>
      </c>
      <c r="H5" s="6" t="n">
        <v>-63945</v>
      </c>
      <c r="I5" s="6" t="n">
        <v>-79857</v>
      </c>
      <c r="J5" s="6" t="n">
        <v>-52680</v>
      </c>
      <c r="K5" s="6" t="n">
        <v>-42169</v>
      </c>
      <c r="L5" s="6" t="n">
        <v>-22515</v>
      </c>
    </row>
    <row r="6">
      <c r="A6" s="6" t="inlineStr">
        <is>
          <t>Depreciation and amortisation</t>
        </is>
      </c>
      <c r="B6" s="6" t="n"/>
      <c r="C6" s="6" t="n"/>
      <c r="D6" s="6" t="n"/>
      <c r="E6" s="6" t="n"/>
      <c r="F6" s="6" t="n">
        <v>10531</v>
      </c>
      <c r="G6" s="6" t="n">
        <v>10442</v>
      </c>
      <c r="H6" s="6" t="n">
        <v>7156</v>
      </c>
      <c r="I6" s="6" t="n">
        <v>12416</v>
      </c>
      <c r="J6" s="6" t="n">
        <v>5717</v>
      </c>
      <c r="K6" s="6" t="n">
        <v>3417</v>
      </c>
      <c r="L6" s="6" t="n">
        <v>604</v>
      </c>
    </row>
    <row r="7">
      <c r="A7" s="6" t="inlineStr">
        <is>
          <t>Deferred tax asset recognised</t>
        </is>
      </c>
      <c r="B7" s="6" t="n"/>
      <c r="C7" s="6" t="n"/>
      <c r="D7" s="6" t="n"/>
      <c r="E7" s="6" t="n"/>
      <c r="F7" s="6" t="n">
        <v>-5353</v>
      </c>
      <c r="G7" s="6" t="n"/>
      <c r="H7" s="6" t="n"/>
      <c r="I7" s="6" t="n"/>
      <c r="J7" s="6" t="n"/>
      <c r="K7" s="6" t="n"/>
      <c r="L7" s="6" t="n"/>
    </row>
    <row r="8">
      <c r="A8" s="6" t="inlineStr">
        <is>
          <t>Impairment of intangible assets</t>
        </is>
      </c>
      <c r="B8" s="6" t="n"/>
      <c r="C8" s="6" t="n"/>
      <c r="D8" s="6" t="n"/>
      <c r="E8" s="6" t="n"/>
      <c r="F8" s="6" t="n"/>
      <c r="G8" s="6" t="n">
        <v>0</v>
      </c>
      <c r="H8" s="6" t="n"/>
      <c r="I8" s="6" t="n">
        <v>10602</v>
      </c>
      <c r="J8" s="6" t="n"/>
      <c r="K8" s="6" t="n"/>
      <c r="L8" s="6" t="n"/>
    </row>
    <row r="9">
      <c r="A9" s="6" t="inlineStr">
        <is>
          <t>Property, plant and equipment disposal (FY2018-FY2019 only)</t>
        </is>
      </c>
      <c r="B9" s="6" t="n"/>
      <c r="C9" s="6" t="n"/>
      <c r="D9" s="6" t="n"/>
      <c r="E9" s="6" t="n"/>
      <c r="F9" s="6" t="n"/>
      <c r="G9" s="6" t="n"/>
      <c r="H9" s="6" t="n"/>
      <c r="I9" s="6" t="n"/>
      <c r="J9" s="6" t="n">
        <v>16</v>
      </c>
      <c r="K9" s="6" t="n"/>
      <c r="L9" s="6" t="n"/>
    </row>
    <row r="10">
      <c r="A10" s="6" t="inlineStr">
        <is>
          <t>Intangible assets adjustments and write-off (FY2016 only)</t>
        </is>
      </c>
      <c r="B10" s="6" t="n"/>
      <c r="C10" s="6" t="n"/>
      <c r="D10" s="6" t="n"/>
      <c r="E10" s="6" t="n"/>
      <c r="F10" s="6" t="n"/>
      <c r="G10" s="6" t="n"/>
      <c r="H10" s="6" t="n"/>
      <c r="I10" s="6" t="n"/>
      <c r="J10" s="6" t="n"/>
      <c r="K10" s="6" t="n"/>
      <c r="L10" s="6" t="n">
        <v>2295</v>
      </c>
    </row>
    <row r="11">
      <c r="A11" s="6" t="inlineStr">
        <is>
          <t>Share option scheme reserves</t>
        </is>
      </c>
      <c r="B11" s="6" t="n"/>
      <c r="C11" s="6" t="n"/>
      <c r="D11" s="6" t="n"/>
      <c r="E11" s="6" t="n"/>
      <c r="F11" s="6" t="n">
        <v>4585</v>
      </c>
      <c r="G11" s="6" t="n">
        <v>2497</v>
      </c>
      <c r="H11" s="6" t="n">
        <v>2192</v>
      </c>
      <c r="I11" s="6" t="n">
        <v>4959</v>
      </c>
      <c r="J11" s="6" t="n">
        <v>4894</v>
      </c>
      <c r="K11" s="6" t="n">
        <v>4308</v>
      </c>
      <c r="L11" s="6" t="n">
        <v>3501</v>
      </c>
    </row>
    <row r="12">
      <c r="A12" s="6" t="inlineStr">
        <is>
          <t>Other non cash movements</t>
        </is>
      </c>
      <c r="B12" s="6" t="n"/>
      <c r="C12" s="6" t="n"/>
      <c r="D12" s="6" t="n"/>
      <c r="E12" s="6" t="n"/>
      <c r="F12" s="6" t="n">
        <v>-345</v>
      </c>
      <c r="G12" s="6" t="n">
        <v>1307</v>
      </c>
      <c r="H12" s="6" t="n">
        <v>-1201</v>
      </c>
      <c r="I12" s="6" t="n">
        <v>3609</v>
      </c>
      <c r="J12" s="6" t="n">
        <v>-85</v>
      </c>
      <c r="K12" s="6" t="n">
        <v>763</v>
      </c>
      <c r="L12" s="6" t="n"/>
    </row>
    <row r="13">
      <c r="A13" s="6" t="inlineStr">
        <is>
          <t>Loans and advances to customers</t>
        </is>
      </c>
      <c r="B13" s="6" t="n"/>
      <c r="C13" s="6" t="n"/>
      <c r="D13" s="6" t="n"/>
      <c r="E13" s="6" t="n"/>
      <c r="F13" s="6" t="n">
        <v>-745215</v>
      </c>
      <c r="G13" s="6" t="n">
        <v>331967</v>
      </c>
      <c r="H13" s="6" t="n">
        <v>429043</v>
      </c>
      <c r="I13" s="6" t="n">
        <v>-1180505</v>
      </c>
      <c r="J13" s="6" t="n">
        <v>-1120403</v>
      </c>
      <c r="K13" s="6" t="n">
        <v>-99514</v>
      </c>
      <c r="L13" s="6" t="n"/>
    </row>
    <row r="14">
      <c r="A14" s="6" t="inlineStr">
        <is>
          <t>Customer deposits</t>
        </is>
      </c>
      <c r="B14" s="6" t="n"/>
      <c r="C14" s="6" t="n"/>
      <c r="D14" s="6" t="n"/>
      <c r="E14" s="6" t="n"/>
      <c r="F14" s="6" t="n">
        <v>1075377</v>
      </c>
      <c r="G14" s="6" t="n">
        <v>289607</v>
      </c>
      <c r="H14" s="6" t="n">
        <v>93691</v>
      </c>
      <c r="I14" s="6" t="n">
        <v>331328</v>
      </c>
      <c r="J14" s="6" t="n">
        <v>901733</v>
      </c>
      <c r="K14" s="6" t="n">
        <v>538050</v>
      </c>
      <c r="L14" s="6" t="n">
        <v>10</v>
      </c>
    </row>
    <row r="15">
      <c r="A15" s="6" t="inlineStr">
        <is>
          <t>Borrowing(s) from central banks</t>
        </is>
      </c>
      <c r="B15" s="6" t="n"/>
      <c r="C15" s="6" t="n"/>
      <c r="D15" s="6" t="n"/>
      <c r="E15" s="6" t="n"/>
      <c r="F15" s="6" t="n">
        <v>297656</v>
      </c>
      <c r="G15" s="6" t="n">
        <v>22612</v>
      </c>
      <c r="H15" s="6" t="n">
        <v>44</v>
      </c>
      <c r="I15" s="6" t="n">
        <v>222</v>
      </c>
      <c r="J15" s="6" t="n">
        <v>355215</v>
      </c>
      <c r="K15" s="6" t="n"/>
      <c r="L15" s="6" t="n"/>
    </row>
    <row r="16">
      <c r="A16" s="6" t="inlineStr">
        <is>
          <t>Deemed loan</t>
        </is>
      </c>
      <c r="B16" s="6" t="n"/>
      <c r="C16" s="6" t="n"/>
      <c r="D16" s="6" t="n"/>
      <c r="E16" s="6" t="n"/>
      <c r="F16" s="6" t="n">
        <v>233156</v>
      </c>
      <c r="G16" s="6" t="n">
        <v>-122391</v>
      </c>
      <c r="H16" s="6" t="n">
        <v>-131113</v>
      </c>
      <c r="I16" s="6" t="n">
        <v>364204</v>
      </c>
      <c r="J16" s="6" t="n"/>
      <c r="K16" s="6" t="n"/>
      <c r="L16" s="6" t="n"/>
    </row>
    <row r="17">
      <c r="A17" s="6" t="inlineStr">
        <is>
          <t>Debt securities in issue</t>
        </is>
      </c>
      <c r="B17" s="6" t="n"/>
      <c r="C17" s="6" t="n"/>
      <c r="D17" s="6" t="n"/>
      <c r="E17" s="6" t="n"/>
      <c r="F17" s="6" t="n">
        <v>0</v>
      </c>
      <c r="G17" s="6" t="n">
        <v>0</v>
      </c>
      <c r="H17" s="6" t="n">
        <v>0</v>
      </c>
      <c r="I17" s="6" t="n"/>
      <c r="J17" s="6" t="n"/>
      <c r="K17" s="6" t="n"/>
      <c r="L17" s="6" t="n"/>
    </row>
    <row r="18">
      <c r="A18" s="6" t="inlineStr">
        <is>
          <t>Debt instruments/securities held at amortised cost</t>
        </is>
      </c>
      <c r="B18" s="6" t="n"/>
      <c r="C18" s="6" t="n"/>
      <c r="D18" s="6" t="n"/>
      <c r="E18" s="6" t="n"/>
      <c r="F18" s="6" t="n">
        <v>354400</v>
      </c>
      <c r="G18" s="6" t="n">
        <v>-426192</v>
      </c>
      <c r="H18" s="6" t="n">
        <v>-223311</v>
      </c>
      <c r="I18" s="6" t="n"/>
      <c r="J18" s="6" t="n"/>
      <c r="K18" s="6" t="n"/>
      <c r="L18" s="6" t="n"/>
    </row>
    <row r="19">
      <c r="A19" s="6" t="inlineStr">
        <is>
          <t>Repurchase agreements</t>
        </is>
      </c>
      <c r="B19" s="6" t="n"/>
      <c r="C19" s="6" t="n"/>
      <c r="D19" s="6" t="n"/>
      <c r="E19" s="6" t="n"/>
      <c r="F19" s="6" t="n"/>
      <c r="G19" s="6" t="n">
        <v>0</v>
      </c>
      <c r="H19" s="6" t="n">
        <v>-34851</v>
      </c>
      <c r="I19" s="6" t="n">
        <v>34851</v>
      </c>
      <c r="J19" s="6" t="n"/>
      <c r="K19" s="6" t="n"/>
      <c r="L19" s="6" t="n"/>
    </row>
    <row r="20">
      <c r="A20" s="6" t="inlineStr">
        <is>
          <t>Net increase in subordinated liabilities (FY2019 only)</t>
        </is>
      </c>
      <c r="B20" s="6" t="n"/>
      <c r="C20" s="6" t="n"/>
      <c r="D20" s="6" t="n"/>
      <c r="E20" s="6" t="n"/>
      <c r="F20" s="6" t="n"/>
      <c r="G20" s="6" t="n"/>
      <c r="H20" s="6" t="n"/>
      <c r="I20" s="6" t="n">
        <v>15</v>
      </c>
      <c r="J20" s="6" t="n"/>
      <c r="K20" s="6" t="n"/>
      <c r="L20" s="6" t="n"/>
    </row>
    <row r="21">
      <c r="A21" s="6" t="inlineStr">
        <is>
          <t>Net decrease in tax asset (FY2017 only)</t>
        </is>
      </c>
      <c r="B21" s="6" t="n"/>
      <c r="C21" s="6" t="n"/>
      <c r="D21" s="6" t="n"/>
      <c r="E21" s="6" t="n"/>
      <c r="F21" s="6" t="n"/>
      <c r="G21" s="6" t="n"/>
      <c r="H21" s="6" t="n"/>
      <c r="I21" s="6" t="n"/>
      <c r="J21" s="6" t="n"/>
      <c r="K21" s="6" t="n">
        <v>1420</v>
      </c>
      <c r="L21" s="6" t="n"/>
    </row>
    <row r="22">
      <c r="A22" s="6" t="inlineStr">
        <is>
          <t>Other assets</t>
        </is>
      </c>
      <c r="B22" s="6" t="n"/>
      <c r="C22" s="6" t="n"/>
      <c r="D22" s="6" t="n"/>
      <c r="E22" s="6" t="n"/>
      <c r="F22" s="6" t="n">
        <v>-20768</v>
      </c>
      <c r="G22" s="6" t="n">
        <v>-4443</v>
      </c>
      <c r="H22" s="6" t="n">
        <v>-3703</v>
      </c>
      <c r="I22" s="6" t="n">
        <v>-9282</v>
      </c>
      <c r="J22" s="6" t="n">
        <v>2833</v>
      </c>
      <c r="K22" s="6" t="n">
        <v>-9037</v>
      </c>
      <c r="L22" s="6" t="n">
        <v>-239</v>
      </c>
    </row>
    <row r="23">
      <c r="A23" s="6" t="inlineStr">
        <is>
          <t>Other liabilities and provisions</t>
        </is>
      </c>
      <c r="B23" s="6" t="n"/>
      <c r="C23" s="6" t="n"/>
      <c r="D23" s="6" t="n"/>
      <c r="E23" s="6" t="n"/>
      <c r="F23" s="6" t="n">
        <v>20413</v>
      </c>
      <c r="G23" s="6" t="n">
        <v>1828</v>
      </c>
      <c r="H23" s="6" t="n">
        <v>7063</v>
      </c>
      <c r="I23" s="6" t="n">
        <v>-5534</v>
      </c>
      <c r="J23" s="6" t="n">
        <v>12578</v>
      </c>
      <c r="K23" s="6" t="n">
        <v>-1608</v>
      </c>
      <c r="L23" s="6" t="n"/>
    </row>
    <row r="24">
      <c r="A24" s="6" t="inlineStr">
        <is>
          <t>Derivatives held for hedging purposes</t>
        </is>
      </c>
      <c r="B24" s="6" t="n"/>
      <c r="C24" s="6" t="n"/>
      <c r="D24" s="6" t="n"/>
      <c r="E24" s="6" t="n"/>
      <c r="F24" s="6" t="n">
        <v>-36277</v>
      </c>
      <c r="G24" s="6" t="n">
        <v>-14013</v>
      </c>
      <c r="H24" s="6" t="n">
        <v>5749</v>
      </c>
      <c r="I24" s="6" t="n">
        <v>16636</v>
      </c>
      <c r="J24" s="6" t="n">
        <v>-8132</v>
      </c>
      <c r="K24" s="6" t="n">
        <v>124</v>
      </c>
      <c r="L24" s="6" t="n"/>
    </row>
    <row r="25">
      <c r="A25" s="6" t="inlineStr">
        <is>
          <t>Net increase in financial investments (FY2016 only, pre-lending)</t>
        </is>
      </c>
      <c r="B25" s="6" t="n"/>
      <c r="C25" s="6" t="n"/>
      <c r="D25" s="6" t="n"/>
      <c r="E25" s="6" t="n"/>
      <c r="F25" s="6" t="n"/>
      <c r="G25" s="6" t="n"/>
      <c r="H25" s="6" t="n"/>
      <c r="I25" s="6" t="n"/>
      <c r="J25" s="6" t="n"/>
      <c r="K25" s="6" t="n"/>
      <c r="L25" s="6" t="n">
        <v>-6559</v>
      </c>
    </row>
    <row r="26">
      <c r="A26" s="6" t="inlineStr">
        <is>
          <t>Net decrease in trade receivables (FY2016 only)</t>
        </is>
      </c>
      <c r="B26" s="6" t="n"/>
      <c r="C26" s="6" t="n"/>
      <c r="D26" s="6" t="n"/>
      <c r="E26" s="6" t="n"/>
      <c r="F26" s="6" t="n"/>
      <c r="G26" s="6" t="n"/>
      <c r="H26" s="6" t="n"/>
      <c r="I26" s="6" t="n"/>
      <c r="J26" s="6" t="n"/>
      <c r="K26" s="6" t="n"/>
      <c r="L26" s="6" t="n">
        <v>37</v>
      </c>
    </row>
    <row r="27">
      <c r="A27" s="6" t="inlineStr">
        <is>
          <t>Net increase in tax asset (FY2016 only)</t>
        </is>
      </c>
      <c r="B27" s="6" t="n"/>
      <c r="C27" s="6" t="n"/>
      <c r="D27" s="6" t="n"/>
      <c r="E27" s="6" t="n"/>
      <c r="F27" s="6" t="n"/>
      <c r="G27" s="6" t="n"/>
      <c r="H27" s="6" t="n"/>
      <c r="I27" s="6" t="n"/>
      <c r="J27" s="6" t="n"/>
      <c r="K27" s="6" t="n"/>
      <c r="L27" s="6" t="n">
        <v>-806</v>
      </c>
    </row>
    <row r="28">
      <c r="A28" s="6" t="inlineStr">
        <is>
          <t>Net increase in trade and other payables (FY2016 only)</t>
        </is>
      </c>
      <c r="B28" s="6" t="n"/>
      <c r="C28" s="6" t="n"/>
      <c r="D28" s="6" t="n"/>
      <c r="E28" s="6" t="n"/>
      <c r="F28" s="6" t="n"/>
      <c r="G28" s="6" t="n"/>
      <c r="H28" s="6" t="n"/>
      <c r="I28" s="6" t="n"/>
      <c r="J28" s="6" t="n"/>
      <c r="K28" s="6" t="n"/>
      <c r="L28" s="6" t="n">
        <v>5115</v>
      </c>
    </row>
    <row r="29">
      <c r="A29" s="5" t="inlineStr">
        <is>
          <t>Net Cash Inflow/(Outflow) in Operating Activities</t>
        </is>
      </c>
      <c r="B29" s="5" t="n"/>
      <c r="C29" s="5" t="n"/>
      <c r="D29" s="5" t="n"/>
      <c r="E29" s="5" t="n"/>
      <c r="F29" s="5" t="n">
        <v>1176233</v>
      </c>
      <c r="G29" s="5" t="n">
        <v>30842</v>
      </c>
      <c r="H29" s="5" t="n">
        <v>86814</v>
      </c>
      <c r="I29" s="5" t="n">
        <v>-496336</v>
      </c>
      <c r="J29" s="5" t="n">
        <v>101686</v>
      </c>
      <c r="K29" s="5" t="n">
        <v>395754</v>
      </c>
      <c r="L29" s="5" t="n">
        <v>-18557</v>
      </c>
    </row>
    <row r="30">
      <c r="A30" s="5" t="inlineStr">
        <is>
          <t>Investing activities</t>
        </is>
      </c>
      <c r="B30" s="6" t="n"/>
      <c r="C30" s="6" t="n"/>
      <c r="D30" s="6" t="n"/>
      <c r="E30" s="6" t="n"/>
      <c r="F30" s="6" t="n"/>
      <c r="G30" s="6" t="n"/>
      <c r="H30" s="6" t="n"/>
      <c r="I30" s="6" t="n"/>
      <c r="J30" s="6" t="n"/>
      <c r="K30" s="6" t="n"/>
      <c r="L30" s="6" t="n"/>
    </row>
    <row r="31">
      <c r="A31" s="6" t="inlineStr">
        <is>
          <t>Acquisition of intangible assets</t>
        </is>
      </c>
      <c r="B31" s="6" t="n"/>
      <c r="C31" s="6" t="n"/>
      <c r="D31" s="6" t="n"/>
      <c r="E31" s="6" t="n"/>
      <c r="F31" s="6" t="n">
        <v>-9707</v>
      </c>
      <c r="G31" s="6" t="n">
        <v>-8641</v>
      </c>
      <c r="H31" s="6" t="n">
        <v>-13105</v>
      </c>
      <c r="I31" s="6" t="n">
        <v>-18355</v>
      </c>
      <c r="J31" s="6" t="n">
        <v>-8996</v>
      </c>
      <c r="K31" s="6" t="n">
        <v>-14356</v>
      </c>
      <c r="L31" s="6" t="n"/>
    </row>
    <row r="32">
      <c r="A32" s="6" t="inlineStr">
        <is>
          <t>Payments for software (FY2016 only)</t>
        </is>
      </c>
      <c r="B32" s="6" t="n"/>
      <c r="C32" s="6" t="n"/>
      <c r="D32" s="6" t="n"/>
      <c r="E32" s="6" t="n"/>
      <c r="F32" s="6" t="n"/>
      <c r="G32" s="6" t="n"/>
      <c r="H32" s="6" t="n"/>
      <c r="I32" s="6" t="n"/>
      <c r="J32" s="6" t="n"/>
      <c r="K32" s="6" t="n"/>
      <c r="L32" s="6" t="n">
        <v>-18417</v>
      </c>
    </row>
    <row r="33">
      <c r="A33" s="6" t="inlineStr">
        <is>
          <t>Payments for banking licence (FY2016 only)</t>
        </is>
      </c>
      <c r="B33" s="6" t="n"/>
      <c r="C33" s="6" t="n"/>
      <c r="D33" s="6" t="n"/>
      <c r="E33" s="6" t="n"/>
      <c r="F33" s="6" t="n"/>
      <c r="G33" s="6" t="n"/>
      <c r="H33" s="6" t="n"/>
      <c r="I33" s="6" t="n"/>
      <c r="J33" s="6" t="n"/>
      <c r="K33" s="6" t="n"/>
      <c r="L33" s="6" t="n">
        <v>-8</v>
      </c>
    </row>
    <row r="34">
      <c r="A34" s="6" t="inlineStr">
        <is>
          <t>Acquisition of property, plant and equipment</t>
        </is>
      </c>
      <c r="B34" s="6" t="n"/>
      <c r="C34" s="6" t="n"/>
      <c r="D34" s="6" t="n"/>
      <c r="E34" s="6" t="n"/>
      <c r="F34" s="6" t="n">
        <v>-267</v>
      </c>
      <c r="G34" s="6" t="n">
        <v>-271</v>
      </c>
      <c r="H34" s="6" t="n">
        <v>-297</v>
      </c>
      <c r="I34" s="6" t="n">
        <v>-297</v>
      </c>
      <c r="J34" s="6" t="n">
        <v>-117</v>
      </c>
      <c r="K34" s="6" t="n">
        <v>-504</v>
      </c>
      <c r="L34" s="6" t="n">
        <v>-247</v>
      </c>
    </row>
    <row r="35">
      <c r="A35" s="6" t="inlineStr">
        <is>
          <t>Net (acquisition)/maturity of debt securities at FVOCI</t>
        </is>
      </c>
      <c r="B35" s="6" t="n"/>
      <c r="C35" s="6" t="n"/>
      <c r="D35" s="6" t="n"/>
      <c r="E35" s="6" t="n"/>
      <c r="F35" s="6" t="n">
        <v>-146282</v>
      </c>
      <c r="G35" s="6" t="n">
        <v>25681</v>
      </c>
      <c r="H35" s="6" t="n">
        <v>-77661</v>
      </c>
      <c r="I35" s="6" t="n">
        <v>223289</v>
      </c>
      <c r="J35" s="6" t="n">
        <v>-244151</v>
      </c>
      <c r="K35" s="6" t="n">
        <v>-71650</v>
      </c>
      <c r="L35" s="6" t="n"/>
    </row>
    <row r="36">
      <c r="A36" s="5" t="inlineStr">
        <is>
          <t>Net Cash (Outflow)/Inflow from Investing Activities</t>
        </is>
      </c>
      <c r="B36" s="5" t="n"/>
      <c r="C36" s="5" t="n"/>
      <c r="D36" s="5" t="n"/>
      <c r="E36" s="5" t="n"/>
      <c r="F36" s="5" t="n">
        <v>-156256</v>
      </c>
      <c r="G36" s="5" t="n">
        <v>16769</v>
      </c>
      <c r="H36" s="5" t="n">
        <v>-91063</v>
      </c>
      <c r="I36" s="5" t="n">
        <v>204637</v>
      </c>
      <c r="J36" s="5" t="n">
        <v>-253264</v>
      </c>
      <c r="K36" s="5" t="n">
        <v>-86510</v>
      </c>
      <c r="L36" s="5" t="n">
        <v>-18672</v>
      </c>
    </row>
    <row r="37">
      <c r="A37" s="5" t="inlineStr">
        <is>
          <t>Financing activities</t>
        </is>
      </c>
      <c r="B37" s="6" t="n"/>
      <c r="C37" s="6" t="n"/>
      <c r="D37" s="6" t="n"/>
      <c r="E37" s="6" t="n"/>
      <c r="F37" s="6" t="n"/>
      <c r="G37" s="6" t="n"/>
      <c r="H37" s="6" t="n"/>
      <c r="I37" s="6" t="n"/>
      <c r="J37" s="6" t="n"/>
      <c r="K37" s="6" t="n"/>
      <c r="L37" s="6" t="n"/>
    </row>
    <row r="38">
      <c r="A38" s="6" t="inlineStr">
        <is>
          <t>Proceeds from issuance of shares, net of expenses</t>
        </is>
      </c>
      <c r="B38" s="6" t="n"/>
      <c r="C38" s="6" t="n"/>
      <c r="D38" s="6" t="n"/>
      <c r="E38" s="6" t="n"/>
      <c r="F38" s="6" t="n">
        <v>117443</v>
      </c>
      <c r="G38" s="6" t="n">
        <v>0</v>
      </c>
      <c r="H38" s="6" t="n">
        <v>49728</v>
      </c>
      <c r="I38" s="6" t="n">
        <v>152543</v>
      </c>
      <c r="J38" s="6" t="n">
        <v>79346</v>
      </c>
      <c r="K38" s="6" t="n">
        <v>112321</v>
      </c>
      <c r="L38" s="6" t="n">
        <v>39337</v>
      </c>
    </row>
    <row r="39">
      <c r="A39" s="6" t="inlineStr">
        <is>
          <t>Redemption of preference shares (FY2016 only)</t>
        </is>
      </c>
      <c r="B39" s="6" t="n"/>
      <c r="C39" s="6" t="n"/>
      <c r="D39" s="6" t="n"/>
      <c r="E39" s="6" t="n"/>
      <c r="F39" s="6" t="n"/>
      <c r="G39" s="6" t="n"/>
      <c r="H39" s="6" t="n"/>
      <c r="I39" s="6" t="n"/>
      <c r="J39" s="6" t="n"/>
      <c r="K39" s="6" t="n"/>
      <c r="L39" s="6" t="n">
        <v>-50</v>
      </c>
    </row>
    <row r="40">
      <c r="A40" s="6" t="inlineStr">
        <is>
          <t>Proceeds from issuance of subordinated debt (FY2018 only)</t>
        </is>
      </c>
      <c r="B40" s="6" t="n"/>
      <c r="C40" s="6" t="n"/>
      <c r="D40" s="6" t="n"/>
      <c r="E40" s="6" t="n"/>
      <c r="F40" s="6" t="n"/>
      <c r="G40" s="6" t="n"/>
      <c r="H40" s="6" t="n"/>
      <c r="I40" s="6" t="n"/>
      <c r="J40" s="6" t="n">
        <v>7935</v>
      </c>
      <c r="K40" s="6" t="n"/>
      <c r="L40" s="6" t="n"/>
    </row>
    <row r="41">
      <c r="A41" s="6" t="inlineStr">
        <is>
          <t>Interest paid on subordinated debt (FY2018 only)</t>
        </is>
      </c>
      <c r="B41" s="6" t="n"/>
      <c r="C41" s="6" t="n"/>
      <c r="D41" s="6" t="n"/>
      <c r="E41" s="6" t="n"/>
      <c r="F41" s="6" t="n"/>
      <c r="G41" s="6" t="n"/>
      <c r="H41" s="6" t="n"/>
      <c r="I41" s="6" t="n"/>
      <c r="J41" s="6" t="n">
        <v>-199</v>
      </c>
      <c r="K41" s="6" t="n"/>
      <c r="L41" s="6" t="n"/>
    </row>
    <row r="42">
      <c r="A42" s="6" t="inlineStr">
        <is>
          <t>Purchase of treasury shares</t>
        </is>
      </c>
      <c r="B42" s="6" t="n"/>
      <c r="C42" s="6" t="n"/>
      <c r="D42" s="6" t="n"/>
      <c r="E42" s="6" t="n"/>
      <c r="F42" s="6" t="n"/>
      <c r="G42" s="6" t="n">
        <v>0</v>
      </c>
      <c r="H42" s="6" t="n"/>
      <c r="I42" s="6" t="n"/>
      <c r="J42" s="6" t="n"/>
      <c r="K42" s="6" t="n"/>
      <c r="L42" s="6" t="n"/>
    </row>
    <row r="43">
      <c r="A43" s="6" t="inlineStr">
        <is>
          <t>Payment of principal portion of lease liabilities</t>
        </is>
      </c>
      <c r="B43" s="6" t="n"/>
      <c r="C43" s="6" t="n"/>
      <c r="D43" s="6" t="n"/>
      <c r="E43" s="6" t="n"/>
      <c r="F43" s="6" t="n">
        <v>-650</v>
      </c>
      <c r="G43" s="6" t="n">
        <v>-699</v>
      </c>
      <c r="H43" s="6" t="n">
        <v>-717</v>
      </c>
      <c r="I43" s="6" t="n"/>
      <c r="J43" s="6" t="n"/>
      <c r="K43" s="6" t="n"/>
      <c r="L43" s="6" t="n"/>
    </row>
    <row r="44">
      <c r="A44" s="5" t="inlineStr">
        <is>
          <t>Net Cash Inflow/(Outflow) from Financing Activities</t>
        </is>
      </c>
      <c r="B44" s="5" t="n"/>
      <c r="C44" s="5" t="n"/>
      <c r="D44" s="5" t="n"/>
      <c r="E44" s="5" t="n"/>
      <c r="F44" s="5" t="n">
        <v>116793</v>
      </c>
      <c r="G44" s="5" t="n">
        <v>-699</v>
      </c>
      <c r="H44" s="5" t="n">
        <v>49011</v>
      </c>
      <c r="I44" s="5" t="n">
        <v>152543</v>
      </c>
      <c r="J44" s="5" t="n">
        <v>87082</v>
      </c>
      <c r="K44" s="5" t="n">
        <v>112321</v>
      </c>
      <c r="L44" s="5" t="n">
        <v>39287</v>
      </c>
    </row>
    <row r="45">
      <c r="A45" s="5" t="inlineStr">
        <is>
          <t>Net Increase in Cash and Balances at Central Banks</t>
        </is>
      </c>
      <c r="B45" s="5" t="n"/>
      <c r="C45" s="5" t="n"/>
      <c r="D45" s="5" t="n"/>
      <c r="E45" s="5" t="n"/>
      <c r="F45" s="5" t="n">
        <v>1136770</v>
      </c>
      <c r="G45" s="5" t="n">
        <v>46912</v>
      </c>
      <c r="H45" s="5" t="n">
        <v>44762</v>
      </c>
      <c r="I45" s="5" t="n">
        <v>-139156</v>
      </c>
      <c r="J45" s="5" t="n">
        <v>-64496</v>
      </c>
      <c r="K45" s="5" t="n">
        <v>421565</v>
      </c>
      <c r="L45" s="5" t="n">
        <v>2058</v>
      </c>
    </row>
    <row r="46">
      <c r="A46" s="6" t="inlineStr">
        <is>
          <t>Cash and balances at central banks at beginning of year</t>
        </is>
      </c>
      <c r="B46" s="6" t="n"/>
      <c r="C46" s="6" t="n"/>
      <c r="D46" s="6" t="n"/>
      <c r="E46" s="6" t="n"/>
      <c r="F46" s="6" t="n">
        <v>316826</v>
      </c>
      <c r="G46" s="6" t="n">
        <v>269915</v>
      </c>
      <c r="H46" s="6" t="n">
        <v>225153</v>
      </c>
      <c r="I46" s="6" t="n">
        <v>364309</v>
      </c>
      <c r="J46" s="6" t="n">
        <v>428805</v>
      </c>
      <c r="K46" s="6" t="n">
        <v>7240</v>
      </c>
      <c r="L46" s="6" t="n">
        <v>5182</v>
      </c>
    </row>
    <row r="47">
      <c r="A47" s="5" t="inlineStr">
        <is>
          <t>Cash and Balances at Central Banks at the End of the Year</t>
        </is>
      </c>
      <c r="B47" s="5" t="n"/>
      <c r="C47" s="5" t="n"/>
      <c r="D47" s="5" t="n"/>
      <c r="E47" s="5" t="n"/>
      <c r="F47" s="5" t="n">
        <v>1453596</v>
      </c>
      <c r="G47" s="5" t="n">
        <v>316827</v>
      </c>
      <c r="H47" s="5" t="n">
        <v>269915</v>
      </c>
      <c r="I47" s="5" t="n">
        <v>225153</v>
      </c>
      <c r="J47" s="5" t="n">
        <v>364309</v>
      </c>
      <c r="K47" s="5" t="n">
        <v>428805</v>
      </c>
      <c r="L47" s="5" t="n">
        <v>7240</v>
      </c>
    </row>
    <row r="49" ht="280" customHeight="1">
      <c r="A49"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49:L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Asset Quality / Credit Risk Disclosures</t>
        </is>
      </c>
    </row>
    <row r="2">
      <c r="A2" s="2" t="inlineStr">
        <is>
          <t>Bank basis, £'000 (ratios as stated/calculated)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Gross carrying amount by product</t>
        </is>
      </c>
      <c r="B4" s="6" t="n"/>
      <c r="C4" s="6" t="n"/>
      <c r="D4" s="6" t="n"/>
      <c r="E4" s="6" t="n"/>
      <c r="F4" s="6" t="n"/>
      <c r="G4" s="6" t="n"/>
      <c r="H4" s="6" t="n"/>
      <c r="I4" s="6" t="n"/>
      <c r="J4" s="6" t="n"/>
      <c r="K4" s="6" t="n"/>
      <c r="L4" s="6" t="n"/>
    </row>
    <row r="5">
      <c r="A5" s="6" t="inlineStr">
        <is>
          <t>Mortgages</t>
        </is>
      </c>
      <c r="B5" s="6" t="n">
        <v>4597900</v>
      </c>
      <c r="C5" s="6" t="n">
        <v>4251500</v>
      </c>
      <c r="D5" s="6" t="n">
        <v>3242600</v>
      </c>
      <c r="E5" s="6" t="n">
        <v>2148481</v>
      </c>
      <c r="F5" s="6" t="n">
        <v>1487122</v>
      </c>
      <c r="G5" s="6" t="n">
        <v>976553</v>
      </c>
      <c r="H5" s="6" t="n">
        <v>1711375</v>
      </c>
      <c r="I5" s="6" t="n">
        <v>2194159</v>
      </c>
      <c r="J5" s="6" t="n">
        <v>1063880</v>
      </c>
      <c r="K5" s="6" t="n">
        <v>26627</v>
      </c>
      <c r="L5" s="6" t="n"/>
    </row>
    <row r="6">
      <c r="A6" s="6" t="inlineStr">
        <is>
          <t>BBSL (secured business lending)</t>
        </is>
      </c>
      <c r="B6" s="6" t="n">
        <v>1074700</v>
      </c>
      <c r="C6" s="6" t="n">
        <v>838700</v>
      </c>
      <c r="D6" s="6" t="n">
        <v>607900</v>
      </c>
      <c r="E6" s="6" t="n">
        <v>511831</v>
      </c>
      <c r="F6" s="6" t="n">
        <v>497305</v>
      </c>
      <c r="G6" s="6" t="n">
        <v>351978</v>
      </c>
      <c r="H6" s="6" t="n">
        <v>239953</v>
      </c>
      <c r="I6" s="6" t="n">
        <v>182526</v>
      </c>
      <c r="J6" s="6" t="n">
        <v>138391</v>
      </c>
      <c r="K6" s="6" t="n">
        <v>32880</v>
      </c>
      <c r="L6" s="6" t="n"/>
    </row>
    <row r="7">
      <c r="A7" s="6" t="inlineStr">
        <is>
          <t>BBUL (unsecured business lending)</t>
        </is>
      </c>
      <c r="B7" s="6" t="n">
        <v>188800</v>
      </c>
      <c r="C7" s="6" t="n">
        <v>256600</v>
      </c>
      <c r="D7" s="6" t="n">
        <v>307300</v>
      </c>
      <c r="E7" s="6" t="n">
        <v>389427</v>
      </c>
      <c r="F7" s="6" t="n">
        <v>439465</v>
      </c>
      <c r="G7" s="6" t="n">
        <v>310158</v>
      </c>
      <c r="H7" s="6" t="n"/>
      <c r="I7" s="6" t="n"/>
      <c r="J7" s="6" t="n"/>
      <c r="K7" s="6" t="n"/>
      <c r="L7" s="6" t="n"/>
    </row>
    <row r="8">
      <c r="A8" s="6" t="inlineStr">
        <is>
          <t>Structured/Unsecured funding loan note (FY2017-FY2019 predecessor product, matured by FY2020)</t>
        </is>
      </c>
      <c r="B8" s="6" t="n"/>
      <c r="C8" s="6" t="n"/>
      <c r="D8" s="6" t="n"/>
      <c r="E8" s="6" t="n"/>
      <c r="F8" s="6" t="n"/>
      <c r="G8" s="6" t="n"/>
      <c r="H8" s="6" t="n"/>
      <c r="I8" s="6" t="n">
        <v>6967</v>
      </c>
      <c r="J8" s="6" t="n">
        <v>20743</v>
      </c>
      <c r="K8" s="6" t="n">
        <v>39865</v>
      </c>
      <c r="L8" s="6" t="n"/>
    </row>
    <row r="9">
      <c r="A9" s="5" t="inlineStr">
        <is>
          <t>Total gross carrying amount</t>
        </is>
      </c>
      <c r="B9" s="5" t="n">
        <v>5861400</v>
      </c>
      <c r="C9" s="5" t="n">
        <v>5346800</v>
      </c>
      <c r="D9" s="5" t="n">
        <v>4157800</v>
      </c>
      <c r="E9" s="5" t="n">
        <v>3049739</v>
      </c>
      <c r="F9" s="5" t="n">
        <v>2423892</v>
      </c>
      <c r="G9" s="5" t="n">
        <v>1638689</v>
      </c>
      <c r="H9" s="5" t="n">
        <v>1951328</v>
      </c>
      <c r="I9" s="5" t="n">
        <v>2383652</v>
      </c>
      <c r="J9" s="5" t="n">
        <v>1223014</v>
      </c>
      <c r="K9" s="5" t="n">
        <v>99372</v>
      </c>
      <c r="L9" s="5" t="n"/>
    </row>
    <row r="10">
      <c r="A10" s="5" t="inlineStr">
        <is>
          <t>Gross carrying amount by IFRS 9 stage</t>
        </is>
      </c>
      <c r="B10" s="6" t="n"/>
      <c r="C10" s="6" t="n"/>
      <c r="D10" s="6" t="n"/>
      <c r="E10" s="6" t="n"/>
      <c r="F10" s="6" t="n"/>
      <c r="G10" s="6" t="n"/>
      <c r="H10" s="6" t="n"/>
      <c r="I10" s="6" t="n"/>
      <c r="J10" s="6" t="n"/>
      <c r="K10" s="6" t="n"/>
      <c r="L10" s="6" t="n"/>
    </row>
    <row r="11">
      <c r="A11" s="6" t="inlineStr">
        <is>
          <t>Stage 1: 12 month expected loss</t>
        </is>
      </c>
      <c r="B11" s="6" t="n">
        <v>5509300</v>
      </c>
      <c r="C11" s="6" t="n">
        <v>5004400</v>
      </c>
      <c r="D11" s="6" t="n">
        <v>3881700</v>
      </c>
      <c r="E11" s="6" t="n">
        <v>2819585</v>
      </c>
      <c r="F11" s="6" t="n">
        <v>1970916</v>
      </c>
      <c r="G11" s="6" t="n">
        <v>1513908</v>
      </c>
      <c r="H11" s="6" t="n">
        <v>1782301</v>
      </c>
      <c r="I11" s="6" t="n">
        <v>2328035</v>
      </c>
      <c r="J11" s="6" t="n">
        <v>1191973</v>
      </c>
      <c r="K11" s="6" t="n">
        <v>99372</v>
      </c>
      <c r="L11" s="6" t="n"/>
    </row>
    <row r="12">
      <c r="A12" s="6" t="inlineStr">
        <is>
          <t>Stage 2: Lifetime - loans not credit impaired</t>
        </is>
      </c>
      <c r="B12" s="6" t="n">
        <v>280400</v>
      </c>
      <c r="C12" s="6" t="n">
        <v>292200</v>
      </c>
      <c r="D12" s="6" t="n">
        <v>239900</v>
      </c>
      <c r="E12" s="6" t="n">
        <v>195537</v>
      </c>
      <c r="F12" s="6" t="n">
        <v>428042</v>
      </c>
      <c r="G12" s="6" t="n">
        <v>117989</v>
      </c>
      <c r="H12" s="6" t="n">
        <v>164024</v>
      </c>
      <c r="I12" s="6" t="n">
        <v>51079</v>
      </c>
      <c r="J12" s="6" t="n">
        <v>31040</v>
      </c>
      <c r="K12" s="6" t="n"/>
      <c r="L12" s="6" t="n"/>
    </row>
    <row r="13">
      <c r="A13" s="6" t="inlineStr">
        <is>
          <t>Stage 3: Lifetime - credit impaired loans</t>
        </is>
      </c>
      <c r="B13" s="6" t="n">
        <v>71700</v>
      </c>
      <c r="C13" s="6" t="n">
        <v>50200</v>
      </c>
      <c r="D13" s="6" t="n">
        <v>36200</v>
      </c>
      <c r="E13" s="6" t="n">
        <v>34617</v>
      </c>
      <c r="F13" s="6" t="n">
        <v>24934</v>
      </c>
      <c r="G13" s="6" t="n">
        <v>6792</v>
      </c>
      <c r="H13" s="6" t="n">
        <v>5003</v>
      </c>
      <c r="I13" s="6" t="n">
        <v>4538</v>
      </c>
      <c r="J13" s="6" t="n"/>
      <c r="K13" s="6" t="n"/>
      <c r="L13" s="6" t="n"/>
    </row>
    <row r="14">
      <c r="A14" s="5" t="inlineStr">
        <is>
          <t>Total gross carrying amount (by stage)</t>
        </is>
      </c>
      <c r="B14" s="5" t="n">
        <v>5861400</v>
      </c>
      <c r="C14" s="5" t="n">
        <v>5346800</v>
      </c>
      <c r="D14" s="5" t="n">
        <v>4157800</v>
      </c>
      <c r="E14" s="5" t="n">
        <v>3049739</v>
      </c>
      <c r="F14" s="5" t="n">
        <v>2423892</v>
      </c>
      <c r="G14" s="5" t="n">
        <v>1638689</v>
      </c>
      <c r="H14" s="5" t="n">
        <v>1951328</v>
      </c>
      <c r="I14" s="5" t="n">
        <v>2383652</v>
      </c>
      <c r="J14" s="5" t="n">
        <v>1223014</v>
      </c>
      <c r="K14" s="5" t="n">
        <v>99372</v>
      </c>
      <c r="L14" s="5" t="n"/>
    </row>
    <row r="15">
      <c r="A15" s="5" t="inlineStr">
        <is>
          <t>Fair value / effective interest rate adjustments (pre-FY2021 presentation only)</t>
        </is>
      </c>
      <c r="B15" s="6" t="n"/>
      <c r="C15" s="6" t="n"/>
      <c r="D15" s="6" t="n"/>
      <c r="E15" s="6" t="n"/>
      <c r="F15" s="6" t="n"/>
      <c r="G15" s="6" t="n"/>
      <c r="H15" s="6" t="n"/>
      <c r="I15" s="6" t="n"/>
      <c r="J15" s="6" t="n"/>
      <c r="K15" s="6" t="n"/>
      <c r="L15" s="6" t="n"/>
    </row>
    <row r="16">
      <c r="A16" s="6" t="inlineStr">
        <is>
          <t>Fair value adjustment</t>
        </is>
      </c>
      <c r="B16" s="6" t="n"/>
      <c r="C16" s="6" t="n"/>
      <c r="D16" s="6" t="n"/>
      <c r="E16" s="6" t="n"/>
      <c r="F16" s="6" t="n"/>
      <c r="G16" s="6" t="n"/>
      <c r="H16" s="6" t="n">
        <v>21254</v>
      </c>
      <c r="I16" s="6" t="n">
        <v>10300</v>
      </c>
      <c r="J16" s="6" t="n">
        <v>-6714</v>
      </c>
      <c r="K16" s="6" t="n"/>
      <c r="L16" s="6" t="n"/>
    </row>
    <row r="17">
      <c r="A17" s="6" t="inlineStr">
        <is>
          <t>Effective interest rate adjustment</t>
        </is>
      </c>
      <c r="B17" s="6" t="n"/>
      <c r="C17" s="6" t="n"/>
      <c r="D17" s="6" t="n"/>
      <c r="E17" s="6" t="n"/>
      <c r="F17" s="6" t="n"/>
      <c r="G17" s="6" t="n"/>
      <c r="H17" s="6" t="n">
        <v>4913</v>
      </c>
      <c r="I17" s="6" t="n">
        <v>7265</v>
      </c>
      <c r="J17" s="6" t="n">
        <v>3448</v>
      </c>
      <c r="K17" s="6" t="n"/>
      <c r="L17" s="6" t="n"/>
    </row>
    <row r="18">
      <c r="A18" s="5" t="inlineStr">
        <is>
          <t>Total gross carrying amount including valuation adjustments</t>
        </is>
      </c>
      <c r="B18" s="5" t="n"/>
      <c r="C18" s="5" t="n"/>
      <c r="D18" s="5" t="n"/>
      <c r="E18" s="5" t="n"/>
      <c r="F18" s="5" t="n"/>
      <c r="G18" s="5" t="n"/>
      <c r="H18" s="5" t="n">
        <v>1977495</v>
      </c>
      <c r="I18" s="5" t="n">
        <v>2401217</v>
      </c>
      <c r="J18" s="5" t="n">
        <v>1219748</v>
      </c>
      <c r="K18" s="5" t="n">
        <v>99372</v>
      </c>
      <c r="L18" s="5" t="n"/>
    </row>
    <row r="19">
      <c r="A19" s="5" t="inlineStr">
        <is>
          <t>Expected credit loss provision</t>
        </is>
      </c>
      <c r="B19" s="6" t="n"/>
      <c r="C19" s="6" t="n"/>
      <c r="D19" s="6" t="n"/>
      <c r="E19" s="6" t="n"/>
      <c r="F19" s="6" t="n"/>
      <c r="G19" s="6" t="n"/>
      <c r="H19" s="6" t="n"/>
      <c r="I19" s="6" t="n"/>
      <c r="J19" s="6" t="n"/>
      <c r="K19" s="6" t="n"/>
      <c r="L19" s="6" t="n"/>
    </row>
    <row r="20">
      <c r="A20" s="6" t="inlineStr">
        <is>
          <t>Mortgages</t>
        </is>
      </c>
      <c r="B20" s="6" t="n">
        <v>7800</v>
      </c>
      <c r="C20" s="6" t="n">
        <v>5900</v>
      </c>
      <c r="D20" s="6" t="n">
        <v>5100</v>
      </c>
      <c r="E20" s="6" t="n">
        <v>3618</v>
      </c>
      <c r="F20" s="6" t="n">
        <v>1257</v>
      </c>
      <c r="G20" s="6" t="n">
        <v>577</v>
      </c>
      <c r="H20" s="6" t="n">
        <v>1891</v>
      </c>
      <c r="I20" s="6" t="n">
        <v>849</v>
      </c>
      <c r="J20" s="6" t="n">
        <v>299</v>
      </c>
      <c r="K20" s="6" t="n">
        <v>7</v>
      </c>
      <c r="L20" s="6" t="n"/>
    </row>
    <row r="21">
      <c r="A21" s="6" t="inlineStr">
        <is>
          <t>BBSL</t>
        </is>
      </c>
      <c r="B21" s="6" t="n">
        <v>2800</v>
      </c>
      <c r="C21" s="6" t="n">
        <v>3300</v>
      </c>
      <c r="D21" s="6" t="n">
        <v>3000</v>
      </c>
      <c r="E21" s="6" t="n">
        <v>2678</v>
      </c>
      <c r="F21" s="6" t="n">
        <v>2479</v>
      </c>
      <c r="G21" s="6" t="n">
        <v>4076</v>
      </c>
      <c r="H21" s="6" t="n">
        <v>3649</v>
      </c>
      <c r="I21" s="6" t="n">
        <v>279</v>
      </c>
      <c r="J21" s="6" t="n">
        <v>93</v>
      </c>
      <c r="K21" s="6" t="n">
        <v>156</v>
      </c>
      <c r="L21" s="6" t="n"/>
    </row>
    <row r="22">
      <c r="A22" s="6" t="inlineStr">
        <is>
          <t>BBUL</t>
        </is>
      </c>
      <c r="B22" s="6" t="n">
        <v>9600</v>
      </c>
      <c r="C22" s="6" t="n">
        <v>9200</v>
      </c>
      <c r="D22" s="6" t="n">
        <v>11900</v>
      </c>
      <c r="E22" s="6" t="n">
        <v>10042</v>
      </c>
      <c r="F22" s="6" t="n">
        <v>5751</v>
      </c>
      <c r="G22" s="6" t="n">
        <v>5086</v>
      </c>
      <c r="H22" s="6" t="n"/>
      <c r="I22" s="6" t="n"/>
      <c r="J22" s="6" t="n"/>
      <c r="K22" s="6" t="n"/>
      <c r="L22" s="6" t="n"/>
    </row>
    <row r="23">
      <c r="A23" s="6" t="inlineStr">
        <is>
          <t>Structured/Unsecured funding loan note</t>
        </is>
      </c>
      <c r="B23" s="6" t="n"/>
      <c r="C23" s="6" t="n"/>
      <c r="D23" s="6" t="n"/>
      <c r="E23" s="6" t="n"/>
      <c r="F23" s="6" t="n"/>
      <c r="G23" s="6" t="n"/>
      <c r="H23" s="6" t="n"/>
      <c r="I23" s="6" t="n">
        <v>0</v>
      </c>
      <c r="J23" s="6" t="n">
        <v>0</v>
      </c>
      <c r="K23" s="6" t="n">
        <v>0</v>
      </c>
      <c r="L23" s="6" t="n"/>
    </row>
    <row r="24">
      <c r="A24" s="5" t="inlineStr">
        <is>
          <t>Total provision for on balance sheet impairment losses</t>
        </is>
      </c>
      <c r="B24" s="5" t="n">
        <v>20200</v>
      </c>
      <c r="C24" s="5" t="n">
        <v>18400</v>
      </c>
      <c r="D24" s="5" t="n">
        <v>20000</v>
      </c>
      <c r="E24" s="5" t="n">
        <v>16338</v>
      </c>
      <c r="F24" s="5" t="n">
        <v>9487</v>
      </c>
      <c r="G24" s="5" t="n">
        <v>9739</v>
      </c>
      <c r="H24" s="5" t="n">
        <v>6677</v>
      </c>
      <c r="I24" s="5" t="n">
        <v>1356</v>
      </c>
      <c r="J24" s="5" t="n">
        <v>392</v>
      </c>
      <c r="K24" s="5" t="n">
        <v>163</v>
      </c>
      <c r="L24" s="5" t="n"/>
    </row>
    <row r="25">
      <c r="A25" s="5" t="inlineStr">
        <is>
          <t>Net balance sheet carrying value by product</t>
        </is>
      </c>
      <c r="B25" s="6" t="n"/>
      <c r="C25" s="6" t="n"/>
      <c r="D25" s="6" t="n"/>
      <c r="E25" s="6" t="n"/>
      <c r="F25" s="6" t="n"/>
      <c r="G25" s="6" t="n"/>
      <c r="H25" s="6" t="n"/>
      <c r="I25" s="6" t="n"/>
      <c r="J25" s="6" t="n"/>
      <c r="K25" s="6" t="n"/>
      <c r="L25" s="6" t="n"/>
    </row>
    <row r="26">
      <c r="A26" s="6" t="inlineStr">
        <is>
          <t>Mortgages</t>
        </is>
      </c>
      <c r="B26" s="6" t="n">
        <v>4558600</v>
      </c>
      <c r="C26" s="6" t="n">
        <v>4219800</v>
      </c>
      <c r="D26" s="6" t="n">
        <v>3200400</v>
      </c>
      <c r="E26" s="6" t="n">
        <v>2070110</v>
      </c>
      <c r="F26" s="6" t="n">
        <v>1455268</v>
      </c>
      <c r="G26" s="6" t="n">
        <v>985758</v>
      </c>
      <c r="H26" s="6" t="n">
        <v>1736335</v>
      </c>
      <c r="I26" s="6" t="n">
        <v>2210717</v>
      </c>
      <c r="J26" s="6" t="n">
        <v>1060245</v>
      </c>
      <c r="K26" s="6" t="n">
        <v>26620</v>
      </c>
      <c r="L26" s="6" t="n"/>
    </row>
    <row r="27">
      <c r="A27" s="6" t="inlineStr">
        <is>
          <t>BBSL</t>
        </is>
      </c>
      <c r="B27" s="6" t="n">
        <v>1069600</v>
      </c>
      <c r="C27" s="6" t="n">
        <v>834300</v>
      </c>
      <c r="D27" s="6" t="n">
        <v>604900</v>
      </c>
      <c r="E27" s="6" t="n">
        <v>509153</v>
      </c>
      <c r="F27" s="6" t="n">
        <v>494826</v>
      </c>
      <c r="G27" s="6" t="n">
        <v>347902</v>
      </c>
      <c r="H27" s="6" t="n">
        <v>234483</v>
      </c>
      <c r="I27" s="6" t="n">
        <v>182176</v>
      </c>
      <c r="J27" s="6" t="n">
        <v>138354</v>
      </c>
      <c r="K27" s="6" t="n">
        <v>32724</v>
      </c>
      <c r="L27" s="6" t="n"/>
    </row>
    <row r="28">
      <c r="A28" s="6" t="inlineStr">
        <is>
          <t>BBUL</t>
        </is>
      </c>
      <c r="B28" s="6" t="n">
        <v>179300</v>
      </c>
      <c r="C28" s="6" t="n">
        <v>247400</v>
      </c>
      <c r="D28" s="6" t="n">
        <v>295600</v>
      </c>
      <c r="E28" s="6" t="n">
        <v>379506</v>
      </c>
      <c r="F28" s="6" t="n">
        <v>433972</v>
      </c>
      <c r="G28" s="6" t="n">
        <v>305191</v>
      </c>
      <c r="H28" s="6" t="n"/>
      <c r="I28" s="6" t="n"/>
      <c r="J28" s="6" t="n"/>
      <c r="K28" s="6" t="n"/>
      <c r="L28" s="6" t="n"/>
    </row>
    <row r="29">
      <c r="A29" s="6" t="inlineStr">
        <is>
          <t>Structured/Unsecured funding loan note</t>
        </is>
      </c>
      <c r="B29" s="6" t="n"/>
      <c r="C29" s="6" t="n"/>
      <c r="D29" s="6" t="n"/>
      <c r="E29" s="6" t="n"/>
      <c r="F29" s="6" t="n"/>
      <c r="G29" s="6" t="n"/>
      <c r="H29" s="6" t="n"/>
      <c r="I29" s="6" t="n">
        <v>6968</v>
      </c>
      <c r="J29" s="6" t="n">
        <v>20757</v>
      </c>
      <c r="K29" s="6" t="n">
        <v>39865</v>
      </c>
      <c r="L29" s="6" t="n"/>
    </row>
    <row r="30">
      <c r="A30" s="5" t="inlineStr">
        <is>
          <t>Net balance sheet carrying value</t>
        </is>
      </c>
      <c r="B30" s="5" t="n">
        <v>5807500</v>
      </c>
      <c r="C30" s="5" t="n">
        <v>5301500</v>
      </c>
      <c r="D30" s="5" t="n">
        <v>4100900</v>
      </c>
      <c r="E30" s="5" t="n">
        <v>2958769</v>
      </c>
      <c r="F30" s="5" t="n">
        <v>2384066</v>
      </c>
      <c r="G30" s="5" t="n">
        <v>1638851</v>
      </c>
      <c r="H30" s="5" t="n">
        <v>1970818</v>
      </c>
      <c r="I30" s="5" t="n">
        <v>2399861</v>
      </c>
      <c r="J30" s="5" t="n">
        <v>1219356</v>
      </c>
      <c r="K30" s="5" t="n">
        <v>99209</v>
      </c>
      <c r="L30" s="5" t="n"/>
    </row>
    <row r="31">
      <c r="A31" s="5" t="inlineStr">
        <is>
          <t>Asset quality ratios</t>
        </is>
      </c>
      <c r="B31" s="6" t="n"/>
      <c r="C31" s="6" t="n"/>
      <c r="D31" s="6" t="n"/>
      <c r="E31" s="6" t="n"/>
      <c r="F31" s="6" t="n"/>
      <c r="G31" s="6" t="n"/>
      <c r="H31" s="6" t="n"/>
      <c r="I31" s="6" t="n"/>
      <c r="J31" s="6" t="n"/>
      <c r="K31" s="6" t="n"/>
      <c r="L31" s="6" t="n"/>
    </row>
    <row r="32">
      <c r="A32" s="6" t="inlineStr">
        <is>
          <t>Total coverage ratio (ECL provision / gross carrying amount)</t>
        </is>
      </c>
      <c r="B32" s="6" t="inlineStr">
        <is>
          <t>0.33%</t>
        </is>
      </c>
      <c r="C32" s="6" t="inlineStr">
        <is>
          <t>0.33%</t>
        </is>
      </c>
      <c r="D32" s="6" t="inlineStr">
        <is>
          <t>0.44%</t>
        </is>
      </c>
      <c r="E32" s="6" t="inlineStr">
        <is>
          <t>0.48%</t>
        </is>
      </c>
      <c r="F32" s="6" t="inlineStr">
        <is>
          <t>0.36%</t>
        </is>
      </c>
      <c r="G32" s="6" t="inlineStr">
        <is>
          <t>0.53%</t>
        </is>
      </c>
      <c r="H32" s="6" t="inlineStr">
        <is>
          <t>0.34%</t>
        </is>
      </c>
      <c r="I32" s="6" t="inlineStr">
        <is>
          <t>0.06%</t>
        </is>
      </c>
      <c r="J32" s="6" t="inlineStr">
        <is>
          <t>0.03%</t>
        </is>
      </c>
      <c r="K32" s="6" t="inlineStr">
        <is>
          <t>0.16%</t>
        </is>
      </c>
      <c r="L32" s="6" t="n"/>
    </row>
    <row r="33">
      <c r="A33" s="6" t="inlineStr">
        <is>
          <t>Stage 3 / NPL ratio (Stage 3 gross / total gross carrying amount)</t>
        </is>
      </c>
      <c r="B33" s="6" t="inlineStr">
        <is>
          <t>1.22%</t>
        </is>
      </c>
      <c r="C33" s="6" t="inlineStr">
        <is>
          <t>0.94%</t>
        </is>
      </c>
      <c r="D33" s="6" t="inlineStr">
        <is>
          <t>0.87%</t>
        </is>
      </c>
      <c r="E33" s="6" t="inlineStr">
        <is>
          <t>1.14%</t>
        </is>
      </c>
      <c r="F33" s="6" t="inlineStr">
        <is>
          <t>1.03%</t>
        </is>
      </c>
      <c r="G33" s="6" t="inlineStr">
        <is>
          <t>0.41%</t>
        </is>
      </c>
      <c r="H33" s="6" t="inlineStr">
        <is>
          <t>0.26%</t>
        </is>
      </c>
      <c r="I33" s="6" t="inlineStr">
        <is>
          <t>0.19%</t>
        </is>
      </c>
      <c r="J33" s="6" t="inlineStr">
        <is>
          <t>0.00%</t>
        </is>
      </c>
      <c r="K33" s="6" t="inlineStr">
        <is>
          <t>0.00%</t>
        </is>
      </c>
      <c r="L33" s="6" t="n"/>
    </row>
    <row r="34">
      <c r="A34" s="6" t="inlineStr">
        <is>
          <t>Stage 3 coverage ratio (Stage 3 ECL provision / Stage 3 gross)</t>
        </is>
      </c>
      <c r="B34" s="6" t="inlineStr">
        <is>
          <t>10.46%</t>
        </is>
      </c>
      <c r="C34" s="6" t="inlineStr">
        <is>
          <t>13.55%</t>
        </is>
      </c>
      <c r="D34" s="6" t="inlineStr">
        <is>
          <t>17.96%</t>
        </is>
      </c>
      <c r="E34" s="6" t="inlineStr">
        <is>
          <t>11.47%</t>
        </is>
      </c>
      <c r="F34" s="6" t="inlineStr">
        <is>
          <t>11.37%</t>
        </is>
      </c>
      <c r="G34" s="6" t="inlineStr">
        <is>
          <t>17.90%</t>
        </is>
      </c>
      <c r="H34" s="6" t="n"/>
      <c r="I34" s="6" t="n"/>
      <c r="J34" s="6" t="n"/>
      <c r="K34" s="6" t="n"/>
      <c r="L34" s="6" t="n"/>
    </row>
    <row r="36" ht="260" customHeight="1">
      <c r="A36" s="8" t="inlineStr">
        <is>
          <t>Sources - Note 'Loans and advances to customers', Bank/Group basis (Atom's retail lending is on a single Bank basis for this note in every year, unlike the primary statements), £'000:
FY2026: Atom bank plc Annual Report FY26 (full accounts made up to 31 March 2026, filed 25 Aug 2026), p.72 (Note 9, Loans and advances to customers) - https://find-and-update.company-information.service.gov.uk/company/08632552/filing-history/MzU0MDgxMjIwMGFkaXF6a2N4/document?format=pdf&amp;download=0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FY2026 NOTES. The FY2026 filing is an image-only scan, so Note 9 was read by eye from a 300/150 dpi render rather than extracted as text. Two independent checks passed on that reading: the net carrying value it gives (4,558.6 + 1,069.6 + 179.3 = 5,807.5) equals the Statement of financial position's own 'Loans and advances to customers' on p.58, and the same table's FY2025 comparative column reproduces THIS WORKBOOK'S existing FY2025 column exactly (5,004.4 / 292.2 / 50.2 gross by stage; 5.9 / 3.3 / 9.2 provision by product; 5,301.5 net) - transcribed here a year earlier from a different document.
RATIOS: 'Total coverage ratio' 0.33% for FY2026 is PRINTED in Note 9 (as are the per-product 0.16% / 0.24% / 5.08%), not calculated here. The 'Stage 3 / NPL ratio' and 'Stage 3 coverage ratio' rows are NOT printed by the bank in any year and are computed on this sheet's own long-standing stated formulas - FY2026: 71,700 / 5,861,400 = 1.22%, and 7,500 / 71,700 = 10.46%, where 7,500 is Note 9's own Stage 3 line of the expected credit loss provision (3.4/1.9/2.5 by stage for mortgages etc. summing to 7.4 / 5.3 / 7.5 across the three products).
KNOWN GAP, RECORDED RATHER THAN HALF-FIXED: Note 9 also prints a fair value adjustment of £(25.0)m and an effective interest rate adjustment of £(8.7)m for FY2026 (and £(19.8)m / £(7.1)m for FY2025), which would belong in the 'Fair value / effective interest rate adjustments' block above. That block is captioned 'pre-FY2021 presentation only' and is blank for FY2021-FY2025, so filling FY2026 alone would create a one-year island and imply those adjustments did not exist in between, when in fact they were simply not carried. FY2026 is therefore left blank to match, and the whole block is flagged for a follow-up ticket to back-fill FY2021-FY2026 consistently from each year's own filing.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KM1 Key Metrics</t>
        </is>
      </c>
    </row>
    <row r="2">
      <c r="A2" s="2" t="inlineStr">
        <is>
          <t>Bank column, as published each year - amounts in two blocks because the source unit changes (£'000 to FY2023, £m from FY2024). FY2022-FY2026 come from each year's own edition; FY2021 is the FY2022 edition's comparative column, because Atom's own FY2021 edition prints no template at all. See the source note, which also records a correction to rows UK 16a/UK 16b for FY2022.</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(£m)</t>
        </is>
      </c>
      <c r="B5" s="6" t="n">
        <v>365.2</v>
      </c>
      <c r="C5" s="6" t="n">
        <v>356.4</v>
      </c>
      <c r="D5" s="6" t="n">
        <v>347.3</v>
      </c>
      <c r="E5" s="6" t="n"/>
      <c r="F5" s="6" t="n"/>
      <c r="G5" s="6" t="n"/>
    </row>
    <row r="6">
      <c r="A6" s="6" t="inlineStr">
        <is>
          <t>1  Common Equity Tier 1 (CET1) capital (£'000)</t>
        </is>
      </c>
      <c r="B6" s="6" t="n"/>
      <c r="C6" s="6" t="n"/>
      <c r="D6" s="6" t="n"/>
      <c r="E6" s="6" t="n">
        <v>241213</v>
      </c>
      <c r="F6" s="6" t="n">
        <v>217158</v>
      </c>
      <c r="G6" s="6" t="n">
        <v>114012</v>
      </c>
    </row>
    <row r="7">
      <c r="A7" s="6" t="inlineStr">
        <is>
          <t>2  Tier 1 capital (£m)</t>
        </is>
      </c>
      <c r="B7" s="6" t="n">
        <v>414.3</v>
      </c>
      <c r="C7" s="6" t="n">
        <v>356.4</v>
      </c>
      <c r="D7" s="6" t="n">
        <v>347.3</v>
      </c>
      <c r="E7" s="6" t="n"/>
      <c r="F7" s="6" t="n"/>
      <c r="G7" s="6" t="n"/>
    </row>
    <row r="8">
      <c r="A8" s="6" t="inlineStr">
        <is>
          <t>2  Tier 1 capital (£'000)</t>
        </is>
      </c>
      <c r="B8" s="6" t="n"/>
      <c r="C8" s="6" t="n"/>
      <c r="D8" s="6" t="n"/>
      <c r="E8" s="6" t="n">
        <v>241213</v>
      </c>
      <c r="F8" s="6" t="n">
        <v>217158</v>
      </c>
      <c r="G8" s="6" t="n">
        <v>114012</v>
      </c>
    </row>
    <row r="9">
      <c r="A9" s="6" t="inlineStr">
        <is>
          <t>3  Total capital (£m)</t>
        </is>
      </c>
      <c r="B9" s="6" t="n">
        <v>463.2</v>
      </c>
      <c r="C9" s="6" t="n">
        <v>406.4</v>
      </c>
      <c r="D9" s="6" t="n">
        <v>347.3</v>
      </c>
      <c r="E9" s="6" t="n"/>
      <c r="F9" s="6" t="n"/>
      <c r="G9" s="6" t="n"/>
    </row>
    <row r="10">
      <c r="A10" s="6" t="inlineStr">
        <is>
          <t>3  Total capital (£'000)</t>
        </is>
      </c>
      <c r="B10" s="6" t="n"/>
      <c r="C10" s="6" t="n"/>
      <c r="D10" s="6" t="n"/>
      <c r="E10" s="6" t="n">
        <v>248418</v>
      </c>
      <c r="F10" s="6" t="n">
        <v>225151</v>
      </c>
      <c r="G10" s="6" t="n">
        <v>121990</v>
      </c>
    </row>
    <row r="11">
      <c r="A11" s="5" t="inlineStr">
        <is>
          <t>RISK-WEIGHTED EXPOSURE AMOUNTS</t>
        </is>
      </c>
      <c r="B11" s="6" t="n"/>
      <c r="C11" s="6" t="n"/>
      <c r="D11" s="6" t="n"/>
      <c r="E11" s="6" t="n"/>
      <c r="F11" s="6" t="n"/>
      <c r="G11" s="6" t="n"/>
    </row>
    <row r="12">
      <c r="A12" s="6" t="inlineStr">
        <is>
          <t>4  Total risk-weighted exposure amount (£m)</t>
        </is>
      </c>
      <c r="B12" s="6" t="n">
        <v>2728.8</v>
      </c>
      <c r="C12" s="6" t="n">
        <v>2379.3</v>
      </c>
      <c r="D12" s="6" t="n">
        <v>1828</v>
      </c>
      <c r="E12" s="6" t="n"/>
      <c r="F12" s="6" t="n"/>
      <c r="G12" s="6" t="n"/>
    </row>
    <row r="13">
      <c r="A13" s="6" t="inlineStr">
        <is>
          <t>4  Total risk-weighted exposure amount (£'000)</t>
        </is>
      </c>
      <c r="B13" s="6" t="n"/>
      <c r="C13" s="6" t="n"/>
      <c r="D13" s="6" t="n"/>
      <c r="E13" s="6" t="n">
        <v>1271669</v>
      </c>
      <c r="F13" s="6" t="n">
        <v>1043001</v>
      </c>
      <c r="G13" s="6" t="n">
        <v>743296</v>
      </c>
    </row>
    <row r="14">
      <c r="A14" s="5" t="inlineStr">
        <is>
          <t>CAPITAL RATIOS (AS A PERCENTAGE OF RISK-WEIGHTED EXPOSURE AMOUNT)</t>
        </is>
      </c>
      <c r="B14" s="6" t="n"/>
      <c r="C14" s="6" t="n"/>
      <c r="D14" s="6" t="n"/>
      <c r="E14" s="6" t="n"/>
      <c r="F14" s="6" t="n"/>
      <c r="G14" s="6" t="n"/>
    </row>
    <row r="15">
      <c r="A15" s="6" t="inlineStr">
        <is>
          <t>5  Common Equity Tier 1 ratio (%)</t>
        </is>
      </c>
      <c r="B15" s="6" t="inlineStr">
        <is>
          <t>13.4%</t>
        </is>
      </c>
      <c r="C15" s="6" t="inlineStr">
        <is>
          <t>15.0%</t>
        </is>
      </c>
      <c r="D15" s="6" t="inlineStr">
        <is>
          <t>19.0%</t>
        </is>
      </c>
      <c r="E15" s="6" t="inlineStr">
        <is>
          <t>19.0%</t>
        </is>
      </c>
      <c r="F15" s="6" t="inlineStr">
        <is>
          <t>20.8%</t>
        </is>
      </c>
      <c r="G15" s="6" t="inlineStr">
        <is>
          <t>15.3%</t>
        </is>
      </c>
    </row>
    <row r="16">
      <c r="A16" s="6" t="inlineStr">
        <is>
          <t>6  Tier 1 ratio (%)</t>
        </is>
      </c>
      <c r="B16" s="6" t="inlineStr">
        <is>
          <t>15.2%</t>
        </is>
      </c>
      <c r="C16" s="6" t="inlineStr">
        <is>
          <t>15.0%</t>
        </is>
      </c>
      <c r="D16" s="6" t="inlineStr">
        <is>
          <t>19.0%</t>
        </is>
      </c>
      <c r="E16" s="6" t="inlineStr">
        <is>
          <t>19.0%</t>
        </is>
      </c>
      <c r="F16" s="6" t="inlineStr">
        <is>
          <t>20.8%</t>
        </is>
      </c>
      <c r="G16" s="6" t="inlineStr">
        <is>
          <t>15.3%</t>
        </is>
      </c>
    </row>
    <row r="17">
      <c r="A17" s="6" t="inlineStr">
        <is>
          <t>7  Total capital ratio (%)</t>
        </is>
      </c>
      <c r="B17" s="6" t="inlineStr">
        <is>
          <t>17.0%</t>
        </is>
      </c>
      <c r="C17" s="6" t="inlineStr">
        <is>
          <t>17.1%</t>
        </is>
      </c>
      <c r="D17" s="6" t="inlineStr">
        <is>
          <t>19.0%</t>
        </is>
      </c>
      <c r="E17" s="6" t="inlineStr">
        <is>
          <t>19.5%</t>
        </is>
      </c>
      <c r="F17" s="6" t="inlineStr">
        <is>
          <t>21.6%</t>
        </is>
      </c>
      <c r="G17" s="6" t="inlineStr">
        <is>
          <t>16.4%</t>
        </is>
      </c>
    </row>
    <row r="18">
      <c r="A18" s="5" t="inlineStr">
        <is>
          <t>ADDITIONAL OWN FUNDS REQUIREMENTS BASED ON SREP (AS A PERCENTAGE OF RISK-WEIGHTED EXPOSURE AMOUNT)</t>
        </is>
      </c>
      <c r="B18" s="6" t="n"/>
      <c r="C18" s="6" t="n"/>
      <c r="D18" s="6" t="n"/>
      <c r="E18" s="6" t="n"/>
      <c r="F18" s="6" t="n"/>
      <c r="G18" s="6" t="n"/>
    </row>
    <row r="19">
      <c r="A19" s="6" t="inlineStr">
        <is>
          <t>UK 7a  Additional CET1 SREP requirements (%)</t>
        </is>
      </c>
      <c r="B19" s="6" t="inlineStr">
        <is>
          <t>0.1%</t>
        </is>
      </c>
      <c r="C19" s="6" t="inlineStr">
        <is>
          <t>0.1%</t>
        </is>
      </c>
      <c r="D19" s="6" t="inlineStr">
        <is>
          <t>0.8%</t>
        </is>
      </c>
      <c r="E19" s="6" t="inlineStr">
        <is>
          <t>0.8%</t>
        </is>
      </c>
      <c r="F19" s="6" t="inlineStr">
        <is>
          <t>1.5%</t>
        </is>
      </c>
      <c r="G19" s="6" t="inlineStr">
        <is>
          <t>1.5%</t>
        </is>
      </c>
    </row>
    <row r="20">
      <c r="A20" s="6" t="inlineStr">
        <is>
          <t>UK 7b  Additional AT1 SREP requirements (%)</t>
        </is>
      </c>
      <c r="B20" s="6" t="inlineStr">
        <is>
          <t>0.0%</t>
        </is>
      </c>
      <c r="C20" s="6" t="inlineStr">
        <is>
          <t>0.0%</t>
        </is>
      </c>
      <c r="D20" s="6" t="inlineStr">
        <is>
          <t>0.3%</t>
        </is>
      </c>
      <c r="E20" s="6" t="inlineStr">
        <is>
          <t>0.3%</t>
        </is>
      </c>
      <c r="F20" s="6" t="inlineStr">
        <is>
          <t>0.9%</t>
        </is>
      </c>
      <c r="G20" s="6" t="inlineStr">
        <is>
          <t>0.9%</t>
        </is>
      </c>
    </row>
    <row r="21">
      <c r="A21" s="6" t="inlineStr">
        <is>
          <t>UK 7c  Additional T2 SREP requirements (%)</t>
        </is>
      </c>
      <c r="B21" s="6" t="inlineStr">
        <is>
          <t>0.1%</t>
        </is>
      </c>
      <c r="C21" s="6" t="inlineStr">
        <is>
          <t>0.1%</t>
        </is>
      </c>
      <c r="D21" s="6" t="inlineStr">
        <is>
          <t>0.3%</t>
        </is>
      </c>
      <c r="E21" s="6" t="inlineStr">
        <is>
          <t>0.3%</t>
        </is>
      </c>
      <c r="F21" s="6" t="inlineStr">
        <is>
          <t>1.1%</t>
        </is>
      </c>
      <c r="G21" s="6" t="inlineStr">
        <is>
          <t>1.1%</t>
        </is>
      </c>
    </row>
    <row r="22">
      <c r="A22" s="6" t="inlineStr">
        <is>
          <t>UK 7d  Total SREP own funds requirements (%)</t>
        </is>
      </c>
      <c r="B22" s="6" t="inlineStr">
        <is>
          <t>8.2%</t>
        </is>
      </c>
      <c r="C22" s="6" t="inlineStr">
        <is>
          <t>8.2%</t>
        </is>
      </c>
      <c r="D22" s="6" t="inlineStr">
        <is>
          <t>9.4%</t>
        </is>
      </c>
      <c r="E22" s="6" t="inlineStr">
        <is>
          <t>9.4%</t>
        </is>
      </c>
      <c r="F22" s="6" t="inlineStr">
        <is>
          <t>9.5%</t>
        </is>
      </c>
      <c r="G22" s="6" t="inlineStr">
        <is>
          <t>9.5%</t>
        </is>
      </c>
    </row>
    <row r="23">
      <c r="A23" s="5" t="inlineStr">
        <is>
          <t>COMBINED BUFFER REQUIREMENT (AS A PERCENTAGE OF RISK-WEIGHTED EXPOSURE AMOUNT)</t>
        </is>
      </c>
      <c r="B23" s="6" t="n"/>
      <c r="C23" s="6" t="n"/>
      <c r="D23" s="6" t="n"/>
      <c r="E23" s="6" t="n"/>
      <c r="F23" s="6" t="n"/>
      <c r="G23" s="6" t="n"/>
    </row>
    <row r="24">
      <c r="A24" s="6" t="inlineStr">
        <is>
          <t>8  Capital conservation buffer (%)</t>
        </is>
      </c>
      <c r="B24" s="6" t="inlineStr">
        <is>
          <t>2.5%</t>
        </is>
      </c>
      <c r="C24" s="6" t="inlineStr">
        <is>
          <t>2.5%</t>
        </is>
      </c>
      <c r="D24" s="6" t="inlineStr">
        <is>
          <t>2.5%</t>
        </is>
      </c>
      <c r="E24" s="6" t="inlineStr">
        <is>
          <t>2.5%</t>
        </is>
      </c>
      <c r="F24" s="6" t="inlineStr">
        <is>
          <t>2.5%</t>
        </is>
      </c>
      <c r="G24" s="6" t="inlineStr">
        <is>
          <t>2.5%</t>
        </is>
      </c>
    </row>
    <row r="25">
      <c r="A25" s="6" t="inlineStr">
        <is>
          <t>9  Institution specific countercyclical capital buffer (%)</t>
        </is>
      </c>
      <c r="B25" s="6" t="inlineStr">
        <is>
          <t>2.0%</t>
        </is>
      </c>
      <c r="C25" s="6" t="inlineStr">
        <is>
          <t>2.0%</t>
        </is>
      </c>
      <c r="D25" s="6" t="inlineStr">
        <is>
          <t>2.0%</t>
        </is>
      </c>
      <c r="E25" s="6" t="inlineStr">
        <is>
          <t>1.0%</t>
        </is>
      </c>
      <c r="F25" s="6" t="inlineStr">
        <is>
          <t>0.0%</t>
        </is>
      </c>
      <c r="G25" s="6" t="inlineStr">
        <is>
          <t>0.0%</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12.7%</t>
        </is>
      </c>
      <c r="C27" s="6" t="inlineStr">
        <is>
          <t>12.7%</t>
        </is>
      </c>
      <c r="D27" s="6" t="inlineStr">
        <is>
          <t>13.9%</t>
        </is>
      </c>
      <c r="E27" s="6" t="inlineStr">
        <is>
          <t>12.9%</t>
        </is>
      </c>
      <c r="F27" s="6" t="inlineStr">
        <is>
          <t>12.0%</t>
        </is>
      </c>
      <c r="G27" s="6" t="inlineStr">
        <is>
          <t>12.0%</t>
        </is>
      </c>
    </row>
    <row r="28">
      <c r="A28" s="6" t="inlineStr">
        <is>
          <t>12  CET1 available after meeting the total SREP own funds requirements (%)</t>
        </is>
      </c>
      <c r="B28" s="6" t="inlineStr">
        <is>
          <t>3.4%</t>
        </is>
      </c>
      <c r="C28" s="6" t="inlineStr">
        <is>
          <t>5.0%</t>
        </is>
      </c>
      <c r="D28" s="6" t="inlineStr">
        <is>
          <t>8.7%</t>
        </is>
      </c>
      <c r="E28" s="6" t="inlineStr">
        <is>
          <t>9.7%</t>
        </is>
      </c>
      <c r="F28" s="6" t="inlineStr">
        <is>
          <t>12.5%</t>
        </is>
      </c>
      <c r="G28" s="6" t="inlineStr">
        <is>
          <t>5.9%</t>
        </is>
      </c>
    </row>
    <row r="29">
      <c r="A29" s="5" t="inlineStr">
        <is>
          <t>LEVERAGE RATIO</t>
        </is>
      </c>
      <c r="B29" s="6" t="n"/>
      <c r="C29" s="6" t="n"/>
      <c r="D29" s="6" t="n"/>
      <c r="E29" s="6" t="n"/>
      <c r="F29" s="6" t="n"/>
      <c r="G29" s="6" t="n"/>
    </row>
    <row r="30">
      <c r="A30" s="6" t="inlineStr">
        <is>
          <t>13  Leverage ratio total exposure measure (£m)</t>
        </is>
      </c>
      <c r="B30" s="6" t="n">
        <v>7665.4</v>
      </c>
      <c r="C30" s="6" t="n">
        <v>7174.6</v>
      </c>
      <c r="D30" s="6" t="n">
        <v>5064.5</v>
      </c>
      <c r="E30" s="6" t="n"/>
      <c r="F30" s="6" t="n"/>
      <c r="G30" s="6" t="n"/>
    </row>
    <row r="31">
      <c r="A31" s="6" t="inlineStr">
        <is>
          <t>13  Leverage ratio total exposure measure (£'000)</t>
        </is>
      </c>
      <c r="B31" s="6" t="n"/>
      <c r="C31" s="6" t="n"/>
      <c r="D31" s="6" t="n"/>
      <c r="E31" s="6" t="n">
        <v>3723901</v>
      </c>
      <c r="F31" s="6" t="n">
        <v>3313171</v>
      </c>
      <c r="G31" s="6" t="n">
        <v>2914267</v>
      </c>
    </row>
    <row r="32">
      <c r="A32" s="6" t="inlineStr">
        <is>
          <t>14  Leverage ratio (%)</t>
        </is>
      </c>
      <c r="B32" s="6" t="inlineStr">
        <is>
          <t>5.4%</t>
        </is>
      </c>
      <c r="C32" s="6" t="inlineStr">
        <is>
          <t>5.0%</t>
        </is>
      </c>
      <c r="D32" s="6" t="inlineStr">
        <is>
          <t>6.9%</t>
        </is>
      </c>
      <c r="E32" s="6" t="inlineStr">
        <is>
          <t>6.5%</t>
        </is>
      </c>
      <c r="F32" s="6" t="inlineStr">
        <is>
          <t>6.6%</t>
        </is>
      </c>
      <c r="G32" s="6" t="inlineStr">
        <is>
          <t>3.9%</t>
        </is>
      </c>
    </row>
    <row r="33">
      <c r="A33" s="5" t="inlineStr">
        <is>
          <t>LIQUIDITY COVERAGE RATIO</t>
        </is>
      </c>
      <c r="B33" s="6" t="n"/>
      <c r="C33" s="6" t="n"/>
      <c r="D33" s="6" t="n"/>
      <c r="E33" s="6" t="n"/>
      <c r="F33" s="6" t="n"/>
      <c r="G33" s="6" t="n"/>
    </row>
    <row r="34">
      <c r="A34" s="6" t="inlineStr">
        <is>
          <t>15  Total high-quality liquid assets (HQLA) (Weighted value - average) (£m)</t>
        </is>
      </c>
      <c r="B34" s="6" t="n">
        <v>3756</v>
      </c>
      <c r="C34" s="6" t="n">
        <v>2333.1</v>
      </c>
      <c r="D34" s="6" t="n">
        <v>3849</v>
      </c>
      <c r="E34" s="6" t="n"/>
      <c r="F34" s="6" t="n"/>
      <c r="G34" s="6" t="n"/>
    </row>
    <row r="35">
      <c r="A35" s="6" t="inlineStr">
        <is>
          <t>15  Total high-quality liquid assets (HQLA) (Weighted value - average) (£'000)</t>
        </is>
      </c>
      <c r="B35" s="6" t="n"/>
      <c r="C35" s="6" t="n"/>
      <c r="D35" s="6" t="n"/>
      <c r="E35" s="6" t="n">
        <v>2494398</v>
      </c>
      <c r="F35" s="6" t="n">
        <v>971602</v>
      </c>
      <c r="G35" s="6" t="n">
        <v>415697</v>
      </c>
    </row>
    <row r="36">
      <c r="A36" s="6" t="inlineStr">
        <is>
          <t>UK 16a  Outflows - Total weighted value (£m)</t>
        </is>
      </c>
      <c r="B36" s="6" t="n">
        <v>1131.8</v>
      </c>
      <c r="C36" s="6" t="n">
        <v>594.7</v>
      </c>
      <c r="D36" s="6" t="n">
        <v>586</v>
      </c>
      <c r="E36" s="6" t="n"/>
      <c r="F36" s="6" t="n"/>
      <c r="G36" s="6" t="n"/>
    </row>
    <row r="37">
      <c r="A37" s="6" t="inlineStr">
        <is>
          <t>UK 16a  Cash outflows - Total weighted value (£'000)</t>
        </is>
      </c>
      <c r="B37" s="6" t="n"/>
      <c r="C37" s="6" t="n"/>
      <c r="D37" s="6" t="n"/>
      <c r="E37" s="6" t="n">
        <v>495538</v>
      </c>
      <c r="F37" s="6" t="n">
        <v>335102</v>
      </c>
      <c r="G37" s="6" t="n">
        <v>206486</v>
      </c>
    </row>
    <row r="38">
      <c r="A38" s="6" t="inlineStr">
        <is>
          <t>UK 16b  Cash inflows - Total weighted value (£m)</t>
        </is>
      </c>
      <c r="B38" s="6" t="n">
        <v>52.9</v>
      </c>
      <c r="C38" s="6" t="n">
        <v>44.3</v>
      </c>
      <c r="D38" s="6" t="n">
        <v>52</v>
      </c>
      <c r="E38" s="6" t="n"/>
      <c r="F38" s="6" t="n"/>
      <c r="G38" s="6" t="n"/>
    </row>
    <row r="39">
      <c r="A39" s="6" t="inlineStr">
        <is>
          <t>UK 16b  Cash inflows - Total weighted value (£'000)</t>
        </is>
      </c>
      <c r="B39" s="6" t="n"/>
      <c r="C39" s="6" t="n"/>
      <c r="D39" s="6" t="n"/>
      <c r="E39" s="6" t="n">
        <v>49208</v>
      </c>
      <c r="F39" s="6" t="n">
        <v>24619</v>
      </c>
      <c r="G39" s="6" t="n">
        <v>21455</v>
      </c>
    </row>
    <row r="40">
      <c r="A40" s="6" t="inlineStr">
        <is>
          <t>16  Total net cash outflows (adjusted value) (£m)</t>
        </is>
      </c>
      <c r="B40" s="6" t="n">
        <v>1078.9</v>
      </c>
      <c r="C40" s="6" t="n">
        <v>550.4</v>
      </c>
      <c r="D40" s="6" t="n">
        <v>534</v>
      </c>
      <c r="E40" s="6" t="n"/>
      <c r="F40" s="6" t="n"/>
      <c r="G40" s="6" t="n"/>
    </row>
    <row r="41">
      <c r="A41" s="6" t="inlineStr">
        <is>
          <t>16  Total net cash outflows (adjusted value) (£'000)</t>
        </is>
      </c>
      <c r="B41" s="6" t="n"/>
      <c r="C41" s="6" t="n"/>
      <c r="D41" s="6" t="n"/>
      <c r="E41" s="6" t="n">
        <v>446330</v>
      </c>
      <c r="F41" s="6" t="n">
        <v>310483</v>
      </c>
      <c r="G41" s="6" t="n">
        <v>185032</v>
      </c>
    </row>
    <row r="42">
      <c r="A42" s="6" t="inlineStr">
        <is>
          <t>17  Liquidity coverage ratio (%)</t>
        </is>
      </c>
      <c r="B42" s="6" t="inlineStr">
        <is>
          <t>350.9%</t>
        </is>
      </c>
      <c r="C42" s="6" t="inlineStr">
        <is>
          <t>418.6%</t>
        </is>
      </c>
      <c r="D42" s="6" t="inlineStr">
        <is>
          <t>727.8%</t>
        </is>
      </c>
      <c r="E42" s="6" t="inlineStr">
        <is>
          <t>578.6%</t>
        </is>
      </c>
      <c r="F42" s="6" t="inlineStr">
        <is>
          <t>316.7%</t>
        </is>
      </c>
      <c r="G42" s="6" t="inlineStr">
        <is>
          <t>241.8%</t>
        </is>
      </c>
    </row>
    <row r="43">
      <c r="A43" s="5" t="inlineStr">
        <is>
          <t>NET STABLE FUNDING RATIO</t>
        </is>
      </c>
      <c r="B43" s="6" t="n"/>
      <c r="C43" s="6" t="n"/>
      <c r="D43" s="6" t="n"/>
      <c r="E43" s="6" t="n"/>
      <c r="F43" s="6" t="n"/>
      <c r="G43" s="6" t="n"/>
    </row>
    <row r="44">
      <c r="A44" s="6" t="inlineStr">
        <is>
          <t>18  Total available stable funding (£m)</t>
        </is>
      </c>
      <c r="B44" s="6" t="n">
        <v>8562</v>
      </c>
      <c r="C44" s="6" t="n">
        <v>6821.3</v>
      </c>
      <c r="D44" s="6" t="n">
        <v>6891.4</v>
      </c>
      <c r="E44" s="6" t="n"/>
      <c r="F44" s="6" t="n"/>
      <c r="G44" s="6" t="n"/>
    </row>
    <row r="45">
      <c r="A45" s="6" t="inlineStr">
        <is>
          <t>18  Total available stable funding (£'000)</t>
        </is>
      </c>
      <c r="B45" s="6" t="n"/>
      <c r="C45" s="6" t="n"/>
      <c r="D45" s="6" t="n"/>
      <c r="E45" s="6" t="n">
        <v>5557689</v>
      </c>
      <c r="F45" s="6" t="n">
        <v>3492177</v>
      </c>
      <c r="G45" s="6" t="n">
        <v>2536566</v>
      </c>
    </row>
    <row r="46">
      <c r="A46" s="6" t="inlineStr">
        <is>
          <t>19  Total required stable funding (£m)</t>
        </is>
      </c>
      <c r="B46" s="6" t="n">
        <v>4378.4</v>
      </c>
      <c r="C46" s="6" t="n">
        <v>3987.7</v>
      </c>
      <c r="D46" s="6" t="n">
        <v>3146.1</v>
      </c>
      <c r="E46" s="6" t="n"/>
      <c r="F46" s="6" t="n"/>
      <c r="G46" s="6" t="n"/>
    </row>
    <row r="47">
      <c r="A47" s="6" t="inlineStr">
        <is>
          <t>19  Total required stable funding (£'000)</t>
        </is>
      </c>
      <c r="B47" s="6" t="n"/>
      <c r="C47" s="6" t="n"/>
      <c r="D47" s="6" t="n"/>
      <c r="E47" s="6" t="n">
        <v>2615311</v>
      </c>
      <c r="F47" s="6" t="n">
        <v>2248265</v>
      </c>
      <c r="G47" s="6" t="n">
        <v>2029057</v>
      </c>
    </row>
    <row r="48">
      <c r="A48" s="6" t="inlineStr">
        <is>
          <t>20  Net Stable Funding Ratio (%)</t>
        </is>
      </c>
      <c r="B48" s="6" t="inlineStr">
        <is>
          <t>196.0%</t>
        </is>
      </c>
      <c r="C48" s="6" t="inlineStr">
        <is>
          <t>171.2%</t>
        </is>
      </c>
      <c r="D48" s="6" t="inlineStr">
        <is>
          <t>221.8%</t>
        </is>
      </c>
      <c r="E48" s="6" t="inlineStr">
        <is>
          <t>211.8%</t>
        </is>
      </c>
      <c r="F48" s="6" t="inlineStr">
        <is>
          <t>154.9%</t>
        </is>
      </c>
      <c r="G48" s="6" t="inlineStr">
        <is>
          <t>125.0%</t>
        </is>
      </c>
    </row>
    <row r="50" ht="460" customHeight="1">
      <c r="A50" s="8" t="inlineStr">
        <is>
          <t>Sources - Table UK KM1 'Key metrics', ATOM BANK PLC ('Bank') column, as at 31 March each year. FY2022 through FY2026 are each transcribed from THAT YEAR'S OWN edition. FY2021 is the single exception and is flagged as such below - it is the FY2022 edition's comparative column, used because Atom's own FY2021 edition prints no KM1 template at all:
FY2026: Atom Holdco plc Pillar 3 Disclosures 2026, p.15 (4. Key metrics) - https://www.atombank.co.uk/~/docs/pillar-3-disclosures-25-26.pdf
FY2025: Atom Holdco plc Pillar 3 Disclosures 2025, p.13 (4. Key metrics) - https://www.atombank.co.uk/~/docs/pillar-3-disclosures-24-25.pdf
FY2024: Atom Holdco Limited Pillar 3 Disclosures 2024, p.13 (4. Key metrics) - https://www.atombank.co.uk/~/docs/atom-holdco-limited-pillar-3.pdf
FY2023: Atom Holdco Limited Pillar 3 Disclosures 2023, pp.12-13 (5. Key metrics) - https://www.atombank.co.uk/~/docs/pillar-3-disclosures-22-23.pdf
FY2022: Atom Bank Plc Pillar 3 Disclosures 2021/22, p.17 (5. Key Metrics) - https://www.atombank.co.uk/~/docs/pillar-3-disclosures-21-22.pdf
FY2021 (NOT AN OWN-EDITION COLUMN): the SAME Atom Bank Plc Pillar 3 Disclosures 2021/22 document, printed p.17, section 5 'Key Metrics', COMPARATIVE COLUMN headed 2021 - https://www.atombank.co.uk/~/docs/pillar-3-disclosures-21-22.pdf
ENTITY (the single most important choice on this sheet). From FY2023 the template is published by the HOLDING COMPANY and prints Group and Bank side by side - FY2026 carries four columns (2026 Group, 2026 Bank, 2025 Group, 2025 Bank). Every figure here is the BANK column, because this workbook is Atom Bank Plc (company 08632552, FRN 661960), the PRA-authorised entity. The Group column is a different entity and is never substituted, even where it is the only one discussed in the surrounding narrative. FY2022's edition predates the holding company and prints a single column that IS the Bank. The two differ materially and visibly: FY2026 CET1 is 363.6 Group against 365.2 Bank, and total RWAs 2,739.7 Group against 2,728.8 Bank.
WHY FY2021 IS FILLED FROM THE FY2022 EDITION, AND FY2020 AND EARLIER ARE NOT (revised 17 September 2026). ATOM'S OWN FY2020/21 EDITION PRINTS NO KM1 TEMPLATE AT ALL - not a template with rows left blank, but no template, and therefore no own-edition disclosure for a later comparative to displace. What it publishes instead, at its section '3. Summary analysis', is prose plus three bespoke tables: 'Table 1 - Capital and leverage ratios' (four ratios only), 'Table 2 - Own funds' (a CC1-style build-up from balance-sheet equity) and 'Table 3 - Summary of risk weighted assets'. No row numbers, no SREP rows, no buffer rows, no row 12, and no LCR or NSFR build-up anywhere. It fails the row-set test and is a different and shorter set of tables, not an unnumbered KM1.
That absence was re-established from the document on 17 September 2026 before this column was filled. Its own contents list runs 1 Introduction / 2 Overview / 3 Summary analysis / 4 Regulatory capital framework / 5 Risk management / 6 Capital adequacy risk / 7 Liquidity and funding risk / 8 Pillar 1 capital requirements / 9 Remuneration plus seven appendices - NO 'Key metrics' section. And extraction from the 31-page PDF is RICH (222 hits for 'capital', 143 for 'ratio', 49 for 'buffer', 40 for 'liquidity', 36 for 'leverage', 24 for 'CET1'), which is what makes its ZERO hits for 'KM1' and for 'NSFR' evidence about the document rather than about the search - the template cannot omit its NSFR block. Checked for a hidden image-only table too (map rule 13): the edition is text-native and its summary pages carry their figures as extractable text.
THE FY2022 EDITION'S COMPARATIVE COLUMN, headed 2021 and in £'000, carries the complete template for 31 March 2021, and THAT IS WHAT THIS SHEET'S FY2021 NOW CARRIES, in the row structure the FY2022 edition prints it in - the same structure as the FY2022 column beside it, so nothing is reshaped, and in £'000, so it lands in the £'000 caption blocks. All 26 values were read off the FY2022 PDF directly, confirmed twice (text extraction at full width and a 150dpi rendering of the page).
IT IS NOT A RESTATEMENT. Every figure in that comparative that the FY2021 edition also published agrees with it exactly: CET1 114,012, total own funds 121,990, total RWAs 743,296 (its Tables 2 and 3) and CET1/T1 ratio 15.3%, total capital ratio 16.4%, leverage ratio 3.9% (its Table 1).
This reverses the treatment this sheet carried until 17 September 2026, which omitted FY2021 as a column entirely and quoted five of its figures in this note instead. The evidence above is unchanged; only the conclusion drawn from it has changed, so that a BLANK on this sheet now means one thing only: Atom has never published that figure, in any edition, on any basis.
FY2020 AND EARLIER REMAIN OFF THIS SHEET for that reason - no edition anywhere prints them in template form. The FY2021 edition's Tables 1-3 do carry 2020 comparatives, but in the same bespoke shape, which cannot fill a template column.
CORRECTION, 17 September 2026 - ROWS UK 16a AND UK 16b FOR FY2022 WERE WRONGLY BLANK. This sheet previously stated that 'the FY2022 edition prints no UK 16a and no UK 16b - it goes straight from row 15 to row 16', and left both cells empty on the strength of it. THAT WAS WRONG ABOUT THE DOCUMENT. The FY2022 edition's own 2022 column prints both rows: UK 16a 'Cash outflows - Total weighted value' 335,102 and UK 16b 'Cash inflows - Total weighted value' 24,619. Both are now carried, cited to that own edition. The figures are the same ones the FY2023 edition's comparative prints, which is why the error was self-consistent and invisible from inside the workbook. The likely cause is a known one for this bank (map rule 22, whose examples are all Atom): in these two rows Atom prints the row reference 'UK' and '16a' on two separate lines inside the row-number column, so a scanner looking for a row number on the same line as the label passes straight over them. Verified twice before correcting - `pdftotext -layout` read at full width with the column count checked against the header block, and a 150dpi rendering of printed p.17 read by eye - and the two agree digit-for-digit. The FY2021 comparative prints the same two rows (206,486 and 21,455) and they are carried too.
NO RESTATEMENTS FOUND ACROSS EDITIONS - each overlapping year was cross-checked against the following edition's comparative and every figure matched exactly (FY2024 Bank in the FY2024 edition vs its FY24 Bank comparative in the FY2025 edition; FY2025 Bank in the FY2025 edition vs its 2025 Bank comparative in the FY2026 edition; FY2022 in its own edition vs the FY2023 edition's 2022 column - and following the correction recorded above, that pair now matches on EVERY row including UK 16a and UK 16b, with no exceptions at all; FY2021 in the FY2022 edition's comparative vs the FY2021 edition's own Tables 1-3 on the six lines they share). Where a later edition rounds £'000 into £m the two agree to the rounding (FY2023 Bank CET1 241,213 appears as 241.3 in the FY2024 edition).
LABEL DRIFT IS REPRODUCED, NOT HARMONISED: row 20 is printed 'NSFR ratio (%)' in FY2022/FY2023 and 'Net Stable Funding Ratio (%)' from FY2025; UK 16a is 'Cash outflows - Total weighted value' in FY2023 and 'Outflows - Total weighted value' later. Each caption block carries the wording of the editions it covers; the single ratio rows carry the current wording.
LATEST-EDITION CHECK (2026-09-16): atombank.co.uk/investor-information/ lists nine annual Pillar 3 editions (16-17 through 25-26, the FY2024 one filed under atom-holdco-limited-pillar-3.pdf rather than a year-named file). The newest is Pillar 3 Disclosures 2026 ('pillar-3-disclosures-25-26.pdf', verified by md5 against the copy read here), already carried above. NONE NEWER. The same page also publishes INTERIM (half-year) Pillar 3 disclosures - interim-pillar-3-disclosures-2026.pdf and interim-pillar-3-disclosures-hy2025.pdf - which this workbook does not currently carry an Interim Pillar 3 sheet for; recorded here as a known, deliberate gap rather than an absence.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50:G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(CET1) capital</t>
        </is>
      </c>
      <c r="B4" s="6" t="n">
        <v>365200</v>
      </c>
      <c r="C4" s="6" t="n">
        <v>356400</v>
      </c>
      <c r="D4" s="6" t="n">
        <v>347300</v>
      </c>
      <c r="E4" s="6" t="n">
        <v>241213</v>
      </c>
      <c r="F4" s="6" t="n">
        <v>217158</v>
      </c>
      <c r="G4" s="6" t="n">
        <v>114012</v>
      </c>
      <c r="H4" s="6" t="n">
        <v>168645</v>
      </c>
      <c r="I4" s="6" t="n">
        <v>184050</v>
      </c>
      <c r="J4" s="6" t="n">
        <v>100058</v>
      </c>
      <c r="K4" s="6" t="n">
        <v>73313</v>
      </c>
      <c r="L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ratio (%)</t>
        </is>
      </c>
      <c r="B4" s="6" t="inlineStr">
        <is>
          <t>13.4%</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capital</t>
        </is>
      </c>
      <c r="B4" s="6" t="n">
        <v>414300</v>
      </c>
      <c r="C4" s="6" t="n">
        <v>356400</v>
      </c>
      <c r="D4" s="6" t="n">
        <v>347300</v>
      </c>
      <c r="E4" s="6" t="n">
        <v>241213</v>
      </c>
      <c r="F4" s="6" t="n">
        <v>217158</v>
      </c>
      <c r="G4" s="6" t="n">
        <v>114012</v>
      </c>
      <c r="H4" s="6" t="n">
        <v>168645</v>
      </c>
      <c r="I4" s="6" t="n">
        <v>184050</v>
      </c>
      <c r="J4" s="6" t="n">
        <v>100058</v>
      </c>
      <c r="K4" s="6" t="n">
        <v>73313</v>
      </c>
      <c r="L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ratio (%)</t>
        </is>
      </c>
      <c r="B4" s="6" t="inlineStr">
        <is>
          <t>15.2%</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t>
        </is>
      </c>
      <c r="B4" s="6" t="n">
        <v>463200</v>
      </c>
      <c r="C4" s="6" t="n">
        <v>406400</v>
      </c>
      <c r="D4" s="6" t="n">
        <v>347300</v>
      </c>
      <c r="E4" s="6" t="n">
        <v>248418</v>
      </c>
      <c r="F4" s="6" t="n">
        <v>225151</v>
      </c>
      <c r="G4" s="6" t="n">
        <v>121990</v>
      </c>
      <c r="H4" s="6" t="n">
        <v>176609</v>
      </c>
      <c r="I4" s="6" t="n">
        <v>191999</v>
      </c>
      <c r="J4" s="6" t="n">
        <v>107993</v>
      </c>
      <c r="K4" s="6" t="n">
        <v>73608</v>
      </c>
      <c r="L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 ratio (%)</t>
        </is>
      </c>
      <c r="B4" s="6" t="inlineStr">
        <is>
          <t>17.0%</t>
        </is>
      </c>
      <c r="C4" s="6" t="inlineStr">
        <is>
          <t>17.1%</t>
        </is>
      </c>
      <c r="D4" s="6" t="inlineStr">
        <is>
          <t>19.0%</t>
        </is>
      </c>
      <c r="E4" s="6" t="inlineStr">
        <is>
          <t>19.5%</t>
        </is>
      </c>
      <c r="F4" s="6" t="inlineStr">
        <is>
          <t>21.6%</t>
        </is>
      </c>
      <c r="G4" s="6" t="inlineStr">
        <is>
          <t>16.4%</t>
        </is>
      </c>
      <c r="H4" s="6" t="inlineStr">
        <is>
          <t>19.5%</t>
        </is>
      </c>
      <c r="I4" s="6" t="inlineStr">
        <is>
          <t>18.7%</t>
        </is>
      </c>
      <c r="J4" s="6" t="inlineStr">
        <is>
          <t>18.9%</t>
        </is>
      </c>
      <c r="K4" s="6" t="inlineStr">
        <is>
          <t>44.1%</t>
        </is>
      </c>
      <c r="L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RWAs</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risk-weighted exposure amount</t>
        </is>
      </c>
      <c r="B4" s="6" t="n">
        <v>2728800</v>
      </c>
      <c r="C4" s="6" t="n">
        <v>2379300</v>
      </c>
      <c r="D4" s="6" t="n">
        <v>1828000</v>
      </c>
      <c r="E4" s="6" t="n">
        <v>1271669</v>
      </c>
      <c r="F4" s="6" t="n">
        <v>1043001</v>
      </c>
      <c r="G4" s="6" t="n">
        <v>743296</v>
      </c>
      <c r="H4" s="6" t="n">
        <v>907158</v>
      </c>
      <c r="I4" s="6" t="n">
        <v>1028247</v>
      </c>
      <c r="J4" s="6" t="n">
        <v>572566</v>
      </c>
      <c r="K4" s="6" t="n">
        <v>166888</v>
      </c>
      <c r="L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RWA Breakdown</t>
        </is>
      </c>
    </row>
    <row r="2">
      <c r="A2" s="2" t="inlineStr">
        <is>
          <t>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6" t="inlineStr">
        <is>
          <t>Credit risk (excluding CCR)</t>
        </is>
      </c>
      <c r="B4" s="6" t="n">
        <v>2495600</v>
      </c>
      <c r="C4" s="6" t="n">
        <v>2171000</v>
      </c>
      <c r="D4" s="6" t="n">
        <v>1676100</v>
      </c>
      <c r="E4" s="6" t="n">
        <v>1161945</v>
      </c>
      <c r="F4" s="6" t="n">
        <v>951043</v>
      </c>
      <c r="G4" s="6" t="n">
        <v>658405</v>
      </c>
      <c r="H4" s="6" t="n">
        <v>872639</v>
      </c>
      <c r="I4" s="6" t="n">
        <v>1000236</v>
      </c>
      <c r="J4" s="6" t="n">
        <v>529996</v>
      </c>
      <c r="K4" s="6" t="n">
        <v>76974</v>
      </c>
      <c r="L4" s="6" t="n">
        <v>2677</v>
      </c>
    </row>
    <row r="5">
      <c r="A5" s="6" t="inlineStr">
        <is>
          <t>Counterparty credit risk (CCR)</t>
        </is>
      </c>
      <c r="B5" s="6" t="n">
        <v>13300</v>
      </c>
      <c r="C5" s="6" t="n">
        <v>13400</v>
      </c>
      <c r="D5" s="6" t="n">
        <v>6000</v>
      </c>
      <c r="E5" s="6" t="n">
        <v>1903</v>
      </c>
      <c r="F5" s="6" t="n">
        <v>13238</v>
      </c>
      <c r="G5" s="6" t="n">
        <v>3677</v>
      </c>
      <c r="H5" s="6" t="n">
        <v>3052</v>
      </c>
      <c r="I5" s="6" t="n">
        <v>3105</v>
      </c>
      <c r="J5" s="6" t="n">
        <v>2928</v>
      </c>
      <c r="K5" s="6" t="n">
        <v>201</v>
      </c>
      <c r="L5" s="6" t="n"/>
    </row>
    <row r="6">
      <c r="A6" s="6" t="inlineStr">
        <is>
          <t xml:space="preserve">  of which credit valuation adjustment (CVA)</t>
        </is>
      </c>
      <c r="B6" s="6" t="n">
        <v>6600</v>
      </c>
      <c r="C6" s="6" t="n">
        <v>7100</v>
      </c>
      <c r="D6" s="6" t="n">
        <v>2700</v>
      </c>
      <c r="E6" s="6" t="n">
        <v>524</v>
      </c>
      <c r="F6" s="6" t="n">
        <v>4621</v>
      </c>
      <c r="G6" s="6" t="n">
        <v>560</v>
      </c>
      <c r="H6" s="6" t="n"/>
      <c r="I6" s="6" t="n"/>
      <c r="J6" s="6" t="n"/>
      <c r="K6" s="6" t="n"/>
      <c r="L6" s="6" t="n"/>
    </row>
    <row r="7">
      <c r="A7" s="6" t="inlineStr">
        <is>
          <t>Credit valuation adjustment (CVA) (FY2016-FY2020: own additive risk category, not a CCR sub-line)</t>
        </is>
      </c>
      <c r="B7" s="6" t="n"/>
      <c r="C7" s="6" t="n"/>
      <c r="D7" s="6" t="n"/>
      <c r="E7" s="6" t="n"/>
      <c r="F7" s="6" t="n"/>
      <c r="G7" s="6" t="n"/>
      <c r="H7" s="6" t="n">
        <v>2709</v>
      </c>
      <c r="I7" s="6" t="n">
        <v>2893</v>
      </c>
      <c r="J7" s="6" t="n">
        <v>3529</v>
      </c>
      <c r="K7" s="6" t="n">
        <v>1165</v>
      </c>
      <c r="L7" s="6" t="n"/>
    </row>
    <row r="8">
      <c r="A8" s="6" t="inlineStr">
        <is>
          <t>Securitisation exposures (non-trading book, after the cap)</t>
        </is>
      </c>
      <c r="B8" s="6" t="n">
        <v>26700</v>
      </c>
      <c r="C8" s="6" t="n">
        <v>20900</v>
      </c>
      <c r="D8" s="6" t="n">
        <v>4300</v>
      </c>
      <c r="E8" s="6" t="n">
        <v>21200</v>
      </c>
      <c r="F8" s="6" t="n">
        <v>40725</v>
      </c>
      <c r="G8" s="6" t="n">
        <v>81214</v>
      </c>
      <c r="H8" s="6" t="n">
        <v>28758</v>
      </c>
      <c r="I8" s="6" t="n">
        <v>9327</v>
      </c>
      <c r="J8" s="6" t="n">
        <v>23427</v>
      </c>
      <c r="K8" s="6" t="n">
        <v>41904</v>
      </c>
      <c r="L8" s="6" t="n"/>
    </row>
    <row r="9">
      <c r="A9" s="6" t="inlineStr">
        <is>
          <t>Market risk (position, FX and commodities risks)</t>
        </is>
      </c>
      <c r="B9" s="6" t="n">
        <v>0</v>
      </c>
      <c r="C9" s="6" t="n">
        <v>0</v>
      </c>
      <c r="D9" s="6" t="n">
        <v>0</v>
      </c>
      <c r="E9" s="6" t="n">
        <v>0</v>
      </c>
      <c r="F9" s="6" t="n">
        <v>0</v>
      </c>
      <c r="G9" s="6" t="n">
        <v>0</v>
      </c>
      <c r="H9" s="6" t="n"/>
      <c r="I9" s="6" t="n"/>
      <c r="J9" s="6" t="n"/>
      <c r="K9" s="6" t="n"/>
      <c r="L9" s="6" t="n"/>
    </row>
    <row r="10">
      <c r="A10" s="6" t="inlineStr">
        <is>
          <t>Operational risk</t>
        </is>
      </c>
      <c r="B10" s="6" t="n">
        <v>193200</v>
      </c>
      <c r="C10" s="6" t="n">
        <v>174000</v>
      </c>
      <c r="D10" s="6" t="n">
        <v>141600</v>
      </c>
      <c r="E10" s="6" t="n">
        <v>86621</v>
      </c>
      <c r="F10" s="6" t="n">
        <v>37995</v>
      </c>
      <c r="G10" s="6" t="n">
        <v>0</v>
      </c>
      <c r="H10" s="6" t="n">
        <v>0</v>
      </c>
      <c r="I10" s="6" t="n">
        <v>12686</v>
      </c>
      <c r="J10" s="6" t="n">
        <v>12686</v>
      </c>
      <c r="K10" s="6" t="n">
        <v>46644</v>
      </c>
      <c r="L10" s="6" t="n">
        <v>36864</v>
      </c>
    </row>
    <row r="11">
      <c r="A11" s="5" t="inlineStr">
        <is>
          <t>Total risk-weighted exposure amount (RWEAs)</t>
        </is>
      </c>
      <c r="B11" s="5" t="n">
        <v>2728800</v>
      </c>
      <c r="C11" s="5" t="n">
        <v>2379300</v>
      </c>
      <c r="D11" s="5" t="n">
        <v>1828000</v>
      </c>
      <c r="E11" s="5" t="n">
        <v>1271669</v>
      </c>
      <c r="F11" s="5" t="n">
        <v>1043001</v>
      </c>
      <c r="G11" s="5" t="n">
        <v>743296</v>
      </c>
      <c r="H11" s="5" t="n">
        <v>907158</v>
      </c>
      <c r="I11" s="5" t="n">
        <v>1028247</v>
      </c>
      <c r="J11" s="5" t="n">
        <v>572566</v>
      </c>
      <c r="K11" s="5" t="n">
        <v>166888</v>
      </c>
      <c r="L11" s="5" t="n">
        <v>39541</v>
      </c>
    </row>
    <row r="13" ht="150" customHeight="1">
      <c r="A13" s="8" t="inlineStr">
        <is>
          <t>Sources - Table UK OV1 (Overview of risk weighted exposure amounts), Bank basis, £'000:
FY2026: Atom Holdco plc Pillar 3 Disclosures 2026, p.18 (Table UK OV1, '2026 Bank' column - the table prints 2026 Group, 2026 Bank, 2025 Group and 2025 Bank side by side, and the Bank column is the one used here; Group would have given 2,506.0 credit risk and a 2,739.7 total against the Bank's 2,495.6 and 2,728.8) - https://www.atombank.co.uk/~/docs/pillar-3-disclosures-25-26.pdf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http://web.archive.org/web/20221005223922id_/https://www.atombank.co.uk/~/docs/pillar-3-disclosures-19-20.pdf
FY2019: Atom Bank Plc Pillar 3 Disclosures 2018/19, same table format - http://web.archive.org/web/20221005205114id_/https://www.atombank.co.uk/~/docs/pillar-3-disclosures-18-19.pdf
FY2018: Atom Bank Plc Pillar 3 Disclosures 2017/18, same table format - http://web.archive.org/web/20221005211108id_/https://www.atombank.co.uk/~/docs/pillar-3-disclosures-17-18.pdf
FY2017: Atom Bank Plc Pillar 3 Disclosures 2016/17 (Atom's first Pillar 3 disclosure, as at 31 March 2017) - http://web.archive.org/web/20221005211125id_/https://www.atombank.co.uk/~/docs/pillar-3-disclosures-16-17.pdf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L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Leverage Ratio</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Leverage ratio total exposure measure</t>
        </is>
      </c>
      <c r="B4" s="6" t="n">
        <v>7665400</v>
      </c>
      <c r="C4" s="6" t="n">
        <v>7174600</v>
      </c>
      <c r="D4" s="6" t="n">
        <v>5064500</v>
      </c>
      <c r="E4" s="6" t="n">
        <v>3723901</v>
      </c>
      <c r="F4" s="6" t="n">
        <v>3313171</v>
      </c>
      <c r="G4" s="6" t="n">
        <v>2914267</v>
      </c>
      <c r="H4" s="6" t="n">
        <v>2797736</v>
      </c>
      <c r="I4" s="6" t="n">
        <v>2846115</v>
      </c>
      <c r="J4" s="6" t="n">
        <v>2003497</v>
      </c>
      <c r="K4" s="6" t="n">
        <v>669927</v>
      </c>
      <c r="L4" s="6" t="n">
        <v>18148</v>
      </c>
    </row>
    <row r="5">
      <c r="A5" s="6" t="inlineStr">
        <is>
          <t>Leverage ratio (%)</t>
        </is>
      </c>
      <c r="B5" s="6" t="inlineStr">
        <is>
          <t>5.4%</t>
        </is>
      </c>
      <c r="C5" s="6" t="inlineStr">
        <is>
          <t>5.0%</t>
        </is>
      </c>
      <c r="D5" s="6" t="inlineStr">
        <is>
          <t>6.9%</t>
        </is>
      </c>
      <c r="E5" s="6" t="inlineStr">
        <is>
          <t>6.5%</t>
        </is>
      </c>
      <c r="F5" s="6" t="inlineStr">
        <is>
          <t>6.6%</t>
        </is>
      </c>
      <c r="G5" s="6" t="inlineStr">
        <is>
          <t>3.9%</t>
        </is>
      </c>
      <c r="H5" s="6" t="inlineStr">
        <is>
          <t>6.0%</t>
        </is>
      </c>
      <c r="I5" s="6" t="inlineStr">
        <is>
          <t>6.5%</t>
        </is>
      </c>
      <c r="J5" s="6" t="inlineStr">
        <is>
          <t>5.0%</t>
        </is>
      </c>
      <c r="K5" s="6" t="inlineStr">
        <is>
          <t>10.9%</t>
        </is>
      </c>
      <c r="L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LCR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high-quality liquid assets (HQLA), weighted value (average)</t>
        </is>
      </c>
      <c r="B4" s="6" t="n">
        <v>3756000</v>
      </c>
      <c r="C4" s="6" t="n">
        <v>2333100</v>
      </c>
      <c r="D4" s="6" t="n">
        <v>3849000</v>
      </c>
      <c r="E4" s="6" t="n">
        <v>2494398</v>
      </c>
      <c r="F4" s="6" t="n">
        <v>971602</v>
      </c>
      <c r="G4" s="6" t="n">
        <v>415697</v>
      </c>
      <c r="H4" s="6" t="n">
        <v>290230</v>
      </c>
      <c r="I4" s="6" t="n">
        <v>216650</v>
      </c>
      <c r="J4" s="6" t="n">
        <v>643721</v>
      </c>
      <c r="K4" s="6" t="n">
        <v>481472</v>
      </c>
      <c r="L4" s="6" t="n"/>
    </row>
    <row r="5">
      <c r="A5" s="6" t="inlineStr">
        <is>
          <t>Total net cash outflows, adjusted value</t>
        </is>
      </c>
      <c r="B5" s="6" t="n">
        <v>1078900</v>
      </c>
      <c r="C5" s="6" t="n">
        <v>550400</v>
      </c>
      <c r="D5" s="6" t="n">
        <v>534000</v>
      </c>
      <c r="E5" s="6" t="n">
        <v>446330</v>
      </c>
      <c r="F5" s="6" t="n">
        <v>310483</v>
      </c>
      <c r="G5" s="6" t="n">
        <v>185032</v>
      </c>
      <c r="H5" s="6" t="n">
        <v>38003</v>
      </c>
      <c r="I5" s="6" t="n">
        <v>66951</v>
      </c>
      <c r="J5" s="6" t="n">
        <v>132684</v>
      </c>
      <c r="K5" s="6" t="n">
        <v>74539</v>
      </c>
      <c r="L5" s="6" t="n"/>
    </row>
    <row r="6">
      <c r="A6" s="6" t="inlineStr">
        <is>
          <t>Liquidity Coverage Ratio (%)</t>
        </is>
      </c>
      <c r="B6" s="6" t="inlineStr">
        <is>
          <t>350.9%</t>
        </is>
      </c>
      <c r="C6" s="6" t="inlineStr">
        <is>
          <t>418.6%</t>
        </is>
      </c>
      <c r="D6" s="6" t="inlineStr">
        <is>
          <t>727.8%</t>
        </is>
      </c>
      <c r="E6" s="6" t="inlineStr">
        <is>
          <t>578.6%</t>
        </is>
      </c>
      <c r="F6" s="6" t="inlineStr">
        <is>
          <t>316.7%</t>
        </is>
      </c>
      <c r="G6" s="6" t="inlineStr">
        <is>
          <t>241.8%</t>
        </is>
      </c>
      <c r="H6" s="6" t="inlineStr">
        <is>
          <t>763.7%</t>
        </is>
      </c>
      <c r="I6" s="6" t="inlineStr">
        <is>
          <t>323.6%</t>
        </is>
      </c>
      <c r="J6" s="6" t="inlineStr">
        <is>
          <t>485.2%</t>
        </is>
      </c>
      <c r="K6" s="6" t="inlineStr">
        <is>
          <t>645.9%</t>
        </is>
      </c>
      <c r="L6" s="6" t="n"/>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NSFR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available stable funding</t>
        </is>
      </c>
      <c r="B4" s="6" t="n">
        <v>8562000</v>
      </c>
      <c r="C4" s="6" t="n">
        <v>6821300</v>
      </c>
      <c r="D4" s="6" t="n">
        <v>6891400</v>
      </c>
      <c r="E4" s="6" t="n">
        <v>5557689</v>
      </c>
      <c r="F4" s="6" t="n">
        <v>3492177</v>
      </c>
      <c r="G4" s="6" t="n">
        <v>2536566</v>
      </c>
      <c r="H4" s="6" t="n"/>
      <c r="I4" s="6" t="n"/>
      <c r="J4" s="6" t="n"/>
      <c r="K4" s="6" t="n"/>
      <c r="L4" s="6" t="n"/>
    </row>
    <row r="5">
      <c r="A5" s="6" t="inlineStr">
        <is>
          <t>Total required stable funding</t>
        </is>
      </c>
      <c r="B5" s="6" t="n">
        <v>4378400</v>
      </c>
      <c r="C5" s="6" t="n">
        <v>3987700</v>
      </c>
      <c r="D5" s="6" t="n">
        <v>3146100</v>
      </c>
      <c r="E5" s="6" t="n">
        <v>2615311</v>
      </c>
      <c r="F5" s="6" t="n">
        <v>2248265</v>
      </c>
      <c r="G5" s="6" t="n">
        <v>2029057</v>
      </c>
      <c r="H5" s="6" t="n"/>
      <c r="I5" s="6" t="n"/>
      <c r="J5" s="6" t="n"/>
      <c r="K5" s="6" t="n"/>
      <c r="L5" s="6" t="n"/>
    </row>
    <row r="6">
      <c r="A6" s="6" t="inlineStr">
        <is>
          <t>Net Stable Funding Ratio (%)</t>
        </is>
      </c>
      <c r="B6" s="6" t="inlineStr">
        <is>
          <t>196.0%</t>
        </is>
      </c>
      <c r="C6" s="6" t="inlineStr">
        <is>
          <t>171.2%</t>
        </is>
      </c>
      <c r="D6" s="6" t="inlineStr">
        <is>
          <t>221.8%</t>
        </is>
      </c>
      <c r="E6" s="6" t="inlineStr">
        <is>
          <t>211.8%</t>
        </is>
      </c>
      <c r="F6" s="6" t="inlineStr">
        <is>
          <t>154.9%</t>
        </is>
      </c>
      <c r="G6" s="6" t="inlineStr">
        <is>
          <t>125.0%</t>
        </is>
      </c>
      <c r="H6" s="6" t="n"/>
      <c r="I6" s="6" t="n"/>
      <c r="J6" s="6" t="n"/>
      <c r="K6" s="6" t="n"/>
      <c r="L6" s="6" t="n"/>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MREL is not mentioned anywhere in any of Atom's 6 Pillar 3 Disclosures (FY2021-FY2026) - zero hits for 'MREL', 'minimum requirement for own funds' and 'resolution' in the FY2026 edition, against rich neighbouring terms in the same document ('CET1' 26, 'own funds' 21, 'leverage' 17), so this is a real self-skip and not a failed search. It is also a FORMAL EXCLUSION, not merely silence: the FY2026 edition's Appendix 1 CRR disclosure index states 'Article 437a Disclosure of Own Funds and Eligible Liabilities - Not Applicable - Due to Article 433c (2)', i.e. Atom discloses as a small and non-complex institution and is not required to publish own funds and eligible liabilities (MREL) disclosures.</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2026-09-17T13:27:55Z</dcterms:created>
  <dcterms:modified xmlns:dcterms="http://purl.org/dc/terms/" xmlns:xsi="http://www.w3.org/2001/XMLSchema-instance" xsi:type="dcterms:W3CDTF">2026-09-17T13:27:55Z</dcterms:modified>
</cp:coreProperties>
</file>