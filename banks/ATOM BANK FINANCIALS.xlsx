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8990900</v>
      </c>
      <c r="C6" s="5" t="n">
        <v>7224900</v>
      </c>
      <c r="D6" s="5" t="n">
        <v>7801381</v>
      </c>
      <c r="E6" s="5" t="n">
        <v>4558515</v>
      </c>
      <c r="F6" s="5" t="n">
        <v>2827121</v>
      </c>
      <c r="G6" s="5" t="n">
        <v>2705431</v>
      </c>
      <c r="H6" s="5" t="n">
        <v>2772299</v>
      </c>
      <c r="I6" s="5" t="n">
        <v>1957331</v>
      </c>
      <c r="J6" s="5" t="n">
        <v>648973</v>
      </c>
      <c r="K6" s="5" t="n">
        <v>37489</v>
      </c>
      <c r="N6" t="inlineStr">
        <is>
          <t>Total assets</t>
        </is>
      </c>
      <c r="O6" t="n">
        <v>37489</v>
      </c>
      <c r="P6" t="n">
        <v>648973</v>
      </c>
      <c r="Q6" t="n">
        <v>1957331</v>
      </c>
      <c r="R6" t="n">
        <v>2772299</v>
      </c>
      <c r="S6" t="n">
        <v>2705431</v>
      </c>
      <c r="T6" t="n">
        <v>2827121</v>
      </c>
      <c r="U6" t="n">
        <v>4558515</v>
      </c>
      <c r="V6" t="n">
        <v>7801381</v>
      </c>
      <c r="W6" t="n">
        <v>7224900</v>
      </c>
      <c r="X6" t="n">
        <v>8990900</v>
      </c>
      <c r="BN6" t="inlineStr">
        <is>
          <t>CET1 Ratio</t>
        </is>
      </c>
      <c r="BO6" t="n">
        <v>25.2</v>
      </c>
      <c r="BP6" t="n">
        <v>43.9</v>
      </c>
      <c r="BQ6" t="n">
        <v>17.5</v>
      </c>
      <c r="BR6" t="n">
        <v>17.9</v>
      </c>
      <c r="BS6" t="n">
        <v>18.6</v>
      </c>
      <c r="BT6" t="n">
        <v>15.3</v>
      </c>
      <c r="BU6" t="n">
        <v>20.8</v>
      </c>
      <c r="BV6" t="n">
        <v>19</v>
      </c>
      <c r="BW6" t="n">
        <v>19</v>
      </c>
      <c r="BX6" t="n">
        <v>15</v>
      </c>
    </row>
    <row r="7">
      <c r="A7" s="5" t="inlineStr">
        <is>
          <t>Loans and advances to customers</t>
        </is>
      </c>
      <c r="B7" s="5" t="n">
        <v>5301500</v>
      </c>
      <c r="C7" s="5" t="n">
        <v>4100900</v>
      </c>
      <c r="D7" s="5" t="n">
        <v>2958769</v>
      </c>
      <c r="E7" s="5" t="n">
        <v>2384066</v>
      </c>
      <c r="F7" s="5" t="n">
        <v>1638851</v>
      </c>
      <c r="G7" s="5" t="n">
        <v>1970818</v>
      </c>
      <c r="H7" s="5" t="n">
        <v>2399861</v>
      </c>
      <c r="I7" s="5" t="n">
        <v>1219356</v>
      </c>
      <c r="J7" s="5" t="n">
        <v>99209</v>
      </c>
      <c r="K7" s="5" t="n"/>
      <c r="N7" t="inlineStr">
        <is>
          <t>Loans and advances to customers</t>
        </is>
      </c>
      <c r="P7" t="n">
        <v>99209</v>
      </c>
      <c r="Q7" t="n">
        <v>1219356</v>
      </c>
      <c r="R7" t="n">
        <v>2399861</v>
      </c>
      <c r="S7" t="n">
        <v>1970818</v>
      </c>
      <c r="T7" t="n">
        <v>1638851</v>
      </c>
      <c r="U7" t="n">
        <v>2384066</v>
      </c>
      <c r="V7" t="n">
        <v>2958769</v>
      </c>
      <c r="W7" t="n">
        <v>4100900</v>
      </c>
      <c r="X7" t="n">
        <v>5301500</v>
      </c>
      <c r="BN7" t="inlineStr">
        <is>
          <t>Tier 1 Ratio</t>
        </is>
      </c>
      <c r="BO7" t="n">
        <v>25.2</v>
      </c>
      <c r="BP7" t="n">
        <v>43.9</v>
      </c>
      <c r="BQ7" t="n">
        <v>17.5</v>
      </c>
      <c r="BR7" t="n">
        <v>17.9</v>
      </c>
      <c r="BS7" t="n">
        <v>18.6</v>
      </c>
      <c r="BT7" t="n">
        <v>15.3</v>
      </c>
      <c r="BU7" t="n">
        <v>20.8</v>
      </c>
      <c r="BV7" t="n">
        <v>19</v>
      </c>
      <c r="BW7" t="n">
        <v>19</v>
      </c>
      <c r="BX7" t="n">
        <v>15</v>
      </c>
    </row>
    <row r="8">
      <c r="A8" s="5" t="inlineStr">
        <is>
          <t>Customer deposits</t>
        </is>
      </c>
      <c r="B8" s="5" t="n">
        <v>7538700</v>
      </c>
      <c r="C8" s="5" t="n">
        <v>5746200</v>
      </c>
      <c r="D8" s="5" t="n">
        <v>6551325</v>
      </c>
      <c r="E8" s="5" t="n">
        <v>3229796</v>
      </c>
      <c r="F8" s="5" t="n">
        <v>2154419</v>
      </c>
      <c r="G8" s="5" t="n">
        <v>1864812</v>
      </c>
      <c r="H8" s="5" t="n">
        <v>1771121</v>
      </c>
      <c r="I8" s="5" t="n">
        <v>1439793</v>
      </c>
      <c r="J8" s="5" t="n">
        <v>538060</v>
      </c>
      <c r="K8" s="5" t="n">
        <v>10</v>
      </c>
      <c r="N8" t="inlineStr">
        <is>
          <t>Customer deposits</t>
        </is>
      </c>
      <c r="O8" t="n">
        <v>10</v>
      </c>
      <c r="P8" t="n">
        <v>538060</v>
      </c>
      <c r="Q8" t="n">
        <v>1439793</v>
      </c>
      <c r="R8" t="n">
        <v>1771121</v>
      </c>
      <c r="S8" t="n">
        <v>1864812</v>
      </c>
      <c r="T8" t="n">
        <v>2154419</v>
      </c>
      <c r="U8" t="n">
        <v>3229796</v>
      </c>
      <c r="V8" t="n">
        <v>6551325</v>
      </c>
      <c r="W8" t="n">
        <v>5746200</v>
      </c>
      <c r="X8" t="n">
        <v>7538700</v>
      </c>
      <c r="BN8" t="inlineStr">
        <is>
          <t>Total Capital Ratio</t>
        </is>
      </c>
      <c r="BO8" t="n">
        <v>25.2</v>
      </c>
      <c r="BP8" t="n">
        <v>44.1</v>
      </c>
      <c r="BQ8" t="n">
        <v>18.9</v>
      </c>
      <c r="BR8" t="n">
        <v>18.7</v>
      </c>
      <c r="BS8" t="n">
        <v>19.5</v>
      </c>
      <c r="BT8" t="n">
        <v>16.4</v>
      </c>
      <c r="BU8" t="n">
        <v>21.6</v>
      </c>
      <c r="BV8" t="n">
        <v>19.5</v>
      </c>
      <c r="BW8" t="n">
        <v>19</v>
      </c>
      <c r="BX8" t="n">
        <v>17.1</v>
      </c>
    </row>
    <row r="9">
      <c r="A9" s="5" t="inlineStr">
        <is>
          <t>Total equity</t>
        </is>
      </c>
      <c r="B9" s="5" t="n">
        <v>425200</v>
      </c>
      <c r="C9" s="5" t="n">
        <v>403800</v>
      </c>
      <c r="D9" s="5" t="n">
        <v>284631</v>
      </c>
      <c r="E9" s="5" t="n">
        <v>251094</v>
      </c>
      <c r="F9" s="5" t="n">
        <v>141330</v>
      </c>
      <c r="G9" s="5" t="n">
        <v>200503</v>
      </c>
      <c r="H9" s="5" t="n">
        <v>212704</v>
      </c>
      <c r="I9" s="5" t="n">
        <v>134971</v>
      </c>
      <c r="J9" s="5" t="n">
        <v>104082</v>
      </c>
      <c r="K9" s="5" t="n">
        <v>29296</v>
      </c>
      <c r="N9" t="inlineStr">
        <is>
          <t>Total equity</t>
        </is>
      </c>
      <c r="O9" t="n">
        <v>29296</v>
      </c>
      <c r="P9" t="n">
        <v>104082</v>
      </c>
      <c r="Q9" t="n">
        <v>134971</v>
      </c>
      <c r="R9" t="n">
        <v>212704</v>
      </c>
      <c r="S9" t="n">
        <v>200503</v>
      </c>
      <c r="T9" t="n">
        <v>141330</v>
      </c>
      <c r="U9" t="n">
        <v>251094</v>
      </c>
      <c r="V9" t="n">
        <v>284631</v>
      </c>
      <c r="W9" t="n">
        <v>403800</v>
      </c>
      <c r="X9" t="n">
        <v>425200</v>
      </c>
      <c r="BN9" t="inlineStr">
        <is>
          <t>Leverage Ratio</t>
        </is>
      </c>
      <c r="BO9" t="n">
        <v>54.9</v>
      </c>
      <c r="BP9" t="n">
        <v>10.9</v>
      </c>
      <c r="BQ9" t="n">
        <v>5</v>
      </c>
      <c r="BR9" t="n">
        <v>6.5</v>
      </c>
      <c r="BS9" t="n">
        <v>6</v>
      </c>
      <c r="BT9" t="n">
        <v>3.9</v>
      </c>
      <c r="BU9" t="n">
        <v>6.6</v>
      </c>
      <c r="BV9" t="n">
        <v>6.5</v>
      </c>
      <c r="BW9" t="n">
        <v>6.9</v>
      </c>
      <c r="BX9" t="n">
        <v>5</v>
      </c>
    </row>
    <row r="10">
      <c r="BN10" t="inlineStr">
        <is>
          <t>LCR</t>
        </is>
      </c>
      <c r="BP10" t="n">
        <v>645.9</v>
      </c>
      <c r="BQ10" t="n">
        <v>485.2</v>
      </c>
      <c r="BR10" t="n">
        <v>323.6</v>
      </c>
      <c r="BS10" t="n">
        <v>763.7</v>
      </c>
      <c r="BT10" t="n">
        <v>241.8</v>
      </c>
      <c r="BU10" t="n">
        <v>316.7</v>
      </c>
      <c r="BV10" t="n">
        <v>578.6</v>
      </c>
      <c r="BW10" t="n">
        <v>727.8</v>
      </c>
      <c r="BX10" t="n">
        <v>418.6</v>
      </c>
    </row>
    <row r="11">
      <c r="A11" s="3" t="inlineStr">
        <is>
          <t>Profit &amp; Loss Summary (£'000)</t>
        </is>
      </c>
      <c r="BN11" t="inlineStr">
        <is>
          <t>NSFR</t>
        </is>
      </c>
      <c r="BT11" t="n">
        <v>125</v>
      </c>
      <c r="BU11" t="n">
        <v>154.9</v>
      </c>
      <c r="BV11" t="n">
        <v>211.8</v>
      </c>
      <c r="BW11" t="n">
        <v>221.8</v>
      </c>
      <c r="BX11" t="n">
        <v>171.2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operating income/(expense)</t>
        </is>
      </c>
      <c r="B13" s="5" t="n">
        <v>93500</v>
      </c>
      <c r="C13" s="5" t="n">
        <v>88100</v>
      </c>
      <c r="D13" s="5" t="n">
        <v>65564</v>
      </c>
      <c r="E13" s="5" t="n">
        <v>48018</v>
      </c>
      <c r="F13" s="5" t="n">
        <v>-1714</v>
      </c>
      <c r="G13" s="5" t="n">
        <v>-14533</v>
      </c>
      <c r="H13" s="5" t="n">
        <v>-5025</v>
      </c>
      <c r="I13" s="5" t="n">
        <v>-2576</v>
      </c>
      <c r="J13" s="5" t="n">
        <v>-1335</v>
      </c>
      <c r="K13" s="5" t="n">
        <v>18</v>
      </c>
      <c r="AA13" t="inlineStr">
        <is>
          <t>Net operating income/(expense)</t>
        </is>
      </c>
      <c r="AB13" t="n">
        <v>18</v>
      </c>
      <c r="AC13" t="n">
        <v>-1335</v>
      </c>
      <c r="AD13" t="n">
        <v>-2576</v>
      </c>
      <c r="AE13" t="n">
        <v>-5025</v>
      </c>
      <c r="AF13" t="n">
        <v>-14533</v>
      </c>
      <c r="AG13" t="n">
        <v>-1714</v>
      </c>
      <c r="AH13" t="n">
        <v>48018</v>
      </c>
      <c r="AI13" t="n">
        <v>65564</v>
      </c>
      <c r="AJ13" t="n">
        <v>88100</v>
      </c>
      <c r="AK13" t="n">
        <v>93500</v>
      </c>
    </row>
    <row r="14">
      <c r="A14" s="5" t="inlineStr">
        <is>
          <t>Staff and administrative expense</t>
        </is>
      </c>
      <c r="B14" s="5" t="n">
        <v>-68400</v>
      </c>
      <c r="C14" s="5" t="n">
        <v>-61500</v>
      </c>
      <c r="D14" s="5" t="n">
        <v>-59128</v>
      </c>
      <c r="E14" s="5" t="n">
        <v>-50182</v>
      </c>
      <c r="F14" s="5" t="n">
        <v>-47129</v>
      </c>
      <c r="G14" s="5" t="n">
        <v>-39764</v>
      </c>
      <c r="H14" s="5" t="n">
        <v>-43355</v>
      </c>
      <c r="I14" s="5" t="n">
        <v>-44387</v>
      </c>
      <c r="J14" s="5" t="n">
        <v>-37460</v>
      </c>
      <c r="K14" s="5" t="n">
        <v>-23349</v>
      </c>
      <c r="AA14" t="inlineStr">
        <is>
          <t>Staff and administrative expense</t>
        </is>
      </c>
      <c r="AB14" t="n">
        <v>-23349</v>
      </c>
      <c r="AC14" t="n">
        <v>-37460</v>
      </c>
      <c r="AD14" t="n">
        <v>-44387</v>
      </c>
      <c r="AE14" t="n">
        <v>-43355</v>
      </c>
      <c r="AF14" t="n">
        <v>-39764</v>
      </c>
      <c r="AG14" t="n">
        <v>-47129</v>
      </c>
      <c r="AH14" t="n">
        <v>-50182</v>
      </c>
      <c r="AI14" t="n">
        <v>-59128</v>
      </c>
      <c r="AJ14" t="n">
        <v>-61500</v>
      </c>
      <c r="AK14" t="n">
        <v>-68400</v>
      </c>
    </row>
    <row r="15">
      <c r="A15" s="5" t="inlineStr">
        <is>
          <t>Profit/(loss) for the year</t>
        </is>
      </c>
      <c r="B15" s="5" t="n">
        <v>16900</v>
      </c>
      <c r="C15" s="5" t="n">
        <v>12300</v>
      </c>
      <c r="D15" s="5" t="n">
        <v>-5623</v>
      </c>
      <c r="E15" s="5" t="n">
        <v>-11927</v>
      </c>
      <c r="F15" s="5" t="n">
        <v>-62379</v>
      </c>
      <c r="G15" s="5" t="n">
        <v>-63945</v>
      </c>
      <c r="H15" s="5" t="n">
        <v>-79857</v>
      </c>
      <c r="I15" s="5" t="n">
        <v>-52680</v>
      </c>
      <c r="J15" s="5" t="n">
        <v>-42169</v>
      </c>
      <c r="K15" s="5" t="n">
        <v>-22515</v>
      </c>
      <c r="AA15" t="inlineStr">
        <is>
          <t>Profit/(loss) for the year</t>
        </is>
      </c>
      <c r="AB15" t="n">
        <v>-22515</v>
      </c>
      <c r="AC15" t="n">
        <v>-42169</v>
      </c>
      <c r="AD15" t="n">
        <v>-52680</v>
      </c>
      <c r="AE15" t="n">
        <v>-79857</v>
      </c>
      <c r="AF15" t="n">
        <v>-63945</v>
      </c>
      <c r="AG15" t="n">
        <v>-62379</v>
      </c>
      <c r="AH15" t="n">
        <v>-11927</v>
      </c>
      <c r="AI15" t="n">
        <v>-5623</v>
      </c>
      <c r="AJ15" t="n">
        <v>12300</v>
      </c>
      <c r="AK15" t="n">
        <v>16900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403800</v>
      </c>
      <c r="C19" s="5" t="n">
        <v>284500</v>
      </c>
      <c r="D19" s="5" t="n">
        <v>251094</v>
      </c>
      <c r="E19" s="5" t="n">
        <v>141330</v>
      </c>
      <c r="F19" s="5" t="n">
        <v>200503</v>
      </c>
      <c r="G19" s="5" t="n">
        <v>212704</v>
      </c>
      <c r="H19" s="5" t="n">
        <v>134971</v>
      </c>
      <c r="I19" s="5" t="n">
        <v>104082</v>
      </c>
      <c r="J19" s="5" t="n">
        <v>29296</v>
      </c>
      <c r="K19" s="5" t="n">
        <v>9023</v>
      </c>
      <c r="AN19" t="inlineStr">
        <is>
          <t>Opening equity</t>
        </is>
      </c>
      <c r="AO19" t="n">
        <v>9023</v>
      </c>
      <c r="AP19" t="n">
        <v>29296</v>
      </c>
      <c r="AQ19" t="n">
        <v>104082</v>
      </c>
      <c r="AR19" t="n">
        <v>134971</v>
      </c>
      <c r="AS19" t="n">
        <v>212704</v>
      </c>
      <c r="AT19" t="n">
        <v>200503</v>
      </c>
      <c r="AU19" t="n">
        <v>141330</v>
      </c>
      <c r="AV19" t="n">
        <v>251094</v>
      </c>
      <c r="AW19" t="n">
        <v>284500</v>
      </c>
      <c r="AX19" t="n">
        <v>403800</v>
      </c>
    </row>
    <row r="20">
      <c r="A20" s="5" t="inlineStr">
        <is>
          <t>Total comprehensive income/(expense) for the year</t>
        </is>
      </c>
      <c r="B20" s="5" t="n">
        <v>15400</v>
      </c>
      <c r="C20" s="5" t="n">
        <v>12500</v>
      </c>
      <c r="D20" s="5" t="n">
        <v>-352</v>
      </c>
      <c r="E20" s="5" t="n">
        <v>-12264</v>
      </c>
      <c r="F20" s="5" t="n">
        <v>-61670</v>
      </c>
      <c r="G20" s="5" t="n">
        <v>-64121</v>
      </c>
      <c r="H20" s="5" t="n">
        <v>-79769</v>
      </c>
      <c r="I20" s="5" t="n">
        <v>-53351</v>
      </c>
      <c r="J20" s="5" t="n">
        <v>-41843</v>
      </c>
      <c r="K20" s="5" t="n">
        <v>-22515</v>
      </c>
      <c r="AN20" t="inlineStr">
        <is>
          <t>Total comprehensive income/(expense) for the year</t>
        </is>
      </c>
      <c r="AO20" t="n">
        <v>-22515</v>
      </c>
      <c r="AP20" t="n">
        <v>-41843</v>
      </c>
      <c r="AQ20" t="n">
        <v>-53351</v>
      </c>
      <c r="AR20" t="n">
        <v>-79769</v>
      </c>
      <c r="AS20" t="n">
        <v>-64121</v>
      </c>
      <c r="AT20" t="n">
        <v>-61670</v>
      </c>
      <c r="AU20" t="n">
        <v>-12264</v>
      </c>
      <c r="AV20" t="n">
        <v>-352</v>
      </c>
      <c r="AW20" t="n">
        <v>12500</v>
      </c>
      <c r="AX20" t="n">
        <v>15400</v>
      </c>
    </row>
    <row r="21">
      <c r="A21" s="5" t="inlineStr">
        <is>
          <t>Other equity movements, net</t>
        </is>
      </c>
      <c r="B21" s="5" t="n">
        <v>6000</v>
      </c>
      <c r="C21" s="5" t="n">
        <v>106800</v>
      </c>
      <c r="D21" s="5" t="n">
        <v>33889</v>
      </c>
      <c r="E21" s="5" t="n">
        <v>122028</v>
      </c>
      <c r="F21" s="5" t="n">
        <v>2497</v>
      </c>
      <c r="G21" s="5" t="n">
        <v>51920</v>
      </c>
      <c r="H21" s="5" t="n">
        <v>157502</v>
      </c>
      <c r="I21" s="5" t="n">
        <v>84240</v>
      </c>
      <c r="J21" s="5" t="n">
        <v>116629</v>
      </c>
      <c r="K21" s="5" t="n">
        <v>42788</v>
      </c>
      <c r="AN21" t="inlineStr">
        <is>
          <t>Other equity movements, net</t>
        </is>
      </c>
      <c r="AO21" t="n">
        <v>42788</v>
      </c>
      <c r="AP21" t="n">
        <v>116629</v>
      </c>
      <c r="AQ21" t="n">
        <v>84240</v>
      </c>
      <c r="AR21" t="n">
        <v>157502</v>
      </c>
      <c r="AS21" t="n">
        <v>51920</v>
      </c>
      <c r="AT21" t="n">
        <v>2497</v>
      </c>
      <c r="AU21" t="n">
        <v>122028</v>
      </c>
      <c r="AV21" t="n">
        <v>33889</v>
      </c>
      <c r="AW21" t="n">
        <v>106800</v>
      </c>
      <c r="AX21" t="n">
        <v>6000</v>
      </c>
    </row>
    <row r="22">
      <c r="A22" s="5" t="inlineStr">
        <is>
          <t>Closing equity</t>
        </is>
      </c>
      <c r="B22" s="5" t="n">
        <v>425200</v>
      </c>
      <c r="C22" s="5" t="n">
        <v>403800</v>
      </c>
      <c r="D22" s="5" t="n">
        <v>284631</v>
      </c>
      <c r="E22" s="5" t="n">
        <v>251094</v>
      </c>
      <c r="F22" s="5" t="n">
        <v>141330</v>
      </c>
      <c r="G22" s="5" t="n">
        <v>200503</v>
      </c>
      <c r="H22" s="5" t="n">
        <v>212704</v>
      </c>
      <c r="I22" s="5" t="n">
        <v>134971</v>
      </c>
      <c r="J22" s="5" t="n">
        <v>104082</v>
      </c>
      <c r="K22" s="5" t="n">
        <v>29296</v>
      </c>
      <c r="AN22" t="inlineStr">
        <is>
          <t>Closing equity</t>
        </is>
      </c>
      <c r="AO22" t="n">
        <v>29296</v>
      </c>
      <c r="AP22" t="n">
        <v>104082</v>
      </c>
      <c r="AQ22" t="n">
        <v>134971</v>
      </c>
      <c r="AR22" t="n">
        <v>212704</v>
      </c>
      <c r="AS22" t="n">
        <v>200503</v>
      </c>
      <c r="AT22" t="n">
        <v>141330</v>
      </c>
      <c r="AU22" t="n">
        <v>251094</v>
      </c>
      <c r="AV22" t="n">
        <v>284631</v>
      </c>
      <c r="AW22" t="n">
        <v>403800</v>
      </c>
      <c r="AX22" t="n">
        <v>425200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c r="C26" s="5" t="n"/>
      <c r="D26" s="5" t="n"/>
      <c r="E26" s="5" t="n">
        <v>1176233</v>
      </c>
      <c r="F26" s="5" t="n">
        <v>30842</v>
      </c>
      <c r="G26" s="5" t="n">
        <v>86814</v>
      </c>
      <c r="H26" s="5" t="n">
        <v>-496336</v>
      </c>
      <c r="I26" s="5" t="n">
        <v>101686</v>
      </c>
      <c r="J26" s="5" t="n">
        <v>395754</v>
      </c>
      <c r="K26" s="5" t="n">
        <v>-18557</v>
      </c>
      <c r="BA26" t="inlineStr">
        <is>
          <t>Net cash from/(used in) operating activities</t>
        </is>
      </c>
      <c r="BB26" t="n">
        <v>-18557</v>
      </c>
      <c r="BC26" t="n">
        <v>395754</v>
      </c>
      <c r="BD26" t="n">
        <v>101686</v>
      </c>
      <c r="BE26" t="n">
        <v>-496336</v>
      </c>
      <c r="BF26" t="n">
        <v>86814</v>
      </c>
      <c r="BG26" t="n">
        <v>30842</v>
      </c>
      <c r="BH26" t="n">
        <v>1176233</v>
      </c>
    </row>
    <row r="27">
      <c r="A27" s="5" t="inlineStr">
        <is>
          <t>Net cash from/(used in) investing activities</t>
        </is>
      </c>
      <c r="B27" s="5" t="n"/>
      <c r="C27" s="5" t="n"/>
      <c r="D27" s="5" t="n"/>
      <c r="E27" s="5" t="n">
        <v>-156256</v>
      </c>
      <c r="F27" s="5" t="n">
        <v>16769</v>
      </c>
      <c r="G27" s="5" t="n">
        <v>-91063</v>
      </c>
      <c r="H27" s="5" t="n">
        <v>204637</v>
      </c>
      <c r="I27" s="5" t="n">
        <v>-253264</v>
      </c>
      <c r="J27" s="5" t="n">
        <v>-86510</v>
      </c>
      <c r="K27" s="5" t="n">
        <v>-18672</v>
      </c>
      <c r="BA27" t="inlineStr">
        <is>
          <t>Net cash from/(used in) investing activities</t>
        </is>
      </c>
      <c r="BB27" t="n">
        <v>-18672</v>
      </c>
      <c r="BC27" t="n">
        <v>-86510</v>
      </c>
      <c r="BD27" t="n">
        <v>-253264</v>
      </c>
      <c r="BE27" t="n">
        <v>204637</v>
      </c>
      <c r="BF27" t="n">
        <v>-91063</v>
      </c>
      <c r="BG27" t="n">
        <v>16769</v>
      </c>
      <c r="BH27" t="n">
        <v>-156256</v>
      </c>
    </row>
    <row r="28">
      <c r="A28" s="5" t="inlineStr">
        <is>
          <t>Net cash from/(used in) financing activities</t>
        </is>
      </c>
      <c r="B28" s="5" t="n"/>
      <c r="C28" s="5" t="n"/>
      <c r="D28" s="5" t="n"/>
      <c r="E28" s="5" t="n">
        <v>116793</v>
      </c>
      <c r="F28" s="5" t="n">
        <v>-699</v>
      </c>
      <c r="G28" s="5" t="n">
        <v>49011</v>
      </c>
      <c r="H28" s="5" t="n">
        <v>152543</v>
      </c>
      <c r="I28" s="5" t="n">
        <v>87082</v>
      </c>
      <c r="J28" s="5" t="n">
        <v>112321</v>
      </c>
      <c r="K28" s="5" t="n">
        <v>39287</v>
      </c>
      <c r="BA28" t="inlineStr">
        <is>
          <t>Net cash from/(used in) financing activities</t>
        </is>
      </c>
      <c r="BB28" t="n">
        <v>39287</v>
      </c>
      <c r="BC28" t="n">
        <v>112321</v>
      </c>
      <c r="BD28" t="n">
        <v>87082</v>
      </c>
      <c r="BE28" t="n">
        <v>152543</v>
      </c>
      <c r="BF28" t="n">
        <v>49011</v>
      </c>
      <c r="BG28" t="n">
        <v>-699</v>
      </c>
      <c r="BH28" t="n">
        <v>116793</v>
      </c>
    </row>
    <row r="29">
      <c r="A29" s="5" t="inlineStr">
        <is>
          <t>Cash and balances at central banks at end of year</t>
        </is>
      </c>
      <c r="B29" s="5" t="n"/>
      <c r="C29" s="5" t="n"/>
      <c r="D29" s="5" t="n"/>
      <c r="E29" s="5" t="n">
        <v>1453596</v>
      </c>
      <c r="F29" s="5" t="n">
        <v>316827</v>
      </c>
      <c r="G29" s="5" t="n">
        <v>269915</v>
      </c>
      <c r="H29" s="5" t="n">
        <v>225153</v>
      </c>
      <c r="I29" s="5" t="n">
        <v>364309</v>
      </c>
      <c r="J29" s="5" t="n">
        <v>428805</v>
      </c>
      <c r="K29" s="5" t="n">
        <v>7240</v>
      </c>
      <c r="BA29" t="inlineStr">
        <is>
          <t>Cash and balances at central banks at end of year</t>
        </is>
      </c>
      <c r="BB29" t="n">
        <v>7240</v>
      </c>
      <c r="BC29" t="n">
        <v>428805</v>
      </c>
      <c r="BD29" t="n">
        <v>364309</v>
      </c>
      <c r="BE29" t="n">
        <v>225153</v>
      </c>
      <c r="BF29" t="n">
        <v>269915</v>
      </c>
      <c r="BG29" t="n">
        <v>316827</v>
      </c>
      <c r="BH29" t="n">
        <v>1453596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inlineStr">
        <is>
          <t>15.0%</t>
        </is>
      </c>
      <c r="C33" s="6" t="inlineStr">
        <is>
          <t>19.0%</t>
        </is>
      </c>
      <c r="D33" s="6" t="inlineStr">
        <is>
          <t>19.0%</t>
        </is>
      </c>
      <c r="E33" s="6" t="inlineStr">
        <is>
          <t>20.8%</t>
        </is>
      </c>
      <c r="F33" s="6" t="inlineStr">
        <is>
          <t>15.3%</t>
        </is>
      </c>
      <c r="G33" s="6" t="inlineStr">
        <is>
          <t>18.6%</t>
        </is>
      </c>
      <c r="H33" s="6" t="inlineStr">
        <is>
          <t>17.9%</t>
        </is>
      </c>
      <c r="I33" s="6" t="inlineStr">
        <is>
          <t>17.5%</t>
        </is>
      </c>
      <c r="J33" s="6" t="inlineStr">
        <is>
          <t>43.9%</t>
        </is>
      </c>
      <c r="K33" s="6" t="inlineStr">
        <is>
          <t>25.2%</t>
        </is>
      </c>
    </row>
    <row r="34">
      <c r="A34" s="6" t="inlineStr">
        <is>
          <t>Tier 1 Ratio</t>
        </is>
      </c>
      <c r="B34" s="6" t="inlineStr">
        <is>
          <t>15.0%</t>
        </is>
      </c>
      <c r="C34" s="6" t="inlineStr">
        <is>
          <t>19.0%</t>
        </is>
      </c>
      <c r="D34" s="6" t="inlineStr">
        <is>
          <t>19.0%</t>
        </is>
      </c>
      <c r="E34" s="6" t="inlineStr">
        <is>
          <t>20.8%</t>
        </is>
      </c>
      <c r="F34" s="6" t="inlineStr">
        <is>
          <t>15.3%</t>
        </is>
      </c>
      <c r="G34" s="6" t="inlineStr">
        <is>
          <t>18.6%</t>
        </is>
      </c>
      <c r="H34" s="6" t="inlineStr">
        <is>
          <t>17.9%</t>
        </is>
      </c>
      <c r="I34" s="6" t="inlineStr">
        <is>
          <t>17.5%</t>
        </is>
      </c>
      <c r="J34" s="6" t="inlineStr">
        <is>
          <t>43.9%</t>
        </is>
      </c>
      <c r="K34" s="6" t="inlineStr">
        <is>
          <t>25.2%</t>
        </is>
      </c>
    </row>
    <row r="35">
      <c r="A35" s="6" t="inlineStr">
        <is>
          <t>Total Capital Ratio</t>
        </is>
      </c>
      <c r="B35" s="6" t="inlineStr">
        <is>
          <t>17.1%</t>
        </is>
      </c>
      <c r="C35" s="6" t="inlineStr">
        <is>
          <t>19.0%</t>
        </is>
      </c>
      <c r="D35" s="6" t="inlineStr">
        <is>
          <t>19.5%</t>
        </is>
      </c>
      <c r="E35" s="6" t="inlineStr">
        <is>
          <t>21.6%</t>
        </is>
      </c>
      <c r="F35" s="6" t="inlineStr">
        <is>
          <t>16.4%</t>
        </is>
      </c>
      <c r="G35" s="6" t="inlineStr">
        <is>
          <t>19.5%</t>
        </is>
      </c>
      <c r="H35" s="6" t="inlineStr">
        <is>
          <t>18.7%</t>
        </is>
      </c>
      <c r="I35" s="6" t="inlineStr">
        <is>
          <t>18.9%</t>
        </is>
      </c>
      <c r="J35" s="6" t="inlineStr">
        <is>
          <t>44.1%</t>
        </is>
      </c>
      <c r="K35" s="6" t="inlineStr">
        <is>
          <t>25.2%</t>
        </is>
      </c>
    </row>
    <row r="36">
      <c r="A36" s="6" t="inlineStr">
        <is>
          <t>Leverage Ratio</t>
        </is>
      </c>
      <c r="B36" s="6" t="inlineStr">
        <is>
          <t>5.0%</t>
        </is>
      </c>
      <c r="C36" s="6" t="inlineStr">
        <is>
          <t>6.9%</t>
        </is>
      </c>
      <c r="D36" s="6" t="inlineStr">
        <is>
          <t>6.5%</t>
        </is>
      </c>
      <c r="E36" s="6" t="inlineStr">
        <is>
          <t>6.6%</t>
        </is>
      </c>
      <c r="F36" s="6" t="inlineStr">
        <is>
          <t>3.9%</t>
        </is>
      </c>
      <c r="G36" s="6" t="inlineStr">
        <is>
          <t>6.0%</t>
        </is>
      </c>
      <c r="H36" s="6" t="inlineStr">
        <is>
          <t>6.5%</t>
        </is>
      </c>
      <c r="I36" s="6" t="inlineStr">
        <is>
          <t>5.0%</t>
        </is>
      </c>
      <c r="J36" s="6" t="inlineStr">
        <is>
          <t>10.9%</t>
        </is>
      </c>
      <c r="K36" s="6" t="inlineStr">
        <is>
          <t>54.9%</t>
        </is>
      </c>
    </row>
    <row r="37">
      <c r="A37" s="6" t="inlineStr">
        <is>
          <t>LCR</t>
        </is>
      </c>
      <c r="B37" s="6" t="inlineStr">
        <is>
          <t>418.6%</t>
        </is>
      </c>
      <c r="C37" s="6" t="inlineStr">
        <is>
          <t>727.8%</t>
        </is>
      </c>
      <c r="D37" s="6" t="inlineStr">
        <is>
          <t>578.6%</t>
        </is>
      </c>
      <c r="E37" s="6" t="inlineStr">
        <is>
          <t>316.7%</t>
        </is>
      </c>
      <c r="F37" s="6" t="inlineStr">
        <is>
          <t>241.8%</t>
        </is>
      </c>
      <c r="G37" s="6" t="inlineStr">
        <is>
          <t>763.7%</t>
        </is>
      </c>
      <c r="H37" s="6" t="inlineStr">
        <is>
          <t>323.6%</t>
        </is>
      </c>
      <c r="I37" s="6" t="inlineStr">
        <is>
          <t>485.2%</t>
        </is>
      </c>
      <c r="J37" s="6" t="inlineStr">
        <is>
          <t>645.9%</t>
        </is>
      </c>
      <c r="K37" s="6" t="n"/>
    </row>
    <row r="38">
      <c r="A38" s="6" t="inlineStr">
        <is>
          <t>NSFR</t>
        </is>
      </c>
      <c r="B38" s="6" t="inlineStr">
        <is>
          <t>171.2%</t>
        </is>
      </c>
      <c r="C38" s="6" t="inlineStr">
        <is>
          <t>221.8%</t>
        </is>
      </c>
      <c r="D38" s="6" t="inlineStr">
        <is>
          <t>211.8%</t>
        </is>
      </c>
      <c r="E38" s="6" t="inlineStr">
        <is>
          <t>154.9%</t>
        </is>
      </c>
      <c r="F38" s="6" t="inlineStr">
        <is>
          <t>125.0%</t>
        </is>
      </c>
      <c r="G38" s="6" t="n"/>
      <c r="H38" s="6" t="n"/>
      <c r="I38" s="6" t="n"/>
      <c r="J38" s="6" t="n"/>
      <c r="K38" s="6" t="n"/>
    </row>
    <row r="40" ht="4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 HD-025: extended back to FY2016, the bank's first full year (licensed 2015, launched 2016) - Loans/advances, LCR and NSFR are blank for FY2016 (pre-launch/genuinely undisclosed that year, see the relevant detail sheets' notes).</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Statement of Financial Position</t>
        </is>
      </c>
    </row>
    <row r="2">
      <c r="A2" s="2" t="inlineStr">
        <is>
          <t>Bank (solo)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(FY2016 pre-product-launch presentation)</t>
        </is>
      </c>
      <c r="B5" s="6" t="n"/>
      <c r="C5" s="6" t="n"/>
      <c r="D5" s="6" t="n"/>
      <c r="E5" s="6" t="n"/>
      <c r="F5" s="6" t="n"/>
      <c r="G5" s="6" t="n"/>
      <c r="H5" s="6" t="n"/>
      <c r="I5" s="6" t="n"/>
      <c r="J5" s="6" t="n"/>
      <c r="K5" s="6" t="n">
        <v>7240</v>
      </c>
    </row>
    <row r="6">
      <c r="A6" s="6" t="inlineStr">
        <is>
          <t>Cash and balances at central banks</t>
        </is>
      </c>
      <c r="B6" s="6" t="n">
        <v>1902200</v>
      </c>
      <c r="C6" s="6" t="n">
        <v>2405000</v>
      </c>
      <c r="D6" s="6" t="n">
        <v>4177488</v>
      </c>
      <c r="E6" s="6" t="n">
        <v>1453596</v>
      </c>
      <c r="F6" s="6" t="n">
        <v>316826</v>
      </c>
      <c r="G6" s="6" t="n">
        <v>269915</v>
      </c>
      <c r="H6" s="6" t="n">
        <v>225153</v>
      </c>
      <c r="I6" s="6" t="n">
        <v>364309</v>
      </c>
      <c r="J6" s="6" t="n">
        <v>419765</v>
      </c>
      <c r="K6" s="6" t="n"/>
    </row>
    <row r="7">
      <c r="A7" s="6" t="inlineStr">
        <is>
          <t>Financial investments - UK Treasury Bills and Gilts (FY2016 pre-IFRS 9 presentation)</t>
        </is>
      </c>
      <c r="B7" s="6" t="n"/>
      <c r="C7" s="6" t="n"/>
      <c r="D7" s="6" t="n"/>
      <c r="E7" s="6" t="n"/>
      <c r="F7" s="6" t="n"/>
      <c r="G7" s="6" t="n"/>
      <c r="H7" s="6" t="n"/>
      <c r="I7" s="6" t="n"/>
      <c r="J7" s="6" t="n"/>
      <c r="K7" s="6" t="n">
        <v>6559</v>
      </c>
    </row>
    <row r="8">
      <c r="A8" s="6" t="inlineStr">
        <is>
          <t>Debt instruments at fair value through other comprehensive income (total)</t>
        </is>
      </c>
      <c r="B8" s="6" t="n">
        <v>1384500</v>
      </c>
      <c r="C8" s="6" t="n">
        <v>474700</v>
      </c>
      <c r="D8" s="6" t="n">
        <v>323978</v>
      </c>
      <c r="E8" s="6" t="n">
        <v>297334</v>
      </c>
      <c r="F8" s="6" t="n">
        <v>151052</v>
      </c>
      <c r="G8" s="6" t="n">
        <v>176733</v>
      </c>
      <c r="H8" s="6" t="n">
        <v>99072</v>
      </c>
      <c r="I8" s="6" t="n">
        <v>322361</v>
      </c>
      <c r="J8" s="6" t="n">
        <v>87249</v>
      </c>
      <c r="K8" s="6" t="n"/>
    </row>
    <row r="9">
      <c r="A9" s="6" t="inlineStr">
        <is>
          <t>Debt securities at FVOCI - UK Gilts &amp; T-Bills</t>
        </is>
      </c>
      <c r="B9" s="6" t="n">
        <v>982600</v>
      </c>
      <c r="C9" s="6" t="n">
        <v>174600</v>
      </c>
      <c r="D9" s="6" t="n">
        <v>142297</v>
      </c>
      <c r="E9" s="6" t="n">
        <v>191363</v>
      </c>
      <c r="F9" s="6" t="n">
        <v>65036</v>
      </c>
      <c r="G9" s="6" t="n">
        <v>103717</v>
      </c>
      <c r="H9" s="6" t="n">
        <v>22032</v>
      </c>
      <c r="I9" s="6" t="n">
        <v>238136</v>
      </c>
      <c r="J9" s="6" t="n">
        <v>33970</v>
      </c>
      <c r="K9" s="6" t="n"/>
    </row>
    <row r="10">
      <c r="A10" s="6" t="inlineStr">
        <is>
          <t>Debt securities at FVOCI - Covered Bonds</t>
        </is>
      </c>
      <c r="B10" s="6" t="n">
        <v>351600</v>
      </c>
      <c r="C10" s="6" t="n">
        <v>290100</v>
      </c>
      <c r="D10" s="6" t="n">
        <v>142784</v>
      </c>
      <c r="E10" s="6" t="n">
        <v>70051</v>
      </c>
      <c r="F10" s="6" t="n">
        <v>79513</v>
      </c>
      <c r="G10" s="6" t="n">
        <v>54584</v>
      </c>
      <c r="H10" s="6" t="n">
        <v>49975</v>
      </c>
      <c r="I10" s="6" t="n">
        <v>20939</v>
      </c>
      <c r="J10" s="6" t="n">
        <v>20752</v>
      </c>
      <c r="K10" s="6" t="n"/>
    </row>
    <row r="11">
      <c r="A11" s="6" t="inlineStr">
        <is>
          <t>Debt securities at FVOCI - Residential Mortgage Backed Securities (RMBS)</t>
        </is>
      </c>
      <c r="B11" s="6" t="n">
        <v>50300</v>
      </c>
      <c r="C11" s="6" t="n">
        <v>7800</v>
      </c>
      <c r="D11" s="6" t="n"/>
      <c r="E11" s="6" t="n"/>
      <c r="F11" s="6" t="n"/>
      <c r="G11" s="6" t="n">
        <v>1807</v>
      </c>
      <c r="H11" s="6" t="n">
        <v>10564</v>
      </c>
      <c r="I11" s="6" t="n">
        <v>11132</v>
      </c>
      <c r="J11" s="6" t="n">
        <v>10192</v>
      </c>
      <c r="K11" s="6" t="n"/>
    </row>
    <row r="12">
      <c r="A12" s="6" t="inlineStr">
        <is>
          <t>Debt securities at FVOCI - Multilateral Development Bank and Government Sponsored Debt</t>
        </is>
      </c>
      <c r="B12" s="6" t="n"/>
      <c r="C12" s="6" t="n">
        <v>2200</v>
      </c>
      <c r="D12" s="6" t="n">
        <v>38897</v>
      </c>
      <c r="E12" s="6" t="n">
        <v>35920</v>
      </c>
      <c r="F12" s="6" t="n">
        <v>6503</v>
      </c>
      <c r="G12" s="6" t="n">
        <v>16625</v>
      </c>
      <c r="H12" s="6" t="n">
        <v>16501</v>
      </c>
      <c r="I12" s="6" t="n">
        <v>52154</v>
      </c>
      <c r="J12" s="6" t="n">
        <v>13295</v>
      </c>
      <c r="K12" s="6" t="n"/>
    </row>
    <row r="13">
      <c r="A13" s="6" t="inlineStr">
        <is>
          <t>Debt securities at FVOCI - Money Market Funds</t>
        </is>
      </c>
      <c r="B13" s="6" t="n"/>
      <c r="C13" s="6" t="n"/>
      <c r="D13" s="6" t="n"/>
      <c r="E13" s="6" t="n"/>
      <c r="F13" s="6" t="n"/>
      <c r="G13" s="6" t="n"/>
      <c r="H13" s="6" t="n"/>
      <c r="I13" s="6" t="n"/>
      <c r="J13" s="6" t="n">
        <v>9040</v>
      </c>
      <c r="K13" s="6" t="n"/>
    </row>
    <row r="14">
      <c r="A14" s="6" t="inlineStr">
        <is>
          <t>Debt instruments held at amortised cost</t>
        </is>
      </c>
      <c r="B14" s="6" t="n">
        <v>202500</v>
      </c>
      <c r="C14" s="6" t="n">
        <v>23000</v>
      </c>
      <c r="D14" s="6" t="n">
        <v>150273</v>
      </c>
      <c r="E14" s="6" t="n">
        <v>295103</v>
      </c>
      <c r="F14" s="6" t="n">
        <v>649503</v>
      </c>
      <c r="G14" s="6" t="n">
        <v>223311</v>
      </c>
      <c r="H14" s="6" t="n"/>
      <c r="I14" s="6" t="n"/>
      <c r="J14" s="6" t="n"/>
      <c r="K14" s="6" t="n"/>
    </row>
    <row r="15">
      <c r="A15" s="6" t="inlineStr">
        <is>
          <t>Derivatives held for hedging purposes</t>
        </is>
      </c>
      <c r="B15" s="6" t="n">
        <v>55800</v>
      </c>
      <c r="C15" s="6" t="n">
        <v>62400</v>
      </c>
      <c r="D15" s="6" t="n">
        <v>76882</v>
      </c>
      <c r="E15" s="6" t="n">
        <v>36021</v>
      </c>
      <c r="F15" s="6" t="n">
        <v>4058</v>
      </c>
      <c r="G15" s="6" t="n">
        <v>736</v>
      </c>
      <c r="H15" s="6" t="n"/>
      <c r="I15" s="6" t="n">
        <v>8008</v>
      </c>
      <c r="J15" s="6" t="n"/>
      <c r="K15" s="6" t="n"/>
    </row>
    <row r="16">
      <c r="A16" s="6" t="inlineStr">
        <is>
          <t>Loans and advances to customers</t>
        </is>
      </c>
      <c r="B16" s="6" t="n">
        <v>5301500</v>
      </c>
      <c r="C16" s="6" t="n">
        <v>4100900</v>
      </c>
      <c r="D16" s="6" t="n">
        <v>2958769</v>
      </c>
      <c r="E16" s="6" t="n">
        <v>2384066</v>
      </c>
      <c r="F16" s="6" t="n">
        <v>1638851</v>
      </c>
      <c r="G16" s="6" t="n">
        <v>1970818</v>
      </c>
      <c r="H16" s="6" t="n">
        <v>2399861</v>
      </c>
      <c r="I16" s="6" t="n">
        <v>1219356</v>
      </c>
      <c r="J16" s="6" t="n">
        <v>99209</v>
      </c>
      <c r="K16" s="6" t="n"/>
    </row>
    <row r="17">
      <c r="A17" s="6" t="inlineStr">
        <is>
          <t>Other assets</t>
        </is>
      </c>
      <c r="B17" s="6" t="n">
        <v>76700</v>
      </c>
      <c r="C17" s="6" t="n">
        <v>100100</v>
      </c>
      <c r="D17" s="6" t="n">
        <v>63182</v>
      </c>
      <c r="E17" s="6" t="n">
        <v>46845</v>
      </c>
      <c r="F17" s="6" t="n">
        <v>26077</v>
      </c>
      <c r="G17" s="6" t="n">
        <v>21634</v>
      </c>
      <c r="H17" s="6" t="n">
        <v>17931</v>
      </c>
      <c r="I17" s="6" t="n">
        <v>8649</v>
      </c>
      <c r="J17" s="6" t="n">
        <v>11482</v>
      </c>
      <c r="K17" s="6" t="n">
        <v>2445</v>
      </c>
    </row>
    <row r="18">
      <c r="A18" s="6" t="inlineStr">
        <is>
          <t>Property, plant and equipment</t>
        </is>
      </c>
      <c r="B18" s="6" t="n">
        <v>600</v>
      </c>
      <c r="C18" s="6" t="n">
        <v>700</v>
      </c>
      <c r="D18" s="6" t="n">
        <v>3180</v>
      </c>
      <c r="E18" s="6" t="n">
        <v>4068</v>
      </c>
      <c r="F18" s="6" t="n">
        <v>4865</v>
      </c>
      <c r="G18" s="6" t="n">
        <v>5638</v>
      </c>
      <c r="H18" s="6" t="n">
        <v>562</v>
      </c>
      <c r="I18" s="6" t="n">
        <v>539</v>
      </c>
      <c r="J18" s="6" t="n">
        <v>722</v>
      </c>
      <c r="K18" s="6" t="n">
        <v>484</v>
      </c>
    </row>
    <row r="19">
      <c r="A19" s="6" t="inlineStr">
        <is>
          <t>Intangible assets</t>
        </is>
      </c>
      <c r="B19" s="6" t="n">
        <v>38000</v>
      </c>
      <c r="C19" s="6" t="n">
        <v>41600</v>
      </c>
      <c r="D19" s="6" t="n">
        <v>37829</v>
      </c>
      <c r="E19" s="6" t="n">
        <v>36129</v>
      </c>
      <c r="F19" s="6" t="n">
        <v>35889</v>
      </c>
      <c r="G19" s="6" t="n">
        <v>36646</v>
      </c>
      <c r="H19" s="6" t="n">
        <v>29720</v>
      </c>
      <c r="I19" s="6" t="n">
        <v>34109</v>
      </c>
      <c r="J19" s="6" t="n">
        <v>30546</v>
      </c>
      <c r="K19" s="6" t="n">
        <v>19341</v>
      </c>
    </row>
    <row r="20">
      <c r="A20" s="6" t="inlineStr">
        <is>
          <t>Current tax assets (FY2016 only; recognised as deferred thereafter)</t>
        </is>
      </c>
      <c r="B20" s="6" t="n"/>
      <c r="C20" s="6" t="n"/>
      <c r="D20" s="6" t="n"/>
      <c r="E20" s="6" t="n"/>
      <c r="F20" s="6" t="n"/>
      <c r="G20" s="6" t="n"/>
      <c r="H20" s="6" t="n"/>
      <c r="I20" s="6" t="n"/>
      <c r="J20" s="6" t="n"/>
      <c r="K20" s="6" t="n">
        <v>1420</v>
      </c>
    </row>
    <row r="21">
      <c r="A21" s="6" t="inlineStr">
        <is>
          <t>Deferred tax asset</t>
        </is>
      </c>
      <c r="B21" s="6" t="n">
        <v>29100</v>
      </c>
      <c r="C21" s="6" t="n">
        <v>16500</v>
      </c>
      <c r="D21" s="6" t="n">
        <v>9800</v>
      </c>
      <c r="E21" s="6" t="n">
        <v>5353</v>
      </c>
      <c r="F21" s="6" t="n"/>
      <c r="G21" s="6" t="n"/>
      <c r="H21" s="6" t="n"/>
      <c r="I21" s="6" t="n"/>
      <c r="J21" s="6" t="n"/>
      <c r="K21" s="6" t="n"/>
    </row>
    <row r="22">
      <c r="A22" s="5" t="inlineStr">
        <is>
          <t>Total assets</t>
        </is>
      </c>
      <c r="B22" s="5" t="n">
        <v>8990900</v>
      </c>
      <c r="C22" s="5" t="n">
        <v>7224900</v>
      </c>
      <c r="D22" s="5" t="n">
        <v>7801381</v>
      </c>
      <c r="E22" s="5" t="n">
        <v>4558515</v>
      </c>
      <c r="F22" s="5" t="n">
        <v>2827121</v>
      </c>
      <c r="G22" s="5" t="n">
        <v>2705431</v>
      </c>
      <c r="H22" s="5" t="n">
        <v>2772299</v>
      </c>
      <c r="I22" s="5" t="n">
        <v>1957331</v>
      </c>
      <c r="J22" s="5" t="n">
        <v>648973</v>
      </c>
      <c r="K22" s="5" t="n">
        <v>37489</v>
      </c>
    </row>
    <row r="23">
      <c r="A23" s="5" t="inlineStr">
        <is>
          <t>Liabilities</t>
        </is>
      </c>
      <c r="B23" s="6" t="n"/>
      <c r="C23" s="6" t="n"/>
      <c r="D23" s="6" t="n"/>
      <c r="E23" s="6" t="n"/>
      <c r="F23" s="6" t="n"/>
      <c r="G23" s="6" t="n"/>
      <c r="H23" s="6" t="n"/>
      <c r="I23" s="6" t="n"/>
      <c r="J23" s="6" t="n"/>
      <c r="K23" s="6" t="n"/>
    </row>
    <row r="24">
      <c r="A24" s="6" t="inlineStr">
        <is>
          <t>Customer deposits</t>
        </is>
      </c>
      <c r="B24" s="6" t="n">
        <v>7538700</v>
      </c>
      <c r="C24" s="6" t="n">
        <v>5746200</v>
      </c>
      <c r="D24" s="6" t="n">
        <v>6551325</v>
      </c>
      <c r="E24" s="6" t="n">
        <v>3229796</v>
      </c>
      <c r="F24" s="6" t="n">
        <v>2154419</v>
      </c>
      <c r="G24" s="6" t="n">
        <v>1864812</v>
      </c>
      <c r="H24" s="6" t="n">
        <v>1771121</v>
      </c>
      <c r="I24" s="6" t="n">
        <v>1439793</v>
      </c>
      <c r="J24" s="6" t="n">
        <v>538060</v>
      </c>
      <c r="K24" s="6" t="n">
        <v>10</v>
      </c>
    </row>
    <row r="25">
      <c r="A25" s="6" t="inlineStr">
        <is>
          <t>Borrowings from central banks</t>
        </is>
      </c>
      <c r="B25" s="6" t="n">
        <v>358200</v>
      </c>
      <c r="C25" s="6" t="n">
        <v>683800</v>
      </c>
      <c r="D25" s="6" t="n">
        <v>681403</v>
      </c>
      <c r="E25" s="6" t="n">
        <v>675749</v>
      </c>
      <c r="F25" s="6" t="n">
        <v>378093</v>
      </c>
      <c r="G25" s="6" t="n">
        <v>355481</v>
      </c>
      <c r="H25" s="6" t="n">
        <v>355437</v>
      </c>
      <c r="I25" s="6" t="n">
        <v>355215</v>
      </c>
      <c r="J25" s="6" t="n"/>
      <c r="K25" s="6" t="n"/>
    </row>
    <row r="26">
      <c r="A26" s="6" t="inlineStr">
        <is>
          <t>Deemed loan</t>
        </is>
      </c>
      <c r="B26" s="6" t="n">
        <v>556100</v>
      </c>
      <c r="C26" s="6" t="n">
        <v>322400</v>
      </c>
      <c r="D26" s="6" t="n">
        <v>186864</v>
      </c>
      <c r="E26" s="6" t="n">
        <v>343856</v>
      </c>
      <c r="F26" s="6" t="n">
        <v>110700</v>
      </c>
      <c r="G26" s="6" t="n">
        <v>233091</v>
      </c>
      <c r="H26" s="6" t="n">
        <v>364204</v>
      </c>
      <c r="I26" s="6" t="n"/>
      <c r="J26" s="6" t="n"/>
      <c r="K26" s="6" t="n"/>
    </row>
    <row r="27">
      <c r="A27" s="6" t="inlineStr">
        <is>
          <t>Repurchase agreements</t>
        </is>
      </c>
      <c r="B27" s="6" t="n"/>
      <c r="C27" s="6" t="n"/>
      <c r="D27" s="6" t="n"/>
      <c r="E27" s="6" t="n"/>
      <c r="F27" s="6" t="n"/>
      <c r="G27" s="6" t="n"/>
      <c r="H27" s="6" t="n">
        <v>34851</v>
      </c>
      <c r="I27" s="6" t="n"/>
      <c r="J27" s="6" t="n"/>
      <c r="K27" s="6" t="n"/>
    </row>
    <row r="28">
      <c r="A28" s="6" t="inlineStr">
        <is>
          <t>Subordinated liabilities</t>
        </is>
      </c>
      <c r="B28" s="6" t="n">
        <v>50100</v>
      </c>
      <c r="C28" s="6" t="n">
        <v>0</v>
      </c>
      <c r="D28" s="6" t="n">
        <v>8201</v>
      </c>
      <c r="E28" s="6" t="n">
        <v>8192</v>
      </c>
      <c r="F28" s="6" t="n">
        <v>8180</v>
      </c>
      <c r="G28" s="6" t="n">
        <v>8166</v>
      </c>
      <c r="H28" s="6" t="n">
        <v>8149</v>
      </c>
      <c r="I28" s="6" t="n">
        <v>8134</v>
      </c>
      <c r="J28" s="6" t="n"/>
      <c r="K28" s="6" t="n"/>
    </row>
    <row r="29">
      <c r="A29" s="6" t="inlineStr">
        <is>
          <t>Derivatives held for hedging purposes</t>
        </is>
      </c>
      <c r="B29" s="6" t="n">
        <v>200</v>
      </c>
      <c r="C29" s="6" t="n">
        <v>1100</v>
      </c>
      <c r="D29" s="6" t="n">
        <v>0</v>
      </c>
      <c r="E29" s="6" t="n">
        <v>108</v>
      </c>
      <c r="F29" s="6" t="n">
        <v>4422</v>
      </c>
      <c r="G29" s="6" t="n">
        <v>15113</v>
      </c>
      <c r="H29" s="6" t="n">
        <v>8628</v>
      </c>
      <c r="I29" s="6" t="n"/>
      <c r="J29" s="6" t="n">
        <v>124</v>
      </c>
      <c r="K29" s="6" t="n"/>
    </row>
    <row r="30">
      <c r="A30" s="6" t="inlineStr">
        <is>
          <t>Provisions</t>
        </is>
      </c>
      <c r="B30" s="6" t="n">
        <v>900</v>
      </c>
      <c r="C30" s="6" t="n">
        <v>800</v>
      </c>
      <c r="D30" s="6" t="n">
        <v>425</v>
      </c>
      <c r="E30" s="6" t="n">
        <v>310</v>
      </c>
      <c r="F30" s="6" t="n">
        <v>197</v>
      </c>
      <c r="G30" s="6" t="n">
        <v>2752</v>
      </c>
      <c r="H30" s="6" t="n">
        <v>3585</v>
      </c>
      <c r="I30" s="6" t="n">
        <v>64</v>
      </c>
      <c r="J30" s="6" t="n">
        <v>132</v>
      </c>
      <c r="K30" s="6" t="n"/>
    </row>
    <row r="31">
      <c r="A31" s="6" t="inlineStr">
        <is>
          <t>Other liabilities</t>
        </is>
      </c>
      <c r="B31" s="6" t="n">
        <v>61500</v>
      </c>
      <c r="C31" s="6" t="n">
        <v>66800</v>
      </c>
      <c r="D31" s="6" t="n">
        <v>88532</v>
      </c>
      <c r="E31" s="6" t="n">
        <v>49410</v>
      </c>
      <c r="F31" s="6" t="n">
        <v>29780</v>
      </c>
      <c r="G31" s="6" t="n">
        <v>25513</v>
      </c>
      <c r="H31" s="6" t="n">
        <v>13620</v>
      </c>
      <c r="I31" s="6" t="n">
        <v>19154</v>
      </c>
      <c r="J31" s="6" t="n">
        <v>6575</v>
      </c>
      <c r="K31" s="6" t="n">
        <v>8183</v>
      </c>
    </row>
    <row r="32">
      <c r="A32" s="5" t="inlineStr">
        <is>
          <t>Total liabilities</t>
        </is>
      </c>
      <c r="B32" s="5" t="n">
        <v>8565700</v>
      </c>
      <c r="C32" s="5" t="n">
        <v>6821100</v>
      </c>
      <c r="D32" s="5" t="n">
        <v>7516750</v>
      </c>
      <c r="E32" s="5" t="n">
        <v>4307421</v>
      </c>
      <c r="F32" s="5" t="n">
        <v>2685791</v>
      </c>
      <c r="G32" s="5" t="n">
        <v>2504928</v>
      </c>
      <c r="H32" s="5" t="n">
        <v>2559595</v>
      </c>
      <c r="I32" s="5" t="n">
        <v>1822360</v>
      </c>
      <c r="J32" s="5" t="n">
        <v>544891</v>
      </c>
      <c r="K32" s="5" t="n">
        <v>8193</v>
      </c>
    </row>
    <row r="33">
      <c r="A33" s="5" t="inlineStr">
        <is>
          <t>Equity</t>
        </is>
      </c>
      <c r="B33" s="6" t="n"/>
      <c r="C33" s="6" t="n"/>
      <c r="D33" s="6" t="n"/>
      <c r="E33" s="6" t="n"/>
      <c r="F33" s="6" t="n"/>
      <c r="G33" s="6" t="n"/>
      <c r="H33" s="6" t="n"/>
      <c r="I33" s="6" t="n"/>
      <c r="J33" s="6" t="n"/>
      <c r="K33" s="6" t="n"/>
    </row>
    <row r="34">
      <c r="A34" s="6" t="inlineStr">
        <is>
          <t>Share capital and share premium</t>
        </is>
      </c>
      <c r="B34" s="6" t="n">
        <v>128900</v>
      </c>
      <c r="C34" s="6" t="n">
        <v>128900</v>
      </c>
      <c r="D34" s="6" t="n">
        <v>29305</v>
      </c>
      <c r="E34" s="6" t="n">
        <v>566378</v>
      </c>
      <c r="F34" s="6" t="n">
        <v>448935</v>
      </c>
      <c r="G34" s="6" t="n">
        <v>448935</v>
      </c>
      <c r="H34" s="6" t="n">
        <v>399207</v>
      </c>
      <c r="I34" s="6" t="n">
        <v>246664</v>
      </c>
      <c r="J34" s="6" t="n">
        <v>167318</v>
      </c>
      <c r="K34" s="6" t="n">
        <v>54997</v>
      </c>
    </row>
    <row r="35">
      <c r="A35" s="6" t="inlineStr">
        <is>
          <t>Other reserves</t>
        </is>
      </c>
      <c r="B35" s="6" t="n">
        <v>49200</v>
      </c>
      <c r="C35" s="6" t="n">
        <v>44700</v>
      </c>
      <c r="D35" s="6" t="n">
        <v>37379</v>
      </c>
      <c r="E35" s="6" t="n">
        <v>26875</v>
      </c>
      <c r="F35" s="6" t="n">
        <v>22627</v>
      </c>
      <c r="G35" s="6" t="n">
        <v>19421</v>
      </c>
      <c r="H35" s="6" t="n">
        <v>17405</v>
      </c>
      <c r="I35" s="6" t="n">
        <v>12358</v>
      </c>
      <c r="J35" s="6" t="n">
        <v>8135</v>
      </c>
      <c r="K35" s="6" t="n">
        <v>3501</v>
      </c>
    </row>
    <row r="36">
      <c r="A36" s="6" t="inlineStr">
        <is>
          <t>Accumulated gains/(losses)</t>
        </is>
      </c>
      <c r="B36" s="6" t="n">
        <v>247100</v>
      </c>
      <c r="C36" s="6" t="n">
        <v>230200</v>
      </c>
      <c r="D36" s="6" t="n">
        <v>217947</v>
      </c>
      <c r="E36" s="6" t="n">
        <v>-342159</v>
      </c>
      <c r="F36" s="6" t="n">
        <v>-330232</v>
      </c>
      <c r="G36" s="6" t="n">
        <v>-267853</v>
      </c>
      <c r="H36" s="6" t="n">
        <v>-203908</v>
      </c>
      <c r="I36" s="6" t="n">
        <v>-124051</v>
      </c>
      <c r="J36" s="6" t="n">
        <v>-71371</v>
      </c>
      <c r="K36" s="6" t="n">
        <v>-29202</v>
      </c>
    </row>
    <row r="37">
      <c r="A37" s="5" t="inlineStr">
        <is>
          <t>Total equity</t>
        </is>
      </c>
      <c r="B37" s="5" t="n">
        <v>425200</v>
      </c>
      <c r="C37" s="5" t="n">
        <v>403800</v>
      </c>
      <c r="D37" s="5" t="n">
        <v>284631</v>
      </c>
      <c r="E37" s="5" t="n">
        <v>251094</v>
      </c>
      <c r="F37" s="5" t="n">
        <v>141330</v>
      </c>
      <c r="G37" s="5" t="n">
        <v>200503</v>
      </c>
      <c r="H37" s="5" t="n">
        <v>212704</v>
      </c>
      <c r="I37" s="5" t="n">
        <v>134971</v>
      </c>
      <c r="J37" s="5" t="n">
        <v>104082</v>
      </c>
      <c r="K37" s="5" t="n">
        <v>29296</v>
      </c>
    </row>
    <row r="38">
      <c r="A38" s="5" t="inlineStr">
        <is>
          <t>Total liabilities and equity</t>
        </is>
      </c>
      <c r="B38" s="5" t="n">
        <v>8990900</v>
      </c>
      <c r="C38" s="5" t="n">
        <v>7224900</v>
      </c>
      <c r="D38" s="5" t="n">
        <v>7801381</v>
      </c>
      <c r="E38" s="5" t="n">
        <v>4558515</v>
      </c>
      <c r="F38" s="5" t="n">
        <v>2827121</v>
      </c>
      <c r="G38" s="5" t="n">
        <v>2705431</v>
      </c>
      <c r="H38" s="5" t="n">
        <v>2772299</v>
      </c>
      <c r="I38" s="5" t="n">
        <v>1957331</v>
      </c>
      <c r="J38" s="5" t="n">
        <v>648973</v>
      </c>
      <c r="K38" s="5" t="n">
        <v>37489</v>
      </c>
    </row>
    <row r="40" ht="430" customHeight="1">
      <c r="A40" s="8" t="inlineStr">
        <is>
          <t>Sources - Statement of financial position, Bank basis, £'000: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FY2020/FY2019: Atom Bank Plc full accounts made up to 31 March 2020, p.43 (Bank column) - https://find-and-update.company-information.service.gov.uk/company/08632552/filing-history/MzI4MTUyNjc2OWFkaXF6a2N4/document?format=pdf&amp;download=0
FY2018/FY2017: Atom Bank Plc full accounts made up to 31 March 2018, p.43 (Bank column) - https://find-and-update.company-information.service.gov.uk/company/08632552/filing-history/MzIxNDUyMjk4M2FkaXF6a2N4/document?format=pdf&amp;download=0
FY2016: Atom Bank Plc full accounts made up to 31 March 2016, p.31 - https://find-and-update.company-information.service.gov.uk/company/08632552/filing-history/MzE2MDEwMzEyNGFkaXF6a2N4/document?format=pdf&amp;download=0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HD-025 EXTENSION NOTES: FY2016 is Atom's first full-year balance sheet (the entity incorporated 31 July 2014, prior period was an 8-month stub to 31 March 2015) - it predates any lending, debt-securities-at-FVOCI or IFRS 9 concept entirely (products only launched April-December 2016), so its own filing uses a materially simpler asset structure ('Cash and cash equivalents', 'Financial investments', 'Current tax assets' rather than 'Cash and balances at central banks', 'Debt instruments at FVOCI', 'Deferred tax asset') - kept as its own distinctly-named rows rather than force-mapped onto the later structure, since the underlying concepts genuinely differ (IFRS 9 was early-adopted only from FY2017). 'Deposits from banks' (FY2018's own label for the FY2018 figure) and 'Borrowings from central banks' (the same line's label from FY2019 onward, applied retrospectively to the FY2018 comparative in the FY2019 report) are the same underlying facility, shown under one row name. 'Repurchase agreements' first (and only) appears FY2019 - a real one-year financing instrument, not disclosed before or after.
INVESTMENT COMPOSITION EXTENSION NOTES: 'Financial investments' (FY2016) comprised entirely UK Treasury Bills and Gilts per Note 9 (Financial Investments), which states the balance 'comprise[s] UK Treasury Bills and Gilts and are valued by reference to a quoted market price, therefore included in IFRS13 Level 1' - Atom Bank Plc full accounts made up to 31 March 2016, p.44 - https://find-and-update.company-information.service.gov.uk/company/08632552/filing-history/MzE2MDEwMzEyNGFkaXF6a2N4/document?format=pdf&amp;download=0. Relabelled in place to name this single disclosed issuer type (100% one bucket, nothing to sub-split against) rather than left as a generic 'Financial investments' label that would otherwise fall into a default 'other' issuer-type bucket. The FY2016 filing predates IFRS 9/the FVOCI-vs-amortised-cost measurement-basis distinction entirely (see HD-025 note above) and doesn't use an AFS/trading/FVTPL label for this balance either, so no measurement-basis classification is asserted for this row - genuinely no further detail available on that dimension.
'Debt instruments at fair value through other comprehensive income' is renamed to end '(total)' and split into disclosed issuer-type sub-rows for every year it has a value (FY2017-FY2025), each reconciling EXACTLY to the total - sourced from each report's own 'Assets held for liquidity management' note (or, for FY2023/FY2022, the equivalent Level 1 fair-value-hierarchy table in the fair values note, which breaks the same FVOCI total down by the same issuer categories): FY2025/FY2024 - Note 23, Atom Bank Plc full accounts made up to 31 March 2025, p.107 - https://find-and-update.company-information.service.gov.uk/company/08632552/filing-history/MzQ3NzYwODYzOWFkaXF6a2N4/document?format=pdf&amp;download=0; FY2023/FY2022 - Note 27 (Accounting for financial assets and liabilities - fair values), Atom Bank Plc full accounts made up to 31 March 2023, pp.118-119 - https://find-and-update.company-information.service.gov.uk/company/08632552/filing-history/MzM5ODE2MjM5N2FkaXF6a2N4/document?format=pdf&amp;download=0; FY2021 - Note 19, Atom Bank Plc full accounts made up to 31 March 2021, p.93 (Bank column) - https://find-and-update.company-information.service.gov.uk/company/08632552/filing-history/MzMxNDk5MDE0OWFkaXF6a2N4/document?format=pdf&amp;download=0; FY2020/FY2019 - Note 18, Atom Bank Plc full accounts made up to 31 March 2020, pp.85-86 (Bank column) - https://find-and-update.company-information.service.gov.uk/company/08632552/filing-history/MzI4MTUyNjc2OWFkaXF6a2N4/document?format=pdf&amp;download=0; FY2018/FY2017 - Note 18, Atom Bank Plc full accounts made up to 31 March 2018, p.81 - https://find-and-update.company-information.service.gov.uk/company/08632552/filing-history/MzIxNDUyMjk4M2FkaXF6a2N4/document?format=pdf&amp;download=0. 'Money Market Funds' appears as its own issuer-type sub-line in FY2017 only (£9,040k) - not disclosed in any other year. A 'Residential Mortgage Backed Securities (RMBS)' issuer-type sub-line is nil/not disclosed in FY2025/FY2023/FY2022/FY2021 (left blank rather than assumed zero, consistent with this workbook's convention); likewise 'Multilateral Development Bank and Government Sponsored Debt' is nil/not disclosed in FY2025. 'Debt instruments held at amortised cost' is NOT split - FY2020/FY2021's own note confirms this entire balance is retained RMBS notes from Atom's own Elvet mortgage securitisations (already correctly falling into the 'other' issuer-type bucket with no relabelling needed), and FY2022-FY2025's own notes disclose only the total with no further issuer-type breakdown - genuinely no further detail available for that row in those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Statement of Comprehensive Income</t>
        </is>
      </c>
    </row>
    <row r="2">
      <c r="A2" s="2" t="inlineStr">
        <is>
          <t>Bank (solo)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441700</v>
      </c>
      <c r="C5" s="6" t="n">
        <v>440900</v>
      </c>
      <c r="D5" s="6" t="n">
        <v>208467</v>
      </c>
      <c r="E5" s="6" t="n">
        <v>76836</v>
      </c>
      <c r="F5" s="6" t="n">
        <v>42262</v>
      </c>
      <c r="G5" s="6" t="n">
        <v>46363</v>
      </c>
      <c r="H5" s="6" t="n">
        <v>37916</v>
      </c>
      <c r="I5" s="6" t="n">
        <v>13738</v>
      </c>
      <c r="J5" s="6" t="n">
        <v>725</v>
      </c>
      <c r="K5" s="6" t="n">
        <v>46</v>
      </c>
    </row>
    <row r="6">
      <c r="A6" s="6" t="inlineStr">
        <is>
          <t>Interest expense</t>
        </is>
      </c>
      <c r="B6" s="6" t="n">
        <v>-340400</v>
      </c>
      <c r="C6" s="6" t="n">
        <v>-341800</v>
      </c>
      <c r="D6" s="6" t="n">
        <v>-133218</v>
      </c>
      <c r="E6" s="6" t="n">
        <v>-33566</v>
      </c>
      <c r="F6" s="6" t="n">
        <v>-30199</v>
      </c>
      <c r="G6" s="6" t="n">
        <v>-45135</v>
      </c>
      <c r="H6" s="6" t="n">
        <v>-39800</v>
      </c>
      <c r="I6" s="6" t="n">
        <v>-19367</v>
      </c>
      <c r="J6" s="6" t="n">
        <v>-1601</v>
      </c>
      <c r="K6" s="6" t="n"/>
    </row>
    <row r="7">
      <c r="A7" s="5" t="inlineStr">
        <is>
          <t>Net interest income</t>
        </is>
      </c>
      <c r="B7" s="5" t="n">
        <v>101300</v>
      </c>
      <c r="C7" s="5" t="n">
        <v>99100</v>
      </c>
      <c r="D7" s="5" t="n">
        <v>75249</v>
      </c>
      <c r="E7" s="5" t="n">
        <v>43270</v>
      </c>
      <c r="F7" s="5" t="n">
        <v>12063</v>
      </c>
      <c r="G7" s="5" t="n">
        <v>1228</v>
      </c>
      <c r="H7" s="5" t="n">
        <v>-1884</v>
      </c>
      <c r="I7" s="5" t="n">
        <v>-5629</v>
      </c>
      <c r="J7" s="5" t="n">
        <v>-876</v>
      </c>
      <c r="K7" s="5" t="n">
        <v>46</v>
      </c>
    </row>
    <row r="8">
      <c r="A8" s="6" t="inlineStr">
        <is>
          <t>Net fee and commission expense</t>
        </is>
      </c>
      <c r="B8" s="6" t="n"/>
      <c r="C8" s="6" t="n"/>
      <c r="D8" s="6" t="n"/>
      <c r="E8" s="6" t="n"/>
      <c r="F8" s="6" t="n">
        <v>-1072</v>
      </c>
      <c r="G8" s="6" t="n">
        <v>-775</v>
      </c>
      <c r="H8" s="6" t="n">
        <v>-1010</v>
      </c>
      <c r="I8" s="6" t="n">
        <v>-264</v>
      </c>
      <c r="J8" s="6" t="n">
        <v>-156</v>
      </c>
      <c r="K8" s="6" t="n">
        <v>-28</v>
      </c>
    </row>
    <row r="9">
      <c r="A9" s="6" t="inlineStr">
        <is>
          <t>Gain on disposal of assets held at amortised cost</t>
        </is>
      </c>
      <c r="B9" s="6" t="n"/>
      <c r="C9" s="6" t="n"/>
      <c r="D9" s="6" t="n">
        <v>0</v>
      </c>
      <c r="E9" s="6" t="n">
        <v>1749</v>
      </c>
      <c r="F9" s="6" t="n"/>
      <c r="G9" s="6" t="n"/>
      <c r="H9" s="6" t="n"/>
      <c r="I9" s="6" t="n"/>
      <c r="J9" s="6" t="n"/>
      <c r="K9" s="6" t="n"/>
    </row>
    <row r="10">
      <c r="A10" s="6" t="inlineStr">
        <is>
          <t>Loss on disposal of assets held at amortised cost</t>
        </is>
      </c>
      <c r="B10" s="6" t="n"/>
      <c r="C10" s="6" t="n"/>
      <c r="D10" s="6" t="n"/>
      <c r="E10" s="6" t="n"/>
      <c r="F10" s="6" t="n">
        <v>-9241</v>
      </c>
      <c r="G10" s="6" t="n">
        <v>-9074</v>
      </c>
      <c r="H10" s="6" t="n"/>
      <c r="I10" s="6" t="n"/>
      <c r="J10" s="6" t="n"/>
      <c r="K10" s="6" t="n"/>
    </row>
    <row r="11">
      <c r="A11" s="6" t="inlineStr">
        <is>
          <t>Other income</t>
        </is>
      </c>
      <c r="B11" s="6" t="n"/>
      <c r="C11" s="6" t="n"/>
      <c r="D11" s="6" t="n">
        <v>3083</v>
      </c>
      <c r="E11" s="6" t="n">
        <v>4099</v>
      </c>
      <c r="F11" s="6" t="n"/>
      <c r="G11" s="6" t="n"/>
      <c r="H11" s="6" t="n"/>
      <c r="I11" s="6" t="n">
        <v>3573</v>
      </c>
      <c r="J11" s="6" t="n">
        <v>2</v>
      </c>
      <c r="K11" s="6" t="n"/>
    </row>
    <row r="12">
      <c r="A12" s="6" t="inlineStr">
        <is>
          <t>Other expense</t>
        </is>
      </c>
      <c r="B12" s="6" t="n">
        <v>-700</v>
      </c>
      <c r="C12" s="6" t="n">
        <v>0</v>
      </c>
      <c r="D12" s="6" t="n"/>
      <c r="E12" s="6" t="n"/>
      <c r="F12" s="6" t="n"/>
      <c r="G12" s="6" t="n">
        <v>-131</v>
      </c>
      <c r="H12" s="6" t="n">
        <v>-1238</v>
      </c>
      <c r="I12" s="6" t="n"/>
      <c r="J12" s="6" t="n"/>
      <c r="K12" s="6" t="n"/>
    </row>
    <row r="13">
      <c r="A13" s="6" t="inlineStr">
        <is>
          <t>Other income/(expense)</t>
        </is>
      </c>
      <c r="B13" s="6" t="n"/>
      <c r="C13" s="6" t="n"/>
      <c r="D13" s="6" t="n"/>
      <c r="E13" s="6" t="n"/>
      <c r="F13" s="6" t="n">
        <v>188</v>
      </c>
      <c r="G13" s="6" t="n"/>
      <c r="H13" s="6" t="n"/>
      <c r="I13" s="6" t="n"/>
      <c r="J13" s="6" t="n"/>
      <c r="K13" s="6" t="n"/>
    </row>
    <row r="14">
      <c r="A14" s="6" t="inlineStr">
        <is>
          <t>Credit impairment charges</t>
        </is>
      </c>
      <c r="B14" s="6" t="n">
        <v>-7100</v>
      </c>
      <c r="C14" s="6" t="n">
        <v>-11000</v>
      </c>
      <c r="D14" s="6" t="n">
        <v>-12768</v>
      </c>
      <c r="E14" s="6" t="n">
        <v>-1100</v>
      </c>
      <c r="F14" s="6" t="n">
        <v>-3652</v>
      </c>
      <c r="G14" s="6" t="n">
        <v>-5783</v>
      </c>
      <c r="H14" s="6" t="n">
        <v>-893</v>
      </c>
      <c r="I14" s="6" t="n">
        <v>-256</v>
      </c>
      <c r="J14" s="6" t="n">
        <v>-305</v>
      </c>
      <c r="K14" s="6" t="n"/>
    </row>
    <row r="15">
      <c r="A15" s="5" t="inlineStr">
        <is>
          <t>Net operating income/(expense)</t>
        </is>
      </c>
      <c r="B15" s="5" t="n">
        <v>93500</v>
      </c>
      <c r="C15" s="5" t="n">
        <v>88100</v>
      </c>
      <c r="D15" s="5" t="n">
        <v>65564</v>
      </c>
      <c r="E15" s="5" t="n">
        <v>48018</v>
      </c>
      <c r="F15" s="5" t="n">
        <v>-1714</v>
      </c>
      <c r="G15" s="5" t="n">
        <v>-14533</v>
      </c>
      <c r="H15" s="5" t="n">
        <v>-5025</v>
      </c>
      <c r="I15" s="5" t="n">
        <v>-2576</v>
      </c>
      <c r="J15" s="5" t="n">
        <v>-1335</v>
      </c>
      <c r="K15" s="5" t="n">
        <v>18</v>
      </c>
    </row>
    <row r="16">
      <c r="A16" s="5" t="inlineStr">
        <is>
          <t>Operating expenses</t>
        </is>
      </c>
      <c r="B16" s="6" t="n"/>
      <c r="C16" s="6" t="n"/>
      <c r="D16" s="6" t="n"/>
      <c r="E16" s="6" t="n"/>
      <c r="F16" s="6" t="n"/>
      <c r="G16" s="6" t="n"/>
      <c r="H16" s="6" t="n"/>
      <c r="I16" s="6" t="n"/>
      <c r="J16" s="6" t="n"/>
      <c r="K16" s="6" t="n"/>
    </row>
    <row r="17">
      <c r="A17" s="6" t="inlineStr">
        <is>
          <t>Staff costs</t>
        </is>
      </c>
      <c r="B17" s="6" t="n">
        <v>-36900</v>
      </c>
      <c r="C17" s="6" t="n">
        <v>-32700</v>
      </c>
      <c r="D17" s="6" t="n">
        <v>-31347</v>
      </c>
      <c r="E17" s="6" t="n">
        <v>-25882</v>
      </c>
      <c r="F17" s="6" t="n">
        <v>-24183</v>
      </c>
      <c r="G17" s="6" t="n">
        <v>-20554</v>
      </c>
      <c r="H17" s="6" t="n">
        <v>-23026</v>
      </c>
      <c r="I17" s="6" t="n">
        <v>-26707</v>
      </c>
      <c r="J17" s="6" t="n">
        <v>-19321</v>
      </c>
      <c r="K17" s="6" t="n">
        <v>-11580</v>
      </c>
    </row>
    <row r="18">
      <c r="A18" s="6" t="inlineStr">
        <is>
          <t>Administrative and general expenses</t>
        </is>
      </c>
      <c r="B18" s="6" t="n">
        <v>-31500</v>
      </c>
      <c r="C18" s="6" t="n">
        <v>-28800</v>
      </c>
      <c r="D18" s="6" t="n">
        <v>-27781</v>
      </c>
      <c r="E18" s="6" t="n">
        <v>-24300</v>
      </c>
      <c r="F18" s="6" t="n">
        <v>-22946</v>
      </c>
      <c r="G18" s="6" t="n">
        <v>-19210</v>
      </c>
      <c r="H18" s="6" t="n">
        <v>-20329</v>
      </c>
      <c r="I18" s="6" t="n">
        <v>-17680</v>
      </c>
      <c r="J18" s="6" t="n">
        <v>-18139</v>
      </c>
      <c r="K18" s="6" t="n">
        <v>-11769</v>
      </c>
    </row>
    <row r="19">
      <c r="A19" s="5" t="inlineStr">
        <is>
          <t>Staff and administrative expense</t>
        </is>
      </c>
      <c r="B19" s="5" t="n">
        <v>-68400</v>
      </c>
      <c r="C19" s="5" t="n">
        <v>-61500</v>
      </c>
      <c r="D19" s="5" t="n">
        <v>-59128</v>
      </c>
      <c r="E19" s="5" t="n">
        <v>-50182</v>
      </c>
      <c r="F19" s="5" t="n">
        <v>-47129</v>
      </c>
      <c r="G19" s="5" t="n">
        <v>-39764</v>
      </c>
      <c r="H19" s="5" t="n">
        <v>-43355</v>
      </c>
      <c r="I19" s="5" t="n">
        <v>-44387</v>
      </c>
      <c r="J19" s="5" t="n">
        <v>-37460</v>
      </c>
      <c r="K19" s="5" t="n">
        <v>-23349</v>
      </c>
    </row>
    <row r="20">
      <c r="A20" s="5" t="inlineStr">
        <is>
          <t>Profit/(loss) before other charges</t>
        </is>
      </c>
      <c r="B20" s="5" t="n">
        <v>25100</v>
      </c>
      <c r="C20" s="5" t="n">
        <v>26600</v>
      </c>
      <c r="D20" s="5" t="n">
        <v>6436</v>
      </c>
      <c r="E20" s="5" t="n">
        <v>-2164</v>
      </c>
      <c r="F20" s="5" t="n">
        <v>-48843</v>
      </c>
      <c r="G20" s="5" t="n">
        <v>-54297</v>
      </c>
      <c r="H20" s="5" t="n">
        <v>-48380</v>
      </c>
      <c r="I20" s="5" t="n">
        <v>-46963</v>
      </c>
      <c r="J20" s="5" t="n">
        <v>-38795</v>
      </c>
      <c r="K20" s="5" t="n">
        <v>-23331</v>
      </c>
    </row>
    <row r="21">
      <c r="A21" s="5" t="inlineStr">
        <is>
          <t>Other charges</t>
        </is>
      </c>
      <c r="B21" s="6" t="n"/>
      <c r="C21" s="6" t="n"/>
      <c r="D21" s="6" t="n"/>
      <c r="E21" s="6" t="n"/>
      <c r="F21" s="6" t="n"/>
      <c r="G21" s="6" t="n"/>
      <c r="H21" s="6" t="n"/>
      <c r="I21" s="6" t="n"/>
      <c r="J21" s="6" t="n"/>
      <c r="K21" s="6" t="n"/>
    </row>
    <row r="22">
      <c r="A22" s="6" t="inlineStr">
        <is>
          <t>Amortisation, depreciation and intangible impairment</t>
        </is>
      </c>
      <c r="B22" s="6" t="n">
        <v>-13900</v>
      </c>
      <c r="C22" s="6" t="n">
        <v>-12700</v>
      </c>
      <c r="D22" s="6" t="n">
        <v>-11273</v>
      </c>
      <c r="E22" s="6" t="n">
        <v>-10531</v>
      </c>
      <c r="F22" s="6" t="n">
        <v>-10443</v>
      </c>
      <c r="G22" s="6" t="n">
        <v>-7156</v>
      </c>
      <c r="H22" s="6" t="n">
        <v>-23018</v>
      </c>
      <c r="I22" s="6" t="n">
        <v>-5717</v>
      </c>
      <c r="J22" s="6" t="n">
        <v>-3417</v>
      </c>
      <c r="K22" s="6" t="n">
        <v>-604</v>
      </c>
    </row>
    <row r="23">
      <c r="A23" s="6" t="inlineStr">
        <is>
          <t>Platform transformation costs</t>
        </is>
      </c>
      <c r="B23" s="6" t="n"/>
      <c r="C23" s="6" t="n"/>
      <c r="D23" s="6" t="n"/>
      <c r="E23" s="6" t="n"/>
      <c r="F23" s="6" t="n">
        <v>-596</v>
      </c>
      <c r="G23" s="6" t="n">
        <v>-300</v>
      </c>
      <c r="H23" s="6" t="n">
        <v>-3500</v>
      </c>
      <c r="I23" s="6" t="n"/>
      <c r="J23" s="6" t="n"/>
      <c r="K23" s="6" t="n"/>
    </row>
    <row r="24">
      <c r="A24" s="6" t="inlineStr">
        <is>
          <t>Equity-settled share-based payments</t>
        </is>
      </c>
      <c r="B24" s="6" t="n">
        <v>-6100</v>
      </c>
      <c r="C24" s="6" t="n">
        <v>-7200</v>
      </c>
      <c r="D24" s="6" t="n">
        <v>-5233</v>
      </c>
      <c r="E24" s="6" t="n">
        <v>-4585</v>
      </c>
      <c r="F24" s="6" t="n">
        <v>-2497</v>
      </c>
      <c r="G24" s="6" t="n">
        <v>-2192</v>
      </c>
      <c r="H24" s="6" t="n">
        <v>-4959</v>
      </c>
      <c r="I24" s="6" t="n"/>
      <c r="J24" s="6" t="n"/>
      <c r="K24" s="6" t="n"/>
    </row>
    <row r="25">
      <c r="A25" s="5" t="inlineStr">
        <is>
          <t>Other charges</t>
        </is>
      </c>
      <c r="B25" s="5" t="n">
        <v>-20000</v>
      </c>
      <c r="C25" s="5" t="n">
        <v>-19900</v>
      </c>
      <c r="D25" s="5" t="n">
        <v>-16506</v>
      </c>
      <c r="E25" s="5" t="n">
        <v>-15116</v>
      </c>
      <c r="F25" s="5" t="n">
        <v>-13536</v>
      </c>
      <c r="G25" s="5" t="n">
        <v>-9648</v>
      </c>
      <c r="H25" s="5" t="n">
        <v>-31477</v>
      </c>
      <c r="I25" s="5" t="n">
        <v>-5717</v>
      </c>
      <c r="J25" s="5" t="n">
        <v>-3417</v>
      </c>
      <c r="K25" s="5" t="n">
        <v>-604</v>
      </c>
    </row>
    <row r="26">
      <c r="A26" s="5" t="inlineStr">
        <is>
          <t>Profit/(loss) before taxation</t>
        </is>
      </c>
      <c r="B26" s="5" t="n">
        <v>5100</v>
      </c>
      <c r="C26" s="5" t="n">
        <v>6700</v>
      </c>
      <c r="D26" s="5" t="n">
        <v>-10070</v>
      </c>
      <c r="E26" s="5" t="n">
        <v>-17280</v>
      </c>
      <c r="F26" s="5" t="n"/>
      <c r="G26" s="5" t="n">
        <v>-63945</v>
      </c>
      <c r="H26" s="5" t="n">
        <v>-79857</v>
      </c>
      <c r="I26" s="5" t="n">
        <v>-52680</v>
      </c>
      <c r="J26" s="5" t="n">
        <v>-42212</v>
      </c>
      <c r="K26" s="5" t="n">
        <v>-23935</v>
      </c>
    </row>
    <row r="27">
      <c r="A27" s="6" t="inlineStr">
        <is>
          <t>Taxation credit/(expense)</t>
        </is>
      </c>
      <c r="B27" s="6" t="n">
        <v>11800</v>
      </c>
      <c r="C27" s="6" t="n">
        <v>5600</v>
      </c>
      <c r="D27" s="6" t="n">
        <v>4447</v>
      </c>
      <c r="E27" s="6" t="n">
        <v>5353</v>
      </c>
      <c r="F27" s="6" t="n"/>
      <c r="G27" s="6" t="n"/>
      <c r="H27" s="6" t="n"/>
      <c r="I27" s="6" t="n"/>
      <c r="J27" s="6" t="n">
        <v>43</v>
      </c>
      <c r="K27" s="6" t="n">
        <v>1420</v>
      </c>
    </row>
    <row r="28">
      <c r="A28" s="5" t="inlineStr">
        <is>
          <t>Profit/(loss) for the year</t>
        </is>
      </c>
      <c r="B28" s="5" t="n">
        <v>16900</v>
      </c>
      <c r="C28" s="5" t="n">
        <v>12300</v>
      </c>
      <c r="D28" s="5" t="n">
        <v>-5623</v>
      </c>
      <c r="E28" s="5" t="n">
        <v>-11927</v>
      </c>
      <c r="F28" s="5" t="n">
        <v>-62379</v>
      </c>
      <c r="G28" s="5" t="n">
        <v>-63945</v>
      </c>
      <c r="H28" s="5" t="n">
        <v>-79857</v>
      </c>
      <c r="I28" s="5" t="n">
        <v>-52680</v>
      </c>
      <c r="J28" s="5" t="n">
        <v>-42169</v>
      </c>
      <c r="K28" s="5" t="n">
        <v>-22515</v>
      </c>
    </row>
    <row r="29">
      <c r="A29" s="5" t="inlineStr">
        <is>
          <t>Other comprehensive income/(expense), net of tax</t>
        </is>
      </c>
      <c r="B29" s="6" t="n"/>
      <c r="C29" s="6" t="n"/>
      <c r="D29" s="6" t="n"/>
      <c r="E29" s="6" t="n"/>
      <c r="F29" s="6" t="n"/>
      <c r="G29" s="6" t="n"/>
      <c r="H29" s="6" t="n"/>
      <c r="I29" s="6" t="n"/>
      <c r="J29" s="6" t="n"/>
      <c r="K29" s="6" t="n"/>
    </row>
    <row r="30">
      <c r="A30" s="6" t="inlineStr">
        <is>
          <t>Net (loss)/gain in fair value (fair value reserve)</t>
        </is>
      </c>
      <c r="B30" s="6" t="n">
        <v>-400</v>
      </c>
      <c r="C30" s="6" t="n">
        <v>500</v>
      </c>
      <c r="D30" s="6" t="n">
        <v>117</v>
      </c>
      <c r="E30" s="6" t="n">
        <v>-388</v>
      </c>
      <c r="F30" s="6" t="n">
        <v>725</v>
      </c>
      <c r="G30" s="6" t="n">
        <v>-305</v>
      </c>
      <c r="H30" s="6" t="n">
        <v>171</v>
      </c>
      <c r="I30" s="6" t="n">
        <v>-766</v>
      </c>
      <c r="J30" s="6" t="n">
        <v>317</v>
      </c>
      <c r="K30" s="6" t="n"/>
    </row>
    <row r="31">
      <c r="A31" s="6" t="inlineStr">
        <is>
          <t>Net amount transferred to profit or loss (fair value reserve)</t>
        </is>
      </c>
      <c r="B31" s="6" t="n">
        <v>200</v>
      </c>
      <c r="C31" s="6" t="n">
        <v>100</v>
      </c>
      <c r="D31" s="6" t="n">
        <v>-9</v>
      </c>
      <c r="E31" s="6" t="n">
        <v>51</v>
      </c>
      <c r="F31" s="6" t="n">
        <v>-16</v>
      </c>
      <c r="G31" s="6" t="n">
        <v>129</v>
      </c>
      <c r="H31" s="6" t="n">
        <v>-83</v>
      </c>
      <c r="I31" s="6" t="n">
        <v>95</v>
      </c>
      <c r="J31" s="6" t="n">
        <v>9</v>
      </c>
      <c r="K31" s="6" t="n"/>
    </row>
    <row r="32">
      <c r="A32" s="6" t="inlineStr">
        <is>
          <t>Net (losses)/gains from changes in fair value (cash flow hedge reserve)</t>
        </is>
      </c>
      <c r="B32" s="6" t="n">
        <v>-1300</v>
      </c>
      <c r="C32" s="6" t="n">
        <v>-400</v>
      </c>
      <c r="D32" s="6" t="n">
        <v>5163</v>
      </c>
      <c r="E32" s="6" t="n"/>
      <c r="F32" s="6" t="n"/>
      <c r="G32" s="6" t="n"/>
      <c r="H32" s="6" t="n"/>
      <c r="I32" s="6" t="n"/>
      <c r="J32" s="6" t="n"/>
      <c r="K32" s="6" t="n"/>
    </row>
    <row r="33">
      <c r="A33" s="5" t="inlineStr">
        <is>
          <t>Other comprehensive income/(expense), net of tax</t>
        </is>
      </c>
      <c r="B33" s="5" t="n">
        <v>-1500</v>
      </c>
      <c r="C33" s="5" t="n">
        <v>200</v>
      </c>
      <c r="D33" s="5" t="n">
        <v>5271</v>
      </c>
      <c r="E33" s="5" t="n">
        <v>-337</v>
      </c>
      <c r="F33" s="5" t="n">
        <v>709</v>
      </c>
      <c r="G33" s="5" t="n">
        <v>-176</v>
      </c>
      <c r="H33" s="5" t="n">
        <v>88</v>
      </c>
      <c r="I33" s="5" t="n">
        <v>-671</v>
      </c>
      <c r="J33" s="5" t="n">
        <v>326</v>
      </c>
      <c r="K33" s="5" t="n"/>
    </row>
    <row r="34">
      <c r="A34" s="5" t="inlineStr">
        <is>
          <t>Total comprehensive income/(expense) for the year</t>
        </is>
      </c>
      <c r="B34" s="5" t="n">
        <v>15400</v>
      </c>
      <c r="C34" s="5" t="n">
        <v>12500</v>
      </c>
      <c r="D34" s="5" t="n">
        <v>-352</v>
      </c>
      <c r="E34" s="5" t="n">
        <v>-12264</v>
      </c>
      <c r="F34" s="5" t="n">
        <v>-61670</v>
      </c>
      <c r="G34" s="5" t="n">
        <v>-64121</v>
      </c>
      <c r="H34" s="5" t="n">
        <v>-79769</v>
      </c>
      <c r="I34" s="5" t="n">
        <v>-53351</v>
      </c>
      <c r="J34" s="5" t="n">
        <v>-41843</v>
      </c>
      <c r="K34" s="5" t="n">
        <v>-22515</v>
      </c>
    </row>
    <row r="36" ht="260" customHeight="1">
      <c r="A36" s="8" t="inlineStr">
        <is>
          <t>Sources - Statement of comprehensive income, Bank basis, £'000: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FY2020/FY2019: Atom Bank Plc full accounts made up to 31 March 2020, p.42 (Bank column) - https://find-and-update.company-information.service.gov.uk/company/08632552/filing-history/MzI4MTUyNjc2OWFkaXF6a2N4/document?format=pdf&amp;download=0
FY2018/FY2017: Atom Bank Plc full accounts made up to 31 March 2018, p.42 (Group and Bank identical both years) - https://find-and-update.company-information.service.gov.uk/company/08632552/filing-history/MzIxNDUyMjk4M2FkaXF6a2N4/document?format=pdf&amp;download=0
FY2016: Atom Bank Plc full accounts made up to 31 March 2016, p.30 - https://find-and-update.company-information.service.gov.uk/company/08632552/filing-history/MzE2MDEwMzEyNGFkaXF6a2N4/document?format=pdf&amp;download=0
HD-025 EXTENSION NOTE: FY2016-FY2018 predate the 'Net operating income/(expense)' and 'Profit/(loss) before other charges' subtotal labels used from FY2021 onward - their own reports use 'Net operating expense'/'Total expense' and 'Operating loss'/'Operating costs' for the same arithmetic positions (verified by reproducing each year's own running subtotals exactly). FY2016-FY2018 also predate the 'Platform transformation costs'/'Equity-settled share-based payments' split introduced from FY2019 - those years' share-based payment charges are folded into 'Staff costs' instead (not separately quantified in the source), and 'Amortisation, depreciation and intangible impairment' is labelled 'Amortisation and depreciation' before FY2019 - same concept, shown as a single line either way. FY2016 has no 'Other income'/'Credit impairment charges' lines at all (predates lending and had no non-interest income that year).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K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Fair value reserve</t>
        </is>
      </c>
      <c r="D3" s="4" t="inlineStr">
        <is>
          <t>Cash flow hedge reserve</t>
        </is>
      </c>
      <c r="E3" s="4" t="inlineStr">
        <is>
          <t>Share-based payment reserve</t>
        </is>
      </c>
      <c r="F3" s="4" t="inlineStr">
        <is>
          <t>Accumulated gains/(losses)</t>
        </is>
      </c>
      <c r="G3" s="4" t="inlineStr">
        <is>
          <t>Total equity</t>
        </is>
      </c>
    </row>
    <row r="4">
      <c r="A4" s="5" t="inlineStr">
        <is>
          <t>Balance as at 1 April 2015 (opening FY2016)</t>
        </is>
      </c>
      <c r="B4" s="5" t="n">
        <v>15607</v>
      </c>
      <c r="C4" s="5" t="n"/>
      <c r="D4" s="5" t="n"/>
      <c r="E4" s="5" t="n">
        <v>103</v>
      </c>
      <c r="F4" s="5" t="n">
        <v>-6687</v>
      </c>
      <c r="G4" s="5" t="n">
        <v>9023</v>
      </c>
    </row>
    <row r="5">
      <c r="A5" s="6" t="inlineStr">
        <is>
          <t>Issue of new ordinary shares, net of transaction costs (FY2016)</t>
        </is>
      </c>
      <c r="B5" s="6" t="n">
        <v>39440</v>
      </c>
      <c r="C5" s="6" t="n"/>
      <c r="D5" s="6" t="n"/>
      <c r="E5" s="6" t="n">
        <v>-103</v>
      </c>
      <c r="F5" s="6" t="n"/>
      <c r="G5" s="6" t="n">
        <v>39337</v>
      </c>
    </row>
    <row r="6">
      <c r="A6" s="6" t="inlineStr">
        <is>
          <t>Redemption of preference shares</t>
        </is>
      </c>
      <c r="B6" s="6" t="n">
        <v>-50</v>
      </c>
      <c r="C6" s="6" t="n"/>
      <c r="D6" s="6" t="n"/>
      <c r="E6" s="6" t="n"/>
      <c r="F6" s="6" t="n"/>
      <c r="G6" s="6" t="n">
        <v>-50</v>
      </c>
    </row>
    <row r="7">
      <c r="A7" s="6" t="inlineStr">
        <is>
          <t>Share option scheme reserves (FY2016)</t>
        </is>
      </c>
      <c r="B7" s="6" t="n"/>
      <c r="C7" s="6" t="n"/>
      <c r="D7" s="6" t="n"/>
      <c r="E7" s="6" t="n">
        <v>3501</v>
      </c>
      <c r="F7" s="6" t="n"/>
      <c r="G7" s="6" t="n">
        <v>3501</v>
      </c>
    </row>
    <row r="8">
      <c r="A8" s="6" t="inlineStr">
        <is>
          <t>Loss for the year (FY2016)</t>
        </is>
      </c>
      <c r="B8" s="6" t="n"/>
      <c r="C8" s="6" t="n"/>
      <c r="D8" s="6" t="n"/>
      <c r="E8" s="6" t="n"/>
      <c r="F8" s="6" t="n">
        <v>-22515</v>
      </c>
      <c r="G8" s="6" t="n">
        <v>-22515</v>
      </c>
    </row>
    <row r="9">
      <c r="A9" s="5" t="inlineStr">
        <is>
          <t>Balance as at 31 March 2016</t>
        </is>
      </c>
      <c r="B9" s="5" t="n">
        <v>54997</v>
      </c>
      <c r="C9" s="5" t="n"/>
      <c r="D9" s="5" t="n"/>
      <c r="E9" s="5" t="n">
        <v>3501</v>
      </c>
      <c r="F9" s="5" t="n">
        <v>-29202</v>
      </c>
      <c r="G9" s="5" t="n">
        <v>29296</v>
      </c>
    </row>
    <row r="10">
      <c r="A10" s="6" t="inlineStr">
        <is>
          <t>Loss for the year (FY2017)</t>
        </is>
      </c>
      <c r="B10" s="6" t="n"/>
      <c r="C10" s="6" t="n"/>
      <c r="D10" s="6" t="n"/>
      <c r="E10" s="6" t="n"/>
      <c r="F10" s="6" t="n">
        <v>-42169</v>
      </c>
      <c r="G10" s="6" t="n">
        <v>-42169</v>
      </c>
    </row>
    <row r="11">
      <c r="A11" s="6" t="inlineStr">
        <is>
          <t>Net gain in fair value (FY2017)</t>
        </is>
      </c>
      <c r="B11" s="6" t="n"/>
      <c r="C11" s="6" t="n">
        <v>317</v>
      </c>
      <c r="D11" s="6" t="n"/>
      <c r="E11" s="6" t="n"/>
      <c r="F11" s="6" t="n"/>
      <c r="G11" s="6" t="n">
        <v>317</v>
      </c>
    </row>
    <row r="12">
      <c r="A12" s="6" t="inlineStr">
        <is>
          <t>Net amount transferred to profit or loss (FY2017)</t>
        </is>
      </c>
      <c r="B12" s="6" t="n"/>
      <c r="C12" s="6" t="n">
        <v>9</v>
      </c>
      <c r="D12" s="6" t="n"/>
      <c r="E12" s="6" t="n"/>
      <c r="F12" s="6" t="n"/>
      <c r="G12" s="6" t="n">
        <v>9</v>
      </c>
    </row>
    <row r="13">
      <c r="A13" s="5" t="inlineStr">
        <is>
          <t>Total comprehensive income/(expense) (FY2017)</t>
        </is>
      </c>
      <c r="B13" s="5" t="n"/>
      <c r="C13" s="5" t="n">
        <v>326</v>
      </c>
      <c r="D13" s="5" t="n"/>
      <c r="E13" s="5" t="n"/>
      <c r="F13" s="5" t="n">
        <v>-42169</v>
      </c>
      <c r="G13" s="5" t="n">
        <v>-41843</v>
      </c>
    </row>
    <row r="14">
      <c r="A14" s="6" t="inlineStr">
        <is>
          <t>Issue of new ordinary shares, net of transaction costs (FY2017)</t>
        </is>
      </c>
      <c r="B14" s="6" t="n">
        <v>112321</v>
      </c>
      <c r="C14" s="6" t="n"/>
      <c r="D14" s="6" t="n"/>
      <c r="E14" s="6" t="n"/>
      <c r="F14" s="6" t="n"/>
      <c r="G14" s="6" t="n">
        <v>112321</v>
      </c>
    </row>
    <row r="15">
      <c r="A15" s="6" t="inlineStr">
        <is>
          <t>Employee share schemes - value of services (FY2017)</t>
        </is>
      </c>
      <c r="B15" s="6" t="n"/>
      <c r="C15" s="6" t="n"/>
      <c r="D15" s="6" t="n"/>
      <c r="E15" s="6" t="n">
        <v>4308</v>
      </c>
      <c r="F15" s="6" t="n"/>
      <c r="G15" s="6" t="n">
        <v>4308</v>
      </c>
    </row>
    <row r="16">
      <c r="A16" s="5" t="inlineStr">
        <is>
          <t>Balance as at 31 March 2017</t>
        </is>
      </c>
      <c r="B16" s="5" t="n">
        <v>167318</v>
      </c>
      <c r="C16" s="5" t="n">
        <v>326</v>
      </c>
      <c r="D16" s="5" t="n"/>
      <c r="E16" s="5" t="n">
        <v>7809</v>
      </c>
      <c r="F16" s="5" t="n">
        <v>-71371</v>
      </c>
      <c r="G16" s="5" t="n">
        <v>104082</v>
      </c>
    </row>
    <row r="17">
      <c r="A17" s="6" t="inlineStr">
        <is>
          <t>Loss for the year (FY2018)</t>
        </is>
      </c>
      <c r="B17" s="6" t="n"/>
      <c r="C17" s="6" t="n"/>
      <c r="D17" s="6" t="n"/>
      <c r="E17" s="6" t="n"/>
      <c r="F17" s="6" t="n">
        <v>-52680</v>
      </c>
      <c r="G17" s="6" t="n">
        <v>-52680</v>
      </c>
    </row>
    <row r="18">
      <c r="A18" s="6" t="inlineStr">
        <is>
          <t>Net loss in fair value (FY2018)</t>
        </is>
      </c>
      <c r="B18" s="6" t="n"/>
      <c r="C18" s="6" t="n">
        <v>-766</v>
      </c>
      <c r="D18" s="6" t="n"/>
      <c r="E18" s="6" t="n"/>
      <c r="F18" s="6" t="n"/>
      <c r="G18" s="6" t="n">
        <v>-766</v>
      </c>
    </row>
    <row r="19">
      <c r="A19" s="6" t="inlineStr">
        <is>
          <t>Net amount transferred to profit or loss (FY2018)</t>
        </is>
      </c>
      <c r="B19" s="6" t="n"/>
      <c r="C19" s="6" t="n">
        <v>95</v>
      </c>
      <c r="D19" s="6" t="n"/>
      <c r="E19" s="6" t="n"/>
      <c r="F19" s="6" t="n"/>
      <c r="G19" s="6" t="n">
        <v>95</v>
      </c>
    </row>
    <row r="20">
      <c r="A20" s="5" t="inlineStr">
        <is>
          <t>Total comprehensive expense (FY2018)</t>
        </is>
      </c>
      <c r="B20" s="5" t="n"/>
      <c r="C20" s="5" t="n">
        <v>-671</v>
      </c>
      <c r="D20" s="5" t="n"/>
      <c r="E20" s="5" t="n"/>
      <c r="F20" s="5" t="n">
        <v>-52680</v>
      </c>
      <c r="G20" s="5" t="n">
        <v>-53351</v>
      </c>
    </row>
    <row r="21">
      <c r="A21" s="6" t="inlineStr">
        <is>
          <t>Issue of new ordinary shares, net of transaction costs (FY2018)</t>
        </is>
      </c>
      <c r="B21" s="6" t="n">
        <v>79346</v>
      </c>
      <c r="C21" s="6" t="n"/>
      <c r="D21" s="6" t="n"/>
      <c r="E21" s="6" t="n"/>
      <c r="F21" s="6" t="n"/>
      <c r="G21" s="6" t="n">
        <v>79346</v>
      </c>
    </row>
    <row r="22">
      <c r="A22" s="6" t="inlineStr">
        <is>
          <t>Employee share schemes - value of services (FY2018)</t>
        </is>
      </c>
      <c r="B22" s="6" t="n"/>
      <c r="C22" s="6" t="n"/>
      <c r="D22" s="6" t="n"/>
      <c r="E22" s="6" t="n">
        <v>4894</v>
      </c>
      <c r="F22" s="6" t="n"/>
      <c r="G22" s="6" t="n">
        <v>4894</v>
      </c>
    </row>
    <row r="23">
      <c r="A23" s="5" t="inlineStr">
        <is>
          <t>Balance as at 31 March 2018</t>
        </is>
      </c>
      <c r="B23" s="5" t="n">
        <v>246664</v>
      </c>
      <c r="C23" s="5" t="n">
        <v>-345</v>
      </c>
      <c r="D23" s="5" t="n"/>
      <c r="E23" s="5" t="n">
        <v>12703</v>
      </c>
      <c r="F23" s="5" t="n">
        <v>-124051</v>
      </c>
      <c r="G23" s="5" t="n">
        <v>134971</v>
      </c>
    </row>
    <row r="24">
      <c r="A24" s="6" t="inlineStr">
        <is>
          <t>Loss for the year (FY2019)</t>
        </is>
      </c>
      <c r="B24" s="6" t="n"/>
      <c r="C24" s="6" t="n"/>
      <c r="D24" s="6" t="n"/>
      <c r="E24" s="6" t="n"/>
      <c r="F24" s="6" t="n">
        <v>-79857</v>
      </c>
      <c r="G24" s="6" t="n">
        <v>-79857</v>
      </c>
    </row>
    <row r="25">
      <c r="A25" s="6" t="inlineStr">
        <is>
          <t>Net gain in fair value (FY2019)</t>
        </is>
      </c>
      <c r="B25" s="6" t="n"/>
      <c r="C25" s="6" t="n">
        <v>171</v>
      </c>
      <c r="D25" s="6" t="n"/>
      <c r="E25" s="6" t="n"/>
      <c r="F25" s="6" t="n"/>
      <c r="G25" s="6" t="n">
        <v>171</v>
      </c>
    </row>
    <row r="26">
      <c r="A26" s="6" t="inlineStr">
        <is>
          <t>Net amount transferred to profit or loss (FY2019)</t>
        </is>
      </c>
      <c r="B26" s="6" t="n"/>
      <c r="C26" s="6" t="n">
        <v>-83</v>
      </c>
      <c r="D26" s="6" t="n"/>
      <c r="E26" s="6" t="n"/>
      <c r="F26" s="6" t="n"/>
      <c r="G26" s="6" t="n">
        <v>-83</v>
      </c>
    </row>
    <row r="27">
      <c r="A27" s="5" t="inlineStr">
        <is>
          <t>Total comprehensive income/(expense) (FY2019)</t>
        </is>
      </c>
      <c r="B27" s="5" t="n"/>
      <c r="C27" s="5" t="n">
        <v>88</v>
      </c>
      <c r="D27" s="5" t="n"/>
      <c r="E27" s="5" t="n"/>
      <c r="F27" s="5" t="n">
        <v>-79857</v>
      </c>
      <c r="G27" s="5" t="n">
        <v>-79769</v>
      </c>
    </row>
    <row r="28">
      <c r="A28" s="6" t="inlineStr">
        <is>
          <t>Issue of new ordinary shares, net of transaction costs (FY2019)</t>
        </is>
      </c>
      <c r="B28" s="6" t="n">
        <v>152543</v>
      </c>
      <c r="C28" s="6" t="n"/>
      <c r="D28" s="6" t="n"/>
      <c r="E28" s="6" t="n"/>
      <c r="F28" s="6" t="n"/>
      <c r="G28" s="6" t="n">
        <v>152543</v>
      </c>
    </row>
    <row r="29">
      <c r="A29" s="6" t="inlineStr">
        <is>
          <t>Share schemes - value of services received (FY2019)</t>
        </is>
      </c>
      <c r="B29" s="6" t="n"/>
      <c r="C29" s="6" t="n"/>
      <c r="D29" s="6" t="n"/>
      <c r="E29" s="6" t="n">
        <v>4959</v>
      </c>
      <c r="F29" s="6" t="n"/>
      <c r="G29" s="6" t="n">
        <v>4959</v>
      </c>
    </row>
    <row r="30">
      <c r="A30" s="5" t="inlineStr">
        <is>
          <t>Balance as at 31 March 2019</t>
        </is>
      </c>
      <c r="B30" s="5" t="n">
        <v>399207</v>
      </c>
      <c r="C30" s="5" t="n">
        <v>-257</v>
      </c>
      <c r="D30" s="5" t="n"/>
      <c r="E30" s="5" t="n">
        <v>17662</v>
      </c>
      <c r="F30" s="5" t="n">
        <v>-203908</v>
      </c>
      <c r="G30" s="5" t="n">
        <v>212704</v>
      </c>
    </row>
    <row r="31">
      <c r="A31" s="6" t="inlineStr">
        <is>
          <t>Loss for the year (FY2020)</t>
        </is>
      </c>
      <c r="B31" s="6" t="n"/>
      <c r="C31" s="6" t="n"/>
      <c r="D31" s="6" t="n"/>
      <c r="E31" s="6" t="n"/>
      <c r="F31" s="6" t="n">
        <v>-63945</v>
      </c>
      <c r="G31" s="6" t="n">
        <v>-63945</v>
      </c>
    </row>
    <row r="32">
      <c r="A32" s="6" t="inlineStr">
        <is>
          <t>Net loss in fair value (FY2020)</t>
        </is>
      </c>
      <c r="B32" s="6" t="n"/>
      <c r="C32" s="6" t="n">
        <v>-305</v>
      </c>
      <c r="D32" s="6" t="n"/>
      <c r="E32" s="6" t="n"/>
      <c r="F32" s="6" t="n"/>
      <c r="G32" s="6" t="n">
        <v>-305</v>
      </c>
    </row>
    <row r="33">
      <c r="A33" s="6" t="inlineStr">
        <is>
          <t>Net amount transferred to profit or loss (FY2020)</t>
        </is>
      </c>
      <c r="B33" s="6" t="n"/>
      <c r="C33" s="6" t="n">
        <v>129</v>
      </c>
      <c r="D33" s="6" t="n"/>
      <c r="E33" s="6" t="n"/>
      <c r="F33" s="6" t="n"/>
      <c r="G33" s="6" t="n">
        <v>129</v>
      </c>
    </row>
    <row r="34">
      <c r="A34" s="5" t="inlineStr">
        <is>
          <t>Total comprehensive income/(expense) (FY2020)</t>
        </is>
      </c>
      <c r="B34" s="5" t="n"/>
      <c r="C34" s="5" t="n">
        <v>-176</v>
      </c>
      <c r="D34" s="5" t="n"/>
      <c r="E34" s="5" t="n"/>
      <c r="F34" s="5" t="n">
        <v>-63945</v>
      </c>
      <c r="G34" s="5" t="n">
        <v>-64121</v>
      </c>
    </row>
    <row r="35">
      <c r="A35" s="6" t="inlineStr">
        <is>
          <t>Issue of new ordinary shares, net of transaction costs (FY2020)</t>
        </is>
      </c>
      <c r="B35" s="6" t="n">
        <v>49728</v>
      </c>
      <c r="C35" s="6" t="n"/>
      <c r="D35" s="6" t="n"/>
      <c r="E35" s="6" t="n"/>
      <c r="F35" s="6" t="n"/>
      <c r="G35" s="6" t="n">
        <v>49728</v>
      </c>
    </row>
    <row r="36">
      <c r="A36" s="6" t="inlineStr">
        <is>
          <t>Share schemes - value of services received (FY2020)</t>
        </is>
      </c>
      <c r="B36" s="6" t="n"/>
      <c r="C36" s="6" t="n"/>
      <c r="D36" s="6" t="n"/>
      <c r="E36" s="6" t="n">
        <v>2192</v>
      </c>
      <c r="F36" s="6" t="n"/>
      <c r="G36" s="6" t="n">
        <v>2192</v>
      </c>
    </row>
    <row r="37">
      <c r="A37" s="5" t="inlineStr">
        <is>
          <t>Balance as at 1 April 2020 (opening FY2021)</t>
        </is>
      </c>
      <c r="B37" s="5" t="n">
        <v>448935</v>
      </c>
      <c r="C37" s="5" t="n">
        <v>-433</v>
      </c>
      <c r="D37" s="5" t="n"/>
      <c r="E37" s="5" t="n">
        <v>19854</v>
      </c>
      <c r="F37" s="5" t="n">
        <v>-267853</v>
      </c>
      <c r="G37" s="5" t="n">
        <v>200503</v>
      </c>
    </row>
    <row r="38">
      <c r="A38" s="6" t="inlineStr">
        <is>
          <t>Loss for the year (FY2021)</t>
        </is>
      </c>
      <c r="B38" s="6" t="n"/>
      <c r="C38" s="6" t="n"/>
      <c r="D38" s="6" t="n"/>
      <c r="E38" s="6" t="n"/>
      <c r="F38" s="6" t="n">
        <v>-62379</v>
      </c>
      <c r="G38" s="6" t="n">
        <v>-62379</v>
      </c>
    </row>
    <row r="39">
      <c r="A39" s="6" t="inlineStr">
        <is>
          <t>Net gain in fair value</t>
        </is>
      </c>
      <c r="B39" s="6" t="n"/>
      <c r="C39" s="6" t="n">
        <v>725</v>
      </c>
      <c r="D39" s="6" t="n"/>
      <c r="E39" s="6" t="n"/>
      <c r="F39" s="6" t="n"/>
      <c r="G39" s="6" t="n">
        <v>725</v>
      </c>
    </row>
    <row r="40">
      <c r="A40" s="6" t="inlineStr">
        <is>
          <t>Net amount transferred to profit or loss</t>
        </is>
      </c>
      <c r="B40" s="6" t="n"/>
      <c r="C40" s="6" t="n">
        <v>-16</v>
      </c>
      <c r="D40" s="6" t="n"/>
      <c r="E40" s="6" t="n"/>
      <c r="F40" s="6" t="n"/>
      <c r="G40" s="6" t="n">
        <v>-16</v>
      </c>
    </row>
    <row r="41">
      <c r="A41" s="5" t="inlineStr">
        <is>
          <t>Total comprehensive income/(expense) (FY2021)</t>
        </is>
      </c>
      <c r="B41" s="5" t="n"/>
      <c r="C41" s="5" t="n">
        <v>709</v>
      </c>
      <c r="D41" s="5" t="n"/>
      <c r="E41" s="5" t="n"/>
      <c r="F41" s="5" t="n">
        <v>-62379</v>
      </c>
      <c r="G41" s="5" t="n">
        <v>-61670</v>
      </c>
    </row>
    <row r="42">
      <c r="A42" s="6" t="inlineStr">
        <is>
          <t>Share schemes - value of employee services</t>
        </is>
      </c>
      <c r="B42" s="6" t="n"/>
      <c r="C42" s="6" t="n"/>
      <c r="D42" s="6" t="n"/>
      <c r="E42" s="6" t="n">
        <v>2497</v>
      </c>
      <c r="F42" s="6" t="n"/>
      <c r="G42" s="6" t="n">
        <v>2497</v>
      </c>
    </row>
    <row r="43">
      <c r="A43" s="5" t="inlineStr">
        <is>
          <t>Balance as at 31 March 2021</t>
        </is>
      </c>
      <c r="B43" s="5" t="n">
        <v>448935</v>
      </c>
      <c r="C43" s="5" t="n">
        <v>276</v>
      </c>
      <c r="D43" s="5" t="n"/>
      <c r="E43" s="5" t="n">
        <v>22351</v>
      </c>
      <c r="F43" s="5" t="n">
        <v>-330232</v>
      </c>
      <c r="G43" s="5" t="n">
        <v>141330</v>
      </c>
    </row>
    <row r="44">
      <c r="A44" s="6" t="inlineStr">
        <is>
          <t>Loss for the year (FY2022)</t>
        </is>
      </c>
      <c r="B44" s="6" t="n"/>
      <c r="C44" s="6" t="n"/>
      <c r="D44" s="6" t="n"/>
      <c r="E44" s="6" t="n"/>
      <c r="F44" s="6" t="n">
        <v>-11927</v>
      </c>
      <c r="G44" s="6" t="n">
        <v>-11927</v>
      </c>
    </row>
    <row r="45">
      <c r="A45" s="6" t="inlineStr">
        <is>
          <t>Net loss in fair value</t>
        </is>
      </c>
      <c r="B45" s="6" t="n"/>
      <c r="C45" s="6" t="n">
        <v>-388</v>
      </c>
      <c r="D45" s="6" t="n"/>
      <c r="E45" s="6" t="n"/>
      <c r="F45" s="6" t="n"/>
      <c r="G45" s="6" t="n">
        <v>-388</v>
      </c>
    </row>
    <row r="46">
      <c r="A46" s="6" t="inlineStr">
        <is>
          <t>Net amount transferred to profit or loss</t>
        </is>
      </c>
      <c r="B46" s="6" t="n"/>
      <c r="C46" s="6" t="n">
        <v>51</v>
      </c>
      <c r="D46" s="6" t="n"/>
      <c r="E46" s="6" t="n"/>
      <c r="F46" s="6" t="n"/>
      <c r="G46" s="6" t="n">
        <v>51</v>
      </c>
    </row>
    <row r="47">
      <c r="A47" s="5" t="inlineStr">
        <is>
          <t>Total comprehensive expense (FY2022)</t>
        </is>
      </c>
      <c r="B47" s="5" t="n"/>
      <c r="C47" s="5" t="n">
        <v>-337</v>
      </c>
      <c r="D47" s="5" t="n"/>
      <c r="E47" s="5" t="n"/>
      <c r="F47" s="5" t="n">
        <v>-11927</v>
      </c>
      <c r="G47" s="5" t="n">
        <v>-12264</v>
      </c>
    </row>
    <row r="48">
      <c r="A48" s="6" t="inlineStr">
        <is>
          <t>Issue of new ordinary shares, net of transaction costs</t>
        </is>
      </c>
      <c r="B48" s="6" t="n">
        <v>117443</v>
      </c>
      <c r="C48" s="6" t="n"/>
      <c r="D48" s="6" t="n"/>
      <c r="E48" s="6" t="n"/>
      <c r="F48" s="6" t="n"/>
      <c r="G48" s="6" t="n">
        <v>117443</v>
      </c>
    </row>
    <row r="49">
      <c r="A49" s="6" t="inlineStr">
        <is>
          <t>Share schemes - value of employee services</t>
        </is>
      </c>
      <c r="B49" s="6" t="n"/>
      <c r="C49" s="6" t="n"/>
      <c r="D49" s="6" t="n"/>
      <c r="E49" s="6" t="n">
        <v>4585</v>
      </c>
      <c r="F49" s="6" t="n"/>
      <c r="G49" s="6" t="n">
        <v>4585</v>
      </c>
    </row>
    <row r="50">
      <c r="A50" s="5" t="inlineStr">
        <is>
          <t>Balance as at 31 March 2022</t>
        </is>
      </c>
      <c r="B50" s="5" t="n">
        <v>566378</v>
      </c>
      <c r="C50" s="5" t="n">
        <v>-61</v>
      </c>
      <c r="D50" s="5" t="n"/>
      <c r="E50" s="5" t="n">
        <v>26936</v>
      </c>
      <c r="F50" s="5" t="n">
        <v>-342159</v>
      </c>
      <c r="G50" s="5" t="n">
        <v>251094</v>
      </c>
    </row>
    <row r="51">
      <c r="A51" s="6" t="inlineStr">
        <is>
          <t>Loss for the year (FY2023)</t>
        </is>
      </c>
      <c r="B51" s="6" t="n"/>
      <c r="C51" s="6" t="n"/>
      <c r="D51" s="6" t="n"/>
      <c r="E51" s="6" t="n"/>
      <c r="F51" s="6" t="n">
        <v>-5623</v>
      </c>
      <c r="G51" s="6" t="n">
        <v>-5623</v>
      </c>
    </row>
    <row r="52">
      <c r="A52" s="6" t="inlineStr">
        <is>
          <t>Net gain in fair value</t>
        </is>
      </c>
      <c r="B52" s="6" t="n"/>
      <c r="C52" s="6" t="n">
        <v>117</v>
      </c>
      <c r="D52" s="6" t="n"/>
      <c r="E52" s="6" t="n"/>
      <c r="F52" s="6" t="n"/>
      <c r="G52" s="6" t="n">
        <v>117</v>
      </c>
    </row>
    <row r="53">
      <c r="A53" s="6" t="inlineStr">
        <is>
          <t>Hedging adjustment (cash flow hedge reserve)</t>
        </is>
      </c>
      <c r="B53" s="6" t="n"/>
      <c r="C53" s="6" t="n"/>
      <c r="D53" s="6" t="n">
        <v>5163</v>
      </c>
      <c r="E53" s="6" t="n"/>
      <c r="F53" s="6" t="n"/>
      <c r="G53" s="6" t="n">
        <v>5163</v>
      </c>
    </row>
    <row r="54">
      <c r="A54" s="6" t="inlineStr">
        <is>
          <t>Net amount transferred to profit or loss</t>
        </is>
      </c>
      <c r="B54" s="6" t="n"/>
      <c r="C54" s="6" t="n">
        <v>-9</v>
      </c>
      <c r="D54" s="6" t="n"/>
      <c r="E54" s="6" t="n"/>
      <c r="F54" s="6" t="n"/>
      <c r="G54" s="6" t="n">
        <v>-9</v>
      </c>
    </row>
    <row r="55">
      <c r="A55" s="5" t="inlineStr">
        <is>
          <t>Total comprehensive income/(expense) (FY2023)</t>
        </is>
      </c>
      <c r="B55" s="5" t="n"/>
      <c r="C55" s="5" t="n">
        <v>108</v>
      </c>
      <c r="D55" s="5" t="n">
        <v>5163</v>
      </c>
      <c r="E55" s="5" t="n"/>
      <c r="F55" s="5" t="n">
        <v>-5623</v>
      </c>
      <c r="G55" s="5" t="n">
        <v>-352</v>
      </c>
    </row>
    <row r="56">
      <c r="A56" s="6" t="inlineStr">
        <is>
          <t>Issue of new ordinary shares, net of transaction costs</t>
        </is>
      </c>
      <c r="B56" s="6" t="n">
        <v>28656</v>
      </c>
      <c r="C56" s="6" t="n"/>
      <c r="D56" s="6" t="n"/>
      <c r="E56" s="6" t="n"/>
      <c r="F56" s="6" t="n"/>
      <c r="G56" s="6" t="n">
        <v>28656</v>
      </c>
    </row>
    <row r="57">
      <c r="A57" s="6" t="inlineStr">
        <is>
          <t>Share premium reduction</t>
        </is>
      </c>
      <c r="B57" s="6" t="n">
        <v>-565729</v>
      </c>
      <c r="C57" s="6" t="n"/>
      <c r="D57" s="6" t="n"/>
      <c r="E57" s="6" t="n"/>
      <c r="F57" s="6" t="n">
        <v>565729</v>
      </c>
      <c r="G57" s="6" t="n">
        <v>0</v>
      </c>
    </row>
    <row r="58">
      <c r="A58" s="6" t="inlineStr">
        <is>
          <t>Share schemes - value of employee services</t>
        </is>
      </c>
      <c r="B58" s="6" t="n"/>
      <c r="C58" s="6" t="n"/>
      <c r="D58" s="6" t="n"/>
      <c r="E58" s="6" t="n">
        <v>5233</v>
      </c>
      <c r="F58" s="6" t="n"/>
      <c r="G58" s="6" t="n">
        <v>5233</v>
      </c>
    </row>
    <row r="59">
      <c r="A59" s="5" t="inlineStr">
        <is>
          <t>Balance as at 31 March 2023 (per FY2023 report)</t>
        </is>
      </c>
      <c r="B59" s="5" t="n">
        <v>29305</v>
      </c>
      <c r="C59" s="5" t="n">
        <v>47</v>
      </c>
      <c r="D59" s="5" t="n">
        <v>5163</v>
      </c>
      <c r="E59" s="5" t="n">
        <v>32169</v>
      </c>
      <c r="F59" s="5" t="n">
        <v>217947</v>
      </c>
      <c r="G59" s="5" t="n">
        <v>284631</v>
      </c>
    </row>
    <row r="60">
      <c r="A60" s="5" t="inlineStr">
        <is>
          <t>Balance as at 1 April 2023 (per FY2025 report - restated)</t>
        </is>
      </c>
      <c r="B60" s="5" t="n">
        <v>29300</v>
      </c>
      <c r="C60" s="5" t="n">
        <v>0</v>
      </c>
      <c r="D60" s="5" t="n">
        <v>5200</v>
      </c>
      <c r="E60" s="5" t="n">
        <v>32100</v>
      </c>
      <c r="F60" s="5" t="n">
        <v>217900</v>
      </c>
      <c r="G60" s="5" t="n">
        <v>284500</v>
      </c>
    </row>
    <row r="61">
      <c r="A61" s="6" t="inlineStr">
        <is>
          <t>Profit for the year (FY2024)</t>
        </is>
      </c>
      <c r="B61" s="6" t="n"/>
      <c r="C61" s="6" t="n"/>
      <c r="D61" s="6" t="n"/>
      <c r="E61" s="6" t="n"/>
      <c r="F61" s="6" t="n">
        <v>12300</v>
      </c>
      <c r="G61" s="6" t="n">
        <v>12300</v>
      </c>
    </row>
    <row r="62">
      <c r="A62" s="6" t="inlineStr">
        <is>
          <t>Net gain in fair value</t>
        </is>
      </c>
      <c r="B62" s="6" t="n"/>
      <c r="C62" s="6" t="n">
        <v>500</v>
      </c>
      <c r="D62" s="6" t="n"/>
      <c r="E62" s="6" t="n"/>
      <c r="F62" s="6" t="n"/>
      <c r="G62" s="6" t="n">
        <v>500</v>
      </c>
    </row>
    <row r="63">
      <c r="A63" s="6" t="inlineStr">
        <is>
          <t>Hedging adjustment (cash flow hedge reserve)</t>
        </is>
      </c>
      <c r="B63" s="6" t="n"/>
      <c r="C63" s="6" t="n"/>
      <c r="D63" s="6" t="n">
        <v>-400</v>
      </c>
      <c r="E63" s="6" t="n"/>
      <c r="F63" s="6" t="n"/>
      <c r="G63" s="6" t="n">
        <v>-400</v>
      </c>
    </row>
    <row r="64">
      <c r="A64" s="6" t="inlineStr">
        <is>
          <t>Net amount transferred to profit or loss</t>
        </is>
      </c>
      <c r="B64" s="6" t="n"/>
      <c r="C64" s="6" t="n">
        <v>100</v>
      </c>
      <c r="D64" s="6" t="n"/>
      <c r="E64" s="6" t="n"/>
      <c r="F64" s="6" t="n"/>
      <c r="G64" s="6" t="n">
        <v>100</v>
      </c>
    </row>
    <row r="65">
      <c r="A65" s="5" t="inlineStr">
        <is>
          <t>Total comprehensive income (FY2024)</t>
        </is>
      </c>
      <c r="B65" s="5" t="n"/>
      <c r="C65" s="5" t="n">
        <v>600</v>
      </c>
      <c r="D65" s="5" t="n">
        <v>-400</v>
      </c>
      <c r="E65" s="5" t="n"/>
      <c r="F65" s="5" t="n">
        <v>12300</v>
      </c>
      <c r="G65" s="5" t="n">
        <v>12500</v>
      </c>
    </row>
    <row r="66">
      <c r="A66" s="6" t="inlineStr">
        <is>
          <t>Issue of new ordinary shares, net of transaction costs</t>
        </is>
      </c>
      <c r="B66" s="6" t="n">
        <v>99600</v>
      </c>
      <c r="C66" s="6" t="n"/>
      <c r="D66" s="6" t="n"/>
      <c r="E66" s="6" t="n"/>
      <c r="F66" s="6" t="n"/>
      <c r="G66" s="6" t="n">
        <v>99600</v>
      </c>
    </row>
    <row r="67">
      <c r="A67" s="6" t="inlineStr">
        <is>
          <t>Share schemes - value of employee services</t>
        </is>
      </c>
      <c r="B67" s="6" t="n"/>
      <c r="C67" s="6" t="n"/>
      <c r="D67" s="6" t="n"/>
      <c r="E67" s="6" t="n">
        <v>7200</v>
      </c>
      <c r="F67" s="6" t="n"/>
      <c r="G67" s="6" t="n">
        <v>7200</v>
      </c>
    </row>
    <row r="68">
      <c r="A68" s="5" t="inlineStr">
        <is>
          <t>Balance as at 31 March 2024</t>
        </is>
      </c>
      <c r="B68" s="5" t="n">
        <v>128900</v>
      </c>
      <c r="C68" s="5" t="n">
        <v>600</v>
      </c>
      <c r="D68" s="5" t="n">
        <v>4800</v>
      </c>
      <c r="E68" s="5" t="n">
        <v>39300</v>
      </c>
      <c r="F68" s="5" t="n">
        <v>230200</v>
      </c>
      <c r="G68" s="5" t="n">
        <v>403800</v>
      </c>
    </row>
    <row r="69">
      <c r="A69" s="6" t="inlineStr">
        <is>
          <t>Profit for the year (FY2025)</t>
        </is>
      </c>
      <c r="B69" s="6" t="n"/>
      <c r="C69" s="6" t="n"/>
      <c r="D69" s="6" t="n"/>
      <c r="E69" s="6" t="n"/>
      <c r="F69" s="6" t="n">
        <v>16900</v>
      </c>
      <c r="G69" s="6" t="n">
        <v>16900</v>
      </c>
    </row>
    <row r="70">
      <c r="A70" s="6" t="inlineStr">
        <is>
          <t>Net loss in fair value</t>
        </is>
      </c>
      <c r="B70" s="6" t="n"/>
      <c r="C70" s="6" t="n">
        <v>-400</v>
      </c>
      <c r="D70" s="6" t="n"/>
      <c r="E70" s="6" t="n"/>
      <c r="F70" s="6" t="n"/>
      <c r="G70" s="6" t="n">
        <v>-400</v>
      </c>
    </row>
    <row r="71">
      <c r="A71" s="6" t="inlineStr">
        <is>
          <t>Hedging adjustment (cash flow hedge reserve)</t>
        </is>
      </c>
      <c r="B71" s="6" t="n"/>
      <c r="C71" s="6" t="n"/>
      <c r="D71" s="6" t="n">
        <v>-1300</v>
      </c>
      <c r="E71" s="6" t="n"/>
      <c r="F71" s="6" t="n"/>
      <c r="G71" s="6" t="n">
        <v>-1300</v>
      </c>
    </row>
    <row r="72">
      <c r="A72" s="6" t="inlineStr">
        <is>
          <t>Net amount transferred to profit or loss</t>
        </is>
      </c>
      <c r="B72" s="6" t="n"/>
      <c r="C72" s="6" t="n">
        <v>200</v>
      </c>
      <c r="D72" s="6" t="n"/>
      <c r="E72" s="6" t="n"/>
      <c r="F72" s="6" t="n"/>
      <c r="G72" s="6" t="n">
        <v>200</v>
      </c>
    </row>
    <row r="73">
      <c r="A73" s="5" t="inlineStr">
        <is>
          <t>Total comprehensive income (FY2025)</t>
        </is>
      </c>
      <c r="B73" s="5" t="n"/>
      <c r="C73" s="5" t="n">
        <v>-200</v>
      </c>
      <c r="D73" s="5" t="n">
        <v>-1300</v>
      </c>
      <c r="E73" s="5" t="n"/>
      <c r="F73" s="5" t="n">
        <v>16900</v>
      </c>
      <c r="G73" s="5" t="n">
        <v>15400</v>
      </c>
    </row>
    <row r="74">
      <c r="A74" s="6" t="inlineStr">
        <is>
          <t>Share schemes - value of employee services</t>
        </is>
      </c>
      <c r="B74" s="6" t="n"/>
      <c r="C74" s="6" t="n"/>
      <c r="D74" s="6" t="n"/>
      <c r="E74" s="6" t="n">
        <v>6000</v>
      </c>
      <c r="F74" s="6" t="n"/>
      <c r="G74" s="6" t="n">
        <v>6000</v>
      </c>
    </row>
    <row r="75">
      <c r="A75" s="5" t="inlineStr">
        <is>
          <t>Balance as at 31 March 2025</t>
        </is>
      </c>
      <c r="B75" s="5" t="n">
        <v>128900</v>
      </c>
      <c r="C75" s="5" t="n">
        <v>400</v>
      </c>
      <c r="D75" s="5" t="n">
        <v>3500</v>
      </c>
      <c r="E75" s="5" t="n">
        <v>45300</v>
      </c>
      <c r="F75" s="5" t="n">
        <v>247100</v>
      </c>
      <c r="G75" s="5" t="n">
        <v>425200</v>
      </c>
    </row>
    <row r="77" ht="280" customHeight="1">
      <c r="A77" s="8" t="inlineStr">
        <is>
          <t>Sources - Statement of changes in equity, Bank basis, £'000, read chronologically:
FY2016 movements: Atom Bank Plc full accounts made up to 31 March 2016, p.32 - https://find-and-update.company-information.service.gov.uk/company/08632552/filing-history/MzE2MDEwMzEyNGFkaXF6a2N4/document?format=pdf&amp;download=0
FY2017 movements: Atom Bank Plc full accounts made up to 31 March 2018, p.44 (Bank column - FY2017's own filing is legible for this statement, but FY2018's report gives the same FY2017 movements with clearer per-row detail) - https://find-and-update.company-information.service.gov.uk/company/08632552/filing-history/MzIxNDUyMjk4M2FkaXF6a2N4/document?format=pdf&amp;download=0
FY2018 movements: Atom Bank Plc full accounts made up to 31 March 2018, p.44 (Bank column) - https://find-and-update.company-information.service.gov.uk/company/08632552/filing-history/MzIxNDUyMjk4M2FkaXF6a2N4/document?format=pdf&amp;download=0
FY2019 movements: Atom Bank Plc full accounts made up to 31 March 2019, p.56 (Bank column) - https://find-and-update.company-information.service.gov.uk/company/08632552/filing-history/MzI0MTY5Njg4NGFkaXF6a2N4/document?format=pdf&amp;download=0
FY2020 movements: Atom Bank Plc full accounts made up to 31 March 2020, p.43 (Bank column) - https://find-and-update.company-information.service.gov.uk/company/08632552/filing-history/MzI4MTUyNjc2OWFkaXF6a2N4/document?format=pdf&amp;download=0
The Bank-basis rollforward carries no treasury-shares column (treasury shares are a Group-only consolidation of the Employee Benefit Trust - see the pre-existing FY2021+ note on this) so none is added here either. FY2016's opening balance (1 April 2015) and its 'Issue of new ordinary shares' row combine the source's own separate 'Share capital' and 'Share premium account' columns into this sheet's single 'Share capital and share premium' column, consistent with every later year; that same FY2016 row also shows a genuine £103k reversal in the 'Other reserves' (Share-based payment reserve) column, printed exactly as the source shows it, not smoothed away.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77:G7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Statement of Cash Flows</t>
        </is>
      </c>
    </row>
    <row r="2">
      <c r="A2" s="2" t="inlineStr">
        <is>
          <t>Bank (solo) basis, £'000. FY2023-FY2025 blank - see source note at bottom (FRS 101 cash-flow exemption).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Loss for the year</t>
        </is>
      </c>
      <c r="B5" s="6" t="n"/>
      <c r="C5" s="6" t="n"/>
      <c r="D5" s="6" t="n"/>
      <c r="E5" s="6" t="n">
        <v>-11927</v>
      </c>
      <c r="F5" s="6" t="n">
        <v>-62379</v>
      </c>
      <c r="G5" s="6" t="n">
        <v>-63945</v>
      </c>
      <c r="H5" s="6" t="n">
        <v>-79857</v>
      </c>
      <c r="I5" s="6" t="n">
        <v>-52680</v>
      </c>
      <c r="J5" s="6" t="n">
        <v>-42169</v>
      </c>
      <c r="K5" s="6" t="n">
        <v>-22515</v>
      </c>
    </row>
    <row r="6">
      <c r="A6" s="6" t="inlineStr">
        <is>
          <t>Depreciation and amortisation</t>
        </is>
      </c>
      <c r="B6" s="6" t="n"/>
      <c r="C6" s="6" t="n"/>
      <c r="D6" s="6" t="n"/>
      <c r="E6" s="6" t="n">
        <v>10531</v>
      </c>
      <c r="F6" s="6" t="n">
        <v>10442</v>
      </c>
      <c r="G6" s="6" t="n">
        <v>7156</v>
      </c>
      <c r="H6" s="6" t="n">
        <v>12416</v>
      </c>
      <c r="I6" s="6" t="n">
        <v>5717</v>
      </c>
      <c r="J6" s="6" t="n">
        <v>3417</v>
      </c>
      <c r="K6" s="6" t="n">
        <v>604</v>
      </c>
    </row>
    <row r="7">
      <c r="A7" s="6" t="inlineStr">
        <is>
          <t>Deferred tax asset recognised</t>
        </is>
      </c>
      <c r="B7" s="6" t="n"/>
      <c r="C7" s="6" t="n"/>
      <c r="D7" s="6" t="n"/>
      <c r="E7" s="6" t="n">
        <v>-5353</v>
      </c>
      <c r="F7" s="6" t="n"/>
      <c r="G7" s="6" t="n"/>
      <c r="H7" s="6" t="n"/>
      <c r="I7" s="6" t="n"/>
      <c r="J7" s="6" t="n"/>
      <c r="K7" s="6" t="n"/>
    </row>
    <row r="8">
      <c r="A8" s="6" t="inlineStr">
        <is>
          <t>Impairment of intangible assets</t>
        </is>
      </c>
      <c r="B8" s="6" t="n"/>
      <c r="C8" s="6" t="n"/>
      <c r="D8" s="6" t="n"/>
      <c r="E8" s="6" t="n"/>
      <c r="F8" s="6" t="n">
        <v>0</v>
      </c>
      <c r="G8" s="6" t="n"/>
      <c r="H8" s="6" t="n">
        <v>10602</v>
      </c>
      <c r="I8" s="6" t="n"/>
      <c r="J8" s="6" t="n"/>
      <c r="K8" s="6" t="n"/>
    </row>
    <row r="9">
      <c r="A9" s="6" t="inlineStr">
        <is>
          <t>Property, plant and equipment disposal (FY2018-FY2019 only)</t>
        </is>
      </c>
      <c r="B9" s="6" t="n"/>
      <c r="C9" s="6" t="n"/>
      <c r="D9" s="6" t="n"/>
      <c r="E9" s="6" t="n"/>
      <c r="F9" s="6" t="n"/>
      <c r="G9" s="6" t="n"/>
      <c r="H9" s="6" t="n"/>
      <c r="I9" s="6" t="n">
        <v>16</v>
      </c>
      <c r="J9" s="6" t="n"/>
      <c r="K9" s="6" t="n"/>
    </row>
    <row r="10">
      <c r="A10" s="6" t="inlineStr">
        <is>
          <t>Intangible assets adjustments and write-off (FY2016 only)</t>
        </is>
      </c>
      <c r="B10" s="6" t="n"/>
      <c r="C10" s="6" t="n"/>
      <c r="D10" s="6" t="n"/>
      <c r="E10" s="6" t="n"/>
      <c r="F10" s="6" t="n"/>
      <c r="G10" s="6" t="n"/>
      <c r="H10" s="6" t="n"/>
      <c r="I10" s="6" t="n"/>
      <c r="J10" s="6" t="n"/>
      <c r="K10" s="6" t="n">
        <v>2295</v>
      </c>
    </row>
    <row r="11">
      <c r="A11" s="6" t="inlineStr">
        <is>
          <t>Share option scheme reserves</t>
        </is>
      </c>
      <c r="B11" s="6" t="n"/>
      <c r="C11" s="6" t="n"/>
      <c r="D11" s="6" t="n"/>
      <c r="E11" s="6" t="n">
        <v>4585</v>
      </c>
      <c r="F11" s="6" t="n">
        <v>2497</v>
      </c>
      <c r="G11" s="6" t="n">
        <v>2192</v>
      </c>
      <c r="H11" s="6" t="n">
        <v>4959</v>
      </c>
      <c r="I11" s="6" t="n">
        <v>4894</v>
      </c>
      <c r="J11" s="6" t="n">
        <v>4308</v>
      </c>
      <c r="K11" s="6" t="n">
        <v>3501</v>
      </c>
    </row>
    <row r="12">
      <c r="A12" s="6" t="inlineStr">
        <is>
          <t>Other non cash movements</t>
        </is>
      </c>
      <c r="B12" s="6" t="n"/>
      <c r="C12" s="6" t="n"/>
      <c r="D12" s="6" t="n"/>
      <c r="E12" s="6" t="n">
        <v>-345</v>
      </c>
      <c r="F12" s="6" t="n">
        <v>1307</v>
      </c>
      <c r="G12" s="6" t="n">
        <v>-1201</v>
      </c>
      <c r="H12" s="6" t="n">
        <v>3609</v>
      </c>
      <c r="I12" s="6" t="n">
        <v>-85</v>
      </c>
      <c r="J12" s="6" t="n">
        <v>763</v>
      </c>
      <c r="K12" s="6" t="n"/>
    </row>
    <row r="13">
      <c r="A13" s="6" t="inlineStr">
        <is>
          <t>Loans and advances to customers</t>
        </is>
      </c>
      <c r="B13" s="6" t="n"/>
      <c r="C13" s="6" t="n"/>
      <c r="D13" s="6" t="n"/>
      <c r="E13" s="6" t="n">
        <v>-745215</v>
      </c>
      <c r="F13" s="6" t="n">
        <v>331967</v>
      </c>
      <c r="G13" s="6" t="n">
        <v>429043</v>
      </c>
      <c r="H13" s="6" t="n">
        <v>-1180505</v>
      </c>
      <c r="I13" s="6" t="n">
        <v>-1120403</v>
      </c>
      <c r="J13" s="6" t="n">
        <v>-99514</v>
      </c>
      <c r="K13" s="6" t="n"/>
    </row>
    <row r="14">
      <c r="A14" s="6" t="inlineStr">
        <is>
          <t>Customer deposits</t>
        </is>
      </c>
      <c r="B14" s="6" t="n"/>
      <c r="C14" s="6" t="n"/>
      <c r="D14" s="6" t="n"/>
      <c r="E14" s="6" t="n">
        <v>1075377</v>
      </c>
      <c r="F14" s="6" t="n">
        <v>289607</v>
      </c>
      <c r="G14" s="6" t="n">
        <v>93691</v>
      </c>
      <c r="H14" s="6" t="n">
        <v>331328</v>
      </c>
      <c r="I14" s="6" t="n">
        <v>901733</v>
      </c>
      <c r="J14" s="6" t="n">
        <v>538050</v>
      </c>
      <c r="K14" s="6" t="n">
        <v>10</v>
      </c>
    </row>
    <row r="15">
      <c r="A15" s="6" t="inlineStr">
        <is>
          <t>Borrowing(s) from central banks</t>
        </is>
      </c>
      <c r="B15" s="6" t="n"/>
      <c r="C15" s="6" t="n"/>
      <c r="D15" s="6" t="n"/>
      <c r="E15" s="6" t="n">
        <v>297656</v>
      </c>
      <c r="F15" s="6" t="n">
        <v>22612</v>
      </c>
      <c r="G15" s="6" t="n">
        <v>44</v>
      </c>
      <c r="H15" s="6" t="n">
        <v>222</v>
      </c>
      <c r="I15" s="6" t="n">
        <v>355215</v>
      </c>
      <c r="J15" s="6" t="n"/>
      <c r="K15" s="6" t="n"/>
    </row>
    <row r="16">
      <c r="A16" s="6" t="inlineStr">
        <is>
          <t>Deemed loan</t>
        </is>
      </c>
      <c r="B16" s="6" t="n"/>
      <c r="C16" s="6" t="n"/>
      <c r="D16" s="6" t="n"/>
      <c r="E16" s="6" t="n">
        <v>233156</v>
      </c>
      <c r="F16" s="6" t="n">
        <v>-122391</v>
      </c>
      <c r="G16" s="6" t="n">
        <v>-131113</v>
      </c>
      <c r="H16" s="6" t="n">
        <v>364204</v>
      </c>
      <c r="I16" s="6" t="n"/>
      <c r="J16" s="6" t="n"/>
      <c r="K16" s="6" t="n"/>
    </row>
    <row r="17">
      <c r="A17" s="6" t="inlineStr">
        <is>
          <t>Debt securities in issue</t>
        </is>
      </c>
      <c r="B17" s="6" t="n"/>
      <c r="C17" s="6" t="n"/>
      <c r="D17" s="6" t="n"/>
      <c r="E17" s="6" t="n">
        <v>0</v>
      </c>
      <c r="F17" s="6" t="n">
        <v>0</v>
      </c>
      <c r="G17" s="6" t="n">
        <v>0</v>
      </c>
      <c r="H17" s="6" t="n"/>
      <c r="I17" s="6" t="n"/>
      <c r="J17" s="6" t="n"/>
      <c r="K17" s="6" t="n"/>
    </row>
    <row r="18">
      <c r="A18" s="6" t="inlineStr">
        <is>
          <t>Debt instruments/securities held at amortised cost</t>
        </is>
      </c>
      <c r="B18" s="6" t="n"/>
      <c r="C18" s="6" t="n"/>
      <c r="D18" s="6" t="n"/>
      <c r="E18" s="6" t="n">
        <v>354400</v>
      </c>
      <c r="F18" s="6" t="n">
        <v>-426192</v>
      </c>
      <c r="G18" s="6" t="n">
        <v>-223311</v>
      </c>
      <c r="H18" s="6" t="n"/>
      <c r="I18" s="6" t="n"/>
      <c r="J18" s="6" t="n"/>
      <c r="K18" s="6" t="n"/>
    </row>
    <row r="19">
      <c r="A19" s="6" t="inlineStr">
        <is>
          <t>Repurchase agreements</t>
        </is>
      </c>
      <c r="B19" s="6" t="n"/>
      <c r="C19" s="6" t="n"/>
      <c r="D19" s="6" t="n"/>
      <c r="E19" s="6" t="n"/>
      <c r="F19" s="6" t="n">
        <v>0</v>
      </c>
      <c r="G19" s="6" t="n">
        <v>-34851</v>
      </c>
      <c r="H19" s="6" t="n">
        <v>34851</v>
      </c>
      <c r="I19" s="6" t="n"/>
      <c r="J19" s="6" t="n"/>
      <c r="K19" s="6" t="n"/>
    </row>
    <row r="20">
      <c r="A20" s="6" t="inlineStr">
        <is>
          <t>Net increase in subordinated liabilities (FY2019 only)</t>
        </is>
      </c>
      <c r="B20" s="6" t="n"/>
      <c r="C20" s="6" t="n"/>
      <c r="D20" s="6" t="n"/>
      <c r="E20" s="6" t="n"/>
      <c r="F20" s="6" t="n"/>
      <c r="G20" s="6" t="n"/>
      <c r="H20" s="6" t="n">
        <v>15</v>
      </c>
      <c r="I20" s="6" t="n"/>
      <c r="J20" s="6" t="n"/>
      <c r="K20" s="6" t="n"/>
    </row>
    <row r="21">
      <c r="A21" s="6" t="inlineStr">
        <is>
          <t>Net decrease in tax asset (FY2017 only)</t>
        </is>
      </c>
      <c r="B21" s="6" t="n"/>
      <c r="C21" s="6" t="n"/>
      <c r="D21" s="6" t="n"/>
      <c r="E21" s="6" t="n"/>
      <c r="F21" s="6" t="n"/>
      <c r="G21" s="6" t="n"/>
      <c r="H21" s="6" t="n"/>
      <c r="I21" s="6" t="n"/>
      <c r="J21" s="6" t="n">
        <v>1420</v>
      </c>
      <c r="K21" s="6" t="n"/>
    </row>
    <row r="22">
      <c r="A22" s="6" t="inlineStr">
        <is>
          <t>Other assets</t>
        </is>
      </c>
      <c r="B22" s="6" t="n"/>
      <c r="C22" s="6" t="n"/>
      <c r="D22" s="6" t="n"/>
      <c r="E22" s="6" t="n">
        <v>-20768</v>
      </c>
      <c r="F22" s="6" t="n">
        <v>-4443</v>
      </c>
      <c r="G22" s="6" t="n">
        <v>-3703</v>
      </c>
      <c r="H22" s="6" t="n">
        <v>-9282</v>
      </c>
      <c r="I22" s="6" t="n">
        <v>2833</v>
      </c>
      <c r="J22" s="6" t="n">
        <v>-9037</v>
      </c>
      <c r="K22" s="6" t="n">
        <v>-239</v>
      </c>
    </row>
    <row r="23">
      <c r="A23" s="6" t="inlineStr">
        <is>
          <t>Other liabilities and provisions</t>
        </is>
      </c>
      <c r="B23" s="6" t="n"/>
      <c r="C23" s="6" t="n"/>
      <c r="D23" s="6" t="n"/>
      <c r="E23" s="6" t="n">
        <v>20413</v>
      </c>
      <c r="F23" s="6" t="n">
        <v>1828</v>
      </c>
      <c r="G23" s="6" t="n">
        <v>7063</v>
      </c>
      <c r="H23" s="6" t="n">
        <v>-5534</v>
      </c>
      <c r="I23" s="6" t="n">
        <v>12578</v>
      </c>
      <c r="J23" s="6" t="n">
        <v>-1608</v>
      </c>
      <c r="K23" s="6" t="n"/>
    </row>
    <row r="24">
      <c r="A24" s="6" t="inlineStr">
        <is>
          <t>Derivatives held for hedging purposes</t>
        </is>
      </c>
      <c r="B24" s="6" t="n"/>
      <c r="C24" s="6" t="n"/>
      <c r="D24" s="6" t="n"/>
      <c r="E24" s="6" t="n">
        <v>-36277</v>
      </c>
      <c r="F24" s="6" t="n">
        <v>-14013</v>
      </c>
      <c r="G24" s="6" t="n">
        <v>5749</v>
      </c>
      <c r="H24" s="6" t="n">
        <v>16636</v>
      </c>
      <c r="I24" s="6" t="n">
        <v>-8132</v>
      </c>
      <c r="J24" s="6" t="n">
        <v>124</v>
      </c>
      <c r="K24" s="6" t="n"/>
    </row>
    <row r="25">
      <c r="A25" s="6" t="inlineStr">
        <is>
          <t>Net increase in financial investments (FY2016 only, pre-lending)</t>
        </is>
      </c>
      <c r="B25" s="6" t="n"/>
      <c r="C25" s="6" t="n"/>
      <c r="D25" s="6" t="n"/>
      <c r="E25" s="6" t="n"/>
      <c r="F25" s="6" t="n"/>
      <c r="G25" s="6" t="n"/>
      <c r="H25" s="6" t="n"/>
      <c r="I25" s="6" t="n"/>
      <c r="J25" s="6" t="n"/>
      <c r="K25" s="6" t="n">
        <v>-6559</v>
      </c>
    </row>
    <row r="26">
      <c r="A26" s="6" t="inlineStr">
        <is>
          <t>Net decrease in trade receivables (FY2016 only)</t>
        </is>
      </c>
      <c r="B26" s="6" t="n"/>
      <c r="C26" s="6" t="n"/>
      <c r="D26" s="6" t="n"/>
      <c r="E26" s="6" t="n"/>
      <c r="F26" s="6" t="n"/>
      <c r="G26" s="6" t="n"/>
      <c r="H26" s="6" t="n"/>
      <c r="I26" s="6" t="n"/>
      <c r="J26" s="6" t="n"/>
      <c r="K26" s="6" t="n">
        <v>37</v>
      </c>
    </row>
    <row r="27">
      <c r="A27" s="6" t="inlineStr">
        <is>
          <t>Net increase in tax asset (FY2016 only)</t>
        </is>
      </c>
      <c r="B27" s="6" t="n"/>
      <c r="C27" s="6" t="n"/>
      <c r="D27" s="6" t="n"/>
      <c r="E27" s="6" t="n"/>
      <c r="F27" s="6" t="n"/>
      <c r="G27" s="6" t="n"/>
      <c r="H27" s="6" t="n"/>
      <c r="I27" s="6" t="n"/>
      <c r="J27" s="6" t="n"/>
      <c r="K27" s="6" t="n">
        <v>-806</v>
      </c>
    </row>
    <row r="28">
      <c r="A28" s="6" t="inlineStr">
        <is>
          <t>Net increase in trade and other payables (FY2016 only)</t>
        </is>
      </c>
      <c r="B28" s="6" t="n"/>
      <c r="C28" s="6" t="n"/>
      <c r="D28" s="6" t="n"/>
      <c r="E28" s="6" t="n"/>
      <c r="F28" s="6" t="n"/>
      <c r="G28" s="6" t="n"/>
      <c r="H28" s="6" t="n"/>
      <c r="I28" s="6" t="n"/>
      <c r="J28" s="6" t="n"/>
      <c r="K28" s="6" t="n">
        <v>5115</v>
      </c>
    </row>
    <row r="29">
      <c r="A29" s="5" t="inlineStr">
        <is>
          <t>Net Cash Inflow/(Outflow) in Operating Activities</t>
        </is>
      </c>
      <c r="B29" s="5" t="n"/>
      <c r="C29" s="5" t="n"/>
      <c r="D29" s="5" t="n"/>
      <c r="E29" s="5" t="n">
        <v>1176233</v>
      </c>
      <c r="F29" s="5" t="n">
        <v>30842</v>
      </c>
      <c r="G29" s="5" t="n">
        <v>86814</v>
      </c>
      <c r="H29" s="5" t="n">
        <v>-496336</v>
      </c>
      <c r="I29" s="5" t="n">
        <v>101686</v>
      </c>
      <c r="J29" s="5" t="n">
        <v>395754</v>
      </c>
      <c r="K29" s="5" t="n">
        <v>-18557</v>
      </c>
    </row>
    <row r="30">
      <c r="A30" s="5" t="inlineStr">
        <is>
          <t>Investing activities</t>
        </is>
      </c>
      <c r="B30" s="6" t="n"/>
      <c r="C30" s="6" t="n"/>
      <c r="D30" s="6" t="n"/>
      <c r="E30" s="6" t="n"/>
      <c r="F30" s="6" t="n"/>
      <c r="G30" s="6" t="n"/>
      <c r="H30" s="6" t="n"/>
      <c r="I30" s="6" t="n"/>
      <c r="J30" s="6" t="n"/>
      <c r="K30" s="6" t="n"/>
    </row>
    <row r="31">
      <c r="A31" s="6" t="inlineStr">
        <is>
          <t>Acquisition of intangible assets</t>
        </is>
      </c>
      <c r="B31" s="6" t="n"/>
      <c r="C31" s="6" t="n"/>
      <c r="D31" s="6" t="n"/>
      <c r="E31" s="6" t="n">
        <v>-9707</v>
      </c>
      <c r="F31" s="6" t="n">
        <v>-8641</v>
      </c>
      <c r="G31" s="6" t="n">
        <v>-13105</v>
      </c>
      <c r="H31" s="6" t="n">
        <v>-18355</v>
      </c>
      <c r="I31" s="6" t="n">
        <v>-8996</v>
      </c>
      <c r="J31" s="6" t="n">
        <v>-14356</v>
      </c>
      <c r="K31" s="6" t="n"/>
    </row>
    <row r="32">
      <c r="A32" s="6" t="inlineStr">
        <is>
          <t>Payments for software (FY2016 only)</t>
        </is>
      </c>
      <c r="B32" s="6" t="n"/>
      <c r="C32" s="6" t="n"/>
      <c r="D32" s="6" t="n"/>
      <c r="E32" s="6" t="n"/>
      <c r="F32" s="6" t="n"/>
      <c r="G32" s="6" t="n"/>
      <c r="H32" s="6" t="n"/>
      <c r="I32" s="6" t="n"/>
      <c r="J32" s="6" t="n"/>
      <c r="K32" s="6" t="n">
        <v>-18417</v>
      </c>
    </row>
    <row r="33">
      <c r="A33" s="6" t="inlineStr">
        <is>
          <t>Payments for banking licence (FY2016 only)</t>
        </is>
      </c>
      <c r="B33" s="6" t="n"/>
      <c r="C33" s="6" t="n"/>
      <c r="D33" s="6" t="n"/>
      <c r="E33" s="6" t="n"/>
      <c r="F33" s="6" t="n"/>
      <c r="G33" s="6" t="n"/>
      <c r="H33" s="6" t="n"/>
      <c r="I33" s="6" t="n"/>
      <c r="J33" s="6" t="n"/>
      <c r="K33" s="6" t="n">
        <v>-8</v>
      </c>
    </row>
    <row r="34">
      <c r="A34" s="6" t="inlineStr">
        <is>
          <t>Acquisition of property, plant and equipment</t>
        </is>
      </c>
      <c r="B34" s="6" t="n"/>
      <c r="C34" s="6" t="n"/>
      <c r="D34" s="6" t="n"/>
      <c r="E34" s="6" t="n">
        <v>-267</v>
      </c>
      <c r="F34" s="6" t="n">
        <v>-271</v>
      </c>
      <c r="G34" s="6" t="n">
        <v>-297</v>
      </c>
      <c r="H34" s="6" t="n">
        <v>-297</v>
      </c>
      <c r="I34" s="6" t="n">
        <v>-117</v>
      </c>
      <c r="J34" s="6" t="n">
        <v>-504</v>
      </c>
      <c r="K34" s="6" t="n">
        <v>-247</v>
      </c>
    </row>
    <row r="35">
      <c r="A35" s="6" t="inlineStr">
        <is>
          <t>Net (acquisition)/maturity of debt securities at FVOCI</t>
        </is>
      </c>
      <c r="B35" s="6" t="n"/>
      <c r="C35" s="6" t="n"/>
      <c r="D35" s="6" t="n"/>
      <c r="E35" s="6" t="n">
        <v>-146282</v>
      </c>
      <c r="F35" s="6" t="n">
        <v>25681</v>
      </c>
      <c r="G35" s="6" t="n">
        <v>-77661</v>
      </c>
      <c r="H35" s="6" t="n">
        <v>223289</v>
      </c>
      <c r="I35" s="6" t="n">
        <v>-244151</v>
      </c>
      <c r="J35" s="6" t="n">
        <v>-71650</v>
      </c>
      <c r="K35" s="6" t="n"/>
    </row>
    <row r="36">
      <c r="A36" s="5" t="inlineStr">
        <is>
          <t>Net Cash (Outflow)/Inflow from Investing Activities</t>
        </is>
      </c>
      <c r="B36" s="5" t="n"/>
      <c r="C36" s="5" t="n"/>
      <c r="D36" s="5" t="n"/>
      <c r="E36" s="5" t="n">
        <v>-156256</v>
      </c>
      <c r="F36" s="5" t="n">
        <v>16769</v>
      </c>
      <c r="G36" s="5" t="n">
        <v>-91063</v>
      </c>
      <c r="H36" s="5" t="n">
        <v>204637</v>
      </c>
      <c r="I36" s="5" t="n">
        <v>-253264</v>
      </c>
      <c r="J36" s="5" t="n">
        <v>-86510</v>
      </c>
      <c r="K36" s="5" t="n">
        <v>-18672</v>
      </c>
    </row>
    <row r="37">
      <c r="A37" s="5" t="inlineStr">
        <is>
          <t>Financing activities</t>
        </is>
      </c>
      <c r="B37" s="6" t="n"/>
      <c r="C37" s="6" t="n"/>
      <c r="D37" s="6" t="n"/>
      <c r="E37" s="6" t="n"/>
      <c r="F37" s="6" t="n"/>
      <c r="G37" s="6" t="n"/>
      <c r="H37" s="6" t="n"/>
      <c r="I37" s="6" t="n"/>
      <c r="J37" s="6" t="n"/>
      <c r="K37" s="6" t="n"/>
    </row>
    <row r="38">
      <c r="A38" s="6" t="inlineStr">
        <is>
          <t>Proceeds from issuance of shares, net of expenses</t>
        </is>
      </c>
      <c r="B38" s="6" t="n"/>
      <c r="C38" s="6" t="n"/>
      <c r="D38" s="6" t="n"/>
      <c r="E38" s="6" t="n">
        <v>117443</v>
      </c>
      <c r="F38" s="6" t="n">
        <v>0</v>
      </c>
      <c r="G38" s="6" t="n">
        <v>49728</v>
      </c>
      <c r="H38" s="6" t="n">
        <v>152543</v>
      </c>
      <c r="I38" s="6" t="n">
        <v>79346</v>
      </c>
      <c r="J38" s="6" t="n">
        <v>112321</v>
      </c>
      <c r="K38" s="6" t="n">
        <v>39337</v>
      </c>
    </row>
    <row r="39">
      <c r="A39" s="6" t="inlineStr">
        <is>
          <t>Redemption of preference shares (FY2016 only)</t>
        </is>
      </c>
      <c r="B39" s="6" t="n"/>
      <c r="C39" s="6" t="n"/>
      <c r="D39" s="6" t="n"/>
      <c r="E39" s="6" t="n"/>
      <c r="F39" s="6" t="n"/>
      <c r="G39" s="6" t="n"/>
      <c r="H39" s="6" t="n"/>
      <c r="I39" s="6" t="n"/>
      <c r="J39" s="6" t="n"/>
      <c r="K39" s="6" t="n">
        <v>-50</v>
      </c>
    </row>
    <row r="40">
      <c r="A40" s="6" t="inlineStr">
        <is>
          <t>Proceeds from issuance of subordinated debt (FY2018 only)</t>
        </is>
      </c>
      <c r="B40" s="6" t="n"/>
      <c r="C40" s="6" t="n"/>
      <c r="D40" s="6" t="n"/>
      <c r="E40" s="6" t="n"/>
      <c r="F40" s="6" t="n"/>
      <c r="G40" s="6" t="n"/>
      <c r="H40" s="6" t="n"/>
      <c r="I40" s="6" t="n">
        <v>7935</v>
      </c>
      <c r="J40" s="6" t="n"/>
      <c r="K40" s="6" t="n"/>
    </row>
    <row r="41">
      <c r="A41" s="6" t="inlineStr">
        <is>
          <t>Interest paid on subordinated debt (FY2018 only)</t>
        </is>
      </c>
      <c r="B41" s="6" t="n"/>
      <c r="C41" s="6" t="n"/>
      <c r="D41" s="6" t="n"/>
      <c r="E41" s="6" t="n"/>
      <c r="F41" s="6" t="n"/>
      <c r="G41" s="6" t="n"/>
      <c r="H41" s="6" t="n"/>
      <c r="I41" s="6" t="n">
        <v>-199</v>
      </c>
      <c r="J41" s="6" t="n"/>
      <c r="K41" s="6" t="n"/>
    </row>
    <row r="42">
      <c r="A42" s="6" t="inlineStr">
        <is>
          <t>Purchase of treasury shares</t>
        </is>
      </c>
      <c r="B42" s="6" t="n"/>
      <c r="C42" s="6" t="n"/>
      <c r="D42" s="6" t="n"/>
      <c r="E42" s="6" t="n"/>
      <c r="F42" s="6" t="n">
        <v>0</v>
      </c>
      <c r="G42" s="6" t="n"/>
      <c r="H42" s="6" t="n"/>
      <c r="I42" s="6" t="n"/>
      <c r="J42" s="6" t="n"/>
      <c r="K42" s="6" t="n"/>
    </row>
    <row r="43">
      <c r="A43" s="6" t="inlineStr">
        <is>
          <t>Payment of principal portion of lease liabilities</t>
        </is>
      </c>
      <c r="B43" s="6" t="n"/>
      <c r="C43" s="6" t="n"/>
      <c r="D43" s="6" t="n"/>
      <c r="E43" s="6" t="n">
        <v>-650</v>
      </c>
      <c r="F43" s="6" t="n">
        <v>-699</v>
      </c>
      <c r="G43" s="6" t="n">
        <v>-717</v>
      </c>
      <c r="H43" s="6" t="n"/>
      <c r="I43" s="6" t="n"/>
      <c r="J43" s="6" t="n"/>
      <c r="K43" s="6" t="n"/>
    </row>
    <row r="44">
      <c r="A44" s="5" t="inlineStr">
        <is>
          <t>Net Cash Inflow/(Outflow) from Financing Activities</t>
        </is>
      </c>
      <c r="B44" s="5" t="n"/>
      <c r="C44" s="5" t="n"/>
      <c r="D44" s="5" t="n"/>
      <c r="E44" s="5" t="n">
        <v>116793</v>
      </c>
      <c r="F44" s="5" t="n">
        <v>-699</v>
      </c>
      <c r="G44" s="5" t="n">
        <v>49011</v>
      </c>
      <c r="H44" s="5" t="n">
        <v>152543</v>
      </c>
      <c r="I44" s="5" t="n">
        <v>87082</v>
      </c>
      <c r="J44" s="5" t="n">
        <v>112321</v>
      </c>
      <c r="K44" s="5" t="n">
        <v>39287</v>
      </c>
    </row>
    <row r="45">
      <c r="A45" s="5" t="inlineStr">
        <is>
          <t>Net Increase in Cash and Balances at Central Banks</t>
        </is>
      </c>
      <c r="B45" s="5" t="n"/>
      <c r="C45" s="5" t="n"/>
      <c r="D45" s="5" t="n"/>
      <c r="E45" s="5" t="n">
        <v>1136770</v>
      </c>
      <c r="F45" s="5" t="n">
        <v>46912</v>
      </c>
      <c r="G45" s="5" t="n">
        <v>44762</v>
      </c>
      <c r="H45" s="5" t="n">
        <v>-139156</v>
      </c>
      <c r="I45" s="5" t="n">
        <v>-64496</v>
      </c>
      <c r="J45" s="5" t="n">
        <v>421565</v>
      </c>
      <c r="K45" s="5" t="n">
        <v>2058</v>
      </c>
    </row>
    <row r="46">
      <c r="A46" s="6" t="inlineStr">
        <is>
          <t>Cash and balances at central banks at beginning of year</t>
        </is>
      </c>
      <c r="B46" s="6" t="n"/>
      <c r="C46" s="6" t="n"/>
      <c r="D46" s="6" t="n"/>
      <c r="E46" s="6" t="n">
        <v>316826</v>
      </c>
      <c r="F46" s="6" t="n">
        <v>269915</v>
      </c>
      <c r="G46" s="6" t="n">
        <v>225153</v>
      </c>
      <c r="H46" s="6" t="n">
        <v>364309</v>
      </c>
      <c r="I46" s="6" t="n">
        <v>428805</v>
      </c>
      <c r="J46" s="6" t="n">
        <v>7240</v>
      </c>
      <c r="K46" s="6" t="n">
        <v>5182</v>
      </c>
    </row>
    <row r="47">
      <c r="A47" s="5" t="inlineStr">
        <is>
          <t>Cash and Balances at Central Banks at the End of the Year</t>
        </is>
      </c>
      <c r="B47" s="5" t="n"/>
      <c r="C47" s="5" t="n"/>
      <c r="D47" s="5" t="n"/>
      <c r="E47" s="5" t="n">
        <v>1453596</v>
      </c>
      <c r="F47" s="5" t="n">
        <v>316827</v>
      </c>
      <c r="G47" s="5" t="n">
        <v>269915</v>
      </c>
      <c r="H47" s="5" t="n">
        <v>225153</v>
      </c>
      <c r="I47" s="5" t="n">
        <v>364309</v>
      </c>
      <c r="J47" s="5" t="n">
        <v>428805</v>
      </c>
      <c r="K47" s="5" t="n">
        <v>7240</v>
      </c>
    </row>
    <row r="49" ht="280" customHeight="1">
      <c r="A49" s="8" t="inlineStr">
        <is>
          <t>Sources - all figures are Atom Bank Plc's own Bank-column 'Cash flow statement(s)', £'000, from its Companies House full accounts filings (Group of companies' accounts, which for FY2018-FY2022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FY2020: full accounts made up to 31 March 2020, filed 26 Jun 2020, p.46 (Cash flow statement, Bank column) - https://find-and-update.company-information.service.gov.uk/company/08632552/filing-history/MzI4MTUyNjc2OWFkaXF6a2N4/document?format=pdf&amp;download=0
FY2019: full accounts made up to 31 March 2019, filed 22 Jul 2019, p.57 (Cash flow statement, Bank column) - https://find-and-update.company-information.service.gov.uk/company/08632552/filing-history/MzI0MTY5Njg4NGFkaXF6a2N4/document?format=pdf&amp;download=0
FY2018: full accounts made up to 31 March 2018, filed 11 Jul 2018, p.45 (Cash flow statements, Bank column; also gives the FY2017 comparative in full, used in preference to FY2017's own scan-degraded filing where row labels were illegible) - https://find-and-update.company-information.service.gov.uk/company/08632552/filing-history/MzIxNDUyMjk4M2FkaXF6a2N4/document?format=pdf&amp;download=0
FY2016: full accounts made up to 31 March 2016, filed 22 Jul 2016, p.33 (Cash flow statement) - https://find-and-update.company-information.service.gov.uk/company/08632552/filing-history/MzE2MDEwMzEyNGFkaXF6a2N4/document?format=pdf&amp;download=0
FY2021's own closing 'Cash and balances at central banks' (£316,827k) differs from FY2022's own opening figure for the same balance (£316,826k) by £1k - an immaterial rounding difference in the source documents themselves, kept as printed in each year's own report rather than force-corrected.
FY2017 ROW-LABEL LEGIBILITY NOTE: FY2017's own Annual Report filing (an 11 Sep 2018 amended refiling) has a cash flow statement page with legible totals but illegible individual line-item labels/values (a scan artefact specific to that one page, confirmed by re-rendering at 200 DPI with no improvement) - so FY2017's detailed rows here are taken from FY2018's own report's FY2017 comparative column instead, which is fully legible and ties to the same totals printed (illegibly)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(revised for HD-025): a Statement of Cash Flows exists for every year FY2016-FY2022 (called 'Cash flow statement(s)' in the source, Bank column used throughout) - the FY2016-FY2020 Companies House filings were fully scanned/image-only and read via page-render + visual reading (cross-verified against each later year's own comparative column, which in every case reproduced the prior year's figures exactly). Only from the FY2023 Annual Report onward (confirmed directly in the FY2023 and FY2025 filings) does Atom Bank Plc's accounting policies note state: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49:K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Asset Quality / Credit Risk Disclosures</t>
        </is>
      </c>
    </row>
    <row r="2">
      <c r="A2" s="2" t="inlineStr">
        <is>
          <t>Bank basis, £'000 (ratios as stated/calculated)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amount by product</t>
        </is>
      </c>
      <c r="B4" s="6" t="n"/>
      <c r="C4" s="6" t="n"/>
      <c r="D4" s="6" t="n"/>
      <c r="E4" s="6" t="n"/>
      <c r="F4" s="6" t="n"/>
      <c r="G4" s="6" t="n"/>
      <c r="H4" s="6" t="n"/>
      <c r="I4" s="6" t="n"/>
      <c r="J4" s="6" t="n"/>
      <c r="K4" s="6" t="n"/>
    </row>
    <row r="5">
      <c r="A5" s="6" t="inlineStr">
        <is>
          <t>Mortgages</t>
        </is>
      </c>
      <c r="B5" s="6" t="n">
        <v>4251500</v>
      </c>
      <c r="C5" s="6" t="n">
        <v>3242600</v>
      </c>
      <c r="D5" s="6" t="n">
        <v>2148481</v>
      </c>
      <c r="E5" s="6" t="n">
        <v>1487122</v>
      </c>
      <c r="F5" s="6" t="n">
        <v>976553</v>
      </c>
      <c r="G5" s="6" t="n">
        <v>1711375</v>
      </c>
      <c r="H5" s="6" t="n">
        <v>2194159</v>
      </c>
      <c r="I5" s="6" t="n">
        <v>1063880</v>
      </c>
      <c r="J5" s="6" t="n">
        <v>26627</v>
      </c>
      <c r="K5" s="6" t="n"/>
    </row>
    <row r="6">
      <c r="A6" s="6" t="inlineStr">
        <is>
          <t>BBSL (secured business lending)</t>
        </is>
      </c>
      <c r="B6" s="6" t="n">
        <v>838700</v>
      </c>
      <c r="C6" s="6" t="n">
        <v>607900</v>
      </c>
      <c r="D6" s="6" t="n">
        <v>511831</v>
      </c>
      <c r="E6" s="6" t="n">
        <v>497305</v>
      </c>
      <c r="F6" s="6" t="n">
        <v>351978</v>
      </c>
      <c r="G6" s="6" t="n">
        <v>239953</v>
      </c>
      <c r="H6" s="6" t="n">
        <v>182526</v>
      </c>
      <c r="I6" s="6" t="n">
        <v>138391</v>
      </c>
      <c r="J6" s="6" t="n">
        <v>32880</v>
      </c>
      <c r="K6" s="6" t="n"/>
    </row>
    <row r="7">
      <c r="A7" s="6" t="inlineStr">
        <is>
          <t>BBUL (unsecured business lending)</t>
        </is>
      </c>
      <c r="B7" s="6" t="n">
        <v>256600</v>
      </c>
      <c r="C7" s="6" t="n">
        <v>307300</v>
      </c>
      <c r="D7" s="6" t="n">
        <v>389427</v>
      </c>
      <c r="E7" s="6" t="n">
        <v>439465</v>
      </c>
      <c r="F7" s="6" t="n">
        <v>310158</v>
      </c>
      <c r="G7" s="6" t="n"/>
      <c r="H7" s="6" t="n"/>
      <c r="I7" s="6" t="n"/>
      <c r="J7" s="6" t="n"/>
      <c r="K7" s="6" t="n"/>
    </row>
    <row r="8">
      <c r="A8" s="6" t="inlineStr">
        <is>
          <t>Structured/Unsecured funding loan note (FY2017-FY2019 predecessor product, matured by FY2020)</t>
        </is>
      </c>
      <c r="B8" s="6" t="n"/>
      <c r="C8" s="6" t="n"/>
      <c r="D8" s="6" t="n"/>
      <c r="E8" s="6" t="n"/>
      <c r="F8" s="6" t="n"/>
      <c r="G8" s="6" t="n"/>
      <c r="H8" s="6" t="n">
        <v>6967</v>
      </c>
      <c r="I8" s="6" t="n">
        <v>20743</v>
      </c>
      <c r="J8" s="6" t="n">
        <v>39865</v>
      </c>
      <c r="K8" s="6" t="n"/>
    </row>
    <row r="9">
      <c r="A9" s="5" t="inlineStr">
        <is>
          <t>Total gross carrying amount</t>
        </is>
      </c>
      <c r="B9" s="5" t="n">
        <v>5346800</v>
      </c>
      <c r="C9" s="5" t="n">
        <v>4157800</v>
      </c>
      <c r="D9" s="5" t="n">
        <v>3049739</v>
      </c>
      <c r="E9" s="5" t="n">
        <v>2423892</v>
      </c>
      <c r="F9" s="5" t="n">
        <v>1638689</v>
      </c>
      <c r="G9" s="5" t="n">
        <v>1951328</v>
      </c>
      <c r="H9" s="5" t="n">
        <v>2383652</v>
      </c>
      <c r="I9" s="5" t="n">
        <v>1223014</v>
      </c>
      <c r="J9" s="5" t="n">
        <v>99372</v>
      </c>
      <c r="K9" s="5" t="n"/>
    </row>
    <row r="10">
      <c r="A10" s="5" t="inlineStr">
        <is>
          <t>Gross carrying amount by IFRS 9 stage</t>
        </is>
      </c>
      <c r="B10" s="6" t="n"/>
      <c r="C10" s="6" t="n"/>
      <c r="D10" s="6" t="n"/>
      <c r="E10" s="6" t="n"/>
      <c r="F10" s="6" t="n"/>
      <c r="G10" s="6" t="n"/>
      <c r="H10" s="6" t="n"/>
      <c r="I10" s="6" t="n"/>
      <c r="J10" s="6" t="n"/>
      <c r="K10" s="6" t="n"/>
    </row>
    <row r="11">
      <c r="A11" s="6" t="inlineStr">
        <is>
          <t>Stage 1: 12 month expected loss</t>
        </is>
      </c>
      <c r="B11" s="6" t="n">
        <v>5004400</v>
      </c>
      <c r="C11" s="6" t="n">
        <v>3881700</v>
      </c>
      <c r="D11" s="6" t="n">
        <v>2819585</v>
      </c>
      <c r="E11" s="6" t="n">
        <v>1970916</v>
      </c>
      <c r="F11" s="6" t="n">
        <v>1513908</v>
      </c>
      <c r="G11" s="6" t="n">
        <v>1782301</v>
      </c>
      <c r="H11" s="6" t="n">
        <v>2328035</v>
      </c>
      <c r="I11" s="6" t="n">
        <v>1191973</v>
      </c>
      <c r="J11" s="6" t="n">
        <v>99372</v>
      </c>
      <c r="K11" s="6" t="n"/>
    </row>
    <row r="12">
      <c r="A12" s="6" t="inlineStr">
        <is>
          <t>Stage 2: Lifetime - loans not credit impaired</t>
        </is>
      </c>
      <c r="B12" s="6" t="n">
        <v>292200</v>
      </c>
      <c r="C12" s="6" t="n">
        <v>239900</v>
      </c>
      <c r="D12" s="6" t="n">
        <v>195537</v>
      </c>
      <c r="E12" s="6" t="n">
        <v>428042</v>
      </c>
      <c r="F12" s="6" t="n">
        <v>117989</v>
      </c>
      <c r="G12" s="6" t="n">
        <v>164024</v>
      </c>
      <c r="H12" s="6" t="n">
        <v>51079</v>
      </c>
      <c r="I12" s="6" t="n">
        <v>31040</v>
      </c>
      <c r="J12" s="6" t="n"/>
      <c r="K12" s="6" t="n"/>
    </row>
    <row r="13">
      <c r="A13" s="6" t="inlineStr">
        <is>
          <t>Stage 3: Lifetime - credit impaired loans</t>
        </is>
      </c>
      <c r="B13" s="6" t="n">
        <v>50200</v>
      </c>
      <c r="C13" s="6" t="n">
        <v>36200</v>
      </c>
      <c r="D13" s="6" t="n">
        <v>34617</v>
      </c>
      <c r="E13" s="6" t="n">
        <v>24934</v>
      </c>
      <c r="F13" s="6" t="n">
        <v>6792</v>
      </c>
      <c r="G13" s="6" t="n">
        <v>5003</v>
      </c>
      <c r="H13" s="6" t="n">
        <v>4538</v>
      </c>
      <c r="I13" s="6" t="n"/>
      <c r="J13" s="6" t="n"/>
      <c r="K13" s="6" t="n"/>
    </row>
    <row r="14">
      <c r="A14" s="5" t="inlineStr">
        <is>
          <t>Total gross carrying amount (by stage)</t>
        </is>
      </c>
      <c r="B14" s="5" t="n">
        <v>5346800</v>
      </c>
      <c r="C14" s="5" t="n">
        <v>4157800</v>
      </c>
      <c r="D14" s="5" t="n">
        <v>3049739</v>
      </c>
      <c r="E14" s="5" t="n">
        <v>2423892</v>
      </c>
      <c r="F14" s="5" t="n">
        <v>1638689</v>
      </c>
      <c r="G14" s="5" t="n">
        <v>1951328</v>
      </c>
      <c r="H14" s="5" t="n">
        <v>2383652</v>
      </c>
      <c r="I14" s="5" t="n">
        <v>1223014</v>
      </c>
      <c r="J14" s="5" t="n">
        <v>99372</v>
      </c>
      <c r="K14" s="5" t="n"/>
    </row>
    <row r="15">
      <c r="A15" s="5" t="inlineStr">
        <is>
          <t>Fair value / effective interest rate adjustments (pre-FY2021 presentation only)</t>
        </is>
      </c>
      <c r="B15" s="6" t="n"/>
      <c r="C15" s="6" t="n"/>
      <c r="D15" s="6" t="n"/>
      <c r="E15" s="6" t="n"/>
      <c r="F15" s="6" t="n"/>
      <c r="G15" s="6" t="n"/>
      <c r="H15" s="6" t="n"/>
      <c r="I15" s="6" t="n"/>
      <c r="J15" s="6" t="n"/>
      <c r="K15" s="6" t="n"/>
    </row>
    <row r="16">
      <c r="A16" s="6" t="inlineStr">
        <is>
          <t>Fair value adjustment</t>
        </is>
      </c>
      <c r="B16" s="6" t="n"/>
      <c r="C16" s="6" t="n"/>
      <c r="D16" s="6" t="n"/>
      <c r="E16" s="6" t="n"/>
      <c r="F16" s="6" t="n"/>
      <c r="G16" s="6" t="n">
        <v>21254</v>
      </c>
      <c r="H16" s="6" t="n">
        <v>10300</v>
      </c>
      <c r="I16" s="6" t="n">
        <v>-6714</v>
      </c>
      <c r="J16" s="6" t="n"/>
      <c r="K16" s="6" t="n"/>
    </row>
    <row r="17">
      <c r="A17" s="6" t="inlineStr">
        <is>
          <t>Effective interest rate adjustment</t>
        </is>
      </c>
      <c r="B17" s="6" t="n"/>
      <c r="C17" s="6" t="n"/>
      <c r="D17" s="6" t="n"/>
      <c r="E17" s="6" t="n"/>
      <c r="F17" s="6" t="n"/>
      <c r="G17" s="6" t="n">
        <v>4913</v>
      </c>
      <c r="H17" s="6" t="n">
        <v>7265</v>
      </c>
      <c r="I17" s="6" t="n">
        <v>3448</v>
      </c>
      <c r="J17" s="6" t="n"/>
      <c r="K17" s="6" t="n"/>
    </row>
    <row r="18">
      <c r="A18" s="5" t="inlineStr">
        <is>
          <t>Total gross carrying amount including valuation adjustments</t>
        </is>
      </c>
      <c r="B18" s="5" t="n"/>
      <c r="C18" s="5" t="n"/>
      <c r="D18" s="5" t="n"/>
      <c r="E18" s="5" t="n"/>
      <c r="F18" s="5" t="n"/>
      <c r="G18" s="5" t="n">
        <v>1977495</v>
      </c>
      <c r="H18" s="5" t="n">
        <v>2401217</v>
      </c>
      <c r="I18" s="5" t="n">
        <v>1219748</v>
      </c>
      <c r="J18" s="5" t="n">
        <v>99372</v>
      </c>
      <c r="K18" s="5" t="n"/>
    </row>
    <row r="19">
      <c r="A19" s="5" t="inlineStr">
        <is>
          <t>Expected credit loss provision</t>
        </is>
      </c>
      <c r="B19" s="6" t="n"/>
      <c r="C19" s="6" t="n"/>
      <c r="D19" s="6" t="n"/>
      <c r="E19" s="6" t="n"/>
      <c r="F19" s="6" t="n"/>
      <c r="G19" s="6" t="n"/>
      <c r="H19" s="6" t="n"/>
      <c r="I19" s="6" t="n"/>
      <c r="J19" s="6" t="n"/>
      <c r="K19" s="6" t="n"/>
    </row>
    <row r="20">
      <c r="A20" s="6" t="inlineStr">
        <is>
          <t>Mortgages</t>
        </is>
      </c>
      <c r="B20" s="6" t="n">
        <v>5900</v>
      </c>
      <c r="C20" s="6" t="n">
        <v>5100</v>
      </c>
      <c r="D20" s="6" t="n">
        <v>3618</v>
      </c>
      <c r="E20" s="6" t="n">
        <v>1257</v>
      </c>
      <c r="F20" s="6" t="n">
        <v>577</v>
      </c>
      <c r="G20" s="6" t="n">
        <v>1891</v>
      </c>
      <c r="H20" s="6" t="n">
        <v>849</v>
      </c>
      <c r="I20" s="6" t="n">
        <v>299</v>
      </c>
      <c r="J20" s="6" t="n">
        <v>7</v>
      </c>
      <c r="K20" s="6" t="n"/>
    </row>
    <row r="21">
      <c r="A21" s="6" t="inlineStr">
        <is>
          <t>BBSL</t>
        </is>
      </c>
      <c r="B21" s="6" t="n">
        <v>3300</v>
      </c>
      <c r="C21" s="6" t="n">
        <v>3000</v>
      </c>
      <c r="D21" s="6" t="n">
        <v>2678</v>
      </c>
      <c r="E21" s="6" t="n">
        <v>2479</v>
      </c>
      <c r="F21" s="6" t="n">
        <v>4076</v>
      </c>
      <c r="G21" s="6" t="n">
        <v>3649</v>
      </c>
      <c r="H21" s="6" t="n">
        <v>279</v>
      </c>
      <c r="I21" s="6" t="n">
        <v>93</v>
      </c>
      <c r="J21" s="6" t="n">
        <v>156</v>
      </c>
      <c r="K21" s="6" t="n"/>
    </row>
    <row r="22">
      <c r="A22" s="6" t="inlineStr">
        <is>
          <t>BBUL</t>
        </is>
      </c>
      <c r="B22" s="6" t="n">
        <v>9200</v>
      </c>
      <c r="C22" s="6" t="n">
        <v>11900</v>
      </c>
      <c r="D22" s="6" t="n">
        <v>10042</v>
      </c>
      <c r="E22" s="6" t="n">
        <v>5751</v>
      </c>
      <c r="F22" s="6" t="n">
        <v>5086</v>
      </c>
      <c r="G22" s="6" t="n"/>
      <c r="H22" s="6" t="n"/>
      <c r="I22" s="6" t="n"/>
      <c r="J22" s="6" t="n"/>
      <c r="K22" s="6" t="n"/>
    </row>
    <row r="23">
      <c r="A23" s="6" t="inlineStr">
        <is>
          <t>Structured/Unsecured funding loan note</t>
        </is>
      </c>
      <c r="B23" s="6" t="n"/>
      <c r="C23" s="6" t="n"/>
      <c r="D23" s="6" t="n"/>
      <c r="E23" s="6" t="n"/>
      <c r="F23" s="6" t="n"/>
      <c r="G23" s="6" t="n"/>
      <c r="H23" s="6" t="n">
        <v>0</v>
      </c>
      <c r="I23" s="6" t="n">
        <v>0</v>
      </c>
      <c r="J23" s="6" t="n">
        <v>0</v>
      </c>
      <c r="K23" s="6" t="n"/>
    </row>
    <row r="24">
      <c r="A24" s="5" t="inlineStr">
        <is>
          <t>Total provision for on balance sheet impairment losses</t>
        </is>
      </c>
      <c r="B24" s="5" t="n">
        <v>18400</v>
      </c>
      <c r="C24" s="5" t="n">
        <v>20000</v>
      </c>
      <c r="D24" s="5" t="n">
        <v>16338</v>
      </c>
      <c r="E24" s="5" t="n">
        <v>9487</v>
      </c>
      <c r="F24" s="5" t="n">
        <v>9739</v>
      </c>
      <c r="G24" s="5" t="n">
        <v>6677</v>
      </c>
      <c r="H24" s="5" t="n">
        <v>1356</v>
      </c>
      <c r="I24" s="5" t="n">
        <v>392</v>
      </c>
      <c r="J24" s="5" t="n">
        <v>163</v>
      </c>
      <c r="K24" s="5" t="n"/>
    </row>
    <row r="25">
      <c r="A25" s="5" t="inlineStr">
        <is>
          <t>Net balance sheet carrying value by product</t>
        </is>
      </c>
      <c r="B25" s="6" t="n"/>
      <c r="C25" s="6" t="n"/>
      <c r="D25" s="6" t="n"/>
      <c r="E25" s="6" t="n"/>
      <c r="F25" s="6" t="n"/>
      <c r="G25" s="6" t="n"/>
      <c r="H25" s="6" t="n"/>
      <c r="I25" s="6" t="n"/>
      <c r="J25" s="6" t="n"/>
      <c r="K25" s="6" t="n"/>
    </row>
    <row r="26">
      <c r="A26" s="6" t="inlineStr">
        <is>
          <t>Mortgages</t>
        </is>
      </c>
      <c r="B26" s="6" t="n">
        <v>4219800</v>
      </c>
      <c r="C26" s="6" t="n">
        <v>3200400</v>
      </c>
      <c r="D26" s="6" t="n">
        <v>2070110</v>
      </c>
      <c r="E26" s="6" t="n">
        <v>1455268</v>
      </c>
      <c r="F26" s="6" t="n">
        <v>985758</v>
      </c>
      <c r="G26" s="6" t="n">
        <v>1736335</v>
      </c>
      <c r="H26" s="6" t="n">
        <v>2210717</v>
      </c>
      <c r="I26" s="6" t="n">
        <v>1060245</v>
      </c>
      <c r="J26" s="6" t="n">
        <v>26620</v>
      </c>
      <c r="K26" s="6" t="n"/>
    </row>
    <row r="27">
      <c r="A27" s="6" t="inlineStr">
        <is>
          <t>BBSL</t>
        </is>
      </c>
      <c r="B27" s="6" t="n">
        <v>834300</v>
      </c>
      <c r="C27" s="6" t="n">
        <v>604900</v>
      </c>
      <c r="D27" s="6" t="n">
        <v>509153</v>
      </c>
      <c r="E27" s="6" t="n">
        <v>494826</v>
      </c>
      <c r="F27" s="6" t="n">
        <v>347902</v>
      </c>
      <c r="G27" s="6" t="n">
        <v>234483</v>
      </c>
      <c r="H27" s="6" t="n">
        <v>182176</v>
      </c>
      <c r="I27" s="6" t="n">
        <v>138354</v>
      </c>
      <c r="J27" s="6" t="n">
        <v>32724</v>
      </c>
      <c r="K27" s="6" t="n"/>
    </row>
    <row r="28">
      <c r="A28" s="6" t="inlineStr">
        <is>
          <t>BBUL</t>
        </is>
      </c>
      <c r="B28" s="6" t="n">
        <v>247400</v>
      </c>
      <c r="C28" s="6" t="n">
        <v>295600</v>
      </c>
      <c r="D28" s="6" t="n">
        <v>379506</v>
      </c>
      <c r="E28" s="6" t="n">
        <v>433972</v>
      </c>
      <c r="F28" s="6" t="n">
        <v>305191</v>
      </c>
      <c r="G28" s="6" t="n"/>
      <c r="H28" s="6" t="n"/>
      <c r="I28" s="6" t="n"/>
      <c r="J28" s="6" t="n"/>
      <c r="K28" s="6" t="n"/>
    </row>
    <row r="29">
      <c r="A29" s="6" t="inlineStr">
        <is>
          <t>Structured/Unsecured funding loan note</t>
        </is>
      </c>
      <c r="B29" s="6" t="n"/>
      <c r="C29" s="6" t="n"/>
      <c r="D29" s="6" t="n"/>
      <c r="E29" s="6" t="n"/>
      <c r="F29" s="6" t="n"/>
      <c r="G29" s="6" t="n"/>
      <c r="H29" s="6" t="n">
        <v>6968</v>
      </c>
      <c r="I29" s="6" t="n">
        <v>20757</v>
      </c>
      <c r="J29" s="6" t="n">
        <v>39865</v>
      </c>
      <c r="K29" s="6" t="n"/>
    </row>
    <row r="30">
      <c r="A30" s="5" t="inlineStr">
        <is>
          <t>Net balance sheet carrying value</t>
        </is>
      </c>
      <c r="B30" s="5" t="n">
        <v>5301500</v>
      </c>
      <c r="C30" s="5" t="n">
        <v>4100900</v>
      </c>
      <c r="D30" s="5" t="n">
        <v>2958769</v>
      </c>
      <c r="E30" s="5" t="n">
        <v>2384066</v>
      </c>
      <c r="F30" s="5" t="n">
        <v>1638851</v>
      </c>
      <c r="G30" s="5" t="n">
        <v>1970818</v>
      </c>
      <c r="H30" s="5" t="n">
        <v>2399861</v>
      </c>
      <c r="I30" s="5" t="n">
        <v>1219356</v>
      </c>
      <c r="J30" s="5" t="n">
        <v>99209</v>
      </c>
      <c r="K30" s="5" t="n"/>
    </row>
    <row r="31">
      <c r="A31" s="5" t="inlineStr">
        <is>
          <t>Asset quality ratios</t>
        </is>
      </c>
      <c r="B31" s="6" t="n"/>
      <c r="C31" s="6" t="n"/>
      <c r="D31" s="6" t="n"/>
      <c r="E31" s="6" t="n"/>
      <c r="F31" s="6" t="n"/>
      <c r="G31" s="6" t="n"/>
      <c r="H31" s="6" t="n"/>
      <c r="I31" s="6" t="n"/>
      <c r="J31" s="6" t="n"/>
      <c r="K31" s="6" t="n"/>
    </row>
    <row r="32">
      <c r="A32" s="6" t="inlineStr">
        <is>
          <t>Total coverage ratio (ECL provision / gross carrying amount)</t>
        </is>
      </c>
      <c r="B32" s="6" t="inlineStr">
        <is>
          <t>0.33%</t>
        </is>
      </c>
      <c r="C32" s="6" t="inlineStr">
        <is>
          <t>0.44%</t>
        </is>
      </c>
      <c r="D32" s="6" t="inlineStr">
        <is>
          <t>0.48%</t>
        </is>
      </c>
      <c r="E32" s="6" t="inlineStr">
        <is>
          <t>0.36%</t>
        </is>
      </c>
      <c r="F32" s="6" t="inlineStr">
        <is>
          <t>0.53%</t>
        </is>
      </c>
      <c r="G32" s="6" t="inlineStr">
        <is>
          <t>0.34%</t>
        </is>
      </c>
      <c r="H32" s="6" t="inlineStr">
        <is>
          <t>0.06%</t>
        </is>
      </c>
      <c r="I32" s="6" t="inlineStr">
        <is>
          <t>0.03%</t>
        </is>
      </c>
      <c r="J32" s="6" t="inlineStr">
        <is>
          <t>0.16%</t>
        </is>
      </c>
      <c r="K32" s="6" t="n"/>
    </row>
    <row r="33">
      <c r="A33" s="6" t="inlineStr">
        <is>
          <t>Stage 3 / NPL ratio (Stage 3 gross / total gross carrying amount)</t>
        </is>
      </c>
      <c r="B33" s="6" t="inlineStr">
        <is>
          <t>0.94%</t>
        </is>
      </c>
      <c r="C33" s="6" t="inlineStr">
        <is>
          <t>0.87%</t>
        </is>
      </c>
      <c r="D33" s="6" t="inlineStr">
        <is>
          <t>1.14%</t>
        </is>
      </c>
      <c r="E33" s="6" t="inlineStr">
        <is>
          <t>1.03%</t>
        </is>
      </c>
      <c r="F33" s="6" t="inlineStr">
        <is>
          <t>0.41%</t>
        </is>
      </c>
      <c r="G33" s="6" t="inlineStr">
        <is>
          <t>0.26%</t>
        </is>
      </c>
      <c r="H33" s="6" t="inlineStr">
        <is>
          <t>0.19%</t>
        </is>
      </c>
      <c r="I33" s="6" t="inlineStr">
        <is>
          <t>0.00%</t>
        </is>
      </c>
      <c r="J33" s="6" t="inlineStr">
        <is>
          <t>0.00%</t>
        </is>
      </c>
      <c r="K33" s="6" t="n"/>
    </row>
    <row r="34">
      <c r="A34" s="6" t="inlineStr">
        <is>
          <t>Stage 3 coverage ratio (Stage 3 ECL provision / Stage 3 gross)</t>
        </is>
      </c>
      <c r="B34" s="6" t="inlineStr">
        <is>
          <t>13.55%</t>
        </is>
      </c>
      <c r="C34" s="6" t="inlineStr">
        <is>
          <t>17.96%</t>
        </is>
      </c>
      <c r="D34" s="6" t="inlineStr">
        <is>
          <t>11.47%</t>
        </is>
      </c>
      <c r="E34" s="6" t="inlineStr">
        <is>
          <t>11.37%</t>
        </is>
      </c>
      <c r="F34" s="6" t="inlineStr">
        <is>
          <t>17.90%</t>
        </is>
      </c>
      <c r="G34" s="6" t="n"/>
      <c r="H34" s="6" t="n"/>
      <c r="I34" s="6" t="n"/>
      <c r="J34" s="6" t="n"/>
      <c r="K34" s="6" t="n"/>
    </row>
    <row r="36" ht="260" customHeight="1">
      <c r="A36" s="8" t="inlineStr">
        <is>
          <t>Sources - Note 'Loans and advances to customers', Bank/Group basis (Atom's retail lending is on a single Bank basis for this note in every year, unlike the primary statements), £'000: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FY2020: full accounts made up to 31 March 2020, p.34 (own year, not the FY2021 comparative) - https://find-and-update.company-information.service.gov.uk/company/08632552/filing-history/MzI4MTUyNjc2OWFkaXF6a2N4/document?format=pdf&amp;download=0
FY2019: full accounts made up to 31 March 2019, p.78 - https://find-and-update.company-information.service.gov.uk/company/08632552/filing-history/MzI0MTY5Njg4NGFkaXF6a2N4/document?format=pdf&amp;download=0
FY2018: full accounts made up to 31 March 2018, p.66 - https://find-and-update.company-information.service.gov.uk/company/08632552/filing-history/MzIxNDUyMjk4M2FkaXF6a2N4/document?format=pdf&amp;download=0
FY2017: same FY2018 filing, p.67 (a standalone FY2017-only table, not a side-by-side comparative column - used because FY2017's own filing has this note on a scan-degraded page) - https://find-and-update.company-information.service.gov.uk/company/08632552/filing-history/MzIxNDUyMjk4M2FkaXF6a2N4/document?format=pdf&amp;download=0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FY2020, FY2019) or its FY2025/FY2024 equivalent, plus Stage 3/NPL and Stage 3 coverage ratios calculated here from the disclosed stage-level figures - FY2018/FY2017 don't disclose a 'Total coverage ratio' row at all, so it is calculated here throughout for consistency.
HD-025 EXTENSION NOTES: FY2017-FY2020 use bank-specific 'Mortgages/BBSL/Structured Loan Note' (FY2017-2018) or 'Mortgages/BBSL/Unsecured funding loan note' (FY2019) product naming, pre-dating the 'BBUL' label used from FY2021 onward - kept as its own row rather than merged into BBUL, since it is a distinct, now-matured product line (fully wound down by FY2020, which shows only Mortgages/BBSL). FY2018-FY2020 also disclose separate 'Fair value adjustment' and 'Effective interest rate adjustment' lines reconciling the stage-based gross carrying amount to the balance-sheet carrying amount (a valuation-basis presentation dropped from FY2021 onward) - shown here as their own section. FY2016 has no Asset Quality data at all - the bank had not yet launched lending products that year (see STATEMENT_ENTITY_NOTE / balance sheet HD-025 notes), a genuine self-skip, not an omission.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K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CET1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356400</v>
      </c>
      <c r="C4" s="6" t="n">
        <v>347300</v>
      </c>
      <c r="D4" s="6" t="n">
        <v>241213</v>
      </c>
      <c r="E4" s="6" t="n">
        <v>217158</v>
      </c>
      <c r="F4" s="6" t="n">
        <v>114012</v>
      </c>
      <c r="G4" s="6" t="n">
        <v>168645</v>
      </c>
      <c r="H4" s="6" t="n">
        <v>184050</v>
      </c>
      <c r="I4" s="6" t="n">
        <v>100058</v>
      </c>
      <c r="J4" s="6" t="n">
        <v>73313</v>
      </c>
      <c r="K4" s="6" t="n">
        <v>9955</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CET1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ratio (%)</t>
        </is>
      </c>
      <c r="B4" s="6" t="inlineStr">
        <is>
          <t>15.0%</t>
        </is>
      </c>
      <c r="C4" s="6" t="inlineStr">
        <is>
          <t>19.0%</t>
        </is>
      </c>
      <c r="D4" s="6" t="inlineStr">
        <is>
          <t>19.0%</t>
        </is>
      </c>
      <c r="E4" s="6" t="inlineStr">
        <is>
          <t>20.8%</t>
        </is>
      </c>
      <c r="F4" s="6" t="inlineStr">
        <is>
          <t>15.3%</t>
        </is>
      </c>
      <c r="G4" s="6" t="inlineStr">
        <is>
          <t>18.6%</t>
        </is>
      </c>
      <c r="H4" s="6" t="inlineStr">
        <is>
          <t>17.9%</t>
        </is>
      </c>
      <c r="I4" s="6" t="inlineStr">
        <is>
          <t>17.5%</t>
        </is>
      </c>
      <c r="J4" s="6" t="inlineStr">
        <is>
          <t>43.9%</t>
        </is>
      </c>
      <c r="K4" s="6" t="inlineStr">
        <is>
          <t>25.2%</t>
        </is>
      </c>
    </row>
    <row r="5" ht="6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Tier 1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356400</v>
      </c>
      <c r="C4" s="6" t="n">
        <v>347300</v>
      </c>
      <c r="D4" s="6" t="n">
        <v>241213</v>
      </c>
      <c r="E4" s="6" t="n">
        <v>217158</v>
      </c>
      <c r="F4" s="6" t="n">
        <v>114012</v>
      </c>
      <c r="G4" s="6" t="n">
        <v>168645</v>
      </c>
      <c r="H4" s="6" t="n">
        <v>184050</v>
      </c>
      <c r="I4" s="6" t="n">
        <v>100058</v>
      </c>
      <c r="J4" s="6" t="n">
        <v>73313</v>
      </c>
      <c r="K4" s="6" t="n">
        <v>9955</v>
      </c>
    </row>
    <row r="5" ht="60" customHeight="1">
      <c r="A5" s="7" t="inlineStr">
        <is>
          <t>Note: Tier 1 Capital = CET1 Capital every year - Atom has never held Additional Tier 1 (AT1) instruments (KM1 template shows an identical row 1/row 2 every year).</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Tier 1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t>
        </is>
      </c>
      <c r="B4" s="6" t="inlineStr">
        <is>
          <t>15.0%</t>
        </is>
      </c>
      <c r="C4" s="6" t="inlineStr">
        <is>
          <t>19.0%</t>
        </is>
      </c>
      <c r="D4" s="6" t="inlineStr">
        <is>
          <t>19.0%</t>
        </is>
      </c>
      <c r="E4" s="6" t="inlineStr">
        <is>
          <t>20.8%</t>
        </is>
      </c>
      <c r="F4" s="6" t="inlineStr">
        <is>
          <t>15.3%</t>
        </is>
      </c>
      <c r="G4" s="6" t="inlineStr">
        <is>
          <t>18.6%</t>
        </is>
      </c>
      <c r="H4" s="6" t="inlineStr">
        <is>
          <t>17.9%</t>
        </is>
      </c>
      <c r="I4" s="6" t="inlineStr">
        <is>
          <t>17.5%</t>
        </is>
      </c>
      <c r="J4" s="6" t="inlineStr">
        <is>
          <t>43.9%</t>
        </is>
      </c>
      <c r="K4" s="6" t="inlineStr">
        <is>
          <t>25.2%</t>
        </is>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Total Capital</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406400</v>
      </c>
      <c r="C4" s="6" t="n">
        <v>347300</v>
      </c>
      <c r="D4" s="6" t="n">
        <v>248418</v>
      </c>
      <c r="E4" s="6" t="n">
        <v>225151</v>
      </c>
      <c r="F4" s="6" t="n">
        <v>121990</v>
      </c>
      <c r="G4" s="6" t="n">
        <v>176609</v>
      </c>
      <c r="H4" s="6" t="n">
        <v>191999</v>
      </c>
      <c r="I4" s="6" t="n">
        <v>107993</v>
      </c>
      <c r="J4" s="6" t="n">
        <v>73608</v>
      </c>
      <c r="K4" s="6" t="n">
        <v>9955</v>
      </c>
    </row>
    <row r="5" ht="60"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 HD-025 EXTENSION: FY2017-FY2020 also carry their own real Tier 2 balances (general credit risk adjustments/issued Tier 2 instruments, £295k-£7,964k) - Total Capital exceeds Tier 1 in every one of those 4 years; FY2016 (pre-launch, no lending) has no Tier 2 balance at all, so Total Capital = CET1/Tier 1 exactly that year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Total Capital Ratio</t>
        </is>
      </c>
    </row>
    <row r="2">
      <c r="A2" s="2" t="inlineStr">
        <is>
          <t>Bank basis, %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 (%)</t>
        </is>
      </c>
      <c r="B4" s="6" t="inlineStr">
        <is>
          <t>17.1%</t>
        </is>
      </c>
      <c r="C4" s="6" t="inlineStr">
        <is>
          <t>19.0%</t>
        </is>
      </c>
      <c r="D4" s="6" t="inlineStr">
        <is>
          <t>19.5%</t>
        </is>
      </c>
      <c r="E4" s="6" t="inlineStr">
        <is>
          <t>21.6%</t>
        </is>
      </c>
      <c r="F4" s="6" t="inlineStr">
        <is>
          <t>16.4%</t>
        </is>
      </c>
      <c r="G4" s="6" t="inlineStr">
        <is>
          <t>19.5%</t>
        </is>
      </c>
      <c r="H4" s="6" t="inlineStr">
        <is>
          <t>18.7%</t>
        </is>
      </c>
      <c r="I4" s="6" t="inlineStr">
        <is>
          <t>18.9%</t>
        </is>
      </c>
      <c r="J4" s="6" t="inlineStr">
        <is>
          <t>44.1%</t>
        </is>
      </c>
      <c r="K4" s="6" t="inlineStr">
        <is>
          <t>25.2%</t>
        </is>
      </c>
    </row>
    <row r="5" ht="60" customHeight="1">
      <c r="A5" s="7" t="inlineStr">
        <is>
          <t>Note: The FY2025 Pillar 3 Disclosures state that without IFRS 9 transitional relief, FY2025's total capital ratio would be 16.9% (Bank: 16.9%) rather than the 17.1% shown - noted for reference only, not substituted.</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Total RWAs</t>
        </is>
      </c>
    </row>
    <row r="2">
      <c r="A2" s="2" t="inlineStr">
        <is>
          <t>Bank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2379300</v>
      </c>
      <c r="C4" s="6" t="n">
        <v>1828000</v>
      </c>
      <c r="D4" s="6" t="n">
        <v>1271669</v>
      </c>
      <c r="E4" s="6" t="n">
        <v>1043001</v>
      </c>
      <c r="F4" s="6" t="n">
        <v>743296</v>
      </c>
      <c r="G4" s="6" t="n">
        <v>907158</v>
      </c>
      <c r="H4" s="6" t="n">
        <v>1028247</v>
      </c>
      <c r="I4" s="6" t="n">
        <v>572566</v>
      </c>
      <c r="J4" s="6" t="n">
        <v>166888</v>
      </c>
      <c r="K4" s="6" t="n">
        <v>39541</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RWA Breakdown</t>
        </is>
      </c>
    </row>
    <row r="2">
      <c r="A2" s="2" t="inlineStr">
        <is>
          <t>Bank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2171000</v>
      </c>
      <c r="C4" s="6" t="n">
        <v>1676100</v>
      </c>
      <c r="D4" s="6" t="n">
        <v>1161945</v>
      </c>
      <c r="E4" s="6" t="n">
        <v>951043</v>
      </c>
      <c r="F4" s="6" t="n">
        <v>658405</v>
      </c>
      <c r="G4" s="6" t="n">
        <v>872639</v>
      </c>
      <c r="H4" s="6" t="n">
        <v>1000236</v>
      </c>
      <c r="I4" s="6" t="n">
        <v>529996</v>
      </c>
      <c r="J4" s="6" t="n">
        <v>76974</v>
      </c>
      <c r="K4" s="6" t="n">
        <v>2677</v>
      </c>
    </row>
    <row r="5">
      <c r="A5" s="6" t="inlineStr">
        <is>
          <t>Counterparty credit risk (CCR)</t>
        </is>
      </c>
      <c r="B5" s="6" t="n">
        <v>13400</v>
      </c>
      <c r="C5" s="6" t="n">
        <v>6000</v>
      </c>
      <c r="D5" s="6" t="n">
        <v>1903</v>
      </c>
      <c r="E5" s="6" t="n">
        <v>13238</v>
      </c>
      <c r="F5" s="6" t="n">
        <v>3677</v>
      </c>
      <c r="G5" s="6" t="n">
        <v>3052</v>
      </c>
      <c r="H5" s="6" t="n">
        <v>3105</v>
      </c>
      <c r="I5" s="6" t="n">
        <v>2928</v>
      </c>
      <c r="J5" s="6" t="n">
        <v>201</v>
      </c>
      <c r="K5" s="6" t="n"/>
    </row>
    <row r="6">
      <c r="A6" s="6" t="inlineStr">
        <is>
          <t xml:space="preserve">  of which credit valuation adjustment (CVA)</t>
        </is>
      </c>
      <c r="B6" s="6" t="n">
        <v>7100</v>
      </c>
      <c r="C6" s="6" t="n">
        <v>2700</v>
      </c>
      <c r="D6" s="6" t="n">
        <v>524</v>
      </c>
      <c r="E6" s="6" t="n">
        <v>4621</v>
      </c>
      <c r="F6" s="6" t="n">
        <v>560</v>
      </c>
      <c r="G6" s="6" t="n"/>
      <c r="H6" s="6" t="n"/>
      <c r="I6" s="6" t="n"/>
      <c r="J6" s="6" t="n"/>
      <c r="K6" s="6" t="n"/>
    </row>
    <row r="7">
      <c r="A7" s="6" t="inlineStr">
        <is>
          <t>Credit valuation adjustment (CVA) (FY2016-FY2020: own additive risk category, not a CCR sub-line)</t>
        </is>
      </c>
      <c r="B7" s="6" t="n"/>
      <c r="C7" s="6" t="n"/>
      <c r="D7" s="6" t="n"/>
      <c r="E7" s="6" t="n"/>
      <c r="F7" s="6" t="n"/>
      <c r="G7" s="6" t="n">
        <v>2709</v>
      </c>
      <c r="H7" s="6" t="n">
        <v>2893</v>
      </c>
      <c r="I7" s="6" t="n">
        <v>3529</v>
      </c>
      <c r="J7" s="6" t="n">
        <v>1165</v>
      </c>
      <c r="K7" s="6" t="n"/>
    </row>
    <row r="8">
      <c r="A8" s="6" t="inlineStr">
        <is>
          <t>Securitisation exposures (non-trading book, after the cap)</t>
        </is>
      </c>
      <c r="B8" s="6" t="n">
        <v>20900</v>
      </c>
      <c r="C8" s="6" t="n">
        <v>4300</v>
      </c>
      <c r="D8" s="6" t="n">
        <v>21200</v>
      </c>
      <c r="E8" s="6" t="n">
        <v>40725</v>
      </c>
      <c r="F8" s="6" t="n">
        <v>81214</v>
      </c>
      <c r="G8" s="6" t="n">
        <v>28758</v>
      </c>
      <c r="H8" s="6" t="n">
        <v>9327</v>
      </c>
      <c r="I8" s="6" t="n">
        <v>23427</v>
      </c>
      <c r="J8" s="6" t="n">
        <v>41904</v>
      </c>
      <c r="K8" s="6" t="n"/>
    </row>
    <row r="9">
      <c r="A9" s="6" t="inlineStr">
        <is>
          <t>Market risk (position, FX and commodities risks)</t>
        </is>
      </c>
      <c r="B9" s="6" t="n">
        <v>0</v>
      </c>
      <c r="C9" s="6" t="n">
        <v>0</v>
      </c>
      <c r="D9" s="6" t="n">
        <v>0</v>
      </c>
      <c r="E9" s="6" t="n">
        <v>0</v>
      </c>
      <c r="F9" s="6" t="n">
        <v>0</v>
      </c>
      <c r="G9" s="6" t="n"/>
      <c r="H9" s="6" t="n"/>
      <c r="I9" s="6" t="n"/>
      <c r="J9" s="6" t="n"/>
      <c r="K9" s="6" t="n"/>
    </row>
    <row r="10">
      <c r="A10" s="6" t="inlineStr">
        <is>
          <t>Operational risk</t>
        </is>
      </c>
      <c r="B10" s="6" t="n">
        <v>174000</v>
      </c>
      <c r="C10" s="6" t="n">
        <v>141600</v>
      </c>
      <c r="D10" s="6" t="n">
        <v>86621</v>
      </c>
      <c r="E10" s="6" t="n">
        <v>37995</v>
      </c>
      <c r="F10" s="6" t="n">
        <v>0</v>
      </c>
      <c r="G10" s="6" t="n">
        <v>0</v>
      </c>
      <c r="H10" s="6" t="n">
        <v>12686</v>
      </c>
      <c r="I10" s="6" t="n">
        <v>12686</v>
      </c>
      <c r="J10" s="6" t="n">
        <v>46644</v>
      </c>
      <c r="K10" s="6" t="n">
        <v>36864</v>
      </c>
    </row>
    <row r="11">
      <c r="A11" s="5" t="inlineStr">
        <is>
          <t>Total risk-weighted exposure amount (RWEAs)</t>
        </is>
      </c>
      <c r="B11" s="5" t="n">
        <v>2379300</v>
      </c>
      <c r="C11" s="5" t="n">
        <v>1828000</v>
      </c>
      <c r="D11" s="5" t="n">
        <v>1271669</v>
      </c>
      <c r="E11" s="5" t="n">
        <v>1043001</v>
      </c>
      <c r="F11" s="5" t="n">
        <v>743296</v>
      </c>
      <c r="G11" s="5" t="n">
        <v>907158</v>
      </c>
      <c r="H11" s="5" t="n">
        <v>1028247</v>
      </c>
      <c r="I11" s="5" t="n">
        <v>572566</v>
      </c>
      <c r="J11" s="5" t="n">
        <v>166888</v>
      </c>
      <c r="K11" s="5" t="n">
        <v>39541</v>
      </c>
    </row>
    <row r="13" ht="150" customHeight="1">
      <c r="A13" s="8" t="inlineStr">
        <is>
          <t>Sources - Table UK OV1 (Overview of risk weighted exposure amounts), Bank basis, £'000: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FY2020: Atom Bank Plc Pillar 3 Disclosures 2019/20 (each year's own 'Summary of risk weighted assets' table, pre-UK OV1 template) - http://web.archive.org/web/20221005223922id_/https://www.atombank.co.uk/~/docs/pillar-3-disclosures-19-20.pdf
FY2019: Atom Bank Plc Pillar 3 Disclosures 2018/19, same table format - http://web.archive.org/web/20221005205114id_/https://www.atombank.co.uk/~/docs/pillar-3-disclosures-18-19.pdf
FY2018: Atom Bank Plc Pillar 3 Disclosures 2017/18, same table format - http://web.archive.org/web/20221005211108id_/https://www.atombank.co.uk/~/docs/pillar-3-disclosures-17-18.pdf
FY2017: Atom Bank Plc Pillar 3 Disclosures 2016/17 (Atom's first Pillar 3 disclosure, as at 31 March 2017) - http://web.archive.org/web/20221005211125id_/https://www.atombank.co.uk/~/docs/pillar-3-disclosures-16-17.pdf
FY2016: sourced only from the FY2016/17 Pillar 3 Disclosures document's own FY2016 comparative column above - no standalone FY2016 Pillar 3 document was ever published (the bank had no Pillar 3-relevant lending or capital disclosure requirement in its own FY2016 Annual Report, which pre-dates product launch).
Atom states it has no Pillar 1 market risk exposures in every year's Pillar 3 report - shown as £0 rather than blank/not-disclosed (FY2016-FY2017 don't disclose market risk as a line at all, but the bank had no trading book then either, consistent with £0). FY2025/FY2024 figures were originally disclosed in £m (1 decimal place) and are shown here converted to £'000 (x1,000), consistent with the FY2024/FY2025 Pillar 3 ratio sheets' own unit conversion note; FY2023-FY2016 are each source table's own £'000 figures. Total ties out exactly to the Total RWAs sheet for every year.
HD-025 EXTENSION NOTE: FY2016-FY2020's pre-UK-OV1-template tables present Credit valuation adjustment (CVA) as its OWN additive risk category (a separate row, not a sub-line 'of which' underneath Counterparty credit risk as in FY2021 onward's UK OV1 template) - kept as a distinct row here for those years rather than force-fitted into the later 'of which' convention, since it is genuinely additive to the FY2016-FY2020 totals. FY2020's Pillar 3 report explains its Operational risk RWA fell to nil that year because the bank switched from a forecast-based to an actual-3-year-average-losses-based calculation, and three years of actual operational losses produced a nil capital requirement - a genuine documented methodology change, not a data gap. FY2016's own document discloses only Credit risk and Operational risk components (no CCR/CVA/Securitisation/Market risk lines at all, consistent with a bank that had not yet launched lending or trading) - its two disclosed components sum exactly to that year's Total RWA.</t>
        </is>
      </c>
    </row>
  </sheetData>
  <mergeCells count="1">
    <mergeCell ref="A13:K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Leverage Ratio</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total exposure measure</t>
        </is>
      </c>
      <c r="B4" s="6" t="n">
        <v>7174600</v>
      </c>
      <c r="C4" s="6" t="n">
        <v>5064500</v>
      </c>
      <c r="D4" s="6" t="n">
        <v>3723901</v>
      </c>
      <c r="E4" s="6" t="n">
        <v>3313171</v>
      </c>
      <c r="F4" s="6" t="n">
        <v>2914267</v>
      </c>
      <c r="G4" s="6" t="n">
        <v>2797736</v>
      </c>
      <c r="H4" s="6" t="n">
        <v>2846115</v>
      </c>
      <c r="I4" s="6" t="n">
        <v>2003497</v>
      </c>
      <c r="J4" s="6" t="n">
        <v>669927</v>
      </c>
      <c r="K4" s="6" t="n">
        <v>18148</v>
      </c>
    </row>
    <row r="5">
      <c r="A5" s="6" t="inlineStr">
        <is>
          <t>Leverage ratio (%)</t>
        </is>
      </c>
      <c r="B5" s="6" t="inlineStr">
        <is>
          <t>5.0%</t>
        </is>
      </c>
      <c r="C5" s="6" t="inlineStr">
        <is>
          <t>6.9%</t>
        </is>
      </c>
      <c r="D5" s="6" t="inlineStr">
        <is>
          <t>6.5%</t>
        </is>
      </c>
      <c r="E5" s="6" t="inlineStr">
        <is>
          <t>6.6%</t>
        </is>
      </c>
      <c r="F5" s="6" t="inlineStr">
        <is>
          <t>3.9%</t>
        </is>
      </c>
      <c r="G5" s="6" t="inlineStr">
        <is>
          <t>6.0%</t>
        </is>
      </c>
      <c r="H5" s="6" t="inlineStr">
        <is>
          <t>6.5%</t>
        </is>
      </c>
      <c r="I5" s="6" t="inlineStr">
        <is>
          <t>5.0%</t>
        </is>
      </c>
      <c r="J5" s="6" t="inlineStr">
        <is>
          <t>10.9%</t>
        </is>
      </c>
      <c r="K5" s="6" t="inlineStr">
        <is>
          <t>54.9%</t>
        </is>
      </c>
    </row>
    <row r="6" ht="60"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FY2016-FY2025. FY2016's very high 54.9% figure reflects the bank's pre-launch balance sheet (tiny exposure measure against already-raised capital), not a data error.</t>
        </is>
      </c>
    </row>
    <row r="8" ht="180" customHeight="1">
      <c r="A8"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6:K6"/>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LCR</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high-quality liquid assets (HQLA), weighted value (average)</t>
        </is>
      </c>
      <c r="B4" s="6" t="n">
        <v>2333100</v>
      </c>
      <c r="C4" s="6" t="n">
        <v>3849000</v>
      </c>
      <c r="D4" s="6" t="n">
        <v>2494398</v>
      </c>
      <c r="E4" s="6" t="n">
        <v>971602</v>
      </c>
      <c r="F4" s="6" t="n">
        <v>415697</v>
      </c>
      <c r="G4" s="6" t="n">
        <v>290230</v>
      </c>
      <c r="H4" s="6" t="n">
        <v>216650</v>
      </c>
      <c r="I4" s="6" t="n">
        <v>643721</v>
      </c>
      <c r="J4" s="6" t="n">
        <v>481472</v>
      </c>
      <c r="K4" s="6" t="n"/>
    </row>
    <row r="5">
      <c r="A5" s="6" t="inlineStr">
        <is>
          <t>Total net cash outflows, adjusted value</t>
        </is>
      </c>
      <c r="B5" s="6" t="n">
        <v>550400</v>
      </c>
      <c r="C5" s="6" t="n">
        <v>534000</v>
      </c>
      <c r="D5" s="6" t="n">
        <v>446330</v>
      </c>
      <c r="E5" s="6" t="n">
        <v>310483</v>
      </c>
      <c r="F5" s="6" t="n">
        <v>185032</v>
      </c>
      <c r="G5" s="6" t="n">
        <v>38003</v>
      </c>
      <c r="H5" s="6" t="n">
        <v>66951</v>
      </c>
      <c r="I5" s="6" t="n">
        <v>132684</v>
      </c>
      <c r="J5" s="6" t="n">
        <v>74539</v>
      </c>
      <c r="K5" s="6" t="n"/>
    </row>
    <row r="6">
      <c r="A6" s="6" t="inlineStr">
        <is>
          <t>Liquidity Coverage Ratio (%)</t>
        </is>
      </c>
      <c r="B6" s="6" t="inlineStr">
        <is>
          <t>418.6%</t>
        </is>
      </c>
      <c r="C6" s="6" t="inlineStr">
        <is>
          <t>727.8%</t>
        </is>
      </c>
      <c r="D6" s="6" t="inlineStr">
        <is>
          <t>578.6%</t>
        </is>
      </c>
      <c r="E6" s="6" t="inlineStr">
        <is>
          <t>316.7%</t>
        </is>
      </c>
      <c r="F6" s="6" t="inlineStr">
        <is>
          <t>241.8%</t>
        </is>
      </c>
      <c r="G6" s="6" t="inlineStr">
        <is>
          <t>763.7%</t>
        </is>
      </c>
      <c r="H6" s="6" t="inlineStr">
        <is>
          <t>323.6%</t>
        </is>
      </c>
      <c r="I6" s="6" t="inlineStr">
        <is>
          <t>485.2%</t>
        </is>
      </c>
      <c r="J6" s="6" t="inlineStr">
        <is>
          <t>645.9%</t>
        </is>
      </c>
      <c r="K6" s="6" t="n"/>
    </row>
    <row r="7" ht="60" customHeight="1">
      <c r="A7" s="7" t="inlineStr">
        <is>
          <t>Note: FY2016 has no LCR disclosure at all - genuinely absent from the FY2016/17 Pillar 3 Disclosures document (the only document covering that year), confirmed by directly searching its full text for 'liquidity coverage'/'LCR' rather than assuming absence from a section-heading scan. A real self-skip,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NSFR</t>
        </is>
      </c>
    </row>
    <row r="2">
      <c r="A2" s="2" t="inlineStr">
        <is>
          <t>Bank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available stable funding</t>
        </is>
      </c>
      <c r="B4" s="6" t="n">
        <v>6821300</v>
      </c>
      <c r="C4" s="6" t="n">
        <v>6891400</v>
      </c>
      <c r="D4" s="6" t="n">
        <v>5557689</v>
      </c>
      <c r="E4" s="6" t="n">
        <v>3492177</v>
      </c>
      <c r="F4" s="6" t="n">
        <v>2536566</v>
      </c>
      <c r="G4" s="6" t="n"/>
      <c r="H4" s="6" t="n"/>
      <c r="I4" s="6" t="n"/>
      <c r="J4" s="6" t="n"/>
      <c r="K4" s="6" t="n"/>
    </row>
    <row r="5">
      <c r="A5" s="6" t="inlineStr">
        <is>
          <t>Total required stable funding</t>
        </is>
      </c>
      <c r="B5" s="6" t="n">
        <v>3987700</v>
      </c>
      <c r="C5" s="6" t="n">
        <v>3146100</v>
      </c>
      <c r="D5" s="6" t="n">
        <v>2615311</v>
      </c>
      <c r="E5" s="6" t="n">
        <v>2248265</v>
      </c>
      <c r="F5" s="6" t="n">
        <v>2029057</v>
      </c>
      <c r="G5" s="6" t="n"/>
      <c r="H5" s="6" t="n"/>
      <c r="I5" s="6" t="n"/>
      <c r="J5" s="6" t="n"/>
      <c r="K5" s="6" t="n"/>
    </row>
    <row r="6">
      <c r="A6" s="6" t="inlineStr">
        <is>
          <t>Net Stable Funding Ratio (%)</t>
        </is>
      </c>
      <c r="B6" s="6" t="inlineStr">
        <is>
          <t>171.2%</t>
        </is>
      </c>
      <c r="C6" s="6" t="inlineStr">
        <is>
          <t>221.8%</t>
        </is>
      </c>
      <c r="D6" s="6" t="inlineStr">
        <is>
          <t>211.8%</t>
        </is>
      </c>
      <c r="E6" s="6" t="inlineStr">
        <is>
          <t>154.9%</t>
        </is>
      </c>
      <c r="F6" s="6" t="inlineStr">
        <is>
          <t>125.0%</t>
        </is>
      </c>
      <c r="G6" s="6" t="n"/>
      <c r="H6" s="6" t="n"/>
      <c r="I6" s="6" t="n"/>
      <c r="J6" s="6" t="n"/>
      <c r="K6" s="6" t="n"/>
    </row>
    <row r="7" ht="60" customHeight="1">
      <c r="A7" s="7" t="inlineStr">
        <is>
          <t>Note: FY2016-FY2020 have no numeric NSFR disclosure - each of those 5 Pillar 3 Disclosures only mentions the then-forthcoming CRR2 NSFR requirement in forward-looking terms, with no ratio ever actually reported (confirmed by directly searching each document's full text for 'NSFR'/'net stable funding' rather than assuming absence). A real self-skip across all 5 years,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MREL is not mentioned anywhere in any of Atom's 5 Pillar 3 Disclosures (FY2021-FY2025) - no numeric ratio and no stated exemption, similar to several other smaller banks in this project (e.g. Zopa, Zenith).</t>
        </is>
      </c>
    </row>
    <row r="7" ht="15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FY2025: Atom Holdco plc Pillar 3 Disclosures 2025, p.13 (4. Key metrics) - https://www.atombank.co.uk/~/docs/pillar-3-disclosures-24-25.pdf
FY2024: comparative column within the FY2025 Pillar 3 Disclosures above (no separate FY2024 edition fetched directly) - https://www.atombank.co.uk/~/docs/pillar-3-disclosures-24-25.pdf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 figures were originally disclosed in £m and are shown here converted to £'000 (x1,000) for consistency with FY2021-FY2023's own £'000 presentation - ratios are unaffected by this unit change.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2026-09-16T00:10:39Z</dcterms:created>
  <dcterms:modified xmlns:dcterms="http://purl.org/dc/terms/" xmlns:xsi="http://www.w3.org/2001/XMLSchema-instance" xsi:type="dcterms:W3CDTF">2026-09-16T00:10:39Z</dcterms:modified>
</cp:coreProperties>
</file>