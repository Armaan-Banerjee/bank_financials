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C1440E"/>
        <bgColor rgb="00C1440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Allica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'Overview'!J6</f>
            </strRef>
          </tx>
          <spPr>
            <a:ln xmlns:a="http://schemas.openxmlformats.org/drawingml/2006/main">
              <a:prstDash val="solid"/>
            </a:ln>
          </spPr>
          <cat>
            <numRef>
              <f>'Overview'!$K$5:$P$5</f>
            </numRef>
          </cat>
          <val>
            <numRef>
              <f>'Overview'!$K$6:$P$6</f>
            </numRef>
          </val>
        </ser>
        <ser>
          <idx val="1"/>
          <order val="1"/>
          <tx>
            <strRef>
              <f>'Overview'!J7</f>
            </strRef>
          </tx>
          <spPr>
            <a:ln xmlns:a="http://schemas.openxmlformats.org/drawingml/2006/main">
              <a:prstDash val="solid"/>
            </a:ln>
          </spPr>
          <cat>
            <numRef>
              <f>'Overview'!$K$5:$P$5</f>
            </numRef>
          </cat>
          <val>
            <numRef>
              <f>'Overview'!$K$7:$P$7</f>
            </numRef>
          </val>
        </ser>
        <ser>
          <idx val="2"/>
          <order val="2"/>
          <tx>
            <strRef>
              <f>'Overview'!J8</f>
            </strRef>
          </tx>
          <spPr>
            <a:ln xmlns:a="http://schemas.openxmlformats.org/drawingml/2006/main">
              <a:prstDash val="solid"/>
            </a:ln>
          </spPr>
          <cat>
            <numRef>
              <f>'Overview'!$K$5:$P$5</f>
            </numRef>
          </cat>
          <val>
            <numRef>
              <f>'Overview'!$K$8:$P$8</f>
            </numRef>
          </val>
        </ser>
        <ser>
          <idx val="3"/>
          <order val="3"/>
          <tx>
            <strRef>
              <f>'Overview'!J9</f>
            </strRef>
          </tx>
          <spPr>
            <a:ln xmlns:a="http://schemas.openxmlformats.org/drawingml/2006/main">
              <a:prstDash val="solid"/>
            </a:ln>
          </spPr>
          <cat>
            <numRef>
              <f>'Overview'!$K$5:$P$5</f>
            </numRef>
          </cat>
          <val>
            <numRef>
              <f>'Overview'!$K$9:$P$9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Allica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'Overview'!S13</f>
            </strRef>
          </tx>
          <spPr>
            <a:ln xmlns:a="http://schemas.openxmlformats.org/drawingml/2006/main">
              <a:prstDash val="solid"/>
            </a:ln>
          </spPr>
          <cat>
            <numRef>
              <f>'Overview'!$T$12:$Y$12</f>
            </numRef>
          </cat>
          <val>
            <numRef>
              <f>'Overview'!$T$13:$Y$13</f>
            </numRef>
          </val>
        </ser>
        <ser>
          <idx val="1"/>
          <order val="1"/>
          <tx>
            <strRef>
              <f>'Overview'!S14</f>
            </strRef>
          </tx>
          <spPr>
            <a:ln xmlns:a="http://schemas.openxmlformats.org/drawingml/2006/main">
              <a:prstDash val="solid"/>
            </a:ln>
          </spPr>
          <cat>
            <numRef>
              <f>'Overview'!$T$12:$Y$12</f>
            </numRef>
          </cat>
          <val>
            <numRef>
              <f>'Overview'!$T$14:$Y$14</f>
            </numRef>
          </val>
        </ser>
        <ser>
          <idx val="2"/>
          <order val="2"/>
          <tx>
            <strRef>
              <f>'Overview'!S15</f>
            </strRef>
          </tx>
          <spPr>
            <a:ln xmlns:a="http://schemas.openxmlformats.org/drawingml/2006/main">
              <a:prstDash val="solid"/>
            </a:ln>
          </spPr>
          <cat>
            <numRef>
              <f>'Overview'!$T$12:$Y$12</f>
            </numRef>
          </cat>
          <val>
            <numRef>
              <f>'Overview'!$T$15:$Y$15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Allica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'Overview'!AB19</f>
            </strRef>
          </tx>
          <spPr>
            <a:ln xmlns:a="http://schemas.openxmlformats.org/drawingml/2006/main">
              <a:prstDash val="solid"/>
            </a:ln>
          </spPr>
          <cat>
            <numRef>
              <f>'Overview'!$AC$18:$AH$18</f>
            </numRef>
          </cat>
          <val>
            <numRef>
              <f>'Overview'!$AC$19:$AH$19</f>
            </numRef>
          </val>
        </ser>
        <ser>
          <idx val="1"/>
          <order val="1"/>
          <tx>
            <strRef>
              <f>'Overview'!AB20</f>
            </strRef>
          </tx>
          <spPr>
            <a:ln xmlns:a="http://schemas.openxmlformats.org/drawingml/2006/main">
              <a:prstDash val="solid"/>
            </a:ln>
          </spPr>
          <cat>
            <numRef>
              <f>'Overview'!$AC$18:$AH$18</f>
            </numRef>
          </cat>
          <val>
            <numRef>
              <f>'Overview'!$AC$20:$AH$20</f>
            </numRef>
          </val>
        </ser>
        <ser>
          <idx val="2"/>
          <order val="2"/>
          <tx>
            <strRef>
              <f>'Overview'!AB21</f>
            </strRef>
          </tx>
          <spPr>
            <a:ln xmlns:a="http://schemas.openxmlformats.org/drawingml/2006/main">
              <a:prstDash val="solid"/>
            </a:ln>
          </spPr>
          <cat>
            <numRef>
              <f>'Overview'!$AC$18:$AH$18</f>
            </numRef>
          </cat>
          <val>
            <numRef>
              <f>'Overview'!$AC$21:$AH$21</f>
            </numRef>
          </val>
        </ser>
        <ser>
          <idx val="3"/>
          <order val="3"/>
          <tx>
            <strRef>
              <f>'Overview'!AB22</f>
            </strRef>
          </tx>
          <spPr>
            <a:ln xmlns:a="http://schemas.openxmlformats.org/drawingml/2006/main">
              <a:prstDash val="solid"/>
            </a:ln>
          </spPr>
          <cat>
            <numRef>
              <f>'Overview'!$AC$18:$AH$18</f>
            </numRef>
          </cat>
          <val>
            <numRef>
              <f>'Overview'!$AC$22:$AH$22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Allica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'Overview'!AK26</f>
            </strRef>
          </tx>
          <spPr>
            <a:ln xmlns:a="http://schemas.openxmlformats.org/drawingml/2006/main">
              <a:prstDash val="solid"/>
            </a:ln>
          </spPr>
          <cat>
            <numRef>
              <f>'Overview'!$AL$25:$AQ$25</f>
            </numRef>
          </cat>
          <val>
            <numRef>
              <f>'Overview'!$AL$26:$AQ$26</f>
            </numRef>
          </val>
        </ser>
        <ser>
          <idx val="1"/>
          <order val="1"/>
          <tx>
            <strRef>
              <f>'Overview'!AK27</f>
            </strRef>
          </tx>
          <spPr>
            <a:ln xmlns:a="http://schemas.openxmlformats.org/drawingml/2006/main">
              <a:prstDash val="solid"/>
            </a:ln>
          </spPr>
          <cat>
            <numRef>
              <f>'Overview'!$AL$25:$AQ$25</f>
            </numRef>
          </cat>
          <val>
            <numRef>
              <f>'Overview'!$AL$27:$AQ$27</f>
            </numRef>
          </val>
        </ser>
        <ser>
          <idx val="2"/>
          <order val="2"/>
          <tx>
            <strRef>
              <f>'Overview'!AK28</f>
            </strRef>
          </tx>
          <spPr>
            <a:ln xmlns:a="http://schemas.openxmlformats.org/drawingml/2006/main">
              <a:prstDash val="solid"/>
            </a:ln>
          </spPr>
          <cat>
            <numRef>
              <f>'Overview'!$AL$25:$AQ$25</f>
            </numRef>
          </cat>
          <val>
            <numRef>
              <f>'Overview'!$AL$28:$AQ$28</f>
            </numRef>
          </val>
        </ser>
        <ser>
          <idx val="3"/>
          <order val="3"/>
          <tx>
            <strRef>
              <f>'Overview'!AK29</f>
            </strRef>
          </tx>
          <spPr>
            <a:ln xmlns:a="http://schemas.openxmlformats.org/drawingml/2006/main">
              <a:prstDash val="solid"/>
            </a:ln>
          </spPr>
          <cat>
            <numRef>
              <f>'Overview'!$AL$25:$AQ$25</f>
            </numRef>
          </cat>
          <val>
            <numRef>
              <f>'Overview'!$AL$29:$AQ$29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Allica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'Overview'!AT6</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'Overview'!$AU$6:$AZ$6</f>
            </numRef>
          </val>
          <smooth val="0"/>
        </ser>
        <ser>
          <idx val="1"/>
          <order val="1"/>
          <tx>
            <strRef>
              <f>'Overview'!AT7</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'Overview'!$AU$7:$AZ$7</f>
            </numRef>
          </val>
          <smooth val="0"/>
        </ser>
        <ser>
          <idx val="2"/>
          <order val="2"/>
          <tx>
            <strRef>
              <f>'Overview'!AT8</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'Overview'!$AU$8:$AZ$8</f>
            </numRef>
          </val>
          <smooth val="0"/>
        </ser>
        <ser>
          <idx val="3"/>
          <order val="3"/>
          <tx>
            <strRef>
              <f>'Overview'!AT9</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'Overview'!$AU$9:$AZ$9</f>
            </numRef>
          </val>
          <smooth val="0"/>
        </ser>
        <ser>
          <idx val="4"/>
          <order val="4"/>
          <tx>
            <strRef>
              <f>'Overview'!AT10</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'Overview'!$AU$10:$AZ$10</f>
            </numRef>
          </val>
          <smooth val="0"/>
        </ser>
        <ser>
          <idx val="5"/>
          <order val="5"/>
          <tx>
            <strRef>
              <f>'Overview'!AT11</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'Overview'!$AU$11:$AZ$11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Z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s>
  <sheetData>
    <row r="1">
      <c r="A1" s="1" t="inlineStr">
        <is>
          <t>Allica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K5" t="inlineStr">
        <is>
          <t>FY2020</t>
        </is>
      </c>
      <c r="L5" t="inlineStr">
        <is>
          <t>FY2021</t>
        </is>
      </c>
      <c r="M5" t="inlineStr">
        <is>
          <t>FY2022</t>
        </is>
      </c>
      <c r="N5" t="inlineStr">
        <is>
          <t>FY2023</t>
        </is>
      </c>
      <c r="O5" t="inlineStr">
        <is>
          <t>FY2024</t>
        </is>
      </c>
      <c r="P5" t="inlineStr">
        <is>
          <t>FY2025</t>
        </is>
      </c>
      <c r="AU5" t="inlineStr">
        <is>
          <t>FY2020</t>
        </is>
      </c>
      <c r="AV5" t="inlineStr">
        <is>
          <t>FY2021</t>
        </is>
      </c>
      <c r="AW5" t="inlineStr">
        <is>
          <t>FY2022</t>
        </is>
      </c>
      <c r="AX5" t="inlineStr">
        <is>
          <t>FY2023</t>
        </is>
      </c>
      <c r="AY5" t="inlineStr">
        <is>
          <t>FY2024</t>
        </is>
      </c>
      <c r="AZ5" t="inlineStr">
        <is>
          <t>FY2025</t>
        </is>
      </c>
    </row>
    <row r="6">
      <c r="A6" s="5" t="inlineStr">
        <is>
          <t>Total assets</t>
        </is>
      </c>
      <c r="B6" s="5" t="n">
        <v>6268.9</v>
      </c>
      <c r="C6" s="5" t="n">
        <v>4934.5</v>
      </c>
      <c r="D6" s="5" t="n">
        <v>2958.919</v>
      </c>
      <c r="E6" s="5" t="n">
        <v>1762.47</v>
      </c>
      <c r="F6" s="5" t="n">
        <v>950.207</v>
      </c>
      <c r="G6" s="5" t="n">
        <v>164.743</v>
      </c>
      <c r="J6" t="inlineStr">
        <is>
          <t>Total assets</t>
        </is>
      </c>
      <c r="K6" t="n">
        <v>164.743</v>
      </c>
      <c r="L6" t="n">
        <v>950.207</v>
      </c>
      <c r="M6" t="n">
        <v>1762.47</v>
      </c>
      <c r="N6" t="n">
        <v>2958.919</v>
      </c>
      <c r="O6" t="n">
        <v>4934.5</v>
      </c>
      <c r="P6" t="n">
        <v>6268.9</v>
      </c>
      <c r="AT6" t="inlineStr">
        <is>
          <t>CET1 Ratio</t>
        </is>
      </c>
      <c r="AU6" t="n">
        <v>69</v>
      </c>
      <c r="AV6" t="n">
        <v>14.1</v>
      </c>
      <c r="AW6" t="n">
        <v>17.1</v>
      </c>
      <c r="AX6" t="n">
        <v>15.7</v>
      </c>
      <c r="AY6" t="n">
        <v>14.5</v>
      </c>
      <c r="AZ6" t="n">
        <v>13.4</v>
      </c>
    </row>
    <row r="7">
      <c r="A7" s="5" t="inlineStr">
        <is>
          <t>Loans and advances to customers</t>
        </is>
      </c>
      <c r="B7" s="5" t="n">
        <v>3742</v>
      </c>
      <c r="C7" s="5" t="n">
        <v>3048.8</v>
      </c>
      <c r="D7" s="5" t="n">
        <v>1976.826</v>
      </c>
      <c r="E7" s="5" t="n">
        <v>1348.166</v>
      </c>
      <c r="F7" s="5" t="n">
        <v>566.04</v>
      </c>
      <c r="G7" s="5" t="n">
        <v>45.04</v>
      </c>
      <c r="J7" t="inlineStr">
        <is>
          <t>Loans and advances to customers</t>
        </is>
      </c>
      <c r="K7" t="n">
        <v>45.04</v>
      </c>
      <c r="L7" t="n">
        <v>566.04</v>
      </c>
      <c r="M7" t="n">
        <v>1348.166</v>
      </c>
      <c r="N7" t="n">
        <v>1976.826</v>
      </c>
      <c r="O7" t="n">
        <v>3048.8</v>
      </c>
      <c r="P7" t="n">
        <v>3742</v>
      </c>
      <c r="AT7" t="inlineStr">
        <is>
          <t>Tier 1 Ratio</t>
        </is>
      </c>
      <c r="AU7" t="n">
        <v>69</v>
      </c>
      <c r="AV7" t="n">
        <v>17.7</v>
      </c>
      <c r="AW7" t="n">
        <v>18.1</v>
      </c>
      <c r="AX7" t="n">
        <v>18.9</v>
      </c>
      <c r="AY7" t="n">
        <v>16.9</v>
      </c>
      <c r="AZ7" t="n">
        <v>15.3</v>
      </c>
    </row>
    <row r="8">
      <c r="A8" s="5" t="inlineStr">
        <is>
          <t>Deposits from customers</t>
        </is>
      </c>
      <c r="B8" s="5" t="n">
        <v>5719.9</v>
      </c>
      <c r="C8" s="5" t="n">
        <v>4428.1</v>
      </c>
      <c r="D8" s="5" t="n">
        <v>2633.247</v>
      </c>
      <c r="E8" s="5" t="n">
        <v>1507.433</v>
      </c>
      <c r="F8" s="5" t="n">
        <v>845.769</v>
      </c>
      <c r="G8" s="5" t="n">
        <v>104.299</v>
      </c>
      <c r="J8" t="inlineStr">
        <is>
          <t>Deposits from customers</t>
        </is>
      </c>
      <c r="K8" t="n">
        <v>104.299</v>
      </c>
      <c r="L8" t="n">
        <v>845.769</v>
      </c>
      <c r="M8" t="n">
        <v>1507.433</v>
      </c>
      <c r="N8" t="n">
        <v>2633.247</v>
      </c>
      <c r="O8" t="n">
        <v>4428.1</v>
      </c>
      <c r="P8" t="n">
        <v>5719.9</v>
      </c>
      <c r="AT8" t="inlineStr">
        <is>
          <t>Total Capital Ratio</t>
        </is>
      </c>
      <c r="AU8" t="n">
        <v>69</v>
      </c>
      <c r="AV8" t="n">
        <v>19.3</v>
      </c>
      <c r="AW8" t="n">
        <v>18.8</v>
      </c>
      <c r="AX8" t="n">
        <v>19.5</v>
      </c>
      <c r="AY8" t="n">
        <v>18.8</v>
      </c>
      <c r="AZ8" t="n">
        <v>16.8</v>
      </c>
    </row>
    <row r="9">
      <c r="A9" s="5" t="inlineStr">
        <is>
          <t>Total equity</t>
        </is>
      </c>
      <c r="B9" s="5" t="n">
        <v>424</v>
      </c>
      <c r="C9" s="5" t="n">
        <v>376.7</v>
      </c>
      <c r="D9" s="5" t="n">
        <v>279.142</v>
      </c>
      <c r="E9" s="5" t="n">
        <v>209.271</v>
      </c>
      <c r="F9" s="5" t="n">
        <v>89.883</v>
      </c>
      <c r="G9" s="5" t="n">
        <v>56.488</v>
      </c>
      <c r="J9" t="inlineStr">
        <is>
          <t>Total equity</t>
        </is>
      </c>
      <c r="K9" t="n">
        <v>56.488</v>
      </c>
      <c r="L9" t="n">
        <v>89.883</v>
      </c>
      <c r="M9" t="n">
        <v>209.271</v>
      </c>
      <c r="N9" t="n">
        <v>279.142</v>
      </c>
      <c r="O9" t="n">
        <v>376.7</v>
      </c>
      <c r="P9" t="n">
        <v>424</v>
      </c>
      <c r="AT9" t="inlineStr">
        <is>
          <t>Leverage Ratio (excl. central banks)</t>
        </is>
      </c>
      <c r="AV9" t="n">
        <v>12.5</v>
      </c>
      <c r="AW9" t="n">
        <v>11.3</v>
      </c>
      <c r="AX9" t="n">
        <v>11.4</v>
      </c>
      <c r="AY9" t="n">
        <v>9.4</v>
      </c>
      <c r="AZ9" t="n">
        <v>7.3</v>
      </c>
    </row>
    <row r="10">
      <c r="AT10" t="inlineStr">
        <is>
          <t>LCR</t>
        </is>
      </c>
      <c r="AU10" t="n">
        <v>331</v>
      </c>
      <c r="AV10" t="n">
        <v>499.9</v>
      </c>
      <c r="AW10" t="n">
        <v>302.3</v>
      </c>
      <c r="AX10" t="n">
        <v>289</v>
      </c>
      <c r="AY10" t="n">
        <v>216.2</v>
      </c>
      <c r="AZ10" t="n">
        <v>220.8</v>
      </c>
    </row>
    <row r="11">
      <c r="A11" s="3" t="inlineStr">
        <is>
          <t>Profit &amp; Loss Summary (£m)</t>
        </is>
      </c>
      <c r="AT11" t="inlineStr">
        <is>
          <t>NSFR</t>
        </is>
      </c>
      <c r="AW11" t="n">
        <v>149</v>
      </c>
      <c r="AX11" t="n">
        <v>135.4</v>
      </c>
      <c r="AY11" t="n">
        <v>133.8</v>
      </c>
      <c r="AZ11" t="n">
        <v>138.8</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T12" t="inlineStr">
        <is>
          <t>FY2020</t>
        </is>
      </c>
      <c r="U12" t="inlineStr">
        <is>
          <t>FY2021</t>
        </is>
      </c>
      <c r="V12" t="inlineStr">
        <is>
          <t>FY2022</t>
        </is>
      </c>
      <c r="W12" t="inlineStr">
        <is>
          <t>FY2023</t>
        </is>
      </c>
      <c r="X12" t="inlineStr">
        <is>
          <t>FY2024</t>
        </is>
      </c>
      <c r="Y12" t="inlineStr">
        <is>
          <t>FY2025</t>
        </is>
      </c>
    </row>
    <row r="13">
      <c r="A13" s="5" t="inlineStr">
        <is>
          <t>Total operating income</t>
        </is>
      </c>
      <c r="B13" s="5" t="n">
        <v>158.6</v>
      </c>
      <c r="C13" s="5" t="n">
        <v>120.4</v>
      </c>
      <c r="D13" s="5" t="n">
        <v>86.80800000000001</v>
      </c>
      <c r="E13" s="5" t="n">
        <v>48.312</v>
      </c>
      <c r="F13" s="5" t="n">
        <v>7.826</v>
      </c>
      <c r="G13" s="5" t="n">
        <v>0.204</v>
      </c>
      <c r="S13" t="inlineStr">
        <is>
          <t>Total operating income</t>
        </is>
      </c>
      <c r="T13" t="n">
        <v>0.204</v>
      </c>
      <c r="U13" t="n">
        <v>7.826</v>
      </c>
      <c r="V13" t="n">
        <v>48.312</v>
      </c>
      <c r="W13" t="n">
        <v>86.80800000000001</v>
      </c>
      <c r="X13" t="n">
        <v>120.4</v>
      </c>
      <c r="Y13" t="n">
        <v>158.6</v>
      </c>
    </row>
    <row r="14">
      <c r="A14" s="5" t="inlineStr">
        <is>
          <t>Total operating expenses</t>
        </is>
      </c>
      <c r="B14" s="5" t="n">
        <v>-108.4</v>
      </c>
      <c r="C14" s="5" t="n">
        <v>-80.3</v>
      </c>
      <c r="D14" s="5" t="n">
        <v>-56.438</v>
      </c>
      <c r="E14" s="5" t="n">
        <v>-41.426</v>
      </c>
      <c r="F14" s="5" t="n">
        <v>-31.807</v>
      </c>
      <c r="G14" s="5" t="n">
        <v>-21.85</v>
      </c>
      <c r="S14" t="inlineStr">
        <is>
          <t>Total operating expenses</t>
        </is>
      </c>
      <c r="T14" t="n">
        <v>-21.85</v>
      </c>
      <c r="U14" t="n">
        <v>-31.807</v>
      </c>
      <c r="V14" t="n">
        <v>-41.426</v>
      </c>
      <c r="W14" t="n">
        <v>-56.438</v>
      </c>
      <c r="X14" t="n">
        <v>-80.3</v>
      </c>
      <c r="Y14" t="n">
        <v>-108.4</v>
      </c>
    </row>
    <row r="15">
      <c r="A15" s="5" t="inlineStr">
        <is>
          <t>Profit/(loss) after tax for the year</t>
        </is>
      </c>
      <c r="B15" s="5" t="n">
        <v>27.3</v>
      </c>
      <c r="C15" s="5" t="n">
        <v>29.8</v>
      </c>
      <c r="D15" s="5" t="n">
        <v>19.15</v>
      </c>
      <c r="E15" s="5" t="n">
        <v>5.623</v>
      </c>
      <c r="F15" s="5" t="n">
        <v>-25.058</v>
      </c>
      <c r="G15" s="5" t="n">
        <v>-21.714</v>
      </c>
      <c r="S15" t="inlineStr">
        <is>
          <t>Profit/(loss) after tax for the year</t>
        </is>
      </c>
      <c r="T15" t="n">
        <v>-21.714</v>
      </c>
      <c r="U15" t="n">
        <v>-25.058</v>
      </c>
      <c r="V15" t="n">
        <v>5.623</v>
      </c>
      <c r="W15" t="n">
        <v>19.15</v>
      </c>
      <c r="X15" t="n">
        <v>29.8</v>
      </c>
      <c r="Y15" t="n">
        <v>27.3</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AC18" t="inlineStr">
        <is>
          <t>FY2020</t>
        </is>
      </c>
      <c r="AD18" t="inlineStr">
        <is>
          <t>FY2021</t>
        </is>
      </c>
      <c r="AE18" t="inlineStr">
        <is>
          <t>FY2022</t>
        </is>
      </c>
      <c r="AF18" t="inlineStr">
        <is>
          <t>FY2023</t>
        </is>
      </c>
      <c r="AG18" t="inlineStr">
        <is>
          <t>FY2024</t>
        </is>
      </c>
      <c r="AH18" t="inlineStr">
        <is>
          <t>FY2025</t>
        </is>
      </c>
    </row>
    <row r="19">
      <c r="A19" s="5" t="inlineStr">
        <is>
          <t>Opening equity</t>
        </is>
      </c>
      <c r="B19" s="5" t="n">
        <v>376.7</v>
      </c>
      <c r="C19" s="5" t="n">
        <v>279.142</v>
      </c>
      <c r="D19" s="5" t="n">
        <v>209.271</v>
      </c>
      <c r="E19" s="5" t="n">
        <v>89.883</v>
      </c>
      <c r="F19" s="5" t="n">
        <v>56.488</v>
      </c>
      <c r="G19" s="5" t="n">
        <v>41.678</v>
      </c>
      <c r="AB19" t="inlineStr">
        <is>
          <t>Opening equity</t>
        </is>
      </c>
      <c r="AC19" t="n">
        <v>41.678</v>
      </c>
      <c r="AD19" t="n">
        <v>56.488</v>
      </c>
      <c r="AE19" t="n">
        <v>89.883</v>
      </c>
      <c r="AF19" t="n">
        <v>209.271</v>
      </c>
      <c r="AG19" t="n">
        <v>279.142</v>
      </c>
      <c r="AH19" t="n">
        <v>376.7</v>
      </c>
    </row>
    <row r="20">
      <c r="A20" s="5" t="inlineStr">
        <is>
          <t>Total comprehensive income/(loss) for the year</t>
        </is>
      </c>
      <c r="B20" s="5" t="n">
        <v>11.8</v>
      </c>
      <c r="C20" s="5" t="n">
        <v>44.6</v>
      </c>
      <c r="D20" s="5" t="n">
        <v>-0.28</v>
      </c>
      <c r="E20" s="5" t="n">
        <v>20.119</v>
      </c>
      <c r="F20" s="5" t="n">
        <v>-25.019</v>
      </c>
      <c r="G20" s="5" t="n">
        <v>-21.732</v>
      </c>
      <c r="AB20" t="inlineStr">
        <is>
          <t>Total comprehensive income/(loss) for the year</t>
        </is>
      </c>
      <c r="AC20" t="n">
        <v>-21.732</v>
      </c>
      <c r="AD20" t="n">
        <v>-25.019</v>
      </c>
      <c r="AE20" t="n">
        <v>20.119</v>
      </c>
      <c r="AF20" t="n">
        <v>-0.28</v>
      </c>
      <c r="AG20" t="n">
        <v>44.6</v>
      </c>
      <c r="AH20" t="n">
        <v>11.8</v>
      </c>
    </row>
    <row r="21">
      <c r="A21" s="5" t="inlineStr">
        <is>
          <t>Other equity movements, net</t>
        </is>
      </c>
      <c r="B21" s="5" t="n">
        <v>35.5</v>
      </c>
      <c r="C21" s="5" t="n">
        <v>52.958</v>
      </c>
      <c r="D21" s="5" t="n">
        <v>70.151</v>
      </c>
      <c r="E21" s="5" t="n">
        <v>99.26900000000001</v>
      </c>
      <c r="F21" s="5" t="n">
        <v>58.414</v>
      </c>
      <c r="G21" s="5" t="n">
        <v>36.542</v>
      </c>
      <c r="AB21" t="inlineStr">
        <is>
          <t>Other equity movements, net</t>
        </is>
      </c>
      <c r="AC21" t="n">
        <v>36.542</v>
      </c>
      <c r="AD21" t="n">
        <v>58.414</v>
      </c>
      <c r="AE21" t="n">
        <v>99.26900000000001</v>
      </c>
      <c r="AF21" t="n">
        <v>70.151</v>
      </c>
      <c r="AG21" t="n">
        <v>52.958</v>
      </c>
      <c r="AH21" t="n">
        <v>35.5</v>
      </c>
    </row>
    <row r="22">
      <c r="A22" s="5" t="inlineStr">
        <is>
          <t>Closing equity</t>
        </is>
      </c>
      <c r="B22" s="5" t="n">
        <v>424</v>
      </c>
      <c r="C22" s="5" t="n">
        <v>376.7</v>
      </c>
      <c r="D22" s="5" t="n">
        <v>279.142</v>
      </c>
      <c r="E22" s="5" t="n">
        <v>209.271</v>
      </c>
      <c r="F22" s="5" t="n">
        <v>89.883</v>
      </c>
      <c r="G22" s="5" t="n">
        <v>56.488</v>
      </c>
      <c r="AB22" t="inlineStr">
        <is>
          <t>Closing equity</t>
        </is>
      </c>
      <c r="AC22" t="n">
        <v>56.488</v>
      </c>
      <c r="AD22" t="n">
        <v>89.883</v>
      </c>
      <c r="AE22" t="n">
        <v>209.271</v>
      </c>
      <c r="AF22" t="n">
        <v>279.142</v>
      </c>
      <c r="AG22" t="n">
        <v>376.7</v>
      </c>
      <c r="AH22" t="n">
        <v>424</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AL25" t="inlineStr">
        <is>
          <t>FY2020</t>
        </is>
      </c>
      <c r="AM25" t="inlineStr">
        <is>
          <t>FY2021</t>
        </is>
      </c>
      <c r="AN25" t="inlineStr">
        <is>
          <t>FY2022</t>
        </is>
      </c>
      <c r="AO25" t="inlineStr">
        <is>
          <t>FY2023</t>
        </is>
      </c>
      <c r="AP25" t="inlineStr">
        <is>
          <t>FY2024</t>
        </is>
      </c>
      <c r="AQ25" t="inlineStr">
        <is>
          <t>FY2025</t>
        </is>
      </c>
    </row>
    <row r="26">
      <c r="A26" s="5" t="inlineStr">
        <is>
          <t>Net cash from/(used in) operating activities</t>
        </is>
      </c>
      <c r="B26" s="5" t="n">
        <v>669.6</v>
      </c>
      <c r="C26" s="5" t="n">
        <v>884.1</v>
      </c>
      <c r="D26" s="5" t="n">
        <v>480.482</v>
      </c>
      <c r="E26" s="5" t="n">
        <v>-113.543</v>
      </c>
      <c r="F26" s="5" t="n">
        <v>187.507</v>
      </c>
      <c r="G26" s="5" t="n">
        <v>40.179</v>
      </c>
      <c r="AK26" t="inlineStr">
        <is>
          <t>Net cash from/(used in) operating activities</t>
        </is>
      </c>
      <c r="AL26" t="n">
        <v>40.179</v>
      </c>
      <c r="AM26" t="n">
        <v>187.507</v>
      </c>
      <c r="AN26" t="n">
        <v>-113.543</v>
      </c>
      <c r="AO26" t="n">
        <v>480.482</v>
      </c>
      <c r="AP26" t="n">
        <v>884.1</v>
      </c>
      <c r="AQ26" t="n">
        <v>669.6</v>
      </c>
    </row>
    <row r="27">
      <c r="A27" s="5" t="inlineStr">
        <is>
          <t>Net cash from/(used in) investing activities</t>
        </is>
      </c>
      <c r="B27" s="5" t="n">
        <v>-841.7</v>
      </c>
      <c r="C27" s="5" t="n">
        <v>-194</v>
      </c>
      <c r="D27" s="5" t="n">
        <v>-60.323</v>
      </c>
      <c r="E27" s="5" t="n">
        <v>-34.875</v>
      </c>
      <c r="F27" s="5" t="n">
        <v>-43.783</v>
      </c>
      <c r="G27" s="5" t="n">
        <v>23.925</v>
      </c>
      <c r="AK27" t="inlineStr">
        <is>
          <t>Net cash from/(used in) investing activities</t>
        </is>
      </c>
      <c r="AL27" t="n">
        <v>23.925</v>
      </c>
      <c r="AM27" t="n">
        <v>-43.783</v>
      </c>
      <c r="AN27" t="n">
        <v>-34.875</v>
      </c>
      <c r="AO27" t="n">
        <v>-60.323</v>
      </c>
      <c r="AP27" t="n">
        <v>-194</v>
      </c>
      <c r="AQ27" t="n">
        <v>-841.7</v>
      </c>
    </row>
    <row r="28">
      <c r="A28" s="5" t="inlineStr">
        <is>
          <t>Net cash from/(used in) financing activities</t>
        </is>
      </c>
      <c r="B28" s="5" t="n">
        <v>-38.1</v>
      </c>
      <c r="C28" s="5" t="n">
        <v>54.4</v>
      </c>
      <c r="D28" s="5" t="n">
        <v>69.298</v>
      </c>
      <c r="E28" s="5" t="n">
        <v>98.68300000000001</v>
      </c>
      <c r="F28" s="5" t="n">
        <v>65.59399999999999</v>
      </c>
      <c r="G28" s="5" t="n">
        <v>36.343</v>
      </c>
      <c r="AK28" t="inlineStr">
        <is>
          <t>Net cash from/(used in) financing activities</t>
        </is>
      </c>
      <c r="AL28" t="n">
        <v>36.343</v>
      </c>
      <c r="AM28" t="n">
        <v>65.59399999999999</v>
      </c>
      <c r="AN28" t="n">
        <v>98.68300000000001</v>
      </c>
      <c r="AO28" t="n">
        <v>69.298</v>
      </c>
      <c r="AP28" t="n">
        <v>54.4</v>
      </c>
      <c r="AQ28" t="n">
        <v>-38.1</v>
      </c>
    </row>
    <row r="29">
      <c r="A29" s="5" t="inlineStr">
        <is>
          <t>Cash and cash equivalents at end of year</t>
        </is>
      </c>
      <c r="B29" s="5" t="n">
        <v>1286.5</v>
      </c>
      <c r="C29" s="5" t="n">
        <v>1496.8</v>
      </c>
      <c r="D29" s="5" t="n">
        <v>752.303</v>
      </c>
      <c r="E29" s="5" t="n">
        <v>262.846</v>
      </c>
      <c r="F29" s="5" t="n">
        <v>312.581</v>
      </c>
      <c r="G29" s="5" t="n">
        <v>103.263</v>
      </c>
      <c r="AK29" t="inlineStr">
        <is>
          <t>Cash and cash equivalents at end of year</t>
        </is>
      </c>
      <c r="AL29" t="n">
        <v>103.263</v>
      </c>
      <c r="AM29" t="n">
        <v>312.581</v>
      </c>
      <c r="AN29" t="n">
        <v>262.846</v>
      </c>
      <c r="AO29" t="n">
        <v>752.303</v>
      </c>
      <c r="AP29" t="n">
        <v>1496.8</v>
      </c>
      <c r="AQ29" t="n">
        <v>1286.5</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row>
    <row r="33">
      <c r="A33" s="6" t="inlineStr">
        <is>
          <t>CET1 Ratio</t>
        </is>
      </c>
      <c r="B33" s="6" t="inlineStr">
        <is>
          <t>13.4%</t>
        </is>
      </c>
      <c r="C33" s="6" t="inlineStr">
        <is>
          <t>14.5%</t>
        </is>
      </c>
      <c r="D33" s="6" t="inlineStr">
        <is>
          <t>15.7%</t>
        </is>
      </c>
      <c r="E33" s="6" t="inlineStr">
        <is>
          <t>17.1%</t>
        </is>
      </c>
      <c r="F33" s="6" t="inlineStr">
        <is>
          <t>14.1%</t>
        </is>
      </c>
      <c r="G33" s="6" t="inlineStr">
        <is>
          <t>69%</t>
        </is>
      </c>
    </row>
    <row r="34">
      <c r="A34" s="6" t="inlineStr">
        <is>
          <t>Tier 1 Ratio</t>
        </is>
      </c>
      <c r="B34" s="6" t="inlineStr">
        <is>
          <t>15.3%</t>
        </is>
      </c>
      <c r="C34" s="6" t="inlineStr">
        <is>
          <t>16.9%</t>
        </is>
      </c>
      <c r="D34" s="6" t="inlineStr">
        <is>
          <t>18.9%</t>
        </is>
      </c>
      <c r="E34" s="6" t="inlineStr">
        <is>
          <t>18.1%</t>
        </is>
      </c>
      <c r="F34" s="6" t="inlineStr">
        <is>
          <t>17.7%</t>
        </is>
      </c>
      <c r="G34" s="6" t="inlineStr">
        <is>
          <t>69%</t>
        </is>
      </c>
    </row>
    <row r="35">
      <c r="A35" s="6" t="inlineStr">
        <is>
          <t>Total Capital Ratio</t>
        </is>
      </c>
      <c r="B35" s="6" t="inlineStr">
        <is>
          <t>16.8%</t>
        </is>
      </c>
      <c r="C35" s="6" t="inlineStr">
        <is>
          <t>18.8%</t>
        </is>
      </c>
      <c r="D35" s="6" t="inlineStr">
        <is>
          <t>19.5%</t>
        </is>
      </c>
      <c r="E35" s="6" t="inlineStr">
        <is>
          <t>18.8%</t>
        </is>
      </c>
      <c r="F35" s="6" t="inlineStr">
        <is>
          <t>19.3%</t>
        </is>
      </c>
      <c r="G35" s="6" t="inlineStr">
        <is>
          <t>69%</t>
        </is>
      </c>
    </row>
    <row r="36">
      <c r="A36" s="6" t="inlineStr">
        <is>
          <t>Leverage Ratio (excl. central banks)</t>
        </is>
      </c>
      <c r="B36" s="6" t="inlineStr">
        <is>
          <t>7.3%</t>
        </is>
      </c>
      <c r="C36" s="6" t="inlineStr">
        <is>
          <t>9.4%</t>
        </is>
      </c>
      <c r="D36" s="6" t="inlineStr">
        <is>
          <t>11.4%</t>
        </is>
      </c>
      <c r="E36" s="6" t="inlineStr">
        <is>
          <t>11.3%</t>
        </is>
      </c>
      <c r="F36" s="6" t="inlineStr">
        <is>
          <t>12.5%</t>
        </is>
      </c>
      <c r="G36" s="6" t="n"/>
    </row>
    <row r="37">
      <c r="A37" s="6" t="inlineStr">
        <is>
          <t>LCR</t>
        </is>
      </c>
      <c r="B37" s="6" t="inlineStr">
        <is>
          <t>220.8%</t>
        </is>
      </c>
      <c r="C37" s="6" t="inlineStr">
        <is>
          <t>216.2%</t>
        </is>
      </c>
      <c r="D37" s="6" t="inlineStr">
        <is>
          <t>289.0%</t>
        </is>
      </c>
      <c r="E37" s="6" t="inlineStr">
        <is>
          <t>302.3%</t>
        </is>
      </c>
      <c r="F37" s="6" t="inlineStr">
        <is>
          <t>499.9%</t>
        </is>
      </c>
      <c r="G37" s="6" t="inlineStr">
        <is>
          <t>331%</t>
        </is>
      </c>
    </row>
    <row r="38">
      <c r="A38" s="6" t="inlineStr">
        <is>
          <t>NSFR</t>
        </is>
      </c>
      <c r="B38" s="6" t="inlineStr">
        <is>
          <t>138.8%</t>
        </is>
      </c>
      <c r="C38" s="6" t="inlineStr">
        <is>
          <t>133.8%</t>
        </is>
      </c>
      <c r="D38" s="6" t="inlineStr">
        <is>
          <t>135.4%</t>
        </is>
      </c>
      <c r="E38" s="6" t="inlineStr">
        <is>
          <t>149.0%</t>
        </is>
      </c>
      <c r="F38" s="6" t="inlineStr">
        <is>
          <t>Not applicable – UK NSFR in force only from 1 Jan 2022 (PRA PS17/21); FY2020/FY2021 Pillar 3 print no NSFR, and the FY2022 KM1's 2021 column leaves rows 18-20 blank</t>
        </is>
      </c>
      <c r="G38" s="6" t="inlineStr">
        <is>
          <t>Not applicable – UK NSFR in force only from 1 Jan 2022 (PRA PS17/21); FY2020/FY2021 Pillar 3 print no NSFR, and the FY2022 KM1's 2021 column leaves rows 18-20 blank</t>
        </is>
      </c>
    </row>
    <row r="40" ht="65" customHeight="1">
      <c r="A40" s="7" t="inlineStr">
        <is>
          <t>Note: Figures are duplicated from the detail sheets for at-a-glance trend viewing; see each sheet's own source citation for the underlying document/page. Allica is a young, fast-growing SME-lending challenger bank (authorised 2019, first loan made March 2020) — its steadily declining capital/liquidity ratios alongside rapidly rising absolute capital and RWA figures reflect fast balance-sheet growth diluting ratios from an initially very well-capitalised base, not deteriorating credit quality. The Leverage Ratio row omits FY2020 because that year's 32% figure is on a different (pre-PS21/21) exposure-measure basis to FY2021 onward — see the Leverage Ratio sheet's own note. FY2019 and FY2018 are not included anywhere in this workbook; see HISTORICAL_DEPTH_NOTE in this script for why.</t>
        </is>
      </c>
    </row>
  </sheetData>
  <mergeCells count="1">
    <mergeCell ref="A40:G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Consolidated Statement of Financial Position</t>
        </is>
      </c>
    </row>
    <row r="2">
      <c r="A2" s="2" t="inlineStr">
        <is>
          <t>Allica Bank Limited Group (consolidated basis),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row>
    <row r="4">
      <c r="A4" s="5" t="inlineStr">
        <is>
          <t>Assets</t>
        </is>
      </c>
      <c r="B4" s="6" t="n"/>
      <c r="C4" s="6" t="n"/>
      <c r="D4" s="6" t="n"/>
      <c r="E4" s="6" t="n"/>
      <c r="F4" s="6" t="n"/>
      <c r="G4" s="6" t="n"/>
    </row>
    <row r="5">
      <c r="A5" s="6" t="inlineStr">
        <is>
          <t>Cash and balances at central banks</t>
        </is>
      </c>
      <c r="B5" s="6" t="n">
        <v>1104.3</v>
      </c>
      <c r="C5" s="6" t="n">
        <v>1378</v>
      </c>
      <c r="D5" s="6" t="n">
        <v>718.8049999999999</v>
      </c>
      <c r="E5" s="6" t="n">
        <v>230.15</v>
      </c>
      <c r="F5" s="6" t="n">
        <v>295.291</v>
      </c>
      <c r="G5" s="6" t="n">
        <v>92.925</v>
      </c>
    </row>
    <row r="6">
      <c r="A6" s="6" t="inlineStr">
        <is>
          <t>Loans and advances to banks</t>
        </is>
      </c>
      <c r="B6" s="6" t="n">
        <v>183.8</v>
      </c>
      <c r="C6" s="6" t="n">
        <v>124.6</v>
      </c>
      <c r="D6" s="6" t="n">
        <v>87.76300000000001</v>
      </c>
      <c r="E6" s="6" t="n">
        <v>64.093</v>
      </c>
      <c r="F6" s="6" t="n">
        <v>17.29</v>
      </c>
      <c r="G6" s="6" t="n">
        <v>10.338</v>
      </c>
    </row>
    <row r="7">
      <c r="A7" s="6" t="inlineStr">
        <is>
          <t>Debt securities - Government and supranational bonds, at FVOCI</t>
        </is>
      </c>
      <c r="B7" s="6" t="n">
        <v>1154</v>
      </c>
      <c r="C7" s="6" t="n">
        <v>301.4</v>
      </c>
      <c r="D7" s="6" t="n">
        <v>115.774</v>
      </c>
      <c r="E7" s="6" t="n">
        <v>65.55200000000001</v>
      </c>
      <c r="F7" s="6" t="n">
        <v>40.406</v>
      </c>
      <c r="G7" s="6" t="n"/>
    </row>
    <row r="8">
      <c r="A8" s="6" t="inlineStr">
        <is>
          <t>Derivative financial instruments</t>
        </is>
      </c>
      <c r="B8" s="6" t="n">
        <v>9.1</v>
      </c>
      <c r="C8" s="6" t="n">
        <v>23.5</v>
      </c>
      <c r="D8" s="6" t="n">
        <v>19.57</v>
      </c>
      <c r="E8" s="6" t="n">
        <v>27.846</v>
      </c>
      <c r="F8" s="6" t="n">
        <v>0.058</v>
      </c>
      <c r="G8" s="6" t="n">
        <v>0.004</v>
      </c>
    </row>
    <row r="9">
      <c r="A9" s="6" t="inlineStr">
        <is>
          <t>Loans and advances to customers</t>
        </is>
      </c>
      <c r="B9" s="6" t="n">
        <v>3742</v>
      </c>
      <c r="C9" s="6" t="n">
        <v>3048.8</v>
      </c>
      <c r="D9" s="6" t="n">
        <v>1976.826</v>
      </c>
      <c r="E9" s="6" t="n">
        <v>1348.166</v>
      </c>
      <c r="F9" s="6" t="n">
        <v>566.04</v>
      </c>
      <c r="G9" s="6" t="n">
        <v>45.04</v>
      </c>
    </row>
    <row r="10">
      <c r="A10" s="6" t="inlineStr">
        <is>
          <t>Investments</t>
        </is>
      </c>
      <c r="B10" s="6" t="n">
        <v>1</v>
      </c>
      <c r="C10" s="6" t="n">
        <v>1</v>
      </c>
      <c r="D10" s="6" t="n">
        <v>1</v>
      </c>
      <c r="E10" s="6" t="n">
        <v>1</v>
      </c>
      <c r="F10" s="6" t="n">
        <v>0</v>
      </c>
      <c r="G10" s="6" t="n"/>
    </row>
    <row r="11">
      <c r="A11" s="6" t="inlineStr">
        <is>
          <t>Other assets</t>
        </is>
      </c>
      <c r="B11" s="6" t="n">
        <v>13.9</v>
      </c>
      <c r="C11" s="6" t="n">
        <v>10.4</v>
      </c>
      <c r="D11" s="6" t="n">
        <v>6.212</v>
      </c>
      <c r="E11" s="6" t="n">
        <v>8.659000000000001</v>
      </c>
      <c r="F11" s="6" t="n">
        <v>22.549</v>
      </c>
      <c r="G11" s="6" t="n">
        <v>1.791</v>
      </c>
    </row>
    <row r="12">
      <c r="A12" s="6" t="inlineStr">
        <is>
          <t>Tangible fixed assets</t>
        </is>
      </c>
      <c r="B12" s="6" t="n">
        <v>1.3</v>
      </c>
      <c r="C12" s="6" t="n">
        <v>1.2</v>
      </c>
      <c r="D12" s="6" t="n">
        <v>0.805</v>
      </c>
      <c r="E12" s="6" t="n">
        <v>0.616</v>
      </c>
      <c r="F12" s="6" t="n">
        <v>0.249</v>
      </c>
      <c r="G12" s="6" t="n">
        <v>0.214</v>
      </c>
    </row>
    <row r="13">
      <c r="A13" s="6" t="inlineStr">
        <is>
          <t>Right-of-use assets</t>
        </is>
      </c>
      <c r="B13" s="6" t="n">
        <v>3.2</v>
      </c>
      <c r="C13" s="6" t="n">
        <v>0.3</v>
      </c>
      <c r="D13" s="6" t="n">
        <v>0.836</v>
      </c>
      <c r="E13" s="6" t="n">
        <v>1.333</v>
      </c>
      <c r="F13" s="6" t="n">
        <v>0.146</v>
      </c>
      <c r="G13" s="6" t="n">
        <v>0.339</v>
      </c>
    </row>
    <row r="14">
      <c r="A14" s="6" t="inlineStr">
        <is>
          <t>Intangible assets</t>
        </is>
      </c>
      <c r="B14" s="6" t="n">
        <v>30</v>
      </c>
      <c r="C14" s="6" t="n">
        <v>25.4</v>
      </c>
      <c r="D14" s="6" t="n">
        <v>18.426</v>
      </c>
      <c r="E14" s="6" t="n">
        <v>12.857</v>
      </c>
      <c r="F14" s="6" t="n">
        <v>8.178000000000001</v>
      </c>
      <c r="G14" s="6" t="n">
        <v>14.092</v>
      </c>
    </row>
    <row r="15">
      <c r="A15" s="6" t="inlineStr">
        <is>
          <t>Goodwill</t>
        </is>
      </c>
      <c r="B15" s="6" t="n">
        <v>16.4</v>
      </c>
      <c r="C15" s="6" t="n">
        <v>8.6</v>
      </c>
      <c r="D15" s="6" t="n"/>
      <c r="E15" s="6" t="n"/>
      <c r="F15" s="6" t="n"/>
      <c r="G15" s="6" t="n"/>
    </row>
    <row r="16">
      <c r="A16" s="6" t="inlineStr">
        <is>
          <t>Deferred tax asset</t>
        </is>
      </c>
      <c r="B16" s="6" t="n">
        <v>9.9</v>
      </c>
      <c r="C16" s="6" t="n">
        <v>11.3</v>
      </c>
      <c r="D16" s="6" t="n">
        <v>12.902</v>
      </c>
      <c r="E16" s="6" t="n">
        <v>2.198</v>
      </c>
      <c r="F16" s="6" t="n">
        <v>0</v>
      </c>
      <c r="G16" s="6" t="n"/>
    </row>
    <row r="17">
      <c r="A17" s="5" t="inlineStr">
        <is>
          <t>Total assets</t>
        </is>
      </c>
      <c r="B17" s="5" t="n">
        <v>6268.9</v>
      </c>
      <c r="C17" s="5" t="n">
        <v>4934.5</v>
      </c>
      <c r="D17" s="5" t="n">
        <v>2958.919</v>
      </c>
      <c r="E17" s="5" t="n">
        <v>1762.47</v>
      </c>
      <c r="F17" s="5" t="n">
        <v>950.207</v>
      </c>
      <c r="G17" s="5" t="n">
        <v>164.743</v>
      </c>
    </row>
    <row r="18">
      <c r="A18" s="5" t="inlineStr">
        <is>
          <t>Liabilities</t>
        </is>
      </c>
      <c r="B18" s="6" t="n"/>
      <c r="C18" s="6" t="n"/>
      <c r="D18" s="6" t="n"/>
      <c r="E18" s="6" t="n"/>
      <c r="F18" s="6" t="n"/>
      <c r="G18" s="6" t="n"/>
    </row>
    <row r="19">
      <c r="A19" s="6" t="inlineStr">
        <is>
          <t>Deposits from banks</t>
        </is>
      </c>
      <c r="B19" s="6" t="n">
        <v>0.3</v>
      </c>
      <c r="C19" s="6" t="n">
        <v>16.8</v>
      </c>
      <c r="D19" s="6" t="n"/>
      <c r="E19" s="6" t="n"/>
      <c r="F19" s="6" t="n"/>
      <c r="G19" s="6" t="n"/>
    </row>
    <row r="20">
      <c r="A20" s="6" t="inlineStr">
        <is>
          <t>Cash collateral</t>
        </is>
      </c>
      <c r="B20" s="6" t="n"/>
      <c r="C20" s="6" t="n"/>
      <c r="D20" s="6" t="n">
        <v>3.485</v>
      </c>
      <c r="E20" s="6" t="n">
        <v>23.514</v>
      </c>
      <c r="F20" s="6" t="n">
        <v>0</v>
      </c>
      <c r="G20" s="6" t="n"/>
    </row>
    <row r="21">
      <c r="A21" s="6" t="inlineStr">
        <is>
          <t>Deposits from customers</t>
        </is>
      </c>
      <c r="B21" s="6" t="n">
        <v>5719.9</v>
      </c>
      <c r="C21" s="6" t="n">
        <v>4428.1</v>
      </c>
      <c r="D21" s="6" t="n">
        <v>2633.247</v>
      </c>
      <c r="E21" s="6" t="n">
        <v>1507.433</v>
      </c>
      <c r="F21" s="6" t="n">
        <v>845.769</v>
      </c>
      <c r="G21" s="6" t="n">
        <v>104.299</v>
      </c>
    </row>
    <row r="22">
      <c r="A22" s="6" t="inlineStr">
        <is>
          <t>Other liabilities</t>
        </is>
      </c>
      <c r="B22" s="6" t="n">
        <v>27.4</v>
      </c>
      <c r="C22" s="6" t="n">
        <v>19.3</v>
      </c>
      <c r="D22" s="6" t="n">
        <v>10.523</v>
      </c>
      <c r="E22" s="6" t="n">
        <v>9.023</v>
      </c>
      <c r="F22" s="6" t="n">
        <v>5.887</v>
      </c>
      <c r="G22" s="6" t="n">
        <v>3.523</v>
      </c>
    </row>
    <row r="23">
      <c r="A23" s="6" t="inlineStr">
        <is>
          <t>Derivative financial instruments</t>
        </is>
      </c>
      <c r="B23" s="6" t="n">
        <v>22.4</v>
      </c>
      <c r="C23" s="6" t="n">
        <v>8.1</v>
      </c>
      <c r="D23" s="6" t="n">
        <v>22.518</v>
      </c>
      <c r="E23" s="6" t="n">
        <v>3.915</v>
      </c>
      <c r="F23" s="6" t="n">
        <v>0.988</v>
      </c>
      <c r="G23" s="6" t="n">
        <v>0.024</v>
      </c>
    </row>
    <row r="24">
      <c r="A24" s="6" t="inlineStr">
        <is>
          <t>Provisions</t>
        </is>
      </c>
      <c r="B24" s="6" t="n"/>
      <c r="C24" s="6" t="n"/>
      <c r="D24" s="6" t="n">
        <v>1.617</v>
      </c>
      <c r="E24" s="6" t="n">
        <v>0.49</v>
      </c>
      <c r="F24" s="6" t="n">
        <v>0.066</v>
      </c>
      <c r="G24" s="6" t="n">
        <v>0.08799999999999999</v>
      </c>
    </row>
    <row r="25">
      <c r="A25" s="6" t="inlineStr">
        <is>
          <t>Subordinated liabilities / external borrowings</t>
        </is>
      </c>
      <c r="B25" s="6" t="n">
        <v>71.7</v>
      </c>
      <c r="C25" s="6" t="n">
        <v>85.09999999999999</v>
      </c>
      <c r="D25" s="6" t="n">
        <v>7.5</v>
      </c>
      <c r="E25" s="6" t="n">
        <v>7.5</v>
      </c>
      <c r="F25" s="6" t="n">
        <v>7.5</v>
      </c>
      <c r="G25" s="6" t="n"/>
    </row>
    <row r="26">
      <c r="A26" s="6" t="inlineStr">
        <is>
          <t>Leases</t>
        </is>
      </c>
      <c r="B26" s="6" t="n">
        <v>3.2</v>
      </c>
      <c r="C26" s="6" t="n">
        <v>0.4</v>
      </c>
      <c r="D26" s="6" t="n">
        <v>0.887</v>
      </c>
      <c r="E26" s="6" t="n">
        <v>1.324</v>
      </c>
      <c r="F26" s="6" t="n">
        <v>0.114</v>
      </c>
      <c r="G26" s="6" t="n">
        <v>0.321</v>
      </c>
    </row>
    <row r="27">
      <c r="A27" s="5" t="inlineStr">
        <is>
          <t>Total liabilities</t>
        </is>
      </c>
      <c r="B27" s="5" t="n">
        <v>5844.9</v>
      </c>
      <c r="C27" s="5" t="n">
        <v>4557.8</v>
      </c>
      <c r="D27" s="5" t="n">
        <v>2679.777</v>
      </c>
      <c r="E27" s="5" t="n">
        <v>1553.199</v>
      </c>
      <c r="F27" s="5" t="n">
        <v>860.324</v>
      </c>
      <c r="G27" s="5" t="n">
        <v>108.255</v>
      </c>
    </row>
    <row r="28">
      <c r="A28" s="5" t="inlineStr">
        <is>
          <t>Equity</t>
        </is>
      </c>
      <c r="B28" s="6" t="n"/>
      <c r="C28" s="6" t="n"/>
      <c r="D28" s="6" t="n"/>
      <c r="E28" s="6" t="n"/>
      <c r="F28" s="6" t="n"/>
      <c r="G28" s="6" t="n"/>
    </row>
    <row r="29">
      <c r="A29" s="6" t="inlineStr">
        <is>
          <t>Share capital</t>
        </is>
      </c>
      <c r="B29" s="6" t="n">
        <v>3.7</v>
      </c>
      <c r="C29" s="6" t="n">
        <v>3.4</v>
      </c>
      <c r="D29" s="6" t="n">
        <v>2.873</v>
      </c>
      <c r="E29" s="6" t="n">
        <v>2.501</v>
      </c>
      <c r="F29" s="6" t="n">
        <v>1.417</v>
      </c>
      <c r="G29" s="6" t="n">
        <v>1.003</v>
      </c>
    </row>
    <row r="30">
      <c r="A30" s="6" t="inlineStr">
        <is>
          <t>Share premium</t>
        </is>
      </c>
      <c r="B30" s="6" t="n">
        <v>323</v>
      </c>
      <c r="C30" s="6" t="n">
        <v>280.9</v>
      </c>
      <c r="D30" s="6" t="n">
        <v>301.158</v>
      </c>
      <c r="E30" s="6" t="n">
        <v>266.332</v>
      </c>
      <c r="F30" s="6" t="n">
        <v>160.708</v>
      </c>
      <c r="G30" s="6" t="n">
        <v>120.321</v>
      </c>
    </row>
    <row r="31">
      <c r="A31" s="6" t="inlineStr">
        <is>
          <t>Perpetual notes (including convertible)</t>
        </is>
      </c>
      <c r="B31" s="6" t="n">
        <v>44.9</v>
      </c>
      <c r="C31" s="6" t="n">
        <v>44.9</v>
      </c>
      <c r="D31" s="6" t="n">
        <v>45.127</v>
      </c>
      <c r="E31" s="6" t="n">
        <v>9.885999999999999</v>
      </c>
      <c r="F31" s="6" t="n">
        <v>17.5</v>
      </c>
      <c r="G31" s="6" t="n"/>
    </row>
    <row r="32">
      <c r="A32" s="6" t="inlineStr">
        <is>
          <t>Other components of equity</t>
        </is>
      </c>
      <c r="B32" s="6" t="n">
        <v>-4.2</v>
      </c>
      <c r="C32" s="6" t="n">
        <v>11.3</v>
      </c>
      <c r="D32" s="6" t="n">
        <v>-2.937</v>
      </c>
      <c r="E32" s="6" t="n">
        <v>16.781</v>
      </c>
      <c r="F32" s="6" t="n">
        <v>2.11</v>
      </c>
      <c r="G32" s="6" t="n">
        <v>-0.022</v>
      </c>
    </row>
    <row r="33">
      <c r="A33" s="6" t="inlineStr">
        <is>
          <t>Retained earnings/(accumulated losses)</t>
        </is>
      </c>
      <c r="B33" s="6" t="n">
        <v>56.6</v>
      </c>
      <c r="C33" s="6" t="n">
        <v>36.2</v>
      </c>
      <c r="D33" s="6" t="n">
        <v>-67.07899999999999</v>
      </c>
      <c r="E33" s="6" t="n">
        <v>-86.229</v>
      </c>
      <c r="F33" s="6" t="n">
        <v>-91.852</v>
      </c>
      <c r="G33" s="6" t="n">
        <v>-64.81399999999999</v>
      </c>
    </row>
    <row r="34">
      <c r="A34" s="5" t="inlineStr">
        <is>
          <t>Total equity</t>
        </is>
      </c>
      <c r="B34" s="5" t="n">
        <v>424</v>
      </c>
      <c r="C34" s="5" t="n">
        <v>376.7</v>
      </c>
      <c r="D34" s="5" t="n">
        <v>279.142</v>
      </c>
      <c r="E34" s="5" t="n">
        <v>209.271</v>
      </c>
      <c r="F34" s="5" t="n">
        <v>89.883</v>
      </c>
      <c r="G34" s="5" t="n">
        <v>56.488</v>
      </c>
    </row>
    <row r="35">
      <c r="A35" s="5" t="inlineStr">
        <is>
          <t>Total liabilities and equity</t>
        </is>
      </c>
      <c r="B35" s="5" t="n">
        <v>6268.9</v>
      </c>
      <c r="C35" s="5" t="n">
        <v>4934.5</v>
      </c>
      <c r="D35" s="5" t="n">
        <v>2958.919</v>
      </c>
      <c r="E35" s="5" t="n">
        <v>1762.47</v>
      </c>
      <c r="F35" s="5" t="n">
        <v>950.207</v>
      </c>
      <c r="G35" s="5" t="n">
        <v>164.743</v>
      </c>
    </row>
    <row r="37" ht="299" customHeight="1">
      <c r="A37" s="8" t="inlineStr">
        <is>
          <t>Sources — Allica Bank Limited consolidated (Group) Statement of Financial Position, £m:
FY2025 &amp; FY2024: Annual Report &amp; Accounts 2025, p.87-88 (Statements of financial position) — https://www.allica.bank/hubfs/pdf/allica-bank_annual-report-2025.pdf
FY2023 &amp; FY2022: Annual Report and Accounts 2023, p.72-73 (Statements of financial position) — https://www.allica.bank/hubfs/Allica-Bank_Annual-report_2023.pdf
FY2021: Annual Report and Accounts 2022, p.79-80 (Statements of financial position, FY2021 comparative column) — https://www.allica.bank/hubfs/pdf/web/investor-relations/Allica_Bank-Annual_Report-2022.pdf
FY2020: Consolidated Financial Statements for the year ended 31 December 2020, p.23 (Statement of financial position) — https://find-and-update.company-information.service.gov.uk/company/07706156/filing-history/MzMxMTI2MDM1MWFkaXF6a2N4/document?format=pdf — Allica Bank Limited consolidated financial statements for the year ended 31 December 2020, filed with Companies House (registered number 07706156) 27 August 2021
Entity note: all figures on this and the Balance Sheet/Profit &amp; Loss/Statement of Changes in Equity sheets are Allica Bank Limited Group (consolidated), £m. FY2025 &amp; FY2024 sourced from Allica Bank Limited Annual Report &amp; Accounts 2025 (£m as reported) — https://www.allica.bank/hubfs/pdf/allica-bank_annual-report-2025.pdf; FY2023 &amp; FY2022 sourced from Allica Bank Limited Annual Report and Accounts 2023 (£'000 as reported, converted to £m for consistency with other years) — https://www.allica.bank/hubfs/Allica-Bank_Annual-report_2023.pdf; FY2021 sourced from the FY2021 comparative column of Allica Bank Limited Annual Report and Accounts 2022 (£'000 as reported, converted to £m) — https://www.allica.bank/hubfs/pdf/web/investor-relations/Allica_Bank-Annual_Report-2022.pdf — no separate FY2021 Annual Report was located, matching the existing Cash Flow Statement sheet's own FY2021 sourcing convention. FY2020 sourced from Allica Bank Limited's own Consolidated Financial Statements for the year ended 31 December 2020 (£'000 as reported, converted to £m), filed with Companies House — https://find-and-update.company-information.service.gov.uk/company/07706156/filing-history/MzMxMTI2MDM1MWFkaXF6a2N4/document?format=pdf — Allica Bank Limited consolidated financial statements for the year ended 31 December 2020, filed with Companies House (registered number 07706156) 27 August 2021. A disclosed nil ('–' in the source table) is written as 0; a blank cell means that year's report did not disclose that specific line at all.
PRESENTATION NOTE: 'Amounts due from subsidiaries' (Company-only) and 'Investments in subsidiaries' (Company-only) are excluded here since this sheet is Group/consolidated basis only. 'Investments' and 'Deferred tax asset' are both explicitly disclosed as nil ('–') for FY2021, not omitted from that year's statement. 'Goodwill' only appears as its own line from FY2024 onward (Allica's first acquisition); FY2020-2023 have no goodwill line. 'Cash collateral' (a liability) only appears FY2021-2023; not present in the FY2024-2025 statements (nil/not applicable by then). FY2020's own statement of financial position does not disclose an 'Investments', 'Deferred tax asset', 'Deposits from banks', 'Cash collateral' or 'Subordinated liabilities/external borrowings' line at all (left blank, not zero) and captions two rows slightly differently ('Due from Banks' -&gt; 'Loans and advances to banks'; 'Customer deposits' -&gt; 'Deposits from customers') — mapped onto the same rows as later years for comparability; figures are as disclosed. See HISTORICAL_DEPTH_NOTE in this script for why FY2019/FY2018 are not included as columns here.</t>
        </is>
      </c>
    </row>
    <row r="39" ht="170" customHeight="1">
      <c r="A39" s="8" t="inlineStr">
        <is>
          <t>(continued)
DEBT SECURITIES BREAKDOWN: checked for a measurement-basis / issuer-type split (as in Close Brothers' workbook) and found none available to sub-divide — the 'Debt securities' line is relabelled in place rather than split into sub-rows. Every year's accounts state debt securities are held to meet liquidity requirements and classified in full as Fair Value Through Other Comprehensive Income ('FVOCI') — see Annual Report &amp; Accounts 2025 Note 2 'Material accounting policies', p.99, Annual Report and Accounts 2023 Note 2 'Basis of preparation and material accounting policies', and Annual Report and Accounts 2022 Note 2 'Basis of preparation and significant accounting policies' (all materially identical wording, all years). Issuer type: FY2025 &amp; FY2024 Note 10 'Debt securities', p.118, discloses only one combined line, 'Issued by governments and supranational bodies' (£1,154.0m / £301.4m) — not split further into UK sovereign vs supranational/other. FY2023, FY2022 and FY2021 reports carry no equivalent numbered note for debt securities at all (the Statement of financial position line itself has no note reference in those vintages) and disclose only the same FVOCI classification plus a fair-value-hierarchy note describing the balance as 'Bonds and Treasury Bills' valued from quoted market prices, with no issuer-type split. Relabelled to 'Debt securities - Government and supranational bonds, at FVOCI' for all years to reflect this.</t>
        </is>
      </c>
    </row>
  </sheetData>
  <mergeCells count="2">
    <mergeCell ref="A39:G39"/>
    <mergeCell ref="A37:G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Consolidated Statement of Profit or Loss and Other Comprehensive Income</t>
        </is>
      </c>
    </row>
    <row r="2">
      <c r="A2" s="2" t="inlineStr">
        <is>
          <t>Allica Bank Limited Group (consolidated basis),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row>
    <row r="4">
      <c r="A4" s="5" t="inlineStr">
        <is>
          <t>Income</t>
        </is>
      </c>
      <c r="B4" s="6" t="n"/>
      <c r="C4" s="6" t="n"/>
      <c r="D4" s="6" t="n"/>
      <c r="E4" s="6" t="n"/>
      <c r="F4" s="6" t="n"/>
      <c r="G4" s="6" t="n"/>
    </row>
    <row r="5">
      <c r="A5" s="6" t="inlineStr">
        <is>
          <t>Interest income</t>
        </is>
      </c>
      <c r="B5" s="6" t="n">
        <v>404.2</v>
      </c>
      <c r="C5" s="6" t="n">
        <v>320.3</v>
      </c>
      <c r="D5" s="6" t="n">
        <v>177.843</v>
      </c>
      <c r="E5" s="6" t="n">
        <v>72.252</v>
      </c>
      <c r="F5" s="6" t="n">
        <v>11.494</v>
      </c>
      <c r="G5" s="6" t="n">
        <v>0.739</v>
      </c>
    </row>
    <row r="6">
      <c r="A6" s="6" t="inlineStr">
        <is>
          <t>Interest expense</t>
        </is>
      </c>
      <c r="B6" s="6" t="n">
        <v>-245.2</v>
      </c>
      <c r="C6" s="6" t="n">
        <v>-206.3</v>
      </c>
      <c r="D6" s="6" t="n">
        <v>-97.813</v>
      </c>
      <c r="E6" s="6" t="n">
        <v>-23.341</v>
      </c>
      <c r="F6" s="6" t="n">
        <v>-3.67</v>
      </c>
      <c r="G6" s="6" t="n">
        <v>-0.535</v>
      </c>
    </row>
    <row r="7">
      <c r="A7" s="5" t="inlineStr">
        <is>
          <t>Net interest income</t>
        </is>
      </c>
      <c r="B7" s="5" t="n">
        <v>159</v>
      </c>
      <c r="C7" s="5" t="n">
        <v>114</v>
      </c>
      <c r="D7" s="5" t="n">
        <v>80.03</v>
      </c>
      <c r="E7" s="5" t="n">
        <v>48.911</v>
      </c>
      <c r="F7" s="5" t="n">
        <v>7.824</v>
      </c>
      <c r="G7" s="5" t="n">
        <v>0.204</v>
      </c>
    </row>
    <row r="8">
      <c r="A8" s="6" t="inlineStr">
        <is>
          <t>Net fair value gains/(losses) on financial instruments</t>
        </is>
      </c>
      <c r="B8" s="6" t="n">
        <v>6.5</v>
      </c>
      <c r="C8" s="6" t="n">
        <v>11.8</v>
      </c>
      <c r="D8" s="6" t="n">
        <v>6.905</v>
      </c>
      <c r="E8" s="6" t="n">
        <v>0.067</v>
      </c>
      <c r="F8" s="6" t="n">
        <v>-0.155</v>
      </c>
      <c r="G8" s="6" t="n"/>
    </row>
    <row r="9">
      <c r="A9" s="6" t="inlineStr">
        <is>
          <t>Fee and commission income</t>
        </is>
      </c>
      <c r="B9" s="6" t="n">
        <v>7.5</v>
      </c>
      <c r="C9" s="6" t="n">
        <v>3.7</v>
      </c>
      <c r="D9" s="6" t="n">
        <v>2.838</v>
      </c>
      <c r="E9" s="6" t="n">
        <v>0.587</v>
      </c>
      <c r="F9" s="6" t="n">
        <v>0.159</v>
      </c>
      <c r="G9" s="6" t="n"/>
    </row>
    <row r="10">
      <c r="A10" s="6" t="inlineStr">
        <is>
          <t>Fee and commission expense</t>
        </is>
      </c>
      <c r="B10" s="6" t="n">
        <v>-14.4</v>
      </c>
      <c r="C10" s="6" t="n">
        <v>-9.1</v>
      </c>
      <c r="D10" s="6" t="n">
        <v>-2.965</v>
      </c>
      <c r="E10" s="6" t="n">
        <v>-1.253</v>
      </c>
      <c r="F10" s="6" t="n">
        <v>-0.002</v>
      </c>
      <c r="G10" s="6" t="n"/>
    </row>
    <row r="11">
      <c r="A11" s="5" t="inlineStr">
        <is>
          <t>Net fee and commission income/(expense)</t>
        </is>
      </c>
      <c r="B11" s="5" t="n">
        <v>-6.9</v>
      </c>
      <c r="C11" s="5" t="n">
        <v>-5.4</v>
      </c>
      <c r="D11" s="5" t="n">
        <v>-0.127</v>
      </c>
      <c r="E11" s="5" t="n">
        <v>-0.666</v>
      </c>
      <c r="F11" s="5" t="n">
        <v>0.157</v>
      </c>
      <c r="G11" s="5" t="n"/>
    </row>
    <row r="12">
      <c r="A12" s="5" t="inlineStr">
        <is>
          <t>Total operating income</t>
        </is>
      </c>
      <c r="B12" s="5" t="n">
        <v>158.6</v>
      </c>
      <c r="C12" s="5" t="n">
        <v>120.4</v>
      </c>
      <c r="D12" s="5" t="n">
        <v>86.80800000000001</v>
      </c>
      <c r="E12" s="5" t="n">
        <v>48.312</v>
      </c>
      <c r="F12" s="5" t="n">
        <v>7.826</v>
      </c>
      <c r="G12" s="5" t="n">
        <v>0.204</v>
      </c>
    </row>
    <row r="13">
      <c r="A13" s="5" t="inlineStr">
        <is>
          <t>Expenses</t>
        </is>
      </c>
      <c r="B13" s="6" t="n"/>
      <c r="C13" s="6" t="n"/>
      <c r="D13" s="6" t="n"/>
      <c r="E13" s="6" t="n"/>
      <c r="F13" s="6" t="n"/>
      <c r="G13" s="6" t="n"/>
    </row>
    <row r="14">
      <c r="A14" s="6" t="inlineStr">
        <is>
          <t>Operating expenses</t>
        </is>
      </c>
      <c r="B14" s="6" t="n">
        <v>-108.4</v>
      </c>
      <c r="C14" s="6" t="n">
        <v>-80.3</v>
      </c>
      <c r="D14" s="6" t="n"/>
      <c r="E14" s="6" t="n"/>
      <c r="F14" s="6" t="n"/>
      <c r="G14" s="6" t="n"/>
    </row>
    <row r="15">
      <c r="A15" s="6" t="inlineStr">
        <is>
          <t>Administrative expenses</t>
        </is>
      </c>
      <c r="B15" s="6" t="n"/>
      <c r="C15" s="6" t="n"/>
      <c r="D15" s="6" t="n">
        <v>-18.016</v>
      </c>
      <c r="E15" s="6" t="n">
        <v>-14.266</v>
      </c>
      <c r="F15" s="6" t="n">
        <v>-7.89</v>
      </c>
      <c r="G15" s="6" t="n">
        <v>-8.000999999999999</v>
      </c>
    </row>
    <row r="16">
      <c r="A16" s="6" t="inlineStr">
        <is>
          <t>Depreciation and amortisation</t>
        </is>
      </c>
      <c r="B16" s="6" t="n"/>
      <c r="C16" s="6" t="n"/>
      <c r="D16" s="6" t="n">
        <v>-5.394</v>
      </c>
      <c r="E16" s="6" t="n">
        <v>-3.337</v>
      </c>
      <c r="F16" s="6" t="n">
        <v>-9.445</v>
      </c>
      <c r="G16" s="6" t="n">
        <v>-2.098</v>
      </c>
    </row>
    <row r="17">
      <c r="A17" s="6" t="inlineStr">
        <is>
          <t>Staff costs</t>
        </is>
      </c>
      <c r="B17" s="6" t="n"/>
      <c r="C17" s="6" t="n"/>
      <c r="D17" s="6" t="n">
        <v>-33.028</v>
      </c>
      <c r="E17" s="6" t="n">
        <v>-23.823</v>
      </c>
      <c r="F17" s="6" t="n">
        <v>-14.472</v>
      </c>
      <c r="G17" s="6" t="n">
        <v>-11.751</v>
      </c>
    </row>
    <row r="18">
      <c r="A18" s="5" t="inlineStr">
        <is>
          <t>Total operating expenses</t>
        </is>
      </c>
      <c r="B18" s="5" t="n">
        <v>-108.4</v>
      </c>
      <c r="C18" s="5" t="n">
        <v>-80.3</v>
      </c>
      <c r="D18" s="5" t="n">
        <v>-56.438</v>
      </c>
      <c r="E18" s="5" t="n">
        <v>-41.426</v>
      </c>
      <c r="F18" s="5" t="n">
        <v>-31.807</v>
      </c>
      <c r="G18" s="5" t="n">
        <v>-21.85</v>
      </c>
    </row>
    <row r="19">
      <c r="A19" s="6" t="inlineStr">
        <is>
          <t>Impairment losses</t>
        </is>
      </c>
      <c r="B19" s="6" t="n">
        <v>-13.3</v>
      </c>
      <c r="C19" s="6" t="n">
        <v>-10.2</v>
      </c>
      <c r="D19" s="6" t="n">
        <v>-14.279</v>
      </c>
      <c r="E19" s="6" t="n">
        <v>-8.473000000000001</v>
      </c>
      <c r="F19" s="6" t="n">
        <v>-1.077</v>
      </c>
      <c r="G19" s="6" t="n">
        <v>-0.068</v>
      </c>
    </row>
    <row r="20">
      <c r="A20" s="5" t="inlineStr">
        <is>
          <t>Profit/(loss) before tax</t>
        </is>
      </c>
      <c r="B20" s="5" t="n">
        <v>36.9</v>
      </c>
      <c r="C20" s="5" t="n">
        <v>29.9</v>
      </c>
      <c r="D20" s="5" t="n">
        <v>16.091</v>
      </c>
      <c r="E20" s="5" t="n">
        <v>-1.587</v>
      </c>
      <c r="F20" s="5" t="n">
        <v>-25.058</v>
      </c>
      <c r="G20" s="5" t="n">
        <v>-21.714</v>
      </c>
    </row>
    <row r="21">
      <c r="A21" s="6" t="inlineStr">
        <is>
          <t>Taxation charge/credit</t>
        </is>
      </c>
      <c r="B21" s="6" t="n">
        <v>-9.6</v>
      </c>
      <c r="C21" s="6" t="n">
        <v>-0.1</v>
      </c>
      <c r="D21" s="6" t="n">
        <v>3.059</v>
      </c>
      <c r="E21" s="6" t="n">
        <v>7.21</v>
      </c>
      <c r="F21" s="6" t="n">
        <v>0</v>
      </c>
      <c r="G21" s="6" t="n">
        <v>0</v>
      </c>
    </row>
    <row r="22">
      <c r="A22" s="5" t="inlineStr">
        <is>
          <t>Profit/(loss) after tax for the year</t>
        </is>
      </c>
      <c r="B22" s="5" t="n">
        <v>27.3</v>
      </c>
      <c r="C22" s="5" t="n">
        <v>29.8</v>
      </c>
      <c r="D22" s="5" t="n">
        <v>19.15</v>
      </c>
      <c r="E22" s="5" t="n">
        <v>5.623</v>
      </c>
      <c r="F22" s="5" t="n">
        <v>-25.058</v>
      </c>
      <c r="G22" s="5" t="n">
        <v>-21.714</v>
      </c>
    </row>
    <row r="23">
      <c r="A23" s="5" t="inlineStr">
        <is>
          <t>Other comprehensive income/(loss)</t>
        </is>
      </c>
      <c r="B23" s="6" t="n"/>
      <c r="C23" s="6" t="n"/>
      <c r="D23" s="6" t="n"/>
      <c r="E23" s="6" t="n"/>
      <c r="F23" s="6" t="n"/>
      <c r="G23" s="6" t="n"/>
    </row>
    <row r="24">
      <c r="A24" s="6" t="inlineStr">
        <is>
          <t>Fair value gains/(losses) on debt securities</t>
        </is>
      </c>
      <c r="B24" s="6" t="n">
        <v>0.2</v>
      </c>
      <c r="C24" s="6" t="n">
        <v>-0.2</v>
      </c>
      <c r="D24" s="6" t="n">
        <v>0.837</v>
      </c>
      <c r="E24" s="6" t="n">
        <v>-0.764</v>
      </c>
      <c r="F24" s="6" t="n">
        <v>-0.004</v>
      </c>
      <c r="G24" s="6" t="n">
        <v>0.002</v>
      </c>
    </row>
    <row r="25">
      <c r="A25" s="6" t="inlineStr">
        <is>
          <t>Net change in fair value of financial instruments</t>
        </is>
      </c>
      <c r="B25" s="6" t="n"/>
      <c r="C25" s="6" t="n"/>
      <c r="D25" s="6" t="n"/>
      <c r="E25" s="6" t="n">
        <v>0</v>
      </c>
      <c r="F25" s="6" t="n">
        <v>0.02</v>
      </c>
      <c r="G25" s="6" t="n">
        <v>-0.02</v>
      </c>
    </row>
    <row r="26">
      <c r="A26" s="6" t="inlineStr">
        <is>
          <t>Exchange differences on translation of foreign operations</t>
        </is>
      </c>
      <c r="B26" s="6" t="n">
        <v>-0.1</v>
      </c>
      <c r="C26" s="6" t="n">
        <v>0</v>
      </c>
      <c r="D26" s="6" t="n"/>
      <c r="E26" s="6" t="n"/>
      <c r="F26" s="6" t="n"/>
      <c r="G26" s="6" t="n"/>
    </row>
    <row r="27">
      <c r="A27" s="6" t="inlineStr">
        <is>
          <t>Cash flow hedges: gains/(losses) arising during the year</t>
        </is>
      </c>
      <c r="B27" s="6" t="n">
        <v>-14.3</v>
      </c>
      <c r="C27" s="6" t="n">
        <v>31.8</v>
      </c>
      <c r="D27" s="6" t="n">
        <v>-20.264</v>
      </c>
      <c r="E27" s="6" t="n">
        <v>20.431</v>
      </c>
      <c r="F27" s="6" t="n">
        <v>0</v>
      </c>
      <c r="G27" s="6" t="n"/>
    </row>
    <row r="28">
      <c r="A28" s="6" t="inlineStr">
        <is>
          <t>Cash flow hedges: amounts recycled to profit or loss</t>
        </is>
      </c>
      <c r="B28" s="6" t="n">
        <v>-6.5</v>
      </c>
      <c r="C28" s="6" t="n">
        <v>-11.8</v>
      </c>
      <c r="D28" s="6" t="n">
        <v>-6.759</v>
      </c>
      <c r="E28" s="6" t="n">
        <v>-0.08400000000000001</v>
      </c>
      <c r="F28" s="6" t="n">
        <v>0.023</v>
      </c>
      <c r="G28" s="6" t="n"/>
    </row>
    <row r="29">
      <c r="A29" s="6" t="inlineStr">
        <is>
          <t>Tax credit/(expense)</t>
        </is>
      </c>
      <c r="B29" s="6" t="n">
        <v>5.2</v>
      </c>
      <c r="C29" s="6" t="n">
        <v>-5</v>
      </c>
      <c r="D29" s="6" t="n">
        <v>6.756</v>
      </c>
      <c r="E29" s="6" t="n">
        <v>-5.087</v>
      </c>
      <c r="F29" s="6" t="n">
        <v>0</v>
      </c>
      <c r="G29" s="6" t="n"/>
    </row>
    <row r="30">
      <c r="A30" s="5" t="inlineStr">
        <is>
          <t>Other comprehensive income/(loss) for the year, net of tax</t>
        </is>
      </c>
      <c r="B30" s="5" t="n">
        <v>-15.5</v>
      </c>
      <c r="C30" s="5" t="n">
        <v>14.8</v>
      </c>
      <c r="D30" s="5" t="n">
        <v>-19.43</v>
      </c>
      <c r="E30" s="5" t="n">
        <v>14.496</v>
      </c>
      <c r="F30" s="5" t="n">
        <v>0.039</v>
      </c>
      <c r="G30" s="5" t="n">
        <v>-0.018</v>
      </c>
    </row>
    <row r="31">
      <c r="A31" s="5" t="inlineStr">
        <is>
          <t>Total comprehensive income/(loss) for the year</t>
        </is>
      </c>
      <c r="B31" s="5" t="n">
        <v>11.8</v>
      </c>
      <c r="C31" s="5" t="n">
        <v>44.6</v>
      </c>
      <c r="D31" s="5" t="n">
        <v>-0.28</v>
      </c>
      <c r="E31" s="5" t="n">
        <v>20.119</v>
      </c>
      <c r="F31" s="5" t="n">
        <v>-25.019</v>
      </c>
      <c r="G31" s="5" t="n">
        <v>-21.732</v>
      </c>
    </row>
    <row r="33" ht="325" customHeight="1">
      <c r="A33" s="8" t="inlineStr">
        <is>
          <t>Sources — Allica Bank Limited consolidated (Group) Statement of Profit or Loss and Other Comprehensive Income, £m:
FY2025 &amp; FY2024: Annual Report &amp; Accounts 2025, p.85-86 — https://www.allica.bank/hubfs/pdf/allica-bank_annual-report-2025.pdf
FY2023: Annual Report and Accounts 2023, p.70-71 — https://www.allica.bank/hubfs/Allica-Bank_Annual-report_2023.pdf
FY2022: Annual Report and Accounts 2022, p.75-76 (own-year figures) — https://www.allica.bank/hubfs/pdf/web/investor-relations/Allica_Bank-Annual_Report-2022.pdf
FY2021: Annual Report and Accounts 2022, p.75-76 (FY2021 comparative column) — https://www.allica.bank/hubfs/pdf/web/investor-relations/Allica_Bank-Annual_Report-2022.pdf
FY2020: Consolidated Financial Statements for the year ended 31 December 2020, p.22 (Statement of profit or loss and other comprehensive income) — https://find-and-update.company-information.service.gov.uk/company/07706156/filing-history/MzMxMTI2MDM1MWFkaXF6a2N4/document?format=pdf — Allica Bank Limited consolidated financial statements for the year ended 31 December 2020, filed with Companies House (registered number 07706156) 27 August 2021
Entity note: all figures on this and the Balance Sheet/Profit &amp; Loss/Statement of Changes in Equity sheets are Allica Bank Limited Group (consolidated), £m. FY2025 &amp; FY2024 sourced from Allica Bank Limited Annual Report &amp; Accounts 2025 (£m as reported) — https://www.allica.bank/hubfs/pdf/allica-bank_annual-report-2025.pdf; FY2023 &amp; FY2022 sourced from Allica Bank Limited Annual Report and Accounts 2023 (£'000 as reported, converted to £m for consistency with other years) — https://www.allica.bank/hubfs/Allica-Bank_Annual-report_2023.pdf; FY2021 sourced from the FY2021 comparative column of Allica Bank Limited Annual Report and Accounts 2022 (£'000 as reported, converted to £m) — https://www.allica.bank/hubfs/pdf/web/investor-relations/Allica_Bank-Annual_Report-2022.pdf — no separate FY2021 Annual Report was located, matching the existing Cash Flow Statement sheet's own FY2021 sourcing convention. FY2020 sourced from Allica Bank Limited's own Consolidated Financial Statements for the year ended 31 December 2020 (£'000 as reported, converted to £m), filed with Companies House — https://find-and-update.company-information.service.gov.uk/company/07706156/filing-history/MzMxMTI2MDM1MWFkaXF6a2N4/document?format=pdf — Allica Bank Limited consolidated financial statements for the year ended 31 December 2020, filed with Companies House (registered number 07706156) 27 August 2021. A disclosed nil ('–' in the source table) is written as 0; a blank cell means that year's report did not disclose that specific line at all.
PRESENTATION NOTE: FY2024-2025 present a single 'Operating expenses' line on the face of the statement (sub-breakdown moved to a note); FY2020-2023 break this into Administrative expenses / Depreciation and amortisation / Staff costs, each shown here and rolling up to the same 'Total operating expenses' TOTAL row. FY2022's OCI detail is taken from Allica's own FY2022 Annual Report (Annual Report and Accounts 2022) rather than the FY2023 report's restated comparative column, per this workbook's per-year-primary-source convention — the FY2023 report's FY2022 comparative omits the 'Net change in fair value of financial instruments during the year' line that FY2022's own report discloses; both are otherwise consistent. FY2020 is Allica's first full year of banking operations and its Statement of profit or loss discloses no separate fee/commission or fair-value-gain lines at all that year (net interest income of £204k IS the reported 'Net interest and other operating income' / total operating income figure, with no other income items — those lines only start being separately disclosed from FY2021); left blank rather than zero for FY2020. See HISTORICAL_DEPTH_NOTE in this script for why FY2019/FY2018 are not included as columns here.</t>
        </is>
      </c>
    </row>
  </sheetData>
  <mergeCells count="1">
    <mergeCell ref="A33:G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0"/>
  <sheetViews>
    <sheetView workbookViewId="0">
      <pane ySplit="4" topLeftCell="A5" activePane="bottomLeft" state="frozen"/>
      <selection pane="bottomLeft"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Consolidated Statement of Changes in Equity</t>
        </is>
      </c>
    </row>
    <row r="2">
      <c r="A2" s="2" t="inlineStr">
        <is>
          <t>Allica Bank Limited Group (consolidated basis), £m, chronological 1 Aug 2017 - 31 Dec 2025.</t>
        </is>
      </c>
    </row>
    <row r="3">
      <c r="A3" s="4" t="inlineStr">
        <is>
          <t>Movement</t>
        </is>
      </c>
      <c r="B3" s="4" t="inlineStr">
        <is>
          <t>Share capital</t>
        </is>
      </c>
      <c r="C3" s="4" t="inlineStr">
        <is>
          <t>Share premium</t>
        </is>
      </c>
      <c r="D3" s="4" t="inlineStr">
        <is>
          <t>Other components of equity</t>
        </is>
      </c>
      <c r="E3" s="4" t="inlineStr">
        <is>
          <t>Perpetual notes (incl. convertible)</t>
        </is>
      </c>
      <c r="F3" s="4" t="inlineStr">
        <is>
          <t>Retained earnings/(accumulated losses)</t>
        </is>
      </c>
      <c r="G3" s="4" t="inlineStr">
        <is>
          <t>Total equity</t>
        </is>
      </c>
    </row>
    <row r="4">
      <c r="A4" s="5" t="inlineStr">
        <is>
          <t>Balance at 1 August 2017 (as Civilised Bank Limited)</t>
        </is>
      </c>
      <c r="B4" s="5" t="n">
        <v>0.007</v>
      </c>
      <c r="C4" s="5" t="n">
        <v>6.04</v>
      </c>
      <c r="D4" s="5" t="n">
        <v>0.633</v>
      </c>
      <c r="E4" s="5" t="n"/>
      <c r="F4" s="5" t="n">
        <v>-4.07</v>
      </c>
      <c r="G4" s="5" t="n">
        <v>2.609</v>
      </c>
    </row>
    <row r="5">
      <c r="A5" s="6" t="inlineStr">
        <is>
          <t>Total comprehensive loss for the year (FY2018, as Civilised Bank Limited)</t>
        </is>
      </c>
      <c r="B5" s="6" t="n"/>
      <c r="C5" s="6" t="n"/>
      <c r="D5" s="6" t="n"/>
      <c r="E5" s="6" t="n"/>
      <c r="F5" s="6" t="n">
        <v>-8.494999999999999</v>
      </c>
      <c r="G5" s="6" t="n">
        <v>-8.494999999999999</v>
      </c>
    </row>
    <row r="6">
      <c r="A6" s="6" t="inlineStr">
        <is>
          <t>Issue of ordinary share capital</t>
        </is>
      </c>
      <c r="B6" s="6" t="n">
        <v>0.089</v>
      </c>
      <c r="C6" s="6" t="n">
        <v>5.448</v>
      </c>
      <c r="D6" s="6" t="n"/>
      <c r="E6" s="6" t="n"/>
      <c r="F6" s="6" t="n"/>
      <c r="G6" s="6" t="n">
        <v>5.537</v>
      </c>
    </row>
    <row r="7">
      <c r="A7" s="6" t="inlineStr">
        <is>
          <t>Capital raising costs</t>
        </is>
      </c>
      <c r="B7" s="6" t="n"/>
      <c r="C7" s="6" t="n">
        <v>-0.127</v>
      </c>
      <c r="D7" s="6" t="n"/>
      <c r="E7" s="6" t="n"/>
      <c r="F7" s="6" t="n"/>
      <c r="G7" s="6" t="n">
        <v>-0.127</v>
      </c>
    </row>
    <row r="8">
      <c r="A8" s="5" t="inlineStr">
        <is>
          <t>Balance at 31 July 2018 (as Civilised Bank Limited)</t>
        </is>
      </c>
      <c r="B8" s="5" t="n">
        <v>0.096</v>
      </c>
      <c r="C8" s="5" t="n">
        <v>11.36</v>
      </c>
      <c r="D8" s="5" t="n">
        <v>0.633</v>
      </c>
      <c r="E8" s="5" t="n"/>
      <c r="F8" s="5" t="n">
        <v>-12.565</v>
      </c>
      <c r="G8" s="5" t="n">
        <v>-0.476</v>
      </c>
    </row>
    <row r="9">
      <c r="A9" s="6" t="inlineStr">
        <is>
          <t>Loss after tax for the period (17-month period ended 31 December 2019, renamed Allica Bank Limited)</t>
        </is>
      </c>
      <c r="B9" s="6" t="n"/>
      <c r="C9" s="6" t="n"/>
      <c r="D9" s="6" t="n"/>
      <c r="E9" s="6" t="n"/>
      <c r="F9" s="6" t="n">
        <v>-31.168</v>
      </c>
      <c r="G9" s="6" t="n">
        <v>-31.168</v>
      </c>
    </row>
    <row r="10">
      <c r="A10" s="6" t="inlineStr">
        <is>
          <t>Other comprehensive loss for the period, net of tax</t>
        </is>
      </c>
      <c r="B10" s="6" t="n"/>
      <c r="C10" s="6" t="n"/>
      <c r="D10" s="6" t="n">
        <v>-0.004</v>
      </c>
      <c r="E10" s="6" t="n"/>
      <c r="F10" s="6" t="n"/>
      <c r="G10" s="6" t="n">
        <v>-0.004</v>
      </c>
    </row>
    <row r="11">
      <c r="A11" s="5" t="inlineStr">
        <is>
          <t>Total comprehensive loss for the period (17 months to 31 December 2019)</t>
        </is>
      </c>
      <c r="B11" s="5" t="n"/>
      <c r="C11" s="5" t="n"/>
      <c r="D11" s="5" t="n">
        <v>-0.004</v>
      </c>
      <c r="E11" s="5" t="n"/>
      <c r="F11" s="5" t="n">
        <v>-31.168</v>
      </c>
      <c r="G11" s="5" t="n">
        <v>-31.172</v>
      </c>
    </row>
    <row r="12">
      <c r="A12" s="6" t="inlineStr">
        <is>
          <t>Issue of share capital</t>
        </is>
      </c>
      <c r="B12" s="6" t="n">
        <v>0.642</v>
      </c>
      <c r="C12" s="6" t="n">
        <v>73.38200000000001</v>
      </c>
      <c r="D12" s="6" t="n"/>
      <c r="E12" s="6" t="n"/>
      <c r="F12" s="6" t="n"/>
      <c r="G12" s="6" t="n">
        <v>74.024</v>
      </c>
    </row>
    <row r="13">
      <c r="A13" s="6" t="inlineStr">
        <is>
          <t>Capital raising costs</t>
        </is>
      </c>
      <c r="B13" s="6" t="n"/>
      <c r="C13" s="6" t="n">
        <v>-0.698</v>
      </c>
      <c r="D13" s="6" t="n"/>
      <c r="E13" s="6" t="n"/>
      <c r="F13" s="6" t="n"/>
      <c r="G13" s="6" t="n">
        <v>-0.698</v>
      </c>
    </row>
    <row r="14">
      <c r="A14" s="6" t="inlineStr">
        <is>
          <t>Reclassification of other reserves</t>
        </is>
      </c>
      <c r="B14" s="6" t="n"/>
      <c r="C14" s="6" t="n"/>
      <c r="D14" s="6" t="n">
        <v>-0.633</v>
      </c>
      <c r="E14" s="6" t="n"/>
      <c r="F14" s="6" t="n">
        <v>0.633</v>
      </c>
      <c r="G14" s="6" t="n">
        <v>0</v>
      </c>
    </row>
    <row r="15">
      <c r="A15" s="5" t="inlineStr">
        <is>
          <t>Balance at 31 December 2019</t>
        </is>
      </c>
      <c r="B15" s="5" t="n">
        <v>0.738</v>
      </c>
      <c r="C15" s="5" t="n">
        <v>84.044</v>
      </c>
      <c r="D15" s="5" t="n">
        <v>-0.004</v>
      </c>
      <c r="E15" s="5" t="n"/>
      <c r="F15" s="5" t="n">
        <v>-43.1</v>
      </c>
      <c r="G15" s="5" t="n">
        <v>41.678</v>
      </c>
    </row>
    <row r="16">
      <c r="A16" s="6" t="inlineStr">
        <is>
          <t>Loss after tax for the year (FY2020)</t>
        </is>
      </c>
      <c r="B16" s="6" t="n"/>
      <c r="C16" s="6" t="n"/>
      <c r="D16" s="6" t="n"/>
      <c r="E16" s="6" t="n"/>
      <c r="F16" s="6" t="n">
        <v>-21.714</v>
      </c>
      <c r="G16" s="6" t="n">
        <v>-21.714</v>
      </c>
    </row>
    <row r="17">
      <c r="A17" s="6" t="inlineStr">
        <is>
          <t>Other comprehensive loss for the year, net of tax (FY2020)</t>
        </is>
      </c>
      <c r="B17" s="6" t="n"/>
      <c r="C17" s="6" t="n"/>
      <c r="D17" s="6" t="n">
        <v>-0.018</v>
      </c>
      <c r="E17" s="6" t="n"/>
      <c r="F17" s="6" t="n"/>
      <c r="G17" s="6" t="n">
        <v>-0.018</v>
      </c>
    </row>
    <row r="18">
      <c r="A18" s="5" t="inlineStr">
        <is>
          <t>Total comprehensive loss for the year (FY2020)</t>
        </is>
      </c>
      <c r="B18" s="5" t="n"/>
      <c r="C18" s="5" t="n"/>
      <c r="D18" s="5" t="n">
        <v>-0.018</v>
      </c>
      <c r="E18" s="5" t="n"/>
      <c r="F18" s="5" t="n">
        <v>-21.714</v>
      </c>
      <c r="G18" s="5" t="n">
        <v>-21.732</v>
      </c>
    </row>
    <row r="19">
      <c r="A19" s="6" t="inlineStr">
        <is>
          <t>Issue of share capital</t>
        </is>
      </c>
      <c r="B19" s="6" t="n">
        <v>0.265</v>
      </c>
      <c r="C19" s="6" t="n">
        <v>36.277</v>
      </c>
      <c r="D19" s="6" t="n"/>
      <c r="E19" s="6" t="n"/>
      <c r="F19" s="6" t="n"/>
      <c r="G19" s="6" t="n">
        <v>36.542</v>
      </c>
    </row>
    <row r="20">
      <c r="A20" s="5" t="inlineStr">
        <is>
          <t>Balance at 31 December 2020</t>
        </is>
      </c>
      <c r="B20" s="5" t="n">
        <v>1.003</v>
      </c>
      <c r="C20" s="5" t="n">
        <v>120.321</v>
      </c>
      <c r="D20" s="5" t="n">
        <v>-0.022</v>
      </c>
      <c r="E20" s="5" t="n"/>
      <c r="F20" s="5" t="n">
        <v>-64.81399999999999</v>
      </c>
      <c r="G20" s="5" t="n">
        <v>56.488</v>
      </c>
    </row>
    <row r="21">
      <c r="A21" s="6" t="inlineStr">
        <is>
          <t>Loss after tax for the year (FY2021)</t>
        </is>
      </c>
      <c r="B21" s="6" t="n"/>
      <c r="C21" s="6" t="n"/>
      <c r="D21" s="6" t="n"/>
      <c r="E21" s="6" t="n"/>
      <c r="F21" s="6" t="n">
        <v>-25.058</v>
      </c>
      <c r="G21" s="6" t="n">
        <v>-25.058</v>
      </c>
    </row>
    <row r="22">
      <c r="A22" s="6" t="inlineStr">
        <is>
          <t>Other comprehensive income for the year, net of tax (FY2021)</t>
        </is>
      </c>
      <c r="B22" s="6" t="n"/>
      <c r="C22" s="6" t="n"/>
      <c r="D22" s="6" t="n">
        <v>0.039</v>
      </c>
      <c r="E22" s="6" t="n"/>
      <c r="F22" s="6" t="n"/>
      <c r="G22" s="6" t="n">
        <v>0.039</v>
      </c>
    </row>
    <row r="23">
      <c r="A23" s="5" t="inlineStr">
        <is>
          <t>Total comprehensive income/(loss) for the year (FY2021)</t>
        </is>
      </c>
      <c r="B23" s="5" t="n"/>
      <c r="C23" s="5" t="n"/>
      <c r="D23" s="5" t="n">
        <v>0.039</v>
      </c>
      <c r="E23" s="5" t="n"/>
      <c r="F23" s="5" t="n">
        <v>-25.058</v>
      </c>
      <c r="G23" s="5" t="n">
        <v>-25.019</v>
      </c>
    </row>
    <row r="24">
      <c r="A24" s="6" t="inlineStr">
        <is>
          <t>Share-based payments</t>
        </is>
      </c>
      <c r="B24" s="6" t="n"/>
      <c r="C24" s="6" t="n"/>
      <c r="D24" s="6" t="n">
        <v>0.113</v>
      </c>
      <c r="E24" s="6" t="n"/>
      <c r="F24" s="6" t="n"/>
      <c r="G24" s="6" t="n">
        <v>0.113</v>
      </c>
    </row>
    <row r="25">
      <c r="A25" s="6" t="inlineStr">
        <is>
          <t>Issue of share warrants</t>
        </is>
      </c>
      <c r="B25" s="6" t="n"/>
      <c r="C25" s="6" t="n"/>
      <c r="D25" s="6" t="n">
        <v>1.98</v>
      </c>
      <c r="E25" s="6" t="n"/>
      <c r="F25" s="6" t="n">
        <v>-1.98</v>
      </c>
      <c r="G25" s="6" t="n">
        <v>0</v>
      </c>
    </row>
    <row r="26">
      <c r="A26" s="6" t="inlineStr">
        <is>
          <t>Issue of perpetual notes (including convertible)</t>
        </is>
      </c>
      <c r="B26" s="6" t="n"/>
      <c r="C26" s="6" t="n"/>
      <c r="D26" s="6" t="n"/>
      <c r="E26" s="6" t="n">
        <v>17.5</v>
      </c>
      <c r="F26" s="6" t="n"/>
      <c r="G26" s="6" t="n">
        <v>17.5</v>
      </c>
    </row>
    <row r="27">
      <c r="A27" s="6" t="inlineStr">
        <is>
          <t>Issue of ordinary share capital</t>
        </is>
      </c>
      <c r="B27" s="6" t="n">
        <v>0.414</v>
      </c>
      <c r="C27" s="6" t="n">
        <v>40.387</v>
      </c>
      <c r="D27" s="6" t="n"/>
      <c r="E27" s="6" t="n"/>
      <c r="F27" s="6" t="n"/>
      <c r="G27" s="6" t="n">
        <v>40.801</v>
      </c>
    </row>
    <row r="28">
      <c r="A28" s="5" t="inlineStr">
        <is>
          <t>Balance at 31 December 2021</t>
        </is>
      </c>
      <c r="B28" s="5" t="n">
        <v>1.417</v>
      </c>
      <c r="C28" s="5" t="n">
        <v>160.708</v>
      </c>
      <c r="D28" s="5" t="n">
        <v>2.11</v>
      </c>
      <c r="E28" s="5" t="n">
        <v>17.5</v>
      </c>
      <c r="F28" s="5" t="n">
        <v>-91.852</v>
      </c>
      <c r="G28" s="5" t="n">
        <v>89.883</v>
      </c>
    </row>
    <row r="29">
      <c r="A29" s="6" t="inlineStr">
        <is>
          <t>Profit after tax credit for the year (FY2022)</t>
        </is>
      </c>
      <c r="B29" s="6" t="n"/>
      <c r="C29" s="6" t="n"/>
      <c r="D29" s="6" t="n"/>
      <c r="E29" s="6" t="n"/>
      <c r="F29" s="6" t="n">
        <v>5.623</v>
      </c>
      <c r="G29" s="6" t="n">
        <v>5.623</v>
      </c>
    </row>
    <row r="30">
      <c r="A30" s="6" t="inlineStr">
        <is>
          <t>Other comprehensive income for the year, net of tax (FY2022)</t>
        </is>
      </c>
      <c r="B30" s="6" t="n"/>
      <c r="C30" s="6" t="n"/>
      <c r="D30" s="6" t="n">
        <v>14.496</v>
      </c>
      <c r="E30" s="6" t="n"/>
      <c r="F30" s="6" t="n"/>
      <c r="G30" s="6" t="n">
        <v>14.496</v>
      </c>
    </row>
    <row r="31">
      <c r="A31" s="5" t="inlineStr">
        <is>
          <t>Total comprehensive income for the year (FY2022)</t>
        </is>
      </c>
      <c r="B31" s="5" t="n"/>
      <c r="C31" s="5" t="n"/>
      <c r="D31" s="5" t="n">
        <v>14.496</v>
      </c>
      <c r="E31" s="5" t="n"/>
      <c r="F31" s="5" t="n">
        <v>5.623</v>
      </c>
      <c r="G31" s="5" t="n">
        <v>20.119</v>
      </c>
    </row>
    <row r="32">
      <c r="A32" s="6" t="inlineStr">
        <is>
          <t>Share-based payments</t>
        </is>
      </c>
      <c r="B32" s="6" t="n"/>
      <c r="C32" s="6" t="n"/>
      <c r="D32" s="6" t="n">
        <v>0.288</v>
      </c>
      <c r="E32" s="6" t="n"/>
      <c r="F32" s="6" t="n"/>
      <c r="G32" s="6" t="n">
        <v>0.288</v>
      </c>
    </row>
    <row r="33">
      <c r="A33" s="6" t="inlineStr">
        <is>
          <t>Conversion of perpetual notes (including convertible), net</t>
        </is>
      </c>
      <c r="B33" s="6" t="n"/>
      <c r="C33" s="6" t="n"/>
      <c r="D33" s="6" t="n"/>
      <c r="E33" s="6" t="n">
        <v>-7.614</v>
      </c>
      <c r="F33" s="6" t="n"/>
      <c r="G33" s="6" t="n">
        <v>-7.614</v>
      </c>
    </row>
    <row r="34">
      <c r="A34" s="6" t="inlineStr">
        <is>
          <t>Issue of ordinary share capital</t>
        </is>
      </c>
      <c r="B34" s="6" t="n">
        <v>1.084</v>
      </c>
      <c r="C34" s="6" t="n">
        <v>105.624</v>
      </c>
      <c r="D34" s="6" t="n">
        <v>-0.113</v>
      </c>
      <c r="E34" s="6" t="n"/>
      <c r="F34" s="6" t="n"/>
      <c r="G34" s="6" t="n">
        <v>106.595</v>
      </c>
    </row>
    <row r="35">
      <c r="A35" s="5" t="inlineStr">
        <is>
          <t>Balance at 31 December 2022</t>
        </is>
      </c>
      <c r="B35" s="5" t="n">
        <v>2.501</v>
      </c>
      <c r="C35" s="5" t="n">
        <v>266.332</v>
      </c>
      <c r="D35" s="5" t="n">
        <v>16.781</v>
      </c>
      <c r="E35" s="5" t="n">
        <v>9.885999999999999</v>
      </c>
      <c r="F35" s="5" t="n">
        <v>-86.229</v>
      </c>
      <c r="G35" s="5" t="n">
        <v>209.271</v>
      </c>
    </row>
    <row r="36">
      <c r="A36" s="6" t="inlineStr">
        <is>
          <t>Profit after tax credit for the year (FY2023)</t>
        </is>
      </c>
      <c r="B36" s="6" t="n"/>
      <c r="C36" s="6" t="n"/>
      <c r="D36" s="6" t="n"/>
      <c r="E36" s="6" t="n"/>
      <c r="F36" s="6" t="n">
        <v>19.15</v>
      </c>
      <c r="G36" s="6" t="n">
        <v>19.15</v>
      </c>
    </row>
    <row r="37">
      <c r="A37" s="6" t="inlineStr">
        <is>
          <t>Other comprehensive loss for the year, net of tax (FY2023)</t>
        </is>
      </c>
      <c r="B37" s="6" t="n"/>
      <c r="C37" s="6" t="n"/>
      <c r="D37" s="6" t="n">
        <v>-19.43</v>
      </c>
      <c r="E37" s="6" t="n"/>
      <c r="F37" s="6" t="n"/>
      <c r="G37" s="6" t="n">
        <v>-19.43</v>
      </c>
    </row>
    <row r="38">
      <c r="A38" s="5" t="inlineStr">
        <is>
          <t>Total comprehensive income/(loss) for the year (FY2023)</t>
        </is>
      </c>
      <c r="B38" s="5" t="n"/>
      <c r="C38" s="5" t="n"/>
      <c r="D38" s="5" t="n">
        <v>-19.43</v>
      </c>
      <c r="E38" s="5" t="n"/>
      <c r="F38" s="5" t="n">
        <v>19.15</v>
      </c>
      <c r="G38" s="5" t="n">
        <v>-0.28</v>
      </c>
    </row>
    <row r="39">
      <c r="A39" s="6" t="inlineStr">
        <is>
          <t>Share-based payments</t>
        </is>
      </c>
      <c r="B39" s="6" t="n">
        <v>0.007</v>
      </c>
      <c r="C39" s="6" t="n">
        <v>0.281</v>
      </c>
      <c r="D39" s="6" t="n">
        <v>-0.288</v>
      </c>
      <c r="E39" s="6" t="n"/>
      <c r="F39" s="6" t="n"/>
      <c r="G39" s="6" t="n">
        <v>0</v>
      </c>
    </row>
    <row r="40">
      <c r="A40" s="6" t="inlineStr">
        <is>
          <t>Employee bonus share issuance</t>
        </is>
      </c>
      <c r="B40" s="6" t="n">
        <v>0.011</v>
      </c>
      <c r="C40" s="6" t="n">
        <v>0.405</v>
      </c>
      <c r="D40" s="6" t="n"/>
      <c r="E40" s="6" t="n"/>
      <c r="F40" s="6" t="n"/>
      <c r="G40" s="6" t="n">
        <v>0.416</v>
      </c>
    </row>
    <row r="41">
      <c r="A41" s="6" t="inlineStr">
        <is>
          <t>Issue of ordinary share capital</t>
        </is>
      </c>
      <c r="B41" s="6" t="n">
        <v>0.354</v>
      </c>
      <c r="C41" s="6" t="n">
        <v>34.14</v>
      </c>
      <c r="D41" s="6" t="n"/>
      <c r="E41" s="6" t="n"/>
      <c r="F41" s="6" t="n"/>
      <c r="G41" s="6" t="n">
        <v>34.494</v>
      </c>
    </row>
    <row r="42">
      <c r="A42" s="6" t="inlineStr">
        <is>
          <t>Issue of perpetual convertible notes</t>
        </is>
      </c>
      <c r="B42" s="6" t="n"/>
      <c r="C42" s="6" t="n"/>
      <c r="D42" s="6" t="n"/>
      <c r="E42" s="6" t="n">
        <v>35.241</v>
      </c>
      <c r="F42" s="6" t="n"/>
      <c r="G42" s="6" t="n">
        <v>35.241</v>
      </c>
    </row>
    <row r="43">
      <c r="A43" s="5" t="inlineStr">
        <is>
          <t>Balance at 31 December 2023</t>
        </is>
      </c>
      <c r="B43" s="5" t="n">
        <v>2.873</v>
      </c>
      <c r="C43" s="5" t="n">
        <v>301.158</v>
      </c>
      <c r="D43" s="5" t="n">
        <v>-2.937</v>
      </c>
      <c r="E43" s="5" t="n">
        <v>45.127</v>
      </c>
      <c r="F43" s="5" t="n">
        <v>-67.07899999999999</v>
      </c>
      <c r="G43" s="5" t="n">
        <v>279.142</v>
      </c>
    </row>
    <row r="44">
      <c r="A44" s="6" t="inlineStr">
        <is>
          <t>Profit after tax for the year (FY2024)</t>
        </is>
      </c>
      <c r="B44" s="6" t="n"/>
      <c r="C44" s="6" t="n"/>
      <c r="D44" s="6" t="n"/>
      <c r="E44" s="6" t="n"/>
      <c r="F44" s="6" t="n">
        <v>29.8</v>
      </c>
      <c r="G44" s="6" t="n">
        <v>29.8</v>
      </c>
    </row>
    <row r="45">
      <c r="A45" s="6" t="inlineStr">
        <is>
          <t>Other comprehensive income for the year, net of tax (FY2024)</t>
        </is>
      </c>
      <c r="B45" s="6" t="n"/>
      <c r="C45" s="6" t="n"/>
      <c r="D45" s="6" t="n">
        <v>14.8</v>
      </c>
      <c r="E45" s="6" t="n"/>
      <c r="F45" s="6" t="n"/>
      <c r="G45" s="6" t="n">
        <v>14.8</v>
      </c>
    </row>
    <row r="46">
      <c r="A46" s="5" t="inlineStr">
        <is>
          <t>Total comprehensive income for the year (FY2024)</t>
        </is>
      </c>
      <c r="B46" s="5" t="n"/>
      <c r="C46" s="5" t="n"/>
      <c r="D46" s="5" t="n">
        <v>14.8</v>
      </c>
      <c r="E46" s="5" t="n"/>
      <c r="F46" s="5" t="n">
        <v>29.8</v>
      </c>
      <c r="G46" s="5" t="n">
        <v>44.6</v>
      </c>
    </row>
    <row r="47">
      <c r="A47" s="6" t="inlineStr">
        <is>
          <t>Issue of ordinary share capital and employee bonus shares</t>
        </is>
      </c>
      <c r="B47" s="6" t="n">
        <v>0.1</v>
      </c>
      <c r="C47" s="6" t="n">
        <v>17.7</v>
      </c>
      <c r="D47" s="6" t="n"/>
      <c r="E47" s="6" t="n"/>
      <c r="F47" s="6" t="n"/>
      <c r="G47" s="6" t="n">
        <v>17.8</v>
      </c>
    </row>
    <row r="48">
      <c r="A48" s="6" t="inlineStr">
        <is>
          <t>Capital reduction</t>
        </is>
      </c>
      <c r="B48" s="6" t="n"/>
      <c r="C48" s="6" t="n">
        <v>-73.5</v>
      </c>
      <c r="D48" s="6" t="n"/>
      <c r="E48" s="6" t="n"/>
      <c r="F48" s="6" t="n">
        <v>73.5</v>
      </c>
      <c r="G48" s="6" t="n">
        <v>0</v>
      </c>
    </row>
    <row r="49">
      <c r="A49" s="6" t="inlineStr">
        <is>
          <t>Issue of perpetual convertible notes</t>
        </is>
      </c>
      <c r="B49" s="6" t="n"/>
      <c r="C49" s="6" t="n"/>
      <c r="D49" s="6" t="n"/>
      <c r="E49" s="6" t="n">
        <v>35</v>
      </c>
      <c r="F49" s="6" t="n"/>
      <c r="G49" s="6" t="n">
        <v>35</v>
      </c>
    </row>
    <row r="50">
      <c r="A50" s="6" t="inlineStr">
        <is>
          <t>Share warrants exercised</t>
        </is>
      </c>
      <c r="B50" s="6" t="n"/>
      <c r="C50" s="6" t="n">
        <v>0.6</v>
      </c>
      <c r="D50" s="6" t="n">
        <v>-0.6</v>
      </c>
      <c r="E50" s="6" t="n"/>
      <c r="F50" s="6" t="n"/>
      <c r="G50" s="6" t="n">
        <v>0</v>
      </c>
    </row>
    <row r="51">
      <c r="A51" s="6" t="inlineStr">
        <is>
          <t>Conversion of perpetual convertible notes, net</t>
        </is>
      </c>
      <c r="B51" s="6" t="n">
        <v>0.4</v>
      </c>
      <c r="C51" s="6" t="n">
        <v>34.9</v>
      </c>
      <c r="D51" s="6" t="n"/>
      <c r="E51" s="6" t="n">
        <v>-35.2</v>
      </c>
      <c r="F51" s="6" t="n"/>
      <c r="G51" s="6" t="n">
        <v>0.1</v>
      </c>
    </row>
    <row r="52">
      <c r="A52" s="5" t="inlineStr">
        <is>
          <t>Balance at 31 December 2024</t>
        </is>
      </c>
      <c r="B52" s="5" t="n">
        <v>3.4</v>
      </c>
      <c r="C52" s="5" t="n">
        <v>280.9</v>
      </c>
      <c r="D52" s="5" t="n">
        <v>11.3</v>
      </c>
      <c r="E52" s="5" t="n">
        <v>44.9</v>
      </c>
      <c r="F52" s="5" t="n">
        <v>36.2</v>
      </c>
      <c r="G52" s="5" t="n">
        <v>376.7</v>
      </c>
    </row>
    <row r="53">
      <c r="A53" s="6" t="inlineStr">
        <is>
          <t>Profit after tax for the year (FY2025)</t>
        </is>
      </c>
      <c r="B53" s="6" t="n"/>
      <c r="C53" s="6" t="n"/>
      <c r="D53" s="6" t="n"/>
      <c r="E53" s="6" t="n"/>
      <c r="F53" s="6" t="n">
        <v>27.3</v>
      </c>
      <c r="G53" s="6" t="n">
        <v>27.3</v>
      </c>
    </row>
    <row r="54">
      <c r="A54" s="6" t="inlineStr">
        <is>
          <t>Other comprehensive loss for the year, net of tax (FY2025)</t>
        </is>
      </c>
      <c r="B54" s="6" t="n"/>
      <c r="C54" s="6" t="n"/>
      <c r="D54" s="6" t="n">
        <v>-15.5</v>
      </c>
      <c r="E54" s="6" t="n"/>
      <c r="F54" s="6" t="n"/>
      <c r="G54" s="6" t="n">
        <v>-15.5</v>
      </c>
    </row>
    <row r="55">
      <c r="A55" s="5" t="inlineStr">
        <is>
          <t>Total comprehensive (loss)/income for the year (FY2025)</t>
        </is>
      </c>
      <c r="B55" s="5" t="n"/>
      <c r="C55" s="5" t="n"/>
      <c r="D55" s="5" t="n">
        <v>-15.5</v>
      </c>
      <c r="E55" s="5" t="n"/>
      <c r="F55" s="5" t="n">
        <v>27.3</v>
      </c>
      <c r="G55" s="5" t="n">
        <v>11.8</v>
      </c>
    </row>
    <row r="56">
      <c r="A56" s="6" t="inlineStr">
        <is>
          <t>Issue of ordinary share capital</t>
        </is>
      </c>
      <c r="B56" s="6" t="n">
        <v>0.3</v>
      </c>
      <c r="C56" s="6" t="n">
        <v>42.1</v>
      </c>
      <c r="D56" s="6" t="n"/>
      <c r="E56" s="6" t="n"/>
      <c r="F56" s="6" t="n"/>
      <c r="G56" s="6" t="n">
        <v>42.4</v>
      </c>
    </row>
    <row r="57">
      <c r="A57" s="6" t="inlineStr">
        <is>
          <t>Coupon paid on capital securities</t>
        </is>
      </c>
      <c r="B57" s="6" t="n"/>
      <c r="C57" s="6" t="n"/>
      <c r="D57" s="6" t="n"/>
      <c r="E57" s="6" t="n"/>
      <c r="F57" s="6" t="n">
        <v>-6.9</v>
      </c>
      <c r="G57" s="6" t="n">
        <v>-6.9</v>
      </c>
    </row>
    <row r="58">
      <c r="A58" s="5" t="inlineStr">
        <is>
          <t>Balance at 31 December 2025</t>
        </is>
      </c>
      <c r="B58" s="5" t="n">
        <v>3.7</v>
      </c>
      <c r="C58" s="5" t="n">
        <v>323</v>
      </c>
      <c r="D58" s="5" t="n">
        <v>-4.2</v>
      </c>
      <c r="E58" s="5" t="n">
        <v>44.9</v>
      </c>
      <c r="F58" s="5" t="n">
        <v>56.6</v>
      </c>
      <c r="G58" s="5" t="n">
        <v>424</v>
      </c>
    </row>
    <row r="60" ht="403" customHeight="1">
      <c r="A60" s="8" t="inlineStr">
        <is>
          <t>Sources — Allica Bank Limited consolidated (Group) Statement of Changes in Equity, £m:
1 Aug 2017 – 31 Jul 2018 roll-forward (as 'Civilised Bank Limited'): Civilised Bank Limited Strategic Report, Report of the Directors and Financial Statements for the Year Ended 31 July 2018, p.11 (Statement of Changes in Equity), filed with Companies House (registered number 07706156) 2 May 2019 — https://find-and-update.company-information.service.gov.uk/company/07706156/filing-history/MzIzMzI4ODY2MWFkaXF6a2N4/document?format=pdf
31 Jul 2018 – 31 Dec 2019 roll-forward (17-month period, as 'Allica Bank Limited (Formerly Civilised Bank Limited)'): Financial Statements For The Period Ended 31 December 2019, p.19 (Statement of Changes in Equity), filed with Companies House 31 December 2020 — https://find-and-update.company-information.service.gov.uk/company/07706156/filing-history/MzI4Njg3NjY0M2FkaXF6a2N4/document?format=pdf
1 Jan 2020 – 31 Dec 2020 roll-forward: Allica Bank Limited Consolidated Financial Statements for the year ended 31 December 2020, p.24 (Statement of changes in equity) — https://find-and-update.company-information.service.gov.uk/company/07706156/filing-history/MzMxMTI2MDM1MWFkaXF6a2N4/document?format=pdf — Allica Bank Limited consolidated financial statements for the year ended 31 December 2020, filed with Companies House (registered number 07706156) 27 August 2021
1 Jan 2021 – 31 Dec 2022 roll-forward: Annual Report and Accounts 2022, p.82 — https://www.allica.bank/hubfs/pdf/web/investor-relations/Allica_Bank-Annual_Report-2022.pdf
1 Jan 2022 – 31 Dec 2023 roll-forward: Annual Report and Accounts 2023, p.74 — https://www.allica.bank/hubfs/Allica-Bank_Annual-report_2023.pdf
1 Jan 2024 – 31 Dec 2025 roll-forward: Annual Report &amp; Accounts 2025, p.89 — https://www.allica.bank/hubfs/pdf/allica-bank_annual-report-2025.pdf
Entity note: all figures on this and the Balance Sheet/Profit &amp; Loss/Statement of Changes in Equity sheets are Allica Bank Limited Group (consolidated), £m. FY2025 &amp; FY2024 sourced from Allica Bank Limited Annual Report &amp; Accounts 2025 (£m as reported) — https://www.allica.bank/hubfs/pdf/allica-bank_annual-report-2025.pdf; FY2023 &amp; FY2022 sourced from Allica Bank Limited Annual Report and Accounts 2023 (£'000 as reported, converted to £m for consistency with other years) — https://www.allica.bank/hubfs/Allica-Bank_Annual-report_2023.pdf; FY2021 sourced from the FY2021 comparative column of Allica Bank Limited Annual Report and Accounts 2022 (£'000 as reported, converted to £m) — https://www.allica.bank/hubfs/pdf/web/investor-relations/Allica_Bank-Annual_Report-2022.pdf — no separate FY2021 Annual Report was located, matching the existing Cash Flow Statement sheet's own FY2021 sourcing convention. FY2020 sourced from Allica Bank Limited's own Consolidated Financial Statements for the year ended 31 December 2020 (£'000 as reported, converted to £m), filed with Companies House — https://find-and-update.company-information.service.gov.uk/company/07706156/filing-history/MzMxMTI2MDM1MWFkaXF6a2N4/document?format=pdf — Allica Bank Limited consolidated financial statements for the year ended 31 December 2020, filed with Companies House (registered number 07706156) 27 August 2021. A disclosed nil ('–' in the source table) is written as 0; a blank cell means that year's report did not disclose that specific line at all.
PRESENTATION NOTE: chronological roll-forward, £m, 1 August 2017 (Allica's confirmed FY2018 historical floor, per HD-056) to 31 December 2025 (oldest to newest, unlike the rest of the workbook's most-recent-first year columns). This sheet is the one exception to HISTORICAL_DEPTH_NOTE's FY2019/FY2018 exclusion: because it is a chronological roll-forward of one continuous legal entity (Companies House no. 07706156) rather than a set of side-by-side year columns, the irregular period lengths that make FY2019/FY2018 non-comparable on the other sheets do not distort this one — each row is self-labelled with its own exact date range. 'Balance at 1 August 2017' through 'Balance at 31 July 2018' reflect the company's pre-Allica name and trading identity, 'Civilised Bank Limited' (FRS 102 basis, £ as reported, converted to £m); it returned its banking licence to the PRA in May 2018 and had nil turnover throughout. 'Balance at 31 July 2018' to 'Balance at 31 December 2019' is a single 17-month period (the accounting reference date changed from 31 July to 31 December during it) under the renamed 'Allica Bank Limited' (IFRS basis from this point on); the company was granted its banking licence on 5 September 2019 but had made no loans and taken no deposits by the period end. 'Perpetual notes (including convertible)' only appears from the 31 December 2021 balance onward (first issued during FY2021).</t>
        </is>
      </c>
    </row>
  </sheetData>
  <mergeCells count="1">
    <mergeCell ref="A60:G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Consolidated Statement of Cash Flows</t>
        </is>
      </c>
    </row>
    <row r="2">
      <c r="A2" s="2" t="inlineStr">
        <is>
          <t>Allica Bank Limited Group (consolidated basis), £m unless stated</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row>
    <row r="4">
      <c r="A4" s="5" t="inlineStr">
        <is>
          <t>Reconciliation of profit before tax to net cash flows from operating activities</t>
        </is>
      </c>
      <c r="B4" s="6" t="n"/>
      <c r="C4" s="6" t="n"/>
      <c r="D4" s="6" t="n"/>
      <c r="E4" s="6" t="n"/>
      <c r="F4" s="6" t="n"/>
      <c r="G4" s="6" t="n"/>
    </row>
    <row r="5">
      <c r="A5" s="6" t="inlineStr">
        <is>
          <t>Profit/(loss) before tax</t>
        </is>
      </c>
      <c r="B5" s="6" t="n">
        <v>36.9</v>
      </c>
      <c r="C5" s="6" t="n">
        <v>29.9</v>
      </c>
      <c r="D5" s="6" t="n">
        <v>16.091</v>
      </c>
      <c r="E5" s="6" t="n">
        <v>-1.587</v>
      </c>
      <c r="F5" s="6" t="n">
        <v>-25.058</v>
      </c>
      <c r="G5" s="6" t="n">
        <v>-21.714</v>
      </c>
    </row>
    <row r="6">
      <c r="A6" s="6" t="inlineStr">
        <is>
          <t>Depreciation</t>
        </is>
      </c>
      <c r="B6" s="6" t="n">
        <v>1.5</v>
      </c>
      <c r="C6" s="6" t="n">
        <v>1</v>
      </c>
      <c r="D6" s="6" t="n">
        <v>0.849</v>
      </c>
      <c r="E6" s="6" t="n">
        <v>0.491</v>
      </c>
      <c r="F6" s="6" t="n">
        <v>0.312</v>
      </c>
      <c r="G6" s="6" t="n">
        <v>0.305</v>
      </c>
    </row>
    <row r="7">
      <c r="A7" s="6" t="inlineStr">
        <is>
          <t>Amortisation</t>
        </is>
      </c>
      <c r="B7" s="6" t="n">
        <v>9.4</v>
      </c>
      <c r="C7" s="6" t="n">
        <v>5.3</v>
      </c>
      <c r="D7" s="6" t="n">
        <v>3.606</v>
      </c>
      <c r="E7" s="6" t="n">
        <v>2.846</v>
      </c>
      <c r="F7" s="6" t="n">
        <v>2.421</v>
      </c>
      <c r="G7" s="6" t="n">
        <v>1.777</v>
      </c>
    </row>
    <row r="8">
      <c r="A8" s="6" t="inlineStr">
        <is>
          <t>Loss on disposal/write-off of fixed assets</t>
        </is>
      </c>
      <c r="B8" s="6" t="n"/>
      <c r="C8" s="6" t="n"/>
      <c r="D8" s="6" t="n">
        <v>0.028</v>
      </c>
      <c r="E8" s="6" t="n">
        <v>0.059</v>
      </c>
      <c r="F8" s="6" t="n">
        <v>0</v>
      </c>
      <c r="G8" s="6" t="n"/>
    </row>
    <row r="9">
      <c r="A9" s="6" t="inlineStr">
        <is>
          <t>Loss on write-off of intangible assets</t>
        </is>
      </c>
      <c r="B9" s="6" t="n"/>
      <c r="C9" s="6" t="n"/>
      <c r="D9" s="6" t="n">
        <v>0.9389999999999999</v>
      </c>
      <c r="E9" s="6" t="n">
        <v>0</v>
      </c>
      <c r="F9" s="6" t="n">
        <v>6.712</v>
      </c>
      <c r="G9" s="6" t="n">
        <v>0.016</v>
      </c>
    </row>
    <row r="10">
      <c r="A10" s="6" t="inlineStr">
        <is>
          <t>Net fair value (losses)/gains on derivatives</t>
        </is>
      </c>
      <c r="B10" s="6" t="n">
        <v>0</v>
      </c>
      <c r="C10" s="6" t="n">
        <v>0</v>
      </c>
      <c r="D10" s="6" t="n">
        <v>-0.146</v>
      </c>
      <c r="E10" s="6" t="n">
        <v>0.017</v>
      </c>
      <c r="F10" s="6" t="n">
        <v>0.147</v>
      </c>
      <c r="G10" s="6" t="n"/>
    </row>
    <row r="11">
      <c r="A11" s="6" t="inlineStr">
        <is>
          <t>Share-based payment charge</t>
        </is>
      </c>
      <c r="B11" s="6" t="n"/>
      <c r="C11" s="6" t="n"/>
      <c r="D11" s="6" t="n">
        <v>0</v>
      </c>
      <c r="E11" s="6" t="n">
        <v>0.288</v>
      </c>
      <c r="F11" s="6" t="n">
        <v>0.113</v>
      </c>
      <c r="G11" s="6" t="n"/>
    </row>
    <row r="12">
      <c r="A12" s="6" t="inlineStr">
        <is>
          <t>Impairment losses</t>
        </is>
      </c>
      <c r="B12" s="6" t="n">
        <v>13.3</v>
      </c>
      <c r="C12" s="6" t="n">
        <v>10.7</v>
      </c>
      <c r="D12" s="6" t="n">
        <v>14.279</v>
      </c>
      <c r="E12" s="6" t="n">
        <v>8.417</v>
      </c>
      <c r="F12" s="6" t="n">
        <v>1.077</v>
      </c>
      <c r="G12" s="6" t="n">
        <v>0.068</v>
      </c>
    </row>
    <row r="13">
      <c r="A13" s="6" t="inlineStr">
        <is>
          <t>Interest income accrued (non-cash reversal)</t>
        </is>
      </c>
      <c r="B13" s="6" t="n">
        <v>-17.2</v>
      </c>
      <c r="C13" s="6" t="n">
        <v>-14.7</v>
      </c>
      <c r="D13" s="6" t="n">
        <v>-177.843</v>
      </c>
      <c r="E13" s="6" t="n">
        <v>-72.252</v>
      </c>
      <c r="F13" s="6" t="n">
        <v>-11.494</v>
      </c>
      <c r="G13" s="6" t="n">
        <v>-0.739</v>
      </c>
    </row>
    <row r="14">
      <c r="A14" s="6" t="inlineStr">
        <is>
          <t>Interest expense accrued (non-cash reversal)</t>
        </is>
      </c>
      <c r="B14" s="6" t="n">
        <v>-9.9</v>
      </c>
      <c r="C14" s="6" t="n">
        <v>19.1</v>
      </c>
      <c r="D14" s="6" t="n">
        <v>97.813</v>
      </c>
      <c r="E14" s="6" t="n">
        <v>23.358</v>
      </c>
      <c r="F14" s="6" t="n">
        <v>3.67</v>
      </c>
      <c r="G14" s="6" t="n">
        <v>0.516</v>
      </c>
    </row>
    <row r="15">
      <c r="A15" s="6" t="inlineStr">
        <is>
          <t>Other non-cash items</t>
        </is>
      </c>
      <c r="B15" s="6" t="n">
        <v>6.6</v>
      </c>
      <c r="C15" s="6" t="n">
        <v>0</v>
      </c>
      <c r="D15" s="6" t="n"/>
      <c r="E15" s="6" t="n"/>
      <c r="F15" s="6" t="n"/>
      <c r="G15" s="6" t="n">
        <v>0.03</v>
      </c>
    </row>
    <row r="16">
      <c r="A16" s="5" t="inlineStr">
        <is>
          <t>Changes in operating assets and liabilities</t>
        </is>
      </c>
      <c r="B16" s="6" t="n"/>
      <c r="C16" s="6" t="n"/>
      <c r="D16" s="6" t="n"/>
      <c r="E16" s="6" t="n"/>
      <c r="F16" s="6" t="n"/>
      <c r="G16" s="6" t="n"/>
    </row>
    <row r="17">
      <c r="A17" s="6" t="inlineStr">
        <is>
          <t>Net change in balances at central banks</t>
        </is>
      </c>
      <c r="B17" s="6" t="n">
        <v>-0.1</v>
      </c>
      <c r="C17" s="6" t="n">
        <v>6.7</v>
      </c>
      <c r="D17" s="6" t="n">
        <v>-6.106</v>
      </c>
      <c r="E17" s="6" t="n">
        <v>-2.87</v>
      </c>
      <c r="F17" s="6" t="n">
        <v>0</v>
      </c>
      <c r="G17" s="6" t="n"/>
    </row>
    <row r="18">
      <c r="A18" s="6" t="inlineStr">
        <is>
          <t>Net change in loans and advances to banks</t>
        </is>
      </c>
      <c r="B18" s="6" t="n">
        <v>3.6</v>
      </c>
      <c r="C18" s="6" t="n">
        <v>41.7</v>
      </c>
      <c r="D18" s="6" t="n">
        <v>-16.762</v>
      </c>
      <c r="E18" s="6" t="n">
        <v>-28.527</v>
      </c>
      <c r="F18" s="6" t="n">
        <v>0</v>
      </c>
      <c r="G18" s="6" t="n"/>
    </row>
    <row r="19">
      <c r="A19" s="6" t="inlineStr">
        <is>
          <t>Net change in loans and advances to customers</t>
        </is>
      </c>
      <c r="B19" s="6" t="n">
        <v>-651.3</v>
      </c>
      <c r="C19" s="6" t="n">
        <v>-1007.9</v>
      </c>
      <c r="D19" s="6" t="n">
        <v>-618.9640000000001</v>
      </c>
      <c r="E19" s="6" t="n">
        <v>-795.711</v>
      </c>
      <c r="F19" s="6" t="n">
        <v>-520.942</v>
      </c>
      <c r="G19" s="6" t="n">
        <v>-45.509</v>
      </c>
    </row>
    <row r="20">
      <c r="A20" s="6" t="inlineStr">
        <is>
          <t>Net change in deposits from banks</t>
        </is>
      </c>
      <c r="B20" s="6" t="n">
        <v>-16.5</v>
      </c>
      <c r="C20" s="6" t="n">
        <v>13.4</v>
      </c>
      <c r="D20" s="6" t="n"/>
      <c r="E20" s="6" t="n"/>
      <c r="F20" s="6" t="n"/>
      <c r="G20" s="6" t="n"/>
    </row>
    <row r="21">
      <c r="A21" s="6" t="inlineStr">
        <is>
          <t>Net change in deposits from customers</t>
        </is>
      </c>
      <c r="B21" s="6" t="n">
        <v>1301.1</v>
      </c>
      <c r="C21" s="6" t="n">
        <v>1778.5</v>
      </c>
      <c r="D21" s="6" t="n">
        <v>1101.86</v>
      </c>
      <c r="E21" s="6" t="n">
        <v>657.114</v>
      </c>
      <c r="F21" s="6" t="n">
        <v>740.0170000000001</v>
      </c>
      <c r="G21" s="6" t="n">
        <v>103.995</v>
      </c>
    </row>
    <row r="22">
      <c r="A22" s="6" t="inlineStr">
        <is>
          <t>Net change in cash collateral</t>
        </is>
      </c>
      <c r="B22" s="6" t="n"/>
      <c r="C22" s="6" t="n"/>
      <c r="D22" s="6" t="n">
        <v>-20.029</v>
      </c>
      <c r="E22" s="6" t="n">
        <v>23.514</v>
      </c>
      <c r="F22" s="6" t="n">
        <v>0</v>
      </c>
      <c r="G22" s="6" t="n"/>
    </row>
    <row r="23">
      <c r="A23" s="6" t="inlineStr">
        <is>
          <t>Net change in derivatives (balance sheet)</t>
        </is>
      </c>
      <c r="B23" s="6" t="n"/>
      <c r="C23" s="6" t="n"/>
      <c r="D23" s="6" t="n"/>
      <c r="E23" s="6" t="n">
        <v>0</v>
      </c>
      <c r="F23" s="6" t="n">
        <v>0.806</v>
      </c>
      <c r="G23" s="6" t="n"/>
    </row>
    <row r="24">
      <c r="A24" s="6" t="inlineStr">
        <is>
          <t>Net change in trade and other debtors</t>
        </is>
      </c>
      <c r="B24" s="6" t="n">
        <v>-2.5</v>
      </c>
      <c r="C24" s="6" t="n">
        <v>-2.8</v>
      </c>
      <c r="D24" s="6" t="n">
        <v>2.447</v>
      </c>
      <c r="E24" s="6" t="n">
        <v>13.89</v>
      </c>
      <c r="F24" s="6" t="n">
        <v>-20.758</v>
      </c>
      <c r="G24" s="6" t="n">
        <v>-0.752</v>
      </c>
    </row>
    <row r="25">
      <c r="A25" s="6" t="inlineStr">
        <is>
          <t>Net change in trade and other creditors</t>
        </is>
      </c>
      <c r="B25" s="6" t="n">
        <v>-1.6</v>
      </c>
      <c r="C25" s="6" t="n">
        <v>6.6</v>
      </c>
      <c r="D25" s="6" t="n">
        <v>2.034</v>
      </c>
      <c r="E25" s="6" t="n">
        <v>2.715</v>
      </c>
      <c r="F25" s="6" t="n">
        <v>2.364</v>
      </c>
      <c r="G25" s="6" t="n">
        <v>1.433</v>
      </c>
    </row>
    <row r="26">
      <c r="A26" s="6" t="inlineStr">
        <is>
          <t>Net change in provisions</t>
        </is>
      </c>
      <c r="B26" s="6" t="n"/>
      <c r="C26" s="6" t="n"/>
      <c r="D26" s="6" t="n"/>
      <c r="E26" s="6" t="n">
        <v>0</v>
      </c>
      <c r="F26" s="6" t="n">
        <v>-0.024</v>
      </c>
      <c r="G26" s="6" t="n">
        <v>-0.165</v>
      </c>
    </row>
    <row r="27">
      <c r="A27" s="6" t="inlineStr">
        <is>
          <t>Interest income received (cash)</t>
        </is>
      </c>
      <c r="B27" s="6" t="n"/>
      <c r="C27" s="6" t="n"/>
      <c r="D27" s="6" t="n">
        <v>158.027</v>
      </c>
      <c r="E27" s="6" t="n">
        <v>71.813</v>
      </c>
      <c r="F27" s="6" t="n">
        <v>10.361</v>
      </c>
      <c r="G27" s="6" t="n">
        <v>1.168</v>
      </c>
    </row>
    <row r="28">
      <c r="A28" s="6" t="inlineStr">
        <is>
          <t>Interest expense paid (cash)</t>
        </is>
      </c>
      <c r="B28" s="6" t="n"/>
      <c r="C28" s="6" t="n"/>
      <c r="D28" s="6" t="n">
        <v>-76.617</v>
      </c>
      <c r="E28" s="6" t="n">
        <v>-17.118</v>
      </c>
      <c r="F28" s="6" t="n">
        <v>-2.217</v>
      </c>
      <c r="G28" s="6" t="n">
        <v>-0.25</v>
      </c>
    </row>
    <row r="29">
      <c r="A29" s="6" t="inlineStr">
        <is>
          <t>Tax paid</t>
        </is>
      </c>
      <c r="B29" s="6" t="n">
        <v>-3.7</v>
      </c>
      <c r="C29" s="6" t="n">
        <v>-3.4</v>
      </c>
      <c r="D29" s="6" t="n">
        <v>-1.024</v>
      </c>
      <c r="E29" s="6" t="n">
        <v>0</v>
      </c>
      <c r="F29" s="6" t="n">
        <v>0</v>
      </c>
      <c r="G29" s="6" t="n"/>
    </row>
    <row r="30">
      <c r="A30" s="5" t="inlineStr">
        <is>
          <t>Net cash from/(used in) operating activities</t>
        </is>
      </c>
      <c r="B30" s="5" t="n">
        <v>669.6</v>
      </c>
      <c r="C30" s="5" t="n">
        <v>884.1</v>
      </c>
      <c r="D30" s="5" t="n">
        <v>480.482</v>
      </c>
      <c r="E30" s="5" t="n">
        <v>-113.543</v>
      </c>
      <c r="F30" s="5" t="n">
        <v>187.507</v>
      </c>
      <c r="G30" s="5" t="n">
        <v>40.179</v>
      </c>
    </row>
    <row r="31">
      <c r="A31" s="5" t="inlineStr">
        <is>
          <t>Investing activities</t>
        </is>
      </c>
      <c r="B31" s="6" t="n"/>
      <c r="C31" s="6" t="n"/>
      <c r="D31" s="6" t="n"/>
      <c r="E31" s="6" t="n"/>
      <c r="F31" s="6" t="n"/>
      <c r="G31" s="6" t="n"/>
    </row>
    <row r="32">
      <c r="A32" s="6" t="inlineStr">
        <is>
          <t>Purchase of debt securities</t>
        </is>
      </c>
      <c r="B32" s="6" t="n">
        <v>-1391.5</v>
      </c>
      <c r="C32" s="6" t="n">
        <v>-577</v>
      </c>
      <c r="D32" s="6" t="n">
        <v>-49.641</v>
      </c>
      <c r="E32" s="6" t="n">
        <v>-25.737</v>
      </c>
      <c r="F32" s="6" t="n">
        <v>-40.41</v>
      </c>
      <c r="G32" s="6" t="n">
        <v>0</v>
      </c>
    </row>
    <row r="33">
      <c r="A33" s="6" t="inlineStr">
        <is>
          <t>Proceeds from sale and maturity of debt securities</t>
        </is>
      </c>
      <c r="B33" s="6" t="n">
        <v>554.4</v>
      </c>
      <c r="C33" s="6" t="n">
        <v>402.2</v>
      </c>
      <c r="D33" s="6" t="n"/>
      <c r="E33" s="6" t="n"/>
      <c r="F33" s="6" t="n"/>
      <c r="G33" s="6" t="n">
        <v>29.44</v>
      </c>
    </row>
    <row r="34">
      <c r="A34" s="6" t="inlineStr">
        <is>
          <t>Purchase of investments</t>
        </is>
      </c>
      <c r="B34" s="6" t="n"/>
      <c r="C34" s="6" t="n"/>
      <c r="D34" s="6" t="n">
        <v>0</v>
      </c>
      <c r="E34" s="6" t="n">
        <v>-1</v>
      </c>
      <c r="F34" s="6" t="n">
        <v>0</v>
      </c>
      <c r="G34" s="6" t="n"/>
    </row>
    <row r="35">
      <c r="A35" s="6" t="inlineStr">
        <is>
          <t>Acquisition of a subsidiary, net of cash acquired</t>
        </is>
      </c>
      <c r="B35" s="6" t="n">
        <v>8</v>
      </c>
      <c r="C35" s="6" t="n">
        <v>-6.1</v>
      </c>
      <c r="D35" s="6" t="n"/>
      <c r="E35" s="6" t="n"/>
      <c r="F35" s="6" t="n"/>
      <c r="G35" s="6" t="n"/>
    </row>
    <row r="36">
      <c r="A36" s="6" t="inlineStr">
        <is>
          <t>Purchase of property, plant and equipment</t>
        </is>
      </c>
      <c r="B36" s="6" t="n">
        <v>-0.9</v>
      </c>
      <c r="C36" s="6" t="n">
        <v>-0.8</v>
      </c>
      <c r="D36" s="6" t="n">
        <v>-0.5679999999999999</v>
      </c>
      <c r="E36" s="6" t="n">
        <v>-0.613</v>
      </c>
      <c r="F36" s="6" t="n">
        <v>-0.154</v>
      </c>
      <c r="G36" s="6" t="n">
        <v>-0.125</v>
      </c>
    </row>
    <row r="37">
      <c r="A37" s="6" t="inlineStr">
        <is>
          <t>Purchase and development of intangible assets</t>
        </is>
      </c>
      <c r="B37" s="6" t="n">
        <v>-11.7</v>
      </c>
      <c r="C37" s="6" t="n">
        <v>-12.3</v>
      </c>
      <c r="D37" s="6" t="n">
        <v>-10.114</v>
      </c>
      <c r="E37" s="6" t="n">
        <v>-7.525</v>
      </c>
      <c r="F37" s="6" t="n">
        <v>-3.219</v>
      </c>
      <c r="G37" s="6" t="n">
        <v>-5.39</v>
      </c>
    </row>
    <row r="38">
      <c r="A38" s="5" t="inlineStr">
        <is>
          <t>Net cash from/(used in) investing activities</t>
        </is>
      </c>
      <c r="B38" s="5" t="n">
        <v>-841.7</v>
      </c>
      <c r="C38" s="5" t="n">
        <v>-194</v>
      </c>
      <c r="D38" s="5" t="n">
        <v>-60.323</v>
      </c>
      <c r="E38" s="5" t="n">
        <v>-34.875</v>
      </c>
      <c r="F38" s="5" t="n">
        <v>-43.783</v>
      </c>
      <c r="G38" s="5" t="n">
        <v>23.925</v>
      </c>
    </row>
    <row r="39">
      <c r="A39" s="5" t="inlineStr">
        <is>
          <t>Financing activities</t>
        </is>
      </c>
      <c r="B39" s="6" t="n"/>
      <c r="C39" s="6" t="n"/>
      <c r="D39" s="6" t="n"/>
      <c r="E39" s="6" t="n"/>
      <c r="F39" s="6" t="n"/>
      <c r="G39" s="6" t="n"/>
    </row>
    <row r="40">
      <c r="A40" s="6" t="inlineStr">
        <is>
          <t>Proceeds from issue of ordinary shares</t>
        </is>
      </c>
      <c r="B40" s="6" t="n">
        <v>35</v>
      </c>
      <c r="C40" s="6" t="n">
        <v>17.6</v>
      </c>
      <c r="D40" s="6" t="n">
        <v>34.494</v>
      </c>
      <c r="E40" s="6" t="n">
        <v>98.98099999999999</v>
      </c>
      <c r="F40" s="6" t="n">
        <v>40.801</v>
      </c>
      <c r="G40" s="6" t="n">
        <v>36.542</v>
      </c>
    </row>
    <row r="41">
      <c r="A41" s="6" t="inlineStr">
        <is>
          <t>Issue of subordinated debt</t>
        </is>
      </c>
      <c r="B41" s="6" t="n"/>
      <c r="C41" s="6" t="n">
        <v>30</v>
      </c>
      <c r="D41" s="6" t="n"/>
      <c r="E41" s="6" t="n"/>
      <c r="F41" s="6" t="n">
        <v>7.5</v>
      </c>
      <c r="G41" s="6" t="n"/>
    </row>
    <row r="42">
      <c r="A42" s="6" t="inlineStr">
        <is>
          <t>Issue of credit-linked notes</t>
        </is>
      </c>
      <c r="B42" s="6" t="n"/>
      <c r="C42" s="6" t="n">
        <v>50</v>
      </c>
      <c r="D42" s="6" t="n"/>
      <c r="E42" s="6" t="n"/>
      <c r="F42" s="6" t="n"/>
      <c r="G42" s="6" t="n"/>
    </row>
    <row r="43">
      <c r="A43" s="6" t="inlineStr">
        <is>
          <t>Payment of principal on credit-linked notes</t>
        </is>
      </c>
      <c r="B43" s="6" t="n">
        <v>-46.1</v>
      </c>
      <c r="C43" s="6" t="n">
        <v>-3.9</v>
      </c>
      <c r="D43" s="6" t="n"/>
      <c r="E43" s="6" t="n"/>
      <c r="F43" s="6" t="n"/>
      <c r="G43" s="6" t="n"/>
    </row>
    <row r="44">
      <c r="A44" s="6" t="inlineStr">
        <is>
          <t>Coupon paid on capital securities</t>
        </is>
      </c>
      <c r="B44" s="6" t="n">
        <v>-6.9</v>
      </c>
      <c r="C44" s="6" t="n"/>
      <c r="D44" s="6" t="n"/>
      <c r="E44" s="6" t="n"/>
      <c r="F44" s="6" t="n"/>
      <c r="G44" s="6" t="n"/>
    </row>
    <row r="45">
      <c r="A45" s="6" t="inlineStr">
        <is>
          <t>Issue of perpetual notes (including convertible)</t>
        </is>
      </c>
      <c r="B45" s="6" t="n"/>
      <c r="C45" s="6" t="n">
        <v>35</v>
      </c>
      <c r="D45" s="6" t="n">
        <v>35.241</v>
      </c>
      <c r="E45" s="6" t="n"/>
      <c r="F45" s="6" t="n">
        <v>17.5</v>
      </c>
      <c r="G45" s="6" t="n"/>
    </row>
    <row r="46">
      <c r="A46" s="6" t="inlineStr">
        <is>
          <t>Capital repayment of lease liabilities</t>
        </is>
      </c>
      <c r="B46" s="6" t="n">
        <v>-0.8</v>
      </c>
      <c r="C46" s="6" t="n">
        <v>-0.5</v>
      </c>
      <c r="D46" s="6" t="n">
        <v>-0.437</v>
      </c>
      <c r="E46" s="6" t="n">
        <v>-0.298</v>
      </c>
      <c r="F46" s="6" t="n">
        <v>-0.207</v>
      </c>
      <c r="G46" s="6" t="n">
        <v>-0.199</v>
      </c>
    </row>
    <row r="47">
      <c r="A47" s="6" t="inlineStr">
        <is>
          <t>Repayment of external debt</t>
        </is>
      </c>
      <c r="B47" s="6" t="n">
        <v>-19.3</v>
      </c>
      <c r="C47" s="6" t="n">
        <v>-73.8</v>
      </c>
      <c r="D47" s="6" t="n"/>
      <c r="E47" s="6" t="n"/>
      <c r="F47" s="6" t="n"/>
      <c r="G47" s="6" t="n">
        <v>0</v>
      </c>
    </row>
    <row r="48">
      <c r="A48" s="5" t="inlineStr">
        <is>
          <t>Net cash from/(used in) financing activities</t>
        </is>
      </c>
      <c r="B48" s="5" t="n">
        <v>-38.1</v>
      </c>
      <c r="C48" s="5" t="n">
        <v>54.4</v>
      </c>
      <c r="D48" s="5" t="n">
        <v>69.298</v>
      </c>
      <c r="E48" s="5" t="n">
        <v>98.68300000000001</v>
      </c>
      <c r="F48" s="5" t="n">
        <v>65.59399999999999</v>
      </c>
      <c r="G48" s="5" t="n">
        <v>36.343</v>
      </c>
    </row>
    <row r="49">
      <c r="A49" s="6" t="inlineStr">
        <is>
          <t>Effect of exchange rates on cash and cash equivalents</t>
        </is>
      </c>
      <c r="B49" s="6" t="n">
        <v>-0.1</v>
      </c>
      <c r="C49" s="6" t="n">
        <v>0</v>
      </c>
      <c r="D49" s="6" t="n"/>
      <c r="E49" s="6" t="n"/>
      <c r="F49" s="6" t="n"/>
      <c r="G49" s="6" t="n"/>
    </row>
    <row r="50">
      <c r="A50" s="5" t="inlineStr">
        <is>
          <t>Net increase/(decrease) in cash and cash equivalents</t>
        </is>
      </c>
      <c r="B50" s="5" t="n">
        <v>-210.3</v>
      </c>
      <c r="C50" s="5" t="n">
        <v>744.5</v>
      </c>
      <c r="D50" s="5" t="n">
        <v>489.457</v>
      </c>
      <c r="E50" s="5" t="n">
        <v>-49.735</v>
      </c>
      <c r="F50" s="5" t="n">
        <v>209.318</v>
      </c>
      <c r="G50" s="5" t="n">
        <v>100.447</v>
      </c>
    </row>
    <row r="51">
      <c r="A51" s="6" t="inlineStr">
        <is>
          <t>Cash and cash equivalents at beginning of year</t>
        </is>
      </c>
      <c r="B51" s="6" t="n">
        <v>1496.8</v>
      </c>
      <c r="C51" s="6" t="n">
        <v>752.303</v>
      </c>
      <c r="D51" s="6" t="n">
        <v>262.846</v>
      </c>
      <c r="E51" s="6" t="n">
        <v>312.581</v>
      </c>
      <c r="F51" s="6" t="n">
        <v>103.263</v>
      </c>
      <c r="G51" s="6" t="n">
        <v>2.816</v>
      </c>
    </row>
    <row r="52">
      <c r="A52" s="5" t="inlineStr">
        <is>
          <t>Cash and cash equivalents at end of year</t>
        </is>
      </c>
      <c r="B52" s="5" t="n">
        <v>1286.5</v>
      </c>
      <c r="C52" s="5" t="n">
        <v>1496.8</v>
      </c>
      <c r="D52" s="5" t="n">
        <v>752.303</v>
      </c>
      <c r="E52" s="5" t="n">
        <v>262.846</v>
      </c>
      <c r="F52" s="5" t="n">
        <v>312.581</v>
      </c>
      <c r="G52" s="5" t="n">
        <v>103.263</v>
      </c>
    </row>
    <row r="53">
      <c r="A53" s="5" t="inlineStr">
        <is>
          <t>Cash and cash equivalents at end of year comprise</t>
        </is>
      </c>
      <c r="B53" s="6" t="n"/>
      <c r="C53" s="6" t="n"/>
      <c r="D53" s="6" t="n"/>
      <c r="E53" s="6" t="n"/>
      <c r="F53" s="6" t="n"/>
      <c r="G53" s="6" t="n"/>
    </row>
    <row r="54">
      <c r="A54" s="6" t="inlineStr">
        <is>
          <t>Cash and balances at central banks</t>
        </is>
      </c>
      <c r="B54" s="6" t="n">
        <v>1102.7</v>
      </c>
      <c r="C54" s="6" t="n">
        <v>1375.8</v>
      </c>
      <c r="D54" s="6" t="n">
        <v>709.829</v>
      </c>
      <c r="E54" s="6" t="n">
        <v>227.28</v>
      </c>
      <c r="F54" s="6" t="n">
        <v>295.291</v>
      </c>
      <c r="G54" s="6" t="n">
        <v>92.925</v>
      </c>
    </row>
    <row r="55">
      <c r="A55" s="6" t="inlineStr">
        <is>
          <t>Loans and advances to banks</t>
        </is>
      </c>
      <c r="B55" s="6" t="n">
        <v>183.8</v>
      </c>
      <c r="C55" s="6" t="n">
        <v>121</v>
      </c>
      <c r="D55" s="6" t="n">
        <v>42.474</v>
      </c>
      <c r="E55" s="6" t="n">
        <v>35.566</v>
      </c>
      <c r="F55" s="6" t="n">
        <v>17.29</v>
      </c>
      <c r="G55" s="6" t="n">
        <v>10.338</v>
      </c>
    </row>
    <row r="56">
      <c r="A56" s="5" t="inlineStr">
        <is>
          <t>Cash and cash equivalents at end of year</t>
        </is>
      </c>
      <c r="B56" s="5" t="n">
        <v>1286.5</v>
      </c>
      <c r="C56" s="5" t="n">
        <v>1496.8</v>
      </c>
      <c r="D56" s="5" t="n">
        <v>752.303</v>
      </c>
      <c r="E56" s="5" t="n">
        <v>262.846</v>
      </c>
      <c r="F56" s="5" t="n">
        <v>312.581</v>
      </c>
      <c r="G56" s="5" t="n">
        <v>103.263</v>
      </c>
    </row>
    <row r="58" ht="221" customHeight="1">
      <c r="A58" s="8" t="inlineStr">
        <is>
          <t>Sources — all figures are Allica Bank Limited consolidated (Group) cash flow statement, £m:
FY2025 &amp; FY2024: Allica Bank Limited Annual Report &amp; Accounts 2025, p.92-93 (Statement of cash flows) — https://www.allica.bank/hubfs/pdf/allica-bank_annual-report-2025.pdf
FY2023 &amp; FY2022: Allica Bank Limited Annual Report and Accounts 2023, p.76-77 &amp; Note 32 p.130-131 (Statements of cash flows / Note 32: Cash flow information) — https://www.allica.bank/hubfs/Allica-Bank_Annual-report_2023.pdf
FY2021: Allica Bank Limited Annual Report and Accounts 2022, p.85 &amp; Note 32 p.139 (Statements of cash flows / Note 32: Cash flow information) — https://www.allica.bank/hubfs/pdf/web/investor-relations/Allica_Bank-Annual_Report-2022.pdf
FY2020: Allica Bank Limited Consolidated Financial Statements for the year ended 31 December 2020, p.25 (Statement of cash flows) &amp; Note 30 p.54-55 (Cash flow information) — https://find-and-update.company-information.service.gov.uk/company/07706156/filing-history/MzMxMTI2MDM1MWFkaXF6a2N4/document?format=pdf — Allica Bank Limited consolidated financial statements for the year ended 31 December 2020, filed with Companies House (registered number 07706156) 27 August 2021
Note: Allica changed cash flow statement presentation across report vintages. FY2021-FY2023 reports show a Note 32 reconciliation (profit before tax + non-cash adjustments + working capital changes = 'Cash generated from operations') and then add actual cash 'Interest income received'/'Interest expense paid' on the face of the primary statement to reach 'Net cash from operating activities'. FY2024-FY2025 reports show the full reconciliation (including accrued-interest reversal lines) directly on the face of the statement with no separate interest-received/paid lines, reaching 'Net cash from operating activities' via 'Tax paid' alone. Blank cells indicate a line not separately disclosed that year under the applicable presentation; the operating/investing/financing/net-change/cash-at-year-end TOTAL rows are all consistent and comparable across all years (independently cross-checked by hand against each year's underlying line items). FY2024-FY2025 also newly disclose 'Acquisition of a subsidiary, net of cash acquired' and a foreign-exchange translation line, both nil/absent in FY2020-FY2023 (Allica had no foreign operations in that earlier period). FY2020's Note 30 reconciliation bundles several small non-cash items (interest on lease liability, net FX differences) into this sheet's 'Other non-cash items' row rather than the finer split used from FY2021 onward; 'Interest income received (cash)' / 'Interest expense paid (cash)' for FY2020 are the primary statement's combined 'Interest received'/'Interest paid' lines. See HISTORICAL_DEPTH_NOTE below this block in the script for why FY2019/FY2018 are not included.</t>
        </is>
      </c>
    </row>
  </sheetData>
  <mergeCells count="1">
    <mergeCell ref="A58:G5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Asset Quality / Credit Risk Disclosures</t>
        </is>
      </c>
    </row>
    <row r="2">
      <c r="A2" s="2" t="inlineStr">
        <is>
          <t>Allica Bank Limited Group (consolidated basis),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Gross loans and advances to customers, by category</t>
        </is>
      </c>
      <c r="B4" s="6" t="n"/>
      <c r="C4" s="6" t="n"/>
      <c r="D4" s="6" t="n"/>
      <c r="E4" s="6" t="n"/>
      <c r="F4" s="6" t="n"/>
      <c r="G4" s="6" t="n"/>
    </row>
    <row r="5">
      <c r="A5" s="6" t="inlineStr">
        <is>
          <t>Loans secured on property</t>
        </is>
      </c>
      <c r="B5" s="6" t="n">
        <v>2875500</v>
      </c>
      <c r="C5" s="6" t="n">
        <v>2214200</v>
      </c>
      <c r="D5" s="6" t="n"/>
      <c r="E5" s="6" t="n"/>
      <c r="F5" s="6" t="n"/>
      <c r="G5" s="6" t="n"/>
    </row>
    <row r="6">
      <c r="A6" s="6" t="inlineStr">
        <is>
          <t>Other loans and advances</t>
        </is>
      </c>
      <c r="B6" s="6" t="n">
        <v>926600</v>
      </c>
      <c r="C6" s="6" t="n">
        <v>886200</v>
      </c>
      <c r="D6" s="6" t="n"/>
      <c r="E6" s="6" t="n"/>
      <c r="F6" s="6" t="n"/>
      <c r="G6" s="6" t="n"/>
    </row>
    <row r="7">
      <c r="A7" s="5" t="inlineStr">
        <is>
          <t>Total gross exposure (by category)</t>
        </is>
      </c>
      <c r="B7" s="5" t="n">
        <v>3802100</v>
      </c>
      <c r="C7" s="5" t="n">
        <v>3100400</v>
      </c>
      <c r="D7" s="5" t="n"/>
      <c r="E7" s="5" t="n"/>
      <c r="F7" s="5" t="n"/>
      <c r="G7" s="5" t="n"/>
    </row>
    <row r="8">
      <c r="A8" s="5" t="inlineStr">
        <is>
          <t>Gross loans and advances to customers, by IFRS 9 stage</t>
        </is>
      </c>
      <c r="B8" s="6" t="n"/>
      <c r="C8" s="6" t="n"/>
      <c r="D8" s="6" t="n"/>
      <c r="E8" s="6" t="n"/>
      <c r="F8" s="6" t="n"/>
      <c r="G8" s="6" t="n"/>
    </row>
    <row r="9">
      <c r="A9" s="6" t="inlineStr">
        <is>
          <t>Stage 1 (performing)</t>
        </is>
      </c>
      <c r="B9" s="6" t="n">
        <v>3308500</v>
      </c>
      <c r="C9" s="6" t="n">
        <v>2710100</v>
      </c>
      <c r="D9" s="6" t="n">
        <v>1797745</v>
      </c>
      <c r="E9" s="6" t="n">
        <v>1277413</v>
      </c>
      <c r="F9" s="6" t="n">
        <v>571487</v>
      </c>
      <c r="G9" s="6" t="n">
        <v>44585</v>
      </c>
    </row>
    <row r="10">
      <c r="A10" s="6" t="inlineStr">
        <is>
          <t>Stage 2 (underperforming)</t>
        </is>
      </c>
      <c r="B10" s="6" t="n">
        <v>387100</v>
      </c>
      <c r="C10" s="6" t="n">
        <v>308600</v>
      </c>
      <c r="D10" s="6" t="n">
        <v>171791</v>
      </c>
      <c r="E10" s="6" t="n">
        <v>86511</v>
      </c>
      <c r="F10" s="6" t="n">
        <v>4426</v>
      </c>
      <c r="G10" s="6" t="n"/>
    </row>
    <row r="11">
      <c r="A11" s="6" t="inlineStr">
        <is>
          <t>Stage 3 (credit-impaired)</t>
        </is>
      </c>
      <c r="B11" s="6" t="n">
        <v>100200</v>
      </c>
      <c r="C11" s="6" t="n">
        <v>59500</v>
      </c>
      <c r="D11" s="6" t="n">
        <v>30093</v>
      </c>
      <c r="E11" s="6" t="n">
        <v>9188</v>
      </c>
      <c r="F11" s="6" t="n">
        <v>1360</v>
      </c>
      <c r="G11" s="6" t="n">
        <v>495</v>
      </c>
    </row>
    <row r="12">
      <c r="A12" s="6" t="inlineStr">
        <is>
          <t>POCI</t>
        </is>
      </c>
      <c r="B12" s="6" t="n">
        <v>6300</v>
      </c>
      <c r="C12" s="6" t="n">
        <v>22200</v>
      </c>
      <c r="D12" s="6" t="n"/>
      <c r="E12" s="6" t="n"/>
      <c r="F12" s="6" t="n"/>
      <c r="G12" s="6" t="n"/>
    </row>
    <row r="13">
      <c r="A13" s="5" t="inlineStr">
        <is>
          <t>Total gross exposure (by stage)</t>
        </is>
      </c>
      <c r="B13" s="5" t="n">
        <v>3802100</v>
      </c>
      <c r="C13" s="5" t="n">
        <v>3100400</v>
      </c>
      <c r="D13" s="5" t="n">
        <v>1999629</v>
      </c>
      <c r="E13" s="5" t="n">
        <v>1373112</v>
      </c>
      <c r="F13" s="5" t="n">
        <v>577273</v>
      </c>
      <c r="G13" s="5" t="n">
        <v>45080</v>
      </c>
    </row>
    <row r="14">
      <c r="A14" s="5" t="inlineStr">
        <is>
          <t>Expected credit loss (ECL), by IFRS 9 stage</t>
        </is>
      </c>
      <c r="B14" s="6" t="n"/>
      <c r="C14" s="6" t="n"/>
      <c r="D14" s="6" t="n"/>
      <c r="E14" s="6" t="n"/>
      <c r="F14" s="6" t="n"/>
      <c r="G14" s="6" t="n"/>
    </row>
    <row r="15">
      <c r="A15" s="6" t="inlineStr">
        <is>
          <t>Stage 1 (performing)</t>
        </is>
      </c>
      <c r="B15" s="6" t="n">
        <v>13100</v>
      </c>
      <c r="C15" s="6" t="n">
        <v>13100</v>
      </c>
      <c r="D15" s="6" t="n">
        <v>13814</v>
      </c>
      <c r="E15" s="6" t="n">
        <v>5667</v>
      </c>
      <c r="F15" s="6" t="n">
        <v>918</v>
      </c>
      <c r="G15" s="6" t="n"/>
    </row>
    <row r="16">
      <c r="A16" s="6" t="inlineStr">
        <is>
          <t>Stage 2 (underperforming)</t>
        </is>
      </c>
      <c r="B16" s="6" t="n">
        <v>11400</v>
      </c>
      <c r="C16" s="6" t="n">
        <v>6100</v>
      </c>
      <c r="D16" s="6" t="n">
        <v>3856</v>
      </c>
      <c r="E16" s="6" t="n">
        <v>1815</v>
      </c>
      <c r="F16" s="6" t="n">
        <v>45</v>
      </c>
      <c r="G16" s="6" t="n"/>
    </row>
    <row r="17">
      <c r="A17" s="6" t="inlineStr">
        <is>
          <t>Stage 3 (credit-impaired)</t>
        </is>
      </c>
      <c r="B17" s="6" t="n">
        <v>18100</v>
      </c>
      <c r="C17" s="6" t="n">
        <v>13000</v>
      </c>
      <c r="D17" s="6" t="n">
        <v>4318</v>
      </c>
      <c r="E17" s="6" t="n">
        <v>1495</v>
      </c>
      <c r="F17" s="6" t="n">
        <v>21</v>
      </c>
      <c r="G17" s="6" t="n"/>
    </row>
    <row r="18">
      <c r="A18" s="6" t="inlineStr">
        <is>
          <t>POCI</t>
        </is>
      </c>
      <c r="B18" s="6" t="n">
        <v>0</v>
      </c>
      <c r="C18" s="6" t="n">
        <v>800</v>
      </c>
      <c r="D18" s="6" t="n"/>
      <c r="E18" s="6" t="n"/>
      <c r="F18" s="6" t="n"/>
      <c r="G18" s="6" t="n"/>
    </row>
    <row r="19">
      <c r="A19" s="5" t="inlineStr">
        <is>
          <t>Total impairment provision (by stage)</t>
        </is>
      </c>
      <c r="B19" s="5" t="n">
        <v>42600</v>
      </c>
      <c r="C19" s="5" t="n">
        <v>33000</v>
      </c>
      <c r="D19" s="5" t="n">
        <v>21988</v>
      </c>
      <c r="E19" s="5" t="n">
        <v>8977</v>
      </c>
      <c r="F19" s="5" t="n">
        <v>984</v>
      </c>
      <c r="G19" s="5" t="n">
        <v>40</v>
      </c>
    </row>
    <row r="20">
      <c r="A20" s="5" t="inlineStr">
        <is>
          <t>Asset quality ratios</t>
        </is>
      </c>
      <c r="B20" s="6" t="n"/>
      <c r="C20" s="6" t="n"/>
      <c r="D20" s="6" t="n"/>
      <c r="E20" s="6" t="n"/>
      <c r="F20" s="6" t="n"/>
      <c r="G20" s="6" t="n"/>
    </row>
    <row r="21">
      <c r="A21" s="6" t="inlineStr">
        <is>
          <t>ECL coverage ratio (Total impairment provision / Total gross exposure)</t>
        </is>
      </c>
      <c r="B21" s="6" t="inlineStr">
        <is>
          <t>1.12%</t>
        </is>
      </c>
      <c r="C21" s="6" t="inlineStr">
        <is>
          <t>1.06%</t>
        </is>
      </c>
      <c r="D21" s="6" t="inlineStr">
        <is>
          <t>1.10%</t>
        </is>
      </c>
      <c r="E21" s="6" t="inlineStr">
        <is>
          <t>0.65%</t>
        </is>
      </c>
      <c r="F21" s="6" t="inlineStr">
        <is>
          <t>0.17%</t>
        </is>
      </c>
      <c r="G21" s="6" t="inlineStr">
        <is>
          <t>0.09%</t>
        </is>
      </c>
    </row>
    <row r="22">
      <c r="A22" s="6" t="inlineStr">
        <is>
          <t>Stage 3 (NPL) ratio (Stage 3 gross exposure / Total gross exposure)</t>
        </is>
      </c>
      <c r="B22" s="6" t="inlineStr">
        <is>
          <t>2.64%</t>
        </is>
      </c>
      <c r="C22" s="6" t="inlineStr">
        <is>
          <t>1.92%</t>
        </is>
      </c>
      <c r="D22" s="6" t="inlineStr">
        <is>
          <t>1.51%</t>
        </is>
      </c>
      <c r="E22" s="6" t="inlineStr">
        <is>
          <t>0.67%</t>
        </is>
      </c>
      <c r="F22" s="6" t="inlineStr">
        <is>
          <t>0.24%</t>
        </is>
      </c>
      <c r="G22" s="6" t="inlineStr">
        <is>
          <t>1.10%</t>
        </is>
      </c>
    </row>
    <row r="23">
      <c r="A23" s="6" t="inlineStr">
        <is>
          <t>Stage 3 coverage ratio (Stage 3 ECL / Stage 3 gross exposure)</t>
        </is>
      </c>
      <c r="B23" s="6" t="inlineStr">
        <is>
          <t>18.06%</t>
        </is>
      </c>
      <c r="C23" s="6" t="inlineStr">
        <is>
          <t>21.85%</t>
        </is>
      </c>
      <c r="D23" s="6" t="inlineStr">
        <is>
          <t>14.35%</t>
        </is>
      </c>
      <c r="E23" s="6" t="inlineStr">
        <is>
          <t>16.28%</t>
        </is>
      </c>
      <c r="F23" s="6" t="inlineStr">
        <is>
          <t>1.54%</t>
        </is>
      </c>
      <c r="G23" s="6" t="inlineStr">
        <is>
          <t>Not published – FY2020 accounts Note 24 (p.48) says the single Stage 3 loan (£495k) carries 'an immaterial ECL' and gives no Stage 3 ECL amount</t>
        </is>
      </c>
    </row>
    <row r="25" ht="390" customHeight="1">
      <c r="A25" s="8" t="inlineStr">
        <is>
          <t>Sources — Allica Bank Limited consolidated (Group) staging/credit-risk notes, £'000:
FY2025 &amp; FY2024 (by IFRS 9 stage and by category): Annual Report &amp; Accounts 2025, p.139-140 (Note 26, 'Staging profile of customer lending', Group tables) — https://www.allica.bank/hubfs/pdf/allica-bank_annual-report-2025.pdf
FY2023 (by IFRS 9 stage, by internal risk rating): Annual Report and Accounts 2023, p.115-116 (Note 27) — https://www.allica.bank/hubfs/Allica-Bank_Annual-report_2023.pdf
FY2022 (by IFRS 9 stage, by internal risk rating, own-year figures): Annual Report and Accounts 2022, p.124 (Note 27) — https://www.allica.bank/hubfs/pdf/web/investor-relations/Allica_Bank-Annual_Report-2022.pdf
FY2021 (by IFRS 9 stage, own-year closing balance from the year's loss-allowance movement table): Annual Report and Accounts 2022, p.124 (Note 27, 'Balance as at 31 December 2021' row) — https://www.allica.bank/hubfs/pdf/web/investor-relations/Allica_Bank-Annual_Report-2022.pdf
FY2020 (total gross/ECL from Note 11; Stage 1/3 split narrative from Note 24 'Diversity and concentration of our loan portfolio'): Consolidated Financial Statements for the year ended 31 December 2020, p.40 &amp; p.48 — https://find-and-update.company-information.service.gov.uk/company/07706156/filing-history/MzMxMTI2MDM1MWFkaXF6a2N4/document?format=pdf — Allica Bank Limited consolidated financial statements for the year ended 31 December 2020, filed with Companies House (registered number 07706156) 27 August 2021
Entity note: all figures on this and the Balance Sheet/Profit &amp; Loss/Statement of Changes in Equity sheets are Allica Bank Limited Group (consolidated), £m. FY2025 &amp; FY2024 sourced from Allica Bank Limited Annual Report &amp; Accounts 2025 (£m as reported) — https://www.allica.bank/hubfs/pdf/allica-bank_annual-report-2025.pdf; FY2023 &amp; FY2022 sourced from Allica Bank Limited Annual Report and Accounts 2023 (£'000 as reported, converted to £m for consistency with other years) — https://www.allica.bank/hubfs/Allica-Bank_Annual-report_2023.pdf; FY2021 sourced from the FY2021 comparative column of Allica Bank Limited Annual Report and Accounts 2022 (£'000 as reported, converted to £m) — https://www.allica.bank/hubfs/pdf/web/investor-relations/Allica_Bank-Annual_Report-2022.pdf — no separate FY2021 Annual Report was located, matching the existing Cash Flow Statement sheet's own FY2021 sourcing convention. FY2020 sourced from Allica Bank Limited's own Consolidated Financial Statements for the year ended 31 December 2020 (£'000 as reported, converted to £m), filed with Companies House — https://find-and-update.company-information.service.gov.uk/company/07706156/filing-history/MzMxMTI2MDM1MWFkaXF6a2N4/document?format=pdf — Allica Bank Limited consolidated financial statements for the year ended 31 December 2020, filed with Companies House (registered number 07706156) 27 August 2021. A disclosed nil ('–' in the source table) is written as 0; a blank cell means that year's report did not disclose that specific line at all.
PRESENTATION NOTE: FY2024-2025 disclose a by-category split (Loans secured on property / Other loans and advances) alongside IFRS 9 stage in Note 26 'Staging profile of customer lending'; FY2021-2023 disclose only an internal-risk-rating (Low/Medium/High PD band) x stage breakdown in Note 27, with no by-category split available at all - left blank for those years rather than estimated. The FY2024/2025 'Gross exposure' total in Note 26 (£3,802.1m / £3,100.4m) is smaller than Note 11's 'Gross loans and advances to customers' (£3,781.2m / £3,083.8m is NET after adjustments - Note 26 is in fact the larger, gross-before-fair-value-hedge-and-EIR-adjustment figure); Note 26 explicitly states its exposures 'exclude adjustments for EIR and other minor adjustments made to the principal balance' - both figures are transcribed exactly as disclosed, not reconciled. POCI (purchased or originated credit-impaired) is its own IFRS 9 category, shown separately from Stage 3 for FY2024-2025 only (not disclosed as a separate line pre-2024). Ratios below use the by-IFRS-9-stage totals; POCI is included in the gross/ECL totals but excluded from the Stage 3 (NPL) ratio's numerator, matching Monzo's convention (Stage 3 = credit-impaired, POCI is a distinct IFRS 9 category). FY2020 is Allica's first year with any loan book at all (first commercial mortgage loan made March 2020) and its accounts contain no formal by-stage/by-category table — only a narrative disclosure (Note 24) that 'all impairment provisions are Stage 1 apart from one loan amounting to £495k in stage 3 ... with an immaterial ECL'. The FY2020 Stage 1/Stage 3 gross split below is therefore derived from that narrative (Total gross exposure 45,080 less the disclosed £495k Stage 3 loan), not read from a table; FY2020 Stage 2, and the by-stage ECL split, are left blank as genuinely not disclosed that year (only the £40k Total impairment provision is a directly disclosed figure).</t>
        </is>
      </c>
    </row>
  </sheetData>
  <mergeCells count="1">
    <mergeCell ref="A25:G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Return on equity - average equity basis</t>
        </is>
      </c>
      <c r="B4" s="6" t="inlineStr">
        <is>
          <t>6.82%</t>
        </is>
      </c>
      <c r="C4" s="6" t="inlineStr">
        <is>
          <t>9.09%</t>
        </is>
      </c>
      <c r="D4" s="6" t="inlineStr">
        <is>
          <t>7.84%</t>
        </is>
      </c>
      <c r="E4" s="6" t="inlineStr">
        <is>
          <t>3.76%</t>
        </is>
      </c>
      <c r="F4" s="6" t="inlineStr">
        <is>
          <t>-34.24%</t>
        </is>
      </c>
      <c r="G4" s="6" t="n"/>
    </row>
    <row r="5">
      <c r="A5" s="6" t="inlineStr">
        <is>
          <t>Return on equity - year-end equity basis</t>
        </is>
      </c>
      <c r="B5" s="6" t="inlineStr">
        <is>
          <t>6.44%</t>
        </is>
      </c>
      <c r="C5" s="6" t="inlineStr">
        <is>
          <t>7.91%</t>
        </is>
      </c>
      <c r="D5" s="6" t="inlineStr">
        <is>
          <t>6.86%</t>
        </is>
      </c>
      <c r="E5" s="6" t="inlineStr">
        <is>
          <t>2.69%</t>
        </is>
      </c>
      <c r="F5" s="6" t="inlineStr">
        <is>
          <t>-27.88%</t>
        </is>
      </c>
      <c r="G5" s="6" t="inlineStr">
        <is>
          <t>-38.44%</t>
        </is>
      </c>
    </row>
    <row r="6">
      <c r="A6" s="6" t="inlineStr">
        <is>
          <t>Return on assets - average assets basis</t>
        </is>
      </c>
      <c r="B6" s="6" t="inlineStr">
        <is>
          <t>0.49%</t>
        </is>
      </c>
      <c r="C6" s="6" t="inlineStr">
        <is>
          <t>0.76%</t>
        </is>
      </c>
      <c r="D6" s="6" t="inlineStr">
        <is>
          <t>0.81%</t>
        </is>
      </c>
      <c r="E6" s="6" t="inlineStr">
        <is>
          <t>0.41%</t>
        </is>
      </c>
      <c r="F6" s="6" t="inlineStr">
        <is>
          <t>-4.49%</t>
        </is>
      </c>
      <c r="G6" s="6" t="n"/>
    </row>
    <row r="7">
      <c r="A7" s="6" t="inlineStr">
        <is>
          <t>Return on assets - year-end assets basis</t>
        </is>
      </c>
      <c r="B7" s="6" t="inlineStr">
        <is>
          <t>0.44%</t>
        </is>
      </c>
      <c r="C7" s="6" t="inlineStr">
        <is>
          <t>0.60%</t>
        </is>
      </c>
      <c r="D7" s="6" t="inlineStr">
        <is>
          <t>0.65%</t>
        </is>
      </c>
      <c r="E7" s="6" t="inlineStr">
        <is>
          <t>0.32%</t>
        </is>
      </c>
      <c r="F7" s="6" t="inlineStr">
        <is>
          <t>-2.64%</t>
        </is>
      </c>
      <c r="G7" s="6" t="inlineStr">
        <is>
          <t>-13.18%</t>
        </is>
      </c>
    </row>
    <row r="8">
      <c r="A8" s="6" t="inlineStr">
        <is>
          <t>Allica Bank Limited's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row>
    <row r="9" ht="169" customHeight="1">
      <c r="A9" s="7" t="inlineStr">
        <is>
          <t>Note: COMPUTED, NOT PUBLISHED. Allica Bank Limited publishes no ROE, RoTE or ROA. The bank's official FY2025 Annual Report &amp; Accounts was checked from its investor-hosted allica.bank PDF (175 pages, born-digital). Whole-report text search for return-on-equity/assets variants found no published return measure; the only 'return on' hit is ordinary-language discussion of a fair return on customer savings. The exhaustive '2025 at a glance / Key metrics' spread lists statutory and underlying PBT, gross revenue, gross profit after risk, loans, NIM, deposits, app ratings and customer/colleague measures, but no return ratio. The report's Non-IFRS measures appendix defines gross revenue, gross profit after risk, lending and underlying PBT only.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FY2021, where return on equity is -34.24% on an average basis and -27.88% on a year-end basis.
FY2020 HAS NO AVERAGE-BASIS RATIO, AND THAT IS CORRECT. An average denominator needs an opening balance, and FY2020 is the oldest column this workbook carries, so there is no prior year to open from. The blank is structural, not a missing figure. The year-end basis is shown for FY2020 because it needs only the closing balance.</t>
        </is>
      </c>
    </row>
    <row r="11" ht="170" customHeight="1">
      <c r="A11" s="8" t="inlineStr">
        <is>
          <t>Computed by this workbook's own build script from the Profit &amp; Loss and Balance Sheet sheets of this same workbook - the Profit &amp; Loss row “profit/(loss) after tax for the year” and the Balance Sheet rows “total equity” and “total assets”, resolved BY LABEL at build time through the shared resolver scripts/profitability_rows.py, so this sheet cannot drift from the statements it summarises. Those rows are themselves transcribed from Allica Bank Limited's Annual Report and Accounts for each year; see the source cells on the Balance Sheet and Profit &amp; Loss sheets for the exact document, page and table behind every input to every percentage above.
The finding that Allica Bank Limited publishes no return of its own is recorded in research/profitability/published_returns.jsonl under ‘ALLICA’, verified against the bank's own annual report rendered at 300 dpi.</t>
        </is>
      </c>
    </row>
  </sheetData>
  <mergeCells count="2">
    <mergeCell ref="A11:G11"/>
    <mergeCell ref="A9:G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Allica Bank Limited — KM1 Key Metrics</t>
        </is>
      </c>
    </row>
    <row r="2">
      <c r="A2" s="2" t="inlineStr">
        <is>
          <t>The bank's own published UK key-metrics (KM1) template, reproduced in Allica's row order with its own template row numbers and printed precision. Amounts in £'000, ratios as printed. Consolidated (Group) basis, transitional. FY2020 predates the template and is intentionally blank.</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 £'000)</t>
        </is>
      </c>
      <c r="B4" s="6" t="n"/>
      <c r="C4" s="6" t="n"/>
      <c r="D4" s="6" t="n"/>
      <c r="E4" s="6" t="n"/>
      <c r="F4" s="6" t="n"/>
    </row>
    <row r="5">
      <c r="A5" s="6" t="inlineStr">
        <is>
          <t>1    Common Equity Tier 1 (CET1) capital</t>
        </is>
      </c>
      <c r="B5" s="6" t="n">
        <v>325689</v>
      </c>
      <c r="C5" s="6" t="n">
        <v>276827</v>
      </c>
      <c r="D5" s="6" t="n">
        <v>219055</v>
      </c>
      <c r="E5" s="6" t="n">
        <v>170322</v>
      </c>
      <c r="F5" s="6" t="n">
        <v>68816</v>
      </c>
    </row>
    <row r="6">
      <c r="A6" s="6" t="inlineStr">
        <is>
          <t>2    Tier 1 capital</t>
        </is>
      </c>
      <c r="B6" s="6" t="n">
        <v>370566</v>
      </c>
      <c r="C6" s="6" t="n">
        <v>321704</v>
      </c>
      <c r="D6" s="6" t="n">
        <v>264182</v>
      </c>
      <c r="E6" s="6" t="n">
        <v>180208</v>
      </c>
      <c r="F6" s="6" t="n">
        <v>86316</v>
      </c>
    </row>
    <row r="7">
      <c r="A7" s="6" t="inlineStr">
        <is>
          <t>3    Total capital</t>
        </is>
      </c>
      <c r="B7" s="6" t="n">
        <v>406393</v>
      </c>
      <c r="C7" s="6" t="n">
        <v>359031</v>
      </c>
      <c r="D7" s="6" t="n">
        <v>271682</v>
      </c>
      <c r="E7" s="6" t="n">
        <v>187708</v>
      </c>
      <c r="F7" s="6" t="n">
        <v>93816</v>
      </c>
    </row>
    <row r="8">
      <c r="A8" s="5" t="inlineStr">
        <is>
          <t>Risk-weighted exposure amounts (£'000)</t>
        </is>
      </c>
      <c r="B8" s="6" t="n"/>
      <c r="C8" s="6" t="n"/>
      <c r="D8" s="6" t="n"/>
      <c r="E8" s="6" t="n"/>
      <c r="F8" s="6" t="n"/>
    </row>
    <row r="9">
      <c r="A9" s="6" t="inlineStr">
        <is>
          <t>4    Total risk-weighted exposure amount</t>
        </is>
      </c>
      <c r="B9" s="6" t="n">
        <v>2422216</v>
      </c>
      <c r="C9" s="6" t="n">
        <v>1908286</v>
      </c>
      <c r="D9" s="6" t="n">
        <v>1396450</v>
      </c>
      <c r="E9" s="6" t="n">
        <v>997945</v>
      </c>
      <c r="F9" s="6" t="n">
        <v>486558</v>
      </c>
    </row>
    <row r="10">
      <c r="A10" s="5" t="inlineStr">
        <is>
          <t>Capital ratios (as a percentage of risk-weighted exposure amount)</t>
        </is>
      </c>
      <c r="B10" s="6" t="n"/>
      <c r="C10" s="6" t="n"/>
      <c r="D10" s="6" t="n"/>
      <c r="E10" s="6" t="n"/>
      <c r="F10" s="6" t="n"/>
    </row>
    <row r="11">
      <c r="A11" s="6" t="inlineStr">
        <is>
          <t>5    Common Equity Tier 1 ratio (%)</t>
        </is>
      </c>
      <c r="B11" s="6" t="inlineStr">
        <is>
          <t>13.4 %</t>
        </is>
      </c>
      <c r="C11" s="6" t="inlineStr">
        <is>
          <t>14.5 %</t>
        </is>
      </c>
      <c r="D11" s="6" t="inlineStr">
        <is>
          <t>15.7%</t>
        </is>
      </c>
      <c r="E11" s="6" t="inlineStr">
        <is>
          <t>17.1%</t>
        </is>
      </c>
      <c r="F11" s="6" t="inlineStr">
        <is>
          <t>14.1%</t>
        </is>
      </c>
    </row>
    <row r="12">
      <c r="A12" s="6" t="inlineStr">
        <is>
          <t>6    Tier 1 ratio (%)</t>
        </is>
      </c>
      <c r="B12" s="6" t="inlineStr">
        <is>
          <t>15.3 %</t>
        </is>
      </c>
      <c r="C12" s="6" t="inlineStr">
        <is>
          <t>16.9 %</t>
        </is>
      </c>
      <c r="D12" s="6" t="inlineStr">
        <is>
          <t>18.9%</t>
        </is>
      </c>
      <c r="E12" s="6" t="inlineStr">
        <is>
          <t>18.1%</t>
        </is>
      </c>
      <c r="F12" s="6" t="inlineStr">
        <is>
          <t>17.7%</t>
        </is>
      </c>
    </row>
    <row r="13">
      <c r="A13" s="6" t="inlineStr">
        <is>
          <t>7    Total capital ratio (%)</t>
        </is>
      </c>
      <c r="B13" s="6" t="inlineStr">
        <is>
          <t>16.8 %</t>
        </is>
      </c>
      <c r="C13" s="6" t="inlineStr">
        <is>
          <t>18.8 %</t>
        </is>
      </c>
      <c r="D13" s="6" t="inlineStr">
        <is>
          <t>19.5%</t>
        </is>
      </c>
      <c r="E13" s="6" t="inlineStr">
        <is>
          <t>18.8%</t>
        </is>
      </c>
      <c r="F13" s="6" t="inlineStr">
        <is>
          <t>19.3%</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1.1 %</t>
        </is>
      </c>
      <c r="C15" s="6" t="inlineStr">
        <is>
          <t>1.9 %</t>
        </is>
      </c>
      <c r="D15" s="6" t="inlineStr">
        <is>
          <t>1.9%</t>
        </is>
      </c>
      <c r="E15" s="6" t="inlineStr">
        <is>
          <t>2.0%</t>
        </is>
      </c>
      <c r="F15" s="6" t="n"/>
    </row>
    <row r="16">
      <c r="A16" s="6" t="inlineStr">
        <is>
          <t>UK 7b    Additional AT1 SREP requirements (%)</t>
        </is>
      </c>
      <c r="B16" s="6" t="inlineStr">
        <is>
          <t>0.4 %</t>
        </is>
      </c>
      <c r="C16" s="6" t="inlineStr">
        <is>
          <t>0.6 %</t>
        </is>
      </c>
      <c r="D16" s="6" t="inlineStr">
        <is>
          <t>0.6%</t>
        </is>
      </c>
      <c r="E16" s="6" t="inlineStr">
        <is>
          <t>0.7%</t>
        </is>
      </c>
      <c r="F16" s="6" t="n"/>
    </row>
    <row r="17">
      <c r="A17" s="6" t="inlineStr">
        <is>
          <t>UK 7c    Additional T2 SREP requirements (%)</t>
        </is>
      </c>
      <c r="B17" s="6" t="inlineStr">
        <is>
          <t>0.5 %</t>
        </is>
      </c>
      <c r="C17" s="6" t="inlineStr">
        <is>
          <t>0.9 %</t>
        </is>
      </c>
      <c r="D17" s="6" t="inlineStr">
        <is>
          <t>0.9%</t>
        </is>
      </c>
      <c r="E17" s="6" t="inlineStr">
        <is>
          <t>0.9%</t>
        </is>
      </c>
      <c r="F17" s="6" t="n"/>
    </row>
    <row r="18">
      <c r="A18" s="6" t="inlineStr">
        <is>
          <t>UK 7d    Total SREP own funds requirements (%)</t>
        </is>
      </c>
      <c r="B18" s="6" t="inlineStr">
        <is>
          <t>9.9 %</t>
        </is>
      </c>
      <c r="C18" s="6" t="inlineStr">
        <is>
          <t>11.4 %</t>
        </is>
      </c>
      <c r="D18" s="6" t="inlineStr">
        <is>
          <t>11.4%</t>
        </is>
      </c>
      <c r="E18" s="6" t="inlineStr">
        <is>
          <t>11.6%</t>
        </is>
      </c>
      <c r="F18" s="6" t="n"/>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2.5 %</t>
        </is>
      </c>
      <c r="C20" s="6" t="inlineStr">
        <is>
          <t>2.5 %</t>
        </is>
      </c>
      <c r="D20" s="6" t="inlineStr">
        <is>
          <t>2.5%</t>
        </is>
      </c>
      <c r="E20" s="6" t="inlineStr">
        <is>
          <t>2.5%</t>
        </is>
      </c>
      <c r="F20" s="6" t="inlineStr">
        <is>
          <t>2.5%</t>
        </is>
      </c>
    </row>
    <row r="21">
      <c r="A21" s="6" t="inlineStr">
        <is>
          <t>UK 8a    Conservation buffer due to macro-prudential or systemic risk identified at the level of a Member State (%)</t>
        </is>
      </c>
      <c r="B21" s="6" t="n"/>
      <c r="C21" s="6" t="n"/>
      <c r="D21" s="6" t="n"/>
      <c r="E21" s="6" t="n"/>
      <c r="F21" s="6" t="n"/>
    </row>
    <row r="22">
      <c r="A22" s="6" t="inlineStr">
        <is>
          <t>9    Institution specific countercyclical capital buffer (%)</t>
        </is>
      </c>
      <c r="B22" s="6" t="inlineStr">
        <is>
          <t>2.0 %</t>
        </is>
      </c>
      <c r="C22" s="6" t="inlineStr">
        <is>
          <t>2.0 %</t>
        </is>
      </c>
      <c r="D22" s="6" t="inlineStr">
        <is>
          <t>2.0%</t>
        </is>
      </c>
      <c r="E22" s="6" t="inlineStr">
        <is>
          <t>1.0%</t>
        </is>
      </c>
      <c r="F22" s="6" t="inlineStr">
        <is>
          <t>0.0%</t>
        </is>
      </c>
    </row>
    <row r="23">
      <c r="A23" s="6" t="inlineStr">
        <is>
          <t>UK 9a    Systemic risk buffer (%)</t>
        </is>
      </c>
      <c r="B23" s="6" t="n"/>
      <c r="C23" s="6" t="n"/>
      <c r="D23" s="6" t="n"/>
      <c r="E23" s="6" t="n"/>
      <c r="F23" s="6" t="n"/>
    </row>
    <row r="24">
      <c r="A24" s="6" t="inlineStr">
        <is>
          <t>10    Global Systemically Important Institution buffer (%)</t>
        </is>
      </c>
      <c r="B24" s="6" t="n"/>
      <c r="C24" s="6" t="n"/>
      <c r="D24" s="6" t="n"/>
      <c r="E24" s="6" t="n"/>
      <c r="F24" s="6" t="n"/>
    </row>
    <row r="25">
      <c r="A25" s="6" t="inlineStr">
        <is>
          <t>UK 10a    Other Systemically Important Institution buffer</t>
        </is>
      </c>
      <c r="B25" s="6" t="n"/>
      <c r="C25" s="6" t="n"/>
      <c r="D25" s="6" t="n"/>
      <c r="E25" s="6" t="n"/>
      <c r="F25" s="6" t="n"/>
    </row>
    <row r="26">
      <c r="A26" s="6" t="inlineStr">
        <is>
          <t>11    Combined buffer requirement (%)</t>
        </is>
      </c>
      <c r="B26" s="6" t="inlineStr">
        <is>
          <t>4.5 %</t>
        </is>
      </c>
      <c r="C26" s="6" t="inlineStr">
        <is>
          <t>4.5 %</t>
        </is>
      </c>
      <c r="D26" s="6" t="inlineStr">
        <is>
          <t>4.5%</t>
        </is>
      </c>
      <c r="E26" s="6" t="inlineStr">
        <is>
          <t>3.5%</t>
        </is>
      </c>
      <c r="F26" s="6" t="inlineStr">
        <is>
          <t>2.5%</t>
        </is>
      </c>
    </row>
    <row r="27">
      <c r="A27" s="6" t="inlineStr">
        <is>
          <t>UK 11a    Overall capital requirements (%)</t>
        </is>
      </c>
      <c r="B27" s="6" t="inlineStr">
        <is>
          <t>14.5 %</t>
        </is>
      </c>
      <c r="C27" s="6" t="inlineStr">
        <is>
          <t>15.9 %</t>
        </is>
      </c>
      <c r="D27" s="6" t="inlineStr">
        <is>
          <t>15.9%</t>
        </is>
      </c>
      <c r="E27" s="6" t="inlineStr">
        <is>
          <t>15.1%</t>
        </is>
      </c>
      <c r="F27" s="6" t="inlineStr">
        <is>
          <t>14.1%</t>
        </is>
      </c>
    </row>
    <row r="28">
      <c r="A28" s="6" t="inlineStr">
        <is>
          <t>12    CET1 available after meeting the total SREP own funds requirements (%)</t>
        </is>
      </c>
      <c r="B28" s="6" t="inlineStr">
        <is>
          <t>7.8 %</t>
        </is>
      </c>
      <c r="C28" s="6" t="inlineStr">
        <is>
          <t>8.1 %</t>
        </is>
      </c>
      <c r="D28" s="6" t="inlineStr">
        <is>
          <t>9.3%</t>
        </is>
      </c>
      <c r="E28" s="6" t="inlineStr">
        <is>
          <t>7.0%</t>
        </is>
      </c>
      <c r="F28" s="6" t="n"/>
    </row>
    <row r="29">
      <c r="A29" s="5" t="inlineStr">
        <is>
          <t>Leverage ratio (£'000 / %)</t>
        </is>
      </c>
      <c r="B29" s="6" t="n"/>
      <c r="C29" s="6" t="n"/>
      <c r="D29" s="6" t="n"/>
      <c r="E29" s="6" t="n"/>
      <c r="F29" s="6" t="n"/>
    </row>
    <row r="30">
      <c r="A30" s="6" t="inlineStr">
        <is>
          <t>13    Total exposure measure excluding claims on central banks</t>
        </is>
      </c>
      <c r="B30" s="6" t="n">
        <v>5092370</v>
      </c>
      <c r="C30" s="6" t="n">
        <v>3421039</v>
      </c>
      <c r="D30" s="6" t="n">
        <v>2208236</v>
      </c>
      <c r="E30" s="6" t="n">
        <v>1595100</v>
      </c>
      <c r="F30" s="6" t="n">
        <v>688827</v>
      </c>
    </row>
    <row r="31">
      <c r="A31" s="6" t="inlineStr">
        <is>
          <t>14    Leverage ratio excluding claims on central banks (%)</t>
        </is>
      </c>
      <c r="B31" s="6" t="inlineStr">
        <is>
          <t>7.3 %</t>
        </is>
      </c>
      <c r="C31" s="6" t="inlineStr">
        <is>
          <t>9.4 %</t>
        </is>
      </c>
      <c r="D31" s="6" t="inlineStr">
        <is>
          <t>11.4%</t>
        </is>
      </c>
      <c r="E31" s="6" t="inlineStr">
        <is>
          <t>11.3%</t>
        </is>
      </c>
      <c r="F31" s="6" t="inlineStr">
        <is>
          <t>12.5%</t>
        </is>
      </c>
    </row>
    <row r="32">
      <c r="A32" s="5" t="inlineStr">
        <is>
          <t>Additional leverage ratio disclosure requirements</t>
        </is>
      </c>
      <c r="B32" s="6" t="n"/>
      <c r="C32" s="6" t="n"/>
      <c r="D32" s="6" t="n"/>
      <c r="E32" s="6" t="n"/>
      <c r="F32" s="6" t="n"/>
    </row>
    <row r="33">
      <c r="A33" s="6" t="inlineStr">
        <is>
          <t>14a    Fully loaded ECL accounting model leverage ratio excluding claims on central banks (%)</t>
        </is>
      </c>
      <c r="B33" s="6" t="n"/>
      <c r="C33" s="6" t="n"/>
      <c r="D33" s="6" t="n"/>
      <c r="E33" s="6" t="n"/>
      <c r="F33" s="6" t="n"/>
    </row>
    <row r="34">
      <c r="A34" s="6" t="inlineStr">
        <is>
          <t>14b    Leverage ratio including claims on central banks (%)</t>
        </is>
      </c>
      <c r="B34" s="6" t="n"/>
      <c r="C34" s="6" t="n"/>
      <c r="D34" s="6" t="n"/>
      <c r="E34" s="6" t="n"/>
      <c r="F34" s="6" t="n"/>
    </row>
    <row r="35">
      <c r="A35" s="6" t="inlineStr">
        <is>
          <t>14c    Average leverage ratio excluding claims on central banks (%)</t>
        </is>
      </c>
      <c r="B35" s="6" t="n"/>
      <c r="C35" s="6" t="n"/>
      <c r="D35" s="6" t="n"/>
      <c r="E35" s="6" t="n"/>
      <c r="F35" s="6" t="n"/>
    </row>
    <row r="36">
      <c r="A36" s="6" t="inlineStr">
        <is>
          <t>14d    Average leverage ratio including claims on central banks (%)</t>
        </is>
      </c>
      <c r="B36" s="6" t="n"/>
      <c r="C36" s="6" t="n"/>
      <c r="D36" s="6" t="n"/>
      <c r="E36" s="6" t="n"/>
      <c r="F36" s="6" t="n"/>
    </row>
    <row r="37">
      <c r="A37" s="6" t="inlineStr">
        <is>
          <t>14e    Countercyclical leverage ratio buffer (%)</t>
        </is>
      </c>
      <c r="B37" s="6" t="n"/>
      <c r="C37" s="6" t="n"/>
      <c r="D37" s="6" t="n"/>
      <c r="E37" s="6" t="n"/>
      <c r="F37" s="6" t="n"/>
    </row>
    <row r="38">
      <c r="A38" s="5" t="inlineStr">
        <is>
          <t>Liquidity Coverage Ratio (£'000 / %)</t>
        </is>
      </c>
      <c r="B38" s="6" t="n"/>
      <c r="C38" s="6" t="n"/>
      <c r="D38" s="6" t="n"/>
      <c r="E38" s="6" t="n"/>
      <c r="F38" s="6" t="n"/>
    </row>
    <row r="39">
      <c r="A39" s="6" t="inlineStr">
        <is>
          <t>15    Total high-quality liquid assets (HQLA) (Weighted value – average)</t>
        </is>
      </c>
      <c r="B39" s="6" t="n">
        <v>1928875</v>
      </c>
      <c r="C39" s="6" t="n">
        <v>1137180</v>
      </c>
      <c r="D39" s="6" t="n">
        <v>810081</v>
      </c>
      <c r="E39" s="6" t="n">
        <v>386347</v>
      </c>
      <c r="F39" s="6" t="n">
        <v>171242</v>
      </c>
    </row>
    <row r="40">
      <c r="A40" s="6" t="inlineStr">
        <is>
          <t>UK 16a    Cash outflows – Total weighted value</t>
        </is>
      </c>
      <c r="B40" s="6" t="n">
        <v>1007942</v>
      </c>
      <c r="C40" s="6" t="n">
        <v>625000</v>
      </c>
      <c r="D40" s="6" t="n">
        <v>343042</v>
      </c>
      <c r="E40" s="6" t="n">
        <v>168199</v>
      </c>
      <c r="F40" s="6" t="n"/>
    </row>
    <row r="41">
      <c r="A41" s="6" t="inlineStr">
        <is>
          <t>UK 16b    Cash inflows – Total weighted value</t>
        </is>
      </c>
      <c r="B41" s="6" t="n">
        <v>134297</v>
      </c>
      <c r="C41" s="6" t="n">
        <v>99079</v>
      </c>
      <c r="D41" s="6" t="n">
        <v>62698</v>
      </c>
      <c r="E41" s="6" t="n">
        <v>40407</v>
      </c>
      <c r="F41" s="6" t="n"/>
    </row>
    <row r="42">
      <c r="A42" s="6" t="inlineStr">
        <is>
          <t>16    Total net cash outflows (adjusted value)</t>
        </is>
      </c>
      <c r="B42" s="6" t="n">
        <v>873645</v>
      </c>
      <c r="C42" s="6" t="n">
        <v>525922</v>
      </c>
      <c r="D42" s="6" t="n">
        <v>280344</v>
      </c>
      <c r="E42" s="6" t="n">
        <v>127792</v>
      </c>
      <c r="F42" s="6" t="n">
        <v>34252</v>
      </c>
    </row>
    <row r="43">
      <c r="A43" s="6" t="inlineStr">
        <is>
          <t>17    Liquidity coverage ratio (%)</t>
        </is>
      </c>
      <c r="B43" s="6" t="inlineStr">
        <is>
          <t>220.8 %</t>
        </is>
      </c>
      <c r="C43" s="6" t="inlineStr">
        <is>
          <t>216.2 %</t>
        </is>
      </c>
      <c r="D43" s="6" t="inlineStr">
        <is>
          <t>289.0%</t>
        </is>
      </c>
      <c r="E43" s="6" t="inlineStr">
        <is>
          <t>302.3%</t>
        </is>
      </c>
      <c r="F43" s="6" t="inlineStr">
        <is>
          <t>499.9%</t>
        </is>
      </c>
    </row>
    <row r="44">
      <c r="A44" s="5" t="inlineStr">
        <is>
          <t>Net Stable Funding Ratio (£'000 / %)</t>
        </is>
      </c>
      <c r="B44" s="6" t="n"/>
      <c r="C44" s="6" t="n"/>
      <c r="D44" s="6" t="n"/>
      <c r="E44" s="6" t="n"/>
      <c r="F44" s="6" t="n"/>
    </row>
    <row r="45">
      <c r="A45" s="6" t="inlineStr">
        <is>
          <t>18    Total available stable funding</t>
        </is>
      </c>
      <c r="B45" s="6" t="n">
        <v>3884410</v>
      </c>
      <c r="C45" s="6" t="n">
        <v>2937724</v>
      </c>
      <c r="D45" s="6" t="n">
        <v>1876364</v>
      </c>
      <c r="E45" s="6" t="n">
        <v>1338171</v>
      </c>
      <c r="F45" s="6" t="n"/>
    </row>
    <row r="46">
      <c r="A46" s="6" t="inlineStr">
        <is>
          <t>19    Total required stable funding</t>
        </is>
      </c>
      <c r="B46" s="6" t="n">
        <v>2799038</v>
      </c>
      <c r="C46" s="6" t="n">
        <v>2195700</v>
      </c>
      <c r="D46" s="6" t="n">
        <v>1385603</v>
      </c>
      <c r="E46" s="6" t="n">
        <v>897829</v>
      </c>
      <c r="F46" s="6" t="n"/>
    </row>
    <row r="47">
      <c r="A47" s="6" t="inlineStr">
        <is>
          <t>20    NSFR ratio (%)</t>
        </is>
      </c>
      <c r="B47" s="6" t="inlineStr">
        <is>
          <t>138.8 %</t>
        </is>
      </c>
      <c r="C47" s="6" t="inlineStr">
        <is>
          <t>133.8 %</t>
        </is>
      </c>
      <c r="D47" s="6" t="inlineStr">
        <is>
          <t>135.4%</t>
        </is>
      </c>
      <c r="E47" s="6" t="inlineStr">
        <is>
          <t>149.0%</t>
        </is>
      </c>
      <c r="F47" s="6" t="n"/>
    </row>
    <row r="49" ht="312" customHeight="1">
      <c r="A49" s="8" t="inlineStr">
        <is>
          <t>Sources — Allica Bank Limited consolidated (Group) basis, UK KM1 Key Metrics table, £'000:
FY2025: Allica Bank Limited Pillar 3 Report 2025, p.2 — https://www.allica.bank/hubfs/pdf/Pillar-3-Report-2025_Allica.pdf
FY2024: Allica Bank Limited Pillar 3 Report 2024, p.2 — https://www.allica.bank/hubfs/pdf/Pillar-3-Report-2024_Allica.pdf
FY2023: Allica Bank Limited Pillar 3 Report 2023, p.2-3 — https://www.allica.bank/hubfs/Allica%20Bank%20Limited_Pillar%203%20Report%20_Year-ended%2031%20December%202023.pdf
FY2022: Allica Bank Limited Pillar 3 Report, year ended 31 December 2022, p.2 — https://www.allica.bank/hubfs/pdf/web/investor-relations/Allica_Bank_Pillar_3_disclosure_2022.pdf
FY2021: comparative column of the FY2022 Pillar 3 Report above, p.2 (restated onto the post-1 Jan 2022 leverage exposure basis per PRA PS21/21).
FY2020: Allica Bank Limited Pillar 3 disclosure, year ended 31 December 2020, p.11 (Common Equity Tier 1 capital, RWA, ratios) — https://www.allica.bank/hubfs/pdf/web/investor-relations/Allica_Bank_Pillar_3_disclosure_2020.pdf
KM1 presentation notes:
• Allica discloses under Article 433b (small and non-complex institution). The report never uses the string "KM1" — the table is headed "Key metrics" — but it is the UK KM1 template, with the same UK-prefixed row numbering, and is reproduced here as printed.
• ROW SET DRIFT: the FY2022 and FY2023 editions print rows UK 8a, UK 9a, 10, UK 10a and 14a-14e with empty value cells; the FY2024 and FY2025 editions omit those rows entirely. The union is shown, in the template's canonical order. Every one of those rows is blank in every year in Allica's own reports, so no disclosed figure is missing. Allica prints "14a"-"14e" without the "UK " prefix used elsewhere in the template.
• PRECISION DRIFT: FY2022/FY2023 print ratios closed up ("17.1%"); FY2024/FY2025 print them with a space before the percent sign ("14.5 %"). Each cell is transcribed from the edition in which that year is the reporting year, so the spacing varies along a row. This is as published and is not an error.
• FY2021 is the comparative column of the FY2022 edition and is blank for rows UK 7a-7d, 12, UK 16a/16b and 18-20, which that edition did not restate. Rows 13 and 14 for FY2021 were restated by Allica onto the post-1 January 2022 leverage basis (central bank claims excluded) per PRA PS21/21, per that edition's own footnote 1.
• FY2020 is blank: the FY2020 and FY2021 Pillar 3 disclosures contain no key-metrics table at all. The individual FY2020 figures on the CET1 Capital, CET1 Ratio and Total RWAs sheets are taken from the narrative capital tables of the FY2020 disclosure, not from a KM1.
• Two small cross-edition inconsistencies in Allica's own printing, recorded but not reconciled: the FY2023 edition prints FY2022 total available stable funding as 1,338,711 where the FY2022 edition prints 1,338,171 (digit transposition in one of the two); and the FY2021 Pillar 3 disclosure prints CET1 capital of 68,817 where the FY2022 edition's comparative column prints 68,816. The value shown here in each case is the one from the edition in which that year is the reporting year.
• Row 17 (LCR) is a 12-month average and row 20 (NSFR) a 4-quarter average, per Allica's footnotes, in every edition that discloses them.</t>
        </is>
      </c>
    </row>
  </sheetData>
  <mergeCells count="1">
    <mergeCell ref="A49:F4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CET1 Capital</t>
        </is>
      </c>
    </row>
    <row r="2">
      <c r="A2" s="2" t="inlineStr">
        <is>
          <t>Consolidated (Group)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(CET1) capital</t>
        </is>
      </c>
      <c r="B4" s="6" t="n">
        <v>325689</v>
      </c>
      <c r="C4" s="6" t="n">
        <v>276827</v>
      </c>
      <c r="D4" s="6" t="n">
        <v>219055</v>
      </c>
      <c r="E4" s="6" t="n">
        <v>170322</v>
      </c>
      <c r="F4" s="6" t="n">
        <v>68816</v>
      </c>
      <c r="G4" s="6" t="n">
        <v>53152</v>
      </c>
    </row>
    <row r="6" ht="110" customHeight="1">
      <c r="A6" s="8" t="inlineStr">
        <is>
          <t>Sources — Allica Bank Limited consolidated (Group) basis, UK KM1 Key Metrics table, £'000:
FY2025: Allica Bank Limited Pillar 3 Report 2025, p.2 — https://www.allica.bank/hubfs/pdf/Pillar-3-Report-2025_Allica.pdf
FY2024: Allica Bank Limited Pillar 3 Report 2024, p.2 — https://www.allica.bank/hubfs/pdf/Pillar-3-Report-2024_Allica.pdf
FY2023: Allica Bank Limited Pillar 3 Report 2023, p.2-3 — https://www.allica.bank/hubfs/Allica%20Bank%20Limited_Pillar%203%20Report%20_Year-ended%2031%20December%202023.pdf
FY2022: Allica Bank Limited Pillar 3 Report, year ended 31 December 2022, p.2 — https://www.allica.bank/hubfs/pdf/web/investor-relations/Allica_Bank_Pillar_3_disclosure_2022.pdf
FY2021: comparative column of the FY2022 Pillar 3 Report above, p.2 (restated onto the post-1 Jan 2022 leverage exposure basis per PRA PS21/21).
FY2020: Allica Bank Limited Pillar 3 disclosure, year ended 31 December 2020, p.11 (Common Equity Tier 1 capital, RWA, ratios) — https://www.allica.bank/hubfs/pdf/web/investor-relations/Allica_Bank_Pillar_3_disclosure_2020.pdf</t>
        </is>
      </c>
    </row>
  </sheetData>
  <mergeCells count="1">
    <mergeCell ref="A6:G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CET1 Ratio</t>
        </is>
      </c>
    </row>
    <row r="2">
      <c r="A2" s="2" t="inlineStr">
        <is>
          <t>Consolidated (Group)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ratio</t>
        </is>
      </c>
      <c r="B4" s="6" t="inlineStr">
        <is>
          <t>13.4%</t>
        </is>
      </c>
      <c r="C4" s="6" t="inlineStr">
        <is>
          <t>14.5%</t>
        </is>
      </c>
      <c r="D4" s="6" t="inlineStr">
        <is>
          <t>15.7%</t>
        </is>
      </c>
      <c r="E4" s="6" t="inlineStr">
        <is>
          <t>17.1%</t>
        </is>
      </c>
      <c r="F4" s="6" t="inlineStr">
        <is>
          <t>14.1%</t>
        </is>
      </c>
      <c r="G4" s="6" t="inlineStr">
        <is>
          <t>69%</t>
        </is>
      </c>
    </row>
    <row r="6" ht="110" customHeight="1">
      <c r="A6" s="8" t="inlineStr">
        <is>
          <t>Sources — Allica Bank Limited consolidated (Group) basis, UK KM1 Key Metrics table, £'000:
FY2025: Allica Bank Limited Pillar 3 Report 2025, p.2 — https://www.allica.bank/hubfs/pdf/Pillar-3-Report-2025_Allica.pdf
FY2024: Allica Bank Limited Pillar 3 Report 2024, p.2 — https://www.allica.bank/hubfs/pdf/Pillar-3-Report-2024_Allica.pdf
FY2023: Allica Bank Limited Pillar 3 Report 2023, p.2-3 — https://www.allica.bank/hubfs/Allica%20Bank%20Limited_Pillar%203%20Report%20_Year-ended%2031%20December%202023.pdf
FY2022: Allica Bank Limited Pillar 3 Report, year ended 31 December 2022, p.2 — https://www.allica.bank/hubfs/pdf/web/investor-relations/Allica_Bank_Pillar_3_disclosure_2022.pdf
FY2021: comparative column of the FY2022 Pillar 3 Report above, p.2 (restated onto the post-1 Jan 2022 leverage exposure basis per PRA PS21/21).
FY2020: Allica Bank Limited Pillar 3 disclosure, year ended 31 December 2020, p.11 (Common Equity Tier 1 capital, RWA, ratios) — https://www.allica.bank/hubfs/pdf/web/investor-relations/Allica_Bank_Pillar_3_disclosure_2020.pdf</t>
        </is>
      </c>
    </row>
  </sheetData>
  <mergeCells count="1">
    <mergeCell ref="A6:G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Tier 1 Capital</t>
        </is>
      </c>
    </row>
    <row r="2">
      <c r="A2" s="2" t="inlineStr">
        <is>
          <t>Consolidated (Group)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capital</t>
        </is>
      </c>
      <c r="B4" s="6" t="n">
        <v>370566</v>
      </c>
      <c r="C4" s="6" t="n">
        <v>321704</v>
      </c>
      <c r="D4" s="6" t="n">
        <v>264182</v>
      </c>
      <c r="E4" s="6" t="n">
        <v>180208</v>
      </c>
      <c r="F4" s="6" t="n">
        <v>86316</v>
      </c>
      <c r="G4" s="6" t="n">
        <v>53152</v>
      </c>
    </row>
    <row r="6" ht="110" customHeight="1">
      <c r="A6" s="8" t="inlineStr">
        <is>
          <t>Sources — Allica Bank Limited consolidated (Group) basis, UK KM1 Key Metrics table, £'000:
FY2025: Allica Bank Limited Pillar 3 Report 2025, p.2 — https://www.allica.bank/hubfs/pdf/Pillar-3-Report-2025_Allica.pdf
FY2024: Allica Bank Limited Pillar 3 Report 2024, p.2 — https://www.allica.bank/hubfs/pdf/Pillar-3-Report-2024_Allica.pdf
FY2023: Allica Bank Limited Pillar 3 Report 2023, p.2-3 — https://www.allica.bank/hubfs/Allica%20Bank%20Limited_Pillar%203%20Report%20_Year-ended%2031%20December%202023.pdf
FY2022: Allica Bank Limited Pillar 3 Report, year ended 31 December 2022, p.2 — https://www.allica.bank/hubfs/pdf/web/investor-relations/Allica_Bank_Pillar_3_disclosure_2022.pdf
FY2021: comparative column of the FY2022 Pillar 3 Report above, p.2 (restated onto the post-1 Jan 2022 leverage exposure basis per PRA PS21/21).
FY2020: Allica Bank Limited Pillar 3 disclosure, year ended 31 December 2020, p.11 (Common Equity Tier 1 capital, RWA, ratios) — https://www.allica.bank/hubfs/pdf/web/investor-relations/Allica_Bank_Pillar_3_disclosure_2020.pdf</t>
        </is>
      </c>
    </row>
  </sheetData>
  <mergeCells count="1">
    <mergeCell ref="A6:G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Tier 1 Ratio</t>
        </is>
      </c>
    </row>
    <row r="2">
      <c r="A2" s="2" t="inlineStr">
        <is>
          <t>Consolidated (Group)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ratio</t>
        </is>
      </c>
      <c r="B4" s="6" t="inlineStr">
        <is>
          <t>15.3%</t>
        </is>
      </c>
      <c r="C4" s="6" t="inlineStr">
        <is>
          <t>16.9%</t>
        </is>
      </c>
      <c r="D4" s="6" t="inlineStr">
        <is>
          <t>18.9%</t>
        </is>
      </c>
      <c r="E4" s="6" t="inlineStr">
        <is>
          <t>18.1%</t>
        </is>
      </c>
      <c r="F4" s="6" t="inlineStr">
        <is>
          <t>17.7%</t>
        </is>
      </c>
      <c r="G4" s="6" t="inlineStr">
        <is>
          <t>69%</t>
        </is>
      </c>
    </row>
    <row r="6" ht="110" customHeight="1">
      <c r="A6" s="8" t="inlineStr">
        <is>
          <t>Sources — Allica Bank Limited consolidated (Group) basis, UK KM1 Key Metrics table, £'000:
FY2025: Allica Bank Limited Pillar 3 Report 2025, p.2 — https://www.allica.bank/hubfs/pdf/Pillar-3-Report-2025_Allica.pdf
FY2024: Allica Bank Limited Pillar 3 Report 2024, p.2 — https://www.allica.bank/hubfs/pdf/Pillar-3-Report-2024_Allica.pdf
FY2023: Allica Bank Limited Pillar 3 Report 2023, p.2-3 — https://www.allica.bank/hubfs/Allica%20Bank%20Limited_Pillar%203%20Report%20_Year-ended%2031%20December%202023.pdf
FY2022: Allica Bank Limited Pillar 3 Report, year ended 31 December 2022, p.2 — https://www.allica.bank/hubfs/pdf/web/investor-relations/Allica_Bank_Pillar_3_disclosure_2022.pdf
FY2021: comparative column of the FY2022 Pillar 3 Report above, p.2 (restated onto the post-1 Jan 2022 leverage exposure basis per PRA PS21/21).
FY2020: Allica Bank Limited Pillar 3 disclosure, year ended 31 December 2020, p.11 (Common Equity Tier 1 capital, RWA, ratios) — https://www.allica.bank/hubfs/pdf/web/investor-relations/Allica_Bank_Pillar_3_disclosure_2020.pdf</t>
        </is>
      </c>
    </row>
  </sheetData>
  <mergeCells count="1">
    <mergeCell ref="A6:G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Total Capital</t>
        </is>
      </c>
    </row>
    <row r="2">
      <c r="A2" s="2" t="inlineStr">
        <is>
          <t>Consolidated (Group)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t>
        </is>
      </c>
      <c r="B4" s="6" t="n">
        <v>406393</v>
      </c>
      <c r="C4" s="6" t="n">
        <v>359031</v>
      </c>
      <c r="D4" s="6" t="n">
        <v>271682</v>
      </c>
      <c r="E4" s="6" t="n">
        <v>187708</v>
      </c>
      <c r="F4" s="6" t="n">
        <v>93816</v>
      </c>
      <c r="G4" s="6" t="n">
        <v>53152</v>
      </c>
    </row>
    <row r="6" ht="110" customHeight="1">
      <c r="A6" s="8" t="inlineStr">
        <is>
          <t>Sources — Allica Bank Limited consolidated (Group) basis, UK KM1 Key Metrics table, £'000:
FY2025: Allica Bank Limited Pillar 3 Report 2025, p.2 — https://www.allica.bank/hubfs/pdf/Pillar-3-Report-2025_Allica.pdf
FY2024: Allica Bank Limited Pillar 3 Report 2024, p.2 — https://www.allica.bank/hubfs/pdf/Pillar-3-Report-2024_Allica.pdf
FY2023: Allica Bank Limited Pillar 3 Report 2023, p.2-3 — https://www.allica.bank/hubfs/Allica%20Bank%20Limited_Pillar%203%20Report%20_Year-ended%2031%20December%202023.pdf
FY2022: Allica Bank Limited Pillar 3 Report, year ended 31 December 2022, p.2 — https://www.allica.bank/hubfs/pdf/web/investor-relations/Allica_Bank_Pillar_3_disclosure_2022.pdf
FY2021: comparative column of the FY2022 Pillar 3 Report above, p.2 (restated onto the post-1 Jan 2022 leverage exposure basis per PRA PS21/21).
FY2020: Allica Bank Limited Pillar 3 disclosure, year ended 31 December 2020, p.11 (Common Equity Tier 1 capital, RWA, ratios) — https://www.allica.bank/hubfs/pdf/web/investor-relations/Allica_Bank_Pillar_3_disclosure_2020.pdf</t>
        </is>
      </c>
    </row>
  </sheetData>
  <mergeCells count="1">
    <mergeCell ref="A6:G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Total Capital Ratio</t>
        </is>
      </c>
    </row>
    <row r="2">
      <c r="A2" s="2" t="inlineStr">
        <is>
          <t>Consolidated (Group)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 ratio</t>
        </is>
      </c>
      <c r="B4" s="6" t="inlineStr">
        <is>
          <t>16.8%</t>
        </is>
      </c>
      <c r="C4" s="6" t="inlineStr">
        <is>
          <t>18.8%</t>
        </is>
      </c>
      <c r="D4" s="6" t="inlineStr">
        <is>
          <t>19.5%</t>
        </is>
      </c>
      <c r="E4" s="6" t="inlineStr">
        <is>
          <t>18.8%</t>
        </is>
      </c>
      <c r="F4" s="6" t="inlineStr">
        <is>
          <t>19.3%</t>
        </is>
      </c>
      <c r="G4" s="6" t="inlineStr">
        <is>
          <t>69%</t>
        </is>
      </c>
    </row>
    <row r="6" ht="110" customHeight="1">
      <c r="A6" s="8" t="inlineStr">
        <is>
          <t>Sources — Allica Bank Limited consolidated (Group) basis, UK KM1 Key Metrics table, £'000:
FY2025: Allica Bank Limited Pillar 3 Report 2025, p.2 — https://www.allica.bank/hubfs/pdf/Pillar-3-Report-2025_Allica.pdf
FY2024: Allica Bank Limited Pillar 3 Report 2024, p.2 — https://www.allica.bank/hubfs/pdf/Pillar-3-Report-2024_Allica.pdf
FY2023: Allica Bank Limited Pillar 3 Report 2023, p.2-3 — https://www.allica.bank/hubfs/Allica%20Bank%20Limited_Pillar%203%20Report%20_Year-ended%2031%20December%202023.pdf
FY2022: Allica Bank Limited Pillar 3 Report, year ended 31 December 2022, p.2 — https://www.allica.bank/hubfs/pdf/web/investor-relations/Allica_Bank_Pillar_3_disclosure_2022.pdf
FY2021: comparative column of the FY2022 Pillar 3 Report above, p.2 (restated onto the post-1 Jan 2022 leverage exposure basis per PRA PS21/21).
FY2020: Allica Bank Limited Pillar 3 disclosure, year ended 31 December 2020, p.11 (Common Equity Tier 1 capital, RWA, ratios) — https://www.allica.bank/hubfs/pdf/web/investor-relations/Allica_Bank_Pillar_3_disclosure_2020.pdf</t>
        </is>
      </c>
    </row>
  </sheetData>
  <mergeCells count="1">
    <mergeCell ref="A6:G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Total RWAs</t>
        </is>
      </c>
    </row>
    <row r="2">
      <c r="A2" s="2" t="inlineStr">
        <is>
          <t>Consolidated (Group)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risk-weighted exposure amount</t>
        </is>
      </c>
      <c r="B4" s="6" t="n">
        <v>2422216</v>
      </c>
      <c r="C4" s="6" t="n">
        <v>1908286</v>
      </c>
      <c r="D4" s="6" t="n">
        <v>1396450</v>
      </c>
      <c r="E4" s="6" t="n">
        <v>997945</v>
      </c>
      <c r="F4" s="6" t="n">
        <v>486558</v>
      </c>
      <c r="G4" s="6" t="n">
        <v>77289</v>
      </c>
    </row>
    <row r="5" ht="30" customHeight="1">
      <c r="A5" s="7" t="inlineStr">
        <is>
          <t>Note: FY2020's Tier 1 capital and Total capital both equal CET1 capital (£53,152k) — Allica had not yet issued any Additional Tier 1 or Tier 2 instruments (its first AT1/perpetual notes were issued during FY2021), so CET1 = Tier 1 = Total capital that year, and the CET1/Tier 1/Total capital ratios are identical (69%).</t>
        </is>
      </c>
    </row>
    <row r="7" ht="110" customHeight="1">
      <c r="A7" s="8" t="inlineStr">
        <is>
          <t>Sources — Allica Bank Limited consolidated (Group) basis, UK KM1 Key Metrics table, £'000:
FY2025: Allica Bank Limited Pillar 3 Report 2025, p.2 — https://www.allica.bank/hubfs/pdf/Pillar-3-Report-2025_Allica.pdf
FY2024: Allica Bank Limited Pillar 3 Report 2024, p.2 — https://www.allica.bank/hubfs/pdf/Pillar-3-Report-2024_Allica.pdf
FY2023: Allica Bank Limited Pillar 3 Report 2023, p.2-3 — https://www.allica.bank/hubfs/Allica%20Bank%20Limited_Pillar%203%20Report%20_Year-ended%2031%20December%202023.pdf
FY2022: Allica Bank Limited Pillar 3 Report, year ended 31 December 2022, p.2 — https://www.allica.bank/hubfs/pdf/web/investor-relations/Allica_Bank_Pillar_3_disclosure_2022.pdf
FY2021: comparative column of the FY2022 Pillar 3 Report above, p.2 (restated onto the post-1 Jan 2022 leverage exposure basis per PRA PS21/21).
FY2020: Allica Bank Limited Pillar 3 disclosure, year ended 31 December 2020, p.11 (Common Equity Tier 1 capital, RWA, ratios) — https://www.allica.bank/hubfs/pdf/web/investor-relations/Allica_Bank_Pillar_3_disclosure_2020.pdf</t>
        </is>
      </c>
    </row>
  </sheetData>
  <mergeCells count="2">
    <mergeCell ref="A7:G7"/>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RWA Breakdown</t>
        </is>
      </c>
    </row>
    <row r="2">
      <c r="A2" s="2" t="inlineStr">
        <is>
          <t>Allica Bank Limited Group (consolidated basis),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6" t="inlineStr">
        <is>
          <t>Credit risk</t>
        </is>
      </c>
      <c r="B4" s="6" t="n"/>
      <c r="C4" s="6" t="n"/>
      <c r="D4" s="6" t="n"/>
      <c r="E4" s="6" t="n"/>
      <c r="F4" s="6" t="n">
        <v>459576</v>
      </c>
      <c r="G4" s="6" t="n">
        <v>53703</v>
      </c>
    </row>
    <row r="5">
      <c r="A5" s="6" t="inlineStr">
        <is>
          <t>Credit valuation adjustment</t>
        </is>
      </c>
      <c r="B5" s="6" t="n"/>
      <c r="C5" s="6" t="n"/>
      <c r="D5" s="6" t="n"/>
      <c r="E5" s="6" t="n"/>
      <c r="F5" s="6" t="n">
        <v>133</v>
      </c>
      <c r="G5" s="6" t="n"/>
    </row>
    <row r="6">
      <c r="A6" s="6" t="inlineStr">
        <is>
          <t>Market risk</t>
        </is>
      </c>
      <c r="B6" s="6" t="n"/>
      <c r="C6" s="6" t="n"/>
      <c r="D6" s="6" t="n"/>
      <c r="E6" s="6" t="n"/>
      <c r="F6" s="6" t="inlineStr">
        <is>
          <t>-</t>
        </is>
      </c>
      <c r="G6" s="6" t="inlineStr">
        <is>
          <t>-</t>
        </is>
      </c>
    </row>
    <row r="7">
      <c r="A7" s="6" t="inlineStr">
        <is>
          <t>Operational risk</t>
        </is>
      </c>
      <c r="B7" s="6" t="n"/>
      <c r="C7" s="6" t="n"/>
      <c r="D7" s="6" t="n"/>
      <c r="E7" s="6" t="n"/>
      <c r="F7" s="6" t="n">
        <v>26849</v>
      </c>
      <c r="G7" s="6" t="n">
        <v>23586</v>
      </c>
    </row>
    <row r="8">
      <c r="A8" s="6" t="inlineStr">
        <is>
          <t>Category breakdown (FY2022 onward)</t>
        </is>
      </c>
      <c r="B8" s="6" t="inlineStr">
        <is>
          <t>Not published – Pillar 3 FY2022-FY2025 is a KM1-only table (CRR Art. 433b); no OV1 or risk-category RWA split in any of those editions</t>
        </is>
      </c>
      <c r="C8" s="6" t="inlineStr">
        <is>
          <t>Not published – Pillar 3 FY2022-FY2025 is a KM1-only table (CRR Art. 433b); no OV1 or risk-category RWA split in any of those editions</t>
        </is>
      </c>
      <c r="D8" s="6" t="inlineStr">
        <is>
          <t>Not published – Pillar 3 FY2022-FY2025 is a KM1-only table (CRR Art. 433b); no OV1 or risk-category RWA split in any of those editions</t>
        </is>
      </c>
      <c r="E8" s="6" t="inlineStr">
        <is>
          <t>Not published – Pillar 3 FY2022-FY2025 is a KM1-only table (CRR Art. 433b); no OV1 or risk-category RWA split in any of those editions</t>
        </is>
      </c>
      <c r="F8" s="6" t="n"/>
      <c r="G8" s="6" t="n"/>
    </row>
    <row r="9">
      <c r="A9" s="5" t="inlineStr">
        <is>
          <t>Total risk-weighted exposure amount</t>
        </is>
      </c>
      <c r="B9" s="5" t="n">
        <v>2422216</v>
      </c>
      <c r="C9" s="5" t="n">
        <v>1908286</v>
      </c>
      <c r="D9" s="5" t="n">
        <v>1396450</v>
      </c>
      <c r="E9" s="5" t="n">
        <v>997945</v>
      </c>
      <c r="F9" s="5" t="n">
        <v>486558</v>
      </c>
      <c r="G9" s="5" t="n">
        <v>77289</v>
      </c>
    </row>
    <row r="11" ht="286" customHeight="1">
      <c r="A11" s="8" t="inlineStr">
        <is>
          <t>Sources — Allica Bank Limited consolidated (Group) UK KM1 Key Metrics table (the only Pillar 3 table Allica publishes — see below):
FY2025: Pillar 3 Report 2025, p.2 — https://www.allica.bank/hubfs/pdf/Pillar-3-Report-2025_Allica.pdf
FY2024: Pillar 3 Report 2024, p.2 — https://www.allica.bank/hubfs/pdf/Pillar-3-Report-2024_Allica.pdf
FY2023: Pillar 3 Report 2023, p.2-3 — https://www.allica.bank/hubfs/Allica%20Bank%20Limited_Pillar%203%20Report%20_Year-ended%2031%20December%202023.pdf
FY2022: Pillar 3 Report, year ended 31 December 2022, p.2 — https://www.allica.bank/hubfs/pdf/web/investor-relations/Allica_Bank_Pillar_3_disclosure_2022.pdf
FY2021: comparative column of the FY2022 Pillar 3 Report above.
FY2020: Pillar 3 disclosure, year ended 31 December 2020, p.11 — https://www.allica.bank/hubfs/pdf/web/investor-relations/Allica_Bank_Pillar_3_disclosure_2020.pdf
NOT DISCLOSED (category breakdown): every one of Allica's Pillar 3 reports is a 2-3 page KM1-Key-Metrics-only disclosure (explicitly published under CRR Article 433b, the small/non-complex institution regime) - none contains a UK OV1 'Overview of risk weighted exposure amounts' table breaking RWA down by risk category (credit/market/operational/CVA etc.). Only the single aggregate Total RWA figure exists for every year (see the Total RWAs sheet, which this sheet's Total row ties out to exactly).
RE-VERIFIED 2026-09-12: re-downloaded and read the live FY2025 Pillar 3 Report directly (not just re-reading this note) - confirmed it is still exactly a 1-page KM1 table with 'Total risk-weighted exposure amount' as its only RWA-related row, published under Article 433b as before. Checked allica.bank/regulatory-disclosures for any second, fuller Pillar 3 document (404, no such page) and the Wayback Machine CDX index for allica.bank (a much larger 405KB 'Pillar_3_disclosure_2019' PDF exists from the bank's earlier, pre-2021 disclosure format, but it predates this workbook's FY2021-FY2025 window and its own KM1-era successors - FY2020 - are already the same 2-3 page format shown above). No category-level breakdown was found anywhere; the non-disclosure is confirmed current, not a stale assumption.
CORRECTED 2026-09-19 (GA-020) FOR FY2021 AND FY2020 - the paragraphs above hold for FY2022-FY2025 only. Allica's FY2020 and FY2021 Pillar 3 disclosures are full-format documents (28 and 32 pages), not KM1-only tables, and each prints a risk-category RWA table in s.3.4 'Regulatory Capital', read off rendered page images: FY2021 - Credit Risk 459,576; Credit Valuation Adjustment 133; Market Risk -; Operational Risk 26,849; Total RWA 486,558 (Pillar 3 disclosures 2021, p.17 - https://www.allica.bank/hubfs/pdf/web/investor-relations/Allica_Bank_Pillar_3_disclosure_2021.pdf). FY2020 - Credit Risk 53,703; Market Risk -; Operational Risk 23,586; Total RWA 77,289 (Pillar 3 disclosures 2020, p.14 - https://www.allica.bank/hubfs/pdf/web/investor-relations/Allica_Bank_Pillar_3_disclosure_2020.pdf). Both sum exactly to the Total row. Operational risk RWAs are the Basic Indicator Approach requirement x 12.5, per the tables' own footnote (2).</t>
        </is>
      </c>
    </row>
  </sheetData>
  <mergeCells count="1">
    <mergeCell ref="A11:G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Leverage Ratio</t>
        </is>
      </c>
    </row>
    <row r="2">
      <c r="A2" s="2" t="inlineStr">
        <is>
          <t>Consolidated (Group) basis, £'000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exposure measure excluding claims on central banks (£'000)</t>
        </is>
      </c>
      <c r="B4" s="6" t="n">
        <v>5092370</v>
      </c>
      <c r="C4" s="6" t="n">
        <v>3421039</v>
      </c>
      <c r="D4" s="6" t="n">
        <v>2208236</v>
      </c>
      <c r="E4" s="6" t="n">
        <v>1595100</v>
      </c>
      <c r="F4" s="6" t="n">
        <v>688827</v>
      </c>
      <c r="G4" s="6" t="n"/>
    </row>
    <row r="5">
      <c r="A5" s="6" t="inlineStr">
        <is>
          <t>Leverage ratio excluding claims on central banks (%)</t>
        </is>
      </c>
      <c r="B5" s="6" t="inlineStr">
        <is>
          <t>7.3%</t>
        </is>
      </c>
      <c r="C5" s="6" t="inlineStr">
        <is>
          <t>9.4%</t>
        </is>
      </c>
      <c r="D5" s="6" t="inlineStr">
        <is>
          <t>11.4%</t>
        </is>
      </c>
      <c r="E5" s="6" t="inlineStr">
        <is>
          <t>11.3%</t>
        </is>
      </c>
      <c r="F5" s="6" t="inlineStr">
        <is>
          <t>12.5%</t>
        </is>
      </c>
      <c r="G5" s="6" t="n"/>
    </row>
    <row r="6">
      <c r="A6" s="6" t="inlineStr">
        <is>
          <t>Total leverage ratio exposure measure, unrestated basis (£'000)</t>
        </is>
      </c>
      <c r="B6" s="6" t="n"/>
      <c r="C6" s="6" t="n"/>
      <c r="D6" s="6" t="n"/>
      <c r="E6" s="6" t="n"/>
      <c r="F6" s="6" t="n"/>
      <c r="G6" s="6" t="n">
        <v>166719</v>
      </c>
    </row>
    <row r="7">
      <c r="A7" s="6" t="inlineStr">
        <is>
          <t>Leverage ratio, unrestated basis (%)</t>
        </is>
      </c>
      <c r="B7" s="6" t="n"/>
      <c r="C7" s="6" t="n"/>
      <c r="D7" s="6" t="n"/>
      <c r="E7" s="6" t="n"/>
      <c r="F7" s="6" t="n"/>
      <c r="G7" s="6" t="inlineStr">
        <is>
          <t>32%</t>
        </is>
      </c>
    </row>
    <row r="8" ht="78" customHeight="1">
      <c r="A8" s="7" t="inlineStr">
        <is>
          <t>Note: Allica has never disclosed a leverage ratio 'including claims on central banks' variant in any of these years and states in every report that it is not an LREQ firm subject to additional leverage ratio disclosure requirements. The FY2021 figures shown are already restated onto the post-1-January-2022 exposure-measure basis (PRA Policy Statement 21/21, excluding certain central bank claims) — the FY2022 Pillar 3 report explicitly restates its FY2021 comparative on this basis to aid comparison, so unlike several other banks in this series there is no leverage-ratio methodology break within Allica's own FY2021-2025 window. FY2020 predates PS21/21 entirely, so its exposure measure and ratio (32%, disclosed in its own row above) are NOT on the same 'excluding central bank claims' basis as FY2021 onward and are not directly comparable to the row above it — shown separately rather than blended into the main row to avoid implying a false trend break.</t>
        </is>
      </c>
    </row>
    <row r="10" ht="110" customHeight="1">
      <c r="A10" s="8" t="inlineStr">
        <is>
          <t>Sources — Allica Bank Limited consolidated (Group) basis, UK KM1 Key Metrics table, £'000:
FY2025: Allica Bank Limited Pillar 3 Report 2025, p.2 — https://www.allica.bank/hubfs/pdf/Pillar-3-Report-2025_Allica.pdf
FY2024: Allica Bank Limited Pillar 3 Report 2024, p.2 — https://www.allica.bank/hubfs/pdf/Pillar-3-Report-2024_Allica.pdf
FY2023: Allica Bank Limited Pillar 3 Report 2023, p.2-3 — https://www.allica.bank/hubfs/Allica%20Bank%20Limited_Pillar%203%20Report%20_Year-ended%2031%20December%202023.pdf
FY2022: Allica Bank Limited Pillar 3 Report, year ended 31 December 2022, p.2 — https://www.allica.bank/hubfs/pdf/web/investor-relations/Allica_Bank_Pillar_3_disclosure_2022.pdf
FY2021: comparative column of the FY2022 Pillar 3 Report above, p.2 (restated onto the post-1 Jan 2022 leverage exposure basis per PRA PS21/21).
FY2020: Allica Bank Limited Pillar 3 disclosure, year ended 31 December 2020, p.11 (Common Equity Tier 1 capital, RWA, ratios) — https://www.allica.bank/hubfs/pdf/web/investor-relations/Allica_Bank_Pillar_3_disclosure_2020.pdf</t>
        </is>
      </c>
    </row>
  </sheetData>
  <mergeCells count="2">
    <mergeCell ref="A8:G8"/>
    <mergeCell ref="A10:G1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LCR</t>
        </is>
      </c>
    </row>
    <row r="2">
      <c r="A2" s="2" t="inlineStr">
        <is>
          <t>Consolidated (Group) basis, £'000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high-quality liquid assets (HQLA), weighted value, average (£'000)</t>
        </is>
      </c>
      <c r="B4" s="6" t="n">
        <v>1928875</v>
      </c>
      <c r="C4" s="6" t="n">
        <v>1137180</v>
      </c>
      <c r="D4" s="6" t="n">
        <v>810081</v>
      </c>
      <c r="E4" s="6" t="n">
        <v>386347</v>
      </c>
      <c r="F4" s="6" t="n">
        <v>171242</v>
      </c>
      <c r="G4" s="6" t="n"/>
    </row>
    <row r="5">
      <c r="A5" s="6" t="inlineStr">
        <is>
          <t>Total net cash outflows, adjusted value (£'000)</t>
        </is>
      </c>
      <c r="B5" s="6" t="n">
        <v>873645</v>
      </c>
      <c r="C5" s="6" t="n">
        <v>525922</v>
      </c>
      <c r="D5" s="6" t="n">
        <v>280344</v>
      </c>
      <c r="E5" s="6" t="n">
        <v>127792</v>
      </c>
      <c r="F5" s="6" t="n">
        <v>34252</v>
      </c>
      <c r="G5" s="6" t="n"/>
    </row>
    <row r="6">
      <c r="A6" s="6" t="inlineStr">
        <is>
          <t>Liquidity Coverage Ratio (%)</t>
        </is>
      </c>
      <c r="B6" s="6" t="inlineStr">
        <is>
          <t>220.8%</t>
        </is>
      </c>
      <c r="C6" s="6" t="inlineStr">
        <is>
          <t>216.2%</t>
        </is>
      </c>
      <c r="D6" s="6" t="inlineStr">
        <is>
          <t>289.0%</t>
        </is>
      </c>
      <c r="E6" s="6" t="inlineStr">
        <is>
          <t>302.3%</t>
        </is>
      </c>
      <c r="F6" s="6" t="inlineStr">
        <is>
          <t>499.9%</t>
        </is>
      </c>
      <c r="G6" s="6" t="inlineStr">
        <is>
          <t>331%</t>
        </is>
      </c>
    </row>
    <row r="7" ht="30" customHeight="1">
      <c r="A7" s="7" t="inlineStr">
        <is>
          <t>Note: LCR is calculated as a 12-month average per Allica's own Pillar 3 methodology note. FY2020's Pillar 3 report discloses only the LCR percentage itself (331%), not the underlying HQLA/net-cash-outflow £'000 components shown for FY2021 onward — those two component rows are left blank for FY2020, not zero.</t>
        </is>
      </c>
    </row>
    <row r="9" ht="110" customHeight="1">
      <c r="A9" s="8" t="inlineStr">
        <is>
          <t>Sources — Allica Bank Limited consolidated (Group) basis, UK KM1 Key Metrics table, £'000:
FY2025: Allica Bank Limited Pillar 3 Report 2025, p.2 — https://www.allica.bank/hubfs/pdf/Pillar-3-Report-2025_Allica.pdf
FY2024: Allica Bank Limited Pillar 3 Report 2024, p.2 — https://www.allica.bank/hubfs/pdf/Pillar-3-Report-2024_Allica.pdf
FY2023: Allica Bank Limited Pillar 3 Report 2023, p.2-3 — https://www.allica.bank/hubfs/Allica%20Bank%20Limited_Pillar%203%20Report%20_Year-ended%2031%20December%202023.pdf
FY2022: Allica Bank Limited Pillar 3 Report, year ended 31 December 2022, p.2 — https://www.allica.bank/hubfs/pdf/web/investor-relations/Allica_Bank_Pillar_3_disclosure_2022.pdf
FY2021: comparative column of the FY2022 Pillar 3 Report above, p.2 (restated onto the post-1 Jan 2022 leverage exposure basis per PRA PS21/21).
FY2020: Allica Bank Limited Pillar 3 disclosure, year ended 31 December 2020, p.11 (Common Equity Tier 1 capital, RWA, ratios) — https://www.allica.bank/hubfs/pdf/web/investor-relations/Allica_Bank_Pillar_3_disclosure_2020.pdf</t>
        </is>
      </c>
    </row>
  </sheetData>
  <mergeCells count="2">
    <mergeCell ref="A7:G7"/>
    <mergeCell ref="A9:G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NSFR</t>
        </is>
      </c>
    </row>
    <row r="2">
      <c r="A2" s="2" t="inlineStr">
        <is>
          <t>Consolidated (Group) basis, £'000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available stable funding (£'000)</t>
        </is>
      </c>
      <c r="B4" s="6" t="n">
        <v>3884410</v>
      </c>
      <c r="C4" s="6" t="n">
        <v>2937724</v>
      </c>
      <c r="D4" s="6" t="n">
        <v>1876364</v>
      </c>
      <c r="E4" s="6" t="n">
        <v>1338171</v>
      </c>
      <c r="F4" s="6" t="n"/>
      <c r="G4" s="6" t="n"/>
    </row>
    <row r="5">
      <c r="A5" s="6" t="inlineStr">
        <is>
          <t>Total required stable funding (£'000)</t>
        </is>
      </c>
      <c r="B5" s="6" t="n">
        <v>2799038</v>
      </c>
      <c r="C5" s="6" t="n">
        <v>2195700</v>
      </c>
      <c r="D5" s="6" t="n">
        <v>1385603</v>
      </c>
      <c r="E5" s="6" t="n">
        <v>897829</v>
      </c>
      <c r="F5" s="6" t="n"/>
      <c r="G5" s="6" t="n"/>
    </row>
    <row r="6">
      <c r="A6" s="6" t="inlineStr">
        <is>
          <t>Net Stable Funding Ratio (%)</t>
        </is>
      </c>
      <c r="B6" s="6" t="inlineStr">
        <is>
          <t>138.8%</t>
        </is>
      </c>
      <c r="C6" s="6" t="inlineStr">
        <is>
          <t>133.8%</t>
        </is>
      </c>
      <c r="D6" s="6" t="inlineStr">
        <is>
          <t>135.4%</t>
        </is>
      </c>
      <c r="E6" s="6" t="inlineStr">
        <is>
          <t>149.0%</t>
        </is>
      </c>
      <c r="F6" s="6" t="inlineStr">
        <is>
          <t>Not applicable – UK NSFR in force only from 1 Jan 2022 (PRA PS17/21); FY2020/FY2021 Pillar 3 print no NSFR, and the FY2022 KM1's 2021 column leaves rows 18-20 blank</t>
        </is>
      </c>
      <c r="G6" s="6" t="inlineStr">
        <is>
          <t>Not applicable – UK NSFR in force only from 1 Jan 2022 (PRA PS17/21); FY2020/FY2021 Pillar 3 print no NSFR, and the FY2022 KM1's 2021 column leaves rows 18-20 blank</t>
        </is>
      </c>
    </row>
    <row r="7" ht="52" customHeight="1">
      <c r="A7" s="7" t="inlineStr">
        <is>
          <t>Note: NSFR was not a Pillar 3 disclosure requirement until FY2022 (the UK NSFR regime took effect from 1 January 2022), so no FY2021 or FY2020 figures exist. NSFR is calculated as a 4-quarter average. FY2022 'Total available stable funding' is reported as £1,338,171k in the FY2022 Pillar 3 report's own current-year column but as £1,338,711k in the FY2023 Pillar 3 report's prior-year comparative column — an apparent digit transposition in one of the two source PDFs. This sheet uses the FY2022 report's own-year figure as authoritative; the £540 discrepancy is immaterial and both reports agree the resulting NSFR ratio is 149.0%.</t>
        </is>
      </c>
    </row>
    <row r="9" ht="110" customHeight="1">
      <c r="A9" s="8" t="inlineStr">
        <is>
          <t>Sources — Allica Bank Limited consolidated (Group) basis, UK KM1 Key Metrics table, £'000:
FY2025: Allica Bank Limited Pillar 3 Report 2025, p.2 — https://www.allica.bank/hubfs/pdf/Pillar-3-Report-2025_Allica.pdf
FY2024: Allica Bank Limited Pillar 3 Report 2024, p.2 — https://www.allica.bank/hubfs/pdf/Pillar-3-Report-2024_Allica.pdf
FY2023: Allica Bank Limited Pillar 3 Report 2023, p.2-3 — https://www.allica.bank/hubfs/Allica%20Bank%20Limited_Pillar%203%20Report%20_Year-ended%2031%20December%202023.pdf
FY2022: Allica Bank Limited Pillar 3 Report, year ended 31 December 2022, p.2 — https://www.allica.bank/hubfs/pdf/web/investor-relations/Allica_Bank_Pillar_3_disclosure_2022.pdf
FY2021: comparative column of the FY2022 Pillar 3 Report above, p.2 (restated onto the post-1 Jan 2022 leverage exposure basis per PRA PS21/21).
FY2020: Allica Bank Limited Pillar 3 disclosure, year ended 31 December 2020, p.11 (Common Equity Tier 1 capital, RWA, ratios) — https://www.allica.bank/hubfs/pdf/web/investor-relations/Allica_Bank_Pillar_3_disclosure_2020.pdf</t>
        </is>
      </c>
    </row>
  </sheetData>
  <mergeCells count="2">
    <mergeCell ref="A7:G7"/>
    <mergeCell ref="A9:G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Allica Bank Limited — MREL Ratio</t>
        </is>
      </c>
    </row>
    <row r="2">
      <c r="A2" s="2" t="inlineStr">
        <is>
          <t>Consolidated (Group) basis</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MREL ratio</t>
        </is>
      </c>
      <c r="B4" s="6" t="inlineStr">
        <is>
          <t>Not published – Pillar 3 for this year is a KM1-only table (Art. 433b) with no MREL row (text-searched 2026-09-19)</t>
        </is>
      </c>
      <c r="C4" s="6" t="inlineStr">
        <is>
          <t>Not published – Pillar 3 for this year is a KM1-only table (Art. 433b) with no MREL row (text-searched 2026-09-19)</t>
        </is>
      </c>
      <c r="D4" s="6" t="inlineStr">
        <is>
          <t>Not published – Pillar 3 for this year is a KM1-only table (Art. 433b) with no MREL row (text-searched 2026-09-19)</t>
        </is>
      </c>
      <c r="E4" s="6" t="inlineStr">
        <is>
          <t>Not published – Pillar 3 for this year is a KM1-only table (Art. 433b) with no MREL row (text-searched 2026-09-19)</t>
        </is>
      </c>
      <c r="F4" s="6" t="inlineStr">
        <is>
          <t>Not applicable – this year's Pillar 3 (s.3.3) states Allica 'is not currently required to hold any additional capital in respect of MREL'</t>
        </is>
      </c>
      <c r="G4" s="6" t="inlineStr">
        <is>
          <t>Not applicable – this year's Pillar 3 (s.3.3) states Allica 'is not currently required to hold any additional capital in respect of MREL'</t>
        </is>
      </c>
    </row>
    <row r="5" ht="52" customHeight="1">
      <c r="A5" s="7" t="inlineStr">
        <is>
          <t>Note: No MREL ratio row appears in any of Allica's Pillar 3 reports; each explicitly states Allica Bank Limited is not an LREQ firm. As a smaller institution below the UK's MREL/bail-in resolution threshold, Allica is not subject to a separate MREL disclosure requirement. GA-020 (2026-09-19): FY2020 and FY2021 are 'Not applicable' on the bank's own words - the FY2020 Pillar 3 (s.3.3, PDF p.13) and FY2021 Pillar 3 (s.3.3, PDF p.16, https://www.allica.bank/hubfs/pdf/web/investor-relations/Allica_Bank_Pillar_3_disclosure_2021.pdf) each state 'Allica is not currently required to hold any additional capital in respect of MREL'. FY2022-FY2025 editions are single KM1 tables with no MREL row and no MREL text at all (text-searched 2026-09-19, 0 hits).</t>
        </is>
      </c>
    </row>
    <row r="7" ht="110" customHeight="1">
      <c r="A7" s="8" t="inlineStr">
        <is>
          <t>Sources — Allica Bank Limited consolidated (Group) basis, UK KM1 Key Metrics table, £'000:
FY2025: Allica Bank Limited Pillar 3 Report 2025, p.2 — https://www.allica.bank/hubfs/pdf/Pillar-3-Report-2025_Allica.pdf
FY2024: Allica Bank Limited Pillar 3 Report 2024, p.2 — https://www.allica.bank/hubfs/pdf/Pillar-3-Report-2024_Allica.pdf
FY2023: Allica Bank Limited Pillar 3 Report 2023, p.2-3 — https://www.allica.bank/hubfs/Allica%20Bank%20Limited_Pillar%203%20Report%20_Year-ended%2031%20December%202023.pdf
FY2022: Allica Bank Limited Pillar 3 Report, year ended 31 December 2022, p.2 — https://www.allica.bank/hubfs/pdf/web/investor-relations/Allica_Bank_Pillar_3_disclosure_2022.pdf
FY2021: comparative column of the FY2022 Pillar 3 Report above, p.2 (restated onto the post-1 Jan 2022 leverage exposure basis per PRA PS21/21).
FY2020: Allica Bank Limited Pillar 3 disclosure, year ended 31 December 2020, p.11 (Common Equity Tier 1 capital, RWA, ratios) — https://www.allica.bank/hubfs/pdf/web/investor-relations/Allica_Bank_Pillar_3_disclosure_2020.pdf</t>
        </is>
      </c>
    </row>
  </sheetData>
  <mergeCells count="2">
    <mergeCell ref="A7:G7"/>
    <mergeCell ref="A5: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2026-10-26T09:35:53Z</dcterms:created>
  <dcterms:modified xmlns:dcterms="http://purl.org/dc/terms/" xmlns:xsi="http://www.w3.org/2001/XMLSchema-instance" xsi:type="dcterms:W3CDTF">2026-10-26T09:35:53Z</dcterms:modified>
</cp:coreProperties>
</file>