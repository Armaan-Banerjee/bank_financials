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C1440E"/>
        <bgColor rgb="00C1440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Allica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£m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Allica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Allica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(£m)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669.6</v>
      </c>
      <c r="C6" s="5" t="n">
        <v>884.1</v>
      </c>
      <c r="D6" s="5" t="n">
        <v>480.482</v>
      </c>
      <c r="E6" s="5" t="n">
        <v>-113.543</v>
      </c>
      <c r="F6" s="5" t="n">
        <v>187.507</v>
      </c>
      <c r="I6" t="inlineStr">
        <is>
          <t>Net cash from/(used in) operating activities</t>
        </is>
      </c>
      <c r="J6" t="n">
        <v>187.507</v>
      </c>
      <c r="K6" t="n">
        <v>-113.543</v>
      </c>
      <c r="L6" t="n">
        <v>480.482</v>
      </c>
      <c r="M6" t="n">
        <v>884.1</v>
      </c>
      <c r="N6" t="n">
        <v>669.6</v>
      </c>
      <c r="Q6" t="inlineStr">
        <is>
          <t>CET1 Ratio</t>
        </is>
      </c>
      <c r="R6" t="n">
        <v>14.1</v>
      </c>
      <c r="S6" t="n">
        <v>17.1</v>
      </c>
      <c r="T6" t="n">
        <v>15.7</v>
      </c>
      <c r="U6" t="n">
        <v>14.5</v>
      </c>
      <c r="V6" t="n">
        <v>13.4</v>
      </c>
    </row>
    <row r="7">
      <c r="A7" s="5" t="inlineStr">
        <is>
          <t>Net cash from/(used in) investing activities</t>
        </is>
      </c>
      <c r="B7" s="5" t="n">
        <v>-841.7</v>
      </c>
      <c r="C7" s="5" t="n">
        <v>-194</v>
      </c>
      <c r="D7" s="5" t="n">
        <v>-60.323</v>
      </c>
      <c r="E7" s="5" t="n">
        <v>-34.875</v>
      </c>
      <c r="F7" s="5" t="n">
        <v>-43.783</v>
      </c>
      <c r="I7" t="inlineStr">
        <is>
          <t>Net cash from/(used in) investing activities</t>
        </is>
      </c>
      <c r="J7" t="n">
        <v>-43.783</v>
      </c>
      <c r="K7" t="n">
        <v>-34.875</v>
      </c>
      <c r="L7" t="n">
        <v>-60.323</v>
      </c>
      <c r="M7" t="n">
        <v>-194</v>
      </c>
      <c r="N7" t="n">
        <v>-841.7</v>
      </c>
      <c r="Q7" t="inlineStr">
        <is>
          <t>Tier 1 Ratio</t>
        </is>
      </c>
      <c r="R7" t="n">
        <v>17.7</v>
      </c>
      <c r="S7" t="n">
        <v>18.1</v>
      </c>
      <c r="T7" t="n">
        <v>18.9</v>
      </c>
      <c r="U7" t="n">
        <v>16.9</v>
      </c>
      <c r="V7" t="n">
        <v>15.3</v>
      </c>
    </row>
    <row r="8">
      <c r="A8" s="5" t="inlineStr">
        <is>
          <t>Net cash from/(used in) financing activities</t>
        </is>
      </c>
      <c r="B8" s="5" t="n">
        <v>-38.1</v>
      </c>
      <c r="C8" s="5" t="n">
        <v>54.4</v>
      </c>
      <c r="D8" s="5" t="n">
        <v>69.298</v>
      </c>
      <c r="E8" s="5" t="n">
        <v>98.68300000000001</v>
      </c>
      <c r="F8" s="5" t="n">
        <v>65.59399999999999</v>
      </c>
      <c r="I8" t="inlineStr">
        <is>
          <t>Net cash from/(used in) financing activities</t>
        </is>
      </c>
      <c r="J8" t="n">
        <v>65.59399999999999</v>
      </c>
      <c r="K8" t="n">
        <v>98.68300000000001</v>
      </c>
      <c r="L8" t="n">
        <v>69.298</v>
      </c>
      <c r="M8" t="n">
        <v>54.4</v>
      </c>
      <c r="N8" t="n">
        <v>-38.1</v>
      </c>
      <c r="Q8" t="inlineStr">
        <is>
          <t>Total Capital Ratio</t>
        </is>
      </c>
      <c r="R8" t="n">
        <v>19.3</v>
      </c>
      <c r="S8" t="n">
        <v>18.8</v>
      </c>
      <c r="T8" t="n">
        <v>19.5</v>
      </c>
      <c r="U8" t="n">
        <v>18.8</v>
      </c>
      <c r="V8" t="n">
        <v>16.8</v>
      </c>
    </row>
    <row r="9">
      <c r="A9" s="5" t="inlineStr">
        <is>
          <t>Cash and cash equivalents at end of year</t>
        </is>
      </c>
      <c r="B9" s="5" t="n">
        <v>1286.5</v>
      </c>
      <c r="C9" s="5" t="n">
        <v>1496.8</v>
      </c>
      <c r="D9" s="5" t="n">
        <v>752.303</v>
      </c>
      <c r="E9" s="5" t="n">
        <v>262.846</v>
      </c>
      <c r="F9" s="5" t="n">
        <v>312.581</v>
      </c>
      <c r="I9" t="inlineStr">
        <is>
          <t>Cash and cash equivalents at end of year</t>
        </is>
      </c>
      <c r="J9" t="n">
        <v>312.581</v>
      </c>
      <c r="K9" t="n">
        <v>262.846</v>
      </c>
      <c r="L9" t="n">
        <v>752.303</v>
      </c>
      <c r="M9" t="n">
        <v>1496.8</v>
      </c>
      <c r="N9" t="n">
        <v>1286.5</v>
      </c>
      <c r="Q9" t="inlineStr">
        <is>
          <t>Leverage Ratio (excl. central banks)</t>
        </is>
      </c>
      <c r="R9" t="n">
        <v>12.5</v>
      </c>
      <c r="S9" t="n">
        <v>11.3</v>
      </c>
      <c r="T9" t="n">
        <v>11.4</v>
      </c>
      <c r="U9" t="n">
        <v>9.4</v>
      </c>
      <c r="V9" t="n">
        <v>7.3</v>
      </c>
    </row>
    <row r="10">
      <c r="Q10" t="inlineStr">
        <is>
          <t>LCR</t>
        </is>
      </c>
      <c r="R10" t="n">
        <v>499.9</v>
      </c>
      <c r="S10" t="n">
        <v>302.3</v>
      </c>
      <c r="T10" t="n">
        <v>289</v>
      </c>
      <c r="U10" t="n">
        <v>216.2</v>
      </c>
      <c r="V10" t="n">
        <v>220.8</v>
      </c>
    </row>
    <row r="11">
      <c r="A11" s="3" t="inlineStr">
        <is>
          <t>Pillar 3 Key Metrics</t>
        </is>
      </c>
      <c r="Q11" t="inlineStr">
        <is>
          <t>NSFR</t>
        </is>
      </c>
      <c r="S11" t="n">
        <v>149</v>
      </c>
      <c r="T11" t="n">
        <v>135.4</v>
      </c>
      <c r="U11" t="n">
        <v>133.8</v>
      </c>
      <c r="V11" t="n">
        <v>138.8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inlineStr">
        <is>
          <t>13.4%</t>
        </is>
      </c>
      <c r="C13" s="6" t="inlineStr">
        <is>
          <t>14.5%</t>
        </is>
      </c>
      <c r="D13" s="6" t="inlineStr">
        <is>
          <t>15.7%</t>
        </is>
      </c>
      <c r="E13" s="6" t="inlineStr">
        <is>
          <t>17.1%</t>
        </is>
      </c>
      <c r="F13" s="6" t="inlineStr">
        <is>
          <t>14.1%</t>
        </is>
      </c>
    </row>
    <row r="14">
      <c r="A14" s="6" t="inlineStr">
        <is>
          <t>Tier 1 Ratio</t>
        </is>
      </c>
      <c r="B14" s="6" t="inlineStr">
        <is>
          <t>15.3%</t>
        </is>
      </c>
      <c r="C14" s="6" t="inlineStr">
        <is>
          <t>16.9%</t>
        </is>
      </c>
      <c r="D14" s="6" t="inlineStr">
        <is>
          <t>18.9%</t>
        </is>
      </c>
      <c r="E14" s="6" t="inlineStr">
        <is>
          <t>18.1%</t>
        </is>
      </c>
      <c r="F14" s="6" t="inlineStr">
        <is>
          <t>17.7%</t>
        </is>
      </c>
    </row>
    <row r="15">
      <c r="A15" s="6" t="inlineStr">
        <is>
          <t>Total Capital Ratio</t>
        </is>
      </c>
      <c r="B15" s="6" t="inlineStr">
        <is>
          <t>16.8%</t>
        </is>
      </c>
      <c r="C15" s="6" t="inlineStr">
        <is>
          <t>18.8%</t>
        </is>
      </c>
      <c r="D15" s="6" t="inlineStr">
        <is>
          <t>19.5%</t>
        </is>
      </c>
      <c r="E15" s="6" t="inlineStr">
        <is>
          <t>18.8%</t>
        </is>
      </c>
      <c r="F15" s="6" t="inlineStr">
        <is>
          <t>19.3%</t>
        </is>
      </c>
    </row>
    <row r="16">
      <c r="A16" s="6" t="inlineStr">
        <is>
          <t>Leverage Ratio (excl. central banks)</t>
        </is>
      </c>
      <c r="B16" s="6" t="inlineStr">
        <is>
          <t>7.3%</t>
        </is>
      </c>
      <c r="C16" s="6" t="inlineStr">
        <is>
          <t>9.4%</t>
        </is>
      </c>
      <c r="D16" s="6" t="inlineStr">
        <is>
          <t>11.4%</t>
        </is>
      </c>
      <c r="E16" s="6" t="inlineStr">
        <is>
          <t>11.3%</t>
        </is>
      </c>
      <c r="F16" s="6" t="inlineStr">
        <is>
          <t>12.5%</t>
        </is>
      </c>
    </row>
    <row r="17">
      <c r="A17" s="6" t="inlineStr">
        <is>
          <t>LCR</t>
        </is>
      </c>
      <c r="B17" s="6" t="inlineStr">
        <is>
          <t>220.8%</t>
        </is>
      </c>
      <c r="C17" s="6" t="inlineStr">
        <is>
          <t>216.2%</t>
        </is>
      </c>
      <c r="D17" s="6" t="inlineStr">
        <is>
          <t>289.0%</t>
        </is>
      </c>
      <c r="E17" s="6" t="inlineStr">
        <is>
          <t>302.3%</t>
        </is>
      </c>
      <c r="F17" s="6" t="inlineStr">
        <is>
          <t>499.9%</t>
        </is>
      </c>
    </row>
    <row r="18">
      <c r="A18" s="6" t="inlineStr">
        <is>
          <t>NSFR</t>
        </is>
      </c>
      <c r="B18" s="6" t="inlineStr">
        <is>
          <t>138.8%</t>
        </is>
      </c>
      <c r="C18" s="6" t="inlineStr">
        <is>
          <t>133.8%</t>
        </is>
      </c>
      <c r="D18" s="6" t="inlineStr">
        <is>
          <t>135.4%</t>
        </is>
      </c>
      <c r="E18" s="6" t="inlineStr">
        <is>
          <t>149.0%</t>
        </is>
      </c>
      <c r="F18" s="6" t="inlineStr">
        <is>
          <t>Not disclosed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Allica is a young, fast-growing SME-lending challenger bank (authorised 2019) — its steadily declining capital/liquidity ratios alongside rapidly rising absolute capital and RWA figures reflect fast balance-sheet growth diluting ratios from an initially very well-capitalised base, not deteriorating credit quality.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Consolidated Statement of Cash Flows</t>
        </is>
      </c>
    </row>
    <row r="2">
      <c r="A2" s="2" t="inlineStr">
        <is>
          <t>Allica Bank Limited Group (consolidated basis), £m unless stated</t>
        </is>
      </c>
    </row>
    <row r="3">
      <c r="A3" s="4" t="inlineStr">
        <is>
          <t>Line item</t>
        </is>
      </c>
      <c r="B3" s="4" t="inlineStr">
        <is>
          <t>FY2025 (£m)</t>
        </is>
      </c>
      <c r="C3" s="4" t="inlineStr">
        <is>
          <t>FY2024 (£m)</t>
        </is>
      </c>
      <c r="D3" s="4" t="inlineStr">
        <is>
          <t>FY2023 (£m)</t>
        </is>
      </c>
      <c r="E3" s="4" t="inlineStr">
        <is>
          <t>FY2022 (£m)</t>
        </is>
      </c>
      <c r="F3" s="4" t="inlineStr">
        <is>
          <t>FY2021 (£m)</t>
        </is>
      </c>
    </row>
    <row r="4">
      <c r="A4" s="5" t="inlineStr">
        <is>
          <t>Reconciliation of profit before tax to net cash flows from 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36.9</v>
      </c>
      <c r="C5" s="6" t="n">
        <v>29.9</v>
      </c>
      <c r="D5" s="6" t="n">
        <v>16.091</v>
      </c>
      <c r="E5" s="6" t="n">
        <v>-1.587</v>
      </c>
      <c r="F5" s="6" t="n">
        <v>-25.058</v>
      </c>
    </row>
    <row r="6">
      <c r="A6" s="6" t="inlineStr">
        <is>
          <t>Depreciation</t>
        </is>
      </c>
      <c r="B6" s="6" t="n">
        <v>1.5</v>
      </c>
      <c r="C6" s="6" t="n">
        <v>1</v>
      </c>
      <c r="D6" s="6" t="n">
        <v>0.849</v>
      </c>
      <c r="E6" s="6" t="n">
        <v>0.491</v>
      </c>
      <c r="F6" s="6" t="n">
        <v>0.312</v>
      </c>
    </row>
    <row r="7">
      <c r="A7" s="6" t="inlineStr">
        <is>
          <t>Amortisation</t>
        </is>
      </c>
      <c r="B7" s="6" t="n">
        <v>9.4</v>
      </c>
      <c r="C7" s="6" t="n">
        <v>5.3</v>
      </c>
      <c r="D7" s="6" t="n">
        <v>3.606</v>
      </c>
      <c r="E7" s="6" t="n">
        <v>2.846</v>
      </c>
      <c r="F7" s="6" t="n">
        <v>2.421</v>
      </c>
    </row>
    <row r="8">
      <c r="A8" s="6" t="inlineStr">
        <is>
          <t>Loss on disposal/write-off of fixed assets</t>
        </is>
      </c>
      <c r="B8" s="6" t="n"/>
      <c r="C8" s="6" t="n"/>
      <c r="D8" s="6" t="n">
        <v>0.028</v>
      </c>
      <c r="E8" s="6" t="n">
        <v>0.059</v>
      </c>
      <c r="F8" s="6" t="n">
        <v>0</v>
      </c>
    </row>
    <row r="9">
      <c r="A9" s="6" t="inlineStr">
        <is>
          <t>Loss on write-off of intangible assets</t>
        </is>
      </c>
      <c r="B9" s="6" t="n"/>
      <c r="C9" s="6" t="n"/>
      <c r="D9" s="6" t="n">
        <v>0.9389999999999999</v>
      </c>
      <c r="E9" s="6" t="n">
        <v>0</v>
      </c>
      <c r="F9" s="6" t="n">
        <v>6.712</v>
      </c>
    </row>
    <row r="10">
      <c r="A10" s="6" t="inlineStr">
        <is>
          <t>Net fair value (losses)/gains on derivatives</t>
        </is>
      </c>
      <c r="B10" s="6" t="n">
        <v>0</v>
      </c>
      <c r="C10" s="6" t="n">
        <v>0</v>
      </c>
      <c r="D10" s="6" t="n">
        <v>-0.146</v>
      </c>
      <c r="E10" s="6" t="n">
        <v>0.017</v>
      </c>
      <c r="F10" s="6" t="n">
        <v>0.147</v>
      </c>
    </row>
    <row r="11">
      <c r="A11" s="6" t="inlineStr">
        <is>
          <t>Share-based payment charge</t>
        </is>
      </c>
      <c r="B11" s="6" t="n"/>
      <c r="C11" s="6" t="n"/>
      <c r="D11" s="6" t="n">
        <v>0</v>
      </c>
      <c r="E11" s="6" t="n">
        <v>0.288</v>
      </c>
      <c r="F11" s="6" t="n">
        <v>0.113</v>
      </c>
    </row>
    <row r="12">
      <c r="A12" s="6" t="inlineStr">
        <is>
          <t>Impairment losses</t>
        </is>
      </c>
      <c r="B12" s="6" t="n">
        <v>13.3</v>
      </c>
      <c r="C12" s="6" t="n">
        <v>10.7</v>
      </c>
      <c r="D12" s="6" t="n">
        <v>14.279</v>
      </c>
      <c r="E12" s="6" t="n">
        <v>8.417</v>
      </c>
      <c r="F12" s="6" t="n">
        <v>1.077</v>
      </c>
    </row>
    <row r="13">
      <c r="A13" s="6" t="inlineStr">
        <is>
          <t>Interest income accrued (non-cash reversal)</t>
        </is>
      </c>
      <c r="B13" s="6" t="n">
        <v>-17.2</v>
      </c>
      <c r="C13" s="6" t="n">
        <v>-14.7</v>
      </c>
      <c r="D13" s="6" t="n">
        <v>-177.843</v>
      </c>
      <c r="E13" s="6" t="n">
        <v>-72.252</v>
      </c>
      <c r="F13" s="6" t="n">
        <v>-11.494</v>
      </c>
    </row>
    <row r="14">
      <c r="A14" s="6" t="inlineStr">
        <is>
          <t>Interest expense accrued (non-cash reversal)</t>
        </is>
      </c>
      <c r="B14" s="6" t="n">
        <v>-9.9</v>
      </c>
      <c r="C14" s="6" t="n">
        <v>19.1</v>
      </c>
      <c r="D14" s="6" t="n">
        <v>97.813</v>
      </c>
      <c r="E14" s="6" t="n">
        <v>23.358</v>
      </c>
      <c r="F14" s="6" t="n">
        <v>3.67</v>
      </c>
    </row>
    <row r="15">
      <c r="A15" s="6" t="inlineStr">
        <is>
          <t>Other non-cash items</t>
        </is>
      </c>
      <c r="B15" s="6" t="n">
        <v>6.6</v>
      </c>
      <c r="C15" s="6" t="n">
        <v>0</v>
      </c>
      <c r="D15" s="6" t="n"/>
      <c r="E15" s="6" t="n"/>
      <c r="F15" s="6" t="n"/>
    </row>
    <row r="16">
      <c r="A16" s="5" t="inlineStr">
        <is>
          <t>Changes in operating assets and 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Net change in balances at central banks</t>
        </is>
      </c>
      <c r="B17" s="6" t="n">
        <v>-0.1</v>
      </c>
      <c r="C17" s="6" t="n">
        <v>6.7</v>
      </c>
      <c r="D17" s="6" t="n">
        <v>-6.106</v>
      </c>
      <c r="E17" s="6" t="n">
        <v>-2.87</v>
      </c>
      <c r="F17" s="6" t="n">
        <v>0</v>
      </c>
    </row>
    <row r="18">
      <c r="A18" s="6" t="inlineStr">
        <is>
          <t>Net change in loans and advances to banks</t>
        </is>
      </c>
      <c r="B18" s="6" t="n">
        <v>3.6</v>
      </c>
      <c r="C18" s="6" t="n">
        <v>41.7</v>
      </c>
      <c r="D18" s="6" t="n">
        <v>-16.762</v>
      </c>
      <c r="E18" s="6" t="n">
        <v>-28.527</v>
      </c>
      <c r="F18" s="6" t="n">
        <v>0</v>
      </c>
    </row>
    <row r="19">
      <c r="A19" s="6" t="inlineStr">
        <is>
          <t>Net change in loans and advances to customers</t>
        </is>
      </c>
      <c r="B19" s="6" t="n">
        <v>-651.3</v>
      </c>
      <c r="C19" s="6" t="n">
        <v>-1007.9</v>
      </c>
      <c r="D19" s="6" t="n">
        <v>-618.9640000000001</v>
      </c>
      <c r="E19" s="6" t="n">
        <v>-795.711</v>
      </c>
      <c r="F19" s="6" t="n">
        <v>-520.942</v>
      </c>
    </row>
    <row r="20">
      <c r="A20" s="6" t="inlineStr">
        <is>
          <t>Net change in deposits from banks</t>
        </is>
      </c>
      <c r="B20" s="6" t="n">
        <v>-16.5</v>
      </c>
      <c r="C20" s="6" t="n">
        <v>13.4</v>
      </c>
      <c r="D20" s="6" t="n"/>
      <c r="E20" s="6" t="n"/>
      <c r="F20" s="6" t="n"/>
    </row>
    <row r="21">
      <c r="A21" s="6" t="inlineStr">
        <is>
          <t>Net change in deposits from customers</t>
        </is>
      </c>
      <c r="B21" s="6" t="n">
        <v>1301.1</v>
      </c>
      <c r="C21" s="6" t="n">
        <v>1778.5</v>
      </c>
      <c r="D21" s="6" t="n">
        <v>1101.86</v>
      </c>
      <c r="E21" s="6" t="n">
        <v>657.114</v>
      </c>
      <c r="F21" s="6" t="n">
        <v>740.0170000000001</v>
      </c>
    </row>
    <row r="22">
      <c r="A22" s="6" t="inlineStr">
        <is>
          <t>Net change in cash collateral</t>
        </is>
      </c>
      <c r="B22" s="6" t="n"/>
      <c r="C22" s="6" t="n"/>
      <c r="D22" s="6" t="n">
        <v>-20.029</v>
      </c>
      <c r="E22" s="6" t="n">
        <v>23.514</v>
      </c>
      <c r="F22" s="6" t="n">
        <v>0</v>
      </c>
    </row>
    <row r="23">
      <c r="A23" s="6" t="inlineStr">
        <is>
          <t>Net change in derivatives (balance sheet)</t>
        </is>
      </c>
      <c r="B23" s="6" t="n"/>
      <c r="C23" s="6" t="n"/>
      <c r="D23" s="6" t="n"/>
      <c r="E23" s="6" t="n">
        <v>0</v>
      </c>
      <c r="F23" s="6" t="n">
        <v>0.806</v>
      </c>
    </row>
    <row r="24">
      <c r="A24" s="6" t="inlineStr">
        <is>
          <t>Net change in trade and other debtors</t>
        </is>
      </c>
      <c r="B24" s="6" t="n">
        <v>-2.5</v>
      </c>
      <c r="C24" s="6" t="n">
        <v>-2.8</v>
      </c>
      <c r="D24" s="6" t="n">
        <v>2.447</v>
      </c>
      <c r="E24" s="6" t="n">
        <v>13.89</v>
      </c>
      <c r="F24" s="6" t="n">
        <v>-20.758</v>
      </c>
    </row>
    <row r="25">
      <c r="A25" s="6" t="inlineStr">
        <is>
          <t>Net change in trade and other creditors</t>
        </is>
      </c>
      <c r="B25" s="6" t="n">
        <v>-1.6</v>
      </c>
      <c r="C25" s="6" t="n">
        <v>6.6</v>
      </c>
      <c r="D25" s="6" t="n">
        <v>2.034</v>
      </c>
      <c r="E25" s="6" t="n">
        <v>2.715</v>
      </c>
      <c r="F25" s="6" t="n">
        <v>2.364</v>
      </c>
    </row>
    <row r="26">
      <c r="A26" s="6" t="inlineStr">
        <is>
          <t>Net change in provisions</t>
        </is>
      </c>
      <c r="B26" s="6" t="n"/>
      <c r="C26" s="6" t="n"/>
      <c r="D26" s="6" t="n"/>
      <c r="E26" s="6" t="n">
        <v>0</v>
      </c>
      <c r="F26" s="6" t="n">
        <v>-0.024</v>
      </c>
    </row>
    <row r="27">
      <c r="A27" s="6" t="inlineStr">
        <is>
          <t>Interest income received (cash)</t>
        </is>
      </c>
      <c r="B27" s="6" t="n"/>
      <c r="C27" s="6" t="n"/>
      <c r="D27" s="6" t="n">
        <v>158.027</v>
      </c>
      <c r="E27" s="6" t="n">
        <v>71.813</v>
      </c>
      <c r="F27" s="6" t="n">
        <v>10.361</v>
      </c>
    </row>
    <row r="28">
      <c r="A28" s="6" t="inlineStr">
        <is>
          <t>Interest expense paid (cash)</t>
        </is>
      </c>
      <c r="B28" s="6" t="n"/>
      <c r="C28" s="6" t="n"/>
      <c r="D28" s="6" t="n">
        <v>-76.617</v>
      </c>
      <c r="E28" s="6" t="n">
        <v>-17.118</v>
      </c>
      <c r="F28" s="6" t="n">
        <v>-2.217</v>
      </c>
    </row>
    <row r="29">
      <c r="A29" s="6" t="inlineStr">
        <is>
          <t>Tax paid</t>
        </is>
      </c>
      <c r="B29" s="6" t="n">
        <v>-3.7</v>
      </c>
      <c r="C29" s="6" t="n">
        <v>-3.4</v>
      </c>
      <c r="D29" s="6" t="n">
        <v>-1.024</v>
      </c>
      <c r="E29" s="6" t="n">
        <v>0</v>
      </c>
      <c r="F29" s="6" t="n">
        <v>0</v>
      </c>
    </row>
    <row r="30">
      <c r="A30" s="5" t="inlineStr">
        <is>
          <t>Net cash from/(used in) operating activities</t>
        </is>
      </c>
      <c r="B30" s="5" t="n">
        <v>669.6</v>
      </c>
      <c r="C30" s="5" t="n">
        <v>884.1</v>
      </c>
      <c r="D30" s="5" t="n">
        <v>480.482</v>
      </c>
      <c r="E30" s="5" t="n">
        <v>-113.543</v>
      </c>
      <c r="F30" s="5" t="n">
        <v>187.507</v>
      </c>
    </row>
    <row r="31">
      <c r="A31" s="5" t="inlineStr">
        <is>
          <t>Investing activities</t>
        </is>
      </c>
      <c r="B31" s="6" t="n"/>
      <c r="C31" s="6" t="n"/>
      <c r="D31" s="6" t="n"/>
      <c r="E31" s="6" t="n"/>
      <c r="F31" s="6" t="n"/>
    </row>
    <row r="32">
      <c r="A32" s="6" t="inlineStr">
        <is>
          <t>Purchase of debt securities</t>
        </is>
      </c>
      <c r="B32" s="6" t="n">
        <v>-1391.5</v>
      </c>
      <c r="C32" s="6" t="n">
        <v>-577</v>
      </c>
      <c r="D32" s="6" t="n">
        <v>-49.641</v>
      </c>
      <c r="E32" s="6" t="n">
        <v>-25.737</v>
      </c>
      <c r="F32" s="6" t="n">
        <v>-40.41</v>
      </c>
    </row>
    <row r="33">
      <c r="A33" s="6" t="inlineStr">
        <is>
          <t>Proceeds from sale and maturity of debt securities</t>
        </is>
      </c>
      <c r="B33" s="6" t="n">
        <v>554.4</v>
      </c>
      <c r="C33" s="6" t="n">
        <v>402.2</v>
      </c>
      <c r="D33" s="6" t="n"/>
      <c r="E33" s="6" t="n"/>
      <c r="F33" s="6" t="n"/>
    </row>
    <row r="34">
      <c r="A34" s="6" t="inlineStr">
        <is>
          <t>Purchase of investments</t>
        </is>
      </c>
      <c r="B34" s="6" t="n"/>
      <c r="C34" s="6" t="n"/>
      <c r="D34" s="6" t="n">
        <v>0</v>
      </c>
      <c r="E34" s="6" t="n">
        <v>-1</v>
      </c>
      <c r="F34" s="6" t="n">
        <v>0</v>
      </c>
    </row>
    <row r="35">
      <c r="A35" s="6" t="inlineStr">
        <is>
          <t>Acquisition of a subsidiary, net of cash acquired</t>
        </is>
      </c>
      <c r="B35" s="6" t="n">
        <v>8</v>
      </c>
      <c r="C35" s="6" t="n">
        <v>-6.1</v>
      </c>
      <c r="D35" s="6" t="n"/>
      <c r="E35" s="6" t="n"/>
      <c r="F35" s="6" t="n"/>
    </row>
    <row r="36">
      <c r="A36" s="6" t="inlineStr">
        <is>
          <t>Purchase of property, plant and equipment</t>
        </is>
      </c>
      <c r="B36" s="6" t="n">
        <v>-0.9</v>
      </c>
      <c r="C36" s="6" t="n">
        <v>-0.8</v>
      </c>
      <c r="D36" s="6" t="n">
        <v>-0.5679999999999999</v>
      </c>
      <c r="E36" s="6" t="n">
        <v>-0.613</v>
      </c>
      <c r="F36" s="6" t="n">
        <v>-0.154</v>
      </c>
    </row>
    <row r="37">
      <c r="A37" s="6" t="inlineStr">
        <is>
          <t>Purchase and development of intangible assets</t>
        </is>
      </c>
      <c r="B37" s="6" t="n">
        <v>-11.7</v>
      </c>
      <c r="C37" s="6" t="n">
        <v>-12.3</v>
      </c>
      <c r="D37" s="6" t="n">
        <v>-10.114</v>
      </c>
      <c r="E37" s="6" t="n">
        <v>-7.525</v>
      </c>
      <c r="F37" s="6" t="n">
        <v>-3.219</v>
      </c>
    </row>
    <row r="38">
      <c r="A38" s="5" t="inlineStr">
        <is>
          <t>Net cash from/(used in) investing activities</t>
        </is>
      </c>
      <c r="B38" s="5" t="n">
        <v>-841.7</v>
      </c>
      <c r="C38" s="5" t="n">
        <v>-194</v>
      </c>
      <c r="D38" s="5" t="n">
        <v>-60.323</v>
      </c>
      <c r="E38" s="5" t="n">
        <v>-34.875</v>
      </c>
      <c r="F38" s="5" t="n">
        <v>-43.783</v>
      </c>
    </row>
    <row r="39">
      <c r="A39" s="5" t="inlineStr">
        <is>
          <t>Financing activities</t>
        </is>
      </c>
      <c r="B39" s="6" t="n"/>
      <c r="C39" s="6" t="n"/>
      <c r="D39" s="6" t="n"/>
      <c r="E39" s="6" t="n"/>
      <c r="F39" s="6" t="n"/>
    </row>
    <row r="40">
      <c r="A40" s="6" t="inlineStr">
        <is>
          <t>Proceeds from issue of ordinary shares</t>
        </is>
      </c>
      <c r="B40" s="6" t="n">
        <v>35</v>
      </c>
      <c r="C40" s="6" t="n">
        <v>17.6</v>
      </c>
      <c r="D40" s="6" t="n">
        <v>34.494</v>
      </c>
      <c r="E40" s="6" t="n">
        <v>98.98099999999999</v>
      </c>
      <c r="F40" s="6" t="n">
        <v>40.801</v>
      </c>
    </row>
    <row r="41">
      <c r="A41" s="6" t="inlineStr">
        <is>
          <t>Issue of subordinated debt</t>
        </is>
      </c>
      <c r="B41" s="6" t="n"/>
      <c r="C41" s="6" t="n">
        <v>30</v>
      </c>
      <c r="D41" s="6" t="n"/>
      <c r="E41" s="6" t="n"/>
      <c r="F41" s="6" t="n">
        <v>7.5</v>
      </c>
    </row>
    <row r="42">
      <c r="A42" s="6" t="inlineStr">
        <is>
          <t>Issue of credit-linked notes</t>
        </is>
      </c>
      <c r="B42" s="6" t="n"/>
      <c r="C42" s="6" t="n">
        <v>50</v>
      </c>
      <c r="D42" s="6" t="n"/>
      <c r="E42" s="6" t="n"/>
      <c r="F42" s="6" t="n"/>
    </row>
    <row r="43">
      <c r="A43" s="6" t="inlineStr">
        <is>
          <t>Payment of principal on credit-linked notes</t>
        </is>
      </c>
      <c r="B43" s="6" t="n">
        <v>-46.1</v>
      </c>
      <c r="C43" s="6" t="n">
        <v>-3.9</v>
      </c>
      <c r="D43" s="6" t="n"/>
      <c r="E43" s="6" t="n"/>
      <c r="F43" s="6" t="n"/>
    </row>
    <row r="44">
      <c r="A44" s="6" t="inlineStr">
        <is>
          <t>Coupon paid on capital securities</t>
        </is>
      </c>
      <c r="B44" s="6" t="n">
        <v>-6.9</v>
      </c>
      <c r="C44" s="6" t="n"/>
      <c r="D44" s="6" t="n"/>
      <c r="E44" s="6" t="n"/>
      <c r="F44" s="6" t="n"/>
    </row>
    <row r="45">
      <c r="A45" s="6" t="inlineStr">
        <is>
          <t>Issue of perpetual notes (including convertible)</t>
        </is>
      </c>
      <c r="B45" s="6" t="n"/>
      <c r="C45" s="6" t="n">
        <v>35</v>
      </c>
      <c r="D45" s="6" t="n">
        <v>35.241</v>
      </c>
      <c r="E45" s="6" t="n"/>
      <c r="F45" s="6" t="n">
        <v>17.5</v>
      </c>
    </row>
    <row r="46">
      <c r="A46" s="6" t="inlineStr">
        <is>
          <t>Capital repayment of lease liabilities</t>
        </is>
      </c>
      <c r="B46" s="6" t="n">
        <v>-0.8</v>
      </c>
      <c r="C46" s="6" t="n">
        <v>-0.5</v>
      </c>
      <c r="D46" s="6" t="n">
        <v>-0.437</v>
      </c>
      <c r="E46" s="6" t="n">
        <v>-0.298</v>
      </c>
      <c r="F46" s="6" t="n">
        <v>-0.207</v>
      </c>
    </row>
    <row r="47">
      <c r="A47" s="6" t="inlineStr">
        <is>
          <t>Repayment of external debt</t>
        </is>
      </c>
      <c r="B47" s="6" t="n">
        <v>-19.3</v>
      </c>
      <c r="C47" s="6" t="n">
        <v>-73.8</v>
      </c>
      <c r="D47" s="6" t="n"/>
      <c r="E47" s="6" t="n"/>
      <c r="F47" s="6" t="n"/>
    </row>
    <row r="48">
      <c r="A48" s="5" t="inlineStr">
        <is>
          <t>Net cash from/(used in) financing activities</t>
        </is>
      </c>
      <c r="B48" s="5" t="n">
        <v>-38.1</v>
      </c>
      <c r="C48" s="5" t="n">
        <v>54.4</v>
      </c>
      <c r="D48" s="5" t="n">
        <v>69.298</v>
      </c>
      <c r="E48" s="5" t="n">
        <v>98.68300000000001</v>
      </c>
      <c r="F48" s="5" t="n">
        <v>65.59399999999999</v>
      </c>
    </row>
    <row r="49">
      <c r="A49" s="6" t="inlineStr">
        <is>
          <t>Effect of exchange rates on cash and cash equivalents</t>
        </is>
      </c>
      <c r="B49" s="6" t="n">
        <v>-0.1</v>
      </c>
      <c r="C49" s="6" t="n">
        <v>0</v>
      </c>
      <c r="D49" s="6" t="n"/>
      <c r="E49" s="6" t="n"/>
      <c r="F49" s="6" t="n"/>
    </row>
    <row r="50">
      <c r="A50" s="5" t="inlineStr">
        <is>
          <t>Net increase/(decrease) in cash and cash equivalents</t>
        </is>
      </c>
      <c r="B50" s="5" t="n">
        <v>-210.3</v>
      </c>
      <c r="C50" s="5" t="n">
        <v>744.5</v>
      </c>
      <c r="D50" s="5" t="n">
        <v>489.457</v>
      </c>
      <c r="E50" s="5" t="n">
        <v>-49.735</v>
      </c>
      <c r="F50" s="5" t="n">
        <v>209.318</v>
      </c>
    </row>
    <row r="51">
      <c r="A51" s="6" t="inlineStr">
        <is>
          <t>Cash and cash equivalents at beginning of year</t>
        </is>
      </c>
      <c r="B51" s="6" t="n">
        <v>1496.8</v>
      </c>
      <c r="C51" s="6" t="n">
        <v>752.303</v>
      </c>
      <c r="D51" s="6" t="n">
        <v>262.846</v>
      </c>
      <c r="E51" s="6" t="n">
        <v>312.581</v>
      </c>
      <c r="F51" s="6" t="n">
        <v>103.263</v>
      </c>
    </row>
    <row r="52">
      <c r="A52" s="5" t="inlineStr">
        <is>
          <t>Cash and cash equivalents at end of year</t>
        </is>
      </c>
      <c r="B52" s="5" t="n">
        <v>1286.5</v>
      </c>
      <c r="C52" s="5" t="n">
        <v>1496.8</v>
      </c>
      <c r="D52" s="5" t="n">
        <v>752.303</v>
      </c>
      <c r="E52" s="5" t="n">
        <v>262.846</v>
      </c>
      <c r="F52" s="5" t="n">
        <v>312.581</v>
      </c>
    </row>
    <row r="53">
      <c r="A53" s="5" t="inlineStr">
        <is>
          <t>Cash and cash equivalents at end of year comprise</t>
        </is>
      </c>
      <c r="B53" s="6" t="n"/>
      <c r="C53" s="6" t="n"/>
      <c r="D53" s="6" t="n"/>
      <c r="E53" s="6" t="n"/>
      <c r="F53" s="6" t="n"/>
    </row>
    <row r="54">
      <c r="A54" s="6" t="inlineStr">
        <is>
          <t>Cash and balances at central banks</t>
        </is>
      </c>
      <c r="B54" s="6" t="n">
        <v>1102.7</v>
      </c>
      <c r="C54" s="6" t="n">
        <v>1375.8</v>
      </c>
      <c r="D54" s="6" t="n">
        <v>709.829</v>
      </c>
      <c r="E54" s="6" t="n">
        <v>227.28</v>
      </c>
      <c r="F54" s="6" t="n">
        <v>295.291</v>
      </c>
    </row>
    <row r="55">
      <c r="A55" s="6" t="inlineStr">
        <is>
          <t>Loans and advances to banks</t>
        </is>
      </c>
      <c r="B55" s="6" t="n">
        <v>183.8</v>
      </c>
      <c r="C55" s="6" t="n">
        <v>121</v>
      </c>
      <c r="D55" s="6" t="n">
        <v>42.474</v>
      </c>
      <c r="E55" s="6" t="n">
        <v>35.566</v>
      </c>
      <c r="F55" s="6" t="n">
        <v>17.29</v>
      </c>
    </row>
    <row r="56">
      <c r="A56" s="5" t="inlineStr">
        <is>
          <t>Cash and cash equivalents at end of year</t>
        </is>
      </c>
      <c r="B56" s="5" t="n">
        <v>1286.5</v>
      </c>
      <c r="C56" s="5" t="n">
        <v>1496.8</v>
      </c>
      <c r="D56" s="5" t="n">
        <v>752.303</v>
      </c>
      <c r="E56" s="5" t="n">
        <v>262.846</v>
      </c>
      <c r="F56" s="5" t="n">
        <v>312.581</v>
      </c>
    </row>
    <row r="58" ht="140" customHeight="1">
      <c r="A58" s="8" t="inlineStr">
        <is>
          <t>Sources — all figures are Allica Bank Limited consolidated (Group) cash flow statement, £m:
FY2025 &amp; FY2024: Allica Bank Limited Annual Report &amp; Accounts 2025, p.92-93 (Statement of cash flows) — https://www.allica.bank/hubfs/pdf/allica-bank_annual-report-2025.pdf
FY2023 &amp; FY2022: Allica Bank Limited Annual Report and Accounts 2023, p.76-77 &amp; Note 32 p.130-131 (Statements of cash flows / Note 32: Cash flow information) — https://www.allica.bank/hubfs/Allica-Bank_Annual-report_2023.pdf
FY2021: Allica Bank Limited Annual Report and Accounts 2022, p.85 &amp; Note 32 p.139 (Statements of cash flows / Note 32: Cash flow information) — https://www.allica.bank/hubfs/pdf/web/investor-relations/Allica_Bank-Annual_Report-2022.pdf
Note: Allica changed cash flow statement presentation across report vintages. FY2021-FY2023 reports show a Note 32 reconciliation (profit before tax + non-cash adjustments + working capital changes = 'Cash generated from operations') and then add actual cash 'Interest income received'/'Interest expense paid' on the face of the primary statement to reach 'Net cash from operating activities'. FY2024-FY2025 reports show the full reconciliation (including accrued-interest reversal lines) directly on the face of the statement with no separate interest-received/paid lines, reaching 'Net cash from operating activities' via 'Tax paid' alone. Blank cells indicate a line not separately disclosed that year under the applicable presentation; the operating/investing/financing/net-change/cash-at-year-end TOTAL rows are all consistent and comparable across all 5 years (independently cross-checked by hand against each year's underlying line items). FY2024-FY2025 also newly disclose 'Acquisition of a subsidiary, net of cash acquired' and a foreign-exchange translation line, both nil/absent in FY2021-FY2023 (Allica had no foreign operations in that earlier period).</t>
        </is>
      </c>
    </row>
  </sheetData>
  <mergeCells count="1">
    <mergeCell ref="A58:F5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CET1 Capital</t>
        </is>
      </c>
    </row>
    <row r="2">
      <c r="A2" s="2" t="inlineStr">
        <is>
          <t>Consolidated (Group)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325689</v>
      </c>
      <c r="C4" s="6" t="n">
        <v>276827</v>
      </c>
      <c r="D4" s="6" t="n">
        <v>219055</v>
      </c>
      <c r="E4" s="6" t="n">
        <v>170322</v>
      </c>
      <c r="F4" s="6" t="n">
        <v>68816</v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CET1 Ratio</t>
        </is>
      </c>
    </row>
    <row r="2">
      <c r="A2" s="2" t="inlineStr">
        <is>
          <t>Consolidated (Group)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ratio</t>
        </is>
      </c>
      <c r="B4" s="6" t="inlineStr">
        <is>
          <t>13.4%</t>
        </is>
      </c>
      <c r="C4" s="6" t="inlineStr">
        <is>
          <t>14.5%</t>
        </is>
      </c>
      <c r="D4" s="6" t="inlineStr">
        <is>
          <t>15.7%</t>
        </is>
      </c>
      <c r="E4" s="6" t="inlineStr">
        <is>
          <t>17.1%</t>
        </is>
      </c>
      <c r="F4" s="6" t="inlineStr">
        <is>
          <t>14.1%</t>
        </is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Tier 1 Capital</t>
        </is>
      </c>
    </row>
    <row r="2">
      <c r="A2" s="2" t="inlineStr">
        <is>
          <t>Consolidated (Group)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370566</v>
      </c>
      <c r="C4" s="6" t="n">
        <v>321704</v>
      </c>
      <c r="D4" s="6" t="n">
        <v>264182</v>
      </c>
      <c r="E4" s="6" t="n">
        <v>180208</v>
      </c>
      <c r="F4" s="6" t="n">
        <v>86316</v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Tier 1 Ratio</t>
        </is>
      </c>
    </row>
    <row r="2">
      <c r="A2" s="2" t="inlineStr">
        <is>
          <t>Consolidated (Group)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15.3%</t>
        </is>
      </c>
      <c r="C4" s="6" t="inlineStr">
        <is>
          <t>16.9%</t>
        </is>
      </c>
      <c r="D4" s="6" t="inlineStr">
        <is>
          <t>18.9%</t>
        </is>
      </c>
      <c r="E4" s="6" t="inlineStr">
        <is>
          <t>18.1%</t>
        </is>
      </c>
      <c r="F4" s="6" t="inlineStr">
        <is>
          <t>17.7%</t>
        </is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Total Capital</t>
        </is>
      </c>
    </row>
    <row r="2">
      <c r="A2" s="2" t="inlineStr">
        <is>
          <t>Consolidated (Group)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406393</v>
      </c>
      <c r="C4" s="6" t="n">
        <v>359031</v>
      </c>
      <c r="D4" s="6" t="n">
        <v>271682</v>
      </c>
      <c r="E4" s="6" t="n">
        <v>187708</v>
      </c>
      <c r="F4" s="6" t="n">
        <v>93816</v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Total Capital Ratio</t>
        </is>
      </c>
    </row>
    <row r="2">
      <c r="A2" s="2" t="inlineStr">
        <is>
          <t>Consolidated (Group) basis, 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16.8%</t>
        </is>
      </c>
      <c r="C4" s="6" t="inlineStr">
        <is>
          <t>18.8%</t>
        </is>
      </c>
      <c r="D4" s="6" t="inlineStr">
        <is>
          <t>19.5%</t>
        </is>
      </c>
      <c r="E4" s="6" t="inlineStr">
        <is>
          <t>18.8%</t>
        </is>
      </c>
      <c r="F4" s="6" t="inlineStr">
        <is>
          <t>19.3%</t>
        </is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Total RWAs</t>
        </is>
      </c>
    </row>
    <row r="2">
      <c r="A2" s="2" t="inlineStr">
        <is>
          <t>Consolidated (Group) basis, 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2422216</v>
      </c>
      <c r="C4" s="6" t="n">
        <v>1908286</v>
      </c>
      <c r="D4" s="6" t="n">
        <v>1396450</v>
      </c>
      <c r="E4" s="6" t="n">
        <v>997945</v>
      </c>
      <c r="F4" s="6" t="n">
        <v>486558</v>
      </c>
    </row>
    <row r="6" ht="110" customHeight="1">
      <c r="A6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Leverage Ratio</t>
        </is>
      </c>
    </row>
    <row r="2">
      <c r="A2" s="2" t="inlineStr">
        <is>
          <t>Consolidated (Group)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exposure measure excluding claims on central banks (£'000)</t>
        </is>
      </c>
      <c r="B4" s="6" t="n">
        <v>5092370</v>
      </c>
      <c r="C4" s="6" t="n">
        <v>3421039</v>
      </c>
      <c r="D4" s="6" t="n">
        <v>2208236</v>
      </c>
      <c r="E4" s="6" t="n">
        <v>1595100</v>
      </c>
      <c r="F4" s="6" t="n">
        <v>688827</v>
      </c>
    </row>
    <row r="5">
      <c r="A5" s="6" t="inlineStr">
        <is>
          <t>Leverage ratio excluding claims on central banks (%)</t>
        </is>
      </c>
      <c r="B5" s="6" t="inlineStr">
        <is>
          <t>7.3%</t>
        </is>
      </c>
      <c r="C5" s="6" t="inlineStr">
        <is>
          <t>9.4%</t>
        </is>
      </c>
      <c r="D5" s="6" t="inlineStr">
        <is>
          <t>11.4%</t>
        </is>
      </c>
      <c r="E5" s="6" t="inlineStr">
        <is>
          <t>11.3%</t>
        </is>
      </c>
      <c r="F5" s="6" t="inlineStr">
        <is>
          <t>12.5%</t>
        </is>
      </c>
    </row>
    <row r="6" ht="60" customHeight="1">
      <c r="A6" s="7" t="inlineStr">
        <is>
          <t>Note: Allica has never disclosed a leverage ratio 'including claims on central banks' variant in any of these 5 years and states in every report that it is not an LREQ firm subject to additional leverage ratio disclosure requirements. The FY2021 figures shown are already restated onto the post-1-January-2022 exposure-measure basis (PRA Policy Statement 21/21, excluding certain central bank claims) — the FY2022 Pillar 3 report explicitly restates its FY2021 comparative on this basis to aid comparison, so unlike several other banks in this series there is no leverage-ratio methodology break within Allica's own 5-year window.</t>
        </is>
      </c>
    </row>
    <row r="8" ht="110" customHeight="1">
      <c r="A8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2">
    <mergeCell ref="A8:F8"/>
    <mergeCell ref="A6:F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LCR</t>
        </is>
      </c>
    </row>
    <row r="2">
      <c r="A2" s="2" t="inlineStr">
        <is>
          <t>Consolidated (Group)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high-quality liquid assets (HQLA), weighted value, average (£'000)</t>
        </is>
      </c>
      <c r="B4" s="6" t="n">
        <v>1928875</v>
      </c>
      <c r="C4" s="6" t="n">
        <v>1137180</v>
      </c>
      <c r="D4" s="6" t="n">
        <v>810081</v>
      </c>
      <c r="E4" s="6" t="n">
        <v>386347</v>
      </c>
      <c r="F4" s="6" t="n">
        <v>171242</v>
      </c>
    </row>
    <row r="5">
      <c r="A5" s="6" t="inlineStr">
        <is>
          <t>Total net cash outflows, adjusted value (£'000)</t>
        </is>
      </c>
      <c r="B5" s="6" t="n">
        <v>873645</v>
      </c>
      <c r="C5" s="6" t="n">
        <v>525922</v>
      </c>
      <c r="D5" s="6" t="n">
        <v>280344</v>
      </c>
      <c r="E5" s="6" t="n">
        <v>127792</v>
      </c>
      <c r="F5" s="6" t="n">
        <v>34252</v>
      </c>
    </row>
    <row r="6">
      <c r="A6" s="6" t="inlineStr">
        <is>
          <t>Liquidity Coverage Ratio (%)</t>
        </is>
      </c>
      <c r="B6" s="6" t="inlineStr">
        <is>
          <t>220.8%</t>
        </is>
      </c>
      <c r="C6" s="6" t="inlineStr">
        <is>
          <t>216.2%</t>
        </is>
      </c>
      <c r="D6" s="6" t="inlineStr">
        <is>
          <t>289.0%</t>
        </is>
      </c>
      <c r="E6" s="6" t="inlineStr">
        <is>
          <t>302.3%</t>
        </is>
      </c>
      <c r="F6" s="6" t="inlineStr">
        <is>
          <t>499.9%</t>
        </is>
      </c>
    </row>
    <row r="7" ht="60" customHeight="1">
      <c r="A7" s="7" t="inlineStr">
        <is>
          <t>Note: LCR is calculated as a 12-month average per Allica's own Pillar 3 methodology note.</t>
        </is>
      </c>
    </row>
    <row r="9" ht="110" customHeight="1">
      <c r="A9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NSFR</t>
        </is>
      </c>
    </row>
    <row r="2">
      <c r="A2" s="2" t="inlineStr">
        <is>
          <t>Consolidated (Group) basis, £'000 / 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available stable funding (£'000)</t>
        </is>
      </c>
      <c r="B4" s="6" t="n">
        <v>3884410</v>
      </c>
      <c r="C4" s="6" t="n">
        <v>2937724</v>
      </c>
      <c r="D4" s="6" t="n">
        <v>1876364</v>
      </c>
      <c r="E4" s="6" t="n">
        <v>1338171</v>
      </c>
      <c r="F4" s="6" t="n"/>
    </row>
    <row r="5">
      <c r="A5" s="6" t="inlineStr">
        <is>
          <t>Total required stable funding (£'000)</t>
        </is>
      </c>
      <c r="B5" s="6" t="n">
        <v>2799038</v>
      </c>
      <c r="C5" s="6" t="n">
        <v>2195700</v>
      </c>
      <c r="D5" s="6" t="n">
        <v>1385603</v>
      </c>
      <c r="E5" s="6" t="n">
        <v>897829</v>
      </c>
      <c r="F5" s="6" t="n"/>
    </row>
    <row r="6">
      <c r="A6" s="6" t="inlineStr">
        <is>
          <t>Net Stable Funding Ratio (%)</t>
        </is>
      </c>
      <c r="B6" s="6" t="inlineStr">
        <is>
          <t>138.8%</t>
        </is>
      </c>
      <c r="C6" s="6" t="inlineStr">
        <is>
          <t>133.8%</t>
        </is>
      </c>
      <c r="D6" s="6" t="inlineStr">
        <is>
          <t>135.4%</t>
        </is>
      </c>
      <c r="E6" s="6" t="inlineStr">
        <is>
          <t>149.0%</t>
        </is>
      </c>
      <c r="F6" s="6" t="inlineStr">
        <is>
          <t>Not disclosed</t>
        </is>
      </c>
    </row>
    <row r="7" ht="60" customHeight="1">
      <c r="A7" s="7" t="inlineStr">
        <is>
          <t>Note: NSFR was not a Pillar 3 disclosure requirement as at FY2021 (the UK NSFR regime took effect from 1 January 2022), so no FY2021 figures exist. NSFR is calculated as a 4-quarter average. FY2022 'Total available stable funding' is reported as £1,338,171k in the FY2022 Pillar 3 report's own current-year column but as £1,338,711k in the FY2023 Pillar 3 report's prior-year comparative column — an apparent digit transposition in one of the two source PDFs. This sheet uses the FY2022 report's own-year figure as authoritative; the £540 discrepancy is immaterial and both reports agree the resulting NSFR ratio is 149.0%.</t>
        </is>
      </c>
    </row>
    <row r="9" ht="110" customHeight="1">
      <c r="A9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2">
    <mergeCell ref="A7:F7"/>
    <mergeCell ref="A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Allica Bank Limited — MREL Ratio</t>
        </is>
      </c>
    </row>
    <row r="2">
      <c r="A2" s="2" t="inlineStr">
        <is>
          <t>Consolidated (Group) basis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 MREL ratio row appears in any of Allica's 5 Pillar 3 reports; each explicitly states Allica Bank Limited is not an LREQ firm. As a smaller institution below the UK's MREL/bail-in resolution threshold, Allica is not subject to a separate MREL disclosure requirement.</t>
        </is>
      </c>
    </row>
    <row r="7" ht="110" customHeight="1">
      <c r="A7" s="8" t="inlineStr">
        <is>
          <t>Sources — Allica Bank Limited consolidated (Group) basis, UK KM1 Key Metrics table, £'000:
FY2025: Allica Bank Limited Pillar 3 Report 2025, p.2 — https://www.allica.bank/hubfs/pdf/Pillar-3-Report-2025_Allica.pdf
FY2024: Allica Bank Limited Pillar 3 Report 2024, p.2 — https://www.allica.bank/hubfs/pdf/Pillar-3-Report-2024_Allica.pdf
FY2023: Allica Bank Limited Pillar 3 Report 2023, p.2-3 — https://www.allica.bank/hubfs/Allica%20Bank%20Limited_Pillar%203%20Report%20_Year-ended%2031%20December%202023.pdf
FY2022: Allica Bank Limited Pillar 3 Report, year ended 31 December 2022, p.2 — https://www.allica.bank/hubfs/pdf/web/investor-relations/Allica_Bank_Pillar_3_disclosure_2022.pdf
FY2021: comparative column of the FY2022 Pillar 3 Report above, p.2 (restated onto the post-1 Jan 2022 leverage exposure basis per PRA PS21/21).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2026-08-27T07:57:04Z</dcterms:created>
  <dcterms:modified xsi:type="dcterms:W3CDTF">2026-08-27T07:57:04Z</dcterms:modified>
</cp:coreProperties>
</file>