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C1440E"/>
        <bgColor rgb="00C1440E"/>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Allica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Allica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Allica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Allica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Allica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ser>
          <idx val="4"/>
          <order val="4"/>
          <tx>
            <strRef>
              <f>'Overview'!AO10</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'Overview'!$AP$10:$AT$10</f>
            </numRef>
          </val>
          <smooth val="0"/>
        </ser>
        <ser>
          <idx val="5"/>
          <order val="5"/>
          <tx>
            <strRef>
              <f>'Overview'!AO11</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'Overview'!$AP$11:$AT$11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Allica Bank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6268.9</v>
      </c>
      <c r="C6" s="5" t="n">
        <v>4934.5</v>
      </c>
      <c r="D6" s="5" t="n">
        <v>2958.919</v>
      </c>
      <c r="E6" s="5" t="n">
        <v>1762.47</v>
      </c>
      <c r="F6" s="5" t="n">
        <v>950.207</v>
      </c>
      <c r="I6" t="inlineStr">
        <is>
          <t>Total assets</t>
        </is>
      </c>
      <c r="J6" t="n">
        <v>950.207</v>
      </c>
      <c r="K6" t="n">
        <v>1762.47</v>
      </c>
      <c r="L6" t="n">
        <v>2958.919</v>
      </c>
      <c r="M6" t="n">
        <v>4934.5</v>
      </c>
      <c r="N6" t="n">
        <v>6268.9</v>
      </c>
      <c r="AO6" t="inlineStr">
        <is>
          <t>CET1 Ratio</t>
        </is>
      </c>
      <c r="AP6" t="n">
        <v>14.1</v>
      </c>
      <c r="AQ6" t="n">
        <v>17.1</v>
      </c>
      <c r="AR6" t="n">
        <v>15.7</v>
      </c>
      <c r="AS6" t="n">
        <v>14.5</v>
      </c>
      <c r="AT6" t="n">
        <v>13.4</v>
      </c>
    </row>
    <row r="7">
      <c r="A7" s="5" t="inlineStr">
        <is>
          <t>Loans and advances to customers</t>
        </is>
      </c>
      <c r="B7" s="5" t="n">
        <v>3742</v>
      </c>
      <c r="C7" s="5" t="n">
        <v>3048.8</v>
      </c>
      <c r="D7" s="5" t="n">
        <v>1976.826</v>
      </c>
      <c r="E7" s="5" t="n">
        <v>1348.166</v>
      </c>
      <c r="F7" s="5" t="n">
        <v>566.04</v>
      </c>
      <c r="I7" t="inlineStr">
        <is>
          <t>Loans and advances to customers</t>
        </is>
      </c>
      <c r="J7" t="n">
        <v>566.04</v>
      </c>
      <c r="K7" t="n">
        <v>1348.166</v>
      </c>
      <c r="L7" t="n">
        <v>1976.826</v>
      </c>
      <c r="M7" t="n">
        <v>3048.8</v>
      </c>
      <c r="N7" t="n">
        <v>3742</v>
      </c>
      <c r="AO7" t="inlineStr">
        <is>
          <t>Tier 1 Ratio</t>
        </is>
      </c>
      <c r="AP7" t="n">
        <v>17.7</v>
      </c>
      <c r="AQ7" t="n">
        <v>18.1</v>
      </c>
      <c r="AR7" t="n">
        <v>18.9</v>
      </c>
      <c r="AS7" t="n">
        <v>16.9</v>
      </c>
      <c r="AT7" t="n">
        <v>15.3</v>
      </c>
    </row>
    <row r="8">
      <c r="A8" s="5" t="inlineStr">
        <is>
          <t>Deposits from customers</t>
        </is>
      </c>
      <c r="B8" s="5" t="n">
        <v>5719.9</v>
      </c>
      <c r="C8" s="5" t="n">
        <v>4428.1</v>
      </c>
      <c r="D8" s="5" t="n">
        <v>2633.247</v>
      </c>
      <c r="E8" s="5" t="n">
        <v>1507.433</v>
      </c>
      <c r="F8" s="5" t="n">
        <v>845.769</v>
      </c>
      <c r="I8" t="inlineStr">
        <is>
          <t>Deposits from customers</t>
        </is>
      </c>
      <c r="J8" t="n">
        <v>845.769</v>
      </c>
      <c r="K8" t="n">
        <v>1507.433</v>
      </c>
      <c r="L8" t="n">
        <v>2633.247</v>
      </c>
      <c r="M8" t="n">
        <v>4428.1</v>
      </c>
      <c r="N8" t="n">
        <v>5719.9</v>
      </c>
      <c r="AO8" t="inlineStr">
        <is>
          <t>Total Capital Ratio</t>
        </is>
      </c>
      <c r="AP8" t="n">
        <v>19.3</v>
      </c>
      <c r="AQ8" t="n">
        <v>18.8</v>
      </c>
      <c r="AR8" t="n">
        <v>19.5</v>
      </c>
      <c r="AS8" t="n">
        <v>18.8</v>
      </c>
      <c r="AT8" t="n">
        <v>16.8</v>
      </c>
    </row>
    <row r="9">
      <c r="A9" s="5" t="inlineStr">
        <is>
          <t>Total equity</t>
        </is>
      </c>
      <c r="B9" s="5" t="n">
        <v>424</v>
      </c>
      <c r="C9" s="5" t="n">
        <v>376.7</v>
      </c>
      <c r="D9" s="5" t="n">
        <v>279.142</v>
      </c>
      <c r="E9" s="5" t="n">
        <v>209.271</v>
      </c>
      <c r="F9" s="5" t="n">
        <v>89.883</v>
      </c>
      <c r="I9" t="inlineStr">
        <is>
          <t>Total equity</t>
        </is>
      </c>
      <c r="J9" t="n">
        <v>89.883</v>
      </c>
      <c r="K9" t="n">
        <v>209.271</v>
      </c>
      <c r="L9" t="n">
        <v>279.142</v>
      </c>
      <c r="M9" t="n">
        <v>376.7</v>
      </c>
      <c r="N9" t="n">
        <v>424</v>
      </c>
      <c r="AO9" t="inlineStr">
        <is>
          <t>Leverage Ratio (excl. central banks)</t>
        </is>
      </c>
      <c r="AP9" t="n">
        <v>12.5</v>
      </c>
      <c r="AQ9" t="n">
        <v>11.3</v>
      </c>
      <c r="AR9" t="n">
        <v>11.4</v>
      </c>
      <c r="AS9" t="n">
        <v>9.4</v>
      </c>
      <c r="AT9" t="n">
        <v>7.3</v>
      </c>
    </row>
    <row r="10">
      <c r="AO10" t="inlineStr">
        <is>
          <t>LCR</t>
        </is>
      </c>
      <c r="AP10" t="n">
        <v>499.9</v>
      </c>
      <c r="AQ10" t="n">
        <v>302.3</v>
      </c>
      <c r="AR10" t="n">
        <v>289</v>
      </c>
      <c r="AS10" t="n">
        <v>216.2</v>
      </c>
      <c r="AT10" t="n">
        <v>220.8</v>
      </c>
    </row>
    <row r="11">
      <c r="A11" s="3" t="inlineStr">
        <is>
          <t>Profit &amp; Loss Summary (£m)</t>
        </is>
      </c>
      <c r="AO11" t="inlineStr">
        <is>
          <t>NSFR</t>
        </is>
      </c>
      <c r="AQ11" t="n">
        <v>149</v>
      </c>
      <c r="AR11" t="n">
        <v>135.4</v>
      </c>
      <c r="AS11" t="n">
        <v>133.8</v>
      </c>
      <c r="AT11" t="n">
        <v>138.8</v>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Total operating income</t>
        </is>
      </c>
      <c r="B13" s="5" t="n">
        <v>158.6</v>
      </c>
      <c r="C13" s="5" t="n">
        <v>120.4</v>
      </c>
      <c r="D13" s="5" t="n">
        <v>86.80800000000001</v>
      </c>
      <c r="E13" s="5" t="n">
        <v>48.312</v>
      </c>
      <c r="F13" s="5" t="n">
        <v>7.826</v>
      </c>
      <c r="Q13" t="inlineStr">
        <is>
          <t>Total operating income</t>
        </is>
      </c>
      <c r="R13" t="n">
        <v>7.826</v>
      </c>
      <c r="S13" t="n">
        <v>48.312</v>
      </c>
      <c r="T13" t="n">
        <v>86.80800000000001</v>
      </c>
      <c r="U13" t="n">
        <v>120.4</v>
      </c>
      <c r="V13" t="n">
        <v>158.6</v>
      </c>
    </row>
    <row r="14">
      <c r="A14" s="5" t="inlineStr">
        <is>
          <t>Total operating expenses</t>
        </is>
      </c>
      <c r="B14" s="5" t="n">
        <v>-108.4</v>
      </c>
      <c r="C14" s="5" t="n">
        <v>-80.3</v>
      </c>
      <c r="D14" s="5" t="n">
        <v>-56.438</v>
      </c>
      <c r="E14" s="5" t="n">
        <v>-41.426</v>
      </c>
      <c r="F14" s="5" t="n">
        <v>-31.807</v>
      </c>
      <c r="Q14" t="inlineStr">
        <is>
          <t>Total operating expenses</t>
        </is>
      </c>
      <c r="R14" t="n">
        <v>-31.807</v>
      </c>
      <c r="S14" t="n">
        <v>-41.426</v>
      </c>
      <c r="T14" t="n">
        <v>-56.438</v>
      </c>
      <c r="U14" t="n">
        <v>-80.3</v>
      </c>
      <c r="V14" t="n">
        <v>-108.4</v>
      </c>
    </row>
    <row r="15">
      <c r="A15" s="5" t="inlineStr">
        <is>
          <t>Profit/(loss) after tax for the year</t>
        </is>
      </c>
      <c r="B15" s="5" t="n">
        <v>27.3</v>
      </c>
      <c r="C15" s="5" t="n">
        <v>29.8</v>
      </c>
      <c r="D15" s="5" t="n">
        <v>19.15</v>
      </c>
      <c r="E15" s="5" t="n">
        <v>5.623</v>
      </c>
      <c r="F15" s="5" t="n">
        <v>-25.058</v>
      </c>
      <c r="Q15" t="inlineStr">
        <is>
          <t>Profit/(loss) after tax for the year</t>
        </is>
      </c>
      <c r="R15" t="n">
        <v>-25.058</v>
      </c>
      <c r="S15" t="n">
        <v>5.623</v>
      </c>
      <c r="T15" t="n">
        <v>19.15</v>
      </c>
      <c r="U15" t="n">
        <v>29.8</v>
      </c>
      <c r="V15" t="n">
        <v>27.3</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376.7</v>
      </c>
      <c r="C19" s="5" t="n">
        <v>279.142</v>
      </c>
      <c r="D19" s="5" t="n">
        <v>209.271</v>
      </c>
      <c r="E19" s="5" t="n">
        <v>89.883</v>
      </c>
      <c r="F19" s="5" t="n">
        <v>56.488</v>
      </c>
      <c r="Y19" t="inlineStr">
        <is>
          <t>Opening equity</t>
        </is>
      </c>
      <c r="Z19" t="n">
        <v>56.488</v>
      </c>
      <c r="AA19" t="n">
        <v>89.883</v>
      </c>
      <c r="AB19" t="n">
        <v>209.271</v>
      </c>
      <c r="AC19" t="n">
        <v>279.142</v>
      </c>
      <c r="AD19" t="n">
        <v>376.7</v>
      </c>
    </row>
    <row r="20">
      <c r="A20" s="5" t="inlineStr">
        <is>
          <t>Total comprehensive income/(loss) for the year</t>
        </is>
      </c>
      <c r="B20" s="5" t="n">
        <v>11.8</v>
      </c>
      <c r="C20" s="5" t="n">
        <v>44.6</v>
      </c>
      <c r="D20" s="5" t="n">
        <v>-0.28</v>
      </c>
      <c r="E20" s="5" t="n">
        <v>20.119</v>
      </c>
      <c r="F20" s="5" t="n">
        <v>-25.019</v>
      </c>
      <c r="Y20" t="inlineStr">
        <is>
          <t>Total comprehensive income/(loss) for the year</t>
        </is>
      </c>
      <c r="Z20" t="n">
        <v>-25.019</v>
      </c>
      <c r="AA20" t="n">
        <v>20.119</v>
      </c>
      <c r="AB20" t="n">
        <v>-0.28</v>
      </c>
      <c r="AC20" t="n">
        <v>44.6</v>
      </c>
      <c r="AD20" t="n">
        <v>11.8</v>
      </c>
    </row>
    <row r="21">
      <c r="A21" s="5" t="inlineStr">
        <is>
          <t>Other equity movements, net</t>
        </is>
      </c>
      <c r="B21" s="5" t="n">
        <v>35.5</v>
      </c>
      <c r="C21" s="5" t="n">
        <v>52.958</v>
      </c>
      <c r="D21" s="5" t="n">
        <v>70.151</v>
      </c>
      <c r="E21" s="5" t="n">
        <v>99.26900000000001</v>
      </c>
      <c r="F21" s="5" t="n">
        <v>58.414</v>
      </c>
      <c r="Y21" t="inlineStr">
        <is>
          <t>Other equity movements, net</t>
        </is>
      </c>
      <c r="Z21" t="n">
        <v>58.414</v>
      </c>
      <c r="AA21" t="n">
        <v>99.26900000000001</v>
      </c>
      <c r="AB21" t="n">
        <v>70.151</v>
      </c>
      <c r="AC21" t="n">
        <v>52.958</v>
      </c>
      <c r="AD21" t="n">
        <v>35.5</v>
      </c>
    </row>
    <row r="22">
      <c r="A22" s="5" t="inlineStr">
        <is>
          <t>Closing equity</t>
        </is>
      </c>
      <c r="B22" s="5" t="n">
        <v>424</v>
      </c>
      <c r="C22" s="5" t="n">
        <v>376.7</v>
      </c>
      <c r="D22" s="5" t="n">
        <v>279.142</v>
      </c>
      <c r="E22" s="5" t="n">
        <v>209.271</v>
      </c>
      <c r="F22" s="5" t="n">
        <v>89.883</v>
      </c>
      <c r="Y22" t="inlineStr">
        <is>
          <t>Closing equity</t>
        </is>
      </c>
      <c r="Z22" t="n">
        <v>89.883</v>
      </c>
      <c r="AA22" t="n">
        <v>209.271</v>
      </c>
      <c r="AB22" t="n">
        <v>279.142</v>
      </c>
      <c r="AC22" t="n">
        <v>376.7</v>
      </c>
      <c r="AD22" t="n">
        <v>424</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from/(used in) operating activities</t>
        </is>
      </c>
      <c r="B26" s="5" t="n">
        <v>669.6</v>
      </c>
      <c r="C26" s="5" t="n">
        <v>884.1</v>
      </c>
      <c r="D26" s="5" t="n">
        <v>480.482</v>
      </c>
      <c r="E26" s="5" t="n">
        <v>-113.543</v>
      </c>
      <c r="F26" s="5" t="n">
        <v>187.507</v>
      </c>
      <c r="AG26" t="inlineStr">
        <is>
          <t>Net cash from/(used in) operating activities</t>
        </is>
      </c>
      <c r="AH26" t="n">
        <v>187.507</v>
      </c>
      <c r="AI26" t="n">
        <v>-113.543</v>
      </c>
      <c r="AJ26" t="n">
        <v>480.482</v>
      </c>
      <c r="AK26" t="n">
        <v>884.1</v>
      </c>
      <c r="AL26" t="n">
        <v>669.6</v>
      </c>
    </row>
    <row r="27">
      <c r="A27" s="5" t="inlineStr">
        <is>
          <t>Net cash from/(used in) investing activities</t>
        </is>
      </c>
      <c r="B27" s="5" t="n">
        <v>-841.7</v>
      </c>
      <c r="C27" s="5" t="n">
        <v>-194</v>
      </c>
      <c r="D27" s="5" t="n">
        <v>-60.323</v>
      </c>
      <c r="E27" s="5" t="n">
        <v>-34.875</v>
      </c>
      <c r="F27" s="5" t="n">
        <v>-43.783</v>
      </c>
      <c r="AG27" t="inlineStr">
        <is>
          <t>Net cash from/(used in) investing activities</t>
        </is>
      </c>
      <c r="AH27" t="n">
        <v>-43.783</v>
      </c>
      <c r="AI27" t="n">
        <v>-34.875</v>
      </c>
      <c r="AJ27" t="n">
        <v>-60.323</v>
      </c>
      <c r="AK27" t="n">
        <v>-194</v>
      </c>
      <c r="AL27" t="n">
        <v>-841.7</v>
      </c>
    </row>
    <row r="28">
      <c r="A28" s="5" t="inlineStr">
        <is>
          <t>Net cash from/(used in) financing activities</t>
        </is>
      </c>
      <c r="B28" s="5" t="n">
        <v>-38.1</v>
      </c>
      <c r="C28" s="5" t="n">
        <v>54.4</v>
      </c>
      <c r="D28" s="5" t="n">
        <v>69.298</v>
      </c>
      <c r="E28" s="5" t="n">
        <v>98.68300000000001</v>
      </c>
      <c r="F28" s="5" t="n">
        <v>65.59399999999999</v>
      </c>
      <c r="AG28" t="inlineStr">
        <is>
          <t>Net cash from/(used in) financing activities</t>
        </is>
      </c>
      <c r="AH28" t="n">
        <v>65.59399999999999</v>
      </c>
      <c r="AI28" t="n">
        <v>98.68300000000001</v>
      </c>
      <c r="AJ28" t="n">
        <v>69.298</v>
      </c>
      <c r="AK28" t="n">
        <v>54.4</v>
      </c>
      <c r="AL28" t="n">
        <v>-38.1</v>
      </c>
    </row>
    <row r="29">
      <c r="A29" s="5" t="inlineStr">
        <is>
          <t>Cash and cash equivalents at end of year</t>
        </is>
      </c>
      <c r="B29" s="5" t="n">
        <v>1286.5</v>
      </c>
      <c r="C29" s="5" t="n">
        <v>1496.8</v>
      </c>
      <c r="D29" s="5" t="n">
        <v>752.303</v>
      </c>
      <c r="E29" s="5" t="n">
        <v>262.846</v>
      </c>
      <c r="F29" s="5" t="n">
        <v>312.581</v>
      </c>
      <c r="AG29" t="inlineStr">
        <is>
          <t>Cash and cash equivalents at end of year</t>
        </is>
      </c>
      <c r="AH29" t="n">
        <v>312.581</v>
      </c>
      <c r="AI29" t="n">
        <v>262.846</v>
      </c>
      <c r="AJ29" t="n">
        <v>752.303</v>
      </c>
      <c r="AK29" t="n">
        <v>1496.8</v>
      </c>
      <c r="AL29" t="n">
        <v>1286.5</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CET1 Ratio</t>
        </is>
      </c>
      <c r="B33" s="6" t="inlineStr">
        <is>
          <t>13.4%</t>
        </is>
      </c>
      <c r="C33" s="6" t="inlineStr">
        <is>
          <t>14.5%</t>
        </is>
      </c>
      <c r="D33" s="6" t="inlineStr">
        <is>
          <t>15.7%</t>
        </is>
      </c>
      <c r="E33" s="6" t="inlineStr">
        <is>
          <t>17.1%</t>
        </is>
      </c>
      <c r="F33" s="6" t="inlineStr">
        <is>
          <t>14.1%</t>
        </is>
      </c>
    </row>
    <row r="34">
      <c r="A34" s="6" t="inlineStr">
        <is>
          <t>Tier 1 Ratio</t>
        </is>
      </c>
      <c r="B34" s="6" t="inlineStr">
        <is>
          <t>15.3%</t>
        </is>
      </c>
      <c r="C34" s="6" t="inlineStr">
        <is>
          <t>16.9%</t>
        </is>
      </c>
      <c r="D34" s="6" t="inlineStr">
        <is>
          <t>18.9%</t>
        </is>
      </c>
      <c r="E34" s="6" t="inlineStr">
        <is>
          <t>18.1%</t>
        </is>
      </c>
      <c r="F34" s="6" t="inlineStr">
        <is>
          <t>17.7%</t>
        </is>
      </c>
    </row>
    <row r="35">
      <c r="A35" s="6" t="inlineStr">
        <is>
          <t>Total Capital Ratio</t>
        </is>
      </c>
      <c r="B35" s="6" t="inlineStr">
        <is>
          <t>16.8%</t>
        </is>
      </c>
      <c r="C35" s="6" t="inlineStr">
        <is>
          <t>18.8%</t>
        </is>
      </c>
      <c r="D35" s="6" t="inlineStr">
        <is>
          <t>19.5%</t>
        </is>
      </c>
      <c r="E35" s="6" t="inlineStr">
        <is>
          <t>18.8%</t>
        </is>
      </c>
      <c r="F35" s="6" t="inlineStr">
        <is>
          <t>19.3%</t>
        </is>
      </c>
    </row>
    <row r="36">
      <c r="A36" s="6" t="inlineStr">
        <is>
          <t>Leverage Ratio (excl. central banks)</t>
        </is>
      </c>
      <c r="B36" s="6" t="inlineStr">
        <is>
          <t>7.3%</t>
        </is>
      </c>
      <c r="C36" s="6" t="inlineStr">
        <is>
          <t>9.4%</t>
        </is>
      </c>
      <c r="D36" s="6" t="inlineStr">
        <is>
          <t>11.4%</t>
        </is>
      </c>
      <c r="E36" s="6" t="inlineStr">
        <is>
          <t>11.3%</t>
        </is>
      </c>
      <c r="F36" s="6" t="inlineStr">
        <is>
          <t>12.5%</t>
        </is>
      </c>
    </row>
    <row r="37">
      <c r="A37" s="6" t="inlineStr">
        <is>
          <t>LCR</t>
        </is>
      </c>
      <c r="B37" s="6" t="inlineStr">
        <is>
          <t>220.8%</t>
        </is>
      </c>
      <c r="C37" s="6" t="inlineStr">
        <is>
          <t>216.2%</t>
        </is>
      </c>
      <c r="D37" s="6" t="inlineStr">
        <is>
          <t>289.0%</t>
        </is>
      </c>
      <c r="E37" s="6" t="inlineStr">
        <is>
          <t>302.3%</t>
        </is>
      </c>
      <c r="F37" s="6" t="inlineStr">
        <is>
          <t>499.9%</t>
        </is>
      </c>
    </row>
    <row r="38">
      <c r="A38" s="6" t="inlineStr">
        <is>
          <t>NSFR</t>
        </is>
      </c>
      <c r="B38" s="6" t="inlineStr">
        <is>
          <t>138.8%</t>
        </is>
      </c>
      <c r="C38" s="6" t="inlineStr">
        <is>
          <t>133.8%</t>
        </is>
      </c>
      <c r="D38" s="6" t="inlineStr">
        <is>
          <t>135.4%</t>
        </is>
      </c>
      <c r="E38" s="6" t="inlineStr">
        <is>
          <t>149.0%</t>
        </is>
      </c>
      <c r="F38" s="6" t="inlineStr">
        <is>
          <t>Not disclosed</t>
        </is>
      </c>
    </row>
    <row r="40" ht="45" customHeight="1">
      <c r="A40" s="7" t="inlineStr">
        <is>
          <t>Note: Figures are duplicated from the detail sheets for at-a-glance trend viewing; see each sheet's own source citation for the underlying document/page. Allica is a young, fast-growing SME-lending challenger bank (authorised 2019) — its steadily declining capital/liquidity ratios alongside rapidly rising absolute capital and RWA figures reflect fast balance-sheet growth diluting ratios from an initially very well-capitalised base, not deteriorating credit quality.</t>
        </is>
      </c>
    </row>
  </sheetData>
  <mergeCells count="1">
    <mergeCell ref="A40:F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Allica Bank Limited — Consolidated Statement of Financial Position</t>
        </is>
      </c>
    </row>
    <row r="2">
      <c r="A2" s="2" t="inlineStr">
        <is>
          <t>Allica Bank Limited Group (consolidated basis), £m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Assets</t>
        </is>
      </c>
      <c r="B4" s="6" t="n"/>
      <c r="C4" s="6" t="n"/>
      <c r="D4" s="6" t="n"/>
      <c r="E4" s="6" t="n"/>
      <c r="F4" s="6" t="n"/>
    </row>
    <row r="5">
      <c r="A5" s="6" t="inlineStr">
        <is>
          <t>Cash and balances at central banks</t>
        </is>
      </c>
      <c r="B5" s="6" t="n">
        <v>1104.3</v>
      </c>
      <c r="C5" s="6" t="n">
        <v>1378</v>
      </c>
      <c r="D5" s="6" t="n">
        <v>718.8049999999999</v>
      </c>
      <c r="E5" s="6" t="n">
        <v>230.15</v>
      </c>
      <c r="F5" s="6" t="n">
        <v>295.291</v>
      </c>
    </row>
    <row r="6">
      <c r="A6" s="6" t="inlineStr">
        <is>
          <t>Loans and advances to banks</t>
        </is>
      </c>
      <c r="B6" s="6" t="n">
        <v>183.8</v>
      </c>
      <c r="C6" s="6" t="n">
        <v>124.6</v>
      </c>
      <c r="D6" s="6" t="n">
        <v>87.76300000000001</v>
      </c>
      <c r="E6" s="6" t="n">
        <v>64.093</v>
      </c>
      <c r="F6" s="6" t="n">
        <v>17.29</v>
      </c>
    </row>
    <row r="7">
      <c r="A7" s="6" t="inlineStr">
        <is>
          <t>Debt securities</t>
        </is>
      </c>
      <c r="B7" s="6" t="n">
        <v>1154</v>
      </c>
      <c r="C7" s="6" t="n">
        <v>301.4</v>
      </c>
      <c r="D7" s="6" t="n">
        <v>115.774</v>
      </c>
      <c r="E7" s="6" t="n">
        <v>65.55200000000001</v>
      </c>
      <c r="F7" s="6" t="n">
        <v>40.406</v>
      </c>
    </row>
    <row r="8">
      <c r="A8" s="6" t="inlineStr">
        <is>
          <t>Derivative financial instruments</t>
        </is>
      </c>
      <c r="B8" s="6" t="n">
        <v>9.1</v>
      </c>
      <c r="C8" s="6" t="n">
        <v>23.5</v>
      </c>
      <c r="D8" s="6" t="n">
        <v>19.57</v>
      </c>
      <c r="E8" s="6" t="n">
        <v>27.846</v>
      </c>
      <c r="F8" s="6" t="n">
        <v>0.058</v>
      </c>
    </row>
    <row r="9">
      <c r="A9" s="6" t="inlineStr">
        <is>
          <t>Loans and advances to customers</t>
        </is>
      </c>
      <c r="B9" s="6" t="n">
        <v>3742</v>
      </c>
      <c r="C9" s="6" t="n">
        <v>3048.8</v>
      </c>
      <c r="D9" s="6" t="n">
        <v>1976.826</v>
      </c>
      <c r="E9" s="6" t="n">
        <v>1348.166</v>
      </c>
      <c r="F9" s="6" t="n">
        <v>566.04</v>
      </c>
    </row>
    <row r="10">
      <c r="A10" s="6" t="inlineStr">
        <is>
          <t>Investments</t>
        </is>
      </c>
      <c r="B10" s="6" t="n">
        <v>1</v>
      </c>
      <c r="C10" s="6" t="n">
        <v>1</v>
      </c>
      <c r="D10" s="6" t="n">
        <v>1</v>
      </c>
      <c r="E10" s="6" t="n">
        <v>1</v>
      </c>
      <c r="F10" s="6" t="n">
        <v>0</v>
      </c>
    </row>
    <row r="11">
      <c r="A11" s="6" t="inlineStr">
        <is>
          <t>Other assets</t>
        </is>
      </c>
      <c r="B11" s="6" t="n">
        <v>13.9</v>
      </c>
      <c r="C11" s="6" t="n">
        <v>10.4</v>
      </c>
      <c r="D11" s="6" t="n">
        <v>6.212</v>
      </c>
      <c r="E11" s="6" t="n">
        <v>8.659000000000001</v>
      </c>
      <c r="F11" s="6" t="n">
        <v>22.549</v>
      </c>
    </row>
    <row r="12">
      <c r="A12" s="6" t="inlineStr">
        <is>
          <t>Tangible fixed assets</t>
        </is>
      </c>
      <c r="B12" s="6" t="n">
        <v>1.3</v>
      </c>
      <c r="C12" s="6" t="n">
        <v>1.2</v>
      </c>
      <c r="D12" s="6" t="n">
        <v>0.805</v>
      </c>
      <c r="E12" s="6" t="n">
        <v>0.616</v>
      </c>
      <c r="F12" s="6" t="n">
        <v>0.249</v>
      </c>
    </row>
    <row r="13">
      <c r="A13" s="6" t="inlineStr">
        <is>
          <t>Right-of-use assets</t>
        </is>
      </c>
      <c r="B13" s="6" t="n">
        <v>3.2</v>
      </c>
      <c r="C13" s="6" t="n">
        <v>0.3</v>
      </c>
      <c r="D13" s="6" t="n">
        <v>0.836</v>
      </c>
      <c r="E13" s="6" t="n">
        <v>1.333</v>
      </c>
      <c r="F13" s="6" t="n">
        <v>0.146</v>
      </c>
    </row>
    <row r="14">
      <c r="A14" s="6" t="inlineStr">
        <is>
          <t>Intangible assets</t>
        </is>
      </c>
      <c r="B14" s="6" t="n">
        <v>30</v>
      </c>
      <c r="C14" s="6" t="n">
        <v>25.4</v>
      </c>
      <c r="D14" s="6" t="n">
        <v>18.426</v>
      </c>
      <c r="E14" s="6" t="n">
        <v>12.857</v>
      </c>
      <c r="F14" s="6" t="n">
        <v>8.178000000000001</v>
      </c>
    </row>
    <row r="15">
      <c r="A15" s="6" t="inlineStr">
        <is>
          <t>Goodwill</t>
        </is>
      </c>
      <c r="B15" s="6" t="n">
        <v>16.4</v>
      </c>
      <c r="C15" s="6" t="n">
        <v>8.6</v>
      </c>
      <c r="D15" s="6" t="n"/>
      <c r="E15" s="6" t="n"/>
      <c r="F15" s="6" t="n"/>
    </row>
    <row r="16">
      <c r="A16" s="6" t="inlineStr">
        <is>
          <t>Deferred tax asset</t>
        </is>
      </c>
      <c r="B16" s="6" t="n">
        <v>9.9</v>
      </c>
      <c r="C16" s="6" t="n">
        <v>11.3</v>
      </c>
      <c r="D16" s="6" t="n">
        <v>12.902</v>
      </c>
      <c r="E16" s="6" t="n">
        <v>2.198</v>
      </c>
      <c r="F16" s="6" t="n">
        <v>0</v>
      </c>
    </row>
    <row r="17">
      <c r="A17" s="5" t="inlineStr">
        <is>
          <t>Total assets</t>
        </is>
      </c>
      <c r="B17" s="5" t="n">
        <v>6268.9</v>
      </c>
      <c r="C17" s="5" t="n">
        <v>4934.5</v>
      </c>
      <c r="D17" s="5" t="n">
        <v>2958.919</v>
      </c>
      <c r="E17" s="5" t="n">
        <v>1762.47</v>
      </c>
      <c r="F17" s="5" t="n">
        <v>950.207</v>
      </c>
    </row>
    <row r="18">
      <c r="A18" s="5" t="inlineStr">
        <is>
          <t>Liabilities</t>
        </is>
      </c>
      <c r="B18" s="6" t="n"/>
      <c r="C18" s="6" t="n"/>
      <c r="D18" s="6" t="n"/>
      <c r="E18" s="6" t="n"/>
      <c r="F18" s="6" t="n"/>
    </row>
    <row r="19">
      <c r="A19" s="6" t="inlineStr">
        <is>
          <t>Deposits from banks</t>
        </is>
      </c>
      <c r="B19" s="6" t="n">
        <v>0.3</v>
      </c>
      <c r="C19" s="6" t="n">
        <v>16.8</v>
      </c>
      <c r="D19" s="6" t="n"/>
      <c r="E19" s="6" t="n"/>
      <c r="F19" s="6" t="n"/>
    </row>
    <row r="20">
      <c r="A20" s="6" t="inlineStr">
        <is>
          <t>Cash collateral</t>
        </is>
      </c>
      <c r="B20" s="6" t="n"/>
      <c r="C20" s="6" t="n"/>
      <c r="D20" s="6" t="n">
        <v>3.485</v>
      </c>
      <c r="E20" s="6" t="n">
        <v>23.514</v>
      </c>
      <c r="F20" s="6" t="n">
        <v>0</v>
      </c>
    </row>
    <row r="21">
      <c r="A21" s="6" t="inlineStr">
        <is>
          <t>Deposits from customers</t>
        </is>
      </c>
      <c r="B21" s="6" t="n">
        <v>5719.9</v>
      </c>
      <c r="C21" s="6" t="n">
        <v>4428.1</v>
      </c>
      <c r="D21" s="6" t="n">
        <v>2633.247</v>
      </c>
      <c r="E21" s="6" t="n">
        <v>1507.433</v>
      </c>
      <c r="F21" s="6" t="n">
        <v>845.769</v>
      </c>
    </row>
    <row r="22">
      <c r="A22" s="6" t="inlineStr">
        <is>
          <t>Other liabilities</t>
        </is>
      </c>
      <c r="B22" s="6" t="n">
        <v>27.4</v>
      </c>
      <c r="C22" s="6" t="n">
        <v>19.3</v>
      </c>
      <c r="D22" s="6" t="n">
        <v>10.523</v>
      </c>
      <c r="E22" s="6" t="n">
        <v>9.023</v>
      </c>
      <c r="F22" s="6" t="n">
        <v>5.887</v>
      </c>
    </row>
    <row r="23">
      <c r="A23" s="6" t="inlineStr">
        <is>
          <t>Derivative financial instruments</t>
        </is>
      </c>
      <c r="B23" s="6" t="n">
        <v>22.4</v>
      </c>
      <c r="C23" s="6" t="n">
        <v>8.1</v>
      </c>
      <c r="D23" s="6" t="n">
        <v>22.518</v>
      </c>
      <c r="E23" s="6" t="n">
        <v>3.915</v>
      </c>
      <c r="F23" s="6" t="n">
        <v>0.988</v>
      </c>
    </row>
    <row r="24">
      <c r="A24" s="6" t="inlineStr">
        <is>
          <t>Provisions</t>
        </is>
      </c>
      <c r="B24" s="6" t="n"/>
      <c r="C24" s="6" t="n"/>
      <c r="D24" s="6" t="n">
        <v>1.617</v>
      </c>
      <c r="E24" s="6" t="n">
        <v>0.49</v>
      </c>
      <c r="F24" s="6" t="n">
        <v>0.066</v>
      </c>
    </row>
    <row r="25">
      <c r="A25" s="6" t="inlineStr">
        <is>
          <t>Subordinated liabilities / external borrowings</t>
        </is>
      </c>
      <c r="B25" s="6" t="n">
        <v>71.7</v>
      </c>
      <c r="C25" s="6" t="n">
        <v>85.09999999999999</v>
      </c>
      <c r="D25" s="6" t="n">
        <v>7.5</v>
      </c>
      <c r="E25" s="6" t="n">
        <v>7.5</v>
      </c>
      <c r="F25" s="6" t="n">
        <v>7.5</v>
      </c>
    </row>
    <row r="26">
      <c r="A26" s="6" t="inlineStr">
        <is>
          <t>Leases</t>
        </is>
      </c>
      <c r="B26" s="6" t="n">
        <v>3.2</v>
      </c>
      <c r="C26" s="6" t="n">
        <v>0.4</v>
      </c>
      <c r="D26" s="6" t="n">
        <v>0.887</v>
      </c>
      <c r="E26" s="6" t="n">
        <v>1.324</v>
      </c>
      <c r="F26" s="6" t="n">
        <v>0.114</v>
      </c>
    </row>
    <row r="27">
      <c r="A27" s="5" t="inlineStr">
        <is>
          <t>Total liabilities</t>
        </is>
      </c>
      <c r="B27" s="5" t="n">
        <v>5844.9</v>
      </c>
      <c r="C27" s="5" t="n">
        <v>4557.8</v>
      </c>
      <c r="D27" s="5" t="n">
        <v>2679.777</v>
      </c>
      <c r="E27" s="5" t="n">
        <v>1553.199</v>
      </c>
      <c r="F27" s="5" t="n">
        <v>860.324</v>
      </c>
    </row>
    <row r="28">
      <c r="A28" s="5" t="inlineStr">
        <is>
          <t>Equity</t>
        </is>
      </c>
      <c r="B28" s="6" t="n"/>
      <c r="C28" s="6" t="n"/>
      <c r="D28" s="6" t="n"/>
      <c r="E28" s="6" t="n"/>
      <c r="F28" s="6" t="n"/>
    </row>
    <row r="29">
      <c r="A29" s="6" t="inlineStr">
        <is>
          <t>Share capital</t>
        </is>
      </c>
      <c r="B29" s="6" t="n">
        <v>3.7</v>
      </c>
      <c r="C29" s="6" t="n">
        <v>3.4</v>
      </c>
      <c r="D29" s="6" t="n">
        <v>2.873</v>
      </c>
      <c r="E29" s="6" t="n">
        <v>2.501</v>
      </c>
      <c r="F29" s="6" t="n">
        <v>1.417</v>
      </c>
    </row>
    <row r="30">
      <c r="A30" s="6" t="inlineStr">
        <is>
          <t>Share premium</t>
        </is>
      </c>
      <c r="B30" s="6" t="n">
        <v>323</v>
      </c>
      <c r="C30" s="6" t="n">
        <v>280.9</v>
      </c>
      <c r="D30" s="6" t="n">
        <v>301.158</v>
      </c>
      <c r="E30" s="6" t="n">
        <v>266.332</v>
      </c>
      <c r="F30" s="6" t="n">
        <v>160.708</v>
      </c>
    </row>
    <row r="31">
      <c r="A31" s="6" t="inlineStr">
        <is>
          <t>Perpetual notes (including convertible)</t>
        </is>
      </c>
      <c r="B31" s="6" t="n">
        <v>44.9</v>
      </c>
      <c r="C31" s="6" t="n">
        <v>44.9</v>
      </c>
      <c r="D31" s="6" t="n">
        <v>45.127</v>
      </c>
      <c r="E31" s="6" t="n">
        <v>9.885999999999999</v>
      </c>
      <c r="F31" s="6" t="n">
        <v>17.5</v>
      </c>
    </row>
    <row r="32">
      <c r="A32" s="6" t="inlineStr">
        <is>
          <t>Other components of equity</t>
        </is>
      </c>
      <c r="B32" s="6" t="n">
        <v>-4.2</v>
      </c>
      <c r="C32" s="6" t="n">
        <v>11.3</v>
      </c>
      <c r="D32" s="6" t="n">
        <v>-2.937</v>
      </c>
      <c r="E32" s="6" t="n">
        <v>16.781</v>
      </c>
      <c r="F32" s="6" t="n">
        <v>2.11</v>
      </c>
    </row>
    <row r="33">
      <c r="A33" s="6" t="inlineStr">
        <is>
          <t>Retained earnings/(accumulated losses)</t>
        </is>
      </c>
      <c r="B33" s="6" t="n">
        <v>56.6</v>
      </c>
      <c r="C33" s="6" t="n">
        <v>36.2</v>
      </c>
      <c r="D33" s="6" t="n">
        <v>-67.07899999999999</v>
      </c>
      <c r="E33" s="6" t="n">
        <v>-86.229</v>
      </c>
      <c r="F33" s="6" t="n">
        <v>-91.852</v>
      </c>
    </row>
    <row r="34">
      <c r="A34" s="5" t="inlineStr">
        <is>
          <t>Total equity</t>
        </is>
      </c>
      <c r="B34" s="5" t="n">
        <v>424</v>
      </c>
      <c r="C34" s="5" t="n">
        <v>376.7</v>
      </c>
      <c r="D34" s="5" t="n">
        <v>279.142</v>
      </c>
      <c r="E34" s="5" t="n">
        <v>209.271</v>
      </c>
      <c r="F34" s="5" t="n">
        <v>89.883</v>
      </c>
    </row>
    <row r="35">
      <c r="A35" s="5" t="inlineStr">
        <is>
          <t>Total liabilities and equity</t>
        </is>
      </c>
      <c r="B35" s="5" t="n">
        <v>6268.9</v>
      </c>
      <c r="C35" s="5" t="n">
        <v>4934.5</v>
      </c>
      <c r="D35" s="5" t="n">
        <v>2958.919</v>
      </c>
      <c r="E35" s="5" t="n">
        <v>1762.47</v>
      </c>
      <c r="F35" s="5" t="n">
        <v>950.207</v>
      </c>
    </row>
    <row r="37" ht="170" customHeight="1">
      <c r="A37" s="8" t="inlineStr">
        <is>
          <t>Sources — Allica Bank Limited consolidated (Group) Statement of Financial Position, £m:
FY2025 &amp; FY2024: Annual Report &amp; Accounts 2025, p.87-88 (Statements of financial position) — https://www.allica.bank/hubfs/pdf/allica-bank_annual-report-2025.pdf
FY2023 &amp; FY2022: Annual Report and Accounts 2023, p.72-73 (Statements of financial position) — https://www.allica.bank/hubfs/Allica-Bank_Annual-report_2023.pdf
FY2021: Annual Report and Accounts 2022, p.79-80 (Statements of financial position, FY2021 comparative column) — https://www.allica.bank/hubfs/pdf/web/investor-relations/Allica_Bank-Annual_Report-2022.pdf
Entity note: all figures on this and the Balance Sheet/Profit &amp; Loss/Statement of Changes in Equity sheets are Allica Bank Limited Group (consolidated), £m. FY2025 &amp; FY2024 sourced from Allica Bank Limited Annual Report &amp; Accounts 2025 (£m as reported) — https://www.allica.bank/hubfs/pdf/allica-bank_annual-report-2025.pdf; FY2023 &amp; FY2022 sourced from Allica Bank Limited Annual Report and Accounts 2023 (£'000 as reported, converted to £m for consistency with other years) — https://www.allica.bank/hubfs/Allica-Bank_Annual-report_2023.pdf; FY2021 sourced from the FY2021 comparative column of Allica Bank Limited Annual Report and Accounts 2022 (£'000 as reported, converted to £m) — https://www.allica.bank/hubfs/pdf/web/investor-relations/Allica_Bank-Annual_Report-2022.pdf — no separate FY2021 Annual Report was located, matching the existing Cash Flow Statement sheet's own FY2021 sourcing convention. A disclosed nil ('–' in the source table) is written as 0; a blank cell means that year's report did not disclose that specific line at all.
PRESENTATION NOTE: 'Amounts due from subsidiaries' (Company-only) and 'Investments in subsidiaries' (Company-only) are excluded here since this sheet is Group/consolidated basis only. 'Investments' and 'Deferred tax asset' are both explicitly disclosed as nil ('–') for FY2021, not omitted from that year's statement. 'Goodwill' only appears as its own line from FY2024 onward (Allica's first acquisition); FY2021-2023 have no goodwill line. 'Cash collateral' (a liability) only appears FY2021-2023; not present in the FY2024-2025 statements (nil/not applicable by then).</t>
        </is>
      </c>
    </row>
  </sheetData>
  <mergeCells count="1">
    <mergeCell ref="A37:F3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Allica Bank Limited — Consolidated Statement of Profit or Loss and Other Comprehensive Income</t>
        </is>
      </c>
    </row>
    <row r="2">
      <c r="A2" s="2" t="inlineStr">
        <is>
          <t>Allica Bank Limited Group (consolidated basis), £m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Income</t>
        </is>
      </c>
      <c r="B4" s="6" t="n"/>
      <c r="C4" s="6" t="n"/>
      <c r="D4" s="6" t="n"/>
      <c r="E4" s="6" t="n"/>
      <c r="F4" s="6" t="n"/>
    </row>
    <row r="5">
      <c r="A5" s="6" t="inlineStr">
        <is>
          <t>Interest income</t>
        </is>
      </c>
      <c r="B5" s="6" t="n">
        <v>404.2</v>
      </c>
      <c r="C5" s="6" t="n">
        <v>320.3</v>
      </c>
      <c r="D5" s="6" t="n">
        <v>177.843</v>
      </c>
      <c r="E5" s="6" t="n">
        <v>72.252</v>
      </c>
      <c r="F5" s="6" t="n">
        <v>11.494</v>
      </c>
    </row>
    <row r="6">
      <c r="A6" s="6" t="inlineStr">
        <is>
          <t>Interest expense</t>
        </is>
      </c>
      <c r="B6" s="6" t="n">
        <v>-245.2</v>
      </c>
      <c r="C6" s="6" t="n">
        <v>-206.3</v>
      </c>
      <c r="D6" s="6" t="n">
        <v>-97.813</v>
      </c>
      <c r="E6" s="6" t="n">
        <v>-23.341</v>
      </c>
      <c r="F6" s="6" t="n">
        <v>-3.67</v>
      </c>
    </row>
    <row r="7">
      <c r="A7" s="5" t="inlineStr">
        <is>
          <t>Net interest income</t>
        </is>
      </c>
      <c r="B7" s="5" t="n">
        <v>159</v>
      </c>
      <c r="C7" s="5" t="n">
        <v>114</v>
      </c>
      <c r="D7" s="5" t="n">
        <v>80.03</v>
      </c>
      <c r="E7" s="5" t="n">
        <v>48.911</v>
      </c>
      <c r="F7" s="5" t="n">
        <v>7.824</v>
      </c>
    </row>
    <row r="8">
      <c r="A8" s="6" t="inlineStr">
        <is>
          <t>Net fair value gains/(losses) on financial instruments</t>
        </is>
      </c>
      <c r="B8" s="6" t="n">
        <v>6.5</v>
      </c>
      <c r="C8" s="6" t="n">
        <v>11.8</v>
      </c>
      <c r="D8" s="6" t="n">
        <v>6.905</v>
      </c>
      <c r="E8" s="6" t="n">
        <v>0.067</v>
      </c>
      <c r="F8" s="6" t="n">
        <v>-0.155</v>
      </c>
    </row>
    <row r="9">
      <c r="A9" s="6" t="inlineStr">
        <is>
          <t>Fee and commission income</t>
        </is>
      </c>
      <c r="B9" s="6" t="n">
        <v>7.5</v>
      </c>
      <c r="C9" s="6" t="n">
        <v>3.7</v>
      </c>
      <c r="D9" s="6" t="n">
        <v>2.838</v>
      </c>
      <c r="E9" s="6" t="n">
        <v>0.587</v>
      </c>
      <c r="F9" s="6" t="n">
        <v>0.159</v>
      </c>
    </row>
    <row r="10">
      <c r="A10" s="6" t="inlineStr">
        <is>
          <t>Fee and commission expense</t>
        </is>
      </c>
      <c r="B10" s="6" t="n">
        <v>-14.4</v>
      </c>
      <c r="C10" s="6" t="n">
        <v>-9.1</v>
      </c>
      <c r="D10" s="6" t="n">
        <v>-2.965</v>
      </c>
      <c r="E10" s="6" t="n">
        <v>-1.253</v>
      </c>
      <c r="F10" s="6" t="n">
        <v>-0.002</v>
      </c>
    </row>
    <row r="11">
      <c r="A11" s="5" t="inlineStr">
        <is>
          <t>Net fee and commission income/(expense)</t>
        </is>
      </c>
      <c r="B11" s="5" t="n">
        <v>-6.9</v>
      </c>
      <c r="C11" s="5" t="n">
        <v>-5.4</v>
      </c>
      <c r="D11" s="5" t="n">
        <v>-0.127</v>
      </c>
      <c r="E11" s="5" t="n">
        <v>-0.666</v>
      </c>
      <c r="F11" s="5" t="n">
        <v>0.157</v>
      </c>
    </row>
    <row r="12">
      <c r="A12" s="5" t="inlineStr">
        <is>
          <t>Total operating income</t>
        </is>
      </c>
      <c r="B12" s="5" t="n">
        <v>158.6</v>
      </c>
      <c r="C12" s="5" t="n">
        <v>120.4</v>
      </c>
      <c r="D12" s="5" t="n">
        <v>86.80800000000001</v>
      </c>
      <c r="E12" s="5" t="n">
        <v>48.312</v>
      </c>
      <c r="F12" s="5" t="n">
        <v>7.826</v>
      </c>
    </row>
    <row r="13">
      <c r="A13" s="5" t="inlineStr">
        <is>
          <t>Expenses</t>
        </is>
      </c>
      <c r="B13" s="6" t="n"/>
      <c r="C13" s="6" t="n"/>
      <c r="D13" s="6" t="n"/>
      <c r="E13" s="6" t="n"/>
      <c r="F13" s="6" t="n"/>
    </row>
    <row r="14">
      <c r="A14" s="6" t="inlineStr">
        <is>
          <t>Operating expenses</t>
        </is>
      </c>
      <c r="B14" s="6" t="n">
        <v>-108.4</v>
      </c>
      <c r="C14" s="6" t="n">
        <v>-80.3</v>
      </c>
      <c r="D14" s="6" t="n"/>
      <c r="E14" s="6" t="n"/>
      <c r="F14" s="6" t="n"/>
    </row>
    <row r="15">
      <c r="A15" s="6" t="inlineStr">
        <is>
          <t>Administrative expenses</t>
        </is>
      </c>
      <c r="B15" s="6" t="n"/>
      <c r="C15" s="6" t="n"/>
      <c r="D15" s="6" t="n">
        <v>-18.016</v>
      </c>
      <c r="E15" s="6" t="n">
        <v>-14.266</v>
      </c>
      <c r="F15" s="6" t="n">
        <v>-7.89</v>
      </c>
    </row>
    <row r="16">
      <c r="A16" s="6" t="inlineStr">
        <is>
          <t>Depreciation and amortisation</t>
        </is>
      </c>
      <c r="B16" s="6" t="n"/>
      <c r="C16" s="6" t="n"/>
      <c r="D16" s="6" t="n">
        <v>-5.394</v>
      </c>
      <c r="E16" s="6" t="n">
        <v>-3.337</v>
      </c>
      <c r="F16" s="6" t="n">
        <v>-9.445</v>
      </c>
    </row>
    <row r="17">
      <c r="A17" s="6" t="inlineStr">
        <is>
          <t>Staff costs</t>
        </is>
      </c>
      <c r="B17" s="6" t="n"/>
      <c r="C17" s="6" t="n"/>
      <c r="D17" s="6" t="n">
        <v>-33.028</v>
      </c>
      <c r="E17" s="6" t="n">
        <v>-23.823</v>
      </c>
      <c r="F17" s="6" t="n">
        <v>-14.472</v>
      </c>
    </row>
    <row r="18">
      <c r="A18" s="5" t="inlineStr">
        <is>
          <t>Total operating expenses</t>
        </is>
      </c>
      <c r="B18" s="5" t="n">
        <v>-108.4</v>
      </c>
      <c r="C18" s="5" t="n">
        <v>-80.3</v>
      </c>
      <c r="D18" s="5" t="n">
        <v>-56.438</v>
      </c>
      <c r="E18" s="5" t="n">
        <v>-41.426</v>
      </c>
      <c r="F18" s="5" t="n">
        <v>-31.807</v>
      </c>
    </row>
    <row r="19">
      <c r="A19" s="6" t="inlineStr">
        <is>
          <t>Impairment losses</t>
        </is>
      </c>
      <c r="B19" s="6" t="n">
        <v>-13.3</v>
      </c>
      <c r="C19" s="6" t="n">
        <v>-10.2</v>
      </c>
      <c r="D19" s="6" t="n">
        <v>-14.279</v>
      </c>
      <c r="E19" s="6" t="n">
        <v>-8.473000000000001</v>
      </c>
      <c r="F19" s="6" t="n">
        <v>-1.077</v>
      </c>
    </row>
    <row r="20">
      <c r="A20" s="5" t="inlineStr">
        <is>
          <t>Profit/(loss) before tax</t>
        </is>
      </c>
      <c r="B20" s="5" t="n">
        <v>36.9</v>
      </c>
      <c r="C20" s="5" t="n">
        <v>29.9</v>
      </c>
      <c r="D20" s="5" t="n">
        <v>16.091</v>
      </c>
      <c r="E20" s="5" t="n">
        <v>-1.587</v>
      </c>
      <c r="F20" s="5" t="n">
        <v>-25.058</v>
      </c>
    </row>
    <row r="21">
      <c r="A21" s="6" t="inlineStr">
        <is>
          <t>Taxation charge/credit</t>
        </is>
      </c>
      <c r="B21" s="6" t="n">
        <v>-9.6</v>
      </c>
      <c r="C21" s="6" t="n">
        <v>-0.1</v>
      </c>
      <c r="D21" s="6" t="n">
        <v>3.059</v>
      </c>
      <c r="E21" s="6" t="n">
        <v>7.21</v>
      </c>
      <c r="F21" s="6" t="n">
        <v>0</v>
      </c>
    </row>
    <row r="22">
      <c r="A22" s="5" t="inlineStr">
        <is>
          <t>Profit/(loss) after tax for the year</t>
        </is>
      </c>
      <c r="B22" s="5" t="n">
        <v>27.3</v>
      </c>
      <c r="C22" s="5" t="n">
        <v>29.8</v>
      </c>
      <c r="D22" s="5" t="n">
        <v>19.15</v>
      </c>
      <c r="E22" s="5" t="n">
        <v>5.623</v>
      </c>
      <c r="F22" s="5" t="n">
        <v>-25.058</v>
      </c>
    </row>
    <row r="23">
      <c r="A23" s="5" t="inlineStr">
        <is>
          <t>Other comprehensive income/(loss)</t>
        </is>
      </c>
      <c r="B23" s="6" t="n"/>
      <c r="C23" s="6" t="n"/>
      <c r="D23" s="6" t="n"/>
      <c r="E23" s="6" t="n"/>
      <c r="F23" s="6" t="n"/>
    </row>
    <row r="24">
      <c r="A24" s="6" t="inlineStr">
        <is>
          <t>Fair value gains/(losses) on debt securities</t>
        </is>
      </c>
      <c r="B24" s="6" t="n">
        <v>0.2</v>
      </c>
      <c r="C24" s="6" t="n">
        <v>-0.2</v>
      </c>
      <c r="D24" s="6" t="n">
        <v>0.837</v>
      </c>
      <c r="E24" s="6" t="n">
        <v>-0.764</v>
      </c>
      <c r="F24" s="6" t="n">
        <v>-0.004</v>
      </c>
    </row>
    <row r="25">
      <c r="A25" s="6" t="inlineStr">
        <is>
          <t>Net change in fair value of financial instruments</t>
        </is>
      </c>
      <c r="B25" s="6" t="n"/>
      <c r="C25" s="6" t="n"/>
      <c r="D25" s="6" t="n"/>
      <c r="E25" s="6" t="n">
        <v>0</v>
      </c>
      <c r="F25" s="6" t="n">
        <v>0.02</v>
      </c>
    </row>
    <row r="26">
      <c r="A26" s="6" t="inlineStr">
        <is>
          <t>Exchange differences on translation of foreign operations</t>
        </is>
      </c>
      <c r="B26" s="6" t="n">
        <v>-0.1</v>
      </c>
      <c r="C26" s="6" t="n">
        <v>0</v>
      </c>
      <c r="D26" s="6" t="n"/>
      <c r="E26" s="6" t="n"/>
      <c r="F26" s="6" t="n"/>
    </row>
    <row r="27">
      <c r="A27" s="6" t="inlineStr">
        <is>
          <t>Cash flow hedges: gains/(losses) arising during the year</t>
        </is>
      </c>
      <c r="B27" s="6" t="n">
        <v>-14.3</v>
      </c>
      <c r="C27" s="6" t="n">
        <v>31.8</v>
      </c>
      <c r="D27" s="6" t="n">
        <v>-20.264</v>
      </c>
      <c r="E27" s="6" t="n">
        <v>20.431</v>
      </c>
      <c r="F27" s="6" t="n">
        <v>0</v>
      </c>
    </row>
    <row r="28">
      <c r="A28" s="6" t="inlineStr">
        <is>
          <t>Cash flow hedges: amounts recycled to profit or loss</t>
        </is>
      </c>
      <c r="B28" s="6" t="n">
        <v>-6.5</v>
      </c>
      <c r="C28" s="6" t="n">
        <v>-11.8</v>
      </c>
      <c r="D28" s="6" t="n">
        <v>-6.759</v>
      </c>
      <c r="E28" s="6" t="n">
        <v>-0.08400000000000001</v>
      </c>
      <c r="F28" s="6" t="n">
        <v>0.023</v>
      </c>
    </row>
    <row r="29">
      <c r="A29" s="6" t="inlineStr">
        <is>
          <t>Tax credit/(expense)</t>
        </is>
      </c>
      <c r="B29" s="6" t="n">
        <v>5.2</v>
      </c>
      <c r="C29" s="6" t="n">
        <v>-5</v>
      </c>
      <c r="D29" s="6" t="n">
        <v>6.756</v>
      </c>
      <c r="E29" s="6" t="n">
        <v>-5.087</v>
      </c>
      <c r="F29" s="6" t="n">
        <v>0</v>
      </c>
    </row>
    <row r="30">
      <c r="A30" s="5" t="inlineStr">
        <is>
          <t>Other comprehensive income/(loss) for the year, net of tax</t>
        </is>
      </c>
      <c r="B30" s="5" t="n">
        <v>-15.5</v>
      </c>
      <c r="C30" s="5" t="n">
        <v>14.8</v>
      </c>
      <c r="D30" s="5" t="n">
        <v>-19.43</v>
      </c>
      <c r="E30" s="5" t="n">
        <v>14.496</v>
      </c>
      <c r="F30" s="5" t="n">
        <v>0.039</v>
      </c>
    </row>
    <row r="31">
      <c r="A31" s="5" t="inlineStr">
        <is>
          <t>Total comprehensive income/(loss) for the year</t>
        </is>
      </c>
      <c r="B31" s="5" t="n">
        <v>11.8</v>
      </c>
      <c r="C31" s="5" t="n">
        <v>44.6</v>
      </c>
      <c r="D31" s="5" t="n">
        <v>-0.28</v>
      </c>
      <c r="E31" s="5" t="n">
        <v>20.119</v>
      </c>
      <c r="F31" s="5" t="n">
        <v>-25.019</v>
      </c>
    </row>
    <row r="33" ht="170" customHeight="1">
      <c r="A33" s="8" t="inlineStr">
        <is>
          <t>Sources — Allica Bank Limited consolidated (Group) Statement of Profit or Loss and Other Comprehensive Income, £m:
FY2025 &amp; FY2024: Annual Report &amp; Accounts 2025, p.85-86 — https://www.allica.bank/hubfs/pdf/allica-bank_annual-report-2025.pdf
FY2023: Annual Report and Accounts 2023, p.70-71 — https://www.allica.bank/hubfs/Allica-Bank_Annual-report_2023.pdf
FY2022: Annual Report and Accounts 2022, p.75-76 (own-year figures) — https://www.allica.bank/hubfs/pdf/web/investor-relations/Allica_Bank-Annual_Report-2022.pdf
FY2021: Annual Report and Accounts 2022, p.75-76 (FY2021 comparative column) — https://www.allica.bank/hubfs/pdf/web/investor-relations/Allica_Bank-Annual_Report-2022.pdf
Entity note: all figures on this and the Balance Sheet/Profit &amp; Loss/Statement of Changes in Equity sheets are Allica Bank Limited Group (consolidated), £m. FY2025 &amp; FY2024 sourced from Allica Bank Limited Annual Report &amp; Accounts 2025 (£m as reported) — https://www.allica.bank/hubfs/pdf/allica-bank_annual-report-2025.pdf; FY2023 &amp; FY2022 sourced from Allica Bank Limited Annual Report and Accounts 2023 (£'000 as reported, converted to £m for consistency with other years) — https://www.allica.bank/hubfs/Allica-Bank_Annual-report_2023.pdf; FY2021 sourced from the FY2021 comparative column of Allica Bank Limited Annual Report and Accounts 2022 (£'000 as reported, converted to £m) — https://www.allica.bank/hubfs/pdf/web/investor-relations/Allica_Bank-Annual_Report-2022.pdf — no separate FY2021 Annual Report was located, matching the existing Cash Flow Statement sheet's own FY2021 sourcing convention. A disclosed nil ('–' in the source table) is written as 0; a blank cell means that year's report did not disclose that specific line at all.
PRESENTATION NOTE: FY2024-2025 present a single 'Operating expenses' line on the face of the statement (sub-breakdown moved to a note); FY2021-2023 break this into Administrative expenses / Depreciation and amortisation / Staff costs, each shown here and rolling up to the same 'Total operating expenses' TOTAL row. FY2022's OCI detail is taken from Allica's own FY2022 Annual Report (Annual Report and Accounts 2022) rather than the FY2023 report's restated comparative column, per this workbook's per-year-primary-source convention — the FY2023 report's FY2022 comparative omits the 'Net change in fair value of financial instruments during the year' line that FY2022's own report discloses; both are otherwise consistent.</t>
        </is>
      </c>
    </row>
  </sheetData>
  <mergeCells count="1">
    <mergeCell ref="A33:F3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4"/>
  <sheetViews>
    <sheetView workbookViewId="0">
      <pane ySplit="4" topLeftCell="A5" activePane="bottomLeft" state="frozen"/>
      <selection pane="bottomLeft"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Allica Bank Limited — Consolidated Statement of Changes in Equity</t>
        </is>
      </c>
    </row>
    <row r="2">
      <c r="A2" s="2" t="inlineStr">
        <is>
          <t>Allica Bank Limited Group (consolidated basis), £m, chronological 1 Jan 2021 - 31 Dec 2025.</t>
        </is>
      </c>
    </row>
    <row r="3">
      <c r="A3" s="4" t="inlineStr">
        <is>
          <t>Movement</t>
        </is>
      </c>
      <c r="B3" s="4" t="inlineStr">
        <is>
          <t>Share capital</t>
        </is>
      </c>
      <c r="C3" s="4" t="inlineStr">
        <is>
          <t>Share premium</t>
        </is>
      </c>
      <c r="D3" s="4" t="inlineStr">
        <is>
          <t>Other components of equity</t>
        </is>
      </c>
      <c r="E3" s="4" t="inlineStr">
        <is>
          <t>Perpetual notes (incl. convertible)</t>
        </is>
      </c>
      <c r="F3" s="4" t="inlineStr">
        <is>
          <t>Retained earnings/(accumulated losses)</t>
        </is>
      </c>
      <c r="G3" s="4" t="inlineStr">
        <is>
          <t>Total equity</t>
        </is>
      </c>
    </row>
    <row r="4">
      <c r="A4" s="5" t="inlineStr">
        <is>
          <t>Balance at 1 January 2021</t>
        </is>
      </c>
      <c r="B4" s="5" t="n">
        <v>1.003</v>
      </c>
      <c r="C4" s="5" t="n">
        <v>120.321</v>
      </c>
      <c r="D4" s="5" t="n">
        <v>-0.022</v>
      </c>
      <c r="E4" s="5" t="n"/>
      <c r="F4" s="5" t="n">
        <v>-64.81399999999999</v>
      </c>
      <c r="G4" s="5" t="n">
        <v>56.488</v>
      </c>
    </row>
    <row r="5">
      <c r="A5" s="6" t="inlineStr">
        <is>
          <t>Loss after tax for the year (FY2021)</t>
        </is>
      </c>
      <c r="B5" s="6" t="n"/>
      <c r="C5" s="6" t="n"/>
      <c r="D5" s="6" t="n"/>
      <c r="E5" s="6" t="n"/>
      <c r="F5" s="6" t="n">
        <v>-25.058</v>
      </c>
      <c r="G5" s="6" t="n">
        <v>-25.058</v>
      </c>
    </row>
    <row r="6">
      <c r="A6" s="6" t="inlineStr">
        <is>
          <t>Other comprehensive income for the year, net of tax (FY2021)</t>
        </is>
      </c>
      <c r="B6" s="6" t="n"/>
      <c r="C6" s="6" t="n"/>
      <c r="D6" s="6" t="n">
        <v>0.039</v>
      </c>
      <c r="E6" s="6" t="n"/>
      <c r="F6" s="6" t="n"/>
      <c r="G6" s="6" t="n">
        <v>0.039</v>
      </c>
    </row>
    <row r="7">
      <c r="A7" s="5" t="inlineStr">
        <is>
          <t>Total comprehensive income/(loss) for the year (FY2021)</t>
        </is>
      </c>
      <c r="B7" s="5" t="n"/>
      <c r="C7" s="5" t="n"/>
      <c r="D7" s="5" t="n">
        <v>0.039</v>
      </c>
      <c r="E7" s="5" t="n"/>
      <c r="F7" s="5" t="n">
        <v>-25.058</v>
      </c>
      <c r="G7" s="5" t="n">
        <v>-25.019</v>
      </c>
    </row>
    <row r="8">
      <c r="A8" s="6" t="inlineStr">
        <is>
          <t>Share-based payments</t>
        </is>
      </c>
      <c r="B8" s="6" t="n"/>
      <c r="C8" s="6" t="n"/>
      <c r="D8" s="6" t="n">
        <v>0.113</v>
      </c>
      <c r="E8" s="6" t="n"/>
      <c r="F8" s="6" t="n"/>
      <c r="G8" s="6" t="n">
        <v>0.113</v>
      </c>
    </row>
    <row r="9">
      <c r="A9" s="6" t="inlineStr">
        <is>
          <t>Issue of share warrants</t>
        </is>
      </c>
      <c r="B9" s="6" t="n"/>
      <c r="C9" s="6" t="n"/>
      <c r="D9" s="6" t="n">
        <v>1.98</v>
      </c>
      <c r="E9" s="6" t="n"/>
      <c r="F9" s="6" t="n">
        <v>-1.98</v>
      </c>
      <c r="G9" s="6" t="n">
        <v>0</v>
      </c>
    </row>
    <row r="10">
      <c r="A10" s="6" t="inlineStr">
        <is>
          <t>Issue of perpetual notes (including convertible)</t>
        </is>
      </c>
      <c r="B10" s="6" t="n"/>
      <c r="C10" s="6" t="n"/>
      <c r="D10" s="6" t="n"/>
      <c r="E10" s="6" t="n">
        <v>17.5</v>
      </c>
      <c r="F10" s="6" t="n"/>
      <c r="G10" s="6" t="n">
        <v>17.5</v>
      </c>
    </row>
    <row r="11">
      <c r="A11" s="6" t="inlineStr">
        <is>
          <t>Issue of ordinary share capital</t>
        </is>
      </c>
      <c r="B11" s="6" t="n">
        <v>0.414</v>
      </c>
      <c r="C11" s="6" t="n">
        <v>40.387</v>
      </c>
      <c r="D11" s="6" t="n"/>
      <c r="E11" s="6" t="n"/>
      <c r="F11" s="6" t="n"/>
      <c r="G11" s="6" t="n">
        <v>40.801</v>
      </c>
    </row>
    <row r="12">
      <c r="A12" s="5" t="inlineStr">
        <is>
          <t>Balance at 31 December 2021</t>
        </is>
      </c>
      <c r="B12" s="5" t="n">
        <v>1.417</v>
      </c>
      <c r="C12" s="5" t="n">
        <v>160.708</v>
      </c>
      <c r="D12" s="5" t="n">
        <v>2.11</v>
      </c>
      <c r="E12" s="5" t="n">
        <v>17.5</v>
      </c>
      <c r="F12" s="5" t="n">
        <v>-91.852</v>
      </c>
      <c r="G12" s="5" t="n">
        <v>89.883</v>
      </c>
    </row>
    <row r="13">
      <c r="A13" s="6" t="inlineStr">
        <is>
          <t>Profit after tax credit for the year (FY2022)</t>
        </is>
      </c>
      <c r="B13" s="6" t="n"/>
      <c r="C13" s="6" t="n"/>
      <c r="D13" s="6" t="n"/>
      <c r="E13" s="6" t="n"/>
      <c r="F13" s="6" t="n">
        <v>5.623</v>
      </c>
      <c r="G13" s="6" t="n">
        <v>5.623</v>
      </c>
    </row>
    <row r="14">
      <c r="A14" s="6" t="inlineStr">
        <is>
          <t>Other comprehensive income for the year, net of tax (FY2022)</t>
        </is>
      </c>
      <c r="B14" s="6" t="n"/>
      <c r="C14" s="6" t="n"/>
      <c r="D14" s="6" t="n">
        <v>14.496</v>
      </c>
      <c r="E14" s="6" t="n"/>
      <c r="F14" s="6" t="n"/>
      <c r="G14" s="6" t="n">
        <v>14.496</v>
      </c>
    </row>
    <row r="15">
      <c r="A15" s="5" t="inlineStr">
        <is>
          <t>Total comprehensive income for the year (FY2022)</t>
        </is>
      </c>
      <c r="B15" s="5" t="n"/>
      <c r="C15" s="5" t="n"/>
      <c r="D15" s="5" t="n">
        <v>14.496</v>
      </c>
      <c r="E15" s="5" t="n"/>
      <c r="F15" s="5" t="n">
        <v>5.623</v>
      </c>
      <c r="G15" s="5" t="n">
        <v>20.119</v>
      </c>
    </row>
    <row r="16">
      <c r="A16" s="6" t="inlineStr">
        <is>
          <t>Share-based payments</t>
        </is>
      </c>
      <c r="B16" s="6" t="n"/>
      <c r="C16" s="6" t="n"/>
      <c r="D16" s="6" t="n">
        <v>0.288</v>
      </c>
      <c r="E16" s="6" t="n"/>
      <c r="F16" s="6" t="n"/>
      <c r="G16" s="6" t="n">
        <v>0.288</v>
      </c>
    </row>
    <row r="17">
      <c r="A17" s="6" t="inlineStr">
        <is>
          <t>Conversion of perpetual notes (including convertible), net</t>
        </is>
      </c>
      <c r="B17" s="6" t="n"/>
      <c r="C17" s="6" t="n"/>
      <c r="D17" s="6" t="n"/>
      <c r="E17" s="6" t="n">
        <v>-7.614</v>
      </c>
      <c r="F17" s="6" t="n"/>
      <c r="G17" s="6" t="n">
        <v>-7.614</v>
      </c>
    </row>
    <row r="18">
      <c r="A18" s="6" t="inlineStr">
        <is>
          <t>Issue of ordinary share capital</t>
        </is>
      </c>
      <c r="B18" s="6" t="n">
        <v>1.084</v>
      </c>
      <c r="C18" s="6" t="n">
        <v>105.624</v>
      </c>
      <c r="D18" s="6" t="n">
        <v>-0.113</v>
      </c>
      <c r="E18" s="6" t="n"/>
      <c r="F18" s="6" t="n"/>
      <c r="G18" s="6" t="n">
        <v>106.595</v>
      </c>
    </row>
    <row r="19">
      <c r="A19" s="5" t="inlineStr">
        <is>
          <t>Balance at 31 December 2022</t>
        </is>
      </c>
      <c r="B19" s="5" t="n">
        <v>2.501</v>
      </c>
      <c r="C19" s="5" t="n">
        <v>266.332</v>
      </c>
      <c r="D19" s="5" t="n">
        <v>16.781</v>
      </c>
      <c r="E19" s="5" t="n">
        <v>9.885999999999999</v>
      </c>
      <c r="F19" s="5" t="n">
        <v>-86.229</v>
      </c>
      <c r="G19" s="5" t="n">
        <v>209.271</v>
      </c>
    </row>
    <row r="20">
      <c r="A20" s="6" t="inlineStr">
        <is>
          <t>Profit after tax credit for the year (FY2023)</t>
        </is>
      </c>
      <c r="B20" s="6" t="n"/>
      <c r="C20" s="6" t="n"/>
      <c r="D20" s="6" t="n"/>
      <c r="E20" s="6" t="n"/>
      <c r="F20" s="6" t="n">
        <v>19.15</v>
      </c>
      <c r="G20" s="6" t="n">
        <v>19.15</v>
      </c>
    </row>
    <row r="21">
      <c r="A21" s="6" t="inlineStr">
        <is>
          <t>Other comprehensive loss for the year, net of tax (FY2023)</t>
        </is>
      </c>
      <c r="B21" s="6" t="n"/>
      <c r="C21" s="6" t="n"/>
      <c r="D21" s="6" t="n">
        <v>-19.43</v>
      </c>
      <c r="E21" s="6" t="n"/>
      <c r="F21" s="6" t="n"/>
      <c r="G21" s="6" t="n">
        <v>-19.43</v>
      </c>
    </row>
    <row r="22">
      <c r="A22" s="5" t="inlineStr">
        <is>
          <t>Total comprehensive income/(loss) for the year (FY2023)</t>
        </is>
      </c>
      <c r="B22" s="5" t="n"/>
      <c r="C22" s="5" t="n"/>
      <c r="D22" s="5" t="n">
        <v>-19.43</v>
      </c>
      <c r="E22" s="5" t="n"/>
      <c r="F22" s="5" t="n">
        <v>19.15</v>
      </c>
      <c r="G22" s="5" t="n">
        <v>-0.28</v>
      </c>
    </row>
    <row r="23">
      <c r="A23" s="6" t="inlineStr">
        <is>
          <t>Share-based payments</t>
        </is>
      </c>
      <c r="B23" s="6" t="n">
        <v>0.007</v>
      </c>
      <c r="C23" s="6" t="n">
        <v>0.281</v>
      </c>
      <c r="D23" s="6" t="n">
        <v>-0.288</v>
      </c>
      <c r="E23" s="6" t="n"/>
      <c r="F23" s="6" t="n"/>
      <c r="G23" s="6" t="n">
        <v>0</v>
      </c>
    </row>
    <row r="24">
      <c r="A24" s="6" t="inlineStr">
        <is>
          <t>Employee bonus share issuance</t>
        </is>
      </c>
      <c r="B24" s="6" t="n">
        <v>0.011</v>
      </c>
      <c r="C24" s="6" t="n">
        <v>0.405</v>
      </c>
      <c r="D24" s="6" t="n"/>
      <c r="E24" s="6" t="n"/>
      <c r="F24" s="6" t="n"/>
      <c r="G24" s="6" t="n">
        <v>0.416</v>
      </c>
    </row>
    <row r="25">
      <c r="A25" s="6" t="inlineStr">
        <is>
          <t>Issue of ordinary share capital</t>
        </is>
      </c>
      <c r="B25" s="6" t="n">
        <v>0.354</v>
      </c>
      <c r="C25" s="6" t="n">
        <v>34.14</v>
      </c>
      <c r="D25" s="6" t="n"/>
      <c r="E25" s="6" t="n"/>
      <c r="F25" s="6" t="n"/>
      <c r="G25" s="6" t="n">
        <v>34.494</v>
      </c>
    </row>
    <row r="26">
      <c r="A26" s="6" t="inlineStr">
        <is>
          <t>Issue of perpetual convertible notes</t>
        </is>
      </c>
      <c r="B26" s="6" t="n"/>
      <c r="C26" s="6" t="n"/>
      <c r="D26" s="6" t="n"/>
      <c r="E26" s="6" t="n">
        <v>35.241</v>
      </c>
      <c r="F26" s="6" t="n"/>
      <c r="G26" s="6" t="n">
        <v>35.241</v>
      </c>
    </row>
    <row r="27">
      <c r="A27" s="5" t="inlineStr">
        <is>
          <t>Balance at 31 December 2023</t>
        </is>
      </c>
      <c r="B27" s="5" t="n">
        <v>2.873</v>
      </c>
      <c r="C27" s="5" t="n">
        <v>301.158</v>
      </c>
      <c r="D27" s="5" t="n">
        <v>-2.937</v>
      </c>
      <c r="E27" s="5" t="n">
        <v>45.127</v>
      </c>
      <c r="F27" s="5" t="n">
        <v>-67.07899999999999</v>
      </c>
      <c r="G27" s="5" t="n">
        <v>279.142</v>
      </c>
    </row>
    <row r="28">
      <c r="A28" s="6" t="inlineStr">
        <is>
          <t>Profit after tax for the year (FY2024)</t>
        </is>
      </c>
      <c r="B28" s="6" t="n"/>
      <c r="C28" s="6" t="n"/>
      <c r="D28" s="6" t="n"/>
      <c r="E28" s="6" t="n"/>
      <c r="F28" s="6" t="n">
        <v>29.8</v>
      </c>
      <c r="G28" s="6" t="n">
        <v>29.8</v>
      </c>
    </row>
    <row r="29">
      <c r="A29" s="6" t="inlineStr">
        <is>
          <t>Other comprehensive income for the year, net of tax (FY2024)</t>
        </is>
      </c>
      <c r="B29" s="6" t="n"/>
      <c r="C29" s="6" t="n"/>
      <c r="D29" s="6" t="n">
        <v>14.8</v>
      </c>
      <c r="E29" s="6" t="n"/>
      <c r="F29" s="6" t="n"/>
      <c r="G29" s="6" t="n">
        <v>14.8</v>
      </c>
    </row>
    <row r="30">
      <c r="A30" s="5" t="inlineStr">
        <is>
          <t>Total comprehensive income for the year (FY2024)</t>
        </is>
      </c>
      <c r="B30" s="5" t="n"/>
      <c r="C30" s="5" t="n"/>
      <c r="D30" s="5" t="n">
        <v>14.8</v>
      </c>
      <c r="E30" s="5" t="n"/>
      <c r="F30" s="5" t="n">
        <v>29.8</v>
      </c>
      <c r="G30" s="5" t="n">
        <v>44.6</v>
      </c>
    </row>
    <row r="31">
      <c r="A31" s="6" t="inlineStr">
        <is>
          <t>Issue of ordinary share capital and employee bonus shares</t>
        </is>
      </c>
      <c r="B31" s="6" t="n">
        <v>0.1</v>
      </c>
      <c r="C31" s="6" t="n">
        <v>17.7</v>
      </c>
      <c r="D31" s="6" t="n"/>
      <c r="E31" s="6" t="n"/>
      <c r="F31" s="6" t="n"/>
      <c r="G31" s="6" t="n">
        <v>17.8</v>
      </c>
    </row>
    <row r="32">
      <c r="A32" s="6" t="inlineStr">
        <is>
          <t>Capital reduction</t>
        </is>
      </c>
      <c r="B32" s="6" t="n"/>
      <c r="C32" s="6" t="n">
        <v>-73.5</v>
      </c>
      <c r="D32" s="6" t="n"/>
      <c r="E32" s="6" t="n"/>
      <c r="F32" s="6" t="n">
        <v>73.5</v>
      </c>
      <c r="G32" s="6" t="n">
        <v>0</v>
      </c>
    </row>
    <row r="33">
      <c r="A33" s="6" t="inlineStr">
        <is>
          <t>Issue of perpetual convertible notes</t>
        </is>
      </c>
      <c r="B33" s="6" t="n"/>
      <c r="C33" s="6" t="n"/>
      <c r="D33" s="6" t="n"/>
      <c r="E33" s="6" t="n">
        <v>35</v>
      </c>
      <c r="F33" s="6" t="n"/>
      <c r="G33" s="6" t="n">
        <v>35</v>
      </c>
    </row>
    <row r="34">
      <c r="A34" s="6" t="inlineStr">
        <is>
          <t>Share warrants exercised</t>
        </is>
      </c>
      <c r="B34" s="6" t="n"/>
      <c r="C34" s="6" t="n">
        <v>0.6</v>
      </c>
      <c r="D34" s="6" t="n">
        <v>-0.6</v>
      </c>
      <c r="E34" s="6" t="n"/>
      <c r="F34" s="6" t="n"/>
      <c r="G34" s="6" t="n">
        <v>0</v>
      </c>
    </row>
    <row r="35">
      <c r="A35" s="6" t="inlineStr">
        <is>
          <t>Conversion of perpetual convertible notes, net</t>
        </is>
      </c>
      <c r="B35" s="6" t="n">
        <v>0.4</v>
      </c>
      <c r="C35" s="6" t="n">
        <v>34.9</v>
      </c>
      <c r="D35" s="6" t="n"/>
      <c r="E35" s="6" t="n">
        <v>-35.2</v>
      </c>
      <c r="F35" s="6" t="n"/>
      <c r="G35" s="6" t="n">
        <v>0.1</v>
      </c>
    </row>
    <row r="36">
      <c r="A36" s="5" t="inlineStr">
        <is>
          <t>Balance at 31 December 2024</t>
        </is>
      </c>
      <c r="B36" s="5" t="n">
        <v>3.4</v>
      </c>
      <c r="C36" s="5" t="n">
        <v>280.9</v>
      </c>
      <c r="D36" s="5" t="n">
        <v>11.3</v>
      </c>
      <c r="E36" s="5" t="n">
        <v>44.9</v>
      </c>
      <c r="F36" s="5" t="n">
        <v>36.2</v>
      </c>
      <c r="G36" s="5" t="n">
        <v>376.7</v>
      </c>
    </row>
    <row r="37">
      <c r="A37" s="6" t="inlineStr">
        <is>
          <t>Profit after tax for the year (FY2025)</t>
        </is>
      </c>
      <c r="B37" s="6" t="n"/>
      <c r="C37" s="6" t="n"/>
      <c r="D37" s="6" t="n"/>
      <c r="E37" s="6" t="n"/>
      <c r="F37" s="6" t="n">
        <v>27.3</v>
      </c>
      <c r="G37" s="6" t="n">
        <v>27.3</v>
      </c>
    </row>
    <row r="38">
      <c r="A38" s="6" t="inlineStr">
        <is>
          <t>Other comprehensive loss for the year, net of tax (FY2025)</t>
        </is>
      </c>
      <c r="B38" s="6" t="n"/>
      <c r="C38" s="6" t="n"/>
      <c r="D38" s="6" t="n">
        <v>-15.5</v>
      </c>
      <c r="E38" s="6" t="n"/>
      <c r="F38" s="6" t="n"/>
      <c r="G38" s="6" t="n">
        <v>-15.5</v>
      </c>
    </row>
    <row r="39">
      <c r="A39" s="5" t="inlineStr">
        <is>
          <t>Total comprehensive (loss)/income for the year (FY2025)</t>
        </is>
      </c>
      <c r="B39" s="5" t="n"/>
      <c r="C39" s="5" t="n"/>
      <c r="D39" s="5" t="n">
        <v>-15.5</v>
      </c>
      <c r="E39" s="5" t="n"/>
      <c r="F39" s="5" t="n">
        <v>27.3</v>
      </c>
      <c r="G39" s="5" t="n">
        <v>11.8</v>
      </c>
    </row>
    <row r="40">
      <c r="A40" s="6" t="inlineStr">
        <is>
          <t>Issue of ordinary share capital</t>
        </is>
      </c>
      <c r="B40" s="6" t="n">
        <v>0.3</v>
      </c>
      <c r="C40" s="6" t="n">
        <v>42.1</v>
      </c>
      <c r="D40" s="6" t="n"/>
      <c r="E40" s="6" t="n"/>
      <c r="F40" s="6" t="n"/>
      <c r="G40" s="6" t="n">
        <v>42.4</v>
      </c>
    </row>
    <row r="41">
      <c r="A41" s="6" t="inlineStr">
        <is>
          <t>Coupon paid on capital securities</t>
        </is>
      </c>
      <c r="B41" s="6" t="n"/>
      <c r="C41" s="6" t="n"/>
      <c r="D41" s="6" t="n"/>
      <c r="E41" s="6" t="n"/>
      <c r="F41" s="6" t="n">
        <v>-6.9</v>
      </c>
      <c r="G41" s="6" t="n">
        <v>-6.9</v>
      </c>
    </row>
    <row r="42">
      <c r="A42" s="5" t="inlineStr">
        <is>
          <t>Balance at 31 December 2025</t>
        </is>
      </c>
      <c r="B42" s="5" t="n">
        <v>3.7</v>
      </c>
      <c r="C42" s="5" t="n">
        <v>323</v>
      </c>
      <c r="D42" s="5" t="n">
        <v>-4.2</v>
      </c>
      <c r="E42" s="5" t="n">
        <v>44.9</v>
      </c>
      <c r="F42" s="5" t="n">
        <v>56.6</v>
      </c>
      <c r="G42" s="5" t="n">
        <v>424</v>
      </c>
    </row>
    <row r="44" ht="170" customHeight="1">
      <c r="A44" s="8" t="inlineStr">
        <is>
          <t>Sources — Allica Bank Limited consolidated (Group) Statement of Changes in Equity, £m:
1 Jan 2021 – 31 Dec 2022 roll-forward: Annual Report and Accounts 2022, p.82 — https://www.allica.bank/hubfs/pdf/web/investor-relations/Allica_Bank-Annual_Report-2022.pdf
1 Jan 2022 – 31 Dec 2023 roll-forward: Annual Report and Accounts 2023, p.74 — https://www.allica.bank/hubfs/Allica-Bank_Annual-report_2023.pdf
1 Jan 2024 – 31 Dec 2025 roll-forward: Annual Report &amp; Accounts 2025, p.89 — https://www.allica.bank/hubfs/pdf/allica-bank_annual-report-2025.pdf
Entity note: all figures on this and the Balance Sheet/Profit &amp; Loss/Statement of Changes in Equity sheets are Allica Bank Limited Group (consolidated), £m. FY2025 &amp; FY2024 sourced from Allica Bank Limited Annual Report &amp; Accounts 2025 (£m as reported) — https://www.allica.bank/hubfs/pdf/allica-bank_annual-report-2025.pdf; FY2023 &amp; FY2022 sourced from Allica Bank Limited Annual Report and Accounts 2023 (£'000 as reported, converted to £m for consistency with other years) — https://www.allica.bank/hubfs/Allica-Bank_Annual-report_2023.pdf; FY2021 sourced from the FY2021 comparative column of Allica Bank Limited Annual Report and Accounts 2022 (£'000 as reported, converted to £m) — https://www.allica.bank/hubfs/pdf/web/investor-relations/Allica_Bank-Annual_Report-2022.pdf — no separate FY2021 Annual Report was located, matching the existing Cash Flow Statement sheet's own FY2021 sourcing convention. A disclosed nil ('–' in the source table) is written as 0; a blank cell means that year's report did not disclose that specific line at all.
PRESENTATION NOTE: chronological roll-forward, £m, 1 January 2021 to 31 December 2025 (oldest to newest, unlike the rest of the workbook's most-recent-first year columns). 'Perpetual notes (including convertible)' component only appears from the 31 December 2021 balance onward (first issued during FY2021).</t>
        </is>
      </c>
    </row>
  </sheetData>
  <mergeCells count="1">
    <mergeCell ref="A44:G4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5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Allica Bank Limited — Consolidated Statement of Cash Flows</t>
        </is>
      </c>
    </row>
    <row r="2">
      <c r="A2" s="2" t="inlineStr">
        <is>
          <t>Allica Bank Limited Group (consolidated basis), £m unless stated</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Reconciliation of profit before tax to net cash flows from operating activities</t>
        </is>
      </c>
      <c r="B4" s="6" t="n"/>
      <c r="C4" s="6" t="n"/>
      <c r="D4" s="6" t="n"/>
      <c r="E4" s="6" t="n"/>
      <c r="F4" s="6" t="n"/>
    </row>
    <row r="5">
      <c r="A5" s="6" t="inlineStr">
        <is>
          <t>Profit/(loss) before tax</t>
        </is>
      </c>
      <c r="B5" s="6" t="n">
        <v>36.9</v>
      </c>
      <c r="C5" s="6" t="n">
        <v>29.9</v>
      </c>
      <c r="D5" s="6" t="n">
        <v>16.091</v>
      </c>
      <c r="E5" s="6" t="n">
        <v>-1.587</v>
      </c>
      <c r="F5" s="6" t="n">
        <v>-25.058</v>
      </c>
    </row>
    <row r="6">
      <c r="A6" s="6" t="inlineStr">
        <is>
          <t>Depreciation</t>
        </is>
      </c>
      <c r="B6" s="6" t="n">
        <v>1.5</v>
      </c>
      <c r="C6" s="6" t="n">
        <v>1</v>
      </c>
      <c r="D6" s="6" t="n">
        <v>0.849</v>
      </c>
      <c r="E6" s="6" t="n">
        <v>0.491</v>
      </c>
      <c r="F6" s="6" t="n">
        <v>0.312</v>
      </c>
    </row>
    <row r="7">
      <c r="A7" s="6" t="inlineStr">
        <is>
          <t>Amortisation</t>
        </is>
      </c>
      <c r="B7" s="6" t="n">
        <v>9.4</v>
      </c>
      <c r="C7" s="6" t="n">
        <v>5.3</v>
      </c>
      <c r="D7" s="6" t="n">
        <v>3.606</v>
      </c>
      <c r="E7" s="6" t="n">
        <v>2.846</v>
      </c>
      <c r="F7" s="6" t="n">
        <v>2.421</v>
      </c>
    </row>
    <row r="8">
      <c r="A8" s="6" t="inlineStr">
        <is>
          <t>Loss on disposal/write-off of fixed assets</t>
        </is>
      </c>
      <c r="B8" s="6" t="n"/>
      <c r="C8" s="6" t="n"/>
      <c r="D8" s="6" t="n">
        <v>0.028</v>
      </c>
      <c r="E8" s="6" t="n">
        <v>0.059</v>
      </c>
      <c r="F8" s="6" t="n">
        <v>0</v>
      </c>
    </row>
    <row r="9">
      <c r="A9" s="6" t="inlineStr">
        <is>
          <t>Loss on write-off of intangible assets</t>
        </is>
      </c>
      <c r="B9" s="6" t="n"/>
      <c r="C9" s="6" t="n"/>
      <c r="D9" s="6" t="n">
        <v>0.9389999999999999</v>
      </c>
      <c r="E9" s="6" t="n">
        <v>0</v>
      </c>
      <c r="F9" s="6" t="n">
        <v>6.712</v>
      </c>
    </row>
    <row r="10">
      <c r="A10" s="6" t="inlineStr">
        <is>
          <t>Net fair value (losses)/gains on derivatives</t>
        </is>
      </c>
      <c r="B10" s="6" t="n">
        <v>0</v>
      </c>
      <c r="C10" s="6" t="n">
        <v>0</v>
      </c>
      <c r="D10" s="6" t="n">
        <v>-0.146</v>
      </c>
      <c r="E10" s="6" t="n">
        <v>0.017</v>
      </c>
      <c r="F10" s="6" t="n">
        <v>0.147</v>
      </c>
    </row>
    <row r="11">
      <c r="A11" s="6" t="inlineStr">
        <is>
          <t>Share-based payment charge</t>
        </is>
      </c>
      <c r="B11" s="6" t="n"/>
      <c r="C11" s="6" t="n"/>
      <c r="D11" s="6" t="n">
        <v>0</v>
      </c>
      <c r="E11" s="6" t="n">
        <v>0.288</v>
      </c>
      <c r="F11" s="6" t="n">
        <v>0.113</v>
      </c>
    </row>
    <row r="12">
      <c r="A12" s="6" t="inlineStr">
        <is>
          <t>Impairment losses</t>
        </is>
      </c>
      <c r="B12" s="6" t="n">
        <v>13.3</v>
      </c>
      <c r="C12" s="6" t="n">
        <v>10.7</v>
      </c>
      <c r="D12" s="6" t="n">
        <v>14.279</v>
      </c>
      <c r="E12" s="6" t="n">
        <v>8.417</v>
      </c>
      <c r="F12" s="6" t="n">
        <v>1.077</v>
      </c>
    </row>
    <row r="13">
      <c r="A13" s="6" t="inlineStr">
        <is>
          <t>Interest income accrued (non-cash reversal)</t>
        </is>
      </c>
      <c r="B13" s="6" t="n">
        <v>-17.2</v>
      </c>
      <c r="C13" s="6" t="n">
        <v>-14.7</v>
      </c>
      <c r="D13" s="6" t="n">
        <v>-177.843</v>
      </c>
      <c r="E13" s="6" t="n">
        <v>-72.252</v>
      </c>
      <c r="F13" s="6" t="n">
        <v>-11.494</v>
      </c>
    </row>
    <row r="14">
      <c r="A14" s="6" t="inlineStr">
        <is>
          <t>Interest expense accrued (non-cash reversal)</t>
        </is>
      </c>
      <c r="B14" s="6" t="n">
        <v>-9.9</v>
      </c>
      <c r="C14" s="6" t="n">
        <v>19.1</v>
      </c>
      <c r="D14" s="6" t="n">
        <v>97.813</v>
      </c>
      <c r="E14" s="6" t="n">
        <v>23.358</v>
      </c>
      <c r="F14" s="6" t="n">
        <v>3.67</v>
      </c>
    </row>
    <row r="15">
      <c r="A15" s="6" t="inlineStr">
        <is>
          <t>Other non-cash items</t>
        </is>
      </c>
      <c r="B15" s="6" t="n">
        <v>6.6</v>
      </c>
      <c r="C15" s="6" t="n">
        <v>0</v>
      </c>
      <c r="D15" s="6" t="n"/>
      <c r="E15" s="6" t="n"/>
      <c r="F15" s="6" t="n"/>
    </row>
    <row r="16">
      <c r="A16" s="5" t="inlineStr">
        <is>
          <t>Changes in operating assets and liabilities</t>
        </is>
      </c>
      <c r="B16" s="6" t="n"/>
      <c r="C16" s="6" t="n"/>
      <c r="D16" s="6" t="n"/>
      <c r="E16" s="6" t="n"/>
      <c r="F16" s="6" t="n"/>
    </row>
    <row r="17">
      <c r="A17" s="6" t="inlineStr">
        <is>
          <t>Net change in balances at central banks</t>
        </is>
      </c>
      <c r="B17" s="6" t="n">
        <v>-0.1</v>
      </c>
      <c r="C17" s="6" t="n">
        <v>6.7</v>
      </c>
      <c r="D17" s="6" t="n">
        <v>-6.106</v>
      </c>
      <c r="E17" s="6" t="n">
        <v>-2.87</v>
      </c>
      <c r="F17" s="6" t="n">
        <v>0</v>
      </c>
    </row>
    <row r="18">
      <c r="A18" s="6" t="inlineStr">
        <is>
          <t>Net change in loans and advances to banks</t>
        </is>
      </c>
      <c r="B18" s="6" t="n">
        <v>3.6</v>
      </c>
      <c r="C18" s="6" t="n">
        <v>41.7</v>
      </c>
      <c r="D18" s="6" t="n">
        <v>-16.762</v>
      </c>
      <c r="E18" s="6" t="n">
        <v>-28.527</v>
      </c>
      <c r="F18" s="6" t="n">
        <v>0</v>
      </c>
    </row>
    <row r="19">
      <c r="A19" s="6" t="inlineStr">
        <is>
          <t>Net change in loans and advances to customers</t>
        </is>
      </c>
      <c r="B19" s="6" t="n">
        <v>-651.3</v>
      </c>
      <c r="C19" s="6" t="n">
        <v>-1007.9</v>
      </c>
      <c r="D19" s="6" t="n">
        <v>-618.9640000000001</v>
      </c>
      <c r="E19" s="6" t="n">
        <v>-795.711</v>
      </c>
      <c r="F19" s="6" t="n">
        <v>-520.942</v>
      </c>
    </row>
    <row r="20">
      <c r="A20" s="6" t="inlineStr">
        <is>
          <t>Net change in deposits from banks</t>
        </is>
      </c>
      <c r="B20" s="6" t="n">
        <v>-16.5</v>
      </c>
      <c r="C20" s="6" t="n">
        <v>13.4</v>
      </c>
      <c r="D20" s="6" t="n"/>
      <c r="E20" s="6" t="n"/>
      <c r="F20" s="6" t="n"/>
    </row>
    <row r="21">
      <c r="A21" s="6" t="inlineStr">
        <is>
          <t>Net change in deposits from customers</t>
        </is>
      </c>
      <c r="B21" s="6" t="n">
        <v>1301.1</v>
      </c>
      <c r="C21" s="6" t="n">
        <v>1778.5</v>
      </c>
      <c r="D21" s="6" t="n">
        <v>1101.86</v>
      </c>
      <c r="E21" s="6" t="n">
        <v>657.114</v>
      </c>
      <c r="F21" s="6" t="n">
        <v>740.0170000000001</v>
      </c>
    </row>
    <row r="22">
      <c r="A22" s="6" t="inlineStr">
        <is>
          <t>Net change in cash collateral</t>
        </is>
      </c>
      <c r="B22" s="6" t="n"/>
      <c r="C22" s="6" t="n"/>
      <c r="D22" s="6" t="n">
        <v>-20.029</v>
      </c>
      <c r="E22" s="6" t="n">
        <v>23.514</v>
      </c>
      <c r="F22" s="6" t="n">
        <v>0</v>
      </c>
    </row>
    <row r="23">
      <c r="A23" s="6" t="inlineStr">
        <is>
          <t>Net change in derivatives (balance sheet)</t>
        </is>
      </c>
      <c r="B23" s="6" t="n"/>
      <c r="C23" s="6" t="n"/>
      <c r="D23" s="6" t="n"/>
      <c r="E23" s="6" t="n">
        <v>0</v>
      </c>
      <c r="F23" s="6" t="n">
        <v>0.806</v>
      </c>
    </row>
    <row r="24">
      <c r="A24" s="6" t="inlineStr">
        <is>
          <t>Net change in trade and other debtors</t>
        </is>
      </c>
      <c r="B24" s="6" t="n">
        <v>-2.5</v>
      </c>
      <c r="C24" s="6" t="n">
        <v>-2.8</v>
      </c>
      <c r="D24" s="6" t="n">
        <v>2.447</v>
      </c>
      <c r="E24" s="6" t="n">
        <v>13.89</v>
      </c>
      <c r="F24" s="6" t="n">
        <v>-20.758</v>
      </c>
    </row>
    <row r="25">
      <c r="A25" s="6" t="inlineStr">
        <is>
          <t>Net change in trade and other creditors</t>
        </is>
      </c>
      <c r="B25" s="6" t="n">
        <v>-1.6</v>
      </c>
      <c r="C25" s="6" t="n">
        <v>6.6</v>
      </c>
      <c r="D25" s="6" t="n">
        <v>2.034</v>
      </c>
      <c r="E25" s="6" t="n">
        <v>2.715</v>
      </c>
      <c r="F25" s="6" t="n">
        <v>2.364</v>
      </c>
    </row>
    <row r="26">
      <c r="A26" s="6" t="inlineStr">
        <is>
          <t>Net change in provisions</t>
        </is>
      </c>
      <c r="B26" s="6" t="n"/>
      <c r="C26" s="6" t="n"/>
      <c r="D26" s="6" t="n"/>
      <c r="E26" s="6" t="n">
        <v>0</v>
      </c>
      <c r="F26" s="6" t="n">
        <v>-0.024</v>
      </c>
    </row>
    <row r="27">
      <c r="A27" s="6" t="inlineStr">
        <is>
          <t>Interest income received (cash)</t>
        </is>
      </c>
      <c r="B27" s="6" t="n"/>
      <c r="C27" s="6" t="n"/>
      <c r="D27" s="6" t="n">
        <v>158.027</v>
      </c>
      <c r="E27" s="6" t="n">
        <v>71.813</v>
      </c>
      <c r="F27" s="6" t="n">
        <v>10.361</v>
      </c>
    </row>
    <row r="28">
      <c r="A28" s="6" t="inlineStr">
        <is>
          <t>Interest expense paid (cash)</t>
        </is>
      </c>
      <c r="B28" s="6" t="n"/>
      <c r="C28" s="6" t="n"/>
      <c r="D28" s="6" t="n">
        <v>-76.617</v>
      </c>
      <c r="E28" s="6" t="n">
        <v>-17.118</v>
      </c>
      <c r="F28" s="6" t="n">
        <v>-2.217</v>
      </c>
    </row>
    <row r="29">
      <c r="A29" s="6" t="inlineStr">
        <is>
          <t>Tax paid</t>
        </is>
      </c>
      <c r="B29" s="6" t="n">
        <v>-3.7</v>
      </c>
      <c r="C29" s="6" t="n">
        <v>-3.4</v>
      </c>
      <c r="D29" s="6" t="n">
        <v>-1.024</v>
      </c>
      <c r="E29" s="6" t="n">
        <v>0</v>
      </c>
      <c r="F29" s="6" t="n">
        <v>0</v>
      </c>
    </row>
    <row r="30">
      <c r="A30" s="5" t="inlineStr">
        <is>
          <t>Net cash from/(used in) operating activities</t>
        </is>
      </c>
      <c r="B30" s="5" t="n">
        <v>669.6</v>
      </c>
      <c r="C30" s="5" t="n">
        <v>884.1</v>
      </c>
      <c r="D30" s="5" t="n">
        <v>480.482</v>
      </c>
      <c r="E30" s="5" t="n">
        <v>-113.543</v>
      </c>
      <c r="F30" s="5" t="n">
        <v>187.507</v>
      </c>
    </row>
    <row r="31">
      <c r="A31" s="5" t="inlineStr">
        <is>
          <t>Investing activities</t>
        </is>
      </c>
      <c r="B31" s="6" t="n"/>
      <c r="C31" s="6" t="n"/>
      <c r="D31" s="6" t="n"/>
      <c r="E31" s="6" t="n"/>
      <c r="F31" s="6" t="n"/>
    </row>
    <row r="32">
      <c r="A32" s="6" t="inlineStr">
        <is>
          <t>Purchase of debt securities</t>
        </is>
      </c>
      <c r="B32" s="6" t="n">
        <v>-1391.5</v>
      </c>
      <c r="C32" s="6" t="n">
        <v>-577</v>
      </c>
      <c r="D32" s="6" t="n">
        <v>-49.641</v>
      </c>
      <c r="E32" s="6" t="n">
        <v>-25.737</v>
      </c>
      <c r="F32" s="6" t="n">
        <v>-40.41</v>
      </c>
    </row>
    <row r="33">
      <c r="A33" s="6" t="inlineStr">
        <is>
          <t>Proceeds from sale and maturity of debt securities</t>
        </is>
      </c>
      <c r="B33" s="6" t="n">
        <v>554.4</v>
      </c>
      <c r="C33" s="6" t="n">
        <v>402.2</v>
      </c>
      <c r="D33" s="6" t="n"/>
      <c r="E33" s="6" t="n"/>
      <c r="F33" s="6" t="n"/>
    </row>
    <row r="34">
      <c r="A34" s="6" t="inlineStr">
        <is>
          <t>Purchase of investments</t>
        </is>
      </c>
      <c r="B34" s="6" t="n"/>
      <c r="C34" s="6" t="n"/>
      <c r="D34" s="6" t="n">
        <v>0</v>
      </c>
      <c r="E34" s="6" t="n">
        <v>-1</v>
      </c>
      <c r="F34" s="6" t="n">
        <v>0</v>
      </c>
    </row>
    <row r="35">
      <c r="A35" s="6" t="inlineStr">
        <is>
          <t>Acquisition of a subsidiary, net of cash acquired</t>
        </is>
      </c>
      <c r="B35" s="6" t="n">
        <v>8</v>
      </c>
      <c r="C35" s="6" t="n">
        <v>-6.1</v>
      </c>
      <c r="D35" s="6" t="n"/>
      <c r="E35" s="6" t="n"/>
      <c r="F35" s="6" t="n"/>
    </row>
    <row r="36">
      <c r="A36" s="6" t="inlineStr">
        <is>
          <t>Purchase of property, plant and equipment</t>
        </is>
      </c>
      <c r="B36" s="6" t="n">
        <v>-0.9</v>
      </c>
      <c r="C36" s="6" t="n">
        <v>-0.8</v>
      </c>
      <c r="D36" s="6" t="n">
        <v>-0.5679999999999999</v>
      </c>
      <c r="E36" s="6" t="n">
        <v>-0.613</v>
      </c>
      <c r="F36" s="6" t="n">
        <v>-0.154</v>
      </c>
    </row>
    <row r="37">
      <c r="A37" s="6" t="inlineStr">
        <is>
          <t>Purchase and development of intangible assets</t>
        </is>
      </c>
      <c r="B37" s="6" t="n">
        <v>-11.7</v>
      </c>
      <c r="C37" s="6" t="n">
        <v>-12.3</v>
      </c>
      <c r="D37" s="6" t="n">
        <v>-10.114</v>
      </c>
      <c r="E37" s="6" t="n">
        <v>-7.525</v>
      </c>
      <c r="F37" s="6" t="n">
        <v>-3.219</v>
      </c>
    </row>
    <row r="38">
      <c r="A38" s="5" t="inlineStr">
        <is>
          <t>Net cash from/(used in) investing activities</t>
        </is>
      </c>
      <c r="B38" s="5" t="n">
        <v>-841.7</v>
      </c>
      <c r="C38" s="5" t="n">
        <v>-194</v>
      </c>
      <c r="D38" s="5" t="n">
        <v>-60.323</v>
      </c>
      <c r="E38" s="5" t="n">
        <v>-34.875</v>
      </c>
      <c r="F38" s="5" t="n">
        <v>-43.783</v>
      </c>
    </row>
    <row r="39">
      <c r="A39" s="5" t="inlineStr">
        <is>
          <t>Financing activities</t>
        </is>
      </c>
      <c r="B39" s="6" t="n"/>
      <c r="C39" s="6" t="n"/>
      <c r="D39" s="6" t="n"/>
      <c r="E39" s="6" t="n"/>
      <c r="F39" s="6" t="n"/>
    </row>
    <row r="40">
      <c r="A40" s="6" t="inlineStr">
        <is>
          <t>Proceeds from issue of ordinary shares</t>
        </is>
      </c>
      <c r="B40" s="6" t="n">
        <v>35</v>
      </c>
      <c r="C40" s="6" t="n">
        <v>17.6</v>
      </c>
      <c r="D40" s="6" t="n">
        <v>34.494</v>
      </c>
      <c r="E40" s="6" t="n">
        <v>98.98099999999999</v>
      </c>
      <c r="F40" s="6" t="n">
        <v>40.801</v>
      </c>
    </row>
    <row r="41">
      <c r="A41" s="6" t="inlineStr">
        <is>
          <t>Issue of subordinated debt</t>
        </is>
      </c>
      <c r="B41" s="6" t="n"/>
      <c r="C41" s="6" t="n">
        <v>30</v>
      </c>
      <c r="D41" s="6" t="n"/>
      <c r="E41" s="6" t="n"/>
      <c r="F41" s="6" t="n">
        <v>7.5</v>
      </c>
    </row>
    <row r="42">
      <c r="A42" s="6" t="inlineStr">
        <is>
          <t>Issue of credit-linked notes</t>
        </is>
      </c>
      <c r="B42" s="6" t="n"/>
      <c r="C42" s="6" t="n">
        <v>50</v>
      </c>
      <c r="D42" s="6" t="n"/>
      <c r="E42" s="6" t="n"/>
      <c r="F42" s="6" t="n"/>
    </row>
    <row r="43">
      <c r="A43" s="6" t="inlineStr">
        <is>
          <t>Payment of principal on credit-linked notes</t>
        </is>
      </c>
      <c r="B43" s="6" t="n">
        <v>-46.1</v>
      </c>
      <c r="C43" s="6" t="n">
        <v>-3.9</v>
      </c>
      <c r="D43" s="6" t="n"/>
      <c r="E43" s="6" t="n"/>
      <c r="F43" s="6" t="n"/>
    </row>
    <row r="44">
      <c r="A44" s="6" t="inlineStr">
        <is>
          <t>Coupon paid on capital securities</t>
        </is>
      </c>
      <c r="B44" s="6" t="n">
        <v>-6.9</v>
      </c>
      <c r="C44" s="6" t="n"/>
      <c r="D44" s="6" t="n"/>
      <c r="E44" s="6" t="n"/>
      <c r="F44" s="6" t="n"/>
    </row>
    <row r="45">
      <c r="A45" s="6" t="inlineStr">
        <is>
          <t>Issue of perpetual notes (including convertible)</t>
        </is>
      </c>
      <c r="B45" s="6" t="n"/>
      <c r="C45" s="6" t="n">
        <v>35</v>
      </c>
      <c r="D45" s="6" t="n">
        <v>35.241</v>
      </c>
      <c r="E45" s="6" t="n"/>
      <c r="F45" s="6" t="n">
        <v>17.5</v>
      </c>
    </row>
    <row r="46">
      <c r="A46" s="6" t="inlineStr">
        <is>
          <t>Capital repayment of lease liabilities</t>
        </is>
      </c>
      <c r="B46" s="6" t="n">
        <v>-0.8</v>
      </c>
      <c r="C46" s="6" t="n">
        <v>-0.5</v>
      </c>
      <c r="D46" s="6" t="n">
        <v>-0.437</v>
      </c>
      <c r="E46" s="6" t="n">
        <v>-0.298</v>
      </c>
      <c r="F46" s="6" t="n">
        <v>-0.207</v>
      </c>
    </row>
    <row r="47">
      <c r="A47" s="6" t="inlineStr">
        <is>
          <t>Repayment of external debt</t>
        </is>
      </c>
      <c r="B47" s="6" t="n">
        <v>-19.3</v>
      </c>
      <c r="C47" s="6" t="n">
        <v>-73.8</v>
      </c>
      <c r="D47" s="6" t="n"/>
      <c r="E47" s="6" t="n"/>
      <c r="F47" s="6" t="n"/>
    </row>
    <row r="48">
      <c r="A48" s="5" t="inlineStr">
        <is>
          <t>Net cash from/(used in) financing activities</t>
        </is>
      </c>
      <c r="B48" s="5" t="n">
        <v>-38.1</v>
      </c>
      <c r="C48" s="5" t="n">
        <v>54.4</v>
      </c>
      <c r="D48" s="5" t="n">
        <v>69.298</v>
      </c>
      <c r="E48" s="5" t="n">
        <v>98.68300000000001</v>
      </c>
      <c r="F48" s="5" t="n">
        <v>65.59399999999999</v>
      </c>
    </row>
    <row r="49">
      <c r="A49" s="6" t="inlineStr">
        <is>
          <t>Effect of exchange rates on cash and cash equivalents</t>
        </is>
      </c>
      <c r="B49" s="6" t="n">
        <v>-0.1</v>
      </c>
      <c r="C49" s="6" t="n">
        <v>0</v>
      </c>
      <c r="D49" s="6" t="n"/>
      <c r="E49" s="6" t="n"/>
      <c r="F49" s="6" t="n"/>
    </row>
    <row r="50">
      <c r="A50" s="5" t="inlineStr">
        <is>
          <t>Net increase/(decrease) in cash and cash equivalents</t>
        </is>
      </c>
      <c r="B50" s="5" t="n">
        <v>-210.3</v>
      </c>
      <c r="C50" s="5" t="n">
        <v>744.5</v>
      </c>
      <c r="D50" s="5" t="n">
        <v>489.457</v>
      </c>
      <c r="E50" s="5" t="n">
        <v>-49.735</v>
      </c>
      <c r="F50" s="5" t="n">
        <v>209.318</v>
      </c>
    </row>
    <row r="51">
      <c r="A51" s="6" t="inlineStr">
        <is>
          <t>Cash and cash equivalents at beginning of year</t>
        </is>
      </c>
      <c r="B51" s="6" t="n">
        <v>1496.8</v>
      </c>
      <c r="C51" s="6" t="n">
        <v>752.303</v>
      </c>
      <c r="D51" s="6" t="n">
        <v>262.846</v>
      </c>
      <c r="E51" s="6" t="n">
        <v>312.581</v>
      </c>
      <c r="F51" s="6" t="n">
        <v>103.263</v>
      </c>
    </row>
    <row r="52">
      <c r="A52" s="5" t="inlineStr">
        <is>
          <t>Cash and cash equivalents at end of year</t>
        </is>
      </c>
      <c r="B52" s="5" t="n">
        <v>1286.5</v>
      </c>
      <c r="C52" s="5" t="n">
        <v>1496.8</v>
      </c>
      <c r="D52" s="5" t="n">
        <v>752.303</v>
      </c>
      <c r="E52" s="5" t="n">
        <v>262.846</v>
      </c>
      <c r="F52" s="5" t="n">
        <v>312.581</v>
      </c>
    </row>
    <row r="53">
      <c r="A53" s="5" t="inlineStr">
        <is>
          <t>Cash and cash equivalents at end of year comprise</t>
        </is>
      </c>
      <c r="B53" s="6" t="n"/>
      <c r="C53" s="6" t="n"/>
      <c r="D53" s="6" t="n"/>
      <c r="E53" s="6" t="n"/>
      <c r="F53" s="6" t="n"/>
    </row>
    <row r="54">
      <c r="A54" s="6" t="inlineStr">
        <is>
          <t>Cash and balances at central banks</t>
        </is>
      </c>
      <c r="B54" s="6" t="n">
        <v>1102.7</v>
      </c>
      <c r="C54" s="6" t="n">
        <v>1375.8</v>
      </c>
      <c r="D54" s="6" t="n">
        <v>709.829</v>
      </c>
      <c r="E54" s="6" t="n">
        <v>227.28</v>
      </c>
      <c r="F54" s="6" t="n">
        <v>295.291</v>
      </c>
    </row>
    <row r="55">
      <c r="A55" s="6" t="inlineStr">
        <is>
          <t>Loans and advances to banks</t>
        </is>
      </c>
      <c r="B55" s="6" t="n">
        <v>183.8</v>
      </c>
      <c r="C55" s="6" t="n">
        <v>121</v>
      </c>
      <c r="D55" s="6" t="n">
        <v>42.474</v>
      </c>
      <c r="E55" s="6" t="n">
        <v>35.566</v>
      </c>
      <c r="F55" s="6" t="n">
        <v>17.29</v>
      </c>
    </row>
    <row r="56">
      <c r="A56" s="5" t="inlineStr">
        <is>
          <t>Cash and cash equivalents at end of year</t>
        </is>
      </c>
      <c r="B56" s="5" t="n">
        <v>1286.5</v>
      </c>
      <c r="C56" s="5" t="n">
        <v>1496.8</v>
      </c>
      <c r="D56" s="5" t="n">
        <v>752.303</v>
      </c>
      <c r="E56" s="5" t="n">
        <v>262.846</v>
      </c>
      <c r="F56" s="5" t="n">
        <v>312.581</v>
      </c>
    </row>
    <row r="58" ht="140" customHeight="1">
      <c r="A58" s="8" t="inlineStr">
        <is>
          <t>Sources — all figures are Allica Bank Limited consolidated (Group) cash flow statement, £m:
FY2025 &amp; FY2024: Allica Bank Limited Annual Report &amp; Accounts 2025, p.92-93 (Statement of cash flows) — https://www.allica.bank/hubfs/pdf/allica-bank_annual-report-2025.pdf
FY2023 &amp; FY2022: Allica Bank Limited Annual Report and Accounts 2023, p.76-77 &amp; Note 32 p.130-131 (Statements of cash flows / Note 32: Cash flow information) — https://www.allica.bank/hubfs/Allica-Bank_Annual-report_2023.pdf
FY2021: Allica Bank Limited Annual Report and Accounts 2022, p.85 &amp; Note 32 p.139 (Statements of cash flows / Note 32: Cash flow information) — https://www.allica.bank/hubfs/pdf/web/investor-relations/Allica_Bank-Annual_Report-2022.pdf
Note: Allica changed cash flow statement presentation across report vintages. FY2021-FY2023 reports show a Note 32 reconciliation (profit before tax + non-cash adjustments + working capital changes = 'Cash generated from operations') and then add actual cash 'Interest income received'/'Interest expense paid' on the face of the primary statement to reach 'Net cash from operating activities'. FY2024-FY2025 reports show the full reconciliation (including accrued-interest reversal lines) directly on the face of the statement with no separate interest-received/paid lines, reaching 'Net cash from operating activities' via 'Tax paid' alone. Blank cells indicate a line not separately disclosed that year under the applicable presentation; the operating/investing/financing/net-change/cash-at-year-end TOTAL rows are all consistent and comparable across all 5 years (independently cross-checked by hand against each year's underlying line items). FY2024-FY2025 also newly disclose 'Acquisition of a subsidiary, net of cash acquired' and a foreign-exchange translation line, both nil/absent in FY2021-FY2023 (Allica had no foreign operations in that earlier period).</t>
        </is>
      </c>
    </row>
  </sheetData>
  <mergeCells count="1">
    <mergeCell ref="A58:F5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s>
  <sheetData>
    <row r="1">
      <c r="A1" s="1" t="inlineStr">
        <is>
          <t>Allica Bank Limited — Asset Quality / Credit Risk Disclosures</t>
        </is>
      </c>
    </row>
    <row r="2">
      <c r="A2" s="2" t="inlineStr">
        <is>
          <t>Allica Bank Limited Group (consolidated basis), £'000</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Gross loans and advances to customers, by category</t>
        </is>
      </c>
      <c r="B4" s="6" t="n"/>
      <c r="C4" s="6" t="n"/>
      <c r="D4" s="6" t="n"/>
      <c r="E4" s="6" t="n"/>
      <c r="F4" s="6" t="n"/>
    </row>
    <row r="5">
      <c r="A5" s="6" t="inlineStr">
        <is>
          <t>Loans secured on property</t>
        </is>
      </c>
      <c r="B5" s="6" t="n">
        <v>2875500</v>
      </c>
      <c r="C5" s="6" t="n">
        <v>2214200</v>
      </c>
      <c r="D5" s="6" t="n"/>
      <c r="E5" s="6" t="n"/>
      <c r="F5" s="6" t="n"/>
    </row>
    <row r="6">
      <c r="A6" s="6" t="inlineStr">
        <is>
          <t>Other loans and advances</t>
        </is>
      </c>
      <c r="B6" s="6" t="n">
        <v>926600</v>
      </c>
      <c r="C6" s="6" t="n">
        <v>886200</v>
      </c>
      <c r="D6" s="6" t="n"/>
      <c r="E6" s="6" t="n"/>
      <c r="F6" s="6" t="n"/>
    </row>
    <row r="7">
      <c r="A7" s="5" t="inlineStr">
        <is>
          <t>Total gross exposure (by category)</t>
        </is>
      </c>
      <c r="B7" s="5" t="n">
        <v>3802100</v>
      </c>
      <c r="C7" s="5" t="n">
        <v>3100400</v>
      </c>
      <c r="D7" s="5" t="n"/>
      <c r="E7" s="5" t="n"/>
      <c r="F7" s="5" t="n"/>
    </row>
    <row r="8">
      <c r="A8" s="5" t="inlineStr">
        <is>
          <t>Gross loans and advances to customers, by IFRS 9 stage</t>
        </is>
      </c>
      <c r="B8" s="6" t="n"/>
      <c r="C8" s="6" t="n"/>
      <c r="D8" s="6" t="n"/>
      <c r="E8" s="6" t="n"/>
      <c r="F8" s="6" t="n"/>
    </row>
    <row r="9">
      <c r="A9" s="6" t="inlineStr">
        <is>
          <t>Stage 1 (performing)</t>
        </is>
      </c>
      <c r="B9" s="6" t="n">
        <v>3308500</v>
      </c>
      <c r="C9" s="6" t="n">
        <v>2710100</v>
      </c>
      <c r="D9" s="6" t="n">
        <v>1797745</v>
      </c>
      <c r="E9" s="6" t="n">
        <v>1277413</v>
      </c>
      <c r="F9" s="6" t="n">
        <v>571487</v>
      </c>
    </row>
    <row r="10">
      <c r="A10" s="6" t="inlineStr">
        <is>
          <t>Stage 2 (underperforming)</t>
        </is>
      </c>
      <c r="B10" s="6" t="n">
        <v>387100</v>
      </c>
      <c r="C10" s="6" t="n">
        <v>308600</v>
      </c>
      <c r="D10" s="6" t="n">
        <v>171791</v>
      </c>
      <c r="E10" s="6" t="n">
        <v>86511</v>
      </c>
      <c r="F10" s="6" t="n">
        <v>4426</v>
      </c>
    </row>
    <row r="11">
      <c r="A11" s="6" t="inlineStr">
        <is>
          <t>Stage 3 (credit-impaired)</t>
        </is>
      </c>
      <c r="B11" s="6" t="n">
        <v>100200</v>
      </c>
      <c r="C11" s="6" t="n">
        <v>59500</v>
      </c>
      <c r="D11" s="6" t="n">
        <v>30093</v>
      </c>
      <c r="E11" s="6" t="n">
        <v>9188</v>
      </c>
      <c r="F11" s="6" t="n">
        <v>1360</v>
      </c>
    </row>
    <row r="12">
      <c r="A12" s="6" t="inlineStr">
        <is>
          <t>POCI</t>
        </is>
      </c>
      <c r="B12" s="6" t="n">
        <v>6300</v>
      </c>
      <c r="C12" s="6" t="n">
        <v>22200</v>
      </c>
      <c r="D12" s="6" t="n"/>
      <c r="E12" s="6" t="n"/>
      <c r="F12" s="6" t="n"/>
    </row>
    <row r="13">
      <c r="A13" s="5" t="inlineStr">
        <is>
          <t>Total gross exposure (by stage)</t>
        </is>
      </c>
      <c r="B13" s="5" t="n">
        <v>3802100</v>
      </c>
      <c r="C13" s="5" t="n">
        <v>3100400</v>
      </c>
      <c r="D13" s="5" t="n">
        <v>1999629</v>
      </c>
      <c r="E13" s="5" t="n">
        <v>1373112</v>
      </c>
      <c r="F13" s="5" t="n">
        <v>577273</v>
      </c>
    </row>
    <row r="14">
      <c r="A14" s="5" t="inlineStr">
        <is>
          <t>Expected credit loss (ECL), by IFRS 9 stage</t>
        </is>
      </c>
      <c r="B14" s="6" t="n"/>
      <c r="C14" s="6" t="n"/>
      <c r="D14" s="6" t="n"/>
      <c r="E14" s="6" t="n"/>
      <c r="F14" s="6" t="n"/>
    </row>
    <row r="15">
      <c r="A15" s="6" t="inlineStr">
        <is>
          <t>Stage 1 (performing)</t>
        </is>
      </c>
      <c r="B15" s="6" t="n">
        <v>13100</v>
      </c>
      <c r="C15" s="6" t="n">
        <v>13100</v>
      </c>
      <c r="D15" s="6" t="n">
        <v>13814</v>
      </c>
      <c r="E15" s="6" t="n">
        <v>5667</v>
      </c>
      <c r="F15" s="6" t="n">
        <v>918</v>
      </c>
    </row>
    <row r="16">
      <c r="A16" s="6" t="inlineStr">
        <is>
          <t>Stage 2 (underperforming)</t>
        </is>
      </c>
      <c r="B16" s="6" t="n">
        <v>11400</v>
      </c>
      <c r="C16" s="6" t="n">
        <v>6100</v>
      </c>
      <c r="D16" s="6" t="n">
        <v>3856</v>
      </c>
      <c r="E16" s="6" t="n">
        <v>1815</v>
      </c>
      <c r="F16" s="6" t="n">
        <v>45</v>
      </c>
    </row>
    <row r="17">
      <c r="A17" s="6" t="inlineStr">
        <is>
          <t>Stage 3 (credit-impaired)</t>
        </is>
      </c>
      <c r="B17" s="6" t="n">
        <v>18100</v>
      </c>
      <c r="C17" s="6" t="n">
        <v>13000</v>
      </c>
      <c r="D17" s="6" t="n">
        <v>4318</v>
      </c>
      <c r="E17" s="6" t="n">
        <v>1495</v>
      </c>
      <c r="F17" s="6" t="n">
        <v>21</v>
      </c>
    </row>
    <row r="18">
      <c r="A18" s="6" t="inlineStr">
        <is>
          <t>POCI</t>
        </is>
      </c>
      <c r="B18" s="6" t="n">
        <v>0</v>
      </c>
      <c r="C18" s="6" t="n">
        <v>800</v>
      </c>
      <c r="D18" s="6" t="n"/>
      <c r="E18" s="6" t="n"/>
      <c r="F18" s="6" t="n"/>
    </row>
    <row r="19">
      <c r="A19" s="5" t="inlineStr">
        <is>
          <t>Total impairment provision (by stage)</t>
        </is>
      </c>
      <c r="B19" s="5" t="n">
        <v>42600</v>
      </c>
      <c r="C19" s="5" t="n">
        <v>33000</v>
      </c>
      <c r="D19" s="5" t="n">
        <v>21988</v>
      </c>
      <c r="E19" s="5" t="n">
        <v>8977</v>
      </c>
      <c r="F19" s="5" t="n">
        <v>984</v>
      </c>
    </row>
    <row r="20">
      <c r="A20" s="5" t="inlineStr">
        <is>
          <t>Asset quality ratios</t>
        </is>
      </c>
      <c r="B20" s="6" t="n"/>
      <c r="C20" s="6" t="n"/>
      <c r="D20" s="6" t="n"/>
      <c r="E20" s="6" t="n"/>
      <c r="F20" s="6" t="n"/>
    </row>
    <row r="21">
      <c r="A21" s="6" t="inlineStr">
        <is>
          <t>ECL coverage ratio (Total impairment provision / Total gross exposure)</t>
        </is>
      </c>
      <c r="B21" s="6" t="inlineStr">
        <is>
          <t>1.12%</t>
        </is>
      </c>
      <c r="C21" s="6" t="inlineStr">
        <is>
          <t>1.06%</t>
        </is>
      </c>
      <c r="D21" s="6" t="inlineStr">
        <is>
          <t>1.10%</t>
        </is>
      </c>
      <c r="E21" s="6" t="inlineStr">
        <is>
          <t>0.65%</t>
        </is>
      </c>
      <c r="F21" s="6" t="inlineStr">
        <is>
          <t>0.17%</t>
        </is>
      </c>
    </row>
    <row r="22">
      <c r="A22" s="6" t="inlineStr">
        <is>
          <t>Stage 3 (NPL) ratio (Stage 3 gross exposure / Total gross exposure)</t>
        </is>
      </c>
      <c r="B22" s="6" t="inlineStr">
        <is>
          <t>2.64%</t>
        </is>
      </c>
      <c r="C22" s="6" t="inlineStr">
        <is>
          <t>1.92%</t>
        </is>
      </c>
      <c r="D22" s="6" t="inlineStr">
        <is>
          <t>1.51%</t>
        </is>
      </c>
      <c r="E22" s="6" t="inlineStr">
        <is>
          <t>0.67%</t>
        </is>
      </c>
      <c r="F22" s="6" t="inlineStr">
        <is>
          <t>0.24%</t>
        </is>
      </c>
    </row>
    <row r="23">
      <c r="A23" s="6" t="inlineStr">
        <is>
          <t>Stage 3 coverage ratio (Stage 3 ECL / Stage 3 gross exposure)</t>
        </is>
      </c>
      <c r="B23" s="6" t="inlineStr">
        <is>
          <t>18.06%</t>
        </is>
      </c>
      <c r="C23" s="6" t="inlineStr">
        <is>
          <t>21.85%</t>
        </is>
      </c>
      <c r="D23" s="6" t="inlineStr">
        <is>
          <t>14.35%</t>
        </is>
      </c>
      <c r="E23" s="6" t="inlineStr">
        <is>
          <t>16.28%</t>
        </is>
      </c>
      <c r="F23" s="6" t="inlineStr">
        <is>
          <t>1.54%</t>
        </is>
      </c>
    </row>
    <row r="25" ht="190" customHeight="1">
      <c r="A25" s="8" t="inlineStr">
        <is>
          <t>Sources — Allica Bank Limited consolidated (Group) staging/credit-risk notes, £'000:
FY2025 &amp; FY2024 (by IFRS 9 stage and by category): Annual Report &amp; Accounts 2025, p.139-140 (Note 26, 'Staging profile of customer lending', Group tables) — https://www.allica.bank/hubfs/pdf/allica-bank_annual-report-2025.pdf
FY2023 (by IFRS 9 stage, by internal risk rating): Annual Report and Accounts 2023, p.115-116 (Note 27) — https://www.allica.bank/hubfs/Allica-Bank_Annual-report_2023.pdf
FY2022 (by IFRS 9 stage, by internal risk rating, own-year figures): Annual Report and Accounts 2022, p.124 (Note 27) — https://www.allica.bank/hubfs/pdf/web/investor-relations/Allica_Bank-Annual_Report-2022.pdf
FY2021 (by IFRS 9 stage, own-year closing balance from the year's loss-allowance movement table): Annual Report and Accounts 2022, p.124 (Note 27, 'Balance as at 31 December 2021' row) — https://www.allica.bank/hubfs/pdf/web/investor-relations/Allica_Bank-Annual_Report-2022.pdf
Entity note: all figures on this and the Balance Sheet/Profit &amp; Loss/Statement of Changes in Equity sheets are Allica Bank Limited Group (consolidated), £m. FY2025 &amp; FY2024 sourced from Allica Bank Limited Annual Report &amp; Accounts 2025 (£m as reported) — https://www.allica.bank/hubfs/pdf/allica-bank_annual-report-2025.pdf; FY2023 &amp; FY2022 sourced from Allica Bank Limited Annual Report and Accounts 2023 (£'000 as reported, converted to £m for consistency with other years) — https://www.allica.bank/hubfs/Allica-Bank_Annual-report_2023.pdf; FY2021 sourced from the FY2021 comparative column of Allica Bank Limited Annual Report and Accounts 2022 (£'000 as reported, converted to £m) — https://www.allica.bank/hubfs/pdf/web/investor-relations/Allica_Bank-Annual_Report-2022.pdf — no separate FY2021 Annual Report was located, matching the existing Cash Flow Statement sheet's own FY2021 sourcing convention. A disclosed nil ('–' in the source table) is written as 0; a blank cell means that year's report did not disclose that specific line at all.
PRESENTATION NOTE: FY2024-2025 disclose a by-category split (Loans secured on property / Other loans and advances) alongside IFRS 9 stage in Note 26 'Staging profile of customer lending'; FY2021-2023 disclose only an internal-risk-rating (Low/Medium/High PD band) x stage breakdown in Note 27, with no by-category split available at all - left blank for those years rather than estimated. The FY2024/2025 'Gross exposure' total in Note 26 (£3,802.1m / £3,100.4m) is smaller than Note 11's 'Gross loans and advances to customers' (£3,781.2m / £3,083.8m is NET after adjustments - Note 26 is in fact the larger, gross-before-fair-value-hedge-and-EIR-adjustment figure); Note 26 explicitly states its exposures 'exclude adjustments for EIR and other minor adjustments made to the principal balance' - both figures are transcribed exactly as disclosed, not reconciled. POCI (purchased or originated credit-impaired) is its own IFRS 9 category, shown separately from Stage 3 for FY2024-2025 only (not disclosed as a separate line pre-2024). Ratios below use the by-IFRS-9-stage totals; POCI is included in the gross/ECL totals but excluded from the Stage 3 (NPL) ratio's numerator, matching Monzo's convention (Stage 3 = credit-impaired, POCI is a distinct IFRS 9 category).</t>
        </is>
      </c>
    </row>
  </sheetData>
  <mergeCells count="1">
    <mergeCell ref="A25:F25"/>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Allica Bank Limited — CET1 Capital</t>
        </is>
      </c>
    </row>
    <row r="2">
      <c r="A2" s="2" t="inlineStr">
        <is>
          <t>Consolidated (Group) basis, £'000</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325689</v>
      </c>
      <c r="C4" s="6" t="n">
        <v>276827</v>
      </c>
      <c r="D4" s="6" t="n">
        <v>219055</v>
      </c>
      <c r="E4" s="6" t="n">
        <v>170322</v>
      </c>
      <c r="F4" s="6" t="n">
        <v>68816</v>
      </c>
    </row>
    <row r="6" ht="110" customHeight="1">
      <c r="A6" s="8" t="inlineStr">
        <is>
          <t>Sources — Allica Bank Limited consolidated (Group) basis, UK KM1 Key Metrics table, £'000:
FY2025: Allica Bank Limited Pillar 3 Report 2025, p.2 — https://www.allica.bank/hubfs/pdf/Pillar-3-Report-2025_Allica.pdf
FY2024: Allica Bank Limited Pillar 3 Report 2024, p.2 — https://www.allica.bank/hubfs/pdf/Pillar-3-Report-2024_Allica.pdf
FY2023: Allica Bank Limited Pillar 3 Report 2023, p.2-3 — https://www.allica.bank/hubfs/Allica%20Bank%20Limited_Pillar%203%20Report%20_Year-ended%2031%20December%202023.pdf
FY2022: Allica Bank Limited Pillar 3 Report, year ended 31 December 2022, p.2 — https://www.allica.bank/hubfs/pdf/web/investor-relations/Allica_Bank_Pillar_3_disclosure_2022.pdf
FY2021: comparative column of the FY2022 Pillar 3 Report above, p.2 (restated onto the post-1 Jan 2022 leverage exposure basis per PRA PS21/21).</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Allica Bank Limited — CET1 Ratio</t>
        </is>
      </c>
    </row>
    <row r="2">
      <c r="A2" s="2" t="inlineStr">
        <is>
          <t>Consolidated (Group) basis, %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ratio</t>
        </is>
      </c>
      <c r="B4" s="6" t="inlineStr">
        <is>
          <t>13.4%</t>
        </is>
      </c>
      <c r="C4" s="6" t="inlineStr">
        <is>
          <t>14.5%</t>
        </is>
      </c>
      <c r="D4" s="6" t="inlineStr">
        <is>
          <t>15.7%</t>
        </is>
      </c>
      <c r="E4" s="6" t="inlineStr">
        <is>
          <t>17.1%</t>
        </is>
      </c>
      <c r="F4" s="6" t="inlineStr">
        <is>
          <t>14.1%</t>
        </is>
      </c>
    </row>
    <row r="6" ht="110" customHeight="1">
      <c r="A6" s="8" t="inlineStr">
        <is>
          <t>Sources — Allica Bank Limited consolidated (Group) basis, UK KM1 Key Metrics table, £'000:
FY2025: Allica Bank Limited Pillar 3 Report 2025, p.2 — https://www.allica.bank/hubfs/pdf/Pillar-3-Report-2025_Allica.pdf
FY2024: Allica Bank Limited Pillar 3 Report 2024, p.2 — https://www.allica.bank/hubfs/pdf/Pillar-3-Report-2024_Allica.pdf
FY2023: Allica Bank Limited Pillar 3 Report 2023, p.2-3 — https://www.allica.bank/hubfs/Allica%20Bank%20Limited_Pillar%203%20Report%20_Year-ended%2031%20December%202023.pdf
FY2022: Allica Bank Limited Pillar 3 Report, year ended 31 December 2022, p.2 — https://www.allica.bank/hubfs/pdf/web/investor-relations/Allica_Bank_Pillar_3_disclosure_2022.pdf
FY2021: comparative column of the FY2022 Pillar 3 Report above, p.2 (restated onto the post-1 Jan 2022 leverage exposure basis per PRA PS21/21).</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Allica Bank Limited — Tier 1 Capital</t>
        </is>
      </c>
    </row>
    <row r="2">
      <c r="A2" s="2" t="inlineStr">
        <is>
          <t>Consolidated (Group) basis, £'000</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370566</v>
      </c>
      <c r="C4" s="6" t="n">
        <v>321704</v>
      </c>
      <c r="D4" s="6" t="n">
        <v>264182</v>
      </c>
      <c r="E4" s="6" t="n">
        <v>180208</v>
      </c>
      <c r="F4" s="6" t="n">
        <v>86316</v>
      </c>
    </row>
    <row r="6" ht="110" customHeight="1">
      <c r="A6" s="8" t="inlineStr">
        <is>
          <t>Sources — Allica Bank Limited consolidated (Group) basis, UK KM1 Key Metrics table, £'000:
FY2025: Allica Bank Limited Pillar 3 Report 2025, p.2 — https://www.allica.bank/hubfs/pdf/Pillar-3-Report-2025_Allica.pdf
FY2024: Allica Bank Limited Pillar 3 Report 2024, p.2 — https://www.allica.bank/hubfs/pdf/Pillar-3-Report-2024_Allica.pdf
FY2023: Allica Bank Limited Pillar 3 Report 2023, p.2-3 — https://www.allica.bank/hubfs/Allica%20Bank%20Limited_Pillar%203%20Report%20_Year-ended%2031%20December%202023.pdf
FY2022: Allica Bank Limited Pillar 3 Report, year ended 31 December 2022, p.2 — https://www.allica.bank/hubfs/pdf/web/investor-relations/Allica_Bank_Pillar_3_disclosure_2022.pdf
FY2021: comparative column of the FY2022 Pillar 3 Report above, p.2 (restated onto the post-1 Jan 2022 leverage exposure basis per PRA PS21/21).</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Allica Bank Limited — Tier 1 Ratio</t>
        </is>
      </c>
    </row>
    <row r="2">
      <c r="A2" s="2" t="inlineStr">
        <is>
          <t>Consolidated (Group) basis, %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15.3%</t>
        </is>
      </c>
      <c r="C4" s="6" t="inlineStr">
        <is>
          <t>16.9%</t>
        </is>
      </c>
      <c r="D4" s="6" t="inlineStr">
        <is>
          <t>18.9%</t>
        </is>
      </c>
      <c r="E4" s="6" t="inlineStr">
        <is>
          <t>18.1%</t>
        </is>
      </c>
      <c r="F4" s="6" t="inlineStr">
        <is>
          <t>17.7%</t>
        </is>
      </c>
    </row>
    <row r="6" ht="110" customHeight="1">
      <c r="A6" s="8" t="inlineStr">
        <is>
          <t>Sources — Allica Bank Limited consolidated (Group) basis, UK KM1 Key Metrics table, £'000:
FY2025: Allica Bank Limited Pillar 3 Report 2025, p.2 — https://www.allica.bank/hubfs/pdf/Pillar-3-Report-2025_Allica.pdf
FY2024: Allica Bank Limited Pillar 3 Report 2024, p.2 — https://www.allica.bank/hubfs/pdf/Pillar-3-Report-2024_Allica.pdf
FY2023: Allica Bank Limited Pillar 3 Report 2023, p.2-3 — https://www.allica.bank/hubfs/Allica%20Bank%20Limited_Pillar%203%20Report%20_Year-ended%2031%20December%202023.pdf
FY2022: Allica Bank Limited Pillar 3 Report, year ended 31 December 2022, p.2 — https://www.allica.bank/hubfs/pdf/web/investor-relations/Allica_Bank_Pillar_3_disclosure_2022.pdf
FY2021: comparative column of the FY2022 Pillar 3 Report above, p.2 (restated onto the post-1 Jan 2022 leverage exposure basis per PRA PS21/21).</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Allica Bank Limited — Total Capital</t>
        </is>
      </c>
    </row>
    <row r="2">
      <c r="A2" s="2" t="inlineStr">
        <is>
          <t>Consolidated (Group) basis, £'000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406393</v>
      </c>
      <c r="C4" s="6" t="n">
        <v>359031</v>
      </c>
      <c r="D4" s="6" t="n">
        <v>271682</v>
      </c>
      <c r="E4" s="6" t="n">
        <v>187708</v>
      </c>
      <c r="F4" s="6" t="n">
        <v>93816</v>
      </c>
    </row>
    <row r="6" ht="110" customHeight="1">
      <c r="A6" s="8" t="inlineStr">
        <is>
          <t>Sources — Allica Bank Limited consolidated (Group) basis, UK KM1 Key Metrics table, £'000:
FY2025: Allica Bank Limited Pillar 3 Report 2025, p.2 — https://www.allica.bank/hubfs/pdf/Pillar-3-Report-2025_Allica.pdf
FY2024: Allica Bank Limited Pillar 3 Report 2024, p.2 — https://www.allica.bank/hubfs/pdf/Pillar-3-Report-2024_Allica.pdf
FY2023: Allica Bank Limited Pillar 3 Report 2023, p.2-3 — https://www.allica.bank/hubfs/Allica%20Bank%20Limited_Pillar%203%20Report%20_Year-ended%2031%20December%202023.pdf
FY2022: Allica Bank Limited Pillar 3 Report, year ended 31 December 2022, p.2 — https://www.allica.bank/hubfs/pdf/web/investor-relations/Allica_Bank_Pillar_3_disclosure_2022.pdf
FY2021: comparative column of the FY2022 Pillar 3 Report above, p.2 (restated onto the post-1 Jan 2022 leverage exposure basis per PRA PS21/21).</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Allica Bank Limited — Total Capital Ratio</t>
        </is>
      </c>
    </row>
    <row r="2">
      <c r="A2" s="2" t="inlineStr">
        <is>
          <t>Consolidated (Group) basis, %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16.8%</t>
        </is>
      </c>
      <c r="C4" s="6" t="inlineStr">
        <is>
          <t>18.8%</t>
        </is>
      </c>
      <c r="D4" s="6" t="inlineStr">
        <is>
          <t>19.5%</t>
        </is>
      </c>
      <c r="E4" s="6" t="inlineStr">
        <is>
          <t>18.8%</t>
        </is>
      </c>
      <c r="F4" s="6" t="inlineStr">
        <is>
          <t>19.3%</t>
        </is>
      </c>
    </row>
    <row r="6" ht="110" customHeight="1">
      <c r="A6" s="8" t="inlineStr">
        <is>
          <t>Sources — Allica Bank Limited consolidated (Group) basis, UK KM1 Key Metrics table, £'000:
FY2025: Allica Bank Limited Pillar 3 Report 2025, p.2 — https://www.allica.bank/hubfs/pdf/Pillar-3-Report-2025_Allica.pdf
FY2024: Allica Bank Limited Pillar 3 Report 2024, p.2 — https://www.allica.bank/hubfs/pdf/Pillar-3-Report-2024_Allica.pdf
FY2023: Allica Bank Limited Pillar 3 Report 2023, p.2-3 — https://www.allica.bank/hubfs/Allica%20Bank%20Limited_Pillar%203%20Report%20_Year-ended%2031%20December%202023.pdf
FY2022: Allica Bank Limited Pillar 3 Report, year ended 31 December 2022, p.2 — https://www.allica.bank/hubfs/pdf/web/investor-relations/Allica_Bank_Pillar_3_disclosure_2022.pdf
FY2021: comparative column of the FY2022 Pillar 3 Report above, p.2 (restated onto the post-1 Jan 2022 leverage exposure basis per PRA PS21/21).</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Allica Bank Limited — Total RWAs</t>
        </is>
      </c>
    </row>
    <row r="2">
      <c r="A2" s="2" t="inlineStr">
        <is>
          <t>Consolidated (Group) basis, £'000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t>
        </is>
      </c>
      <c r="B4" s="6" t="n">
        <v>2422216</v>
      </c>
      <c r="C4" s="6" t="n">
        <v>1908286</v>
      </c>
      <c r="D4" s="6" t="n">
        <v>1396450</v>
      </c>
      <c r="E4" s="6" t="n">
        <v>997945</v>
      </c>
      <c r="F4" s="6" t="n">
        <v>486558</v>
      </c>
    </row>
    <row r="6" ht="110" customHeight="1">
      <c r="A6" s="8" t="inlineStr">
        <is>
          <t>Sources — Allica Bank Limited consolidated (Group) basis, UK KM1 Key Metrics table, £'000:
FY2025: Allica Bank Limited Pillar 3 Report 2025, p.2 — https://www.allica.bank/hubfs/pdf/Pillar-3-Report-2025_Allica.pdf
FY2024: Allica Bank Limited Pillar 3 Report 2024, p.2 — https://www.allica.bank/hubfs/pdf/Pillar-3-Report-2024_Allica.pdf
FY2023: Allica Bank Limited Pillar 3 Report 2023, p.2-3 — https://www.allica.bank/hubfs/Allica%20Bank%20Limited_Pillar%203%20Report%20_Year-ended%2031%20December%202023.pdf
FY2022: Allica Bank Limited Pillar 3 Report, year ended 31 December 2022, p.2 — https://www.allica.bank/hubfs/pdf/web/investor-relations/Allica_Bank_Pillar_3_disclosure_2022.pdf
FY2021: comparative column of the FY2022 Pillar 3 Report above, p.2 (restated onto the post-1 Jan 2022 leverage exposure basis per PRA PS21/21).</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Allica Bank Limited — RWA Breakdown</t>
        </is>
      </c>
    </row>
    <row r="2">
      <c r="A2" s="2" t="inlineStr">
        <is>
          <t>Allica Bank Limited Group (consolidated basis), £'000</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6" t="inlineStr">
        <is>
          <t>Not publicly disclosed — category breakdown</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c r="A5" s="5" t="inlineStr">
        <is>
          <t>Total risk-weighted exposure amount</t>
        </is>
      </c>
      <c r="B5" s="5" t="n">
        <v>2422216</v>
      </c>
      <c r="C5" s="5" t="n">
        <v>1908286</v>
      </c>
      <c r="D5" s="5" t="n">
        <v>1396450</v>
      </c>
      <c r="E5" s="5" t="n">
        <v>997945</v>
      </c>
      <c r="F5" s="5" t="n">
        <v>486558</v>
      </c>
    </row>
    <row r="7" ht="170" customHeight="1">
      <c r="A7" s="8" t="inlineStr">
        <is>
          <t>Sources — Allica Bank Limited consolidated (Group) UK KM1 Key Metrics table (the only Pillar 3 table Allica publishes — see below):
FY2025: Pillar 3 Report 2025, p.2 — https://www.allica.bank/hubfs/pdf/Pillar-3-Report-2025_Allica.pdf
FY2024: Pillar 3 Report 2024, p.2 — https://www.allica.bank/hubfs/pdf/Pillar-3-Report-2024_Allica.pdf
FY2023: Pillar 3 Report 2023, p.2-3 — https://www.allica.bank/hubfs/Allica%20Bank%20Limited_Pillar%203%20Report%20_Year-ended%2031%20December%202023.pdf
FY2022: Pillar 3 Report, year ended 31 December 2022, p.2 — https://www.allica.bank/hubfs/pdf/web/investor-relations/Allica_Bank_Pillar_3_disclosure_2022.pdf
FY2021: comparative column of the FY2022 Pillar 3 Report above.
NOT DISCLOSED (category breakdown): every one of Allica's 5 Pillar 3 reports is a 2-3 page KM1-Key-Metrics-only disclosure (explicitly published under CRR Article 433b, the small/non-complex institution regime) - none contains a UK OV1 'Overview of risk weighted exposure amounts' table breaking RWA down by risk category (credit/market/operational/CVA etc.). Only the single aggregate Total RWA figure exists for every year (see the Total RWAs sheet, which this sheet's Total row ties out to exactly).</t>
        </is>
      </c>
    </row>
  </sheetData>
  <mergeCells count="1">
    <mergeCell ref="A7:F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Allica Bank Limited — Leverage Ratio</t>
        </is>
      </c>
    </row>
    <row r="2">
      <c r="A2" s="2" t="inlineStr">
        <is>
          <t>Consolidated (Group) basis, £'000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exposure measure excluding claims on central banks (£'000)</t>
        </is>
      </c>
      <c r="B4" s="6" t="n">
        <v>5092370</v>
      </c>
      <c r="C4" s="6" t="n">
        <v>3421039</v>
      </c>
      <c r="D4" s="6" t="n">
        <v>2208236</v>
      </c>
      <c r="E4" s="6" t="n">
        <v>1595100</v>
      </c>
      <c r="F4" s="6" t="n">
        <v>688827</v>
      </c>
    </row>
    <row r="5">
      <c r="A5" s="6" t="inlineStr">
        <is>
          <t>Leverage ratio excluding claims on central banks (%)</t>
        </is>
      </c>
      <c r="B5" s="6" t="inlineStr">
        <is>
          <t>7.3%</t>
        </is>
      </c>
      <c r="C5" s="6" t="inlineStr">
        <is>
          <t>9.4%</t>
        </is>
      </c>
      <c r="D5" s="6" t="inlineStr">
        <is>
          <t>11.4%</t>
        </is>
      </c>
      <c r="E5" s="6" t="inlineStr">
        <is>
          <t>11.3%</t>
        </is>
      </c>
      <c r="F5" s="6" t="inlineStr">
        <is>
          <t>12.5%</t>
        </is>
      </c>
    </row>
    <row r="6" ht="60" customHeight="1">
      <c r="A6" s="7" t="inlineStr">
        <is>
          <t>Note: Allica has never disclosed a leverage ratio 'including claims on central banks' variant in any of these 5 years and states in every report that it is not an LREQ firm subject to additional leverage ratio disclosure requirements. The FY2021 figures shown are already restated onto the post-1-January-2022 exposure-measure basis (PRA Policy Statement 21/21, excluding certain central bank claims) — the FY2022 Pillar 3 report explicitly restates its FY2021 comparative on this basis to aid comparison, so unlike several other banks in this series there is no leverage-ratio methodology break within Allica's own 5-year window.</t>
        </is>
      </c>
    </row>
    <row r="8" ht="110" customHeight="1">
      <c r="A8" s="8" t="inlineStr">
        <is>
          <t>Sources — Allica Bank Limited consolidated (Group) basis, UK KM1 Key Metrics table, £'000:
FY2025: Allica Bank Limited Pillar 3 Report 2025, p.2 — https://www.allica.bank/hubfs/pdf/Pillar-3-Report-2025_Allica.pdf
FY2024: Allica Bank Limited Pillar 3 Report 2024, p.2 — https://www.allica.bank/hubfs/pdf/Pillar-3-Report-2024_Allica.pdf
FY2023: Allica Bank Limited Pillar 3 Report 2023, p.2-3 — https://www.allica.bank/hubfs/Allica%20Bank%20Limited_Pillar%203%20Report%20_Year-ended%2031%20December%202023.pdf
FY2022: Allica Bank Limited Pillar 3 Report, year ended 31 December 2022, p.2 — https://www.allica.bank/hubfs/pdf/web/investor-relations/Allica_Bank_Pillar_3_disclosure_2022.pdf
FY2021: comparative column of the FY2022 Pillar 3 Report above, p.2 (restated onto the post-1 Jan 2022 leverage exposure basis per PRA PS21/21).</t>
        </is>
      </c>
    </row>
  </sheetData>
  <mergeCells count="2">
    <mergeCell ref="A8:F8"/>
    <mergeCell ref="A6:F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Allica Bank Limited — LCR</t>
        </is>
      </c>
    </row>
    <row r="2">
      <c r="A2" s="2" t="inlineStr">
        <is>
          <t>Consolidated (Group) basis, £'000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high-quality liquid assets (HQLA), weighted value, average (£'000)</t>
        </is>
      </c>
      <c r="B4" s="6" t="n">
        <v>1928875</v>
      </c>
      <c r="C4" s="6" t="n">
        <v>1137180</v>
      </c>
      <c r="D4" s="6" t="n">
        <v>810081</v>
      </c>
      <c r="E4" s="6" t="n">
        <v>386347</v>
      </c>
      <c r="F4" s="6" t="n">
        <v>171242</v>
      </c>
    </row>
    <row r="5">
      <c r="A5" s="6" t="inlineStr">
        <is>
          <t>Total net cash outflows, adjusted value (£'000)</t>
        </is>
      </c>
      <c r="B5" s="6" t="n">
        <v>873645</v>
      </c>
      <c r="C5" s="6" t="n">
        <v>525922</v>
      </c>
      <c r="D5" s="6" t="n">
        <v>280344</v>
      </c>
      <c r="E5" s="6" t="n">
        <v>127792</v>
      </c>
      <c r="F5" s="6" t="n">
        <v>34252</v>
      </c>
    </row>
    <row r="6">
      <c r="A6" s="6" t="inlineStr">
        <is>
          <t>Liquidity Coverage Ratio (%)</t>
        </is>
      </c>
      <c r="B6" s="6" t="inlineStr">
        <is>
          <t>220.8%</t>
        </is>
      </c>
      <c r="C6" s="6" t="inlineStr">
        <is>
          <t>216.2%</t>
        </is>
      </c>
      <c r="D6" s="6" t="inlineStr">
        <is>
          <t>289.0%</t>
        </is>
      </c>
      <c r="E6" s="6" t="inlineStr">
        <is>
          <t>302.3%</t>
        </is>
      </c>
      <c r="F6" s="6" t="inlineStr">
        <is>
          <t>499.9%</t>
        </is>
      </c>
    </row>
    <row r="7" ht="60" customHeight="1">
      <c r="A7" s="7" t="inlineStr">
        <is>
          <t>Note: LCR is calculated as a 12-month average per Allica's own Pillar 3 methodology note.</t>
        </is>
      </c>
    </row>
    <row r="9" ht="110" customHeight="1">
      <c r="A9" s="8" t="inlineStr">
        <is>
          <t>Sources — Allica Bank Limited consolidated (Group) basis, UK KM1 Key Metrics table, £'000:
FY2025: Allica Bank Limited Pillar 3 Report 2025, p.2 — https://www.allica.bank/hubfs/pdf/Pillar-3-Report-2025_Allica.pdf
FY2024: Allica Bank Limited Pillar 3 Report 2024, p.2 — https://www.allica.bank/hubfs/pdf/Pillar-3-Report-2024_Allica.pdf
FY2023: Allica Bank Limited Pillar 3 Report 2023, p.2-3 — https://www.allica.bank/hubfs/Allica%20Bank%20Limited_Pillar%203%20Report%20_Year-ended%2031%20December%202023.pdf
FY2022: Allica Bank Limited Pillar 3 Report, year ended 31 December 2022, p.2 — https://www.allica.bank/hubfs/pdf/web/investor-relations/Allica_Bank_Pillar_3_disclosure_2022.pdf
FY2021: comparative column of the FY2022 Pillar 3 Report above, p.2 (restated onto the post-1 Jan 2022 leverage exposure basis per PRA PS21/21).</t>
        </is>
      </c>
    </row>
  </sheetData>
  <mergeCells count="2">
    <mergeCell ref="A7:F7"/>
    <mergeCell ref="A9:F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Allica Bank Limited — NSFR</t>
        </is>
      </c>
    </row>
    <row r="2">
      <c r="A2" s="2" t="inlineStr">
        <is>
          <t>Consolidated (Group) basis, £'000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available stable funding (£'000)</t>
        </is>
      </c>
      <c r="B4" s="6" t="n">
        <v>3884410</v>
      </c>
      <c r="C4" s="6" t="n">
        <v>2937724</v>
      </c>
      <c r="D4" s="6" t="n">
        <v>1876364</v>
      </c>
      <c r="E4" s="6" t="n">
        <v>1338171</v>
      </c>
      <c r="F4" s="6" t="n"/>
    </row>
    <row r="5">
      <c r="A5" s="6" t="inlineStr">
        <is>
          <t>Total required stable funding (£'000)</t>
        </is>
      </c>
      <c r="B5" s="6" t="n">
        <v>2799038</v>
      </c>
      <c r="C5" s="6" t="n">
        <v>2195700</v>
      </c>
      <c r="D5" s="6" t="n">
        <v>1385603</v>
      </c>
      <c r="E5" s="6" t="n">
        <v>897829</v>
      </c>
      <c r="F5" s="6" t="n"/>
    </row>
    <row r="6">
      <c r="A6" s="6" t="inlineStr">
        <is>
          <t>Net Stable Funding Ratio (%)</t>
        </is>
      </c>
      <c r="B6" s="6" t="inlineStr">
        <is>
          <t>138.8%</t>
        </is>
      </c>
      <c r="C6" s="6" t="inlineStr">
        <is>
          <t>133.8%</t>
        </is>
      </c>
      <c r="D6" s="6" t="inlineStr">
        <is>
          <t>135.4%</t>
        </is>
      </c>
      <c r="E6" s="6" t="inlineStr">
        <is>
          <t>149.0%</t>
        </is>
      </c>
      <c r="F6" s="6" t="inlineStr">
        <is>
          <t>Not disclosed</t>
        </is>
      </c>
    </row>
    <row r="7" ht="60" customHeight="1">
      <c r="A7" s="7" t="inlineStr">
        <is>
          <t>Note: NSFR was not a Pillar 3 disclosure requirement as at FY2021 (the UK NSFR regime took effect from 1 January 2022), so no FY2021 figures exist. NSFR is calculated as a 4-quarter average. FY2022 'Total available stable funding' is reported as £1,338,171k in the FY2022 Pillar 3 report's own current-year column but as £1,338,711k in the FY2023 Pillar 3 report's prior-year comparative column — an apparent digit transposition in one of the two source PDFs. This sheet uses the FY2022 report's own-year figure as authoritative; the £540 discrepancy is immaterial and both reports agree the resulting NSFR ratio is 149.0%.</t>
        </is>
      </c>
    </row>
    <row r="9" ht="110" customHeight="1">
      <c r="A9" s="8" t="inlineStr">
        <is>
          <t>Sources — Allica Bank Limited consolidated (Group) basis, UK KM1 Key Metrics table, £'000:
FY2025: Allica Bank Limited Pillar 3 Report 2025, p.2 — https://www.allica.bank/hubfs/pdf/Pillar-3-Report-2025_Allica.pdf
FY2024: Allica Bank Limited Pillar 3 Report 2024, p.2 — https://www.allica.bank/hubfs/pdf/Pillar-3-Report-2024_Allica.pdf
FY2023: Allica Bank Limited Pillar 3 Report 2023, p.2-3 — https://www.allica.bank/hubfs/Allica%20Bank%20Limited_Pillar%203%20Report%20_Year-ended%2031%20December%202023.pdf
FY2022: Allica Bank Limited Pillar 3 Report, year ended 31 December 2022, p.2 — https://www.allica.bank/hubfs/pdf/web/investor-relations/Allica_Bank_Pillar_3_disclosure_2022.pdf
FY2021: comparative column of the FY2022 Pillar 3 Report above, p.2 (restated onto the post-1 Jan 2022 leverage exposure basis per PRA PS21/21).</t>
        </is>
      </c>
    </row>
  </sheetData>
  <mergeCells count="2">
    <mergeCell ref="A7:F7"/>
    <mergeCell ref="A9:F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Allica Bank Limited — MREL Ratio</t>
        </is>
      </c>
    </row>
    <row r="2">
      <c r="A2" s="2" t="inlineStr">
        <is>
          <t>Consolidated (Group) basis</t>
        </is>
      </c>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 MREL ratio row appears in any of Allica's 5 Pillar 3 reports; each explicitly states Allica Bank Limited is not an LREQ firm. As a smaller institution below the UK's MREL/bail-in resolution threshold, Allica is not subject to a separate MREL disclosure requirement.</t>
        </is>
      </c>
    </row>
    <row r="7" ht="110" customHeight="1">
      <c r="A7" s="8" t="inlineStr">
        <is>
          <t>Sources — Allica Bank Limited consolidated (Group) basis, UK KM1 Key Metrics table, £'000:
FY2025: Allica Bank Limited Pillar 3 Report 2025, p.2 — https://www.allica.bank/hubfs/pdf/Pillar-3-Report-2025_Allica.pdf
FY2024: Allica Bank Limited Pillar 3 Report 2024, p.2 — https://www.allica.bank/hubfs/pdf/Pillar-3-Report-2024_Allica.pdf
FY2023: Allica Bank Limited Pillar 3 Report 2023, p.2-3 — https://www.allica.bank/hubfs/Allica%20Bank%20Limited_Pillar%203%20Report%20_Year-ended%2031%20December%202023.pdf
FY2022: Allica Bank Limited Pillar 3 Report, year ended 31 December 2022, p.2 — https://www.allica.bank/hubfs/pdf/web/investor-relations/Allica_Bank_Pillar_3_disclosure_2022.pdf
FY2021: comparative column of the FY2022 Pillar 3 Report above, p.2 (restated onto the post-1 Jan 2022 leverage exposure basis per PRA PS21/21).</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2026-09-02T16:21:03Z</dcterms:created>
  <dcterms:modified xmlns:dcterms="http://purl.org/dc/terms/" xmlns:xsi="http://www.w3.org/2001/XMLSchema-instance" xsi:type="dcterms:W3CDTF">2026-09-02T16:21:03Z</dcterms:modified>
</cp:coreProperties>
</file>