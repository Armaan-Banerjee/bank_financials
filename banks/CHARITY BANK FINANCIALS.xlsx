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Profit &amp; Loss" sheetId="3" state="visible" r:id="rId3"/>
    <sheet xmlns:r="http://schemas.openxmlformats.org/officeDocument/2006/relationships" name="Statement of Changes in Equity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Asset Quality" sheetId="6" state="visible" r:id="rId6"/>
    <sheet xmlns:r="http://schemas.openxmlformats.org/officeDocument/2006/relationships" name="CET1 Capital" sheetId="7" state="visible" r:id="rId7"/>
    <sheet xmlns:r="http://schemas.openxmlformats.org/officeDocument/2006/relationships" name="CET1 Ratio" sheetId="8" state="visible" r:id="rId8"/>
    <sheet xmlns:r="http://schemas.openxmlformats.org/officeDocument/2006/relationships" name="Tier 1 Capital" sheetId="9" state="visible" r:id="rId9"/>
    <sheet xmlns:r="http://schemas.openxmlformats.org/officeDocument/2006/relationships" name="Tier 1 Ratio" sheetId="10" state="visible" r:id="rId10"/>
    <sheet xmlns:r="http://schemas.openxmlformats.org/officeDocument/2006/relationships" name="Total Capital" sheetId="11" state="visible" r:id="rId11"/>
    <sheet xmlns:r="http://schemas.openxmlformats.org/officeDocument/2006/relationships" name="Total Capital Ratio" sheetId="12" state="visible" r:id="rId12"/>
    <sheet xmlns:r="http://schemas.openxmlformats.org/officeDocument/2006/relationships" name="Total RWAs" sheetId="13" state="visible" r:id="rId13"/>
    <sheet xmlns:r="http://schemas.openxmlformats.org/officeDocument/2006/relationships" name="RWA Breakdown" sheetId="14" state="visible" r:id="rId14"/>
    <sheet xmlns:r="http://schemas.openxmlformats.org/officeDocument/2006/relationships" name="Leverage Ratio" sheetId="15" state="visible" r:id="rId15"/>
    <sheet xmlns:r="http://schemas.openxmlformats.org/officeDocument/2006/relationships" name="LCR" sheetId="16" state="visible" r:id="rId16"/>
    <sheet xmlns:r="http://schemas.openxmlformats.org/officeDocument/2006/relationships" name="NSFR" sheetId="17" state="visible" r:id="rId17"/>
    <sheet xmlns:r="http://schemas.openxmlformats.org/officeDocument/2006/relationships" name="MREL Ratio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285943"/>
        <bgColor rgb="0028594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Charity Bank Limited — Balance Sheet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Charity Bank Limited — Profit &amp; Loss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'Overview'!Q13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'Overview'!$R$13:$V$13</f>
            </numRef>
          </val>
        </ser>
        <ser>
          <idx val="1"/>
          <order val="1"/>
          <tx>
            <strRef>
              <f>'Overview'!Q14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'Overview'!$R$14:$V$14</f>
            </numRef>
          </val>
        </ser>
        <ser>
          <idx val="2"/>
          <order val="2"/>
          <tx>
            <strRef>
              <f>'Overview'!Q15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'Overview'!$R$12:$V$12</f>
            </numRef>
          </cat>
          <val>
            <numRef>
              <f>'Overview'!$R$15:$V$15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Charity Bank Limited — Statement of Changes in Equity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'Overview'!Y19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'Overview'!$Z$19:$AD$19</f>
            </numRef>
          </val>
        </ser>
        <ser>
          <idx val="1"/>
          <order val="1"/>
          <tx>
            <strRef>
              <f>'Overview'!Y20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'Overview'!$Z$20:$AD$20</f>
            </numRef>
          </val>
        </ser>
        <ser>
          <idx val="2"/>
          <order val="2"/>
          <tx>
            <strRef>
              <f>'Overview'!Y21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'Overview'!$Z$21:$AD$21</f>
            </numRef>
          </val>
        </ser>
        <ser>
          <idx val="3"/>
          <order val="3"/>
          <tx>
            <strRef>
              <f>'Overview'!Y22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'Overview'!$Z$18:$AD$18</f>
            </numRef>
          </cat>
          <val>
            <numRef>
              <f>'Overview'!$Z$22:$AD$22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Charity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'Overview'!AG26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'Overview'!$AH$26:$AL$26</f>
            </numRef>
          </val>
        </ser>
        <ser>
          <idx val="1"/>
          <order val="1"/>
          <tx>
            <strRef>
              <f>'Overview'!AG27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'Overview'!$AH$27:$AL$27</f>
            </numRef>
          </val>
        </ser>
        <ser>
          <idx val="2"/>
          <order val="2"/>
          <tx>
            <strRef>
              <f>'Overview'!AG28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'Overview'!$AH$28:$AL$28</f>
            </numRef>
          </val>
        </ser>
        <ser>
          <idx val="3"/>
          <order val="3"/>
          <tx>
            <strRef>
              <f>'Overview'!AG29</f>
            </strRef>
          </tx>
          <spPr>
            <a:ln xmlns:a="http://schemas.openxmlformats.org/drawingml/2006/main">
              <a:prstDash val="solid"/>
            </a:ln>
          </spPr>
          <cat>
            <numRef>
              <f>'Overview'!$AH$25:$AL$25</f>
            </numRef>
          </cat>
          <val>
            <numRef>
              <f>'Overview'!$AH$29:$AL$29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£'000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The Charity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'Overview'!AO6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'Overview'!$AP$6:$AT$6</f>
            </numRef>
          </val>
          <smooth val="0"/>
        </ser>
        <ser>
          <idx val="1"/>
          <order val="1"/>
          <tx>
            <strRef>
              <f>'Overview'!AO7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'Overview'!$AP$7:$AT$7</f>
            </numRef>
          </val>
          <smooth val="0"/>
        </ser>
        <ser>
          <idx val="2"/>
          <order val="2"/>
          <tx>
            <strRef>
              <f>'Overview'!AO8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'Overview'!$AP$8:$AT$8</f>
            </numRef>
          </val>
          <smooth val="0"/>
        </ser>
        <ser>
          <idx val="3"/>
          <order val="3"/>
          <tx>
            <strRef>
              <f>'Overview'!AO9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'Overview'!$AP$9:$AT$9</f>
            </numRef>
          </val>
          <smooth val="0"/>
        </ser>
        <ser>
          <idx val="4"/>
          <order val="4"/>
          <tx>
            <strRef>
              <f>'Overview'!AO10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'Overview'!$AP$10:$AT$10</f>
            </numRef>
          </val>
          <smooth val="0"/>
        </ser>
        <ser>
          <idx val="5"/>
          <order val="5"/>
          <tx>
            <strRef>
              <f>'Overview'!AO11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'Overview'!$AP$5:$AT$5</f>
            </numRef>
          </cat>
          <val>
            <numRef>
              <f>'Overview'!$AP$11:$AT$11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42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64</row>
      <rowOff>0</rowOff>
    </from>
    <ext cx="8640000" cy="46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86</row>
      <rowOff>0</rowOff>
    </from>
    <ext cx="8640000" cy="46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108</row>
      <rowOff>0</rowOff>
    </from>
    <ext cx="8640000" cy="46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130</row>
      <rowOff>0</rowOff>
    </from>
    <ext cx="8640000" cy="57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</cols>
  <sheetData>
    <row r="1">
      <c r="A1" s="1" t="inlineStr">
        <is>
          <t>The Charity Bank Limited — Overview</t>
        </is>
      </c>
    </row>
    <row r="2">
      <c r="A2" s="2" t="inlineStr">
        <is>
          <t>Headline balance sheet, profit &amp; loss, cash flow and Pillar 3 figures across all years covered in this workbook - how the bank is using its money and the risk it is taking with it</t>
        </is>
      </c>
    </row>
    <row r="4">
      <c r="A4" s="3" t="inlineStr">
        <is>
          <t>Balance Sheet Summary (£'000)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AP5" t="inlineStr">
        <is>
          <t>FY2021</t>
        </is>
      </c>
      <c r="AQ5" t="inlineStr">
        <is>
          <t>FY2022</t>
        </is>
      </c>
      <c r="AR5" t="inlineStr">
        <is>
          <t>FY2023</t>
        </is>
      </c>
      <c r="AS5" t="inlineStr">
        <is>
          <t>FY2024</t>
        </is>
      </c>
      <c r="AT5" t="inlineStr">
        <is>
          <t>FY2025</t>
        </is>
      </c>
    </row>
    <row r="6">
      <c r="A6" s="5" t="inlineStr">
        <is>
          <t>Total assets</t>
        </is>
      </c>
      <c r="B6" s="5" t="n">
        <v>481812</v>
      </c>
      <c r="C6" s="5" t="n">
        <v>445667</v>
      </c>
      <c r="D6" s="5" t="n">
        <v>395967</v>
      </c>
      <c r="E6" s="5" t="n">
        <v>358050</v>
      </c>
      <c r="F6" s="5" t="n">
        <v>312072</v>
      </c>
      <c r="I6" t="inlineStr">
        <is>
          <t>Total assets</t>
        </is>
      </c>
      <c r="J6" t="n">
        <v>312072</v>
      </c>
      <c r="K6" t="n">
        <v>358050</v>
      </c>
      <c r="L6" t="n">
        <v>395967</v>
      </c>
      <c r="M6" t="n">
        <v>445667</v>
      </c>
      <c r="N6" t="n">
        <v>481812</v>
      </c>
      <c r="AO6" t="inlineStr">
        <is>
          <t>CET1 Ratio</t>
        </is>
      </c>
      <c r="AP6" t="n">
        <v>16.01</v>
      </c>
      <c r="AQ6" t="n">
        <v>15.05</v>
      </c>
      <c r="AR6" t="n">
        <v>16.15</v>
      </c>
      <c r="AS6" t="n">
        <v>16.67</v>
      </c>
      <c r="AT6" t="n">
        <v>17.33</v>
      </c>
    </row>
    <row r="7">
      <c r="A7" s="5" t="inlineStr">
        <is>
          <t>Loans and advances to customers</t>
        </is>
      </c>
      <c r="B7" s="5" t="n">
        <v>363058</v>
      </c>
      <c r="C7" s="5" t="n">
        <v>331101</v>
      </c>
      <c r="D7" s="5" t="n">
        <v>285315</v>
      </c>
      <c r="E7" s="5" t="n">
        <v>273700</v>
      </c>
      <c r="F7" s="5" t="n">
        <v>238695</v>
      </c>
      <c r="I7" t="inlineStr">
        <is>
          <t>Loans and advances to customers</t>
        </is>
      </c>
      <c r="J7" t="n">
        <v>238695</v>
      </c>
      <c r="K7" t="n">
        <v>273700</v>
      </c>
      <c r="L7" t="n">
        <v>285315</v>
      </c>
      <c r="M7" t="n">
        <v>331101</v>
      </c>
      <c r="N7" t="n">
        <v>363058</v>
      </c>
      <c r="AO7" t="inlineStr">
        <is>
          <t>Tier 1 Ratio</t>
        </is>
      </c>
      <c r="AP7" t="n">
        <v>16.01</v>
      </c>
      <c r="AQ7" t="n">
        <v>15.05</v>
      </c>
      <c r="AR7" t="n">
        <v>16.15</v>
      </c>
      <c r="AS7" t="n">
        <v>16.67</v>
      </c>
      <c r="AT7" t="n">
        <v>17.33</v>
      </c>
    </row>
    <row r="8">
      <c r="A8" s="5" t="inlineStr">
        <is>
          <t>Customer accounts</t>
        </is>
      </c>
      <c r="B8" s="5" t="n">
        <v>421741</v>
      </c>
      <c r="C8" s="5" t="n">
        <v>387175</v>
      </c>
      <c r="D8" s="5" t="n">
        <v>342963</v>
      </c>
      <c r="E8" s="5" t="n">
        <v>313835</v>
      </c>
      <c r="F8" s="5" t="n">
        <v>272571</v>
      </c>
      <c r="I8" t="inlineStr">
        <is>
          <t>Customer accounts</t>
        </is>
      </c>
      <c r="J8" t="n">
        <v>272571</v>
      </c>
      <c r="K8" t="n">
        <v>313835</v>
      </c>
      <c r="L8" t="n">
        <v>342963</v>
      </c>
      <c r="M8" t="n">
        <v>387175</v>
      </c>
      <c r="N8" t="n">
        <v>421741</v>
      </c>
      <c r="AO8" t="inlineStr">
        <is>
          <t>Total Capital Ratio</t>
        </is>
      </c>
      <c r="AP8" t="n">
        <v>18.15</v>
      </c>
      <c r="AQ8" t="n">
        <v>17.19</v>
      </c>
      <c r="AR8" t="n">
        <v>17.65</v>
      </c>
      <c r="AS8" t="n">
        <v>18.82</v>
      </c>
      <c r="AT8" t="n">
        <v>19.58</v>
      </c>
    </row>
    <row r="9">
      <c r="A9" s="5" t="inlineStr">
        <is>
          <t>Total equity</t>
        </is>
      </c>
      <c r="B9" s="5" t="n">
        <v>45154</v>
      </c>
      <c r="C9" s="5" t="n">
        <v>43352</v>
      </c>
      <c r="D9" s="5" t="n">
        <v>39563</v>
      </c>
      <c r="E9" s="5" t="n">
        <v>30014</v>
      </c>
      <c r="F9" s="5" t="n">
        <v>26748</v>
      </c>
      <c r="I9" t="inlineStr">
        <is>
          <t>Total equity</t>
        </is>
      </c>
      <c r="J9" t="n">
        <v>26748</v>
      </c>
      <c r="K9" t="n">
        <v>30014</v>
      </c>
      <c r="L9" t="n">
        <v>39563</v>
      </c>
      <c r="M9" t="n">
        <v>43352</v>
      </c>
      <c r="N9" t="n">
        <v>45154</v>
      </c>
      <c r="AO9" t="inlineStr">
        <is>
          <t>Leverage Ratio</t>
        </is>
      </c>
      <c r="AP9" t="n">
        <v>7.72</v>
      </c>
      <c r="AQ9" t="n">
        <v>8.390000000000001</v>
      </c>
      <c r="AR9" t="n">
        <v>9.640000000000001</v>
      </c>
      <c r="AS9" t="n">
        <v>10.39</v>
      </c>
      <c r="AT9" t="n">
        <v>10.13</v>
      </c>
    </row>
    <row r="10">
      <c r="AO10" t="inlineStr">
        <is>
          <t>LCR</t>
        </is>
      </c>
      <c r="AQ10" t="n">
        <v>182.2</v>
      </c>
      <c r="AR10" t="n">
        <v>206</v>
      </c>
    </row>
    <row r="11">
      <c r="A11" s="3" t="inlineStr">
        <is>
          <t>Profit &amp; Loss Summary (£'000)</t>
        </is>
      </c>
      <c r="AO11" t="inlineStr">
        <is>
          <t>NSFR</t>
        </is>
      </c>
      <c r="AQ11" t="n">
        <v>135.6</v>
      </c>
      <c r="AR11" t="n">
        <v>139.7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  <c r="R12" t="inlineStr">
        <is>
          <t>FY2021</t>
        </is>
      </c>
      <c r="S12" t="inlineStr">
        <is>
          <t>FY2022</t>
        </is>
      </c>
      <c r="T12" t="inlineStr">
        <is>
          <t>FY2023</t>
        </is>
      </c>
      <c r="U12" t="inlineStr">
        <is>
          <t>FY2024</t>
        </is>
      </c>
      <c r="V12" t="inlineStr">
        <is>
          <t>FY2025</t>
        </is>
      </c>
    </row>
    <row r="13">
      <c r="A13" s="5" t="inlineStr">
        <is>
          <t>Net total income</t>
        </is>
      </c>
      <c r="B13" s="5" t="n">
        <v>15128</v>
      </c>
      <c r="C13" s="5" t="n">
        <v>16760</v>
      </c>
      <c r="D13" s="5" t="n">
        <v>16755</v>
      </c>
      <c r="E13" s="5" t="n">
        <v>10172</v>
      </c>
      <c r="F13" s="5" t="n">
        <v>6404</v>
      </c>
      <c r="Q13" t="inlineStr">
        <is>
          <t>Net total income</t>
        </is>
      </c>
      <c r="R13" t="n">
        <v>6404</v>
      </c>
      <c r="S13" t="n">
        <v>10172</v>
      </c>
      <c r="T13" t="n">
        <v>16755</v>
      </c>
      <c r="U13" t="n">
        <v>16760</v>
      </c>
      <c r="V13" t="n">
        <v>15128</v>
      </c>
    </row>
    <row r="14">
      <c r="A14" s="5" t="inlineStr">
        <is>
          <t>Administrative expenses</t>
        </is>
      </c>
      <c r="B14" s="5" t="n">
        <v>-11066</v>
      </c>
      <c r="C14" s="5" t="n">
        <v>-9775</v>
      </c>
      <c r="D14" s="5" t="n">
        <v>-7818</v>
      </c>
      <c r="E14" s="5" t="n">
        <v>-6010</v>
      </c>
      <c r="F14" s="5" t="n">
        <v>-5141</v>
      </c>
      <c r="Q14" t="inlineStr">
        <is>
          <t>Administrative expenses</t>
        </is>
      </c>
      <c r="R14" t="n">
        <v>-5141</v>
      </c>
      <c r="S14" t="n">
        <v>-6010</v>
      </c>
      <c r="T14" t="n">
        <v>-7818</v>
      </c>
      <c r="U14" t="n">
        <v>-9775</v>
      </c>
      <c r="V14" t="n">
        <v>-11066</v>
      </c>
    </row>
    <row r="15">
      <c r="A15" s="5" t="inlineStr">
        <is>
          <t>Profit after taxation and total comprehensive income for the year</t>
        </is>
      </c>
      <c r="B15" s="5" t="n">
        <v>2790</v>
      </c>
      <c r="C15" s="5" t="n">
        <v>4941</v>
      </c>
      <c r="D15" s="5" t="n">
        <v>7837</v>
      </c>
      <c r="E15" s="5" t="n">
        <v>2716</v>
      </c>
      <c r="F15" s="5" t="n">
        <v>944</v>
      </c>
      <c r="Q15" t="inlineStr">
        <is>
          <t>Profit after taxation and total comprehensive income for the year</t>
        </is>
      </c>
      <c r="R15" t="n">
        <v>944</v>
      </c>
      <c r="S15" t="n">
        <v>2716</v>
      </c>
      <c r="T15" t="n">
        <v>7837</v>
      </c>
      <c r="U15" t="n">
        <v>4941</v>
      </c>
      <c r="V15" t="n">
        <v>2790</v>
      </c>
    </row>
    <row r="17">
      <c r="A17" s="3" t="inlineStr">
        <is>
          <t>Statement of Changes in Equity Summary (£'000)</t>
        </is>
      </c>
    </row>
    <row r="18">
      <c r="A18" s="4" t="inlineStr">
        <is>
          <t>Line item</t>
        </is>
      </c>
      <c r="B18" s="4" t="inlineStr">
        <is>
          <t>FY2025</t>
        </is>
      </c>
      <c r="C18" s="4" t="inlineStr">
        <is>
          <t>FY2024</t>
        </is>
      </c>
      <c r="D18" s="4" t="inlineStr">
        <is>
          <t>FY2023</t>
        </is>
      </c>
      <c r="E18" s="4" t="inlineStr">
        <is>
          <t>FY2022</t>
        </is>
      </c>
      <c r="F18" s="4" t="inlineStr">
        <is>
          <t>FY2021</t>
        </is>
      </c>
      <c r="Z18" t="inlineStr">
        <is>
          <t>FY2021</t>
        </is>
      </c>
      <c r="AA18" t="inlineStr">
        <is>
          <t>FY2022</t>
        </is>
      </c>
      <c r="AB18" t="inlineStr">
        <is>
          <t>FY2023</t>
        </is>
      </c>
      <c r="AC18" t="inlineStr">
        <is>
          <t>FY2024</t>
        </is>
      </c>
      <c r="AD18" t="inlineStr">
        <is>
          <t>FY2025</t>
        </is>
      </c>
    </row>
    <row r="19">
      <c r="A19" s="5" t="inlineStr">
        <is>
          <t>Opening equity</t>
        </is>
      </c>
      <c r="B19" s="5" t="n">
        <v>43352</v>
      </c>
      <c r="C19" s="5" t="n">
        <v>39563</v>
      </c>
      <c r="D19" s="5" t="n">
        <v>30014</v>
      </c>
      <c r="E19" s="5" t="n">
        <v>26748</v>
      </c>
      <c r="F19" s="5" t="n"/>
      <c r="Y19" t="inlineStr">
        <is>
          <t>Opening equity</t>
        </is>
      </c>
      <c r="AA19" t="n">
        <v>26748</v>
      </c>
      <c r="AB19" t="n">
        <v>30014</v>
      </c>
      <c r="AC19" t="n">
        <v>39563</v>
      </c>
      <c r="AD19" t="n">
        <v>43352</v>
      </c>
    </row>
    <row r="20">
      <c r="A20" s="5" t="inlineStr">
        <is>
          <t>Total comprehensive income for the year</t>
        </is>
      </c>
      <c r="B20" s="5" t="n">
        <v>2790</v>
      </c>
      <c r="C20" s="5" t="n">
        <v>4941</v>
      </c>
      <c r="D20" s="5" t="n">
        <v>7837</v>
      </c>
      <c r="E20" s="5" t="n">
        <v>2716</v>
      </c>
      <c r="F20" s="5" t="n">
        <v>944</v>
      </c>
      <c r="Y20" t="inlineStr">
        <is>
          <t>Total comprehensive income for the year</t>
        </is>
      </c>
      <c r="Z20" t="n">
        <v>944</v>
      </c>
      <c r="AA20" t="n">
        <v>2716</v>
      </c>
      <c r="AB20" t="n">
        <v>7837</v>
      </c>
      <c r="AC20" t="n">
        <v>4941</v>
      </c>
      <c r="AD20" t="n">
        <v>2790</v>
      </c>
    </row>
    <row r="21">
      <c r="A21" s="5" t="inlineStr">
        <is>
          <t>Other equity movements, net</t>
        </is>
      </c>
      <c r="B21" s="5" t="n">
        <v>-988</v>
      </c>
      <c r="C21" s="5" t="n">
        <v>-1152</v>
      </c>
      <c r="D21" s="5" t="n">
        <v>1712</v>
      </c>
      <c r="E21" s="5" t="n">
        <v>550</v>
      </c>
      <c r="F21" s="5" t="n">
        <v>4900</v>
      </c>
      <c r="Y21" t="inlineStr">
        <is>
          <t>Other equity movements, net</t>
        </is>
      </c>
      <c r="Z21" t="n">
        <v>4900</v>
      </c>
      <c r="AA21" t="n">
        <v>550</v>
      </c>
      <c r="AB21" t="n">
        <v>1712</v>
      </c>
      <c r="AC21" t="n">
        <v>-1152</v>
      </c>
      <c r="AD21" t="n">
        <v>-988</v>
      </c>
    </row>
    <row r="22">
      <c r="A22" s="5" t="inlineStr">
        <is>
          <t>Closing equity</t>
        </is>
      </c>
      <c r="B22" s="5" t="n">
        <v>45154</v>
      </c>
      <c r="C22" s="5" t="n">
        <v>43352</v>
      </c>
      <c r="D22" s="5" t="n">
        <v>39563</v>
      </c>
      <c r="E22" s="5" t="n">
        <v>30014</v>
      </c>
      <c r="F22" s="5" t="n">
        <v>26748</v>
      </c>
      <c r="Y22" t="inlineStr">
        <is>
          <t>Closing equity</t>
        </is>
      </c>
      <c r="Z22" t="n">
        <v>26748</v>
      </c>
      <c r="AA22" t="n">
        <v>30014</v>
      </c>
      <c r="AB22" t="n">
        <v>39563</v>
      </c>
      <c r="AC22" t="n">
        <v>43352</v>
      </c>
      <c r="AD22" t="n">
        <v>45154</v>
      </c>
    </row>
    <row r="24">
      <c r="A24" s="3" t="inlineStr">
        <is>
          <t>Cash Flow Summary (£'000)</t>
        </is>
      </c>
    </row>
    <row r="25">
      <c r="A25" s="4" t="inlineStr">
        <is>
          <t>Line item</t>
        </is>
      </c>
      <c r="B25" s="4" t="inlineStr">
        <is>
          <t>FY2025</t>
        </is>
      </c>
      <c r="C25" s="4" t="inlineStr">
        <is>
          <t>FY2024</t>
        </is>
      </c>
      <c r="D25" s="4" t="inlineStr">
        <is>
          <t>FY2023</t>
        </is>
      </c>
      <c r="E25" s="4" t="inlineStr">
        <is>
          <t>FY2022</t>
        </is>
      </c>
      <c r="F25" s="4" t="inlineStr">
        <is>
          <t>FY2021</t>
        </is>
      </c>
      <c r="AH25" t="inlineStr">
        <is>
          <t>FY2021</t>
        </is>
      </c>
      <c r="AI25" t="inlineStr">
        <is>
          <t>FY2022</t>
        </is>
      </c>
      <c r="AJ25" t="inlineStr">
        <is>
          <t>FY2023</t>
        </is>
      </c>
      <c r="AK25" t="inlineStr">
        <is>
          <t>FY2024</t>
        </is>
      </c>
      <c r="AL25" t="inlineStr">
        <is>
          <t>FY2025</t>
        </is>
      </c>
    </row>
    <row r="26">
      <c r="A26" s="5" t="inlineStr">
        <is>
          <t>Net cash (outflow)/inflow from operating activities</t>
        </is>
      </c>
      <c r="B26" s="5" t="n">
        <v>-13510</v>
      </c>
      <c r="C26" s="5" t="n">
        <v>6397</v>
      </c>
      <c r="D26" s="5" t="n">
        <v>26761</v>
      </c>
      <c r="E26" s="5" t="n">
        <v>15953</v>
      </c>
      <c r="F26" s="5" t="n">
        <v>7914</v>
      </c>
      <c r="AG26" t="inlineStr">
        <is>
          <t>Net cash (outflow)/inflow from operating activities</t>
        </is>
      </c>
      <c r="AH26" t="n">
        <v>7914</v>
      </c>
      <c r="AI26" t="n">
        <v>15953</v>
      </c>
      <c r="AJ26" t="n">
        <v>26761</v>
      </c>
      <c r="AK26" t="n">
        <v>6397</v>
      </c>
      <c r="AL26" t="n">
        <v>-13510</v>
      </c>
    </row>
    <row r="27">
      <c r="A27" s="5" t="inlineStr">
        <is>
          <t>Net cash outflow from investing activities</t>
        </is>
      </c>
      <c r="B27" s="5" t="n">
        <v>-47</v>
      </c>
      <c r="C27" s="5" t="n">
        <v>-236</v>
      </c>
      <c r="D27" s="5" t="n">
        <v>-34</v>
      </c>
      <c r="E27" s="5" t="n">
        <v>-14</v>
      </c>
      <c r="F27" s="5" t="n">
        <v>-65</v>
      </c>
      <c r="AG27" t="inlineStr">
        <is>
          <t>Net cash outflow from investing activities</t>
        </is>
      </c>
      <c r="AH27" t="n">
        <v>-65</v>
      </c>
      <c r="AI27" t="n">
        <v>-14</v>
      </c>
      <c r="AJ27" t="n">
        <v>-34</v>
      </c>
      <c r="AK27" t="n">
        <v>-236</v>
      </c>
      <c r="AL27" t="n">
        <v>-47</v>
      </c>
    </row>
    <row r="28">
      <c r="A28" s="5" t="inlineStr">
        <is>
          <t>Net cash (outflow)/inflow from financing activities</t>
        </is>
      </c>
      <c r="B28" s="5" t="n">
        <v>-1095</v>
      </c>
      <c r="C28" s="5" t="n">
        <v>-229</v>
      </c>
      <c r="D28" s="5" t="n">
        <v>1495</v>
      </c>
      <c r="E28" s="5" t="n">
        <v>1325</v>
      </c>
      <c r="F28" s="5" t="n">
        <v>5975</v>
      </c>
      <c r="AG28" t="inlineStr">
        <is>
          <t>Net cash (outflow)/inflow from financing activities</t>
        </is>
      </c>
      <c r="AH28" t="n">
        <v>5975</v>
      </c>
      <c r="AI28" t="n">
        <v>1325</v>
      </c>
      <c r="AJ28" t="n">
        <v>1495</v>
      </c>
      <c r="AK28" t="n">
        <v>-229</v>
      </c>
      <c r="AL28" t="n">
        <v>-1095</v>
      </c>
    </row>
    <row r="29">
      <c r="A29" s="5" t="inlineStr">
        <is>
          <t>Cash and cash equivalents at end of year</t>
        </is>
      </c>
      <c r="B29" s="5" t="n">
        <v>82700</v>
      </c>
      <c r="C29" s="5" t="n">
        <v>97352</v>
      </c>
      <c r="D29" s="5" t="n">
        <v>91420</v>
      </c>
      <c r="E29" s="5" t="n">
        <v>63198</v>
      </c>
      <c r="F29" s="5" t="n">
        <v>45934</v>
      </c>
      <c r="AG29" t="inlineStr">
        <is>
          <t>Cash and cash equivalents at end of year</t>
        </is>
      </c>
      <c r="AH29" t="n">
        <v>45934</v>
      </c>
      <c r="AI29" t="n">
        <v>63198</v>
      </c>
      <c r="AJ29" t="n">
        <v>91420</v>
      </c>
      <c r="AK29" t="n">
        <v>97352</v>
      </c>
      <c r="AL29" t="n">
        <v>82700</v>
      </c>
    </row>
    <row r="31">
      <c r="A31" s="3" t="inlineStr">
        <is>
          <t>Pillar 3 Key Metrics</t>
        </is>
      </c>
    </row>
    <row r="32">
      <c r="A32" s="4" t="inlineStr">
        <is>
          <t>Line item</t>
        </is>
      </c>
      <c r="B32" s="4" t="inlineStr">
        <is>
          <t>FY2025</t>
        </is>
      </c>
      <c r="C32" s="4" t="inlineStr">
        <is>
          <t>FY2024</t>
        </is>
      </c>
      <c r="D32" s="4" t="inlineStr">
        <is>
          <t>FY2023</t>
        </is>
      </c>
      <c r="E32" s="4" t="inlineStr">
        <is>
          <t>FY2022</t>
        </is>
      </c>
      <c r="F32" s="4" t="inlineStr">
        <is>
          <t>FY2021</t>
        </is>
      </c>
    </row>
    <row r="33">
      <c r="A33" s="6" t="inlineStr">
        <is>
          <t>CET1 Ratio</t>
        </is>
      </c>
      <c r="B33" s="6" t="n">
        <v>17.33</v>
      </c>
      <c r="C33" s="6" t="n">
        <v>16.67</v>
      </c>
      <c r="D33" s="6" t="n">
        <v>16.15</v>
      </c>
      <c r="E33" s="6" t="n">
        <v>15.05</v>
      </c>
      <c r="F33" s="6" t="n">
        <v>16.01</v>
      </c>
    </row>
    <row r="34">
      <c r="A34" s="6" t="inlineStr">
        <is>
          <t>Tier 1 Ratio</t>
        </is>
      </c>
      <c r="B34" s="6" t="n">
        <v>17.33</v>
      </c>
      <c r="C34" s="6" t="n">
        <v>16.67</v>
      </c>
      <c r="D34" s="6" t="n">
        <v>16.15</v>
      </c>
      <c r="E34" s="6" t="n">
        <v>15.05</v>
      </c>
      <c r="F34" s="6" t="n">
        <v>16.01</v>
      </c>
    </row>
    <row r="35">
      <c r="A35" s="6" t="inlineStr">
        <is>
          <t>Total Capital Ratio</t>
        </is>
      </c>
      <c r="B35" s="6" t="n">
        <v>19.58</v>
      </c>
      <c r="C35" s="6" t="n">
        <v>18.82</v>
      </c>
      <c r="D35" s="6" t="n">
        <v>17.65</v>
      </c>
      <c r="E35" s="6" t="n">
        <v>17.19</v>
      </c>
      <c r="F35" s="6" t="n">
        <v>18.15</v>
      </c>
    </row>
    <row r="36">
      <c r="A36" s="6" t="inlineStr">
        <is>
          <t>Leverage Ratio</t>
        </is>
      </c>
      <c r="B36" s="6" t="n">
        <v>10.13</v>
      </c>
      <c r="C36" s="6" t="n">
        <v>10.39</v>
      </c>
      <c r="D36" s="6" t="n">
        <v>9.640000000000001</v>
      </c>
      <c r="E36" s="6" t="n">
        <v>8.390000000000001</v>
      </c>
      <c r="F36" s="6" t="n">
        <v>7.72</v>
      </c>
    </row>
    <row r="37">
      <c r="A37" s="6" t="inlineStr">
        <is>
          <t>LCR</t>
        </is>
      </c>
      <c r="B37" s="6" t="n"/>
      <c r="C37" s="6" t="n"/>
      <c r="D37" s="6" t="n">
        <v>206</v>
      </c>
      <c r="E37" s="6" t="n">
        <v>182.2</v>
      </c>
      <c r="F37" s="6" t="n"/>
    </row>
    <row r="38">
      <c r="A38" s="6" t="inlineStr">
        <is>
          <t>NSFR</t>
        </is>
      </c>
      <c r="B38" s="6" t="n"/>
      <c r="C38" s="6" t="n"/>
      <c r="D38" s="6" t="n">
        <v>139.7</v>
      </c>
      <c r="E38" s="6" t="n">
        <v>135.6</v>
      </c>
      <c r="F38" s="6" t="n"/>
    </row>
    <row r="40" ht="45" customHeight="1">
      <c r="A40" s="7" t="inlineStr">
        <is>
          <t>Note: Figures are duplicated from the detail sheets for at-a-glance trend viewing; see each sheet's own source citation for the underlying document/page. ENTITY NOTE: The Charity Bank Limited (Companies House 04330018, FRN 207701) matches Banks List 2608.xlsx exactly - a wholly UK-owned, standalone entity with no parent-subsidiary complications. Charity Bank publishes a full Statement of Cash Flows every year (no FRS 101/102 exemption). Its FY2021 and FY2022 Companies House filings are fully scanned/image-only PDFs (no text layer) - OCR'd with tesseract and every figure visually cross-checked against a rendered page image at 400dpi (one apparently ambiguous OCR read, 'depreciation of property and equipment' for FY2021, was confirmed as 59 by direct visual inspection, not the alternative misreading). All 5 years' own primary figures were cross-checked against their appearance as the following year's comparative column and match exactly - no source-document arithmetic errors found.
PILLAR 3 NOTE: Charity Bank published an annual standalone Pillar 3 disclosure document every year through the FY2023 edition (retrieved via the Wayback Machine - the current live site no longer links to any Pillar 3 document, only Annual Reports). No FY2024 or FY2025 edition has been published anywhere as of the research date.
CAUSAL LINK NOW ESTABLISHED, 2026-09-15 (cross-bank SDDT pass) - this supersedes the earlier hedged wording, which said SDDT status was 'noted as context' but 'not asserted as a confirmed causal link'. The absence of a FY2024 and FY2025 Pillar 3 document is an EVIDENCED STRUCTURAL EXEMPTION, not a sourcing failure: becoming a Small Domestic Deposit Taker removes the Pillar 3 disclosure obligation outright, so no such document will ever exist for those years.
Evidence 1 - the PRA's own firm-level register. Bank of England consolidated list of waivers and modifications granted to PRA-authorised firms (downloaded 2026-09-15) carries the row: FRN 207701, 'The Charity Bank Limited', 'Modification by Consent - PRA Rulebook - CRR Firms - Rule 3.1 of the SDDT Regime - General Application Part', rule 'SDDT Regime - General Application', sub rule 'Ru 3.1', waiver ref 'A00007506P.pdf', start date '01/02/2024', no end date - https://www.bankofengland.co.uk/-/media/boe/files/prudential-regulation/authorisations/waivers-and-modifications-of-rules/consolidated-waivers-pra-firms.csv
Evidence 2 - Charity Bank in its own words, in both recent Annual Reports, under the heading 'Capital regulatory framework': 'In 2024, Charity Bank opted-in to the PRA's Small Domestic Deposit-Takers ('SDDT') regime, also known as 'Strong &amp; Simple'.' - Charity Bank 2024 Annual Report p.32 (https://www.charitybank.org/wp-content/uploads/2025/06/Charity-Bank-2024-Annual-Report-signed.pdf) and, repeated verbatim, Charity Bank 2025 Annual Report p.30 (https://www.charitybank.org/wp-content/uploads/2026/06/Charity-Bank-2025-Annual-Report-signed.pdf). This corroborates the register's 01/02/2024 start date and the FY2023 Annual Report's (p.35) 'was accepted into the Small Domestic Deposit Taker (SDDT) regime in January 2024' (https://www.charitybank.org/wp-content/uploads/2024/10/Charity-Bank-Annual-Accounts-2023.pdf).
Evidence 3 - what the Rule 3.1 modification does to Pillar 3, stated by a peer holding the identical register row: Cynergy Bank plc Annual Report &amp; Accounts 2024, p.71 - 'The Bank applied for the Modification by Consent to become an SDDT and received approval on 17 January 2025. As a result, we are not required to publish Pillar 3 disclosures as at 31 December 2024 and will submit only a simplified retail deposit ratio instead of a full Net Stable Funding Ratio (NSFR) going forward.'
DATE FIT: the modification took effect 1 February 2024, i.e. before the 31 December 2024 year-end, so it covers FY2024 and FY2025 - exactly the two years with no Pillar 3 document. It covers NEITHER FY2021, FY2022 nor FY2023, all of which have their own published Pillar 3 editions in any case. Do not read the exemption back onto FY2023 or earlier. Note also that the Annual Reports' statement that the SDDT regime 'takes full effect from 1 January 2027' refers to the SDDT simplified CAPITAL regime, which is a separate and later matter from the disclosure exemption that already applies. Charity Bank does not disclose a Simplified Retail Deposit Ratio value, so nothing replaces the NSFR series here.
For FY2024 and FY2025, capital amounts (Tier 1/Tier 2/Total capital, £), RWAs, leverage exposure, and CET1/Total Capital/Leverage ratios were instead sourced from the 'Capital risk' section of each year's own Annual Report (Strategic Report and Note 28) - the Annual Reports do not disclose LCR, NSFR, or MREL at all, so those sheets are blank for FY2024-FY2025 (not a transcription gap - genuinely not published anywhere).</t>
        </is>
      </c>
    </row>
  </sheetData>
  <mergeCells count="1">
    <mergeCell ref="A40:F4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Balance Sheet</t>
        </is>
      </c>
    </row>
    <row r="2">
      <c r="A2" s="2" t="inlineStr">
        <is>
          <t>Entity-level basis, £'000.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Assets</t>
        </is>
      </c>
      <c r="B4" s="6" t="n"/>
      <c r="C4" s="6" t="n"/>
      <c r="D4" s="6" t="n"/>
      <c r="E4" s="6" t="n"/>
      <c r="F4" s="6" t="n"/>
    </row>
    <row r="5">
      <c r="A5" s="6" t="inlineStr">
        <is>
          <t>Cash and balances at banks</t>
        </is>
      </c>
      <c r="B5" s="6" t="n">
        <v>82700</v>
      </c>
      <c r="C5" s="6" t="n">
        <v>97352</v>
      </c>
      <c r="D5" s="6" t="n">
        <v>91420</v>
      </c>
      <c r="E5" s="6" t="n">
        <v>63198</v>
      </c>
      <c r="F5" s="6" t="n">
        <v>45934</v>
      </c>
    </row>
    <row r="6">
      <c r="A6" s="6" t="inlineStr">
        <is>
          <t>Financial assets at fair value through profit &amp; loss</t>
        </is>
      </c>
      <c r="B6" s="6" t="n"/>
      <c r="C6" s="6" t="n"/>
      <c r="D6" s="6" t="n"/>
      <c r="E6" s="6" t="n"/>
      <c r="F6" s="6" t="n">
        <v>0</v>
      </c>
    </row>
    <row r="7">
      <c r="A7" s="6" t="inlineStr">
        <is>
          <t>Financial assets at amortised cost</t>
        </is>
      </c>
      <c r="B7" s="6" t="n">
        <v>33160</v>
      </c>
      <c r="C7" s="6" t="n">
        <v>14859</v>
      </c>
      <c r="D7" s="6" t="n">
        <v>16661</v>
      </c>
      <c r="E7" s="6" t="n">
        <v>18776</v>
      </c>
      <c r="F7" s="6" t="n">
        <v>24888</v>
      </c>
    </row>
    <row r="8">
      <c r="A8" s="6" t="inlineStr">
        <is>
          <t>Loans and advances to customers</t>
        </is>
      </c>
      <c r="B8" s="6" t="n">
        <v>363058</v>
      </c>
      <c r="C8" s="6" t="n">
        <v>331101</v>
      </c>
      <c r="D8" s="6" t="n">
        <v>285315</v>
      </c>
      <c r="E8" s="6" t="n">
        <v>273700</v>
      </c>
      <c r="F8" s="6" t="n">
        <v>238695</v>
      </c>
    </row>
    <row r="9">
      <c r="A9" s="6" t="inlineStr">
        <is>
          <t>Prepayments</t>
        </is>
      </c>
      <c r="B9" s="6" t="n">
        <v>770</v>
      </c>
      <c r="C9" s="6" t="n">
        <v>577</v>
      </c>
      <c r="D9" s="6" t="n">
        <v>407</v>
      </c>
      <c r="E9" s="6" t="n">
        <v>361</v>
      </c>
      <c r="F9" s="6" t="n">
        <v>256</v>
      </c>
    </row>
    <row r="10">
      <c r="A10" s="6" t="inlineStr">
        <is>
          <t>Other assets</t>
        </is>
      </c>
      <c r="B10" s="6" t="n">
        <v>325</v>
      </c>
      <c r="C10" s="6" t="n">
        <v>407</v>
      </c>
      <c r="D10" s="6" t="n">
        <v>497</v>
      </c>
      <c r="E10" s="6" t="n">
        <v>358</v>
      </c>
      <c r="F10" s="6" t="n">
        <v>215</v>
      </c>
    </row>
    <row r="11">
      <c r="A11" s="6" t="inlineStr">
        <is>
          <t>Deferred tax asset</t>
        </is>
      </c>
      <c r="B11" s="6" t="n">
        <v>264</v>
      </c>
      <c r="C11" s="6" t="n">
        <v>252</v>
      </c>
      <c r="D11" s="6" t="n">
        <v>393</v>
      </c>
      <c r="E11" s="6" t="n"/>
      <c r="F11" s="6" t="n"/>
    </row>
    <row r="12">
      <c r="A12" s="6" t="inlineStr">
        <is>
          <t>Property and equipment</t>
        </is>
      </c>
      <c r="B12" s="6" t="n">
        <v>177</v>
      </c>
      <c r="C12" s="6" t="n">
        <v>232</v>
      </c>
      <c r="D12" s="6" t="n">
        <v>41</v>
      </c>
      <c r="E12" s="6" t="n">
        <v>63</v>
      </c>
      <c r="F12" s="6" t="n">
        <v>110</v>
      </c>
    </row>
    <row r="13">
      <c r="A13" s="6" t="inlineStr">
        <is>
          <t>Right-of-use asset</t>
        </is>
      </c>
      <c r="B13" s="6" t="n">
        <v>638</v>
      </c>
      <c r="C13" s="6" t="n">
        <v>16</v>
      </c>
      <c r="D13" s="6" t="n">
        <v>208</v>
      </c>
      <c r="E13" s="6" t="n">
        <v>406</v>
      </c>
      <c r="F13" s="6" t="n">
        <v>622</v>
      </c>
    </row>
    <row r="14">
      <c r="A14" s="6" t="inlineStr">
        <is>
          <t>Intangible fixed assets</t>
        </is>
      </c>
      <c r="B14" s="6" t="n">
        <v>720</v>
      </c>
      <c r="C14" s="6" t="n">
        <v>871</v>
      </c>
      <c r="D14" s="6" t="n">
        <v>1025</v>
      </c>
      <c r="E14" s="6" t="n">
        <v>1188</v>
      </c>
      <c r="F14" s="6" t="n">
        <v>1352</v>
      </c>
    </row>
    <row r="15">
      <c r="A15" s="5" t="inlineStr">
        <is>
          <t>Total assets</t>
        </is>
      </c>
      <c r="B15" s="5" t="n">
        <v>481812</v>
      </c>
      <c r="C15" s="5" t="n">
        <v>445667</v>
      </c>
      <c r="D15" s="5" t="n">
        <v>395967</v>
      </c>
      <c r="E15" s="5" t="n">
        <v>358050</v>
      </c>
      <c r="F15" s="5" t="n">
        <v>312072</v>
      </c>
    </row>
    <row r="16">
      <c r="A16" s="5" t="inlineStr">
        <is>
          <t>Liabilities</t>
        </is>
      </c>
      <c r="B16" s="6" t="n"/>
      <c r="C16" s="6" t="n"/>
      <c r="D16" s="6" t="n"/>
      <c r="E16" s="6" t="n"/>
      <c r="F16" s="6" t="n"/>
    </row>
    <row r="17">
      <c r="A17" s="6" t="inlineStr">
        <is>
          <t>Customer accounts</t>
        </is>
      </c>
      <c r="B17" s="6" t="n">
        <v>421741</v>
      </c>
      <c r="C17" s="6" t="n">
        <v>387175</v>
      </c>
      <c r="D17" s="6" t="n">
        <v>342963</v>
      </c>
      <c r="E17" s="6" t="n">
        <v>313835</v>
      </c>
      <c r="F17" s="6" t="n">
        <v>272571</v>
      </c>
    </row>
    <row r="18">
      <c r="A18" s="6" t="inlineStr">
        <is>
          <t>Deferred income</t>
        </is>
      </c>
      <c r="B18" s="6" t="n">
        <v>236</v>
      </c>
      <c r="C18" s="6" t="n">
        <v>341</v>
      </c>
      <c r="D18" s="6" t="n">
        <v>337</v>
      </c>
      <c r="E18" s="6" t="n">
        <v>316</v>
      </c>
      <c r="F18" s="6" t="n">
        <v>374</v>
      </c>
    </row>
    <row r="19">
      <c r="A19" s="6" t="inlineStr">
        <is>
          <t>Other liabilities</t>
        </is>
      </c>
      <c r="B19" s="6" t="n">
        <v>3322</v>
      </c>
      <c r="C19" s="6" t="n">
        <v>3609</v>
      </c>
      <c r="D19" s="6" t="n">
        <v>2563</v>
      </c>
      <c r="E19" s="6" t="n">
        <v>4771</v>
      </c>
      <c r="F19" s="6" t="n">
        <v>4079</v>
      </c>
    </row>
    <row r="20">
      <c r="A20" s="6" t="inlineStr">
        <is>
          <t>Current tax liability</t>
        </is>
      </c>
      <c r="B20" s="6" t="n">
        <v>521</v>
      </c>
      <c r="C20" s="6" t="n">
        <v>781</v>
      </c>
      <c r="D20" s="6" t="n">
        <v>1546</v>
      </c>
      <c r="E20" s="6" t="n">
        <v>0</v>
      </c>
      <c r="F20" s="6" t="n"/>
    </row>
    <row r="21">
      <c r="A21" s="6" t="inlineStr">
        <is>
          <t>Accruals</t>
        </is>
      </c>
      <c r="B21" s="6" t="n">
        <v>627</v>
      </c>
      <c r="C21" s="6" t="n">
        <v>1052</v>
      </c>
      <c r="D21" s="6" t="n">
        <v>675</v>
      </c>
      <c r="E21" s="6" t="n">
        <v>638</v>
      </c>
      <c r="F21" s="6" t="n">
        <v>662</v>
      </c>
    </row>
    <row r="22">
      <c r="A22" s="6" t="inlineStr">
        <is>
          <t>Lease liability</t>
        </is>
      </c>
      <c r="B22" s="6" t="n">
        <v>656</v>
      </c>
      <c r="C22" s="6" t="n">
        <v>11</v>
      </c>
      <c r="D22" s="6" t="n">
        <v>179</v>
      </c>
      <c r="E22" s="6" t="n">
        <v>335</v>
      </c>
      <c r="F22" s="6" t="n">
        <v>501</v>
      </c>
    </row>
    <row r="23">
      <c r="A23" s="6" t="inlineStr">
        <is>
          <t>Subordinated debt</t>
        </is>
      </c>
      <c r="B23" s="6" t="n">
        <v>9555</v>
      </c>
      <c r="C23" s="6" t="n">
        <v>9346</v>
      </c>
      <c r="D23" s="6" t="n">
        <v>8141</v>
      </c>
      <c r="E23" s="6" t="n">
        <v>8141</v>
      </c>
      <c r="F23" s="6" t="n">
        <v>7137</v>
      </c>
    </row>
    <row r="24">
      <c r="A24" s="5" t="inlineStr">
        <is>
          <t>Total liabilities</t>
        </is>
      </c>
      <c r="B24" s="5" t="n">
        <v>436658</v>
      </c>
      <c r="C24" s="5" t="n">
        <v>402315</v>
      </c>
      <c r="D24" s="5" t="n">
        <v>356404</v>
      </c>
      <c r="E24" s="5" t="n">
        <v>328036</v>
      </c>
      <c r="F24" s="5" t="n">
        <v>285324</v>
      </c>
    </row>
    <row r="25">
      <c r="A25" s="5" t="inlineStr">
        <is>
          <t>Shareholders' equity</t>
        </is>
      </c>
      <c r="B25" s="6" t="n"/>
      <c r="C25" s="6" t="n"/>
      <c r="D25" s="6" t="n"/>
      <c r="E25" s="6" t="n"/>
      <c r="F25" s="6" t="n"/>
    </row>
    <row r="26">
      <c r="A26" s="6" t="inlineStr">
        <is>
          <t>Called up share capital</t>
        </is>
      </c>
      <c r="B26" s="6" t="n">
        <v>16810</v>
      </c>
      <c r="C26" s="6" t="n">
        <v>16810</v>
      </c>
      <c r="D26" s="6" t="n">
        <v>16621</v>
      </c>
      <c r="E26" s="6" t="n">
        <v>15743</v>
      </c>
      <c r="F26" s="6" t="n">
        <v>15437</v>
      </c>
    </row>
    <row r="27">
      <c r="A27" s="6" t="inlineStr">
        <is>
          <t>Retained earnings</t>
        </is>
      </c>
      <c r="B27" s="6" t="n">
        <v>20412</v>
      </c>
      <c r="C27" s="6" t="n">
        <v>18610</v>
      </c>
      <c r="D27" s="6" t="n">
        <v>15235</v>
      </c>
      <c r="E27" s="6" t="n">
        <v>7398</v>
      </c>
      <c r="F27" s="6" t="n">
        <v>4682</v>
      </c>
    </row>
    <row r="28">
      <c r="A28" s="6" t="inlineStr">
        <is>
          <t>Share premium</t>
        </is>
      </c>
      <c r="B28" s="6" t="n">
        <v>7932</v>
      </c>
      <c r="C28" s="6" t="n">
        <v>7932</v>
      </c>
      <c r="D28" s="6" t="n">
        <v>7707</v>
      </c>
      <c r="E28" s="6" t="n">
        <v>6873</v>
      </c>
      <c r="F28" s="6" t="n">
        <v>6629</v>
      </c>
    </row>
    <row r="29">
      <c r="A29" s="5" t="inlineStr">
        <is>
          <t>Total equity</t>
        </is>
      </c>
      <c r="B29" s="5" t="n">
        <v>45154</v>
      </c>
      <c r="C29" s="5" t="n">
        <v>43352</v>
      </c>
      <c r="D29" s="5" t="n">
        <v>39563</v>
      </c>
      <c r="E29" s="5" t="n">
        <v>30014</v>
      </c>
      <c r="F29" s="5" t="n">
        <v>26748</v>
      </c>
    </row>
    <row r="30">
      <c r="A30" s="5" t="inlineStr">
        <is>
          <t>Total liabilities and equity</t>
        </is>
      </c>
      <c r="B30" s="5" t="n">
        <v>481812</v>
      </c>
      <c r="C30" s="5" t="n">
        <v>445667</v>
      </c>
      <c r="D30" s="5" t="n">
        <v>395967</v>
      </c>
      <c r="E30" s="5" t="n">
        <v>358050</v>
      </c>
      <c r="F30" s="5" t="n">
        <v>312072</v>
      </c>
    </row>
    <row r="32" ht="260" customHeight="1">
      <c r="A32" s="8" t="inlineStr">
        <is>
          <t>Sources - all figures are The Charity Bank Limited's own Statement of Comprehensive Income / Balance Sheet / Statement of Changes in Equity, transcribed from each year's own annual report/filing (not a later year's comparative column):
FY2025: Charity Bank 2025 Annual Report, pp.51,52,53 - https://www.charitybank.org/wp-content/uploads/2026/06/Charity-Bank-2025-Annual-Report-signed.pdf
FY2024: Charity Bank 2024 Annual Report, pp.49,50,51 - https://www.charitybank.org/wp-content/uploads/2025/06/Charity-Bank-2024-Annual-Report-signed.pdf
FY2023: Charity Bank Annual Report 2023, pp.51,52,53 - https://www.charitybank.org/wp-content/uploads/2024/10/Charity-Bank-Annual-Accounts-2023.pdf
FY2022: The Charity Bank Limited Annual Report for the year ended 31 December 2022 (Companies House filing), pp.39,40,41 - scanned/image-only, visually transcribed - https://find-and-update.company-information.service.gov.uk/company/04330018/filing-history/MzM4MjU0NDA3NWFkaXF6a2N4/document?format=pdf&amp;download=0
FY2021: The Charity Bank Limited Annual Report for the year ended 31 December 2021 (Companies House filing), pp.35,36,37 - scanned/image-only, visually transcribed - https://find-and-update.company-information.service.gov.uk/company/04330018/filing-history/MzM0MTk3OTg0MGFkaXF6a2N4/document?format=pdf&amp;download=0
All 5 years' own primary figures cross-checked and tie exactly against their appearance as the following year's comparative column.
ENTITY NOTE: The Charity Bank Limited (Companies House 04330018, FRN 207701) matches Banks List 2608.xlsx exactly - a wholly UK-owned, standalone entity with no parent-subsidiary complications. Charity Bank publishes a full Statement of Cash Flows every year (no FRS 101/102 exemption). Its FY2021 and FY2022 Companies House filings are fully scanned/image-only PDFs (no text layer) - OCR'd with tesseract and every figure visually cross-checked against a rendered page image at 400dpi (one apparently ambiguous OCR read, 'depreciation of property and equipment' for FY2021, was confirmed as 59 by direct visual inspection, not the alternative misreading). All 5 years' own primary figures were cross-checked against their appearance as the following year's comparative column and match exactly - no source-document arithmetic errors found.
PRESENTATION NOTE: 'Financial assets at fair value through profit &amp; loss' (FVPL) and a separate 'Profit on financial assets at fair value through profit &amp; loss' P&amp;L line appear only in FY2021 (as a nil balance/small profit) - the Bank held no such assets from FY2022 onward. 'Deferred tax asset' (Balance Sheet) and 'Current tax liability' only appear as distinct lines from FY2022/FY2023 onward respectively - blank cells indicate that year's own report did not disclose that specific line, not a transcription gap. No OCI in any year - 'Total comprehensive income/(loss) for the year' equals 'Profit/(loss) after taxation' exactly, per the Bank's own disclosure that all income and expenses are derived from continuing operations.</t>
        </is>
      </c>
    </row>
  </sheetData>
  <mergeCells count="1">
    <mergeCell ref="A32:F3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Profit &amp; Loss</t>
        </is>
      </c>
    </row>
    <row r="2">
      <c r="A2" s="2" t="inlineStr">
        <is>
          <t>Entity-level basis, £'000. No OCI in any year -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Income</t>
        </is>
      </c>
      <c r="B4" s="6" t="n"/>
      <c r="C4" s="6" t="n"/>
      <c r="D4" s="6" t="n"/>
      <c r="E4" s="6" t="n"/>
      <c r="F4" s="6" t="n"/>
    </row>
    <row r="5">
      <c r="A5" s="6" t="inlineStr">
        <is>
          <t>Interest income</t>
        </is>
      </c>
      <c r="B5" s="6" t="n">
        <v>27885</v>
      </c>
      <c r="C5" s="6" t="n">
        <v>28476</v>
      </c>
      <c r="D5" s="6" t="n">
        <v>24041</v>
      </c>
      <c r="E5" s="6" t="n">
        <v>12218</v>
      </c>
      <c r="F5" s="6" t="n">
        <v>7116</v>
      </c>
    </row>
    <row r="6">
      <c r="A6" s="6" t="inlineStr">
        <is>
          <t>Interest expense</t>
        </is>
      </c>
      <c r="B6" s="6" t="n">
        <v>-13398</v>
      </c>
      <c r="C6" s="6" t="n">
        <v>-12537</v>
      </c>
      <c r="D6" s="6" t="n">
        <v>-8026</v>
      </c>
      <c r="E6" s="6" t="n">
        <v>-2822</v>
      </c>
      <c r="F6" s="6" t="n">
        <v>-1602</v>
      </c>
    </row>
    <row r="7">
      <c r="A7" s="5" t="inlineStr">
        <is>
          <t>Net interest income</t>
        </is>
      </c>
      <c r="B7" s="5" t="n">
        <v>14487</v>
      </c>
      <c r="C7" s="5" t="n">
        <v>15939</v>
      </c>
      <c r="D7" s="5" t="n">
        <v>16015</v>
      </c>
      <c r="E7" s="5" t="n">
        <v>9396</v>
      </c>
      <c r="F7" s="5" t="n">
        <v>5514</v>
      </c>
    </row>
    <row r="8">
      <c r="A8" s="6" t="inlineStr">
        <is>
          <t>Fee income</t>
        </is>
      </c>
      <c r="B8" s="6" t="n">
        <v>526</v>
      </c>
      <c r="C8" s="6" t="n">
        <v>561</v>
      </c>
      <c r="D8" s="6" t="n">
        <v>596</v>
      </c>
      <c r="E8" s="6" t="n">
        <v>724</v>
      </c>
      <c r="F8" s="6" t="n">
        <v>780</v>
      </c>
    </row>
    <row r="9">
      <c r="A9" s="6" t="inlineStr">
        <is>
          <t>Profit on financial assets at fair value through profit &amp; loss</t>
        </is>
      </c>
      <c r="B9" s="6" t="n"/>
      <c r="C9" s="6" t="n"/>
      <c r="D9" s="6" t="n"/>
      <c r="E9" s="6" t="n">
        <v>0</v>
      </c>
      <c r="F9" s="6" t="n">
        <v>12</v>
      </c>
    </row>
    <row r="10">
      <c r="A10" s="6" t="inlineStr">
        <is>
          <t>Other operating income</t>
        </is>
      </c>
      <c r="B10" s="6" t="n">
        <v>115</v>
      </c>
      <c r="C10" s="6" t="n">
        <v>260</v>
      </c>
      <c r="D10" s="6" t="n">
        <v>144</v>
      </c>
      <c r="E10" s="6" t="n">
        <v>52</v>
      </c>
      <c r="F10" s="6" t="n">
        <v>98</v>
      </c>
    </row>
    <row r="11">
      <c r="A11" s="5" t="inlineStr">
        <is>
          <t>Net total income</t>
        </is>
      </c>
      <c r="B11" s="5" t="n">
        <v>15128</v>
      </c>
      <c r="C11" s="5" t="n">
        <v>16760</v>
      </c>
      <c r="D11" s="5" t="n">
        <v>16755</v>
      </c>
      <c r="E11" s="5" t="n">
        <v>10172</v>
      </c>
      <c r="F11" s="5" t="n">
        <v>6404</v>
      </c>
    </row>
    <row r="12">
      <c r="A12" s="5" t="inlineStr">
        <is>
          <t>Expenses</t>
        </is>
      </c>
      <c r="B12" s="6" t="n"/>
      <c r="C12" s="6" t="n"/>
      <c r="D12" s="6" t="n"/>
      <c r="E12" s="6" t="n"/>
      <c r="F12" s="6" t="n"/>
    </row>
    <row r="13">
      <c r="A13" s="6" t="inlineStr">
        <is>
          <t>Administrative expenses</t>
        </is>
      </c>
      <c r="B13" s="6" t="n">
        <v>-11066</v>
      </c>
      <c r="C13" s="6" t="n">
        <v>-9775</v>
      </c>
      <c r="D13" s="6" t="n">
        <v>-7818</v>
      </c>
      <c r="E13" s="6" t="n">
        <v>-6010</v>
      </c>
      <c r="F13" s="6" t="n">
        <v>-5141</v>
      </c>
    </row>
    <row r="14">
      <c r="A14" s="6" t="inlineStr">
        <is>
          <t>Depreciation and amortisation</t>
        </is>
      </c>
      <c r="B14" s="6" t="n">
        <v>-396</v>
      </c>
      <c r="C14" s="6" t="n">
        <v>-391</v>
      </c>
      <c r="D14" s="6" t="n">
        <v>-412</v>
      </c>
      <c r="E14" s="6" t="n">
        <v>-424</v>
      </c>
      <c r="F14" s="6" t="n">
        <v>-423</v>
      </c>
    </row>
    <row r="15">
      <c r="A15" s="6" t="inlineStr">
        <is>
          <t>Impairment reversal/(charge)</t>
        </is>
      </c>
      <c r="B15" s="6" t="n">
        <v>58</v>
      </c>
      <c r="C15" s="6" t="n">
        <v>-4</v>
      </c>
      <c r="D15" s="6" t="n">
        <v>465</v>
      </c>
      <c r="E15" s="6" t="n">
        <v>-1022</v>
      </c>
      <c r="F15" s="6" t="n">
        <v>104</v>
      </c>
    </row>
    <row r="16">
      <c r="A16" s="5" t="inlineStr">
        <is>
          <t>Profit before taxation</t>
        </is>
      </c>
      <c r="B16" s="5" t="n">
        <v>3724</v>
      </c>
      <c r="C16" s="5" t="n">
        <v>6590</v>
      </c>
      <c r="D16" s="5" t="n">
        <v>8990</v>
      </c>
      <c r="E16" s="5" t="n">
        <v>2716</v>
      </c>
      <c r="F16" s="5" t="n">
        <v>944</v>
      </c>
    </row>
    <row r="17">
      <c r="A17" s="6" t="inlineStr">
        <is>
          <t>Tax expense</t>
        </is>
      </c>
      <c r="B17" s="6" t="n">
        <v>-934</v>
      </c>
      <c r="C17" s="6" t="n">
        <v>-1649</v>
      </c>
      <c r="D17" s="6" t="n">
        <v>-1153</v>
      </c>
      <c r="E17" s="6" t="n">
        <v>0</v>
      </c>
      <c r="F17" s="6" t="n">
        <v>0</v>
      </c>
    </row>
    <row r="18">
      <c r="A18" s="5" t="inlineStr">
        <is>
          <t>Profit after taxation and total comprehensive income for the year</t>
        </is>
      </c>
      <c r="B18" s="5" t="n">
        <v>2790</v>
      </c>
      <c r="C18" s="5" t="n">
        <v>4941</v>
      </c>
      <c r="D18" s="5" t="n">
        <v>7837</v>
      </c>
      <c r="E18" s="5" t="n">
        <v>2716</v>
      </c>
      <c r="F18" s="5" t="n">
        <v>944</v>
      </c>
    </row>
    <row r="20" ht="260" customHeight="1">
      <c r="A20" s="8" t="inlineStr">
        <is>
          <t>Sources - all figures are The Charity Bank Limited's own Statement of Comprehensive Income / Balance Sheet / Statement of Changes in Equity, transcribed from each year's own annual report/filing (not a later year's comparative column):
FY2025: Charity Bank 2025 Annual Report, pp.51,52,53 - https://www.charitybank.org/wp-content/uploads/2026/06/Charity-Bank-2025-Annual-Report-signed.pdf
FY2024: Charity Bank 2024 Annual Report, pp.49,50,51 - https://www.charitybank.org/wp-content/uploads/2025/06/Charity-Bank-2024-Annual-Report-signed.pdf
FY2023: Charity Bank Annual Report 2023, pp.51,52,53 - https://www.charitybank.org/wp-content/uploads/2024/10/Charity-Bank-Annual-Accounts-2023.pdf
FY2022: The Charity Bank Limited Annual Report for the year ended 31 December 2022 (Companies House filing), pp.39,40,41 - scanned/image-only, visually transcribed - https://find-and-update.company-information.service.gov.uk/company/04330018/filing-history/MzM4MjU0NDA3NWFkaXF6a2N4/document?format=pdf&amp;download=0
FY2021: The Charity Bank Limited Annual Report for the year ended 31 December 2021 (Companies House filing), pp.35,36,37 - scanned/image-only, visually transcribed - https://find-and-update.company-information.service.gov.uk/company/04330018/filing-history/MzM0MTk3OTg0MGFkaXF6a2N4/document?format=pdf&amp;download=0
All 5 years' own primary figures cross-checked and tie exactly against their appearance as the following year's comparative column.
ENTITY NOTE: The Charity Bank Limited (Companies House 04330018, FRN 207701) matches Banks List 2608.xlsx exactly - a wholly UK-owned, standalone entity with no parent-subsidiary complications. Charity Bank publishes a full Statement of Cash Flows every year (no FRS 101/102 exemption). Its FY2021 and FY2022 Companies House filings are fully scanned/image-only PDFs (no text layer) - OCR'd with tesseract and every figure visually cross-checked against a rendered page image at 400dpi (one apparently ambiguous OCR read, 'depreciation of property and equipment' for FY2021, was confirmed as 59 by direct visual inspection, not the alternative misreading). All 5 years' own primary figures were cross-checked against their appearance as the following year's comparative column and match exactly - no source-document arithmetic errors found.
PRESENTATION NOTE: 'Financial assets at fair value through profit &amp; loss' (FVPL) and a separate 'Profit on financial assets at fair value through profit &amp; loss' P&amp;L line appear only in FY2021 (as a nil balance/small profit) - the Bank held no such assets from FY2022 onward. 'Deferred tax asset' (Balance Sheet) and 'Current tax liability' only appear as distinct lines from FY2022/FY2023 onward respectively - blank cells indicate that year's own report did not disclose that specific line, not a transcription gap. No OCI in any year - 'Total comprehensive income/(loss) for the year' equals 'Profit/(loss) after taxation' exactly, per the Bank's own disclosure that all income and expenses are derived from continuing operations.</t>
        </is>
      </c>
    </row>
  </sheetData>
  <mergeCells count="1">
    <mergeCell ref="A20:F2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The Charity Bank Limited — Statement of Changes in Equity</t>
        </is>
      </c>
    </row>
    <row r="2">
      <c r="A2" s="2" t="inlineStr">
        <is>
          <t>Entity-level basis, £'000, chronological (oldest to newest). See source note at bottom.</t>
        </is>
      </c>
    </row>
    <row r="3">
      <c r="A3" s="4" t="inlineStr">
        <is>
          <t>Movement</t>
        </is>
      </c>
      <c r="B3" s="4" t="inlineStr">
        <is>
          <t>Share capital</t>
        </is>
      </c>
      <c r="C3" s="4" t="inlineStr">
        <is>
          <t>Retained earnings</t>
        </is>
      </c>
      <c r="D3" s="4" t="inlineStr">
        <is>
          <t>Share premium</t>
        </is>
      </c>
      <c r="E3" s="4" t="inlineStr">
        <is>
          <t>Total equity</t>
        </is>
      </c>
    </row>
    <row r="4">
      <c r="A4" s="5" t="inlineStr">
        <is>
          <t>At 1 January 2021</t>
        </is>
      </c>
      <c r="B4" s="5" t="n">
        <v>12509</v>
      </c>
      <c r="C4" s="5" t="n">
        <v>3738</v>
      </c>
      <c r="D4" s="5" t="n">
        <v>4657</v>
      </c>
      <c r="E4" s="5" t="n">
        <v>20904</v>
      </c>
    </row>
    <row r="5">
      <c r="A5" s="6" t="inlineStr">
        <is>
          <t>Profit for the year</t>
        </is>
      </c>
      <c r="B5" s="6" t="n"/>
      <c r="C5" s="6" t="n">
        <v>944</v>
      </c>
      <c r="D5" s="6" t="n"/>
      <c r="E5" s="6" t="n">
        <v>944</v>
      </c>
    </row>
    <row r="6">
      <c r="A6" s="6" t="inlineStr">
        <is>
          <t>Capital received</t>
        </is>
      </c>
      <c r="B6" s="6" t="n">
        <v>2928</v>
      </c>
      <c r="C6" s="6" t="n"/>
      <c r="D6" s="6" t="n">
        <v>1972</v>
      </c>
      <c r="E6" s="6" t="n">
        <v>4900</v>
      </c>
    </row>
    <row r="7">
      <c r="A7" s="5" t="inlineStr">
        <is>
          <t>At 31 December 2021</t>
        </is>
      </c>
      <c r="B7" s="5" t="n">
        <v>15437</v>
      </c>
      <c r="C7" s="5" t="n">
        <v>4682</v>
      </c>
      <c r="D7" s="5" t="n">
        <v>6629</v>
      </c>
      <c r="E7" s="5" t="n">
        <v>26748</v>
      </c>
    </row>
    <row r="8">
      <c r="A8" s="6" t="inlineStr">
        <is>
          <t>Profit for the year</t>
        </is>
      </c>
      <c r="B8" s="6" t="n"/>
      <c r="C8" s="6" t="n">
        <v>2716</v>
      </c>
      <c r="D8" s="6" t="n"/>
      <c r="E8" s="6" t="n">
        <v>2716</v>
      </c>
    </row>
    <row r="9">
      <c r="A9" s="6" t="inlineStr">
        <is>
          <t>Capital received</t>
        </is>
      </c>
      <c r="B9" s="6" t="n">
        <v>306</v>
      </c>
      <c r="C9" s="6" t="n"/>
      <c r="D9" s="6" t="n">
        <v>244</v>
      </c>
      <c r="E9" s="6" t="n">
        <v>550</v>
      </c>
    </row>
    <row r="10">
      <c r="A10" s="5" t="inlineStr">
        <is>
          <t>At 31 December 2022</t>
        </is>
      </c>
      <c r="B10" s="5" t="n">
        <v>15743</v>
      </c>
      <c r="C10" s="5" t="n">
        <v>7398</v>
      </c>
      <c r="D10" s="5" t="n">
        <v>6873</v>
      </c>
      <c r="E10" s="5" t="n">
        <v>30014</v>
      </c>
    </row>
    <row r="11">
      <c r="A11" s="6" t="inlineStr">
        <is>
          <t>Profit for the year</t>
        </is>
      </c>
      <c r="B11" s="6" t="n"/>
      <c r="C11" s="6" t="n">
        <v>7837</v>
      </c>
      <c r="D11" s="6" t="n"/>
      <c r="E11" s="6" t="n">
        <v>7837</v>
      </c>
    </row>
    <row r="12">
      <c r="A12" s="6" t="inlineStr">
        <is>
          <t>Capital received</t>
        </is>
      </c>
      <c r="B12" s="6" t="n">
        <v>878</v>
      </c>
      <c r="C12" s="6" t="n"/>
      <c r="D12" s="6" t="n">
        <v>834</v>
      </c>
      <c r="E12" s="6" t="n">
        <v>1712</v>
      </c>
    </row>
    <row r="13">
      <c r="A13" s="5" t="inlineStr">
        <is>
          <t>At 31 December 2023</t>
        </is>
      </c>
      <c r="B13" s="5" t="n">
        <v>16621</v>
      </c>
      <c r="C13" s="5" t="n">
        <v>15235</v>
      </c>
      <c r="D13" s="5" t="n">
        <v>7707</v>
      </c>
      <c r="E13" s="5" t="n">
        <v>39563</v>
      </c>
    </row>
    <row r="14">
      <c r="A14" s="6" t="inlineStr">
        <is>
          <t>Profit for the year</t>
        </is>
      </c>
      <c r="B14" s="6" t="n"/>
      <c r="C14" s="6" t="n">
        <v>4941</v>
      </c>
      <c r="D14" s="6" t="n"/>
      <c r="E14" s="6" t="n">
        <v>4941</v>
      </c>
    </row>
    <row r="15">
      <c r="A15" s="6" t="inlineStr">
        <is>
          <t>Dividends paid</t>
        </is>
      </c>
      <c r="B15" s="6" t="n"/>
      <c r="C15" s="6" t="n">
        <v>-1566</v>
      </c>
      <c r="D15" s="6" t="n"/>
      <c r="E15" s="6" t="n">
        <v>-1566</v>
      </c>
    </row>
    <row r="16">
      <c r="A16" s="6" t="inlineStr">
        <is>
          <t>Capital received</t>
        </is>
      </c>
      <c r="B16" s="6" t="n">
        <v>189</v>
      </c>
      <c r="C16" s="6" t="n"/>
      <c r="D16" s="6" t="n">
        <v>225</v>
      </c>
      <c r="E16" s="6" t="n">
        <v>414</v>
      </c>
    </row>
    <row r="17">
      <c r="A17" s="5" t="inlineStr">
        <is>
          <t>At 31 December 2024</t>
        </is>
      </c>
      <c r="B17" s="5" t="n">
        <v>16810</v>
      </c>
      <c r="C17" s="5" t="n">
        <v>18610</v>
      </c>
      <c r="D17" s="5" t="n">
        <v>7932</v>
      </c>
      <c r="E17" s="5" t="n">
        <v>43352</v>
      </c>
    </row>
    <row r="18">
      <c r="A18" s="6" t="inlineStr">
        <is>
          <t>Profit for the year</t>
        </is>
      </c>
      <c r="B18" s="6" t="n"/>
      <c r="C18" s="6" t="n">
        <v>2790</v>
      </c>
      <c r="D18" s="6" t="n"/>
      <c r="E18" s="6" t="n">
        <v>2790</v>
      </c>
    </row>
    <row r="19">
      <c r="A19" s="6" t="inlineStr">
        <is>
          <t>Dividends paid</t>
        </is>
      </c>
      <c r="B19" s="6" t="n"/>
      <c r="C19" s="6" t="n">
        <v>-988</v>
      </c>
      <c r="D19" s="6" t="n"/>
      <c r="E19" s="6" t="n">
        <v>-988</v>
      </c>
    </row>
    <row r="20">
      <c r="A20" s="5" t="inlineStr">
        <is>
          <t>At 31 December 2025</t>
        </is>
      </c>
      <c r="B20" s="5" t="n">
        <v>16810</v>
      </c>
      <c r="C20" s="5" t="n">
        <v>20412</v>
      </c>
      <c r="D20" s="5" t="n">
        <v>7932</v>
      </c>
      <c r="E20" s="5" t="n">
        <v>45154</v>
      </c>
    </row>
    <row r="22" ht="260" customHeight="1">
      <c r="A22" s="8" t="inlineStr">
        <is>
          <t>Sources - all figures are The Charity Bank Limited's own Statement of Comprehensive Income / Balance Sheet / Statement of Changes in Equity, transcribed from each year's own annual report/filing (not a later year's comparative column):
FY2025: Charity Bank 2025 Annual Report, pp.51,52,53 - https://www.charitybank.org/wp-content/uploads/2026/06/Charity-Bank-2025-Annual-Report-signed.pdf
FY2024: Charity Bank 2024 Annual Report, pp.49,50,51 - https://www.charitybank.org/wp-content/uploads/2025/06/Charity-Bank-2024-Annual-Report-signed.pdf
FY2023: Charity Bank Annual Report 2023, pp.51,52,53 - https://www.charitybank.org/wp-content/uploads/2024/10/Charity-Bank-Annual-Accounts-2023.pdf
FY2022: The Charity Bank Limited Annual Report for the year ended 31 December 2022 (Companies House filing), pp.39,40,41 - scanned/image-only, visually transcribed - https://find-and-update.company-information.service.gov.uk/company/04330018/filing-history/MzM4MjU0NDA3NWFkaXF6a2N4/document?format=pdf&amp;download=0
FY2021: The Charity Bank Limited Annual Report for the year ended 31 December 2021 (Companies House filing), pp.35,36,37 - scanned/image-only, visually transcribed - https://find-and-update.company-information.service.gov.uk/company/04330018/filing-history/MzM0MTk3OTg0MGFkaXF6a2N4/document?format=pdf&amp;download=0
All 5 years' own primary figures cross-checked and tie exactly against their appearance as the following year's comparative column.
ENTITY NOTE: The Charity Bank Limited (Companies House 04330018, FRN 207701) matches Banks List 2608.xlsx exactly - a wholly UK-owned, standalone entity with no parent-subsidiary complications. Charity Bank publishes a full Statement of Cash Flows every year (no FRS 101/102 exemption). Its FY2021 and FY2022 Companies House filings are fully scanned/image-only PDFs (no text layer) - OCR'd with tesseract and every figure visually cross-checked against a rendered page image at 400dpi (one apparently ambiguous OCR read, 'depreciation of property and equipment' for FY2021, was confirmed as 59 by direct visual inspection, not the alternative misreading). All 5 years' own primary figures were cross-checked against their appearance as the following year's comparative column and match exactly - no source-document arithmetic errors found.
PRESENTATION NOTE: 'Financial assets at fair value through profit &amp; loss' (FVPL) and a separate 'Profit on financial assets at fair value through profit &amp; loss' P&amp;L line appear only in FY2021 (as a nil balance/small profit) - the Bank held no such assets from FY2022 onward. 'Deferred tax asset' (Balance Sheet) and 'Current tax liability' only appear as distinct lines from FY2022/FY2023 onward respectively - blank cells indicate that year's own report did not disclose that specific line, not a transcription gap. No OCI in any year - 'Total comprehensive income/(loss) for the year' equals 'Profit/(loss) after taxation' exactly, per the Bank's own disclosure that all income and expenses are derived from continuing operations.</t>
        </is>
      </c>
    </row>
  </sheetData>
  <mergeCells count="1">
    <mergeCell ref="A22:E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Cash Flow Statement</t>
        </is>
      </c>
    </row>
    <row r="2">
      <c r="A2" s="2" t="inlineStr">
        <is>
          <t>Entity-level basis, £'000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Profit/(loss) before tax</t>
        </is>
      </c>
      <c r="B5" s="6" t="n">
        <v>3724</v>
      </c>
      <c r="C5" s="6" t="n">
        <v>6590</v>
      </c>
      <c r="D5" s="6" t="n">
        <v>8990</v>
      </c>
      <c r="E5" s="6" t="n">
        <v>2716</v>
      </c>
      <c r="F5" s="6" t="n">
        <v>944</v>
      </c>
    </row>
    <row r="6">
      <c r="A6" s="6" t="inlineStr">
        <is>
          <t>Interest expense</t>
        </is>
      </c>
      <c r="B6" s="6" t="n">
        <v>13398</v>
      </c>
      <c r="C6" s="6" t="n">
        <v>12537</v>
      </c>
      <c r="D6" s="6" t="n">
        <v>8026</v>
      </c>
      <c r="E6" s="6" t="n">
        <v>2822</v>
      </c>
      <c r="F6" s="6" t="n">
        <v>1602</v>
      </c>
    </row>
    <row r="7">
      <c r="A7" s="6" t="inlineStr">
        <is>
          <t>Depreciation of property and equipment</t>
        </is>
      </c>
      <c r="B7" s="6" t="n">
        <v>102</v>
      </c>
      <c r="C7" s="6" t="n">
        <v>45</v>
      </c>
      <c r="D7" s="6" t="n">
        <v>56</v>
      </c>
      <c r="E7" s="6" t="n">
        <v>61</v>
      </c>
      <c r="F7" s="6" t="n">
        <v>59</v>
      </c>
    </row>
    <row r="8">
      <c r="A8" s="6" t="inlineStr">
        <is>
          <t>Amortisation of intangible assets</t>
        </is>
      </c>
      <c r="B8" s="6" t="n">
        <v>151</v>
      </c>
      <c r="C8" s="6" t="n">
        <v>154</v>
      </c>
      <c r="D8" s="6" t="n">
        <v>163</v>
      </c>
      <c r="E8" s="6" t="n">
        <v>164</v>
      </c>
      <c r="F8" s="6" t="n">
        <v>166</v>
      </c>
    </row>
    <row r="9">
      <c r="A9" s="6" t="inlineStr">
        <is>
          <t>Depreciation of right-of-use asset</t>
        </is>
      </c>
      <c r="B9" s="6" t="n">
        <v>143</v>
      </c>
      <c r="C9" s="6" t="n">
        <v>192</v>
      </c>
      <c r="D9" s="6" t="n">
        <v>193</v>
      </c>
      <c r="E9" s="6" t="n">
        <v>199</v>
      </c>
      <c r="F9" s="6" t="n">
        <v>198</v>
      </c>
    </row>
    <row r="10">
      <c r="A10" s="6" t="inlineStr">
        <is>
          <t>Movement in impairment</t>
        </is>
      </c>
      <c r="B10" s="6" t="n">
        <v>-106</v>
      </c>
      <c r="C10" s="6" t="n">
        <v>-227</v>
      </c>
      <c r="D10" s="6" t="n">
        <v>-367</v>
      </c>
      <c r="E10" s="6" t="n">
        <v>1057</v>
      </c>
      <c r="F10" s="6" t="n">
        <v>-91</v>
      </c>
    </row>
    <row r="11">
      <c r="A11" s="6" t="inlineStr">
        <is>
          <t>Corporation tax paid</t>
        </is>
      </c>
      <c r="B11" s="6" t="n">
        <v>-1206</v>
      </c>
      <c r="C11" s="6" t="n">
        <v>-2274</v>
      </c>
      <c r="D11" s="6" t="n"/>
      <c r="E11" s="6" t="n"/>
      <c r="F11" s="6" t="n"/>
    </row>
    <row r="12">
      <c r="A12" s="5" t="inlineStr">
        <is>
          <t>Adjustments to reconcile net profit to cash flow generated from operating activities</t>
        </is>
      </c>
      <c r="B12" s="5" t="n">
        <v>16206</v>
      </c>
      <c r="C12" s="5" t="n">
        <v>17017</v>
      </c>
      <c r="D12" s="5" t="n">
        <v>17061</v>
      </c>
      <c r="E12" s="5" t="n">
        <v>7019</v>
      </c>
      <c r="F12" s="5" t="n">
        <v>2878</v>
      </c>
    </row>
    <row r="13">
      <c r="A13" s="5" t="inlineStr">
        <is>
          <t>Net increase in assets relating to operating activities</t>
        </is>
      </c>
      <c r="B13" s="6" t="n"/>
      <c r="C13" s="6" t="n"/>
      <c r="D13" s="6" t="n"/>
      <c r="E13" s="6" t="n"/>
      <c r="F13" s="6" t="n"/>
    </row>
    <row r="14">
      <c r="A14" s="6" t="inlineStr">
        <is>
          <t>Loans and advances to customers</t>
        </is>
      </c>
      <c r="B14" s="6" t="n">
        <v>-32043</v>
      </c>
      <c r="C14" s="6" t="n">
        <v>-45526</v>
      </c>
      <c r="D14" s="6" t="n">
        <v>-11550</v>
      </c>
      <c r="E14" s="6" t="n">
        <v>-35715</v>
      </c>
      <c r="F14" s="6" t="n">
        <v>-31665</v>
      </c>
    </row>
    <row r="15">
      <c r="A15" s="6" t="inlineStr">
        <is>
          <t>Financial assets</t>
        </is>
      </c>
      <c r="B15" s="6" t="n">
        <v>-18309</v>
      </c>
      <c r="C15" s="6" t="n">
        <v>1811</v>
      </c>
      <c r="D15" s="6" t="n">
        <v>2113</v>
      </c>
      <c r="E15" s="6" t="n">
        <v>6103</v>
      </c>
      <c r="F15" s="6" t="n">
        <v>4723</v>
      </c>
    </row>
    <row r="16">
      <c r="A16" s="6" t="inlineStr">
        <is>
          <t>Other assets</t>
        </is>
      </c>
      <c r="B16" s="6" t="n">
        <v>78</v>
      </c>
      <c r="C16" s="6" t="n">
        <v>93</v>
      </c>
      <c r="D16" s="6" t="n">
        <v>-139</v>
      </c>
      <c r="E16" s="6" t="n">
        <v>-145</v>
      </c>
      <c r="F16" s="6" t="n">
        <v>526</v>
      </c>
    </row>
    <row r="17">
      <c r="A17" s="6" t="inlineStr">
        <is>
          <t>Movement in prepayments</t>
        </is>
      </c>
      <c r="B17" s="6" t="n">
        <v>-193</v>
      </c>
      <c r="C17" s="6" t="n">
        <v>-170</v>
      </c>
      <c r="D17" s="6" t="n">
        <v>-46</v>
      </c>
      <c r="E17" s="6" t="n">
        <v>-105</v>
      </c>
      <c r="F17" s="6" t="n">
        <v>12</v>
      </c>
    </row>
    <row r="18">
      <c r="A18" s="5" t="inlineStr">
        <is>
          <t>Net increase in assets relating to operating activities</t>
        </is>
      </c>
      <c r="B18" s="5" t="n">
        <v>-50467</v>
      </c>
      <c r="C18" s="5" t="n">
        <v>-43792</v>
      </c>
      <c r="D18" s="5" t="n">
        <v>-9622</v>
      </c>
      <c r="E18" s="5" t="n">
        <v>-29862</v>
      </c>
      <c r="F18" s="5" t="n">
        <v>-26404</v>
      </c>
    </row>
    <row r="19">
      <c r="A19" s="5" t="inlineStr">
        <is>
          <t>Net increase in liabilities relating to operating activities</t>
        </is>
      </c>
      <c r="B19" s="6" t="n"/>
      <c r="C19" s="6" t="n"/>
      <c r="D19" s="6" t="n"/>
      <c r="E19" s="6" t="n"/>
      <c r="F19" s="6" t="n"/>
    </row>
    <row r="20">
      <c r="A20" s="6" t="inlineStr">
        <is>
          <t>Due to customers</t>
        </is>
      </c>
      <c r="B20" s="6" t="n">
        <v>34566</v>
      </c>
      <c r="C20" s="6" t="n">
        <v>44212</v>
      </c>
      <c r="D20" s="6" t="n">
        <v>29128</v>
      </c>
      <c r="E20" s="6" t="n">
        <v>41264</v>
      </c>
      <c r="F20" s="6" t="n">
        <v>31312</v>
      </c>
    </row>
    <row r="21">
      <c r="A21" s="6" t="inlineStr">
        <is>
          <t>Interest paid</t>
        </is>
      </c>
      <c r="B21" s="6" t="n">
        <v>-13201</v>
      </c>
      <c r="C21" s="6" t="n">
        <v>-12422</v>
      </c>
      <c r="D21" s="6" t="n">
        <v>-7961</v>
      </c>
      <c r="E21" s="6" t="n">
        <v>-2744</v>
      </c>
      <c r="F21" s="6" t="n">
        <v>-1531</v>
      </c>
    </row>
    <row r="22">
      <c r="A22" s="6" t="inlineStr">
        <is>
          <t>Deferred income</t>
        </is>
      </c>
      <c r="B22" s="6" t="n">
        <v>-105</v>
      </c>
      <c r="C22" s="6" t="n">
        <v>4</v>
      </c>
      <c r="D22" s="6" t="n">
        <v>21</v>
      </c>
      <c r="E22" s="6" t="n">
        <v>-58</v>
      </c>
      <c r="F22" s="6" t="n">
        <v>-45</v>
      </c>
    </row>
    <row r="23">
      <c r="A23" s="6" t="inlineStr">
        <is>
          <t>Movement in accruals and accrued interest</t>
        </is>
      </c>
      <c r="B23" s="6" t="n">
        <v>-425</v>
      </c>
      <c r="C23" s="6" t="n">
        <v>377</v>
      </c>
      <c r="D23" s="6" t="n">
        <v>37</v>
      </c>
      <c r="E23" s="6" t="n">
        <v>-24</v>
      </c>
      <c r="F23" s="6" t="n">
        <v>118</v>
      </c>
    </row>
    <row r="24">
      <c r="A24" s="6" t="inlineStr">
        <is>
          <t>Other liabilities</t>
        </is>
      </c>
      <c r="B24" s="6" t="n">
        <v>-84</v>
      </c>
      <c r="C24" s="6" t="n">
        <v>1001</v>
      </c>
      <c r="D24" s="6" t="n">
        <v>-1903</v>
      </c>
      <c r="E24" s="6" t="n">
        <v>358</v>
      </c>
      <c r="F24" s="6" t="n">
        <v>1586</v>
      </c>
    </row>
    <row r="25">
      <c r="A25" s="5" t="inlineStr">
        <is>
          <t>Net increase in liabilities relating to operating activities</t>
        </is>
      </c>
      <c r="B25" s="5" t="n">
        <v>20751</v>
      </c>
      <c r="C25" s="5" t="n">
        <v>33172</v>
      </c>
      <c r="D25" s="5" t="n">
        <v>19322</v>
      </c>
      <c r="E25" s="5" t="n">
        <v>38796</v>
      </c>
      <c r="F25" s="5" t="n">
        <v>31440</v>
      </c>
    </row>
    <row r="26">
      <c r="A26" s="5" t="inlineStr">
        <is>
          <t>Net cash (outflow)/inflow from operating activities</t>
        </is>
      </c>
      <c r="B26" s="5" t="n">
        <v>-13510</v>
      </c>
      <c r="C26" s="5" t="n">
        <v>6397</v>
      </c>
      <c r="D26" s="5" t="n">
        <v>26761</v>
      </c>
      <c r="E26" s="5" t="n">
        <v>15953</v>
      </c>
      <c r="F26" s="5" t="n">
        <v>7914</v>
      </c>
    </row>
    <row r="27">
      <c r="A27" s="5" t="inlineStr">
        <is>
          <t>Investing activities</t>
        </is>
      </c>
      <c r="B27" s="6" t="n"/>
      <c r="C27" s="6" t="n"/>
      <c r="D27" s="6" t="n"/>
      <c r="E27" s="6" t="n"/>
      <c r="F27" s="6" t="n"/>
    </row>
    <row r="28">
      <c r="A28" s="6" t="inlineStr">
        <is>
          <t>Acquisition of fixed assets</t>
        </is>
      </c>
      <c r="B28" s="6" t="n">
        <v>-47</v>
      </c>
      <c r="C28" s="6" t="n">
        <v>-236</v>
      </c>
      <c r="D28" s="6" t="n">
        <v>-34</v>
      </c>
      <c r="E28" s="6" t="n">
        <v>-14</v>
      </c>
      <c r="F28" s="6" t="n">
        <v>-66</v>
      </c>
    </row>
    <row r="29">
      <c r="A29" s="6" t="inlineStr">
        <is>
          <t>Proceeds from sale of fixed assets</t>
        </is>
      </c>
      <c r="B29" s="6" t="n"/>
      <c r="C29" s="6" t="n"/>
      <c r="D29" s="6" t="n"/>
      <c r="E29" s="6" t="n">
        <v>0</v>
      </c>
      <c r="F29" s="6" t="n">
        <v>1</v>
      </c>
    </row>
    <row r="30">
      <c r="A30" s="5" t="inlineStr">
        <is>
          <t>Net cash outflow from investing activities</t>
        </is>
      </c>
      <c r="B30" s="5" t="n">
        <v>-47</v>
      </c>
      <c r="C30" s="5" t="n">
        <v>-236</v>
      </c>
      <c r="D30" s="5" t="n">
        <v>-34</v>
      </c>
      <c r="E30" s="5" t="n">
        <v>-14</v>
      </c>
      <c r="F30" s="5" t="n">
        <v>-65</v>
      </c>
    </row>
    <row r="31">
      <c r="A31" s="5" t="inlineStr">
        <is>
          <t>Financing activities</t>
        </is>
      </c>
      <c r="B31" s="6" t="n"/>
      <c r="C31" s="6" t="n"/>
      <c r="D31" s="6" t="n"/>
      <c r="E31" s="6" t="n"/>
      <c r="F31" s="6" t="n"/>
    </row>
    <row r="32">
      <c r="A32" s="6" t="inlineStr">
        <is>
          <t>Principal elements of lease payment</t>
        </is>
      </c>
      <c r="B32" s="6" t="n">
        <v>-119</v>
      </c>
      <c r="C32" s="6" t="n">
        <v>-167</v>
      </c>
      <c r="D32" s="6" t="n">
        <v>-152</v>
      </c>
      <c r="E32" s="6" t="n">
        <v>-147</v>
      </c>
      <c r="F32" s="6" t="n">
        <v>-164</v>
      </c>
    </row>
    <row r="33">
      <c r="A33" s="6" t="inlineStr">
        <is>
          <t>Proceeds from issue of share capital</t>
        </is>
      </c>
      <c r="B33" s="6" t="n">
        <v>0</v>
      </c>
      <c r="C33" s="6" t="n">
        <v>400</v>
      </c>
      <c r="D33" s="6" t="n">
        <v>1712</v>
      </c>
      <c r="E33" s="6" t="n">
        <v>550</v>
      </c>
      <c r="F33" s="6" t="n">
        <v>4900</v>
      </c>
    </row>
    <row r="34">
      <c r="A34" s="6" t="inlineStr">
        <is>
          <t>Proceeds from issue of subordinated loan stock</t>
        </is>
      </c>
      <c r="B34" s="6" t="n">
        <v>200</v>
      </c>
      <c r="C34" s="6" t="n">
        <v>1170</v>
      </c>
      <c r="D34" s="6" t="n">
        <v>0</v>
      </c>
      <c r="E34" s="6" t="n">
        <v>1000</v>
      </c>
      <c r="F34" s="6" t="n">
        <v>1310</v>
      </c>
    </row>
    <row r="35">
      <c r="A35" s="6" t="inlineStr">
        <is>
          <t>Interest on subordinated loan stock</t>
        </is>
      </c>
      <c r="B35" s="6" t="n">
        <v>-188</v>
      </c>
      <c r="C35" s="6" t="n">
        <v>-80</v>
      </c>
      <c r="D35" s="6" t="n">
        <v>-65</v>
      </c>
      <c r="E35" s="6" t="n">
        <v>-78</v>
      </c>
      <c r="F35" s="6" t="n">
        <v>-71</v>
      </c>
    </row>
    <row r="36">
      <c r="A36" s="6" t="inlineStr">
        <is>
          <t>Dividends paid to shareholders</t>
        </is>
      </c>
      <c r="B36" s="6" t="n">
        <v>-988</v>
      </c>
      <c r="C36" s="6" t="n">
        <v>-1552</v>
      </c>
      <c r="D36" s="6" t="n"/>
      <c r="E36" s="6" t="n"/>
      <c r="F36" s="6" t="n"/>
    </row>
    <row r="37">
      <c r="A37" s="5" t="inlineStr">
        <is>
          <t>Net cash (outflow)/inflow from financing activities</t>
        </is>
      </c>
      <c r="B37" s="5" t="n">
        <v>-1095</v>
      </c>
      <c r="C37" s="5" t="n">
        <v>-229</v>
      </c>
      <c r="D37" s="5" t="n">
        <v>1495</v>
      </c>
      <c r="E37" s="5" t="n">
        <v>1325</v>
      </c>
      <c r="F37" s="5" t="n">
        <v>5975</v>
      </c>
    </row>
    <row r="38">
      <c r="A38" s="5" t="inlineStr">
        <is>
          <t>Net (decrease)/increase in cash and cash equivalents</t>
        </is>
      </c>
      <c r="B38" s="5" t="n">
        <v>-14652</v>
      </c>
      <c r="C38" s="5" t="n">
        <v>5932</v>
      </c>
      <c r="D38" s="5" t="n">
        <v>28222</v>
      </c>
      <c r="E38" s="5" t="n">
        <v>17264</v>
      </c>
      <c r="F38" s="5" t="n">
        <v>13824</v>
      </c>
    </row>
    <row r="39">
      <c r="A39" s="6" t="inlineStr">
        <is>
          <t>Cash and cash equivalents at the beginning of the year</t>
        </is>
      </c>
      <c r="B39" s="6" t="n">
        <v>97352</v>
      </c>
      <c r="C39" s="6" t="n">
        <v>91420</v>
      </c>
      <c r="D39" s="6" t="n">
        <v>63198</v>
      </c>
      <c r="E39" s="6" t="n">
        <v>45934</v>
      </c>
      <c r="F39" s="6" t="n">
        <v>32110</v>
      </c>
    </row>
    <row r="40">
      <c r="A40" s="5" t="inlineStr">
        <is>
          <t>Cash and cash equivalents at the end of the year</t>
        </is>
      </c>
      <c r="B40" s="5" t="n">
        <v>82700</v>
      </c>
      <c r="C40" s="5" t="n">
        <v>97352</v>
      </c>
      <c r="D40" s="5" t="n">
        <v>91420</v>
      </c>
      <c r="E40" s="5" t="n">
        <v>63198</v>
      </c>
      <c r="F40" s="5" t="n">
        <v>45934</v>
      </c>
    </row>
    <row r="42" ht="160" customHeight="1">
      <c r="A42" s="8" t="inlineStr">
        <is>
          <t>Sources - all figures are The Charity Bank Limited's own Cash Flow Statement, £'000:
FY2025: Charity Bank 2025 Annual Report, p.54 (Cash Flow Statement) - https://www.charitybank.org/wp-content/uploads/2026/06/Charity-Bank-2025-Annual-Report-signed.pdf
FY2024: Charity Bank 2024 Annual Report, p.52 (Cash Flow Statement) - https://www.charitybank.org/wp-content/uploads/2025/06/Charity-Bank-2024-Annual-Report-signed.pdf
FY2023: Charity Bank Annual Report 2023, p.54 (Cash Flow Statement) - https://www.charitybank.org/wp-content/uploads/2024/10/Charity-Bank-Annual-Accounts-2023.pdf
FY2022: The Charity Bank Limited Annual Report for the year ended 31 December 2022 (Companies House filing, 17 Jun 2023), p.42 (Cash Flow Statement) - scanned/image-only, OCR'd and visually cross-checked - https://find-and-update.company-information.service.gov.uk/company/04330018/filing-history/MzM4MjU0NDA3NWFkaXF6a2N4/document?format=pdf&amp;download=0
FY2021: The Charity Bank Limited Annual Report for the year ended 31 December 2021 (Companies House filing), p.38 (Cash Flow Statement) - scanned/image-only, OCR'd and visually cross-checked - https://find-and-update.company-information.service.gov.uk/company/04330018/filing-history/MzM0MTk3OTg0MGFkaXF6a2N4/document?format=pdf&amp;download=0
All 5 years' own primary figures cross-checked and tie exactly against their appearance as the following year's comparative column (e.g. FY2021's own £2,878k operating-adjustments subtotal matches the FY2022 report's own FY2021 comparative exactly).
ENTITY NOTE: The Charity Bank Limited (Companies House 04330018, FRN 207701) matches Banks List 2608.xlsx exactly - a wholly UK-owned, standalone entity with no parent-subsidiary complications. Charity Bank publishes a full Statement of Cash Flows every year (no FRS 101/102 exemption). Its FY2021 and FY2022 Companies House filings are fully scanned/image-only PDFs (no text layer) - OCR'd with tesseract and every figure visually cross-checked against a rendered page image at 400dpi (one apparently ambiguous OCR read, 'depreciation of property and equipment' for FY2021, was confirmed as 59 by direct visual inspection, not the alternative misreading). All 5 years' own primary figures were cross-checked against their appearance as the following year's comparative column and match exactly - no source-document arithmetic errors found.</t>
        </is>
      </c>
    </row>
  </sheetData>
  <mergeCells count="1">
    <mergeCell ref="A42:F4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Asset Quality</t>
        </is>
      </c>
    </row>
    <row r="2">
      <c r="A2" s="2" t="inlineStr">
        <is>
          <t>Loans and advances to customers at amortised cost, £'000, IFRS 9 basis.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Loans and advances to customers at amortised cost, by IFRS 9 stage</t>
        </is>
      </c>
      <c r="B4" s="6" t="n"/>
      <c r="C4" s="6" t="n"/>
      <c r="D4" s="6" t="n"/>
      <c r="E4" s="6" t="n"/>
      <c r="F4" s="6" t="n"/>
    </row>
    <row r="5">
      <c r="A5" s="6" t="inlineStr">
        <is>
          <t>Stage 1 (12-month ECL), gross carrying amount</t>
        </is>
      </c>
      <c r="B5" s="6" t="n">
        <v>311418</v>
      </c>
      <c r="C5" s="6" t="n">
        <v>199922</v>
      </c>
      <c r="D5" s="6" t="n">
        <v>172112</v>
      </c>
      <c r="E5" s="6" t="n">
        <v>177047</v>
      </c>
      <c r="F5" s="6" t="n">
        <v>212641</v>
      </c>
    </row>
    <row r="6">
      <c r="A6" s="6" t="inlineStr">
        <is>
          <t>Stage 2 (lifetime ECL), gross carrying amount</t>
        </is>
      </c>
      <c r="B6" s="6" t="n">
        <v>41592</v>
      </c>
      <c r="C6" s="6" t="n">
        <v>122844</v>
      </c>
      <c r="D6" s="6" t="n">
        <v>113183</v>
      </c>
      <c r="E6" s="6" t="n">
        <v>96664</v>
      </c>
      <c r="F6" s="6" t="n">
        <v>25429</v>
      </c>
    </row>
    <row r="7">
      <c r="A7" s="6" t="inlineStr">
        <is>
          <t>Stage 3 (lifetime ECL), gross carrying amount</t>
        </is>
      </c>
      <c r="B7" s="6" t="n">
        <v>11526</v>
      </c>
      <c r="C7" s="6" t="n">
        <v>9727</v>
      </c>
      <c r="D7" s="6" t="n">
        <v>1672</v>
      </c>
      <c r="E7" s="6" t="n">
        <v>1706</v>
      </c>
      <c r="F7" s="6" t="n">
        <v>1632</v>
      </c>
    </row>
    <row r="8">
      <c r="A8" s="5" t="inlineStr">
        <is>
          <t>Total gross carrying amount</t>
        </is>
      </c>
      <c r="B8" s="5" t="n">
        <v>364536</v>
      </c>
      <c r="C8" s="5" t="n">
        <v>332493</v>
      </c>
      <c r="D8" s="5" t="n">
        <v>286967</v>
      </c>
      <c r="E8" s="5" t="n">
        <v>275417</v>
      </c>
      <c r="F8" s="5" t="n">
        <v>239702</v>
      </c>
    </row>
    <row r="9">
      <c r="A9" s="5" t="inlineStr">
        <is>
          <t>Expected credit loss (ECL) allowance, by IFRS 9 stage</t>
        </is>
      </c>
      <c r="B9" s="6" t="n"/>
      <c r="C9" s="6" t="n"/>
      <c r="D9" s="6" t="n"/>
      <c r="E9" s="6" t="n"/>
      <c r="F9" s="6" t="n"/>
    </row>
    <row r="10">
      <c r="A10" s="6" t="inlineStr">
        <is>
          <t>Stage 1 allowance</t>
        </is>
      </c>
      <c r="B10" s="6" t="n">
        <v>-94</v>
      </c>
      <c r="C10" s="6" t="n">
        <v>-102</v>
      </c>
      <c r="D10" s="6" t="n">
        <v>-82</v>
      </c>
      <c r="E10" s="6" t="n">
        <v>-227</v>
      </c>
      <c r="F10" s="6" t="n">
        <v>-240</v>
      </c>
    </row>
    <row r="11">
      <c r="A11" s="6" t="inlineStr">
        <is>
          <t>Stage 2 allowance</t>
        </is>
      </c>
      <c r="B11" s="6" t="n">
        <v>-452</v>
      </c>
      <c r="C11" s="6" t="n">
        <v>-870</v>
      </c>
      <c r="D11" s="6" t="n">
        <v>-1204</v>
      </c>
      <c r="E11" s="6" t="n">
        <v>-952</v>
      </c>
      <c r="F11" s="6" t="n">
        <v>-353</v>
      </c>
    </row>
    <row r="12">
      <c r="A12" s="6" t="inlineStr">
        <is>
          <t>Stage 3 allowance</t>
        </is>
      </c>
      <c r="B12" s="6" t="n">
        <v>-932</v>
      </c>
      <c r="C12" s="6" t="n">
        <v>-420</v>
      </c>
      <c r="D12" s="6" t="n">
        <v>-366</v>
      </c>
      <c r="E12" s="6" t="n">
        <v>-538</v>
      </c>
      <c r="F12" s="6" t="n">
        <v>-414</v>
      </c>
    </row>
    <row r="13">
      <c r="A13" s="5" t="inlineStr">
        <is>
          <t>Total ECL allowance</t>
        </is>
      </c>
      <c r="B13" s="5" t="n">
        <v>-1478</v>
      </c>
      <c r="C13" s="5" t="n">
        <v>-1392</v>
      </c>
      <c r="D13" s="5" t="n">
        <v>-1652</v>
      </c>
      <c r="E13" s="5" t="n">
        <v>-1717</v>
      </c>
      <c r="F13" s="5" t="n">
        <v>-1007</v>
      </c>
    </row>
    <row r="14">
      <c r="A14" s="5" t="inlineStr">
        <is>
          <t>Carrying amount (net of ECL)</t>
        </is>
      </c>
      <c r="B14" s="5" t="n">
        <v>363058</v>
      </c>
      <c r="C14" s="5" t="n">
        <v>331101</v>
      </c>
      <c r="D14" s="5" t="n">
        <v>285315</v>
      </c>
      <c r="E14" s="5" t="n">
        <v>273700</v>
      </c>
      <c r="F14" s="5" t="n">
        <v>238695</v>
      </c>
    </row>
    <row r="16" ht="220" customHeight="1">
      <c r="A16" s="8" t="inlineStr">
        <is>
          <t>Sources - The Charity Bank Limited's own Note 28 (Financial Risk Management), 'Maximum exposure to credit risk' / 'Credit risk by asset class' IFRS 9 stage tables for 'Loans and advances to customers at amortised cost':
FY2025: Charity Bank 2025 Annual Report, p.81 - https://www.charitybank.org/wp-content/uploads/2026/06/Charity-Bank-2025-Annual-Report-signed.pdf
FY2024: Charity Bank 2024 Annual Report, p.85 - https://www.charitybank.org/wp-content/uploads/2025/06/Charity-Bank-2024-Annual-Report-signed.pdf
FY2023: Charity Bank Annual Report 2023, p.83 - https://www.charitybank.org/wp-content/uploads/2024/10/Charity-Bank-Annual-Accounts-2023.pdf
FY2022: The Charity Bank Limited Annual Report for the year ended 31 December 2022 (Companies House filing), p.74 - scanned/image-only, visually transcribed - https://find-and-update.company-information.service.gov.uk/company/04330018/filing-history/MzM4MjU0NDA3NWFkaXF6a2N4/document?format=pdf&amp;download=0
FY2021: The Charity Bank Limited Annual Report for the year ended 31 December 2021 (Companies House filing), p.70 - scanned/image-only, visually transcribed - https://find-and-update.company-information.service.gov.uk/company/04330018/filing-history/MzM0MTk3OTg0MGFkaXF6a2N4/document?format=pdf&amp;download=0
Every year's own 'Carrying amount' total ties exactly to the Balance Sheet's own 'Loans and advances to customers' line for that year.
ENTITY NOTE: The Charity Bank Limited (Companies House 04330018, FRN 207701) matches Banks List 2608.xlsx exactly - a wholly UK-owned, standalone entity with no parent-subsidiary complications. Charity Bank publishes a full Statement of Cash Flows every year (no FRS 101/102 exemption). Its FY2021 and FY2022 Companies House filings are fully scanned/image-only PDFs (no text layer) - OCR'd with tesseract and every figure visually cross-checked against a rendered page image at 400dpi (one apparently ambiguous OCR read, 'depreciation of property and equipment' for FY2021, was confirmed as 59 by direct visual inspection, not the alternative misreading). All 5 years' own primary figures were cross-checked against their appearance as the following year's comparative column and match exactly - no source-document arithmetic errors found.</t>
        </is>
      </c>
    </row>
  </sheetData>
  <mergeCells count="1">
    <mergeCell ref="A16:F1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CET1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>
        <v>41644</v>
      </c>
      <c r="C4" s="6" t="n">
        <v>37540</v>
      </c>
      <c r="D4" s="6" t="n">
        <v>30701</v>
      </c>
      <c r="E4" s="6" t="n">
        <v>26146</v>
      </c>
      <c r="F4" s="6" t="n">
        <v>24522</v>
      </c>
    </row>
    <row r="6" ht="140" customHeight="1">
      <c r="A6" s="8" t="inlineStr">
        <is>
          <t>Sources - The Charity Bank Limited entity-level Pillar 3 / regulatory capital basis:
FY2025: Charity Bank 2025 Annual Report, p.93 (Note 28) / 32 (Strategic Report) - https://www.charitybank.org/wp-content/uploads/2026/06/Charity-Bank-2025-Annual-Report-signed.pdf
FY2024: Charity Bank 2024 Annual Report, p.91 (Note 28) / 34 (Strategic Report) - https://www.charitybank.org/wp-content/uploads/2025/06/Charity-Bank-2024-Annual-Report-signed.pdf
FY2023: Charity Bank Pillar 3 Disclosures 2023, p.14 (Template UK KM1) - https://web.archive.org/web/20250809165738/https://www.charitybank.org/wp-content/uploads/2024/10/PILLAR-3-disclosures-2023.pdf
FY2022: Charity Bank Pillar 3 Disclosures 2022, p.14-15 (Template UK KM1, FY2022 column) - https://web.archive.org/web/20250805161700/https://www.charitybank.org/wp-content/uploads/2024/10/PILLAR-3-disclosures-2022-FINAL.pdf
FY2021: Charity Bank Pillar 3 Disclosures 2021, p.15 (Own Funds / Key CRD IV Ratios) - https://web.archive.org/web/20250726224104/https://www.charitybank.org/wp-content/uploads/2024/10/PILLAR-3-disclosures-2021-Final.pdf; FY2021 LCR cross-check: FY2022 Pillar 3 Disclosure, FY2021 comparative column - https://web.archive.org/web/20250805161700/https://www.charitybank.org/wp-content/uploads/2024/10/PILLAR-3-disclosures-2022-FINAL.pdf
PILLAR 3 NOTE: Charity Bank published an annual standalone Pillar 3 disclosure document every year through the FY2023 edition (retrieved via the Wayback Machine - the current live site no longer links to any Pillar 3 document, only Annual Reports). No FY2024 or FY2025 edition has been published anywhere as of the research date.
CAUSAL LINK NOW ESTABLISHED, 2026-09-15 (cross-bank SDDT pass) - this supersedes the earlier hedged wording, which said SDDT status was 'noted as context' but 'not asserted as a confirmed causal link'. The absence of a FY2024 and FY2025 Pillar 3 document is an EVIDENCED STRUCTURAL EXEMPTION, not a sourcing failure: becoming a Small Domestic Deposit Taker removes the Pillar 3 disclosure obligation outright, so no such document will ever exist for those years.
Evidence 1 - the PRA's own firm-level register. Bank of England consolidated list of waivers and modifications granted to PRA-authorised firms (downloaded 2026-09-15) carries the row: FRN 207701, 'The Charity Bank Limited', 'Modification by Consent - PRA Rulebook - CRR Firms - Rule 3.1 of the SDDT Regime - General Application Part', rule 'SDDT Regime - General Application', sub rule 'Ru 3.1', waiver ref 'A00007506P.pdf', start date '01/02/2024', no end date - https://www.bankofengland.co.uk/-/media/boe/files/prudential-regulation/authorisations/waivers-and-modifications-of-rules/consolidated-waivers-pra-firms.csv
Evidence 2 - Charity Bank in its own words, in both recent Annual Reports, under the heading 'Capital regulatory framework': 'In 2024, Charity Bank opted-in to the PRA's Small Domestic Deposit-Takers ('SDDT') regime, also known as 'Strong &amp; Simple'.' - Charity Bank 2024 Annual Report p.32 (https://www.charitybank.org/wp-content/uploads/2025/06/Charity-Bank-2024-Annual-Report-signed.pdf) and, repeated verbatim, Charity Bank 2025 Annual Report p.30 (https://www.charitybank.org/wp-content/uploads/2026/06/Charity-Bank-2025-Annual-Report-signed.pdf). This corroborates the register's 01/02/2024 start date and the FY2023 Annual Report's (p.35) 'was accepted into the Small Domestic Deposit Taker (SDDT) regime in January 2024' (https://www.charitybank.org/wp-content/uploads/2024/10/Charity-Bank-Annual-Accounts-2023.pdf).
Evidence 3 - what the Rule 3.1 modification does to Pillar 3, stated by a peer holding the identical register row: Cynergy Bank plc Annual Report &amp; Accounts 2024, p.71 - 'The Bank applied for the Modification by Consent to become an SDDT and received approval on 17 January 2025. As a result, we are not required to publish Pillar 3 disclosures as at 31 December 2024 and will submit only a simplified retail deposit ratio instead of a full Net Stable Funding Ratio (NSFR) going forward.'
DATE FIT: the modification took effect 1 February 2024, i.e. before the 31 December 2024 year-end, so it covers FY2024 and FY2025 - exactly the two years with no Pillar 3 document. It covers NEITHER FY2021, FY2022 nor FY2023, all of which have their own published Pillar 3 editions in any case. Do not read the exemption back onto FY2023 or earlier. Note also that the Annual Reports' statement that the SDDT regime 'takes full effect from 1 January 2027' refers to the SDDT simplified CAPITAL regime, which is a separate and later matter from the disclosure exemption that already applies. Charity Bank does not disclose a Simplified Retail Deposit Ratio value, so nothing replaces the NSFR series here.
For FY2024 and FY2025, capital amounts (Tier 1/Tier 2/Total capital, £), RWAs, leverage exposure, and CET1/Total Capital/Leverage ratios were instead sourced from the 'Capital risk' section of each year's own Annual Report (Strategic Report and Note 28) - the Annual Reports do not disclose LCR, NSFR, or MREL at all, so those sheets are blank for FY2024-FY2025 (not a transcription gap - genuinely not published anywhere).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ratio</t>
        </is>
      </c>
      <c r="B4" s="6" t="inlineStr">
        <is>
          <t>17.33%</t>
        </is>
      </c>
      <c r="C4" s="6" t="inlineStr">
        <is>
          <t>16.67%</t>
        </is>
      </c>
      <c r="D4" s="6" t="inlineStr">
        <is>
          <t>16.15%</t>
        </is>
      </c>
      <c r="E4" s="6" t="inlineStr">
        <is>
          <t>15.05%</t>
        </is>
      </c>
      <c r="F4" s="6" t="inlineStr">
        <is>
          <t>16.01%</t>
        </is>
      </c>
    </row>
    <row r="6" ht="140" customHeight="1">
      <c r="A6" s="8" t="inlineStr">
        <is>
          <t>Sources - The Charity Bank Limited entity-level Pillar 3 / regulatory capital basis:
FY2025: Charity Bank 2025 Annual Report, p.93 (Note 28) / 32 (Strategic Report) - https://www.charitybank.org/wp-content/uploads/2026/06/Charity-Bank-2025-Annual-Report-signed.pdf
FY2024: Charity Bank 2024 Annual Report, p.91 (Note 28) / 34 (Strategic Report) - https://www.charitybank.org/wp-content/uploads/2025/06/Charity-Bank-2024-Annual-Report-signed.pdf
FY2023: Charity Bank Pillar 3 Disclosures 2023, p.14 (Template UK KM1) - https://web.archive.org/web/20250809165738/https://www.charitybank.org/wp-content/uploads/2024/10/PILLAR-3-disclosures-2023.pdf
FY2022: Charity Bank Pillar 3 Disclosures 2022, p.14-15 (Template UK KM1, FY2022 column) - https://web.archive.org/web/20250805161700/https://www.charitybank.org/wp-content/uploads/2024/10/PILLAR-3-disclosures-2022-FINAL.pdf
FY2021: Charity Bank Pillar 3 Disclosures 2021, p.15 (Own Funds / Key CRD IV Ratios) - https://web.archive.org/web/20250726224104/https://www.charitybank.org/wp-content/uploads/2024/10/PILLAR-3-disclosures-2021-Final.pdf; FY2021 LCR cross-check: FY2022 Pillar 3 Disclosure, FY2021 comparative column - https://web.archive.org/web/20250805161700/https://www.charitybank.org/wp-content/uploads/2024/10/PILLAR-3-disclosures-2022-FINAL.pdf
PILLAR 3 NOTE: Charity Bank published an annual standalone Pillar 3 disclosure document every year through the FY2023 edition (retrieved via the Wayback Machine - the current live site no longer links to any Pillar 3 document, only Annual Reports). No FY2024 or FY2025 edition has been published anywhere as of the research date.
CAUSAL LINK NOW ESTABLISHED, 2026-09-15 (cross-bank SDDT pass) - this supersedes the earlier hedged wording, which said SDDT status was 'noted as context' but 'not asserted as a confirmed causal link'. The absence of a FY2024 and FY2025 Pillar 3 document is an EVIDENCED STRUCTURAL EXEMPTION, not a sourcing failure: becoming a Small Domestic Deposit Taker removes the Pillar 3 disclosure obligation outright, so no such document will ever exist for those years.
Evidence 1 - the PRA's own firm-level register. Bank of England consolidated list of waivers and modifications granted to PRA-authorised firms (downloaded 2026-09-15) carries the row: FRN 207701, 'The Charity Bank Limited', 'Modification by Consent - PRA Rulebook - CRR Firms - Rule 3.1 of the SDDT Regime - General Application Part', rule 'SDDT Regime - General Application', sub rule 'Ru 3.1', waiver ref 'A00007506P.pdf', start date '01/02/2024', no end date - https://www.bankofengland.co.uk/-/media/boe/files/prudential-regulation/authorisations/waivers-and-modifications-of-rules/consolidated-waivers-pra-firms.csv
Evidence 2 - Charity Bank in its own words, in both recent Annual Reports, under the heading 'Capital regulatory framework': 'In 2024, Charity Bank opted-in to the PRA's Small Domestic Deposit-Takers ('SDDT') regime, also known as 'Strong &amp; Simple'.' - Charity Bank 2024 Annual Report p.32 (https://www.charitybank.org/wp-content/uploads/2025/06/Charity-Bank-2024-Annual-Report-signed.pdf) and, repeated verbatim, Charity Bank 2025 Annual Report p.30 (https://www.charitybank.org/wp-content/uploads/2026/06/Charity-Bank-2025-Annual-Report-signed.pdf). This corroborates the register's 01/02/2024 start date and the FY2023 Annual Report's (p.35) 'was accepted into the Small Domestic Deposit Taker (SDDT) regime in January 2024' (https://www.charitybank.org/wp-content/uploads/2024/10/Charity-Bank-Annual-Accounts-2023.pdf).
Evidence 3 - what the Rule 3.1 modification does to Pillar 3, stated by a peer holding the identical register row: Cynergy Bank plc Annual Report &amp; Accounts 2024, p.71 - 'The Bank applied for the Modification by Consent to become an SDDT and received approval on 17 January 2025. As a result, we are not required to publish Pillar 3 disclosures as at 31 December 2024 and will submit only a simplified retail deposit ratio instead of a full Net Stable Funding Ratio (NSFR) going forward.'
DATE FIT: the modification took effect 1 February 2024, i.e. before the 31 December 2024 year-end, so it covers FY2024 and FY2025 - exactly the two years with no Pillar 3 document. It covers NEITHER FY2021, FY2022 nor FY2023, all of which have their own published Pillar 3 editions in any case. Do not read the exemption back onto FY2023 or earlier. Note also that the Annual Reports' statement that the SDDT regime 'takes full effect from 1 January 2027' refers to the SDDT simplified CAPITAL regime, which is a separate and later matter from the disclosure exemption that already applies. Charity Bank does not disclose a Simplified Retail Deposit Ratio value, so nothing replaces the NSFR series here.
For FY2024 and FY2025, capital amounts (Tier 1/Tier 2/Total capital, £), RWAs, leverage exposure, and CET1/Total Capital/Leverage ratios were instead sourced from the 'Capital risk' section of each year's own Annual Report (Strategic Report and Note 28) - the Annual Reports do not disclose LCR, NSFR, or MREL at all, so those sheets are blank for FY2024-FY2025 (not a transcription gap - genuinely not published anywhere).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Tier 1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>
        <v>41644</v>
      </c>
      <c r="C4" s="6" t="n">
        <v>37540</v>
      </c>
      <c r="D4" s="6" t="n">
        <v>30701</v>
      </c>
      <c r="E4" s="6" t="n">
        <v>26146</v>
      </c>
      <c r="F4" s="6" t="n">
        <v>24522</v>
      </c>
    </row>
    <row r="5" ht="60" customHeight="1">
      <c r="A5" s="7" t="inlineStr">
        <is>
          <t>Note: Tier 1 capital equals CET1 capital in every year shown - Charity Bank has no Additional Tier 1 (AT1) instruments.</t>
        </is>
      </c>
    </row>
    <row r="7" ht="140" customHeight="1">
      <c r="A7" s="8" t="inlineStr">
        <is>
          <t>Sources - The Charity Bank Limited entity-level Pillar 3 / regulatory capital basis:
FY2025: Charity Bank 2025 Annual Report, p.93 (Note 28) / 32 (Strategic Report) - https://www.charitybank.org/wp-content/uploads/2026/06/Charity-Bank-2025-Annual-Report-signed.pdf
FY2024: Charity Bank 2024 Annual Report, p.91 (Note 28) / 34 (Strategic Report) - https://www.charitybank.org/wp-content/uploads/2025/06/Charity-Bank-2024-Annual-Report-signed.pdf
FY2023: Charity Bank Pillar 3 Disclosures 2023, p.14 (Template UK KM1) - https://web.archive.org/web/20250809165738/https://www.charitybank.org/wp-content/uploads/2024/10/PILLAR-3-disclosures-2023.pdf
FY2022: Charity Bank Pillar 3 Disclosures 2022, p.14-15 (Template UK KM1, FY2022 column) - https://web.archive.org/web/20250805161700/https://www.charitybank.org/wp-content/uploads/2024/10/PILLAR-3-disclosures-2022-FINAL.pdf
FY2021: Charity Bank Pillar 3 Disclosures 2021, p.15 (Own Funds / Key CRD IV Ratios) - https://web.archive.org/web/20250726224104/https://www.charitybank.org/wp-content/uploads/2024/10/PILLAR-3-disclosures-2021-Final.pdf; FY2021 LCR cross-check: FY2022 Pillar 3 Disclosure, FY2021 comparative column - https://web.archive.org/web/20250805161700/https://www.charitybank.org/wp-content/uploads/2024/10/PILLAR-3-disclosures-2022-FINAL.pdf
PILLAR 3 NOTE: Charity Bank published an annual standalone Pillar 3 disclosure document every year through the FY2023 edition (retrieved via the Wayback Machine - the current live site no longer links to any Pillar 3 document, only Annual Reports). No FY2024 or FY2025 edition has been published anywhere as of the research date.
CAUSAL LINK NOW ESTABLISHED, 2026-09-15 (cross-bank SDDT pass) - this supersedes the earlier hedged wording, which said SDDT status was 'noted as context' but 'not asserted as a confirmed causal link'. The absence of a FY2024 and FY2025 Pillar 3 document is an EVIDENCED STRUCTURAL EXEMPTION, not a sourcing failure: becoming a Small Domestic Deposit Taker removes the Pillar 3 disclosure obligation outright, so no such document will ever exist for those years.
Evidence 1 - the PRA's own firm-level register. Bank of England consolidated list of waivers and modifications granted to PRA-authorised firms (downloaded 2026-09-15) carries the row: FRN 207701, 'The Charity Bank Limited', 'Modification by Consent - PRA Rulebook - CRR Firms - Rule 3.1 of the SDDT Regime - General Application Part', rule 'SDDT Regime - General Application', sub rule 'Ru 3.1', waiver ref 'A00007506P.pdf', start date '01/02/2024', no end date - https://www.bankofengland.co.uk/-/media/boe/files/prudential-regulation/authorisations/waivers-and-modifications-of-rules/consolidated-waivers-pra-firms.csv
Evidence 2 - Charity Bank in its own words, in both recent Annual Reports, under the heading 'Capital regulatory framework': 'In 2024, Charity Bank opted-in to the PRA's Small Domestic Deposit-Takers ('SDDT') regime, also known as 'Strong &amp; Simple'.' - Charity Bank 2024 Annual Report p.32 (https://www.charitybank.org/wp-content/uploads/2025/06/Charity-Bank-2024-Annual-Report-signed.pdf) and, repeated verbatim, Charity Bank 2025 Annual Report p.30 (https://www.charitybank.org/wp-content/uploads/2026/06/Charity-Bank-2025-Annual-Report-signed.pdf). This corroborates the register's 01/02/2024 start date and the FY2023 Annual Report's (p.35) 'was accepted into the Small Domestic Deposit Taker (SDDT) regime in January 2024' (https://www.charitybank.org/wp-content/uploads/2024/10/Charity-Bank-Annual-Accounts-2023.pdf).
Evidence 3 - what the Rule 3.1 modification does to Pillar 3, stated by a peer holding the identical register row: Cynergy Bank plc Annual Report &amp; Accounts 2024, p.71 - 'The Bank applied for the Modification by Consent to become an SDDT and received approval on 17 January 2025. As a result, we are not required to publish Pillar 3 disclosures as at 31 December 2024 and will submit only a simplified retail deposit ratio instead of a full Net Stable Funding Ratio (NSFR) going forward.'
DATE FIT: the modification took effect 1 February 2024, i.e. before the 31 December 2024 year-end, so it covers FY2024 and FY2025 - exactly the two years with no Pillar 3 document. It covers NEITHER FY2021, FY2022 nor FY2023, all of which have their own published Pillar 3 editions in any case. Do not read the exemption back onto FY2023 or earlier. Note also that the Annual Reports' statement that the SDDT regime 'takes full effect from 1 January 2027' refers to the SDDT simplified CAPITAL regime, which is a separate and later matter from the disclosure exemption that already applies. Charity Bank does not disclose a Simplified Retail Deposit Ratio value, so nothing replaces the NSFR series here.
For FY2024 and FY2025, capital amounts (Tier 1/Tier 2/Total capital, £), RWAs, leverage exposure, and CET1/Total Capital/Leverage ratios were instead sourced from the 'Capital risk' section of each year's own Annual Report (Strategic Report and Note 28) - the Annual Reports do not disclose LCR, NSFR, or MREL at all, so those sheets are blank for FY2024-FY2025 (not a transcription gap - genuinely not published anywhere).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inlineStr">
        <is>
          <t>17.33%</t>
        </is>
      </c>
      <c r="C4" s="6" t="inlineStr">
        <is>
          <t>16.67%</t>
        </is>
      </c>
      <c r="D4" s="6" t="inlineStr">
        <is>
          <t>16.15%</t>
        </is>
      </c>
      <c r="E4" s="6" t="inlineStr">
        <is>
          <t>15.05%</t>
        </is>
      </c>
      <c r="F4" s="6" t="inlineStr">
        <is>
          <t>16.01%</t>
        </is>
      </c>
    </row>
    <row r="5" ht="60" customHeight="1">
      <c r="A5" s="7" t="inlineStr">
        <is>
          <t>Note: Equal to the CET1 ratio every year shown - no Additional Tier 1 (AT1) instruments.</t>
        </is>
      </c>
    </row>
    <row r="7" ht="140" customHeight="1">
      <c r="A7" s="8" t="inlineStr">
        <is>
          <t>Sources - The Charity Bank Limited entity-level Pillar 3 / regulatory capital basis:
FY2025: Charity Bank 2025 Annual Report, p.93 (Note 28) / 32 (Strategic Report) - https://www.charitybank.org/wp-content/uploads/2026/06/Charity-Bank-2025-Annual-Report-signed.pdf
FY2024: Charity Bank 2024 Annual Report, p.91 (Note 28) / 34 (Strategic Report) - https://www.charitybank.org/wp-content/uploads/2025/06/Charity-Bank-2024-Annual-Report-signed.pdf
FY2023: Charity Bank Pillar 3 Disclosures 2023, p.14 (Template UK KM1) - https://web.archive.org/web/20250809165738/https://www.charitybank.org/wp-content/uploads/2024/10/PILLAR-3-disclosures-2023.pdf
FY2022: Charity Bank Pillar 3 Disclosures 2022, p.14-15 (Template UK KM1, FY2022 column) - https://web.archive.org/web/20250805161700/https://www.charitybank.org/wp-content/uploads/2024/10/PILLAR-3-disclosures-2022-FINAL.pdf
FY2021: Charity Bank Pillar 3 Disclosures 2021, p.15 (Own Funds / Key CRD IV Ratios) - https://web.archive.org/web/20250726224104/https://www.charitybank.org/wp-content/uploads/2024/10/PILLAR-3-disclosures-2021-Final.pdf; FY2021 LCR cross-check: FY2022 Pillar 3 Disclosure, FY2021 comparative column - https://web.archive.org/web/20250805161700/https://www.charitybank.org/wp-content/uploads/2024/10/PILLAR-3-disclosures-2022-FINAL.pdf
PILLAR 3 NOTE: Charity Bank published an annual standalone Pillar 3 disclosure document every year through the FY2023 edition (retrieved via the Wayback Machine - the current live site no longer links to any Pillar 3 document, only Annual Reports). No FY2024 or FY2025 edition has been published anywhere as of the research date.
CAUSAL LINK NOW ESTABLISHED, 2026-09-15 (cross-bank SDDT pass) - this supersedes the earlier hedged wording, which said SDDT status was 'noted as context' but 'not asserted as a confirmed causal link'. The absence of a FY2024 and FY2025 Pillar 3 document is an EVIDENCED STRUCTURAL EXEMPTION, not a sourcing failure: becoming a Small Domestic Deposit Taker removes the Pillar 3 disclosure obligation outright, so no such document will ever exist for those years.
Evidence 1 - the PRA's own firm-level register. Bank of England consolidated list of waivers and modifications granted to PRA-authorised firms (downloaded 2026-09-15) carries the row: FRN 207701, 'The Charity Bank Limited', 'Modification by Consent - PRA Rulebook - CRR Firms - Rule 3.1 of the SDDT Regime - General Application Part', rule 'SDDT Regime - General Application', sub rule 'Ru 3.1', waiver ref 'A00007506P.pdf', start date '01/02/2024', no end date - https://www.bankofengland.co.uk/-/media/boe/files/prudential-regulation/authorisations/waivers-and-modifications-of-rules/consolidated-waivers-pra-firms.csv
Evidence 2 - Charity Bank in its own words, in both recent Annual Reports, under the heading 'Capital regulatory framework': 'In 2024, Charity Bank opted-in to the PRA's Small Domestic Deposit-Takers ('SDDT') regime, also known as 'Strong &amp; Simple'.' - Charity Bank 2024 Annual Report p.32 (https://www.charitybank.org/wp-content/uploads/2025/06/Charity-Bank-2024-Annual-Report-signed.pdf) and, repeated verbatim, Charity Bank 2025 Annual Report p.30 (https://www.charitybank.org/wp-content/uploads/2026/06/Charity-Bank-2025-Annual-Report-signed.pdf). This corroborates the register's 01/02/2024 start date and the FY2023 Annual Report's (p.35) 'was accepted into the Small Domestic Deposit Taker (SDDT) regime in January 2024' (https://www.charitybank.org/wp-content/uploads/2024/10/Charity-Bank-Annual-Accounts-2023.pdf).
Evidence 3 - what the Rule 3.1 modification does to Pillar 3, stated by a peer holding the identical register row: Cynergy Bank plc Annual Report &amp; Accounts 2024, p.71 - 'The Bank applied for the Modification by Consent to become an SDDT and received approval on 17 January 2025. As a result, we are not required to publish Pillar 3 disclosures as at 31 December 2024 and will submit only a simplified retail deposit ratio instead of a full Net Stable Funding Ratio (NSFR) going forward.'
DATE FIT: the modification took effect 1 February 2024, i.e. before the 31 December 2024 year-end, so it covers FY2024 and FY2025 - exactly the two years with no Pillar 3 document. It covers NEITHER FY2021, FY2022 nor FY2023, all of which have their own published Pillar 3 editions in any case. Do not read the exemption back onto FY2023 or earlier. Note also that the Annual Reports' statement that the SDDT regime 'takes full effect from 1 January 2027' refers to the SDDT simplified CAPITAL regime, which is a separate and later matter from the disclosure exemption that already applies. Charity Bank does not disclose a Simplified Retail Deposit Ratio value, so nothing replaces the NSFR series here.
For FY2024 and FY2025, capital amounts (Tier 1/Tier 2/Total capital, £), RWAs, leverage exposure, and CET1/Total Capital/Leverage ratios were instead sourced from the 'Capital risk' section of each year's own Annual Report (Strategic Report and Note 28) - the Annual Reports do not disclose LCR, NSFR, or MREL at all, so those sheets are blank for FY2024-FY2025 (not a transcription gap - genuinely not published anywhere).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Total Capital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>
        <v>47044</v>
      </c>
      <c r="C4" s="6" t="n">
        <v>42376</v>
      </c>
      <c r="D4" s="6" t="n">
        <v>33541</v>
      </c>
      <c r="E4" s="6" t="n">
        <v>29878</v>
      </c>
      <c r="F4" s="6" t="n">
        <v>27812</v>
      </c>
    </row>
    <row r="6" ht="140" customHeight="1">
      <c r="A6" s="8" t="inlineStr">
        <is>
          <t>Sources - The Charity Bank Limited entity-level Pillar 3 / regulatory capital basis:
FY2025: Charity Bank 2025 Annual Report, p.93 (Note 28) / 32 (Strategic Report) - https://www.charitybank.org/wp-content/uploads/2026/06/Charity-Bank-2025-Annual-Report-signed.pdf
FY2024: Charity Bank 2024 Annual Report, p.91 (Note 28) / 34 (Strategic Report) - https://www.charitybank.org/wp-content/uploads/2025/06/Charity-Bank-2024-Annual-Report-signed.pdf
FY2023: Charity Bank Pillar 3 Disclosures 2023, p.14 (Template UK KM1) - https://web.archive.org/web/20250809165738/https://www.charitybank.org/wp-content/uploads/2024/10/PILLAR-3-disclosures-2023.pdf
FY2022: Charity Bank Pillar 3 Disclosures 2022, p.14-15 (Template UK KM1, FY2022 column) - https://web.archive.org/web/20250805161700/https://www.charitybank.org/wp-content/uploads/2024/10/PILLAR-3-disclosures-2022-FINAL.pdf
FY2021: Charity Bank Pillar 3 Disclosures 2021, p.15 (Own Funds / Key CRD IV Ratios) - https://web.archive.org/web/20250726224104/https://www.charitybank.org/wp-content/uploads/2024/10/PILLAR-3-disclosures-2021-Final.pdf; FY2021 LCR cross-check: FY2022 Pillar 3 Disclosure, FY2021 comparative column - https://web.archive.org/web/20250805161700/https://www.charitybank.org/wp-content/uploads/2024/10/PILLAR-3-disclosures-2022-FINAL.pdf
PILLAR 3 NOTE: Charity Bank published an annual standalone Pillar 3 disclosure document every year through the FY2023 edition (retrieved via the Wayback Machine - the current live site no longer links to any Pillar 3 document, only Annual Reports). No FY2024 or FY2025 edition has been published anywhere as of the research date.
CAUSAL LINK NOW ESTABLISHED, 2026-09-15 (cross-bank SDDT pass) - this supersedes the earlier hedged wording, which said SDDT status was 'noted as context' but 'not asserted as a confirmed causal link'. The absence of a FY2024 and FY2025 Pillar 3 document is an EVIDENCED STRUCTURAL EXEMPTION, not a sourcing failure: becoming a Small Domestic Deposit Taker removes the Pillar 3 disclosure obligation outright, so no such document will ever exist for those years.
Evidence 1 - the PRA's own firm-level register. Bank of England consolidated list of waivers and modifications granted to PRA-authorised firms (downloaded 2026-09-15) carries the row: FRN 207701, 'The Charity Bank Limited', 'Modification by Consent - PRA Rulebook - CRR Firms - Rule 3.1 of the SDDT Regime - General Application Part', rule 'SDDT Regime - General Application', sub rule 'Ru 3.1', waiver ref 'A00007506P.pdf', start date '01/02/2024', no end date - https://www.bankofengland.co.uk/-/media/boe/files/prudential-regulation/authorisations/waivers-and-modifications-of-rules/consolidated-waivers-pra-firms.csv
Evidence 2 - Charity Bank in its own words, in both recent Annual Reports, under the heading 'Capital regulatory framework': 'In 2024, Charity Bank opted-in to the PRA's Small Domestic Deposit-Takers ('SDDT') regime, also known as 'Strong &amp; Simple'.' - Charity Bank 2024 Annual Report p.32 (https://www.charitybank.org/wp-content/uploads/2025/06/Charity-Bank-2024-Annual-Report-signed.pdf) and, repeated verbatim, Charity Bank 2025 Annual Report p.30 (https://www.charitybank.org/wp-content/uploads/2026/06/Charity-Bank-2025-Annual-Report-signed.pdf). This corroborates the register's 01/02/2024 start date and the FY2023 Annual Report's (p.35) 'was accepted into the Small Domestic Deposit Taker (SDDT) regime in January 2024' (https://www.charitybank.org/wp-content/uploads/2024/10/Charity-Bank-Annual-Accounts-2023.pdf).
Evidence 3 - what the Rule 3.1 modification does to Pillar 3, stated by a peer holding the identical register row: Cynergy Bank plc Annual Report &amp; Accounts 2024, p.71 - 'The Bank applied for the Modification by Consent to become an SDDT and received approval on 17 January 2025. As a result, we are not required to publish Pillar 3 disclosures as at 31 December 2024 and will submit only a simplified retail deposit ratio instead of a full Net Stable Funding Ratio (NSFR) going forward.'
DATE FIT: the modification took effect 1 February 2024, i.e. before the 31 December 2024 year-end, so it covers FY2024 and FY2025 - exactly the two years with no Pillar 3 document. It covers NEITHER FY2021, FY2022 nor FY2023, all of which have their own published Pillar 3 editions in any case. Do not read the exemption back onto FY2023 or earlier. Note also that the Annual Reports' statement that the SDDT regime 'takes full effect from 1 January 2027' refers to the SDDT simplified CAPITAL regime, which is a separate and later matter from the disclosure exemption that already applies. Charity Bank does not disclose a Simplified Retail Deposit Ratio value, so nothing replaces the NSFR series here.
For FY2024 and FY2025, capital amounts (Tier 1/Tier 2/Total capital, £), RWAs, leverage exposure, and CET1/Total Capital/Leverage ratios were instead sourced from the 'Capital risk' section of each year's own Annual Report (Strategic Report and Note 28) - the Annual Reports do not disclose LCR, NSFR, or MREL at all, so those sheets are blank for FY2024-FY2025 (not a transcription gap - genuinely not published anywhere).</t>
        </is>
      </c>
    </row>
  </sheetData>
  <mergeCells count="1">
    <mergeCell ref="A6:F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inlineStr">
        <is>
          <t>19.58%</t>
        </is>
      </c>
      <c r="C4" s="6" t="inlineStr">
        <is>
          <t>18.82%</t>
        </is>
      </c>
      <c r="D4" s="6" t="inlineStr">
        <is>
          <t>17.65%</t>
        </is>
      </c>
      <c r="E4" s="6" t="inlineStr">
        <is>
          <t>17.19%</t>
        </is>
      </c>
      <c r="F4" s="6" t="inlineStr">
        <is>
          <t>18.15%</t>
        </is>
      </c>
    </row>
    <row r="6" ht="140" customHeight="1">
      <c r="A6" s="8" t="inlineStr">
        <is>
          <t>Sources - The Charity Bank Limited entity-level Pillar 3 / regulatory capital basis:
FY2025: Charity Bank 2025 Annual Report, p.93 (Note 28) / 32 (Strategic Report) - https://www.charitybank.org/wp-content/uploads/2026/06/Charity-Bank-2025-Annual-Report-signed.pdf
FY2024: Charity Bank 2024 Annual Report, p.91 (Note 28) / 34 (Strategic Report) - https://www.charitybank.org/wp-content/uploads/2025/06/Charity-Bank-2024-Annual-Report-signed.pdf
FY2023: Charity Bank Pillar 3 Disclosures 2023, p.14 (Template UK KM1) - https://web.archive.org/web/20250809165738/https://www.charitybank.org/wp-content/uploads/2024/10/PILLAR-3-disclosures-2023.pdf
FY2022: Charity Bank Pillar 3 Disclosures 2022, p.14-15 (Template UK KM1, FY2022 column) - https://web.archive.org/web/20250805161700/https://www.charitybank.org/wp-content/uploads/2024/10/PILLAR-3-disclosures-2022-FINAL.pdf
FY2021: Charity Bank Pillar 3 Disclosures 2021, p.15 (Own Funds / Key CRD IV Ratios) - https://web.archive.org/web/20250726224104/https://www.charitybank.org/wp-content/uploads/2024/10/PILLAR-3-disclosures-2021-Final.pdf; FY2021 LCR cross-check: FY2022 Pillar 3 Disclosure, FY2021 comparative column - https://web.archive.org/web/20250805161700/https://www.charitybank.org/wp-content/uploads/2024/10/PILLAR-3-disclosures-2022-FINAL.pdf
PILLAR 3 NOTE: Charity Bank published an annual standalone Pillar 3 disclosure document every year through the FY2023 edition (retrieved via the Wayback Machine - the current live site no longer links to any Pillar 3 document, only Annual Reports). No FY2024 or FY2025 edition has been published anywhere as of the research date.
CAUSAL LINK NOW ESTABLISHED, 2026-09-15 (cross-bank SDDT pass) - this supersedes the earlier hedged wording, which said SDDT status was 'noted as context' but 'not asserted as a confirmed causal link'. The absence of a FY2024 and FY2025 Pillar 3 document is an EVIDENCED STRUCTURAL EXEMPTION, not a sourcing failure: becoming a Small Domestic Deposit Taker removes the Pillar 3 disclosure obligation outright, so no such document will ever exist for those years.
Evidence 1 - the PRA's own firm-level register. Bank of England consolidated list of waivers and modifications granted to PRA-authorised firms (downloaded 2026-09-15) carries the row: FRN 207701, 'The Charity Bank Limited', 'Modification by Consent - PRA Rulebook - CRR Firms - Rule 3.1 of the SDDT Regime - General Application Part', rule 'SDDT Regime - General Application', sub rule 'Ru 3.1', waiver ref 'A00007506P.pdf', start date '01/02/2024', no end date - https://www.bankofengland.co.uk/-/media/boe/files/prudential-regulation/authorisations/waivers-and-modifications-of-rules/consolidated-waivers-pra-firms.csv
Evidence 2 - Charity Bank in its own words, in both recent Annual Reports, under the heading 'Capital regulatory framework': 'In 2024, Charity Bank opted-in to the PRA's Small Domestic Deposit-Takers ('SDDT') regime, also known as 'Strong &amp; Simple'.' - Charity Bank 2024 Annual Report p.32 (https://www.charitybank.org/wp-content/uploads/2025/06/Charity-Bank-2024-Annual-Report-signed.pdf) and, repeated verbatim, Charity Bank 2025 Annual Report p.30 (https://www.charitybank.org/wp-content/uploads/2026/06/Charity-Bank-2025-Annual-Report-signed.pdf). This corroborates the register's 01/02/2024 start date and the FY2023 Annual Report's (p.35) 'was accepted into the Small Domestic Deposit Taker (SDDT) regime in January 2024' (https://www.charitybank.org/wp-content/uploads/2024/10/Charity-Bank-Annual-Accounts-2023.pdf).
Evidence 3 - what the Rule 3.1 modification does to Pillar 3, stated by a peer holding the identical register row: Cynergy Bank plc Annual Report &amp; Accounts 2024, p.71 - 'The Bank applied for the Modification by Consent to become an SDDT and received approval on 17 January 2025. As a result, we are not required to publish Pillar 3 disclosures as at 31 December 2024 and will submit only a simplified retail deposit ratio instead of a full Net Stable Funding Ratio (NSFR) going forward.'
DATE FIT: the modification took effect 1 February 2024, i.e. before the 31 December 2024 year-end, so it covers FY2024 and FY2025 - exactly the two years with no Pillar 3 document. It covers NEITHER FY2021, FY2022 nor FY2023, all of which have their own published Pillar 3 editions in any case. Do not read the exemption back onto FY2023 or earlier. Note also that the Annual Reports' statement that the SDDT regime 'takes full effect from 1 January 2027' refers to the SDDT simplified CAPITAL regime, which is a separate and later matter from the disclosure exemption that already applies. Charity Bank does not disclose a Simplified Retail Deposit Ratio value, so nothing replaces the NSFR series here.
For FY2024 and FY2025, capital amounts (Tier 1/Tier 2/Total capital, £), RWAs, leverage exposure, and CET1/Total Capital/Leverage ratios were instead sourced from the 'Capital risk' section of each year's own Annual Report (Strategic Report and Note 28) - the Annual Reports do not disclose LCR, NSFR, or MREL at all, so those sheets are blank for FY2024-FY2025 (not a transcription gap - genuinely not published anywhere).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Total RWAs</t>
        </is>
      </c>
    </row>
    <row r="2">
      <c r="A2" s="2" t="inlineStr">
        <is>
          <t>£'000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exposure amount</t>
        </is>
      </c>
      <c r="B4" s="6" t="n">
        <v>240287</v>
      </c>
      <c r="C4" s="6" t="n">
        <v>225196</v>
      </c>
      <c r="D4" s="6" t="n">
        <v>190056</v>
      </c>
      <c r="E4" s="6" t="n">
        <v>173774</v>
      </c>
      <c r="F4" s="6" t="n">
        <v>153193</v>
      </c>
    </row>
    <row r="6" ht="140" customHeight="1">
      <c r="A6" s="8" t="inlineStr">
        <is>
          <t>Sources - The Charity Bank Limited entity-level Pillar 3 / regulatory capital basis:
FY2025: Charity Bank 2025 Annual Report, p.93 (Note 28) / 32 (Strategic Report) - https://www.charitybank.org/wp-content/uploads/2026/06/Charity-Bank-2025-Annual-Report-signed.pdf
FY2024: Charity Bank 2024 Annual Report, p.91 (Note 28) / 34 (Strategic Report) - https://www.charitybank.org/wp-content/uploads/2025/06/Charity-Bank-2024-Annual-Report-signed.pdf
FY2023: Charity Bank Pillar 3 Disclosures 2023, p.14 (Template UK KM1) - https://web.archive.org/web/20250809165738/https://www.charitybank.org/wp-content/uploads/2024/10/PILLAR-3-disclosures-2023.pdf
FY2022: Charity Bank Pillar 3 Disclosures 2022, p.14-15 (Template UK KM1, FY2022 column) - https://web.archive.org/web/20250805161700/https://www.charitybank.org/wp-content/uploads/2024/10/PILLAR-3-disclosures-2022-FINAL.pdf
FY2021: Charity Bank Pillar 3 Disclosures 2021, p.15 (Own Funds / Key CRD IV Ratios) - https://web.archive.org/web/20250726224104/https://www.charitybank.org/wp-content/uploads/2024/10/PILLAR-3-disclosures-2021-Final.pdf; FY2021 LCR cross-check: FY2022 Pillar 3 Disclosure, FY2021 comparative column - https://web.archive.org/web/20250805161700/https://www.charitybank.org/wp-content/uploads/2024/10/PILLAR-3-disclosures-2022-FINAL.pdf
PILLAR 3 NOTE: Charity Bank published an annual standalone Pillar 3 disclosure document every year through the FY2023 edition (retrieved via the Wayback Machine - the current live site no longer links to any Pillar 3 document, only Annual Reports). No FY2024 or FY2025 edition has been published anywhere as of the research date.
CAUSAL LINK NOW ESTABLISHED, 2026-09-15 (cross-bank SDDT pass) - this supersedes the earlier hedged wording, which said SDDT status was 'noted as context' but 'not asserted as a confirmed causal link'. The absence of a FY2024 and FY2025 Pillar 3 document is an EVIDENCED STRUCTURAL EXEMPTION, not a sourcing failure: becoming a Small Domestic Deposit Taker removes the Pillar 3 disclosure obligation outright, so no such document will ever exist for those years.
Evidence 1 - the PRA's own firm-level register. Bank of England consolidated list of waivers and modifications granted to PRA-authorised firms (downloaded 2026-09-15) carries the row: FRN 207701, 'The Charity Bank Limited', 'Modification by Consent - PRA Rulebook - CRR Firms - Rule 3.1 of the SDDT Regime - General Application Part', rule 'SDDT Regime - General Application', sub rule 'Ru 3.1', waiver ref 'A00007506P.pdf', start date '01/02/2024', no end date - https://www.bankofengland.co.uk/-/media/boe/files/prudential-regulation/authorisations/waivers-and-modifications-of-rules/consolidated-waivers-pra-firms.csv
Evidence 2 - Charity Bank in its own words, in both recent Annual Reports, under the heading 'Capital regulatory framework': 'In 2024, Charity Bank opted-in to the PRA's Small Domestic Deposit-Takers ('SDDT') regime, also known as 'Strong &amp; Simple'.' - Charity Bank 2024 Annual Report p.32 (https://www.charitybank.org/wp-content/uploads/2025/06/Charity-Bank-2024-Annual-Report-signed.pdf) and, repeated verbatim, Charity Bank 2025 Annual Report p.30 (https://www.charitybank.org/wp-content/uploads/2026/06/Charity-Bank-2025-Annual-Report-signed.pdf). This corroborates the register's 01/02/2024 start date and the FY2023 Annual Report's (p.35) 'was accepted into the Small Domestic Deposit Taker (SDDT) regime in January 2024' (https://www.charitybank.org/wp-content/uploads/2024/10/Charity-Bank-Annual-Accounts-2023.pdf).
Evidence 3 - what the Rule 3.1 modification does to Pillar 3, stated by a peer holding the identical register row: Cynergy Bank plc Annual Report &amp; Accounts 2024, p.71 - 'The Bank applied for the Modification by Consent to become an SDDT and received approval on 17 January 2025. As a result, we are not required to publish Pillar 3 disclosures as at 31 December 2024 and will submit only a simplified retail deposit ratio instead of a full Net Stable Funding Ratio (NSFR) going forward.'
DATE FIT: the modification took effect 1 February 2024, i.e. before the 31 December 2024 year-end, so it covers FY2024 and FY2025 - exactly the two years with no Pillar 3 document. It covers NEITHER FY2021, FY2022 nor FY2023, all of which have their own published Pillar 3 editions in any case. Do not read the exemption back onto FY2023 or earlier. Note also that the Annual Reports' statement that the SDDT regime 'takes full effect from 1 January 2027' refers to the SDDT simplified CAPITAL regime, which is a separate and later matter from the disclosure exemption that already applies. Charity Bank does not disclose a Simplified Retail Deposit Ratio value, so nothing replaces the NSFR series here.
For FY2024 and FY2025, capital amounts (Tier 1/Tier 2/Total capital, £), RWAs, leverage exposure, and CET1/Total Capital/Leverage ratios were instead sourced from the 'Capital risk' section of each year's own Annual Report (Strategic Report and Note 28) - the Annual Reports do not disclose LCR, NSFR, or MREL at all, so those sheets are blank for FY2024-FY2025 (not a transcription gap - genuinely not published anywhere).</t>
        </is>
      </c>
    </row>
  </sheetData>
  <mergeCells count="1">
    <mergeCell ref="A6:F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RWA Breakdown</t>
        </is>
      </c>
    </row>
    <row r="2">
      <c r="A2" s="2" t="inlineStr">
        <is>
          <t>£'000. No market risk or counterparty credit risk exposure (Charity Bank holds no trading book) - category split not published for FY2025/FY2024 (standalone Pillar 3 disclosure ceased after the FY2023 edition; re-confirmed 2026-09-12, Wayback CDX shows no Pillar 3 filename crawled on charitybank.org past the 2023 edition). See source note at bottom.</t>
        </is>
      </c>
    </row>
    <row r="3">
      <c r="A3" s="4" t="inlineStr">
        <is>
          <t>Line item</t>
        </is>
      </c>
      <c r="B3" s="4" t="inlineStr">
        <is>
          <t>FY2025 (£'000)</t>
        </is>
      </c>
      <c r="C3" s="4" t="inlineStr">
        <is>
          <t>FY2024 (£'000)</t>
        </is>
      </c>
      <c r="D3" s="4" t="inlineStr">
        <is>
          <t>FY2023 (£'000)</t>
        </is>
      </c>
      <c r="E3" s="4" t="inlineStr">
        <is>
          <t>FY2022 (£'000)</t>
        </is>
      </c>
      <c r="F3" s="4" t="inlineStr">
        <is>
          <t>FY2021 (£'000)</t>
        </is>
      </c>
    </row>
    <row r="4">
      <c r="A4" s="5" t="inlineStr">
        <is>
          <t>RWA by risk category</t>
        </is>
      </c>
      <c r="B4" s="6" t="n"/>
      <c r="C4" s="6" t="n"/>
      <c r="D4" s="6" t="n"/>
      <c r="E4" s="6" t="n"/>
      <c r="F4" s="6" t="n"/>
    </row>
    <row r="5">
      <c r="A5" s="6" t="inlineStr">
        <is>
          <t>Credit risk (excluding CCR)</t>
        </is>
      </c>
      <c r="B5" s="6" t="n"/>
      <c r="C5" s="6" t="n"/>
      <c r="D5" s="6" t="n">
        <v>169233</v>
      </c>
      <c r="E5" s="6" t="n">
        <v>160312</v>
      </c>
      <c r="F5" s="6" t="n">
        <v>143316</v>
      </c>
    </row>
    <row r="6">
      <c r="A6" s="6" t="inlineStr">
        <is>
          <t>Operational risk</t>
        </is>
      </c>
      <c r="B6" s="6" t="n"/>
      <c r="C6" s="6" t="n"/>
      <c r="D6" s="6" t="n">
        <v>20823</v>
      </c>
      <c r="E6" s="6" t="n">
        <v>13462</v>
      </c>
      <c r="F6" s="6" t="n">
        <v>9877</v>
      </c>
    </row>
    <row r="7">
      <c r="A7" s="5" t="inlineStr">
        <is>
          <t>Total RWAs</t>
        </is>
      </c>
      <c r="B7" s="5" t="n">
        <v>240287</v>
      </c>
      <c r="C7" s="5" t="n">
        <v>225196</v>
      </c>
      <c r="D7" s="5" t="n">
        <v>190056</v>
      </c>
      <c r="E7" s="5" t="n">
        <v>173774</v>
      </c>
      <c r="F7" s="5" t="n">
        <v>153193</v>
      </c>
    </row>
    <row r="9" ht="280" customHeight="1">
      <c r="A9" s="8" t="inlineStr">
        <is>
          <t>Sources - The Charity Bank Limited entity-level Pillar 3 / regulatory capital basis, UK OV1 template (RWAs by category):
FY2025/FY2024: Charity Bank 2025 Annual Report, p.32 (Strategic Report, aggregate Total RWA only - no category split published; standalone Pillar 3 disclosure ceased after the FY2023 edition, see PILLAR3_NOTE on the Pillar 3 metric sheets) - https://www.charitybank.org/wp-content/uploads/2026/06/Charity-Bank-2025-Annual-Report-signed.pdf
FY2023: Charity Bank Pillar 3 Disclosures 2023, p.15 (Template UK OV1) - https://web.archive.org/web/20250809165738/https://www.charitybank.org/wp-content/uploads/2024/10/PILLAR-3-disclosures-2023.pdf
FY2022: Charity Bank Pillar 3 Disclosures 2022, p.15 (Template UK OV1) - https://web.archive.org/web/20250805161700/https://www.charitybank.org/wp-content/uploads/2024/10/PILLAR-3-disclosures-2022-FINAL.pdf
FY2021: Charity Bank Pillar 3 Disclosures 2022, p.15 (Template UK OV1, FY2021 comparative column) - https://web.archive.org/web/20250805161700/https://www.charitybank.org/wp-content/uploads/2024/10/PILLAR-3-disclosures-2022-FINAL.pdf
PILLAR 3 NOTE: Charity Bank published an annual standalone Pillar 3 disclosure document every year through the FY2023 edition (retrieved via the Wayback Machine - the current live site no longer links to any Pillar 3 document, only Annual Reports). No FY2024 or FY2025 edition has been published anywhere as of the research date.
CAUSAL LINK NOW ESTABLISHED, 2026-09-15 (cross-bank SDDT pass) - this supersedes the earlier hedged wording, which said SDDT status was 'noted as context' but 'not asserted as a confirmed causal link'. The absence of a FY2024 and FY2025 Pillar 3 document is an EVIDENCED STRUCTURAL EXEMPTION, not a sourcing failure: becoming a Small Domestic Deposit Taker removes the Pillar 3 disclosure obligation outright, so no such document will ever exist for those years.
Evidence 1 - the PRA's own firm-level register. Bank of England consolidated list of waivers and modifications granted to PRA-authorised firms (downloaded 2026-09-15) carries the row: FRN 207701, 'The Charity Bank Limited', 'Modification by Consent - PRA Rulebook - CRR Firms - Rule 3.1 of the SDDT Regime - General Application Part', rule 'SDDT Regime - General Application', sub rule 'Ru 3.1', waiver ref 'A00007506P.pdf', start date '01/02/2024', no end date - https://www.bankofengland.co.uk/-/media/boe/files/prudential-regulation/authorisations/waivers-and-modifications-of-rules/consolidated-waivers-pra-firms.csv
Evidence 2 - Charity Bank in its own words, in both recent Annual Reports, under the heading 'Capital regulatory framework': 'In 2024, Charity Bank opted-in to the PRA's Small Domestic Deposit-Takers ('SDDT') regime, also known as 'Strong &amp; Simple'.' - Charity Bank 2024 Annual Report p.32 (https://www.charitybank.org/wp-content/uploads/2025/06/Charity-Bank-2024-Annual-Report-signed.pdf) and, repeated verbatim, Charity Bank 2025 Annual Report p.30 (https://www.charitybank.org/wp-content/uploads/2026/06/Charity-Bank-2025-Annual-Report-signed.pdf). This corroborates the register's 01/02/2024 start date and the FY2023 Annual Report's (p.35) 'was accepted into the Small Domestic Deposit Taker (SDDT) regime in January 2024' (https://www.charitybank.org/wp-content/uploads/2024/10/Charity-Bank-Annual-Accounts-2023.pdf).
Evidence 3 - what the Rule 3.1 modification does to Pillar 3, stated by a peer holding the identical register row: Cynergy Bank plc Annual Report &amp; Accounts 2024, p.71 - 'The Bank applied for the Modification by Consent to become an SDDT and received approval on 17 January 2025. As a result, we are not required to publish Pillar 3 disclosures as at 31 December 2024 and will submit only a simplified retail deposit ratio instead of a full Net Stable Funding Ratio (NSFR) going forward.'
DATE FIT: the modification took effect 1 February 2024, i.e. before the 31 December 2024 year-end, so it covers FY2024 and FY2025 - exactly the two years with no Pillar 3 document. It covers NEITHER FY2021, FY2022 nor FY2023, all of which have their own published Pillar 3 editions in any case. Do not read the exemption back onto FY2023 or earlier. Note also that the Annual Reports' statement that the SDDT regime 'takes full effect from 1 January 2027' refers to the SDDT simplified CAPITAL regime, which is a separate and later matter from the disclosure exemption that already applies. Charity Bank does not disclose a Simplified Retail Deposit Ratio value, so nothing replaces the NSFR series here.
For FY2024 and FY2025, capital amounts (Tier 1/Tier 2/Total capital, £), RWAs, leverage exposure, and CET1/Total Capital/Leverage ratios were instead sourced from the 'Capital risk' section of each year's own Annual Report (Strategic Report and Note 28) - the Annual Reports do not disclose LCR, NSFR, or MREL at all, so those sheets are blank for FY2024-FY2025 (not a transcription gap - genuinely not published anywhere).
FY2021 SOURCING NOTE: FY2021's own Pillar 3 Disclosures 2021 document uses an older format (a single 'Credit and operational risk RWAs' combined total of £153,193k plus a separate 'Total Credit Risk Capital Component' £'000 figure at an 8% weighting, not a UK OV1-style RWA-by-category table) - so the FY2021 category split shown here (Credit risk £143,316k / Operational risk £9,877k) is instead taken from the following year's own Pillar 3 Disclosures 2022 document, which states it as its own FY2021 comparative column. The combined Total (£153,193k) is independently corroborated by FY2021's own document and ties exactly to the existing Total RWAs metric sheet.</t>
        </is>
      </c>
    </row>
  </sheetData>
  <mergeCells count="1">
    <mergeCell ref="A9:F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inlineStr">
        <is>
          <t>10.13%</t>
        </is>
      </c>
      <c r="C4" s="6" t="inlineStr">
        <is>
          <t>10.39%</t>
        </is>
      </c>
      <c r="D4" s="6" t="inlineStr">
        <is>
          <t>9.64%</t>
        </is>
      </c>
      <c r="E4" s="6" t="inlineStr">
        <is>
          <t>8.39%</t>
        </is>
      </c>
      <c r="F4" s="6" t="inlineStr">
        <is>
          <t>7.72%</t>
        </is>
      </c>
    </row>
    <row r="5" ht="60" customHeight="1">
      <c r="A5" s="7" t="inlineStr">
        <is>
          <t>Note: LEVERAGE RATIO BASIS NOTE: the FY2021 Pillar 3 disclosure's own leverage ratio calculation (Tier 1 capital ÷ [total balance sheet assets + addbacks - intangibles + 10% of off-balance-sheet commitments]) does not show an explicit deduction for claims on central banks, whereas the FY2022-FY2025 figures are explicitly computed on a 'total exposure measure excluding claims on central banks' basis (per the UK KM1 Pillar 3 template / each Annual Report's own definition). FY2021 (7.72%) is therefore likely not on a directly comparable basis to FY2022 onward (8.39%-10.39%) - shown exactly as each year's own source states it, not blended or recalculated.</t>
        </is>
      </c>
    </row>
    <row r="7" ht="140" customHeight="1">
      <c r="A7" s="8" t="inlineStr">
        <is>
          <t>Sources - The Charity Bank Limited entity-level Pillar 3 / regulatory capital basis:
FY2025: Charity Bank 2025 Annual Report, p.93 (Note 28) / 32 (Strategic Report) - https://www.charitybank.org/wp-content/uploads/2026/06/Charity-Bank-2025-Annual-Report-signed.pdf
FY2024: Charity Bank 2024 Annual Report, p.91 (Note 28) / 34 (Strategic Report) - https://www.charitybank.org/wp-content/uploads/2025/06/Charity-Bank-2024-Annual-Report-signed.pdf
FY2023: Charity Bank Pillar 3 Disclosures 2023, p.14 (Template UK KM1) - https://web.archive.org/web/20250809165738/https://www.charitybank.org/wp-content/uploads/2024/10/PILLAR-3-disclosures-2023.pdf
FY2022: Charity Bank Pillar 3 Disclosures 2022, p.14-15 (Template UK KM1, FY2022 column) - https://web.archive.org/web/20250805161700/https://www.charitybank.org/wp-content/uploads/2024/10/PILLAR-3-disclosures-2022-FINAL.pdf
FY2021: Charity Bank Pillar 3 Disclosures 2021, p.15 (Own Funds / Key CRD IV Ratios) - https://web.archive.org/web/20250726224104/https://www.charitybank.org/wp-content/uploads/2024/10/PILLAR-3-disclosures-2021-Final.pdf; FY2021 LCR cross-check: FY2022 Pillar 3 Disclosure, FY2021 comparative column - https://web.archive.org/web/20250805161700/https://www.charitybank.org/wp-content/uploads/2024/10/PILLAR-3-disclosures-2022-FINAL.pdf
PILLAR 3 NOTE: Charity Bank published an annual standalone Pillar 3 disclosure document every year through the FY2023 edition (retrieved via the Wayback Machine - the current live site no longer links to any Pillar 3 document, only Annual Reports). No FY2024 or FY2025 edition has been published anywhere as of the research date.
CAUSAL LINK NOW ESTABLISHED, 2026-09-15 (cross-bank SDDT pass) - this supersedes the earlier hedged wording, which said SDDT status was 'noted as context' but 'not asserted as a confirmed causal link'. The absence of a FY2024 and FY2025 Pillar 3 document is an EVIDENCED STRUCTURAL EXEMPTION, not a sourcing failure: becoming a Small Domestic Deposit Taker removes the Pillar 3 disclosure obligation outright, so no such document will ever exist for those years.
Evidence 1 - the PRA's own firm-level register. Bank of England consolidated list of waivers and modifications granted to PRA-authorised firms (downloaded 2026-09-15) carries the row: FRN 207701, 'The Charity Bank Limited', 'Modification by Consent - PRA Rulebook - CRR Firms - Rule 3.1 of the SDDT Regime - General Application Part', rule 'SDDT Regime - General Application', sub rule 'Ru 3.1', waiver ref 'A00007506P.pdf', start date '01/02/2024', no end date - https://www.bankofengland.co.uk/-/media/boe/files/prudential-regulation/authorisations/waivers-and-modifications-of-rules/consolidated-waivers-pra-firms.csv
Evidence 2 - Charity Bank in its own words, in both recent Annual Reports, under the heading 'Capital regulatory framework': 'In 2024, Charity Bank opted-in to the PRA's Small Domestic Deposit-Takers ('SDDT') regime, also known as 'Strong &amp; Simple'.' - Charity Bank 2024 Annual Report p.32 (https://www.charitybank.org/wp-content/uploads/2025/06/Charity-Bank-2024-Annual-Report-signed.pdf) and, repeated verbatim, Charity Bank 2025 Annual Report p.30 (https://www.charitybank.org/wp-content/uploads/2026/06/Charity-Bank-2025-Annual-Report-signed.pdf). This corroborates the register's 01/02/2024 start date and the FY2023 Annual Report's (p.35) 'was accepted into the Small Domestic Deposit Taker (SDDT) regime in January 2024' (https://www.charitybank.org/wp-content/uploads/2024/10/Charity-Bank-Annual-Accounts-2023.pdf).
Evidence 3 - what the Rule 3.1 modification does to Pillar 3, stated by a peer holding the identical register row: Cynergy Bank plc Annual Report &amp; Accounts 2024, p.71 - 'The Bank applied for the Modification by Consent to become an SDDT and received approval on 17 January 2025. As a result, we are not required to publish Pillar 3 disclosures as at 31 December 2024 and will submit only a simplified retail deposit ratio instead of a full Net Stable Funding Ratio (NSFR) going forward.'
DATE FIT: the modification took effect 1 February 2024, i.e. before the 31 December 2024 year-end, so it covers FY2024 and FY2025 - exactly the two years with no Pillar 3 document. It covers NEITHER FY2021, FY2022 nor FY2023, all of which have their own published Pillar 3 editions in any case. Do not read the exemption back onto FY2023 or earlier. Note also that the Annual Reports' statement that the SDDT regime 'takes full effect from 1 January 2027' refers to the SDDT simplified CAPITAL regime, which is a separate and later matter from the disclosure exemption that already applies. Charity Bank does not disclose a Simplified Retail Deposit Ratio value, so nothing replaces the NSFR series here.
For FY2024 and FY2025, capital amounts (Tier 1/Tier 2/Total capital, £), RWAs, leverage exposure, and CET1/Total Capital/Leverage ratios were instead sourced from the 'Capital risk' section of each year's own Annual Report (Strategic Report and Note 28) - the Annual Reports do not disclose LCR, NSFR, or MREL at all, so those sheets are blank for FY2024-FY2025 (not a transcription gap - genuinely not published anywhere).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 (LCR)</t>
        </is>
      </c>
      <c r="B4" s="6" t="n"/>
      <c r="C4" s="6" t="n"/>
      <c r="D4" s="6" t="inlineStr">
        <is>
          <t>206.0%</t>
        </is>
      </c>
      <c r="E4" s="6" t="inlineStr">
        <is>
          <t>182.2%</t>
        </is>
      </c>
      <c r="F4" s="6" t="inlineStr">
        <is>
          <t>222.4%</t>
        </is>
      </c>
    </row>
    <row r="5" ht="60" customHeight="1">
      <c r="A5" s="7" t="inlineStr">
        <is>
          <t>Note: FY2021 is disclosed in the FY2022 Pillar 3 document's comparative column (222.4%); FY2024-FY2025 remain blank (no standalone Pillar 3 document has been published for either year, and the Annual Reports do not disclose LCR at all - see the Pillar 3 note on this sheet's source citation).</t>
        </is>
      </c>
    </row>
    <row r="7" ht="140" customHeight="1">
      <c r="A7" s="8" t="inlineStr">
        <is>
          <t>Sources - The Charity Bank Limited entity-level Pillar 3 / regulatory capital basis:
FY2025: Charity Bank 2025 Annual Report, p.93 (Note 28) / 32 (Strategic Report) - https://www.charitybank.org/wp-content/uploads/2026/06/Charity-Bank-2025-Annual-Report-signed.pdf
FY2024: Charity Bank 2024 Annual Report, p.91 (Note 28) / 34 (Strategic Report) - https://www.charitybank.org/wp-content/uploads/2025/06/Charity-Bank-2024-Annual-Report-signed.pdf
FY2023: Charity Bank Pillar 3 Disclosures 2023, p.14 (Template UK KM1) - https://web.archive.org/web/20250809165738/https://www.charitybank.org/wp-content/uploads/2024/10/PILLAR-3-disclosures-2023.pdf
FY2022: Charity Bank Pillar 3 Disclosures 2022, p.14-15 (Template UK KM1, FY2022 column) - https://web.archive.org/web/20250805161700/https://www.charitybank.org/wp-content/uploads/2024/10/PILLAR-3-disclosures-2022-FINAL.pdf
FY2021: Charity Bank Pillar 3 Disclosures 2021, p.15 (Own Funds / Key CRD IV Ratios) - https://web.archive.org/web/20250726224104/https://www.charitybank.org/wp-content/uploads/2024/10/PILLAR-3-disclosures-2021-Final.pdf; FY2021 LCR cross-check: FY2022 Pillar 3 Disclosure, FY2021 comparative column - https://web.archive.org/web/20250805161700/https://www.charitybank.org/wp-content/uploads/2024/10/PILLAR-3-disclosures-2022-FINAL.pdf
PILLAR 3 NOTE: Charity Bank published an annual standalone Pillar 3 disclosure document every year through the FY2023 edition (retrieved via the Wayback Machine - the current live site no longer links to any Pillar 3 document, only Annual Reports). No FY2024 or FY2025 edition has been published anywhere as of the research date.
CAUSAL LINK NOW ESTABLISHED, 2026-09-15 (cross-bank SDDT pass) - this supersedes the earlier hedged wording, which said SDDT status was 'noted as context' but 'not asserted as a confirmed causal link'. The absence of a FY2024 and FY2025 Pillar 3 document is an EVIDENCED STRUCTURAL EXEMPTION, not a sourcing failure: becoming a Small Domestic Deposit Taker removes the Pillar 3 disclosure obligation outright, so no such document will ever exist for those years.
Evidence 1 - the PRA's own firm-level register. Bank of England consolidated list of waivers and modifications granted to PRA-authorised firms (downloaded 2026-09-15) carries the row: FRN 207701, 'The Charity Bank Limited', 'Modification by Consent - PRA Rulebook - CRR Firms - Rule 3.1 of the SDDT Regime - General Application Part', rule 'SDDT Regime - General Application', sub rule 'Ru 3.1', waiver ref 'A00007506P.pdf', start date '01/02/2024', no end date - https://www.bankofengland.co.uk/-/media/boe/files/prudential-regulation/authorisations/waivers-and-modifications-of-rules/consolidated-waivers-pra-firms.csv
Evidence 2 - Charity Bank in its own words, in both recent Annual Reports, under the heading 'Capital regulatory framework': 'In 2024, Charity Bank opted-in to the PRA's Small Domestic Deposit-Takers ('SDDT') regime, also known as 'Strong &amp; Simple'.' - Charity Bank 2024 Annual Report p.32 (https://www.charitybank.org/wp-content/uploads/2025/06/Charity-Bank-2024-Annual-Report-signed.pdf) and, repeated verbatim, Charity Bank 2025 Annual Report p.30 (https://www.charitybank.org/wp-content/uploads/2026/06/Charity-Bank-2025-Annual-Report-signed.pdf). This corroborates the register's 01/02/2024 start date and the FY2023 Annual Report's (p.35) 'was accepted into the Small Domestic Deposit Taker (SDDT) regime in January 2024' (https://www.charitybank.org/wp-content/uploads/2024/10/Charity-Bank-Annual-Accounts-2023.pdf).
Evidence 3 - what the Rule 3.1 modification does to Pillar 3, stated by a peer holding the identical register row: Cynergy Bank plc Annual Report &amp; Accounts 2024, p.71 - 'The Bank applied for the Modification by Consent to become an SDDT and received approval on 17 January 2025. As a result, we are not required to publish Pillar 3 disclosures as at 31 December 2024 and will submit only a simplified retail deposit ratio instead of a full Net Stable Funding Ratio (NSFR) going forward.'
DATE FIT: the modification took effect 1 February 2024, i.e. before the 31 December 2024 year-end, so it covers FY2024 and FY2025 - exactly the two years with no Pillar 3 document. It covers NEITHER FY2021, FY2022 nor FY2023, all of which have their own published Pillar 3 editions in any case. Do not read the exemption back onto FY2023 or earlier. Note also that the Annual Reports' statement that the SDDT regime 'takes full effect from 1 January 2027' refers to the SDDT simplified CAPITAL regime, which is a separate and later matter from the disclosure exemption that already applies. Charity Bank does not disclose a Simplified Retail Deposit Ratio value, so nothing replaces the NSFR series here.
For FY2024 and FY2025, capital amounts (Tier 1/Tier 2/Total capital, £), RWAs, leverage exposure, and CET1/Total Capital/Leverage ratios were instead sourced from the 'Capital risk' section of each year's own Annual Report (Strategic Report and Note 28) - the Annual Reports do not disclose LCR, NSFR, or MREL at all, so those sheets are blank for FY2024-FY2025 (not a transcription gap - genuinely not published anywhere).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 (NSFR)</t>
        </is>
      </c>
      <c r="B4" s="6" t="n"/>
      <c r="C4" s="6" t="n"/>
      <c r="D4" s="6" t="inlineStr">
        <is>
          <t>139.7%</t>
        </is>
      </c>
      <c r="E4" s="6" t="inlineStr">
        <is>
          <t>135.6%</t>
        </is>
      </c>
      <c r="F4" s="6" t="n"/>
    </row>
    <row r="5" ht="60" customHeight="1">
      <c r="A5" s="7" t="inlineStr">
        <is>
          <t>Note: Blank FY2021 (not disclosed in that year's Pillar 3 document, predates the UK NSFR requirement in any case - PS22/21) and FY2024-FY2025 (no standalone Pillar 3 document published, Annual Reports don't disclose NSFR at all).</t>
        </is>
      </c>
    </row>
    <row r="7" ht="140" customHeight="1">
      <c r="A7" s="8" t="inlineStr">
        <is>
          <t>Sources - The Charity Bank Limited entity-level Pillar 3 / regulatory capital basis:
FY2025: Charity Bank 2025 Annual Report, p.93 (Note 28) / 32 (Strategic Report) - https://www.charitybank.org/wp-content/uploads/2026/06/Charity-Bank-2025-Annual-Report-signed.pdf
FY2024: Charity Bank 2024 Annual Report, p.91 (Note 28) / 34 (Strategic Report) - https://www.charitybank.org/wp-content/uploads/2025/06/Charity-Bank-2024-Annual-Report-signed.pdf
FY2023: Charity Bank Pillar 3 Disclosures 2023, p.14 (Template UK KM1) - https://web.archive.org/web/20250809165738/https://www.charitybank.org/wp-content/uploads/2024/10/PILLAR-3-disclosures-2023.pdf
FY2022: Charity Bank Pillar 3 Disclosures 2022, p.14-15 (Template UK KM1, FY2022 column) - https://web.archive.org/web/20250805161700/https://www.charitybank.org/wp-content/uploads/2024/10/PILLAR-3-disclosures-2022-FINAL.pdf
FY2021: Charity Bank Pillar 3 Disclosures 2021, p.15 (Own Funds / Key CRD IV Ratios) - https://web.archive.org/web/20250726224104/https://www.charitybank.org/wp-content/uploads/2024/10/PILLAR-3-disclosures-2021-Final.pdf; FY2021 LCR cross-check: FY2022 Pillar 3 Disclosure, FY2021 comparative column - https://web.archive.org/web/20250805161700/https://www.charitybank.org/wp-content/uploads/2024/10/PILLAR-3-disclosures-2022-FINAL.pdf
PILLAR 3 NOTE: Charity Bank published an annual standalone Pillar 3 disclosure document every year through the FY2023 edition (retrieved via the Wayback Machine - the current live site no longer links to any Pillar 3 document, only Annual Reports). No FY2024 or FY2025 edition has been published anywhere as of the research date.
CAUSAL LINK NOW ESTABLISHED, 2026-09-15 (cross-bank SDDT pass) - this supersedes the earlier hedged wording, which said SDDT status was 'noted as context' but 'not asserted as a confirmed causal link'. The absence of a FY2024 and FY2025 Pillar 3 document is an EVIDENCED STRUCTURAL EXEMPTION, not a sourcing failure: becoming a Small Domestic Deposit Taker removes the Pillar 3 disclosure obligation outright, so no such document will ever exist for those years.
Evidence 1 - the PRA's own firm-level register. Bank of England consolidated list of waivers and modifications granted to PRA-authorised firms (downloaded 2026-09-15) carries the row: FRN 207701, 'The Charity Bank Limited', 'Modification by Consent - PRA Rulebook - CRR Firms - Rule 3.1 of the SDDT Regime - General Application Part', rule 'SDDT Regime - General Application', sub rule 'Ru 3.1', waiver ref 'A00007506P.pdf', start date '01/02/2024', no end date - https://www.bankofengland.co.uk/-/media/boe/files/prudential-regulation/authorisations/waivers-and-modifications-of-rules/consolidated-waivers-pra-firms.csv
Evidence 2 - Charity Bank in its own words, in both recent Annual Reports, under the heading 'Capital regulatory framework': 'In 2024, Charity Bank opted-in to the PRA's Small Domestic Deposit-Takers ('SDDT') regime, also known as 'Strong &amp; Simple'.' - Charity Bank 2024 Annual Report p.32 (https://www.charitybank.org/wp-content/uploads/2025/06/Charity-Bank-2024-Annual-Report-signed.pdf) and, repeated verbatim, Charity Bank 2025 Annual Report p.30 (https://www.charitybank.org/wp-content/uploads/2026/06/Charity-Bank-2025-Annual-Report-signed.pdf). This corroborates the register's 01/02/2024 start date and the FY2023 Annual Report's (p.35) 'was accepted into the Small Domestic Deposit Taker (SDDT) regime in January 2024' (https://www.charitybank.org/wp-content/uploads/2024/10/Charity-Bank-Annual-Accounts-2023.pdf).
Evidence 3 - what the Rule 3.1 modification does to Pillar 3, stated by a peer holding the identical register row: Cynergy Bank plc Annual Report &amp; Accounts 2024, p.71 - 'The Bank applied for the Modification by Consent to become an SDDT and received approval on 17 January 2025. As a result, we are not required to publish Pillar 3 disclosures as at 31 December 2024 and will submit only a simplified retail deposit ratio instead of a full Net Stable Funding Ratio (NSFR) going forward.'
DATE FIT: the modification took effect 1 February 2024, i.e. before the 31 December 2024 year-end, so it covers FY2024 and FY2025 - exactly the two years with no Pillar 3 document. It covers NEITHER FY2021, FY2022 nor FY2023, all of which have their own published Pillar 3 editions in any case. Do not read the exemption back onto FY2023 or earlier. Note also that the Annual Reports' statement that the SDDT regime 'takes full effect from 1 January 2027' refers to the SDDT simplified CAPITAL regime, which is a separate and later matter from the disclosure exemption that already applies. Charity Bank does not disclose a Simplified Retail Deposit Ratio value, so nothing replaces the NSFR series here.
For FY2024 and FY2025, capital amounts (Tier 1/Tier 2/Total capital, £), RWAs, leverage exposure, and CET1/Total Capital/Leverage ratios were instead sourced from the 'Capital risk' section of each year's own Annual Report (Strategic Report and Note 28) - the Annual Reports do not disclose LCR, NSFR, or MREL at all, so those sheets are blank for FY2024-FY2025 (not a transcription gap - genuinely not published anywhere).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The Charity Bank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disclosed in any Pillar 3 document or Annual Report found for any year FY2021-FY2025 - no explicit exemption stated, simply absent from every source.</t>
        </is>
      </c>
    </row>
    <row r="7" ht="150" customHeight="1">
      <c r="A7" s="8" t="inlineStr">
        <is>
          <t>Sources - The Charity Bank Limited entity-level Pillar 3 / regulatory capital basis:
FY2025: Charity Bank 2025 Annual Report, p.93 (Note 28) / 32 (Strategic Report) - https://www.charitybank.org/wp-content/uploads/2026/06/Charity-Bank-2025-Annual-Report-signed.pdf
FY2024: Charity Bank 2024 Annual Report, p.91 (Note 28) / 34 (Strategic Report) - https://www.charitybank.org/wp-content/uploads/2025/06/Charity-Bank-2024-Annual-Report-signed.pdf
FY2023: Charity Bank Pillar 3 Disclosures 2023, p.14 (Template UK KM1) - https://web.archive.org/web/20250809165738/https://www.charitybank.org/wp-content/uploads/2024/10/PILLAR-3-disclosures-2023.pdf
FY2022: Charity Bank Pillar 3 Disclosures 2022, p.14-15 (Template UK KM1, FY2022 column) - https://web.archive.org/web/20250805161700/https://www.charitybank.org/wp-content/uploads/2024/10/PILLAR-3-disclosures-2022-FINAL.pdf
FY2021: Charity Bank Pillar 3 Disclosures 2021, p.15 (Own Funds / Key CRD IV Ratios) - https://web.archive.org/web/20250726224104/https://www.charitybank.org/wp-content/uploads/2024/10/PILLAR-3-disclosures-2021-Final.pdf; FY2021 LCR cross-check: FY2022 Pillar 3 Disclosure, FY2021 comparative column - https://web.archive.org/web/20250805161700/https://www.charitybank.org/wp-content/uploads/2024/10/PILLAR-3-disclosures-2022-FINAL.pdf
PILLAR 3 NOTE: Charity Bank published an annual standalone Pillar 3 disclosure document every year through the FY2023 edition (retrieved via the Wayback Machine - the current live site no longer links to any Pillar 3 document, only Annual Reports). No FY2024 or FY2025 edition has been published anywhere as of the research date.
CAUSAL LINK NOW ESTABLISHED, 2026-09-15 (cross-bank SDDT pass) - this supersedes the earlier hedged wording, which said SDDT status was 'noted as context' but 'not asserted as a confirmed causal link'. The absence of a FY2024 and FY2025 Pillar 3 document is an EVIDENCED STRUCTURAL EXEMPTION, not a sourcing failure: becoming a Small Domestic Deposit Taker removes the Pillar 3 disclosure obligation outright, so no such document will ever exist for those years.
Evidence 1 - the PRA's own firm-level register. Bank of England consolidated list of waivers and modifications granted to PRA-authorised firms (downloaded 2026-09-15) carries the row: FRN 207701, 'The Charity Bank Limited', 'Modification by Consent - PRA Rulebook - CRR Firms - Rule 3.1 of the SDDT Regime - General Application Part', rule 'SDDT Regime - General Application', sub rule 'Ru 3.1', waiver ref 'A00007506P.pdf', start date '01/02/2024', no end date - https://www.bankofengland.co.uk/-/media/boe/files/prudential-regulation/authorisations/waivers-and-modifications-of-rules/consolidated-waivers-pra-firms.csv
Evidence 2 - Charity Bank in its own words, in both recent Annual Reports, under the heading 'Capital regulatory framework': 'In 2024, Charity Bank opted-in to the PRA's Small Domestic Deposit-Takers ('SDDT') regime, also known as 'Strong &amp; Simple'.' - Charity Bank 2024 Annual Report p.32 (https://www.charitybank.org/wp-content/uploads/2025/06/Charity-Bank-2024-Annual-Report-signed.pdf) and, repeated verbatim, Charity Bank 2025 Annual Report p.30 (https://www.charitybank.org/wp-content/uploads/2026/06/Charity-Bank-2025-Annual-Report-signed.pdf). This corroborates the register's 01/02/2024 start date and the FY2023 Annual Report's (p.35) 'was accepted into the Small Domestic Deposit Taker (SDDT) regime in January 2024' (https://www.charitybank.org/wp-content/uploads/2024/10/Charity-Bank-Annual-Accounts-2023.pdf).
Evidence 3 - what the Rule 3.1 modification does to Pillar 3, stated by a peer holding the identical register row: Cynergy Bank plc Annual Report &amp; Accounts 2024, p.71 - 'The Bank applied for the Modification by Consent to become an SDDT and received approval on 17 January 2025. As a result, we are not required to publish Pillar 3 disclosures as at 31 December 2024 and will submit only a simplified retail deposit ratio instead of a full Net Stable Funding Ratio (NSFR) going forward.'
DATE FIT: the modification took effect 1 February 2024, i.e. before the 31 December 2024 year-end, so it covers FY2024 and FY2025 - exactly the two years with no Pillar 3 document. It covers NEITHER FY2021, FY2022 nor FY2023, all of which have their own published Pillar 3 editions in any case. Do not read the exemption back onto FY2023 or earlier. Note also that the Annual Reports' statement that the SDDT regime 'takes full effect from 1 January 2027' refers to the SDDT simplified CAPITAL regime, which is a separate and later matter from the disclosure exemption that already applies. Charity Bank does not disclose a Simplified Retail Deposit Ratio value, so nothing replaces the NSFR series here.
For FY2024 and FY2025, capital amounts (Tier 1/Tier 2/Total capital, £), RWAs, leverage exposure, and CET1/Total Capital/Leverage ratios were instead sourced from the 'Capital risk' section of each year's own Annual Report (Strategic Report and Note 28) - the Annual Reports do not disclose LCR, NSFR, or MREL at all, so those sheets are blank for FY2024-FY2025 (not a transcription gap - genuinely not published anywhere).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2026-09-15T09:58:22Z</dcterms:created>
  <dcterms:modified xmlns:dcterms="http://purl.org/dc/terms/" xmlns:xsi="http://www.w3.org/2001/XMLSchema-instance" xsi:type="dcterms:W3CDTF">2026-09-15T09:58:22Z</dcterms:modified>
</cp:coreProperties>
</file>