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ser>
          <idx val="5"/>
          <order val="5"/>
          <tx>
            <strRef>
              <f>'Overview'!Q11</f>
            </strRef>
          </tx>
          <spPr>
            <a:ln>
              <a:prstDash val="solid"/>
            </a:ln>
          </spPr>
          <marker>
            <symbol val="none"/>
            <spPr>
              <a:ln>
                <a:prstDash val="solid"/>
              </a:ln>
            </spPr>
          </marker>
          <cat>
            <numRef>
              <f>'Overview'!$R$5:$V$5</f>
            </numRef>
          </cat>
          <val>
            <numRef>
              <f>'Overview'!$R$11:$V$11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44</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2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The Charity Bank Limited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(outflow)/inflow from operating activities</t>
        </is>
      </c>
      <c r="B6" s="5" t="n">
        <v>-13510</v>
      </c>
      <c r="C6" s="5" t="n">
        <v>6397</v>
      </c>
      <c r="D6" s="5" t="n">
        <v>26761</v>
      </c>
      <c r="E6" s="5" t="n">
        <v>15953</v>
      </c>
      <c r="F6" s="5" t="n">
        <v>7914</v>
      </c>
      <c r="I6" t="inlineStr">
        <is>
          <t>Net cash (outflow)/inflow from operating activities</t>
        </is>
      </c>
      <c r="J6" t="n">
        <v>7914</v>
      </c>
      <c r="K6" t="n">
        <v>15953</v>
      </c>
      <c r="L6" t="n">
        <v>26761</v>
      </c>
      <c r="M6" t="n">
        <v>6397</v>
      </c>
      <c r="N6" t="n">
        <v>-13510</v>
      </c>
      <c r="Q6" t="inlineStr">
        <is>
          <t>CET1 Ratio</t>
        </is>
      </c>
      <c r="R6" t="n">
        <v>16.01</v>
      </c>
      <c r="S6" t="n">
        <v>15.05</v>
      </c>
      <c r="T6" t="n">
        <v>16.15</v>
      </c>
      <c r="U6" t="n">
        <v>16.67</v>
      </c>
      <c r="V6" t="n">
        <v>17.33</v>
      </c>
    </row>
    <row r="7">
      <c r="A7" s="5" t="inlineStr">
        <is>
          <t>Net cash outflow from investing activities</t>
        </is>
      </c>
      <c r="B7" s="5" t="n">
        <v>-47</v>
      </c>
      <c r="C7" s="5" t="n">
        <v>-236</v>
      </c>
      <c r="D7" s="5" t="n">
        <v>-34</v>
      </c>
      <c r="E7" s="5" t="n">
        <v>-14</v>
      </c>
      <c r="F7" s="5" t="n">
        <v>-65</v>
      </c>
      <c r="I7" t="inlineStr">
        <is>
          <t>Net cash outflow from investing activities</t>
        </is>
      </c>
      <c r="J7" t="n">
        <v>-65</v>
      </c>
      <c r="K7" t="n">
        <v>-14</v>
      </c>
      <c r="L7" t="n">
        <v>-34</v>
      </c>
      <c r="M7" t="n">
        <v>-236</v>
      </c>
      <c r="N7" t="n">
        <v>-47</v>
      </c>
      <c r="Q7" t="inlineStr">
        <is>
          <t>Tier 1 Ratio</t>
        </is>
      </c>
      <c r="R7" t="n">
        <v>16.01</v>
      </c>
      <c r="S7" t="n">
        <v>15.05</v>
      </c>
      <c r="T7" t="n">
        <v>16.15</v>
      </c>
      <c r="U7" t="n">
        <v>16.67</v>
      </c>
      <c r="V7" t="n">
        <v>17.33</v>
      </c>
    </row>
    <row r="8">
      <c r="A8" s="5" t="inlineStr">
        <is>
          <t>Net cash (outflow)/inflow from financing activities</t>
        </is>
      </c>
      <c r="B8" s="5" t="n">
        <v>-1095</v>
      </c>
      <c r="C8" s="5" t="n">
        <v>-229</v>
      </c>
      <c r="D8" s="5" t="n">
        <v>1495</v>
      </c>
      <c r="E8" s="5" t="n">
        <v>1325</v>
      </c>
      <c r="F8" s="5" t="n">
        <v>5975</v>
      </c>
      <c r="I8" t="inlineStr">
        <is>
          <t>Net cash (outflow)/inflow from financing activities</t>
        </is>
      </c>
      <c r="J8" t="n">
        <v>5975</v>
      </c>
      <c r="K8" t="n">
        <v>1325</v>
      </c>
      <c r="L8" t="n">
        <v>1495</v>
      </c>
      <c r="M8" t="n">
        <v>-229</v>
      </c>
      <c r="N8" t="n">
        <v>-1095</v>
      </c>
      <c r="Q8" t="inlineStr">
        <is>
          <t>Total Capital Ratio</t>
        </is>
      </c>
      <c r="R8" t="n">
        <v>18.15</v>
      </c>
      <c r="S8" t="n">
        <v>17.19</v>
      </c>
      <c r="T8" t="n">
        <v>17.65</v>
      </c>
      <c r="U8" t="n">
        <v>18.82</v>
      </c>
      <c r="V8" t="n">
        <v>19.58</v>
      </c>
    </row>
    <row r="9">
      <c r="A9" s="5" t="inlineStr">
        <is>
          <t>Cash and cash equivalents at end of year</t>
        </is>
      </c>
      <c r="B9" s="5" t="n">
        <v>82700</v>
      </c>
      <c r="C9" s="5" t="n">
        <v>97352</v>
      </c>
      <c r="D9" s="5" t="n">
        <v>91420</v>
      </c>
      <c r="E9" s="5" t="n">
        <v>63198</v>
      </c>
      <c r="F9" s="5" t="n">
        <v>45934</v>
      </c>
      <c r="I9" t="inlineStr">
        <is>
          <t>Cash and cash equivalents at end of year</t>
        </is>
      </c>
      <c r="J9" t="n">
        <v>45934</v>
      </c>
      <c r="K9" t="n">
        <v>63198</v>
      </c>
      <c r="L9" t="n">
        <v>91420</v>
      </c>
      <c r="M9" t="n">
        <v>97352</v>
      </c>
      <c r="N9" t="n">
        <v>82700</v>
      </c>
      <c r="Q9" t="inlineStr">
        <is>
          <t>Leverage Ratio</t>
        </is>
      </c>
      <c r="R9" t="n">
        <v>7.72</v>
      </c>
      <c r="S9" t="n">
        <v>8.390000000000001</v>
      </c>
      <c r="T9" t="n">
        <v>9.640000000000001</v>
      </c>
      <c r="U9" t="n">
        <v>10.39</v>
      </c>
      <c r="V9" t="n">
        <v>10.13</v>
      </c>
    </row>
    <row r="10">
      <c r="Q10" t="inlineStr">
        <is>
          <t>LCR</t>
        </is>
      </c>
      <c r="S10" t="n">
        <v>182.2</v>
      </c>
      <c r="T10" t="n">
        <v>206</v>
      </c>
    </row>
    <row r="11">
      <c r="A11" s="3" t="inlineStr">
        <is>
          <t>Pillar 3 Key Metrics</t>
        </is>
      </c>
      <c r="Q11" t="inlineStr">
        <is>
          <t>NSFR</t>
        </is>
      </c>
      <c r="S11" t="n">
        <v>135.6</v>
      </c>
      <c r="T11" t="n">
        <v>139.7</v>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v>17.33</v>
      </c>
      <c r="C13" s="6" t="n">
        <v>16.67</v>
      </c>
      <c r="D13" s="6" t="n">
        <v>16.15</v>
      </c>
      <c r="E13" s="6" t="n">
        <v>15.05</v>
      </c>
      <c r="F13" s="6" t="n">
        <v>16.01</v>
      </c>
    </row>
    <row r="14">
      <c r="A14" s="6" t="inlineStr">
        <is>
          <t>Tier 1 Ratio</t>
        </is>
      </c>
      <c r="B14" s="6" t="n">
        <v>17.33</v>
      </c>
      <c r="C14" s="6" t="n">
        <v>16.67</v>
      </c>
      <c r="D14" s="6" t="n">
        <v>16.15</v>
      </c>
      <c r="E14" s="6" t="n">
        <v>15.05</v>
      </c>
      <c r="F14" s="6" t="n">
        <v>16.01</v>
      </c>
    </row>
    <row r="15">
      <c r="A15" s="6" t="inlineStr">
        <is>
          <t>Total Capital Ratio</t>
        </is>
      </c>
      <c r="B15" s="6" t="n">
        <v>19.58</v>
      </c>
      <c r="C15" s="6" t="n">
        <v>18.82</v>
      </c>
      <c r="D15" s="6" t="n">
        <v>17.65</v>
      </c>
      <c r="E15" s="6" t="n">
        <v>17.19</v>
      </c>
      <c r="F15" s="6" t="n">
        <v>18.15</v>
      </c>
    </row>
    <row r="16">
      <c r="A16" s="6" t="inlineStr">
        <is>
          <t>Leverage Ratio</t>
        </is>
      </c>
      <c r="B16" s="6" t="n">
        <v>10.13</v>
      </c>
      <c r="C16" s="6" t="n">
        <v>10.39</v>
      </c>
      <c r="D16" s="6" t="n">
        <v>9.640000000000001</v>
      </c>
      <c r="E16" s="6" t="n">
        <v>8.390000000000001</v>
      </c>
      <c r="F16" s="6" t="n">
        <v>7.72</v>
      </c>
    </row>
    <row r="17">
      <c r="A17" s="6" t="inlineStr">
        <is>
          <t>LCR</t>
        </is>
      </c>
      <c r="B17" s="6" t="n"/>
      <c r="C17" s="6" t="n"/>
      <c r="D17" s="6" t="n">
        <v>206</v>
      </c>
      <c r="E17" s="6" t="n">
        <v>182.2</v>
      </c>
      <c r="F17" s="6" t="n"/>
    </row>
    <row r="18">
      <c r="A18" s="6" t="inlineStr">
        <is>
          <t>NSFR</t>
        </is>
      </c>
      <c r="B18" s="6" t="n"/>
      <c r="C18" s="6" t="n"/>
      <c r="D18" s="6" t="n">
        <v>139.7</v>
      </c>
      <c r="E18" s="6" t="n">
        <v>135.6</v>
      </c>
      <c r="F18" s="6" t="n"/>
    </row>
    <row r="20" ht="45" customHeight="1">
      <c r="A2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20:F2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n"/>
      <c r="C4" s="6" t="n"/>
      <c r="D4" s="6" t="inlineStr">
        <is>
          <t>206.0%</t>
        </is>
      </c>
      <c r="E4" s="6" t="inlineStr">
        <is>
          <t>182.2%</t>
        </is>
      </c>
      <c r="F4" s="6" t="n"/>
    </row>
    <row r="5" ht="60" customHeight="1">
      <c r="A5" s="7" t="inlineStr">
        <is>
          <t>Note: Blank FY2021 (not disclosed in that year's Pillar 3 document) and FY2024-FY2025 (no standalone Pillar 3 document has been published for either year, and the Annual Reports do not disclose LCR at all - see the Pillar 3 note on this sheet's source citation).</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n"/>
      <c r="D4" s="6" t="inlineStr">
        <is>
          <t>139.7%</t>
        </is>
      </c>
      <c r="E4" s="6" t="inlineStr">
        <is>
          <t>135.6%</t>
        </is>
      </c>
      <c r="F4" s="6" t="n"/>
    </row>
    <row r="5" ht="60" customHeight="1">
      <c r="A5" s="7" t="inlineStr">
        <is>
          <t>Note: Blank FY2021 (not disclosed in that year's Pillar 3 document, predates the UK NSFR requirement in any case - PS22/21) and FY2024-FY2025 (no standalone Pillar 3 document published, Annual Reports don't disclose NSFR at all).</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Pillar 3 document or Annual Report found for any year FY2021-FY2025 - no explicit exemption stated, simply absent from every source.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Charity Bank's own FY2023 Annual Report (p.35) states it 'was accepted into the Small Domestic Deposit Taker (SDDT) regime in January 2024' (https://www.charitybank.org/wp-content/uploads/2024/10/Charity-Bank-Annual-Accounts-2023.pdf) - noted as context for when the standalone Pillar 3 disclosures stopped, though no document explicitly states SDDT status as the reason Pillar 3 publication ceased, so this is not asserted as a confirmed causal link.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2026-08-26T20:32:45Z</dcterms:created>
  <dcterms:modified xsi:type="dcterms:W3CDTF">2026-08-26T20:32:45Z</dcterms:modified>
</cp:coreProperties>
</file>