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c r="J6" s="5" t="n">
        <v>234669</v>
      </c>
      <c r="K6" s="5" t="n">
        <v>53277</v>
      </c>
      <c r="N6" t="inlineStr">
        <is>
          <t>Total assets</t>
        </is>
      </c>
      <c r="O6" t="n">
        <v>53277</v>
      </c>
      <c r="P6" t="n">
        <v>234669</v>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c r="J7" s="5" t="n">
        <v>8698</v>
      </c>
      <c r="K7" s="5" t="n">
        <v>804</v>
      </c>
      <c r="N7" t="inlineStr">
        <is>
          <t>Loans and advances to customers</t>
        </is>
      </c>
      <c r="O7" t="n">
        <v>804</v>
      </c>
      <c r="P7" t="n">
        <v>8698</v>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c r="J8" s="5" t="n">
        <v>202323</v>
      </c>
      <c r="K8" s="5" t="n">
        <v>18083</v>
      </c>
      <c r="N8" t="inlineStr">
        <is>
          <t>Customer deposits</t>
        </is>
      </c>
      <c r="O8" t="n">
        <v>18083</v>
      </c>
      <c r="P8" t="n">
        <v>202323</v>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c r="J9" s="5" t="n">
        <v>27999</v>
      </c>
      <c r="K9" s="5" t="n">
        <v>32718</v>
      </c>
      <c r="N9" t="inlineStr">
        <is>
          <t>Total equity</t>
        </is>
      </c>
      <c r="O9" t="n">
        <v>32718</v>
      </c>
      <c r="P9" t="n">
        <v>27999</v>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c r="J27" s="5" t="n"/>
      <c r="K27" s="5" t="n"/>
      <c r="BA27" t="inlineStr">
        <is>
          <t>Net cash flows from investing activities</t>
        </is>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c r="J28" s="5" t="n"/>
      <c r="K28" s="5" t="n"/>
      <c r="BA28" t="inlineStr">
        <is>
          <t>Net cash flows from financing activities</t>
        </is>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c r="J29" s="5" t="n"/>
      <c r="K29" s="5" t="n"/>
      <c r="BA29" t="inlineStr">
        <is>
          <t>Cash and cash equivalents at end of period/year</t>
        </is>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c r="J6" s="6" t="n">
        <v>187008</v>
      </c>
      <c r="K6" s="6" t="n">
        <v>37544</v>
      </c>
    </row>
    <row r="7">
      <c r="A7" s="6" t="inlineStr">
        <is>
          <t>Total debt securities</t>
        </is>
      </c>
      <c r="B7" s="6" t="n">
        <v>6843426</v>
      </c>
      <c r="C7" s="6" t="n">
        <v>3934922</v>
      </c>
      <c r="D7" s="6" t="n">
        <v>3284867</v>
      </c>
      <c r="E7" s="6" t="n">
        <v>2479550</v>
      </c>
      <c r="F7" s="6" t="n">
        <v>2306886</v>
      </c>
      <c r="G7" s="6" t="n">
        <v>1513278</v>
      </c>
      <c r="H7" s="6" t="n"/>
      <c r="I7" s="6" t="n"/>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c r="J13" s="6" t="n">
        <v>8698</v>
      </c>
      <c r="K13" s="6" t="n">
        <v>804</v>
      </c>
    </row>
    <row r="14">
      <c r="A14" s="6" t="inlineStr">
        <is>
          <t>Other assets</t>
        </is>
      </c>
      <c r="B14" s="6" t="n">
        <v>63120</v>
      </c>
      <c r="C14" s="6" t="n">
        <v>54474</v>
      </c>
      <c r="D14" s="6" t="n">
        <v>100047</v>
      </c>
      <c r="E14" s="6" t="n">
        <v>71851</v>
      </c>
      <c r="F14" s="6" t="n">
        <v>66635</v>
      </c>
      <c r="G14" s="6" t="n">
        <v>63460</v>
      </c>
      <c r="H14" s="6" t="n"/>
      <c r="I14" s="6" t="n"/>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n"/>
      <c r="I21" s="5" t="n"/>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c r="J27" s="6" t="n">
        <v>3614</v>
      </c>
      <c r="K27" s="6" t="n">
        <v>808</v>
      </c>
    </row>
    <row r="28">
      <c r="A28" s="6" t="inlineStr">
        <is>
          <t>Deferred income</t>
        </is>
      </c>
      <c r="B28" s="6" t="n">
        <v>17245</v>
      </c>
      <c r="C28" s="6" t="n">
        <v>59980</v>
      </c>
      <c r="D28" s="6" t="n">
        <v>47873</v>
      </c>
      <c r="E28" s="6" t="n">
        <v>32380</v>
      </c>
      <c r="F28" s="6" t="n">
        <v>23059</v>
      </c>
      <c r="G28" s="6" t="n">
        <v>38463</v>
      </c>
      <c r="H28" s="6" t="n"/>
      <c r="I28" s="6" t="n"/>
      <c r="J28" s="6" t="n">
        <v>531</v>
      </c>
      <c r="K28" s="6" t="n">
        <v>1485</v>
      </c>
    </row>
    <row r="29">
      <c r="A29" s="6" t="inlineStr">
        <is>
          <t>Provisions</t>
        </is>
      </c>
      <c r="B29" s="6" t="n">
        <v>33775</v>
      </c>
      <c r="C29" s="6" t="n">
        <v>51396</v>
      </c>
      <c r="D29" s="6" t="n">
        <v>11507</v>
      </c>
      <c r="E29" s="6" t="n">
        <v>1342</v>
      </c>
      <c r="F29" s="6" t="n">
        <v>1242</v>
      </c>
      <c r="G29" s="6" t="n">
        <v>2000</v>
      </c>
      <c r="H29" s="6" t="n"/>
      <c r="I29" s="6" t="n"/>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c r="J34" s="6" t="n">
        <v>5</v>
      </c>
      <c r="K34" s="6" t="n">
        <v>5</v>
      </c>
    </row>
    <row r="35">
      <c r="A35" s="6" t="inlineStr">
        <is>
          <t>Share premium</t>
        </is>
      </c>
      <c r="B35" s="6" t="n">
        <v>0</v>
      </c>
      <c r="C35" s="6" t="n">
        <v>608833</v>
      </c>
      <c r="D35" s="6" t="n">
        <v>608833</v>
      </c>
      <c r="E35" s="6" t="n">
        <v>608833</v>
      </c>
      <c r="F35" s="6" t="n">
        <v>478333</v>
      </c>
      <c r="G35" s="6" t="n">
        <v>253335</v>
      </c>
      <c r="H35" s="6" t="n"/>
      <c r="I35" s="6" t="n"/>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c r="J39" s="6" t="n">
        <v>-40109</v>
      </c>
      <c r="K39" s="6" t="n">
        <v>-15039</v>
      </c>
    </row>
    <row r="40">
      <c r="A40" s="5" t="inlineStr">
        <is>
          <t>Total equity</t>
        </is>
      </c>
      <c r="B40" s="5" t="n">
        <v>1204945</v>
      </c>
      <c r="C40" s="5" t="n">
        <v>1046052</v>
      </c>
      <c r="D40" s="5" t="n">
        <v>889770</v>
      </c>
      <c r="E40" s="5" t="n">
        <v>695277</v>
      </c>
      <c r="F40" s="5" t="n">
        <v>430424</v>
      </c>
      <c r="G40" s="5" t="n">
        <v>140831</v>
      </c>
      <c r="H40" s="5" t="n"/>
      <c r="I40" s="5" t="n"/>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(FY2021-FY2025 presentation)</t>
        </is>
      </c>
      <c r="B4" s="6" t="n"/>
      <c r="C4" s="6" t="n"/>
      <c r="D4" s="6" t="n"/>
      <c r="E4" s="6" t="n"/>
      <c r="F4" s="6" t="n"/>
      <c r="G4" s="6" t="n"/>
      <c r="H4" s="6" t="n"/>
      <c r="I4" s="6" t="n"/>
      <c r="J4" s="6" t="n"/>
      <c r="K4" s="6" t="n"/>
    </row>
    <row r="5">
      <c r="A5" s="6" t="inlineStr">
        <is>
          <t>Interest income</t>
        </is>
      </c>
      <c r="B5" s="6" t="n"/>
      <c r="C5" s="6" t="n">
        <v>811695</v>
      </c>
      <c r="D5" s="6" t="n">
        <v>754808</v>
      </c>
      <c r="E5" s="6" t="n">
        <v>403103</v>
      </c>
      <c r="F5" s="6" t="n">
        <v>126614</v>
      </c>
      <c r="G5" s="6" t="n"/>
      <c r="H5" s="6" t="n"/>
      <c r="I5" s="6" t="n"/>
      <c r="J5" s="6" t="n"/>
      <c r="K5" s="6" t="n"/>
    </row>
    <row r="6">
      <c r="A6" s="6" t="inlineStr">
        <is>
          <t>Interest expense</t>
        </is>
      </c>
      <c r="B6" s="6" t="n"/>
      <c r="C6" s="6" t="n">
        <v>-221533</v>
      </c>
      <c r="D6" s="6" t="n">
        <v>-161937</v>
      </c>
      <c r="E6" s="6" t="n">
        <v>-54258</v>
      </c>
      <c r="F6" s="6" t="n">
        <v>-4902</v>
      </c>
      <c r="G6" s="6" t="n"/>
      <c r="H6" s="6" t="n"/>
      <c r="I6" s="6" t="n"/>
      <c r="J6" s="6" t="n"/>
      <c r="K6" s="6" t="n"/>
    </row>
    <row r="7">
      <c r="A7" s="5" t="inlineStr">
        <is>
          <t>Net interest income</t>
        </is>
      </c>
      <c r="B7" s="5" t="n"/>
      <c r="C7" s="5" t="n">
        <v>590162</v>
      </c>
      <c r="D7" s="5" t="n">
        <v>592871</v>
      </c>
      <c r="E7" s="5" t="n">
        <v>348845</v>
      </c>
      <c r="F7" s="5" t="n">
        <v>121712</v>
      </c>
      <c r="G7" s="5" t="n">
        <v>59253</v>
      </c>
      <c r="H7" s="5" t="n"/>
      <c r="I7" s="5" t="n"/>
      <c r="J7" s="5" t="n"/>
      <c r="K7" s="5" t="n"/>
    </row>
    <row r="8">
      <c r="A8" s="6" t="inlineStr">
        <is>
          <t>Fees and commissions income</t>
        </is>
      </c>
      <c r="B8" s="6" t="n"/>
      <c r="C8" s="6" t="n">
        <v>128306</v>
      </c>
      <c r="D8" s="6" t="n">
        <v>119467</v>
      </c>
      <c r="E8" s="6" t="n">
        <v>112413</v>
      </c>
      <c r="F8" s="6" t="n">
        <v>86041</v>
      </c>
      <c r="G8" s="6" t="n"/>
      <c r="H8" s="6" t="n"/>
      <c r="I8" s="6" t="n"/>
      <c r="J8" s="6" t="n"/>
      <c r="K8" s="6" t="n"/>
    </row>
    <row r="9">
      <c r="A9" s="6" t="inlineStr">
        <is>
          <t>Fees and commissions expense</t>
        </is>
      </c>
      <c r="B9" s="6" t="n"/>
      <c r="C9" s="6" t="n">
        <v>-33539</v>
      </c>
      <c r="D9" s="6" t="n">
        <v>-35044</v>
      </c>
      <c r="E9" s="6" t="n">
        <v>-38023</v>
      </c>
      <c r="F9" s="6" t="n">
        <v>-28311</v>
      </c>
      <c r="G9" s="6" t="n"/>
      <c r="H9" s="6" t="n"/>
      <c r="I9" s="6" t="n"/>
      <c r="J9" s="6" t="n"/>
      <c r="K9" s="6" t="n"/>
    </row>
    <row r="10">
      <c r="A10" s="5" t="inlineStr">
        <is>
          <t>Net fees and commissions</t>
        </is>
      </c>
      <c r="B10" s="5" t="n"/>
      <c r="C10" s="5" t="n">
        <v>94767</v>
      </c>
      <c r="D10" s="5" t="n">
        <v>84423</v>
      </c>
      <c r="E10" s="5" t="n">
        <v>74390</v>
      </c>
      <c r="F10" s="5" t="n">
        <v>57730</v>
      </c>
      <c r="G10" s="5" t="n">
        <v>33884</v>
      </c>
      <c r="H10" s="5" t="n"/>
      <c r="I10" s="5" t="n"/>
      <c r="J10" s="5" t="n"/>
      <c r="K10" s="5" t="n"/>
    </row>
    <row r="11">
      <c r="A11" s="6" t="inlineStr">
        <is>
          <t>Other (expense)/income</t>
        </is>
      </c>
      <c r="B11" s="6" t="n"/>
      <c r="C11" s="6" t="n">
        <v>-4546</v>
      </c>
      <c r="D11" s="6" t="n">
        <v>-30176</v>
      </c>
      <c r="E11" s="6" t="n">
        <v>-8421</v>
      </c>
      <c r="F11" s="6" t="n">
        <v>8624</v>
      </c>
      <c r="G11" s="6" t="n">
        <v>4452</v>
      </c>
      <c r="H11" s="6" t="n"/>
      <c r="I11" s="6" t="n"/>
      <c r="J11" s="6" t="n"/>
      <c r="K11" s="6" t="n"/>
    </row>
    <row r="12">
      <c r="A12" s="6" t="inlineStr">
        <is>
          <t>Credit for eligible spend (CIF)</t>
        </is>
      </c>
      <c r="B12" s="6" t="n"/>
      <c r="C12" s="6" t="n"/>
      <c r="D12" s="6" t="n"/>
      <c r="E12" s="6" t="n">
        <v>10447</v>
      </c>
      <c r="F12" s="6" t="n">
        <v>32958</v>
      </c>
      <c r="G12" s="6" t="n">
        <v>46044</v>
      </c>
      <c r="H12" s="6" t="n"/>
      <c r="I12" s="6" t="n"/>
      <c r="J12" s="6" t="n"/>
      <c r="K12" s="6" t="n"/>
    </row>
    <row r="13">
      <c r="A13" s="5" t="inlineStr">
        <is>
          <t>Total income</t>
        </is>
      </c>
      <c r="B13" s="5" t="n"/>
      <c r="C13" s="5" t="n">
        <v>680383</v>
      </c>
      <c r="D13" s="5" t="n">
        <v>647118</v>
      </c>
      <c r="E13" s="5" t="n">
        <v>414814</v>
      </c>
      <c r="F13" s="5" t="n">
        <v>188066</v>
      </c>
      <c r="G13" s="5" t="n">
        <v>97589</v>
      </c>
      <c r="H13" s="5" t="n"/>
      <c r="I13" s="5" t="n"/>
      <c r="J13" s="5" t="n"/>
      <c r="K13" s="5" t="n"/>
    </row>
    <row r="14">
      <c r="A14" s="6" t="inlineStr">
        <is>
          <t>Operating expenses / Administrative expenses</t>
        </is>
      </c>
      <c r="B14" s="6" t="n"/>
      <c r="C14" s="6" t="n">
        <v>-460213</v>
      </c>
      <c r="D14" s="6" t="n">
        <v>-332130</v>
      </c>
      <c r="E14" s="6" t="n">
        <v>-220674</v>
      </c>
      <c r="F14" s="6" t="n">
        <v>-178336</v>
      </c>
      <c r="G14" s="6" t="n">
        <v>-158981</v>
      </c>
      <c r="H14" s="6" t="n"/>
      <c r="I14" s="6" t="n"/>
      <c r="J14" s="6" t="n"/>
      <c r="K14" s="6" t="n"/>
    </row>
    <row r="15">
      <c r="A15" s="6" t="inlineStr">
        <is>
          <t>Impairment release/(charge) and charge-offs</t>
        </is>
      </c>
      <c r="B15" s="6" t="n"/>
      <c r="C15" s="6" t="n">
        <v>3243</v>
      </c>
      <c r="D15" s="6" t="n">
        <v>-13889</v>
      </c>
      <c r="E15" s="6" t="n">
        <v>-9991</v>
      </c>
      <c r="F15" s="6" t="n">
        <v>-10636</v>
      </c>
      <c r="G15" s="6" t="n">
        <v>-16106</v>
      </c>
      <c r="H15" s="6" t="n"/>
      <c r="I15" s="6" t="n"/>
      <c r="J15" s="6" t="n"/>
      <c r="K15" s="6" t="n"/>
    </row>
    <row r="16">
      <c r="A16" s="5" t="inlineStr">
        <is>
          <t>Profit/(loss) before taxation</t>
        </is>
      </c>
      <c r="B16" s="5" t="n"/>
      <c r="C16" s="5" t="n">
        <v>223413</v>
      </c>
      <c r="D16" s="5" t="n">
        <v>301099</v>
      </c>
      <c r="E16" s="5" t="n">
        <v>194596</v>
      </c>
      <c r="F16" s="5" t="n">
        <v>32052</v>
      </c>
      <c r="G16" s="5" t="n">
        <v>-31454</v>
      </c>
      <c r="H16" s="5" t="n"/>
      <c r="I16" s="5" t="n"/>
      <c r="J16" s="5" t="n"/>
      <c r="K16" s="5" t="n"/>
    </row>
    <row r="17">
      <c r="A17" s="6" t="inlineStr">
        <is>
          <t>Tax charge/(credit)</t>
        </is>
      </c>
      <c r="B17" s="6" t="n"/>
      <c r="C17" s="6" t="n">
        <v>-72691</v>
      </c>
      <c r="D17" s="6" t="n">
        <v>-81098</v>
      </c>
      <c r="E17" s="6" t="n">
        <v>-51740</v>
      </c>
      <c r="F17" s="6" t="n">
        <v>12886</v>
      </c>
      <c r="G17" s="6" t="n">
        <v>8135</v>
      </c>
      <c r="H17" s="6" t="n"/>
      <c r="I17" s="6" t="n"/>
      <c r="J17" s="6" t="n"/>
      <c r="K17" s="6" t="n"/>
    </row>
    <row r="18">
      <c r="A18" s="5" t="inlineStr">
        <is>
          <t>Profit/(loss) after taxation</t>
        </is>
      </c>
      <c r="B18" s="5" t="n"/>
      <c r="C18" s="5" t="n">
        <v>150722</v>
      </c>
      <c r="D18" s="5" t="n">
        <v>220001</v>
      </c>
      <c r="E18" s="5" t="n">
        <v>142856</v>
      </c>
      <c r="F18" s="5" t="n">
        <v>44938</v>
      </c>
      <c r="G18" s="5" t="n">
        <v>-23319</v>
      </c>
      <c r="H18" s="5" t="n"/>
      <c r="I18" s="5" t="n"/>
      <c r="J18" s="5" t="n"/>
      <c r="K18" s="5" t="n"/>
    </row>
    <row r="19">
      <c r="A19" s="5" t="inlineStr">
        <is>
          <t>Other comprehensive income, net of tax (FY2021-FY2025 presentation)</t>
        </is>
      </c>
      <c r="B19" s="6" t="n"/>
      <c r="C19" s="6" t="n"/>
      <c r="D19" s="6" t="n"/>
      <c r="E19" s="6" t="n"/>
      <c r="F19" s="6" t="n"/>
      <c r="G19" s="6" t="n"/>
      <c r="H19" s="6" t="n"/>
      <c r="I19" s="6" t="n"/>
      <c r="J19" s="6" t="n"/>
      <c r="K19" s="6" t="n"/>
    </row>
    <row r="20">
      <c r="A20" s="6" t="inlineStr">
        <is>
          <t>Translation of subsidiary company</t>
        </is>
      </c>
      <c r="B20" s="6" t="n"/>
      <c r="C20" s="6" t="n">
        <v>7</v>
      </c>
      <c r="D20" s="6" t="n">
        <v>25</v>
      </c>
      <c r="E20" s="6" t="n">
        <v>47</v>
      </c>
      <c r="F20" s="6" t="n">
        <v>-4</v>
      </c>
      <c r="G20" s="6" t="n"/>
      <c r="H20" s="6" t="n"/>
      <c r="I20" s="6" t="n"/>
      <c r="J20" s="6" t="n"/>
      <c r="K20" s="6" t="n"/>
    </row>
    <row r="21">
      <c r="A21" s="6" t="inlineStr">
        <is>
          <t>Cash flow hedges (net of tax)</t>
        </is>
      </c>
      <c r="B21" s="6" t="n"/>
      <c r="C21" s="6" t="n">
        <v>-7299</v>
      </c>
      <c r="D21" s="6" t="n">
        <v>27379</v>
      </c>
      <c r="E21" s="6" t="n">
        <v>-10246</v>
      </c>
      <c r="F21" s="6" t="n"/>
      <c r="G21" s="6" t="n"/>
      <c r="H21" s="6" t="n"/>
      <c r="I21" s="6" t="n"/>
      <c r="J21" s="6" t="n"/>
      <c r="K21" s="6" t="n"/>
    </row>
    <row r="22">
      <c r="A22" s="5" t="inlineStr">
        <is>
          <t>Other comprehensive income/(loss), net of tax</t>
        </is>
      </c>
      <c r="B22" s="5" t="n"/>
      <c r="C22" s="5" t="n">
        <v>-7292</v>
      </c>
      <c r="D22" s="5" t="n">
        <v>27404</v>
      </c>
      <c r="E22" s="5" t="n">
        <v>-10199</v>
      </c>
      <c r="F22" s="5" t="n">
        <v>-4</v>
      </c>
      <c r="G22" s="5" t="n">
        <v>0</v>
      </c>
      <c r="H22" s="5" t="n"/>
      <c r="I22" s="5" t="n"/>
      <c r="J22" s="5" t="n"/>
      <c r="K22" s="5" t="n"/>
    </row>
    <row r="23">
      <c r="A23" s="5" t="inlineStr">
        <is>
          <t>Total comprehensive income/(loss) for the year, net of tax (FY2021-FY2025 presentation)</t>
        </is>
      </c>
      <c r="B23" s="5" t="n"/>
      <c r="C23" s="5" t="n">
        <v>143430</v>
      </c>
      <c r="D23" s="5" t="n">
        <v>247405</v>
      </c>
      <c r="E23" s="5" t="n">
        <v>132657</v>
      </c>
      <c r="F23" s="5" t="n">
        <v>44934</v>
      </c>
      <c r="G23" s="5" t="n">
        <v>-23319</v>
      </c>
      <c r="H23" s="5" t="n"/>
      <c r="I23" s="5" t="n"/>
      <c r="J23" s="5" t="n"/>
      <c r="K23" s="5" t="n"/>
    </row>
    <row r="24">
      <c r="A24" s="5" t="inlineStr">
        <is>
          <t>Income statement (FY2026 presentation - Revenue/Cost of revenue/Gross profit structure)</t>
        </is>
      </c>
      <c r="B24" s="6" t="n"/>
      <c r="C24" s="6" t="n"/>
      <c r="D24" s="6" t="n"/>
      <c r="E24" s="6" t="n"/>
      <c r="F24" s="6" t="n"/>
      <c r="G24" s="6" t="n"/>
      <c r="H24" s="6" t="n"/>
      <c r="I24" s="6" t="n"/>
      <c r="J24" s="6" t="n"/>
      <c r="K24" s="6" t="n"/>
    </row>
    <row r="25">
      <c r="A25" s="6" t="inlineStr">
        <is>
          <t>Interest income (FY2026 presentation)</t>
        </is>
      </c>
      <c r="B25" s="6" t="n">
        <v>759202</v>
      </c>
      <c r="C25" s="6" t="n"/>
      <c r="D25" s="6" t="n"/>
      <c r="E25" s="6" t="n"/>
      <c r="F25" s="6" t="n"/>
      <c r="G25" s="6" t="n"/>
      <c r="H25" s="6" t="n"/>
      <c r="I25" s="6" t="n"/>
      <c r="J25" s="6" t="n"/>
      <c r="K25" s="6" t="n"/>
    </row>
    <row r="26">
      <c r="A26" s="6" t="inlineStr">
        <is>
          <t>Fee and commission income (FY2026 presentation)</t>
        </is>
      </c>
      <c r="B26" s="6" t="n">
        <v>128153</v>
      </c>
      <c r="C26" s="6" t="n"/>
      <c r="D26" s="6" t="n"/>
      <c r="E26" s="6" t="n"/>
      <c r="F26" s="6" t="n"/>
      <c r="G26" s="6" t="n"/>
      <c r="H26" s="6" t="n"/>
      <c r="I26" s="6" t="n"/>
      <c r="J26" s="6" t="n"/>
      <c r="K26" s="6" t="n"/>
    </row>
    <row r="27">
      <c r="A27" s="5" t="inlineStr">
        <is>
          <t>Revenue (FY2026 presentation)</t>
        </is>
      </c>
      <c r="B27" s="5" t="n">
        <v>887355</v>
      </c>
      <c r="C27" s="5" t="n"/>
      <c r="D27" s="5" t="n"/>
      <c r="E27" s="5" t="n"/>
      <c r="F27" s="5" t="n"/>
      <c r="G27" s="5" t="n"/>
      <c r="H27" s="5" t="n"/>
      <c r="I27" s="5" t="n"/>
      <c r="J27" s="5" t="n"/>
      <c r="K27" s="5" t="n"/>
    </row>
    <row r="28">
      <c r="A28" s="6" t="inlineStr">
        <is>
          <t>Interest expense (FY2026 presentation)</t>
        </is>
      </c>
      <c r="B28" s="6" t="n">
        <v>-189263</v>
      </c>
      <c r="C28" s="6" t="n"/>
      <c r="D28" s="6" t="n"/>
      <c r="E28" s="6" t="n"/>
      <c r="F28" s="6" t="n"/>
      <c r="G28" s="6" t="n"/>
      <c r="H28" s="6" t="n"/>
      <c r="I28" s="6" t="n"/>
      <c r="J28" s="6" t="n"/>
      <c r="K28" s="6" t="n"/>
    </row>
    <row r="29">
      <c r="A29" s="6" t="inlineStr">
        <is>
          <t>Fee expense and cost of services (FY2026 presentation)</t>
        </is>
      </c>
      <c r="B29" s="6" t="n">
        <v>-46579</v>
      </c>
      <c r="C29" s="6" t="n"/>
      <c r="D29" s="6" t="n"/>
      <c r="E29" s="6" t="n"/>
      <c r="F29" s="6" t="n"/>
      <c r="G29" s="6" t="n"/>
      <c r="H29" s="6" t="n"/>
      <c r="I29" s="6" t="n"/>
      <c r="J29" s="6" t="n"/>
      <c r="K29" s="6" t="n"/>
    </row>
    <row r="30">
      <c r="A30" s="6" t="inlineStr">
        <is>
          <t>Impairment (charge)/release (FY2026 presentation)</t>
        </is>
      </c>
      <c r="B30" s="6" t="n">
        <v>-6649</v>
      </c>
      <c r="C30" s="6" t="n"/>
      <c r="D30" s="6" t="n"/>
      <c r="E30" s="6" t="n"/>
      <c r="F30" s="6" t="n"/>
      <c r="G30" s="6" t="n"/>
      <c r="H30" s="6" t="n"/>
      <c r="I30" s="6" t="n"/>
      <c r="J30" s="6" t="n"/>
      <c r="K30" s="6" t="n"/>
    </row>
    <row r="31">
      <c r="A31" s="5" t="inlineStr">
        <is>
          <t>Cost of revenue (FY2026 presentation)</t>
        </is>
      </c>
      <c r="B31" s="5" t="n">
        <v>-242491</v>
      </c>
      <c r="C31" s="5" t="n"/>
      <c r="D31" s="5" t="n"/>
      <c r="E31" s="5" t="n"/>
      <c r="F31" s="5" t="n"/>
      <c r="G31" s="5" t="n"/>
      <c r="H31" s="5" t="n"/>
      <c r="I31" s="5" t="n"/>
      <c r="J31" s="5" t="n"/>
      <c r="K31" s="5" t="n"/>
    </row>
    <row r="32">
      <c r="A32" s="5" t="inlineStr">
        <is>
          <t>Gross profit (FY2026 presentation)</t>
        </is>
      </c>
      <c r="B32" s="5" t="n">
        <v>644864</v>
      </c>
      <c r="C32" s="5" t="n"/>
      <c r="D32" s="5" t="n"/>
      <c r="E32" s="5" t="n"/>
      <c r="F32" s="5" t="n"/>
      <c r="G32" s="5" t="n"/>
      <c r="H32" s="5" t="n"/>
      <c r="I32" s="5" t="n"/>
      <c r="J32" s="5" t="n"/>
      <c r="K32" s="5" t="n"/>
    </row>
    <row r="33">
      <c r="A33" s="6" t="inlineStr">
        <is>
          <t>Other income/(expense) (FY2026 presentation)</t>
        </is>
      </c>
      <c r="B33" s="6" t="n">
        <v>14209</v>
      </c>
      <c r="C33" s="6" t="n"/>
      <c r="D33" s="6" t="n"/>
      <c r="E33" s="6" t="n"/>
      <c r="F33" s="6" t="n"/>
      <c r="G33" s="6" t="n"/>
      <c r="H33" s="6" t="n"/>
      <c r="I33" s="6" t="n"/>
      <c r="J33" s="6" t="n"/>
      <c r="K33" s="6" t="n"/>
    </row>
    <row r="34">
      <c r="A34" s="6" t="inlineStr">
        <is>
          <t>Operating expenses (FY2026 presentation)</t>
        </is>
      </c>
      <c r="B34" s="6" t="n">
        <v>-441955</v>
      </c>
      <c r="C34" s="6" t="n"/>
      <c r="D34" s="6" t="n"/>
      <c r="E34" s="6" t="n"/>
      <c r="F34" s="6" t="n"/>
      <c r="G34" s="6" t="n"/>
      <c r="H34" s="6" t="n"/>
      <c r="I34" s="6" t="n"/>
      <c r="J34" s="6" t="n"/>
      <c r="K34" s="6" t="n"/>
    </row>
    <row r="35">
      <c r="A35" s="5" t="inlineStr">
        <is>
          <t>Profit before taxation (FY2026 presentation)</t>
        </is>
      </c>
      <c r="B35" s="5" t="n">
        <v>217118</v>
      </c>
      <c r="C35" s="5" t="n"/>
      <c r="D35" s="5" t="n"/>
      <c r="E35" s="5" t="n"/>
      <c r="F35" s="5" t="n"/>
      <c r="G35" s="5" t="n"/>
      <c r="H35" s="5" t="n"/>
      <c r="I35" s="5" t="n"/>
      <c r="J35" s="5" t="n"/>
      <c r="K35" s="5" t="n"/>
    </row>
    <row r="36">
      <c r="A36" s="6" t="inlineStr">
        <is>
          <t>Tax charge (FY2026 presentation)</t>
        </is>
      </c>
      <c r="B36" s="6" t="n">
        <v>-61075</v>
      </c>
      <c r="C36" s="6" t="n"/>
      <c r="D36" s="6" t="n"/>
      <c r="E36" s="6" t="n"/>
      <c r="F36" s="6" t="n"/>
      <c r="G36" s="6" t="n"/>
      <c r="H36" s="6" t="n"/>
      <c r="I36" s="6" t="n"/>
      <c r="J36" s="6" t="n"/>
      <c r="K36" s="6" t="n"/>
    </row>
    <row r="37">
      <c r="A37" s="5" t="inlineStr">
        <is>
          <t>Profit after taxation (FY2026 presentation)</t>
        </is>
      </c>
      <c r="B37" s="5" t="n">
        <v>156043</v>
      </c>
      <c r="C37" s="5" t="n"/>
      <c r="D37" s="5" t="n"/>
      <c r="E37" s="5" t="n"/>
      <c r="F37" s="5" t="n"/>
      <c r="G37" s="5" t="n"/>
      <c r="H37" s="5" t="n"/>
      <c r="I37" s="5" t="n"/>
      <c r="J37" s="5" t="n"/>
      <c r="K37" s="5" t="n"/>
    </row>
    <row r="38">
      <c r="A38" s="5" t="inlineStr">
        <is>
          <t>Other comprehensive income, net of tax (FY2026 presentation)</t>
        </is>
      </c>
      <c r="B38" s="6" t="n"/>
      <c r="C38" s="6" t="n"/>
      <c r="D38" s="6" t="n"/>
      <c r="E38" s="6" t="n"/>
      <c r="F38" s="6" t="n"/>
      <c r="G38" s="6" t="n"/>
      <c r="H38" s="6" t="n"/>
      <c r="I38" s="6" t="n"/>
      <c r="J38" s="6" t="n"/>
      <c r="K38" s="6" t="n"/>
    </row>
    <row r="39">
      <c r="A39" s="6" t="inlineStr">
        <is>
          <t>Translation of subsidiary companies (FY2026 presentation)</t>
        </is>
      </c>
      <c r="B39" s="6" t="n">
        <v>-11</v>
      </c>
      <c r="C39" s="6" t="n"/>
      <c r="D39" s="6" t="n"/>
      <c r="E39" s="6" t="n"/>
      <c r="F39" s="6" t="n"/>
      <c r="G39" s="6" t="n"/>
      <c r="H39" s="6" t="n"/>
      <c r="I39" s="6" t="n"/>
      <c r="J39" s="6" t="n"/>
      <c r="K39" s="6" t="n"/>
    </row>
    <row r="40">
      <c r="A40" s="6" t="inlineStr">
        <is>
          <t>Cash flow hedges (net of tax) (FY2026 presentation)</t>
        </is>
      </c>
      <c r="B40" s="6" t="n">
        <v>-9407</v>
      </c>
      <c r="C40" s="6" t="n"/>
      <c r="D40" s="6" t="n"/>
      <c r="E40" s="6" t="n"/>
      <c r="F40" s="6" t="n"/>
      <c r="G40" s="6" t="n"/>
      <c r="H40" s="6" t="n"/>
      <c r="I40" s="6" t="n"/>
      <c r="J40" s="6" t="n"/>
      <c r="K40" s="6" t="n"/>
    </row>
    <row r="41">
      <c r="A41" s="5" t="inlineStr">
        <is>
          <t>Other comprehensive income/(loss), net of tax (FY2026 presentation)</t>
        </is>
      </c>
      <c r="B41" s="5" t="n">
        <v>-9418</v>
      </c>
      <c r="C41" s="5" t="n"/>
      <c r="D41" s="5" t="n"/>
      <c r="E41" s="5" t="n"/>
      <c r="F41" s="5" t="n"/>
      <c r="G41" s="5" t="n"/>
      <c r="H41" s="5" t="n"/>
      <c r="I41" s="5" t="n"/>
      <c r="J41" s="5" t="n"/>
      <c r="K41" s="5" t="n"/>
    </row>
    <row r="42">
      <c r="A42" s="5" t="inlineStr">
        <is>
          <t>Total comprehensive income for the year, net of tax (FY2026 presentation)</t>
        </is>
      </c>
      <c r="B42" s="5" t="n">
        <v>146625</v>
      </c>
      <c r="C42" s="5" t="n"/>
      <c r="D42" s="5" t="n"/>
      <c r="E42" s="5" t="n"/>
      <c r="F42" s="5" t="n"/>
      <c r="G42" s="5" t="n"/>
      <c r="H42" s="5" t="n"/>
      <c r="I42" s="5" t="n"/>
      <c r="J42" s="5" t="n"/>
      <c r="K42" s="5" t="n"/>
    </row>
    <row r="44" ht="38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K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38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6" t="inlineStr">
        <is>
          <t>Profit/(loss) for the period after taxation (FY2021-FY2023 presentation)</t>
        </is>
      </c>
      <c r="B5" s="6" t="n"/>
      <c r="C5" s="6" t="n"/>
      <c r="D5" s="6" t="n"/>
      <c r="E5" s="6" t="n">
        <v>142856</v>
      </c>
      <c r="F5" s="6" t="n">
        <v>44938</v>
      </c>
      <c r="G5" s="6" t="n">
        <v>-23319</v>
      </c>
      <c r="H5" s="6" t="n"/>
      <c r="I5" s="6" t="n"/>
      <c r="J5" s="6" t="n"/>
      <c r="K5" s="6" t="n"/>
    </row>
    <row r="6">
      <c r="A6" s="5" t="inlineStr">
        <is>
          <t>Adjustments for non-cash items (FY2021-FY2023 presentation)</t>
        </is>
      </c>
      <c r="B6" s="6" t="n"/>
      <c r="C6" s="6" t="n"/>
      <c r="D6" s="6" t="n"/>
      <c r="E6" s="6" t="n"/>
      <c r="F6" s="6" t="n"/>
      <c r="G6" s="6" t="n"/>
      <c r="H6" s="6" t="n"/>
      <c r="I6" s="6" t="n"/>
      <c r="J6" s="6" t="n"/>
      <c r="K6" s="6" t="n"/>
    </row>
    <row r="7">
      <c r="A7" s="6" t="inlineStr">
        <is>
          <t>Depreciation and Amortisation</t>
        </is>
      </c>
      <c r="B7" s="6" t="n"/>
      <c r="C7" s="6" t="n"/>
      <c r="D7" s="6" t="n"/>
      <c r="E7" s="6" t="n">
        <v>10953</v>
      </c>
      <c r="F7" s="6" t="n">
        <v>6384</v>
      </c>
      <c r="G7" s="6" t="n">
        <v>7045</v>
      </c>
      <c r="H7" s="6" t="n"/>
      <c r="I7" s="6" t="n"/>
      <c r="J7" s="6" t="n"/>
      <c r="K7" s="6" t="n"/>
    </row>
    <row r="8">
      <c r="A8" s="6" t="inlineStr">
        <is>
          <t>Cost of Share Award Schemes, Net of Tax / FV of Shares Allocated to Employees</t>
        </is>
      </c>
      <c r="B8" s="6" t="n"/>
      <c r="C8" s="6" t="n"/>
      <c r="D8" s="6" t="n"/>
      <c r="E8" s="6" t="n">
        <v>1323</v>
      </c>
      <c r="F8" s="6" t="n">
        <v>4659</v>
      </c>
      <c r="G8" s="6" t="n">
        <v>1927</v>
      </c>
      <c r="H8" s="6" t="n"/>
      <c r="I8" s="6" t="n"/>
      <c r="J8" s="6" t="n"/>
      <c r="K8" s="6" t="n"/>
    </row>
    <row r="9">
      <c r="A9" s="6" t="inlineStr">
        <is>
          <t>Change in Derivatives and Fair Value on Hedging Relationships</t>
        </is>
      </c>
      <c r="B9" s="6" t="n"/>
      <c r="C9" s="6" t="n"/>
      <c r="D9" s="6" t="n"/>
      <c r="E9" s="6" t="n">
        <v>6487</v>
      </c>
      <c r="F9" s="6" t="n">
        <v>-7905</v>
      </c>
      <c r="G9" s="6" t="n"/>
      <c r="H9" s="6" t="n"/>
      <c r="I9" s="6" t="n"/>
      <c r="J9" s="6" t="n"/>
      <c r="K9" s="6" t="n"/>
    </row>
    <row r="10">
      <c r="A10" s="6" t="inlineStr">
        <is>
          <t>Net Increase in Fair Value of Derivatives (FY2021 presentation)</t>
        </is>
      </c>
      <c r="B10" s="6" t="n"/>
      <c r="C10" s="6" t="n"/>
      <c r="D10" s="6" t="n"/>
      <c r="E10" s="6" t="n"/>
      <c r="F10" s="6" t="n"/>
      <c r="G10" s="6" t="n">
        <v>-12670</v>
      </c>
      <c r="H10" s="6" t="n"/>
      <c r="I10" s="6" t="n"/>
      <c r="J10" s="6" t="n"/>
      <c r="K10" s="6" t="n"/>
    </row>
    <row r="11">
      <c r="A11" s="6" t="inlineStr">
        <is>
          <t>Net Increase in Fair Value of Assets Designated as Hedged Items (FY2021 presentation)</t>
        </is>
      </c>
      <c r="B11" s="6" t="n"/>
      <c r="C11" s="6" t="n"/>
      <c r="D11" s="6" t="n"/>
      <c r="E11" s="6" t="n"/>
      <c r="F11" s="6" t="n"/>
      <c r="G11" s="6" t="n">
        <v>12520</v>
      </c>
      <c r="H11" s="6" t="n"/>
      <c r="I11" s="6" t="n"/>
      <c r="J11" s="6" t="n"/>
      <c r="K11" s="6" t="n"/>
    </row>
    <row r="12">
      <c r="A12" s="6" t="inlineStr">
        <is>
          <t>Impairment and Charge-offs</t>
        </is>
      </c>
      <c r="B12" s="6" t="n"/>
      <c r="C12" s="6" t="n"/>
      <c r="D12" s="6" t="n"/>
      <c r="E12" s="6" t="n">
        <v>9991</v>
      </c>
      <c r="F12" s="6" t="n">
        <v>10226</v>
      </c>
      <c r="G12" s="6" t="n">
        <v>16106</v>
      </c>
      <c r="H12" s="6" t="n"/>
      <c r="I12" s="6" t="n"/>
      <c r="J12" s="6" t="n"/>
      <c r="K12" s="6" t="n"/>
    </row>
    <row r="13">
      <c r="A13" s="6" t="inlineStr">
        <is>
          <t>Recognition of Right of Use Asset (FY2021 presentation)</t>
        </is>
      </c>
      <c r="B13" s="6" t="n"/>
      <c r="C13" s="6" t="n"/>
      <c r="D13" s="6" t="n"/>
      <c r="E13" s="6" t="n"/>
      <c r="F13" s="6" t="n"/>
      <c r="G13" s="6" t="n">
        <v>-5527</v>
      </c>
      <c r="H13" s="6" t="n"/>
      <c r="I13" s="6" t="n"/>
      <c r="J13" s="6" t="n"/>
      <c r="K13" s="6" t="n"/>
    </row>
    <row r="14">
      <c r="A14" s="6" t="inlineStr">
        <is>
          <t>Foreign Exchange Losses on Consolidation (FY2021 presentation)</t>
        </is>
      </c>
      <c r="B14" s="6" t="n"/>
      <c r="C14" s="6" t="n"/>
      <c r="D14" s="6" t="n"/>
      <c r="E14" s="6" t="n"/>
      <c r="F14" s="6" t="n"/>
      <c r="G14" s="6" t="n">
        <v>91</v>
      </c>
      <c r="H14" s="6" t="n"/>
      <c r="I14" s="6" t="n"/>
      <c r="J14" s="6" t="n"/>
      <c r="K14" s="6" t="n"/>
    </row>
    <row r="15">
      <c r="A15" s="6" t="inlineStr">
        <is>
          <t>Disposal of Intangible Assets (FY2021 presentation)</t>
        </is>
      </c>
      <c r="B15" s="6" t="n"/>
      <c r="C15" s="6" t="n"/>
      <c r="D15" s="6" t="n"/>
      <c r="E15" s="6" t="n"/>
      <c r="F15" s="6" t="n"/>
      <c r="G15" s="6" t="n">
        <v>358</v>
      </c>
      <c r="H15" s="6" t="n"/>
      <c r="I15" s="6" t="n"/>
      <c r="J15" s="6" t="n"/>
      <c r="K15" s="6" t="n"/>
    </row>
    <row r="16">
      <c r="A16" s="6" t="inlineStr">
        <is>
          <t>Net Increase in Deferred Tax Asset (adjustment)</t>
        </is>
      </c>
      <c r="B16" s="6" t="n"/>
      <c r="C16" s="6" t="n"/>
      <c r="D16" s="6" t="n"/>
      <c r="E16" s="6" t="n"/>
      <c r="F16" s="6" t="n"/>
      <c r="G16" s="6" t="n">
        <v>-6088</v>
      </c>
      <c r="H16" s="6" t="n"/>
      <c r="I16" s="6" t="n"/>
      <c r="J16" s="6" t="n"/>
      <c r="K16" s="6" t="n"/>
    </row>
    <row r="17">
      <c r="A17" s="6" t="inlineStr">
        <is>
          <t>Taxation Charged to the Income Statement</t>
        </is>
      </c>
      <c r="B17" s="6" t="n"/>
      <c r="C17" s="6" t="n"/>
      <c r="D17" s="6" t="n"/>
      <c r="E17" s="6" t="n">
        <v>51740</v>
      </c>
      <c r="F17" s="6" t="n"/>
      <c r="G17" s="6" t="n"/>
      <c r="H17" s="6" t="n"/>
      <c r="I17" s="6" t="n"/>
      <c r="J17" s="6" t="n"/>
      <c r="K17" s="6" t="n"/>
    </row>
    <row r="18">
      <c r="A18" s="6" t="inlineStr">
        <is>
          <t>Other Non-Cash Items</t>
        </is>
      </c>
      <c r="B18" s="6" t="n"/>
      <c r="C18" s="6" t="n"/>
      <c r="D18" s="6" t="n"/>
      <c r="E18" s="6" t="n">
        <v>-13652</v>
      </c>
      <c r="F18" s="6" t="n">
        <v>1479</v>
      </c>
      <c r="G18" s="6" t="n"/>
      <c r="H18" s="6" t="n"/>
      <c r="I18" s="6" t="n"/>
      <c r="J18" s="6" t="n"/>
      <c r="K18" s="6" t="n"/>
    </row>
    <row r="19">
      <c r="A19" s="5" t="inlineStr">
        <is>
          <t>Net changes in operating assets and liabilities (FY2021-FY2023 presentation)</t>
        </is>
      </c>
      <c r="B19" s="6" t="n"/>
      <c r="C19" s="6" t="n"/>
      <c r="D19" s="6" t="n"/>
      <c r="E19" s="6" t="n"/>
      <c r="F19" s="6" t="n"/>
      <c r="G19" s="6" t="n"/>
      <c r="H19" s="6" t="n"/>
      <c r="I19" s="6" t="n"/>
      <c r="J19" s="6" t="n"/>
      <c r="K19" s="6" t="n"/>
    </row>
    <row r="20">
      <c r="A20" s="6" t="inlineStr">
        <is>
          <t>Movement in Loans and Advances to Banks</t>
        </is>
      </c>
      <c r="B20" s="6" t="n"/>
      <c r="C20" s="6" t="n"/>
      <c r="D20" s="6" t="n"/>
      <c r="E20" s="6" t="n">
        <v>-9835</v>
      </c>
      <c r="F20" s="6" t="n">
        <v>-16523</v>
      </c>
      <c r="G20" s="6" t="n"/>
      <c r="H20" s="6" t="n"/>
      <c r="I20" s="6" t="n"/>
      <c r="J20" s="6" t="n"/>
      <c r="K20" s="6" t="n"/>
    </row>
    <row r="21">
      <c r="A21" s="6" t="inlineStr">
        <is>
          <t>Net (Increase) in Loans and Advances to Customers</t>
        </is>
      </c>
      <c r="B21" s="6" t="n"/>
      <c r="C21" s="6" t="n"/>
      <c r="D21" s="6" t="n"/>
      <c r="E21" s="6" t="n">
        <v>-1567215</v>
      </c>
      <c r="F21" s="6" t="n">
        <v>-1007837</v>
      </c>
      <c r="G21" s="6" t="n">
        <v>-2203378</v>
      </c>
      <c r="H21" s="6" t="n"/>
      <c r="I21" s="6" t="n"/>
      <c r="J21" s="6" t="n"/>
      <c r="K21" s="6" t="n"/>
    </row>
    <row r="22">
      <c r="A22" s="6" t="inlineStr">
        <is>
          <t>Net (Increase) in Deferred Tax Asset (asset movement)</t>
        </is>
      </c>
      <c r="B22" s="6" t="n"/>
      <c r="C22" s="6" t="n"/>
      <c r="D22" s="6" t="n"/>
      <c r="E22" s="6" t="n"/>
      <c r="F22" s="6" t="n">
        <v>-15897</v>
      </c>
      <c r="G22" s="6" t="n"/>
      <c r="H22" s="6" t="n"/>
      <c r="I22" s="6" t="n"/>
      <c r="J22" s="6" t="n"/>
      <c r="K22" s="6" t="n"/>
    </row>
    <row r="23">
      <c r="A23" s="6" t="inlineStr">
        <is>
          <t>Net (Increase) in Other Assets</t>
        </is>
      </c>
      <c r="B23" s="6" t="n"/>
      <c r="C23" s="6" t="n"/>
      <c r="D23" s="6" t="n"/>
      <c r="E23" s="6" t="n">
        <v>-5399</v>
      </c>
      <c r="F23" s="6" t="n">
        <v>-61397</v>
      </c>
      <c r="G23" s="6" t="n">
        <v>-31818</v>
      </c>
      <c r="H23" s="6" t="n"/>
      <c r="I23" s="6" t="n"/>
      <c r="J23" s="6" t="n"/>
      <c r="K23" s="6" t="n"/>
    </row>
    <row r="24">
      <c r="A24" s="6" t="inlineStr">
        <is>
          <t>Net Increase in Customer Deposits</t>
        </is>
      </c>
      <c r="B24" s="6" t="n"/>
      <c r="C24" s="6" t="n"/>
      <c r="D24" s="6" t="n"/>
      <c r="E24" s="6" t="n">
        <v>1524407</v>
      </c>
      <c r="F24" s="6" t="n">
        <v>3199715</v>
      </c>
      <c r="G24" s="6" t="n">
        <v>4820298</v>
      </c>
      <c r="H24" s="6" t="n"/>
      <c r="I24" s="6" t="n"/>
      <c r="J24" s="6" t="n"/>
      <c r="K24" s="6" t="n"/>
    </row>
    <row r="25">
      <c r="A25" s="6" t="inlineStr">
        <is>
          <t>Net Increase in Central Bank Facilities (FY2021 presentation)</t>
        </is>
      </c>
      <c r="B25" s="6" t="n"/>
      <c r="C25" s="6" t="n"/>
      <c r="D25" s="6" t="n"/>
      <c r="E25" s="6" t="n"/>
      <c r="F25" s="6" t="n"/>
      <c r="G25" s="6" t="n">
        <v>1000000</v>
      </c>
      <c r="H25" s="6" t="n"/>
      <c r="I25" s="6" t="n"/>
      <c r="J25" s="6" t="n"/>
      <c r="K25" s="6" t="n"/>
    </row>
    <row r="26">
      <c r="A26" s="6" t="inlineStr">
        <is>
          <t>Net (Decrease)/Increase in Deposits from Banks</t>
        </is>
      </c>
      <c r="B26" s="6" t="n"/>
      <c r="C26" s="6" t="n"/>
      <c r="D26" s="6" t="n"/>
      <c r="E26" s="6" t="n">
        <v>-9515</v>
      </c>
      <c r="F26" s="6" t="n">
        <v>1281380</v>
      </c>
      <c r="G26" s="6" t="n"/>
      <c r="H26" s="6" t="n"/>
      <c r="I26" s="6" t="n"/>
      <c r="J26" s="6" t="n"/>
      <c r="K26" s="6" t="n"/>
    </row>
    <row r="27">
      <c r="A27" s="6" t="inlineStr">
        <is>
          <t>Net Increase/(Decrease) in Provisions for Liabilities and Charges</t>
        </is>
      </c>
      <c r="B27" s="6" t="n"/>
      <c r="C27" s="6" t="n"/>
      <c r="D27" s="6" t="n"/>
      <c r="E27" s="6" t="n">
        <v>232</v>
      </c>
      <c r="F27" s="6" t="n">
        <v>-758</v>
      </c>
      <c r="G27" s="6" t="n">
        <v>-680</v>
      </c>
      <c r="H27" s="6" t="n"/>
      <c r="I27" s="6" t="n"/>
      <c r="J27" s="6" t="n"/>
      <c r="K27" s="6" t="n"/>
    </row>
    <row r="28">
      <c r="A28" s="6" t="inlineStr">
        <is>
          <t>Net (Decrease)/Increase in Other Liabilities and Accruals</t>
        </is>
      </c>
      <c r="B28" s="6" t="n"/>
      <c r="C28" s="6" t="n"/>
      <c r="D28" s="6" t="n"/>
      <c r="E28" s="6" t="n">
        <v>-51253</v>
      </c>
      <c r="F28" s="6" t="n">
        <v>104310</v>
      </c>
      <c r="G28" s="6" t="n">
        <v>969</v>
      </c>
      <c r="H28" s="6" t="n"/>
      <c r="I28" s="6" t="n"/>
      <c r="J28" s="6" t="n"/>
      <c r="K28" s="6" t="n"/>
    </row>
    <row r="29">
      <c r="A29" s="6" t="inlineStr">
        <is>
          <t>Net Increase/(Decrease) in Deferred Income</t>
        </is>
      </c>
      <c r="B29" s="6" t="n"/>
      <c r="C29" s="6" t="n"/>
      <c r="D29" s="6" t="n"/>
      <c r="E29" s="6" t="n">
        <v>16202</v>
      </c>
      <c r="F29" s="6" t="n">
        <v>-3994</v>
      </c>
      <c r="G29" s="6" t="n">
        <v>-44894</v>
      </c>
      <c r="H29" s="6" t="n"/>
      <c r="I29" s="6" t="n"/>
      <c r="J29" s="6" t="n"/>
      <c r="K29" s="6" t="n"/>
    </row>
    <row r="30">
      <c r="A30" s="6" t="inlineStr">
        <is>
          <t>Taxation Paid (FY2022-FY2023 presentation)</t>
        </is>
      </c>
      <c r="B30" s="6" t="n"/>
      <c r="C30" s="6" t="n"/>
      <c r="D30" s="6" t="n"/>
      <c r="E30" s="6" t="n">
        <v>-26720</v>
      </c>
      <c r="F30" s="6" t="n">
        <v>-3321</v>
      </c>
      <c r="G30" s="6" t="n"/>
      <c r="H30" s="6" t="n"/>
      <c r="I30" s="6" t="n"/>
      <c r="J30" s="6" t="n"/>
      <c r="K30" s="6" t="n"/>
    </row>
    <row r="31">
      <c r="A31" s="5" t="inlineStr">
        <is>
          <t>Net Cash Flows from Operating Activities (FY2021-FY2023 presentation)</t>
        </is>
      </c>
      <c r="B31" s="5" t="n"/>
      <c r="C31" s="5" t="n"/>
      <c r="D31" s="5" t="n"/>
      <c r="E31" s="5" t="n">
        <v>80602</v>
      </c>
      <c r="F31" s="5" t="n">
        <v>3535459</v>
      </c>
      <c r="G31" s="5" t="n">
        <v>3530940</v>
      </c>
      <c r="H31" s="5" t="n"/>
      <c r="I31" s="5" t="n"/>
      <c r="J31" s="5" t="n"/>
      <c r="K31" s="5" t="n"/>
    </row>
    <row r="32">
      <c r="A32" s="5" t="inlineStr">
        <is>
          <t>Adjustments and net changes (FY2024-FY2026 presentation, summarised - see note for breakdown)</t>
        </is>
      </c>
      <c r="B32" s="6" t="n"/>
      <c r="C32" s="6" t="n"/>
      <c r="D32" s="6" t="n"/>
      <c r="E32" s="6" t="n"/>
      <c r="F32" s="6" t="n"/>
      <c r="G32" s="6" t="n"/>
      <c r="H32" s="6" t="n"/>
      <c r="I32" s="6" t="n"/>
      <c r="J32" s="6" t="n"/>
      <c r="K32" s="6" t="n"/>
    </row>
    <row r="33">
      <c r="A33" s="6" t="inlineStr">
        <is>
          <t>Profit for the period after taxation (FY2024-FY2026 presentation)</t>
        </is>
      </c>
      <c r="B33" s="6" t="n">
        <v>156043</v>
      </c>
      <c r="C33" s="6" t="n">
        <v>150722</v>
      </c>
      <c r="D33" s="6" t="n">
        <v>220001</v>
      </c>
      <c r="E33" s="6" t="n"/>
      <c r="F33" s="6" t="n"/>
      <c r="G33" s="6" t="n"/>
      <c r="H33" s="6" t="n"/>
      <c r="I33" s="6" t="n"/>
      <c r="J33" s="6" t="n"/>
      <c r="K33" s="6" t="n"/>
    </row>
    <row r="34">
      <c r="A34" s="6" t="inlineStr">
        <is>
          <t>Non-cash movements (as reported)</t>
        </is>
      </c>
      <c r="B34" s="6" t="n">
        <v>109080</v>
      </c>
      <c r="C34" s="6" t="n">
        <v>165605</v>
      </c>
      <c r="D34" s="6" t="n">
        <v>155782</v>
      </c>
      <c r="E34" s="6" t="n"/>
      <c r="F34" s="6" t="n"/>
      <c r="G34" s="6" t="n"/>
      <c r="H34" s="6" t="n"/>
      <c r="I34" s="6" t="n"/>
      <c r="J34" s="6" t="n"/>
      <c r="K34" s="6" t="n"/>
    </row>
    <row r="35">
      <c r="A35" s="6" t="inlineStr">
        <is>
          <t>Movement in operating assets (as reported)</t>
        </is>
      </c>
      <c r="B35" s="6" t="n">
        <v>-541473</v>
      </c>
      <c r="C35" s="6" t="n">
        <v>-30989</v>
      </c>
      <c r="D35" s="6" t="n">
        <v>194795</v>
      </c>
      <c r="E35" s="6" t="n"/>
      <c r="F35" s="6" t="n"/>
      <c r="G35" s="6" t="n"/>
      <c r="H35" s="6" t="n"/>
      <c r="I35" s="6" t="n"/>
      <c r="J35" s="6" t="n"/>
      <c r="K35" s="6" t="n"/>
    </row>
    <row r="36">
      <c r="A36" s="6" t="inlineStr">
        <is>
          <t>Movement in operating liabilities (as reported)</t>
        </is>
      </c>
      <c r="B36" s="6" t="n">
        <v>505769</v>
      </c>
      <c r="C36" s="6" t="n">
        <v>793034</v>
      </c>
      <c r="D36" s="6" t="n">
        <v>813947</v>
      </c>
      <c r="E36" s="6" t="n"/>
      <c r="F36" s="6" t="n"/>
      <c r="G36" s="6" t="n"/>
      <c r="H36" s="6" t="n"/>
      <c r="I36" s="6" t="n"/>
      <c r="J36" s="6" t="n"/>
      <c r="K36" s="6" t="n"/>
    </row>
    <row r="37">
      <c r="A37" s="6" t="inlineStr">
        <is>
          <t>Taxation paid (FY2024-FY2026 presentation)</t>
        </is>
      </c>
      <c r="B37" s="6" t="n">
        <v>-46085</v>
      </c>
      <c r="C37" s="6" t="n">
        <v>-61999</v>
      </c>
      <c r="D37" s="6" t="n">
        <v>-94266</v>
      </c>
      <c r="E37" s="6" t="n"/>
      <c r="F37" s="6" t="n"/>
      <c r="G37" s="6" t="n"/>
      <c r="H37" s="6" t="n"/>
      <c r="I37" s="6" t="n"/>
      <c r="J37" s="6" t="n"/>
      <c r="K37" s="6" t="n"/>
    </row>
    <row r="38">
      <c r="A38" s="5" t="inlineStr">
        <is>
          <t>Net cash flows from operating activities (FY2024-FY2026 presentation)</t>
        </is>
      </c>
      <c r="B38" s="5" t="n">
        <v>183334</v>
      </c>
      <c r="C38" s="5" t="n">
        <v>1016373</v>
      </c>
      <c r="D38" s="5" t="n">
        <v>1290259</v>
      </c>
      <c r="E38" s="5" t="n"/>
      <c r="F38" s="5" t="n"/>
      <c r="G38" s="5" t="n"/>
      <c r="H38" s="5" t="n"/>
      <c r="I38" s="5" t="n"/>
      <c r="J38" s="5" t="n"/>
      <c r="K38" s="5" t="n"/>
    </row>
    <row r="39">
      <c r="A39" s="5" t="inlineStr">
        <is>
          <t>Cash flows from investing activities</t>
        </is>
      </c>
      <c r="B39" s="6" t="n"/>
      <c r="C39" s="6" t="n"/>
      <c r="D39" s="6" t="n"/>
      <c r="E39" s="6" t="n"/>
      <c r="F39" s="6" t="n"/>
      <c r="G39" s="6" t="n"/>
      <c r="H39" s="6" t="n"/>
      <c r="I39" s="6" t="n"/>
      <c r="J39" s="6" t="n"/>
      <c r="K39" s="6" t="n"/>
    </row>
    <row r="40">
      <c r="A40" s="6" t="inlineStr">
        <is>
          <t>Purchase of Property, Plant and Equipment</t>
        </is>
      </c>
      <c r="B40" s="6" t="n"/>
      <c r="C40" s="6" t="n"/>
      <c r="D40" s="6" t="n"/>
      <c r="E40" s="6" t="n">
        <v>-2824</v>
      </c>
      <c r="F40" s="6" t="n">
        <v>-1279</v>
      </c>
      <c r="G40" s="6" t="n">
        <v>-1131</v>
      </c>
      <c r="H40" s="6" t="n"/>
      <c r="I40" s="6" t="n"/>
      <c r="J40" s="6" t="n"/>
      <c r="K40" s="6" t="n"/>
    </row>
    <row r="41">
      <c r="A41" s="6" t="inlineStr">
        <is>
          <t>Purchase of property, plant and equipment (FY2024-FY2026 presentation)</t>
        </is>
      </c>
      <c r="B41" s="6" t="n">
        <v>-6034</v>
      </c>
      <c r="C41" s="6" t="n">
        <v>-3167</v>
      </c>
      <c r="D41" s="6" t="n">
        <v>-4728</v>
      </c>
      <c r="E41" s="6" t="n"/>
      <c r="F41" s="6" t="n"/>
      <c r="G41" s="6" t="n"/>
      <c r="H41" s="6" t="n"/>
      <c r="I41" s="6" t="n"/>
      <c r="J41" s="6" t="n"/>
      <c r="K41" s="6" t="n"/>
    </row>
    <row r="42">
      <c r="A42" s="6" t="inlineStr">
        <is>
          <t>Net Purchases of Debt Securities (FY2022-FY2023 presentation)</t>
        </is>
      </c>
      <c r="B42" s="6" t="n"/>
      <c r="C42" s="6" t="n"/>
      <c r="D42" s="6" t="n"/>
      <c r="E42" s="6" t="n">
        <v>-161608</v>
      </c>
      <c r="F42" s="6" t="n">
        <v>-814284</v>
      </c>
      <c r="G42" s="6" t="n"/>
      <c r="H42" s="6" t="n"/>
      <c r="I42" s="6" t="n"/>
      <c r="J42" s="6" t="n"/>
      <c r="K42" s="6" t="n"/>
    </row>
    <row r="43">
      <c r="A43" s="6" t="inlineStr">
        <is>
          <t>Net Increase in Debt Securities (FY2021 presentation)</t>
        </is>
      </c>
      <c r="B43" s="6" t="n"/>
      <c r="C43" s="6" t="n"/>
      <c r="D43" s="6" t="n"/>
      <c r="E43" s="6" t="n"/>
      <c r="F43" s="6" t="n"/>
      <c r="G43" s="6" t="n">
        <v>-1184380</v>
      </c>
      <c r="H43" s="6" t="n"/>
      <c r="I43" s="6" t="n"/>
      <c r="J43" s="6" t="n"/>
      <c r="K43" s="6" t="n"/>
    </row>
    <row r="44">
      <c r="A44" s="6" t="inlineStr">
        <is>
          <t>Purchases of debt securities (FY2024-FY2026 presentation)</t>
        </is>
      </c>
      <c r="B44" s="6" t="n">
        <v>-4462187</v>
      </c>
      <c r="C44" s="6" t="n">
        <v>-1378404</v>
      </c>
      <c r="D44" s="6" t="n">
        <v>-1577646</v>
      </c>
      <c r="E44" s="6" t="n"/>
      <c r="F44" s="6" t="n"/>
      <c r="G44" s="6" t="n"/>
      <c r="H44" s="6" t="n"/>
      <c r="I44" s="6" t="n"/>
      <c r="J44" s="6" t="n"/>
      <c r="K44" s="6" t="n"/>
    </row>
    <row r="45">
      <c r="A45" s="6" t="inlineStr">
        <is>
          <t>Proceeds from maturity and sale of debt securities (FY2024-FY2026 presentation)</t>
        </is>
      </c>
      <c r="B45" s="6" t="n">
        <v>1575165</v>
      </c>
      <c r="C45" s="6" t="n">
        <v>735088</v>
      </c>
      <c r="D45" s="6" t="n">
        <v>748813</v>
      </c>
      <c r="E45" s="6" t="n"/>
      <c r="F45" s="6" t="n"/>
      <c r="G45" s="6" t="n"/>
      <c r="H45" s="6" t="n"/>
      <c r="I45" s="6" t="n"/>
      <c r="J45" s="6" t="n"/>
      <c r="K45" s="6" t="n"/>
    </row>
    <row r="46">
      <c r="A46" s="6" t="inlineStr">
        <is>
          <t>Acquisition of Subsidiary, Net of Cash Acquired</t>
        </is>
      </c>
      <c r="B46" s="6" t="n"/>
      <c r="C46" s="6" t="n"/>
      <c r="D46" s="6" t="n"/>
      <c r="E46" s="6" t="n"/>
      <c r="F46" s="6" t="n">
        <v>-36160</v>
      </c>
      <c r="G46" s="6" t="n"/>
      <c r="H46" s="6" t="n"/>
      <c r="I46" s="6" t="n"/>
      <c r="J46" s="6" t="n"/>
      <c r="K46" s="6" t="n"/>
    </row>
    <row r="47">
      <c r="A47" s="6" t="inlineStr">
        <is>
          <t>PPE and Intangibles on Acquisition of Subsidiary</t>
        </is>
      </c>
      <c r="B47" s="6" t="n"/>
      <c r="C47" s="6" t="n"/>
      <c r="D47" s="6" t="n"/>
      <c r="E47" s="6" t="n"/>
      <c r="F47" s="6" t="n">
        <v>-8377</v>
      </c>
      <c r="G47" s="6" t="n"/>
      <c r="H47" s="6" t="n"/>
      <c r="I47" s="6" t="n"/>
      <c r="J47" s="6" t="n"/>
      <c r="K47" s="6" t="n"/>
    </row>
    <row r="48">
      <c r="A48" s="6" t="inlineStr">
        <is>
          <t>Net cash on acquisition of subsidiary (FY2026 presentation)</t>
        </is>
      </c>
      <c r="B48" s="6" t="n">
        <v>-2205</v>
      </c>
      <c r="C48" s="6" t="n"/>
      <c r="D48" s="6" t="n"/>
      <c r="E48" s="6" t="n"/>
      <c r="F48" s="6" t="n"/>
      <c r="G48" s="6" t="n"/>
      <c r="H48" s="6" t="n"/>
      <c r="I48" s="6" t="n"/>
      <c r="J48" s="6" t="n"/>
      <c r="K48" s="6" t="n"/>
    </row>
    <row r="49">
      <c r="A49" s="6" t="inlineStr">
        <is>
          <t>Purchase and Development of Intangible Assets</t>
        </is>
      </c>
      <c r="B49" s="6" t="n"/>
      <c r="C49" s="6" t="n"/>
      <c r="D49" s="6" t="n"/>
      <c r="E49" s="6" t="n">
        <v>-27643</v>
      </c>
      <c r="F49" s="6" t="n">
        <v>-19170</v>
      </c>
      <c r="G49" s="6" t="n"/>
      <c r="H49" s="6" t="n"/>
      <c r="I49" s="6" t="n"/>
      <c r="J49" s="6" t="n"/>
      <c r="K49" s="6" t="n"/>
    </row>
    <row r="50">
      <c r="A50" s="6" t="inlineStr">
        <is>
          <t>Capitalisation of Intangible Assets (FY2021 presentation)</t>
        </is>
      </c>
      <c r="B50" s="6" t="n"/>
      <c r="C50" s="6" t="n"/>
      <c r="D50" s="6" t="n"/>
      <c r="E50" s="6" t="n"/>
      <c r="F50" s="6" t="n"/>
      <c r="G50" s="6" t="n">
        <v>-5623</v>
      </c>
      <c r="H50" s="6" t="n"/>
      <c r="I50" s="6" t="n"/>
      <c r="J50" s="6" t="n"/>
      <c r="K50" s="6" t="n"/>
    </row>
    <row r="51">
      <c r="A51" s="6" t="inlineStr">
        <is>
          <t>Purchase and development of intangible assets (FY2024-FY2026 presentation)</t>
        </is>
      </c>
      <c r="B51" s="6" t="n">
        <v>-75792</v>
      </c>
      <c r="C51" s="6" t="n">
        <v>-56997</v>
      </c>
      <c r="D51" s="6" t="n">
        <v>-43278</v>
      </c>
      <c r="E51" s="6" t="n"/>
      <c r="F51" s="6" t="n"/>
      <c r="G51" s="6" t="n"/>
      <c r="H51" s="6" t="n"/>
      <c r="I51" s="6" t="n"/>
      <c r="J51" s="6" t="n"/>
      <c r="K51" s="6" t="n"/>
    </row>
    <row r="52">
      <c r="A52" s="5" t="inlineStr">
        <is>
          <t>Net Cash Flows from Investing Activities</t>
        </is>
      </c>
      <c r="B52" s="5" t="n">
        <v>-2971053</v>
      </c>
      <c r="C52" s="5" t="n">
        <v>-703480</v>
      </c>
      <c r="D52" s="5" t="n">
        <v>-876839</v>
      </c>
      <c r="E52" s="5" t="n">
        <v>-192075</v>
      </c>
      <c r="F52" s="5" t="n">
        <v>-879270</v>
      </c>
      <c r="G52" s="5" t="n">
        <v>-1191134</v>
      </c>
      <c r="H52" s="5" t="n"/>
      <c r="I52" s="5" t="n"/>
      <c r="J52" s="5" t="n"/>
      <c r="K52" s="5" t="n"/>
    </row>
    <row r="53">
      <c r="A53" s="5" t="inlineStr">
        <is>
          <t>Cash flows from financing activities</t>
        </is>
      </c>
      <c r="B53" s="6" t="n"/>
      <c r="C53" s="6" t="n"/>
      <c r="D53" s="6" t="n"/>
      <c r="E53" s="6" t="n"/>
      <c r="F53" s="6" t="n"/>
      <c r="G53" s="6" t="n"/>
      <c r="H53" s="6" t="n"/>
      <c r="I53" s="6" t="n"/>
      <c r="J53" s="6" t="n"/>
      <c r="K53" s="6" t="n"/>
    </row>
    <row r="54">
      <c r="A54" s="6" t="inlineStr">
        <is>
          <t>Issuance of Ordinary Shares Less Cost of Issuance</t>
        </is>
      </c>
      <c r="B54" s="6" t="n"/>
      <c r="C54" s="6" t="n"/>
      <c r="D54" s="6" t="n"/>
      <c r="E54" s="6" t="n">
        <v>130500</v>
      </c>
      <c r="F54" s="6" t="n">
        <v>240000</v>
      </c>
      <c r="G54" s="6" t="n">
        <v>94012</v>
      </c>
      <c r="H54" s="6" t="n"/>
      <c r="I54" s="6" t="n"/>
      <c r="J54" s="6" t="n"/>
      <c r="K54" s="6" t="n"/>
    </row>
    <row r="55">
      <c r="A55" s="6" t="inlineStr">
        <is>
          <t>Purchase of own shares</t>
        </is>
      </c>
      <c r="B55" s="6" t="n"/>
      <c r="C55" s="6" t="n"/>
      <c r="D55" s="6" t="n">
        <v>-56362</v>
      </c>
      <c r="E55" s="6" t="n"/>
      <c r="F55" s="6" t="n"/>
      <c r="G55" s="6" t="n"/>
      <c r="H55" s="6" t="n"/>
      <c r="I55" s="6" t="n"/>
      <c r="J55" s="6" t="n"/>
      <c r="K55" s="6" t="n"/>
    </row>
    <row r="56">
      <c r="A56" s="6" t="inlineStr">
        <is>
          <t>Drawdown of funding from central banks</t>
        </is>
      </c>
      <c r="B56" s="6" t="n">
        <v>900000</v>
      </c>
      <c r="C56" s="6" t="n"/>
      <c r="D56" s="6" t="n"/>
      <c r="E56" s="6" t="n"/>
      <c r="F56" s="6" t="n"/>
      <c r="G56" s="6" t="n"/>
      <c r="H56" s="6" t="n"/>
      <c r="I56" s="6" t="n"/>
      <c r="J56" s="6" t="n"/>
      <c r="K56" s="6" t="n"/>
    </row>
    <row r="57">
      <c r="A57" s="6" t="inlineStr">
        <is>
          <t>Repayment of funding from central banks</t>
        </is>
      </c>
      <c r="B57" s="6" t="n">
        <v>-600000</v>
      </c>
      <c r="C57" s="6" t="n">
        <v>-50000</v>
      </c>
      <c r="D57" s="6" t="n"/>
      <c r="E57" s="6" t="n"/>
      <c r="F57" s="6" t="n"/>
      <c r="G57" s="6" t="n"/>
      <c r="H57" s="6" t="n"/>
      <c r="I57" s="6" t="n"/>
      <c r="J57" s="6" t="n"/>
      <c r="K57" s="6" t="n"/>
    </row>
    <row r="58">
      <c r="A58" s="6" t="inlineStr">
        <is>
          <t>Repayment of Lease Liabilities</t>
        </is>
      </c>
      <c r="B58" s="6" t="n"/>
      <c r="C58" s="6" t="n"/>
      <c r="D58" s="6" t="n"/>
      <c r="E58" s="6" t="n">
        <v>-68</v>
      </c>
      <c r="F58" s="6" t="n">
        <v>-1780</v>
      </c>
      <c r="G58" s="6" t="n">
        <v>-2174</v>
      </c>
      <c r="H58" s="6" t="n"/>
      <c r="I58" s="6" t="n"/>
      <c r="J58" s="6" t="n"/>
      <c r="K58" s="6" t="n"/>
    </row>
    <row r="59">
      <c r="A59" s="6" t="inlineStr">
        <is>
          <t>Repayment of lease liabilities (FY2024-FY2026 presentation)</t>
        </is>
      </c>
      <c r="B59" s="6" t="n">
        <v>-4120</v>
      </c>
      <c r="C59" s="6" t="n">
        <v>-2710</v>
      </c>
      <c r="D59" s="6" t="n">
        <v>-2154</v>
      </c>
      <c r="E59" s="6" t="n"/>
      <c r="F59" s="6" t="n"/>
      <c r="G59" s="6" t="n"/>
      <c r="H59" s="6" t="n"/>
      <c r="I59" s="6" t="n"/>
      <c r="J59" s="6" t="n"/>
      <c r="K59" s="6" t="n"/>
    </row>
    <row r="60">
      <c r="A60" s="5" t="inlineStr">
        <is>
          <t>Net Cash Flows from Financing Activities</t>
        </is>
      </c>
      <c r="B60" s="5" t="n">
        <v>295880</v>
      </c>
      <c r="C60" s="5" t="n">
        <v>-52710</v>
      </c>
      <c r="D60" s="5" t="n">
        <v>-58516</v>
      </c>
      <c r="E60" s="5" t="n">
        <v>130432</v>
      </c>
      <c r="F60" s="5" t="n">
        <v>238220</v>
      </c>
      <c r="G60" s="5" t="n">
        <v>91838</v>
      </c>
      <c r="H60" s="5" t="n"/>
      <c r="I60" s="5" t="n"/>
      <c r="J60" s="5" t="n"/>
      <c r="K60" s="5" t="n"/>
    </row>
    <row r="61">
      <c r="A61" s="5" t="inlineStr">
        <is>
          <t>Net Increase/(Decrease) in Cash and Cash Equivalents</t>
        </is>
      </c>
      <c r="B61" s="5" t="n">
        <v>-2491839</v>
      </c>
      <c r="C61" s="5" t="n">
        <v>260183</v>
      </c>
      <c r="D61" s="5" t="n">
        <v>354904</v>
      </c>
      <c r="E61" s="5" t="n">
        <v>18859</v>
      </c>
      <c r="F61" s="5" t="n">
        <v>2894409</v>
      </c>
      <c r="G61" s="5" t="n">
        <v>2431644</v>
      </c>
      <c r="H61" s="5" t="n"/>
      <c r="I61" s="5" t="n"/>
      <c r="J61" s="5" t="n"/>
      <c r="K61" s="5" t="n"/>
    </row>
    <row r="62">
      <c r="A62" s="6" t="inlineStr">
        <is>
          <t>Cash and Cash Equivalents at Beginning of Period/Year</t>
        </is>
      </c>
      <c r="B62" s="6" t="n">
        <v>6717177</v>
      </c>
      <c r="C62" s="6" t="n">
        <v>6456994</v>
      </c>
      <c r="D62" s="6" t="n">
        <v>6102090</v>
      </c>
      <c r="E62" s="6" t="n">
        <v>6083131</v>
      </c>
      <c r="F62" s="6" t="n">
        <v>3188722</v>
      </c>
      <c r="G62" s="6" t="n">
        <v>764705</v>
      </c>
      <c r="H62" s="6" t="n"/>
      <c r="I62" s="6" t="n"/>
      <c r="J62" s="6" t="n"/>
      <c r="K62" s="6" t="n"/>
    </row>
    <row r="63">
      <c r="A63" s="5" t="inlineStr">
        <is>
          <t>Cash and Cash Equivalents at End of Period/Year</t>
        </is>
      </c>
      <c r="B63" s="5" t="n">
        <v>4225338</v>
      </c>
      <c r="C63" s="5" t="n">
        <v>6717177</v>
      </c>
      <c r="D63" s="5" t="n">
        <v>6456994</v>
      </c>
      <c r="E63" s="5" t="n">
        <v>6102090</v>
      </c>
      <c r="F63" s="5" t="n">
        <v>6083131</v>
      </c>
      <c r="G63" s="5" t="n">
        <v>3196349</v>
      </c>
      <c r="H63" s="5" t="n"/>
      <c r="I63" s="5" t="n"/>
      <c r="J63" s="5" t="n"/>
      <c r="K63" s="5" t="n"/>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K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Total exposure after guarantee, by IFRS 9 stage</t>
        </is>
      </c>
      <c r="B4" s="6" t="n"/>
      <c r="C4" s="6" t="n"/>
      <c r="D4" s="6" t="n"/>
      <c r="E4" s="6" t="n"/>
      <c r="F4" s="6" t="n"/>
      <c r="G4" s="6" t="n"/>
      <c r="H4" s="6" t="n"/>
      <c r="I4" s="6" t="n"/>
      <c r="J4" s="6" t="n"/>
      <c r="K4" s="6" t="n"/>
    </row>
    <row r="5">
      <c r="A5" s="6" t="inlineStr">
        <is>
          <t>Stage 1</t>
        </is>
      </c>
      <c r="B5" s="6" t="n">
        <v>4862307</v>
      </c>
      <c r="C5" s="6" t="n">
        <v>4165490</v>
      </c>
      <c r="D5" s="6" t="n">
        <v>3725761</v>
      </c>
      <c r="E5" s="6" t="n">
        <v>3571338</v>
      </c>
      <c r="F5" s="6" t="n">
        <v>1633418</v>
      </c>
      <c r="G5" s="6" t="n"/>
      <c r="H5" s="6" t="n"/>
      <c r="I5" s="6" t="n"/>
      <c r="J5" s="6" t="n"/>
      <c r="K5" s="6" t="n"/>
    </row>
    <row r="6">
      <c r="A6" s="6" t="inlineStr">
        <is>
          <t>Stage 2</t>
        </is>
      </c>
      <c r="B6" s="6" t="n">
        <v>252112</v>
      </c>
      <c r="C6" s="6" t="n">
        <v>228850</v>
      </c>
      <c r="D6" s="6" t="n">
        <v>266374</v>
      </c>
      <c r="E6" s="6" t="n">
        <v>144105</v>
      </c>
      <c r="F6" s="6" t="n">
        <v>43581</v>
      </c>
      <c r="G6" s="6" t="n"/>
      <c r="H6" s="6" t="n"/>
      <c r="I6" s="6" t="n"/>
      <c r="J6" s="6" t="n"/>
      <c r="K6" s="6" t="n"/>
    </row>
    <row r="7">
      <c r="A7" s="6" t="inlineStr">
        <is>
          <t>Stage 3</t>
        </is>
      </c>
      <c r="B7" s="6" t="n">
        <v>163254</v>
      </c>
      <c r="C7" s="6" t="n">
        <v>159469</v>
      </c>
      <c r="D7" s="6" t="n">
        <v>160167</v>
      </c>
      <c r="E7" s="6" t="n">
        <v>103707</v>
      </c>
      <c r="F7" s="6" t="n">
        <v>55960</v>
      </c>
      <c r="G7" s="6" t="n"/>
      <c r="H7" s="6" t="n"/>
      <c r="I7" s="6" t="n"/>
      <c r="J7" s="6" t="n"/>
      <c r="K7" s="6" t="n"/>
    </row>
    <row r="8">
      <c r="A8" s="5" t="inlineStr">
        <is>
          <t>Total exposure after guarantee</t>
        </is>
      </c>
      <c r="B8" s="5" t="n">
        <v>5277673</v>
      </c>
      <c r="C8" s="5" t="n">
        <v>4553809</v>
      </c>
      <c r="D8" s="5" t="n">
        <v>4152302</v>
      </c>
      <c r="E8" s="5" t="n">
        <v>3819150</v>
      </c>
      <c r="F8" s="5" t="n">
        <v>1732959</v>
      </c>
      <c r="G8" s="5" t="n"/>
      <c r="H8" s="5" t="n"/>
      <c r="I8" s="5" t="n"/>
      <c r="J8" s="5" t="n"/>
      <c r="K8" s="5" t="n"/>
    </row>
    <row r="9">
      <c r="A9" s="5" t="inlineStr">
        <is>
          <t>Impairment provision, by IFRS 9 stage</t>
        </is>
      </c>
      <c r="B9" s="6" t="n"/>
      <c r="C9" s="6" t="n"/>
      <c r="D9" s="6" t="n"/>
      <c r="E9" s="6" t="n"/>
      <c r="F9" s="6" t="n"/>
      <c r="G9" s="6" t="n"/>
      <c r="H9" s="6" t="n"/>
      <c r="I9" s="6" t="n"/>
      <c r="J9" s="6" t="n"/>
      <c r="K9" s="6" t="n"/>
    </row>
    <row r="10">
      <c r="A10" s="6" t="inlineStr">
        <is>
          <t>Stage 1</t>
        </is>
      </c>
      <c r="B10" s="6" t="n">
        <v>7767</v>
      </c>
      <c r="C10" s="6" t="n">
        <v>6344</v>
      </c>
      <c r="D10" s="6" t="n">
        <v>9174</v>
      </c>
      <c r="E10" s="6" t="n">
        <v>11462</v>
      </c>
      <c r="F10" s="6" t="n">
        <v>13637</v>
      </c>
      <c r="G10" s="6" t="n"/>
      <c r="H10" s="6" t="n"/>
      <c r="I10" s="6" t="n"/>
      <c r="J10" s="6" t="n"/>
      <c r="K10" s="6" t="n"/>
    </row>
    <row r="11">
      <c r="A11" s="6" t="inlineStr">
        <is>
          <t>Stage 2</t>
        </is>
      </c>
      <c r="B11" s="6" t="n">
        <v>5471</v>
      </c>
      <c r="C11" s="6" t="n">
        <v>5166</v>
      </c>
      <c r="D11" s="6" t="n">
        <v>9974</v>
      </c>
      <c r="E11" s="6" t="n">
        <v>5779</v>
      </c>
      <c r="F11" s="6" t="n">
        <v>3663</v>
      </c>
      <c r="G11" s="6" t="n"/>
      <c r="H11" s="6" t="n"/>
      <c r="I11" s="6" t="n"/>
      <c r="J11" s="6" t="n"/>
      <c r="K11" s="6" t="n"/>
    </row>
    <row r="12">
      <c r="A12" s="6" t="inlineStr">
        <is>
          <t>Stage 3</t>
        </is>
      </c>
      <c r="B12" s="6" t="n">
        <v>11239</v>
      </c>
      <c r="C12" s="6" t="n">
        <v>10403</v>
      </c>
      <c r="D12" s="6" t="n">
        <v>28722</v>
      </c>
      <c r="E12" s="6" t="n">
        <v>18381</v>
      </c>
      <c r="F12" s="6" t="n">
        <v>9772</v>
      </c>
      <c r="G12" s="6" t="n"/>
      <c r="H12" s="6" t="n"/>
      <c r="I12" s="6" t="n"/>
      <c r="J12" s="6" t="n"/>
      <c r="K12" s="6" t="n"/>
    </row>
    <row r="13">
      <c r="A13" s="5" t="inlineStr">
        <is>
          <t>Total impairment provision</t>
        </is>
      </c>
      <c r="B13" s="5" t="n">
        <v>24477</v>
      </c>
      <c r="C13" s="5" t="n">
        <v>21913</v>
      </c>
      <c r="D13" s="5" t="n">
        <v>47870</v>
      </c>
      <c r="E13" s="5" t="n">
        <v>35622</v>
      </c>
      <c r="F13" s="5" t="n">
        <v>27072</v>
      </c>
      <c r="G13" s="5" t="n"/>
      <c r="H13" s="5" t="n"/>
      <c r="I13" s="5" t="n"/>
      <c r="J13" s="5" t="n"/>
      <c r="K13" s="5" t="n"/>
    </row>
    <row r="14">
      <c r="A14" s="5" t="inlineStr">
        <is>
          <t>Net exposure, by IFRS 9 stage</t>
        </is>
      </c>
      <c r="B14" s="6" t="n"/>
      <c r="C14" s="6" t="n"/>
      <c r="D14" s="6" t="n"/>
      <c r="E14" s="6" t="n"/>
      <c r="F14" s="6" t="n"/>
      <c r="G14" s="6" t="n"/>
      <c r="H14" s="6" t="n"/>
      <c r="I14" s="6" t="n"/>
      <c r="J14" s="6" t="n"/>
      <c r="K14" s="6" t="n"/>
    </row>
    <row r="15">
      <c r="A15" s="6" t="inlineStr">
        <is>
          <t>Stage 1</t>
        </is>
      </c>
      <c r="B15" s="6" t="n">
        <v>4854540</v>
      </c>
      <c r="C15" s="6" t="n">
        <v>4159146</v>
      </c>
      <c r="D15" s="6" t="n">
        <v>3716587</v>
      </c>
      <c r="E15" s="6" t="n">
        <v>3559876</v>
      </c>
      <c r="F15" s="6" t="n">
        <v>1619781</v>
      </c>
      <c r="G15" s="6" t="n"/>
      <c r="H15" s="6" t="n"/>
      <c r="I15" s="6" t="n"/>
      <c r="J15" s="6" t="n"/>
      <c r="K15" s="6" t="n"/>
    </row>
    <row r="16">
      <c r="A16" s="6" t="inlineStr">
        <is>
          <t>Stage 2</t>
        </is>
      </c>
      <c r="B16" s="6" t="n">
        <v>246641</v>
      </c>
      <c r="C16" s="6" t="n">
        <v>223684</v>
      </c>
      <c r="D16" s="6" t="n">
        <v>256400</v>
      </c>
      <c r="E16" s="6" t="n">
        <v>138326</v>
      </c>
      <c r="F16" s="6" t="n">
        <v>39918</v>
      </c>
      <c r="G16" s="6" t="n"/>
      <c r="H16" s="6" t="n"/>
      <c r="I16" s="6" t="n"/>
      <c r="J16" s="6" t="n"/>
      <c r="K16" s="6" t="n"/>
    </row>
    <row r="17">
      <c r="A17" s="6" t="inlineStr">
        <is>
          <t>Stage 3</t>
        </is>
      </c>
      <c r="B17" s="6" t="n">
        <v>152015</v>
      </c>
      <c r="C17" s="6" t="n">
        <v>149066</v>
      </c>
      <c r="D17" s="6" t="n">
        <v>131445</v>
      </c>
      <c r="E17" s="6" t="n">
        <v>85326</v>
      </c>
      <c r="F17" s="6" t="n">
        <v>46188</v>
      </c>
      <c r="G17" s="6" t="n"/>
      <c r="H17" s="6" t="n"/>
      <c r="I17" s="6" t="n"/>
      <c r="J17" s="6" t="n"/>
      <c r="K17" s="6" t="n"/>
    </row>
    <row r="18">
      <c r="A18" s="5" t="inlineStr">
        <is>
          <t>Net exposure</t>
        </is>
      </c>
      <c r="B18" s="5" t="n">
        <v>5253196</v>
      </c>
      <c r="C18" s="5" t="n">
        <v>4531896</v>
      </c>
      <c r="D18" s="5" t="n">
        <v>4104432</v>
      </c>
      <c r="E18" s="5" t="n">
        <v>3783528</v>
      </c>
      <c r="F18" s="5" t="n">
        <v>1705887</v>
      </c>
      <c r="G18" s="5" t="n"/>
      <c r="H18" s="5" t="n"/>
      <c r="I18" s="5" t="n"/>
      <c r="J18" s="5" t="n"/>
      <c r="K18" s="5" t="n"/>
    </row>
    <row r="19">
      <c r="A19" s="5" t="inlineStr">
        <is>
          <t>Derived ratios</t>
        </is>
      </c>
      <c r="B19" s="6" t="n"/>
      <c r="C19" s="6" t="n"/>
      <c r="D19" s="6" t="n"/>
      <c r="E19" s="6" t="n"/>
      <c r="F19" s="6" t="n"/>
      <c r="G19" s="6" t="n"/>
      <c r="H19" s="6" t="n"/>
      <c r="I19" s="6" t="n"/>
      <c r="J19" s="6" t="n"/>
      <c r="K19" s="6" t="n"/>
    </row>
    <row r="20">
      <c r="A20" s="6" t="inlineStr">
        <is>
          <t>% Coverage - Stage 1</t>
        </is>
      </c>
      <c r="B20" s="6" t="inlineStr">
        <is>
          <t>0.2%</t>
        </is>
      </c>
      <c r="C20" s="6" t="inlineStr">
        <is>
          <t>0.2%</t>
        </is>
      </c>
      <c r="D20" s="6" t="inlineStr">
        <is>
          <t>0.2%</t>
        </is>
      </c>
      <c r="E20" s="6" t="inlineStr">
        <is>
          <t>0.3%</t>
        </is>
      </c>
      <c r="F20" s="6" t="inlineStr">
        <is>
          <t>0.8%</t>
        </is>
      </c>
      <c r="G20" s="6" t="n"/>
      <c r="H20" s="6" t="n"/>
      <c r="I20" s="6" t="n"/>
      <c r="J20" s="6" t="n"/>
      <c r="K20" s="6" t="n"/>
    </row>
    <row r="21">
      <c r="A21" s="6" t="inlineStr">
        <is>
          <t>% Coverage - Stage 2</t>
        </is>
      </c>
      <c r="B21" s="6" t="inlineStr">
        <is>
          <t>2.2%</t>
        </is>
      </c>
      <c r="C21" s="6" t="inlineStr">
        <is>
          <t>2.3%</t>
        </is>
      </c>
      <c r="D21" s="6" t="inlineStr">
        <is>
          <t>3.7%</t>
        </is>
      </c>
      <c r="E21" s="6" t="inlineStr">
        <is>
          <t>4.0%</t>
        </is>
      </c>
      <c r="F21" s="6" t="inlineStr">
        <is>
          <t>8.4%</t>
        </is>
      </c>
      <c r="G21" s="6" t="n"/>
      <c r="H21" s="6" t="n"/>
      <c r="I21" s="6" t="n"/>
      <c r="J21" s="6" t="n"/>
      <c r="K21" s="6" t="n"/>
    </row>
    <row r="22">
      <c r="A22" s="6" t="inlineStr">
        <is>
          <t>% Coverage - Stage 3</t>
        </is>
      </c>
      <c r="B22" s="6" t="inlineStr">
        <is>
          <t>6.9%</t>
        </is>
      </c>
      <c r="C22" s="6" t="inlineStr">
        <is>
          <t>6.5%</t>
        </is>
      </c>
      <c r="D22" s="6" t="inlineStr">
        <is>
          <t>17.9%</t>
        </is>
      </c>
      <c r="E22" s="6" t="inlineStr">
        <is>
          <t>17.7%</t>
        </is>
      </c>
      <c r="F22" s="6" t="inlineStr">
        <is>
          <t>17.5%</t>
        </is>
      </c>
      <c r="G22" s="6" t="n"/>
      <c r="H22" s="6" t="n"/>
      <c r="I22" s="6" t="n"/>
      <c r="J22" s="6" t="n"/>
      <c r="K22" s="6" t="n"/>
    </row>
    <row r="23">
      <c r="A23" s="6" t="inlineStr">
        <is>
          <t>% Coverage - Total</t>
        </is>
      </c>
      <c r="B23" s="6" t="inlineStr">
        <is>
          <t>0.5%</t>
        </is>
      </c>
      <c r="C23" s="6" t="inlineStr">
        <is>
          <t>0.5%</t>
        </is>
      </c>
      <c r="D23" s="6" t="inlineStr">
        <is>
          <t>1.2%</t>
        </is>
      </c>
      <c r="E23" s="6" t="inlineStr">
        <is>
          <t>0.9%</t>
        </is>
      </c>
      <c r="F23" s="6" t="inlineStr">
        <is>
          <t>1.6%</t>
        </is>
      </c>
      <c r="G23" s="6" t="n"/>
      <c r="H23" s="6" t="n"/>
      <c r="I23" s="6" t="n"/>
      <c r="J23" s="6" t="n"/>
      <c r="K23" s="6" t="n"/>
    </row>
    <row r="24">
      <c r="A24" s="6" t="inlineStr">
        <is>
          <t>NPL ratio (Stage 3 exposure / Total exposure after guarantee)</t>
        </is>
      </c>
      <c r="B24" s="6" t="inlineStr">
        <is>
          <t>3.09%</t>
        </is>
      </c>
      <c r="C24" s="6" t="inlineStr">
        <is>
          <t>3.50%</t>
        </is>
      </c>
      <c r="D24" s="6" t="inlineStr">
        <is>
          <t>3.86%</t>
        </is>
      </c>
      <c r="E24" s="6" t="inlineStr">
        <is>
          <t>2.72%</t>
        </is>
      </c>
      <c r="F24" s="6" t="inlineStr">
        <is>
          <t>3.23%</t>
        </is>
      </c>
      <c r="G24" s="6" t="n"/>
      <c r="H24" s="6" t="n"/>
      <c r="I24" s="6" t="n"/>
      <c r="J24" s="6" t="n"/>
      <c r="K24" s="6" t="n"/>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FY2020-FY2017 are covered by Starling's official investor archive: FY2020/FY2019 in the 2019-21 report, FY2018 in the 2017-18 report, and FY2017 in the 2016-17 report. Older columns retain blanks where the historical filing used a materially different presentation and no reliable like-for-like line exists.</t>
        </is>
      </c>
    </row>
  </sheetData>
  <mergeCells count="1">
    <mergeCell ref="A26:K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capital</t>
        </is>
      </c>
      <c r="B4" s="6" t="n">
        <v>1123255</v>
      </c>
      <c r="C4" s="6" t="n">
        <v>1000231</v>
      </c>
      <c r="D4" s="6" t="n">
        <v>870769</v>
      </c>
      <c r="E4" s="6" t="n">
        <v>710614</v>
      </c>
      <c r="F4" s="6" t="n">
        <v>397502</v>
      </c>
      <c r="G4" s="6" t="n">
        <v>136769</v>
      </c>
      <c r="H4" s="6" t="n"/>
      <c r="I4" s="6" t="n"/>
      <c r="J4" s="6" t="n"/>
      <c r="K4" s="6" t="n"/>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Tier 1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t>
        </is>
      </c>
      <c r="B4" s="6" t="n">
        <v>1123255</v>
      </c>
      <c r="C4" s="6" t="n">
        <v>1000231</v>
      </c>
      <c r="D4" s="6" t="n">
        <v>870769</v>
      </c>
      <c r="E4" s="6" t="n">
        <v>710614</v>
      </c>
      <c r="F4" s="6" t="n">
        <v>397502</v>
      </c>
      <c r="G4" s="6" t="n">
        <v>136769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capital ratio</t>
        </is>
      </c>
      <c r="B4" s="6" t="inlineStr">
        <is>
          <t>28.58%</t>
        </is>
      </c>
      <c r="C4" s="6" t="inlineStr">
        <is>
          <t>31.55%</t>
        </is>
      </c>
      <c r="D4" s="6" t="inlineStr">
        <is>
          <t>32.55%</t>
        </is>
      </c>
      <c r="E4" s="6" t="inlineStr">
        <is>
          <t>37.50%</t>
        </is>
      </c>
      <c r="F4" s="6" t="inlineStr">
        <is>
          <t>39.96%</t>
        </is>
      </c>
      <c r="G4" s="6" t="inlineStr">
        <is>
          <t>47.9%</t>
        </is>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t>
        </is>
      </c>
      <c r="B4" s="6" t="n">
        <v>3930308</v>
      </c>
      <c r="C4" s="6" t="n">
        <v>3170032</v>
      </c>
      <c r="D4" s="6" t="n">
        <v>2675477</v>
      </c>
      <c r="E4" s="6" t="n">
        <v>1894758</v>
      </c>
      <c r="F4" s="6" t="n">
        <v>994828</v>
      </c>
      <c r="G4" s="6" t="n">
        <v>285689</v>
      </c>
      <c r="H4" s="6" t="n"/>
      <c r="I4" s="6" t="n"/>
      <c r="J4" s="6" t="n"/>
      <c r="K4" s="6" t="n"/>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RWA by risk category (Pillar 3 UK OV1 template; FY2021 uses an older CRR-era 4-category structure - see source note)</t>
        </is>
      </c>
      <c r="B4" s="6" t="n"/>
      <c r="C4" s="6" t="n"/>
      <c r="D4" s="6" t="n"/>
      <c r="E4" s="6" t="n"/>
      <c r="F4" s="6" t="n"/>
      <c r="G4" s="6" t="n"/>
      <c r="H4" s="6" t="n"/>
      <c r="I4" s="6" t="n"/>
      <c r="J4" s="6" t="n"/>
      <c r="K4" s="6" t="n"/>
    </row>
    <row r="5">
      <c r="A5" s="6" t="inlineStr">
        <is>
          <t>Credit risk (excluding counterparty credit risk)</t>
        </is>
      </c>
      <c r="B5" s="6" t="n">
        <v>2471912</v>
      </c>
      <c r="C5" s="6" t="n">
        <v>1987150</v>
      </c>
      <c r="D5" s="6" t="n">
        <v>1840844</v>
      </c>
      <c r="E5" s="6" t="n">
        <v>1689562</v>
      </c>
      <c r="F5" s="6" t="n">
        <v>835048</v>
      </c>
      <c r="G5" s="6" t="n">
        <v>227167</v>
      </c>
      <c r="H5" s="6" t="n"/>
      <c r="I5" s="6" t="n"/>
      <c r="J5" s="6" t="n"/>
      <c r="K5" s="6" t="n"/>
    </row>
    <row r="6">
      <c r="A6" s="6" t="inlineStr">
        <is>
          <t>Counterparty credit risk (CCR)</t>
        </is>
      </c>
      <c r="B6" s="6" t="n">
        <v>3283</v>
      </c>
      <c r="C6" s="6" t="n">
        <v>4723</v>
      </c>
      <c r="D6" s="6" t="n">
        <v>4499</v>
      </c>
      <c r="E6" s="6" t="n">
        <v>46355</v>
      </c>
      <c r="F6" s="6" t="n">
        <v>92241</v>
      </c>
      <c r="G6" s="6" t="n">
        <v>13498</v>
      </c>
      <c r="H6" s="6" t="n"/>
      <c r="I6" s="6" t="n"/>
      <c r="J6" s="6" t="n"/>
      <c r="K6" s="6" t="n"/>
    </row>
    <row r="7">
      <c r="A7" s="6" t="inlineStr">
        <is>
          <t>Credit valuation adjustment (CVA) (FY2021: shown as a separate line, not within CCR)</t>
        </is>
      </c>
      <c r="B7" s="6" t="n"/>
      <c r="C7" s="6" t="n"/>
      <c r="D7" s="6" t="n"/>
      <c r="E7" s="6" t="n"/>
      <c r="F7" s="6" t="n"/>
      <c r="G7" s="6" t="n">
        <v>19949</v>
      </c>
      <c r="H7" s="6" t="n"/>
      <c r="I7" s="6" t="n"/>
      <c r="J7" s="6" t="n"/>
      <c r="K7" s="6" t="n"/>
    </row>
    <row r="8">
      <c r="A8" s="6" t="inlineStr">
        <is>
          <t>Securitisation exposures in the non-trading book</t>
        </is>
      </c>
      <c r="B8" s="6" t="n">
        <v>231185</v>
      </c>
      <c r="C8" s="6" t="n">
        <v>105727</v>
      </c>
      <c r="D8" s="6" t="n">
        <v>80923</v>
      </c>
      <c r="E8" s="6" t="n">
        <v>4805</v>
      </c>
      <c r="F8" s="6" t="n">
        <v>1166</v>
      </c>
      <c r="G8" s="6" t="n"/>
      <c r="H8" s="6" t="n"/>
      <c r="I8" s="6" t="n"/>
      <c r="J8" s="6" t="n"/>
      <c r="K8" s="6" t="n"/>
    </row>
    <row r="9">
      <c r="A9" s="6" t="inlineStr">
        <is>
          <t>Market risk (FY2021: de minimis, none shown per Article 351 CRR)</t>
        </is>
      </c>
      <c r="B9" s="6" t="n"/>
      <c r="C9" s="6" t="n"/>
      <c r="D9" s="6" t="n"/>
      <c r="E9" s="6" t="n"/>
      <c r="F9" s="6" t="n"/>
      <c r="G9" s="6" t="n">
        <v>0</v>
      </c>
      <c r="H9" s="6" t="n"/>
      <c r="I9" s="6" t="n"/>
      <c r="J9" s="6" t="n"/>
      <c r="K9" s="6" t="n"/>
    </row>
    <row r="10">
      <c r="A10" s="6" t="inlineStr">
        <is>
          <t>Operational risk</t>
        </is>
      </c>
      <c r="B10" s="6" t="n">
        <v>1223928</v>
      </c>
      <c r="C10" s="6" t="n">
        <v>1072432</v>
      </c>
      <c r="D10" s="6" t="n">
        <v>749211</v>
      </c>
      <c r="E10" s="6" t="n">
        <v>154036</v>
      </c>
      <c r="F10" s="6" t="n">
        <v>66372</v>
      </c>
      <c r="G10" s="6" t="n">
        <v>25075</v>
      </c>
      <c r="H10" s="6" t="n"/>
      <c r="I10" s="6" t="n"/>
      <c r="J10" s="6" t="n"/>
      <c r="K10" s="6" t="n"/>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c r="H11" s="6" t="n"/>
      <c r="I11" s="6" t="n"/>
      <c r="J11" s="6" t="n"/>
      <c r="K11" s="6" t="n"/>
    </row>
    <row r="12">
      <c r="A12" s="5" t="inlineStr">
        <is>
          <t>Total RWAs</t>
        </is>
      </c>
      <c r="B12" s="5" t="n">
        <v>3930308</v>
      </c>
      <c r="C12" s="5" t="n">
        <v>3170032</v>
      </c>
      <c r="D12" s="5" t="n">
        <v>2675477</v>
      </c>
      <c r="E12" s="5" t="n">
        <v>1894758</v>
      </c>
      <c r="F12" s="5" t="n">
        <v>994828</v>
      </c>
      <c r="G12" s="5" t="n">
        <v>285689</v>
      </c>
      <c r="H12" s="5" t="n"/>
      <c r="I12" s="5" t="n"/>
      <c r="J12" s="5" t="n"/>
      <c r="K12" s="5" t="n"/>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K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exposure measure excluding claims on central banks</t>
        </is>
      </c>
      <c r="B4" s="6" t="n">
        <v>12608384</v>
      </c>
      <c r="C4" s="6" t="n">
        <v>8976790</v>
      </c>
      <c r="D4" s="6" t="n">
        <v>8383435</v>
      </c>
      <c r="E4" s="6" t="n">
        <v>7641617</v>
      </c>
      <c r="F4" s="6" t="n">
        <v>5063481</v>
      </c>
      <c r="G4" s="6" t="n"/>
      <c r="H4" s="6" t="n"/>
      <c r="I4" s="6" t="n"/>
      <c r="J4" s="6" t="n"/>
      <c r="K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c r="H5" s="6" t="n"/>
      <c r="I5" s="6" t="n"/>
      <c r="J5" s="6" t="n"/>
      <c r="K5" s="6" t="n"/>
    </row>
    <row r="6">
      <c r="A6" s="6" t="inlineStr">
        <is>
          <t>Leverage ratio including claims on central banks / CRR (EU) leverage ratio (%) (FY2021 only, pre-KM1 template)</t>
        </is>
      </c>
      <c r="B6" s="6" t="n"/>
      <c r="C6" s="6" t="n"/>
      <c r="D6" s="6" t="n"/>
      <c r="E6" s="6" t="n"/>
      <c r="F6" s="6" t="n"/>
      <c r="G6" s="6" t="inlineStr">
        <is>
          <t>1.9%</t>
        </is>
      </c>
      <c r="H6" s="6" t="n"/>
      <c r="I6" s="6" t="n"/>
      <c r="J6" s="6" t="n"/>
      <c r="K6" s="6" t="n"/>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(average weighted value)</t>
        </is>
      </c>
      <c r="B4" s="6" t="n">
        <v>7038393</v>
      </c>
      <c r="C4" s="6" t="n">
        <v>6812037</v>
      </c>
      <c r="D4" s="6" t="n">
        <v>6510731</v>
      </c>
      <c r="E4" s="6" t="n">
        <v>6413925</v>
      </c>
      <c r="F4" s="6" t="n">
        <v>5128346</v>
      </c>
      <c r="G4" s="6" t="n">
        <v>3410070</v>
      </c>
      <c r="H4" s="6" t="n"/>
      <c r="I4" s="6" t="n"/>
      <c r="J4" s="6" t="n"/>
      <c r="K4" s="6" t="n"/>
    </row>
    <row r="5">
      <c r="A5" s="6" t="inlineStr">
        <is>
          <t>Cash outflows (total weighted value)</t>
        </is>
      </c>
      <c r="B5" s="6" t="n">
        <v>1326072</v>
      </c>
      <c r="C5" s="6" t="n">
        <v>1477094</v>
      </c>
      <c r="D5" s="6" t="n">
        <v>1891560</v>
      </c>
      <c r="E5" s="6" t="n">
        <v>1711200</v>
      </c>
      <c r="F5" s="6" t="n">
        <v>1211430</v>
      </c>
      <c r="G5" s="6" t="n"/>
      <c r="H5" s="6" t="n"/>
      <c r="I5" s="6" t="n"/>
      <c r="J5" s="6" t="n"/>
      <c r="K5" s="6" t="n"/>
    </row>
    <row r="6">
      <c r="A6" s="6" t="inlineStr">
        <is>
          <t>Cash inflows (total weighted value)</t>
        </is>
      </c>
      <c r="B6" s="6" t="n">
        <v>89112</v>
      </c>
      <c r="C6" s="6" t="n">
        <v>156237</v>
      </c>
      <c r="D6" s="6" t="n">
        <v>446533</v>
      </c>
      <c r="E6" s="6" t="n">
        <v>311926</v>
      </c>
      <c r="F6" s="6" t="n">
        <v>209396</v>
      </c>
      <c r="G6" s="6" t="n"/>
      <c r="H6" s="6" t="n"/>
      <c r="I6" s="6" t="n"/>
      <c r="J6" s="6" t="n"/>
      <c r="K6" s="6" t="n"/>
    </row>
    <row r="7">
      <c r="A7" s="6" t="inlineStr">
        <is>
          <t>Total net cash outflows (adjusted value)</t>
        </is>
      </c>
      <c r="B7" s="6" t="n">
        <v>1236960</v>
      </c>
      <c r="C7" s="6" t="n">
        <v>1320857</v>
      </c>
      <c r="D7" s="6" t="n">
        <v>1445027</v>
      </c>
      <c r="E7" s="6" t="n">
        <v>1399274</v>
      </c>
      <c r="F7" s="6" t="n">
        <v>1002034</v>
      </c>
      <c r="G7" s="6" t="n">
        <v>674460</v>
      </c>
      <c r="H7" s="6" t="n"/>
      <c r="I7" s="6" t="n"/>
      <c r="J7" s="6" t="n"/>
      <c r="K7" s="6" t="n"/>
    </row>
    <row r="8">
      <c r="A8" s="6" t="inlineStr">
        <is>
          <t>Liquidity Coverage Ratio (%)</t>
        </is>
      </c>
      <c r="B8" s="6" t="inlineStr">
        <is>
          <t>569.01%</t>
        </is>
      </c>
      <c r="C8" s="6" t="inlineStr">
        <is>
          <t>515.73%</t>
        </is>
      </c>
      <c r="D8" s="6" t="inlineStr">
        <is>
          <t>450.56%</t>
        </is>
      </c>
      <c r="E8" s="6" t="inlineStr">
        <is>
          <t>460%</t>
        </is>
      </c>
      <c r="F8" s="6" t="inlineStr">
        <is>
          <t>515%</t>
        </is>
      </c>
      <c r="G8" s="6" t="inlineStr">
        <is>
          <t>506%</t>
        </is>
      </c>
      <c r="H8" s="6" t="n"/>
      <c r="I8" s="6" t="n"/>
      <c r="J8" s="6" t="n"/>
      <c r="K8" s="6" t="n"/>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K11"/>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14206855</v>
      </c>
      <c r="C4" s="6" t="n">
        <v>13448876</v>
      </c>
      <c r="D4" s="6" t="n">
        <v>12578157</v>
      </c>
      <c r="E4" s="6" t="n">
        <v>11944952</v>
      </c>
      <c r="F4" s="6" t="n">
        <v>10660584</v>
      </c>
      <c r="G4" s="6" t="n">
        <v>6366591</v>
      </c>
      <c r="H4" s="6" t="n"/>
      <c r="I4" s="6" t="n"/>
      <c r="J4" s="6" t="n"/>
      <c r="K4" s="6" t="n"/>
    </row>
    <row r="5">
      <c r="A5" s="6" t="inlineStr">
        <is>
          <t>Total required stable funding</t>
        </is>
      </c>
      <c r="B5" s="6" t="n">
        <v>5754691</v>
      </c>
      <c r="C5" s="6" t="n">
        <v>5555204</v>
      </c>
      <c r="D5" s="6" t="n">
        <v>5646537</v>
      </c>
      <c r="E5" s="6" t="n">
        <v>4870012</v>
      </c>
      <c r="F5" s="6" t="n">
        <v>4088546</v>
      </c>
      <c r="G5" s="6" t="n">
        <v>2127872</v>
      </c>
      <c r="H5" s="6" t="n"/>
      <c r="I5" s="6" t="n"/>
      <c r="J5" s="6" t="n"/>
      <c r="K5" s="6" t="n"/>
    </row>
    <row r="6">
      <c r="A6" s="6" t="inlineStr">
        <is>
          <t>Net Stable Funding Ratio (%)</t>
        </is>
      </c>
      <c r="B6" s="6" t="inlineStr">
        <is>
          <t>246.87%</t>
        </is>
      </c>
      <c r="C6" s="6" t="inlineStr">
        <is>
          <t>242.10%</t>
        </is>
      </c>
      <c r="D6" s="6" t="inlineStr">
        <is>
          <t>222.76%</t>
        </is>
      </c>
      <c r="E6" s="6" t="inlineStr">
        <is>
          <t>245%</t>
        </is>
      </c>
      <c r="F6" s="6" t="inlineStr">
        <is>
          <t>261%</t>
        </is>
      </c>
      <c r="G6" s="6" t="inlineStr">
        <is>
          <t>299%</t>
        </is>
      </c>
      <c r="H6" s="6" t="n"/>
      <c r="I6" s="6" t="n"/>
      <c r="J6" s="6" t="n"/>
      <c r="K6" s="6" t="n"/>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2026-09-16T00:44:00Z</dcterms:created>
  <dcterms:modified xmlns:dcterms="http://purl.org/dc/terms/" xmlns:xsi="http://www.w3.org/2001/XMLSchema-instance" xsi:type="dcterms:W3CDTF">2026-09-16T00:44:00Z</dcterms:modified>
</cp:coreProperties>
</file>