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B2C91"/>
        <bgColor rgb="006B2C9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Starling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Starling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Starling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ser>
          <idx val="3"/>
          <order val="3"/>
          <tx>
            <strRef>
              <f>'Overview'!AN22</f>
            </strRef>
          </tx>
          <spPr>
            <a:ln xmlns:a="http://schemas.openxmlformats.org/drawingml/2006/mai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Starling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'Overview'!BA26</f>
            </strRef>
          </tx>
          <spPr>
            <a:ln xmlns:a="http://schemas.openxmlformats.org/drawingml/2006/main">
              <a:prstDash val="solid"/>
            </a:ln>
          </spPr>
          <cat>
            <numRef>
              <f>'Overview'!$BB$25:$BK$25</f>
            </numRef>
          </cat>
          <val>
            <numRef>
              <f>'Overview'!$BB$26:$BK$26</f>
            </numRef>
          </val>
        </ser>
        <ser>
          <idx val="1"/>
          <order val="1"/>
          <tx>
            <strRef>
              <f>'Overview'!BA27</f>
            </strRef>
          </tx>
          <spPr>
            <a:ln xmlns:a="http://schemas.openxmlformats.org/drawingml/2006/main">
              <a:prstDash val="solid"/>
            </a:ln>
          </spPr>
          <cat>
            <numRef>
              <f>'Overview'!$BB$25:$BK$25</f>
            </numRef>
          </cat>
          <val>
            <numRef>
              <f>'Overview'!$BB$27:$BK$27</f>
            </numRef>
          </val>
        </ser>
        <ser>
          <idx val="2"/>
          <order val="2"/>
          <tx>
            <strRef>
              <f>'Overview'!BA28</f>
            </strRef>
          </tx>
          <spPr>
            <a:ln xmlns:a="http://schemas.openxmlformats.org/drawingml/2006/main">
              <a:prstDash val="solid"/>
            </a:ln>
          </spPr>
          <cat>
            <numRef>
              <f>'Overview'!$BB$25:$BK$25</f>
            </numRef>
          </cat>
          <val>
            <numRef>
              <f>'Overview'!$BB$28:$BK$28</f>
            </numRef>
          </val>
        </ser>
        <ser>
          <idx val="3"/>
          <order val="3"/>
          <tx>
            <strRef>
              <f>'Overview'!BA29</f>
            </strRef>
          </tx>
          <spPr>
            <a:ln xmlns:a="http://schemas.openxmlformats.org/drawingml/2006/main">
              <a:prstDash val="solid"/>
            </a:ln>
          </spPr>
          <cat>
            <numRef>
              <f>'Overview'!$BB$25:$BK$25</f>
            </numRef>
          </cat>
          <val>
            <numRef>
              <f>'Overview'!$BB$29:$BK$29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Starling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ser>
          <idx val="2"/>
          <order val="2"/>
          <tx>
            <strRef>
              <f>'Overview'!BN8</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'Overview'!$BO$8:$BX$8</f>
            </numRef>
          </val>
          <smooth val="0"/>
        </ser>
        <ser>
          <idx val="3"/>
          <order val="3"/>
          <tx>
            <strRef>
              <f>'Overview'!BN9</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'Overview'!$BO$9:$BX$9</f>
            </numRef>
          </val>
          <smooth val="0"/>
        </ser>
        <ser>
          <idx val="4"/>
          <order val="4"/>
          <tx>
            <strRef>
              <f>'Overview'!BN10</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'Overview'!$BO$10:$BX$10</f>
            </numRef>
          </val>
          <smooth val="0"/>
        </ser>
        <ser>
          <idx val="5"/>
          <order val="5"/>
          <tx>
            <strRef>
              <f>'Overview'!BN11</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'Overview'!$BO$11:$BX$11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Starling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FY2026 (SGHL)‡</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K5" s="4" t="inlineStr">
        <is>
          <t>FY2017</t>
        </is>
      </c>
      <c r="O5" t="inlineStr">
        <is>
          <t>FY2017</t>
        </is>
      </c>
      <c r="P5" t="inlineStr">
        <is>
          <t>FY2018</t>
        </is>
      </c>
      <c r="Q5" t="inlineStr">
        <is>
          <t>FY2019</t>
        </is>
      </c>
      <c r="R5" t="inlineStr">
        <is>
          <t>FY2020</t>
        </is>
      </c>
      <c r="S5" t="inlineStr">
        <is>
          <t>FY2021†</t>
        </is>
      </c>
      <c r="T5" t="inlineStr">
        <is>
          <t>FY2022</t>
        </is>
      </c>
      <c r="U5" t="inlineStr">
        <is>
          <t>FY2023</t>
        </is>
      </c>
      <c r="V5" t="inlineStr">
        <is>
          <t>FY2024</t>
        </is>
      </c>
      <c r="W5" t="inlineStr">
        <is>
          <t>FY2025</t>
        </is>
      </c>
      <c r="X5" t="inlineStr">
        <is>
          <t>FY2026 (SGHL)‡</t>
        </is>
      </c>
      <c r="BO5" t="inlineStr">
        <is>
          <t>FY2017</t>
        </is>
      </c>
      <c r="BP5" t="inlineStr">
        <is>
          <t>FY2018</t>
        </is>
      </c>
      <c r="BQ5" t="inlineStr">
        <is>
          <t>FY2019</t>
        </is>
      </c>
      <c r="BR5" t="inlineStr">
        <is>
          <t>FY2020</t>
        </is>
      </c>
      <c r="BS5" t="inlineStr">
        <is>
          <t>FY2021†</t>
        </is>
      </c>
      <c r="BT5" t="inlineStr">
        <is>
          <t>FY2022</t>
        </is>
      </c>
      <c r="BU5" t="inlineStr">
        <is>
          <t>FY2023</t>
        </is>
      </c>
      <c r="BV5" t="inlineStr">
        <is>
          <t>FY2024</t>
        </is>
      </c>
      <c r="BW5" t="inlineStr">
        <is>
          <t>FY2025</t>
        </is>
      </c>
      <c r="BX5" t="inlineStr">
        <is>
          <t>FY2026 (SGHL)‡</t>
        </is>
      </c>
    </row>
    <row r="6">
      <c r="A6" s="5" t="inlineStr">
        <is>
          <t>Total assets</t>
        </is>
      </c>
      <c r="B6" s="5" t="n">
        <v>16639934</v>
      </c>
      <c r="C6" s="5" t="n">
        <v>15697672</v>
      </c>
      <c r="D6" s="5" t="n">
        <v>14767892</v>
      </c>
      <c r="E6" s="5" t="n">
        <v>13711495</v>
      </c>
      <c r="F6" s="5" t="n">
        <v>11905521</v>
      </c>
      <c r="G6" s="5" t="n">
        <v>7048834</v>
      </c>
      <c r="H6" s="5" t="n"/>
      <c r="I6" s="5" t="n"/>
      <c r="J6" s="5" t="n"/>
      <c r="K6" s="5" t="n"/>
      <c r="N6" t="inlineStr">
        <is>
          <t>Total assets</t>
        </is>
      </c>
      <c r="S6" t="n">
        <v>7048834</v>
      </c>
      <c r="T6" t="n">
        <v>11905521</v>
      </c>
      <c r="U6" t="n">
        <v>13711495</v>
      </c>
      <c r="V6" t="n">
        <v>14767892</v>
      </c>
      <c r="W6" t="n">
        <v>15697672</v>
      </c>
      <c r="X6" t="n">
        <v>16639934</v>
      </c>
      <c r="BN6" t="inlineStr">
        <is>
          <t>CET1 Ratio</t>
        </is>
      </c>
      <c r="BS6" t="n">
        <v>47.9</v>
      </c>
      <c r="BT6" t="n">
        <v>39.96</v>
      </c>
      <c r="BU6" t="n">
        <v>37.5</v>
      </c>
      <c r="BV6" t="n">
        <v>32.55</v>
      </c>
      <c r="BW6" t="n">
        <v>31.55</v>
      </c>
      <c r="BX6" t="n">
        <v>28.58</v>
      </c>
    </row>
    <row r="7">
      <c r="A7" s="5" t="inlineStr">
        <is>
          <t>Loans and advances to customers</t>
        </is>
      </c>
      <c r="B7" s="5" t="n">
        <v>5161359</v>
      </c>
      <c r="C7" s="5" t="n">
        <v>4670567</v>
      </c>
      <c r="D7" s="5" t="n">
        <v>4537663</v>
      </c>
      <c r="E7" s="5" t="n">
        <v>4731997</v>
      </c>
      <c r="F7" s="5" t="n">
        <v>3234673</v>
      </c>
      <c r="G7" s="5" t="n">
        <v>2232846</v>
      </c>
      <c r="H7" s="5" t="n"/>
      <c r="I7" s="5" t="n"/>
      <c r="J7" s="5" t="n"/>
      <c r="K7" s="5" t="n"/>
      <c r="N7" t="inlineStr">
        <is>
          <t>Loans and advances to customers</t>
        </is>
      </c>
      <c r="S7" t="n">
        <v>2232846</v>
      </c>
      <c r="T7" t="n">
        <v>3234673</v>
      </c>
      <c r="U7" t="n">
        <v>4731997</v>
      </c>
      <c r="V7" t="n">
        <v>4537663</v>
      </c>
      <c r="W7" t="n">
        <v>4670567</v>
      </c>
      <c r="X7" t="n">
        <v>5161359</v>
      </c>
      <c r="BN7" t="inlineStr">
        <is>
          <t>Tier 1 Ratio</t>
        </is>
      </c>
      <c r="BS7" t="n">
        <v>47.9</v>
      </c>
      <c r="BT7" t="n">
        <v>39.96</v>
      </c>
      <c r="BU7" t="n">
        <v>37.5</v>
      </c>
      <c r="BV7" t="n">
        <v>32.55</v>
      </c>
      <c r="BW7" t="n">
        <v>31.55</v>
      </c>
      <c r="BX7" t="n">
        <v>28.58</v>
      </c>
    </row>
    <row r="8">
      <c r="A8" s="5" t="inlineStr">
        <is>
          <t>Customer deposits</t>
        </is>
      </c>
      <c r="B8" s="5" t="n">
        <v>12691991</v>
      </c>
      <c r="C8" s="5" t="n">
        <v>12066650</v>
      </c>
      <c r="D8" s="5" t="n">
        <v>10970237</v>
      </c>
      <c r="E8" s="5" t="n">
        <v>10551820</v>
      </c>
      <c r="F8" s="5" t="n">
        <v>9027413</v>
      </c>
      <c r="G8" s="5" t="n">
        <v>5827581</v>
      </c>
      <c r="H8" s="5" t="n"/>
      <c r="I8" s="5" t="n"/>
      <c r="J8" s="5" t="n"/>
      <c r="K8" s="5" t="n"/>
      <c r="N8" t="inlineStr">
        <is>
          <t>Customer deposits</t>
        </is>
      </c>
      <c r="S8" t="n">
        <v>5827581</v>
      </c>
      <c r="T8" t="n">
        <v>9027413</v>
      </c>
      <c r="U8" t="n">
        <v>10551820</v>
      </c>
      <c r="V8" t="n">
        <v>10970237</v>
      </c>
      <c r="W8" t="n">
        <v>12066650</v>
      </c>
      <c r="X8" t="n">
        <v>12691991</v>
      </c>
      <c r="BN8" t="inlineStr">
        <is>
          <t>Total Capital Ratio</t>
        </is>
      </c>
      <c r="BS8" t="n">
        <v>47.9</v>
      </c>
      <c r="BT8" t="n">
        <v>39.96</v>
      </c>
      <c r="BU8" t="n">
        <v>37.5</v>
      </c>
      <c r="BV8" t="n">
        <v>32.55</v>
      </c>
      <c r="BW8" t="n">
        <v>31.55</v>
      </c>
      <c r="BX8" t="n">
        <v>28.58</v>
      </c>
    </row>
    <row r="9">
      <c r="A9" s="5" t="inlineStr">
        <is>
          <t>Total equity</t>
        </is>
      </c>
      <c r="B9" s="5" t="n">
        <v>1204945</v>
      </c>
      <c r="C9" s="5" t="n">
        <v>1046052</v>
      </c>
      <c r="D9" s="5" t="n">
        <v>889770</v>
      </c>
      <c r="E9" s="5" t="n">
        <v>695277</v>
      </c>
      <c r="F9" s="5" t="n">
        <v>430424</v>
      </c>
      <c r="G9" s="5" t="n">
        <v>140831</v>
      </c>
      <c r="H9" s="5" t="n"/>
      <c r="I9" s="5" t="n"/>
      <c r="J9" s="5" t="n"/>
      <c r="K9" s="5" t="n"/>
      <c r="N9" t="inlineStr">
        <is>
          <t>Total equity</t>
        </is>
      </c>
      <c r="S9" t="n">
        <v>140831</v>
      </c>
      <c r="T9" t="n">
        <v>430424</v>
      </c>
      <c r="U9" t="n">
        <v>695277</v>
      </c>
      <c r="V9" t="n">
        <v>889770</v>
      </c>
      <c r="W9" t="n">
        <v>1046052</v>
      </c>
      <c r="X9" t="n">
        <v>1204945</v>
      </c>
      <c r="BN9" t="inlineStr">
        <is>
          <t>Leverage Ratio</t>
        </is>
      </c>
      <c r="BS9" t="n">
        <v>5.4</v>
      </c>
      <c r="BT9" t="n">
        <v>7.85</v>
      </c>
      <c r="BU9" t="n">
        <v>9.300000000000001</v>
      </c>
      <c r="BV9" t="n">
        <v>10.39</v>
      </c>
      <c r="BW9" t="n">
        <v>11.14</v>
      </c>
      <c r="BX9" t="n">
        <v>8.91</v>
      </c>
    </row>
    <row r="10">
      <c r="BN10" t="inlineStr">
        <is>
          <t>LCR</t>
        </is>
      </c>
      <c r="BS10" t="n">
        <v>506</v>
      </c>
      <c r="BT10" t="n">
        <v>515</v>
      </c>
      <c r="BU10" t="n">
        <v>460</v>
      </c>
      <c r="BV10" t="n">
        <v>450.56</v>
      </c>
      <c r="BW10" t="n">
        <v>515.73</v>
      </c>
      <c r="BX10" t="n">
        <v>569.01</v>
      </c>
    </row>
    <row r="11">
      <c r="A11" s="3" t="inlineStr">
        <is>
          <t>Profit &amp; Loss Summary (£'000)</t>
        </is>
      </c>
      <c r="BN11" t="inlineStr">
        <is>
          <t>NSFR</t>
        </is>
      </c>
      <c r="BS11" t="n">
        <v>299</v>
      </c>
      <c r="BT11" t="n">
        <v>261</v>
      </c>
      <c r="BU11" t="n">
        <v>245</v>
      </c>
      <c r="BV11" t="n">
        <v>222.76</v>
      </c>
      <c r="BW11" t="n">
        <v>242.1</v>
      </c>
      <c r="BX11" t="n">
        <v>246.87</v>
      </c>
    </row>
    <row r="12">
      <c r="A12" s="4" t="inlineStr">
        <is>
          <t>Line item</t>
        </is>
      </c>
      <c r="B12" s="4" t="inlineStr">
        <is>
          <t>FY2026 (SGHL)‡</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K12" s="4" t="inlineStr">
        <is>
          <t>FY2017</t>
        </is>
      </c>
      <c r="AB12" t="inlineStr">
        <is>
          <t>FY2017</t>
        </is>
      </c>
      <c r="AC12" t="inlineStr">
        <is>
          <t>FY2018</t>
        </is>
      </c>
      <c r="AD12" t="inlineStr">
        <is>
          <t>FY2019</t>
        </is>
      </c>
      <c r="AE12" t="inlineStr">
        <is>
          <t>FY2020</t>
        </is>
      </c>
      <c r="AF12" t="inlineStr">
        <is>
          <t>FY2021†</t>
        </is>
      </c>
      <c r="AG12" t="inlineStr">
        <is>
          <t>FY2022</t>
        </is>
      </c>
      <c r="AH12" t="inlineStr">
        <is>
          <t>FY2023</t>
        </is>
      </c>
      <c r="AI12" t="inlineStr">
        <is>
          <t>FY2024</t>
        </is>
      </c>
      <c r="AJ12" t="inlineStr">
        <is>
          <t>FY2025</t>
        </is>
      </c>
      <c r="AK12" t="inlineStr">
        <is>
          <t>FY2026 (SGHL)‡</t>
        </is>
      </c>
    </row>
    <row r="13">
      <c r="A13" s="5" t="inlineStr">
        <is>
          <t>Total income / Revenue</t>
        </is>
      </c>
      <c r="B13" s="5" t="n">
        <v>887355</v>
      </c>
      <c r="C13" s="5" t="n">
        <v>680383</v>
      </c>
      <c r="D13" s="5" t="n">
        <v>647118</v>
      </c>
      <c r="E13" s="5" t="n">
        <v>414814</v>
      </c>
      <c r="F13" s="5" t="n">
        <v>188066</v>
      </c>
      <c r="G13" s="5" t="n">
        <v>97589</v>
      </c>
      <c r="H13" s="5" t="n"/>
      <c r="I13" s="5" t="n"/>
      <c r="J13" s="5" t="n"/>
      <c r="K13" s="5" t="n"/>
      <c r="AA13" t="inlineStr">
        <is>
          <t>Total income / Revenue</t>
        </is>
      </c>
      <c r="AF13" t="n">
        <v>97589</v>
      </c>
      <c r="AG13" t="n">
        <v>188066</v>
      </c>
      <c r="AH13" t="n">
        <v>414814</v>
      </c>
      <c r="AI13" t="n">
        <v>647118</v>
      </c>
      <c r="AJ13" t="n">
        <v>680383</v>
      </c>
      <c r="AK13" t="n">
        <v>887355</v>
      </c>
    </row>
    <row r="14">
      <c r="A14" s="5" t="inlineStr">
        <is>
          <t>Operating expenses</t>
        </is>
      </c>
      <c r="B14" s="5" t="n">
        <v>-441955</v>
      </c>
      <c r="C14" s="5" t="n">
        <v>-460213</v>
      </c>
      <c r="D14" s="5" t="n">
        <v>-332130</v>
      </c>
      <c r="E14" s="5" t="n">
        <v>-220674</v>
      </c>
      <c r="F14" s="5" t="n">
        <v>-178336</v>
      </c>
      <c r="G14" s="5" t="n">
        <v>-158981</v>
      </c>
      <c r="H14" s="5" t="n"/>
      <c r="I14" s="5" t="n"/>
      <c r="J14" s="5" t="n"/>
      <c r="K14" s="5" t="n"/>
      <c r="AA14" t="inlineStr">
        <is>
          <t>Operating expenses</t>
        </is>
      </c>
      <c r="AF14" t="n">
        <v>-158981</v>
      </c>
      <c r="AG14" t="n">
        <v>-178336</v>
      </c>
      <c r="AH14" t="n">
        <v>-220674</v>
      </c>
      <c r="AI14" t="n">
        <v>-332130</v>
      </c>
      <c r="AJ14" t="n">
        <v>-460213</v>
      </c>
      <c r="AK14" t="n">
        <v>-441955</v>
      </c>
    </row>
    <row r="15">
      <c r="A15" s="5" t="inlineStr">
        <is>
          <t>Profit/(loss) after taxation</t>
        </is>
      </c>
      <c r="B15" s="5" t="n">
        <v>156043</v>
      </c>
      <c r="C15" s="5" t="n">
        <v>150722</v>
      </c>
      <c r="D15" s="5" t="n">
        <v>220001</v>
      </c>
      <c r="E15" s="5" t="n">
        <v>142856</v>
      </c>
      <c r="F15" s="5" t="n">
        <v>44938</v>
      </c>
      <c r="G15" s="5" t="n">
        <v>-23319</v>
      </c>
      <c r="H15" s="5" t="n"/>
      <c r="I15" s="5" t="n"/>
      <c r="J15" s="5" t="n"/>
      <c r="K15" s="5" t="n"/>
      <c r="AA15" t="inlineStr">
        <is>
          <t>Profit/(loss) after taxation</t>
        </is>
      </c>
      <c r="AF15" t="n">
        <v>-23319</v>
      </c>
      <c r="AG15" t="n">
        <v>44938</v>
      </c>
      <c r="AH15" t="n">
        <v>142856</v>
      </c>
      <c r="AI15" t="n">
        <v>220001</v>
      </c>
      <c r="AJ15" t="n">
        <v>150722</v>
      </c>
      <c r="AK15" t="n">
        <v>156043</v>
      </c>
    </row>
    <row r="17">
      <c r="A17" s="3" t="inlineStr">
        <is>
          <t>Statement of Changes in Equity Summary (£'000)</t>
        </is>
      </c>
    </row>
    <row r="18">
      <c r="A18" s="4" t="inlineStr">
        <is>
          <t>Line item</t>
        </is>
      </c>
      <c r="B18" s="4" t="inlineStr">
        <is>
          <t>FY2026 (SGHL)‡</t>
        </is>
      </c>
      <c r="C18" s="4" t="inlineStr">
        <is>
          <t>FY2025</t>
        </is>
      </c>
      <c r="D18" s="4" t="inlineStr">
        <is>
          <t>FY2024</t>
        </is>
      </c>
      <c r="E18" s="4" t="inlineStr">
        <is>
          <t>FY2023</t>
        </is>
      </c>
      <c r="F18" s="4" t="inlineStr">
        <is>
          <t>FY2022</t>
        </is>
      </c>
      <c r="G18" s="4" t="inlineStr">
        <is>
          <t>FY2021†</t>
        </is>
      </c>
      <c r="H18" s="4" t="inlineStr">
        <is>
          <t>FY2020</t>
        </is>
      </c>
      <c r="I18" s="4" t="inlineStr">
        <is>
          <t>FY2019</t>
        </is>
      </c>
      <c r="J18" s="4" t="inlineStr">
        <is>
          <t>FY2018</t>
        </is>
      </c>
      <c r="K18" s="4" t="inlineStr">
        <is>
          <t>FY2017</t>
        </is>
      </c>
      <c r="AO18" t="inlineStr">
        <is>
          <t>FY2017</t>
        </is>
      </c>
      <c r="AP18" t="inlineStr">
        <is>
          <t>FY2018</t>
        </is>
      </c>
      <c r="AQ18" t="inlineStr">
        <is>
          <t>FY2019</t>
        </is>
      </c>
      <c r="AR18" t="inlineStr">
        <is>
          <t>FY2020</t>
        </is>
      </c>
      <c r="AS18" t="inlineStr">
        <is>
          <t>FY2021†</t>
        </is>
      </c>
      <c r="AT18" t="inlineStr">
        <is>
          <t>FY2022</t>
        </is>
      </c>
      <c r="AU18" t="inlineStr">
        <is>
          <t>FY2023</t>
        </is>
      </c>
      <c r="AV18" t="inlineStr">
        <is>
          <t>FY2024</t>
        </is>
      </c>
      <c r="AW18" t="inlineStr">
        <is>
          <t>FY2025</t>
        </is>
      </c>
      <c r="AX18" t="inlineStr">
        <is>
          <t>FY2026 (SGHL)‡</t>
        </is>
      </c>
    </row>
    <row r="19">
      <c r="A19" s="5" t="inlineStr">
        <is>
          <t>Opening equity</t>
        </is>
      </c>
      <c r="B19" s="5" t="n">
        <v>1046052</v>
      </c>
      <c r="C19" s="5" t="n">
        <v>889770</v>
      </c>
      <c r="D19" s="5" t="n">
        <v>695277</v>
      </c>
      <c r="E19" s="5" t="n">
        <v>430424</v>
      </c>
      <c r="F19" s="5" t="n">
        <v>140831</v>
      </c>
      <c r="G19" s="5" t="n">
        <v>67926</v>
      </c>
      <c r="H19" s="5" t="n"/>
      <c r="I19" s="5" t="n"/>
      <c r="J19" s="5" t="n"/>
      <c r="K19" s="5" t="n"/>
      <c r="AN19" t="inlineStr">
        <is>
          <t>Opening equity</t>
        </is>
      </c>
      <c r="AS19" t="n">
        <v>67926</v>
      </c>
      <c r="AT19" t="n">
        <v>140831</v>
      </c>
      <c r="AU19" t="n">
        <v>430424</v>
      </c>
      <c r="AV19" t="n">
        <v>695277</v>
      </c>
      <c r="AW19" t="n">
        <v>889770</v>
      </c>
      <c r="AX19" t="n">
        <v>1046052</v>
      </c>
    </row>
    <row r="20">
      <c r="A20" s="5" t="inlineStr">
        <is>
          <t>Total comprehensive income/(loss) for the year</t>
        </is>
      </c>
      <c r="B20" s="5" t="n">
        <v>146625</v>
      </c>
      <c r="C20" s="5" t="n">
        <v>143430</v>
      </c>
      <c r="D20" s="5" t="n">
        <v>247405</v>
      </c>
      <c r="E20" s="5" t="n">
        <v>132657</v>
      </c>
      <c r="F20" s="5" t="n">
        <v>44934</v>
      </c>
      <c r="G20" s="5" t="n">
        <v>-23319</v>
      </c>
      <c r="H20" s="5" t="n"/>
      <c r="I20" s="5" t="n"/>
      <c r="J20" s="5" t="n"/>
      <c r="K20" s="5" t="n"/>
      <c r="AN20" t="inlineStr">
        <is>
          <t>Total comprehensive income/(loss) for the year</t>
        </is>
      </c>
      <c r="AS20" t="n">
        <v>-23319</v>
      </c>
      <c r="AT20" t="n">
        <v>44934</v>
      </c>
      <c r="AU20" t="n">
        <v>132657</v>
      </c>
      <c r="AV20" t="n">
        <v>247405</v>
      </c>
      <c r="AW20" t="n">
        <v>143430</v>
      </c>
      <c r="AX20" t="n">
        <v>146625</v>
      </c>
    </row>
    <row r="21">
      <c r="A21" s="5" t="inlineStr">
        <is>
          <t>Other equity movements, net</t>
        </is>
      </c>
      <c r="B21" s="5" t="n">
        <v>12268</v>
      </c>
      <c r="C21" s="5" t="n">
        <v>12852</v>
      </c>
      <c r="D21" s="5" t="n">
        <v>-52912</v>
      </c>
      <c r="E21" s="5" t="n">
        <v>132196</v>
      </c>
      <c r="F21" s="5" t="n">
        <v>244659</v>
      </c>
      <c r="G21" s="5" t="n">
        <v>96224</v>
      </c>
      <c r="H21" s="5" t="n"/>
      <c r="I21" s="5" t="n"/>
      <c r="J21" s="5" t="n"/>
      <c r="K21" s="5" t="n"/>
      <c r="AN21" t="inlineStr">
        <is>
          <t>Other equity movements, net</t>
        </is>
      </c>
      <c r="AS21" t="n">
        <v>96224</v>
      </c>
      <c r="AT21" t="n">
        <v>244659</v>
      </c>
      <c r="AU21" t="n">
        <v>132196</v>
      </c>
      <c r="AV21" t="n">
        <v>-52912</v>
      </c>
      <c r="AW21" t="n">
        <v>12852</v>
      </c>
      <c r="AX21" t="n">
        <v>12268</v>
      </c>
    </row>
    <row r="22">
      <c r="A22" s="5" t="inlineStr">
        <is>
          <t>Closing equity</t>
        </is>
      </c>
      <c r="B22" s="5" t="n">
        <v>1204945</v>
      </c>
      <c r="C22" s="5" t="n">
        <v>1046052</v>
      </c>
      <c r="D22" s="5" t="n">
        <v>889770</v>
      </c>
      <c r="E22" s="5" t="n">
        <v>695277</v>
      </c>
      <c r="F22" s="5" t="n">
        <v>430424</v>
      </c>
      <c r="G22" s="5" t="n">
        <v>140831</v>
      </c>
      <c r="H22" s="5" t="n"/>
      <c r="I22" s="5" t="n"/>
      <c r="J22" s="5" t="n"/>
      <c r="K22" s="5" t="n"/>
      <c r="AN22" t="inlineStr">
        <is>
          <t>Closing equity</t>
        </is>
      </c>
      <c r="AS22" t="n">
        <v>140831</v>
      </c>
      <c r="AT22" t="n">
        <v>430424</v>
      </c>
      <c r="AU22" t="n">
        <v>695277</v>
      </c>
      <c r="AV22" t="n">
        <v>889770</v>
      </c>
      <c r="AW22" t="n">
        <v>1046052</v>
      </c>
      <c r="AX22" t="n">
        <v>1204945</v>
      </c>
    </row>
    <row r="24">
      <c r="A24" s="3" t="inlineStr">
        <is>
          <t>Cash Flow Summary (£'000)</t>
        </is>
      </c>
    </row>
    <row r="25">
      <c r="A25" s="4" t="inlineStr">
        <is>
          <t>Line item</t>
        </is>
      </c>
      <c r="B25" s="4" t="inlineStr">
        <is>
          <t>FY2026 (SGHL)‡</t>
        </is>
      </c>
      <c r="C25" s="4" t="inlineStr">
        <is>
          <t>FY2025</t>
        </is>
      </c>
      <c r="D25" s="4" t="inlineStr">
        <is>
          <t>FY2024</t>
        </is>
      </c>
      <c r="E25" s="4" t="inlineStr">
        <is>
          <t>FY2023</t>
        </is>
      </c>
      <c r="F25" s="4" t="inlineStr">
        <is>
          <t>FY2022</t>
        </is>
      </c>
      <c r="G25" s="4" t="inlineStr">
        <is>
          <t>FY2021†</t>
        </is>
      </c>
      <c r="H25" s="4" t="inlineStr">
        <is>
          <t>FY2020</t>
        </is>
      </c>
      <c r="I25" s="4" t="inlineStr">
        <is>
          <t>FY2019</t>
        </is>
      </c>
      <c r="J25" s="4" t="inlineStr">
        <is>
          <t>FY2018</t>
        </is>
      </c>
      <c r="K25" s="4" t="inlineStr">
        <is>
          <t>FY2017</t>
        </is>
      </c>
      <c r="BB25" t="inlineStr">
        <is>
          <t>FY2017</t>
        </is>
      </c>
      <c r="BC25" t="inlineStr">
        <is>
          <t>FY2018</t>
        </is>
      </c>
      <c r="BD25" t="inlineStr">
        <is>
          <t>FY2019</t>
        </is>
      </c>
      <c r="BE25" t="inlineStr">
        <is>
          <t>FY2020</t>
        </is>
      </c>
      <c r="BF25" t="inlineStr">
        <is>
          <t>FY2021†</t>
        </is>
      </c>
      <c r="BG25" t="inlineStr">
        <is>
          <t>FY2022</t>
        </is>
      </c>
      <c r="BH25" t="inlineStr">
        <is>
          <t>FY2023</t>
        </is>
      </c>
      <c r="BI25" t="inlineStr">
        <is>
          <t>FY2024</t>
        </is>
      </c>
      <c r="BJ25" t="inlineStr">
        <is>
          <t>FY2025</t>
        </is>
      </c>
      <c r="BK25" t="inlineStr">
        <is>
          <t>FY2026 (SGHL)‡</t>
        </is>
      </c>
    </row>
    <row r="26">
      <c r="A26" s="5" t="inlineStr">
        <is>
          <t>Net cash flows from operating activities</t>
        </is>
      </c>
      <c r="B26" s="5" t="n">
        <v>183334</v>
      </c>
      <c r="C26" s="5" t="n">
        <v>1016373</v>
      </c>
      <c r="D26" s="5" t="n">
        <v>1290259</v>
      </c>
      <c r="E26" s="5" t="n">
        <v>80602</v>
      </c>
      <c r="F26" s="5" t="n">
        <v>3535459</v>
      </c>
      <c r="G26" s="5" t="n">
        <v>3530940</v>
      </c>
      <c r="H26" s="5" t="n"/>
      <c r="I26" s="5" t="n"/>
      <c r="J26" s="5" t="n"/>
      <c r="K26" s="5" t="n"/>
      <c r="BA26" t="inlineStr">
        <is>
          <t>Net cash flows from operating activities</t>
        </is>
      </c>
      <c r="BF26" t="n">
        <v>3530940</v>
      </c>
      <c r="BG26" t="n">
        <v>3535459</v>
      </c>
      <c r="BH26" t="n">
        <v>80602</v>
      </c>
      <c r="BI26" t="n">
        <v>1290259</v>
      </c>
      <c r="BJ26" t="n">
        <v>1016373</v>
      </c>
      <c r="BK26" t="n">
        <v>183334</v>
      </c>
    </row>
    <row r="27">
      <c r="A27" s="5" t="inlineStr">
        <is>
          <t>Net cash flows from investing activities</t>
        </is>
      </c>
      <c r="B27" s="5" t="n">
        <v>-2971053</v>
      </c>
      <c r="C27" s="5" t="n">
        <v>-703480</v>
      </c>
      <c r="D27" s="5" t="n">
        <v>-876839</v>
      </c>
      <c r="E27" s="5" t="n">
        <v>-192075</v>
      </c>
      <c r="F27" s="5" t="n">
        <v>-879270</v>
      </c>
      <c r="G27" s="5" t="n">
        <v>-1191134</v>
      </c>
      <c r="H27" s="5" t="n"/>
      <c r="I27" s="5" t="n"/>
      <c r="J27" s="5" t="n"/>
      <c r="K27" s="5" t="n"/>
      <c r="BA27" t="inlineStr">
        <is>
          <t>Net cash flows from investing activities</t>
        </is>
      </c>
      <c r="BF27" t="n">
        <v>-1191134</v>
      </c>
      <c r="BG27" t="n">
        <v>-879270</v>
      </c>
      <c r="BH27" t="n">
        <v>-192075</v>
      </c>
      <c r="BI27" t="n">
        <v>-876839</v>
      </c>
      <c r="BJ27" t="n">
        <v>-703480</v>
      </c>
      <c r="BK27" t="n">
        <v>-2971053</v>
      </c>
    </row>
    <row r="28">
      <c r="A28" s="5" t="inlineStr">
        <is>
          <t>Net cash flows from financing activities</t>
        </is>
      </c>
      <c r="B28" s="5" t="n">
        <v>295880</v>
      </c>
      <c r="C28" s="5" t="n">
        <v>-52710</v>
      </c>
      <c r="D28" s="5" t="n">
        <v>-58516</v>
      </c>
      <c r="E28" s="5" t="n">
        <v>130432</v>
      </c>
      <c r="F28" s="5" t="n">
        <v>238220</v>
      </c>
      <c r="G28" s="5" t="n">
        <v>91838</v>
      </c>
      <c r="H28" s="5" t="n"/>
      <c r="I28" s="5" t="n"/>
      <c r="J28" s="5" t="n"/>
      <c r="K28" s="5" t="n"/>
      <c r="BA28" t="inlineStr">
        <is>
          <t>Net cash flows from financing activities</t>
        </is>
      </c>
      <c r="BF28" t="n">
        <v>91838</v>
      </c>
      <c r="BG28" t="n">
        <v>238220</v>
      </c>
      <c r="BH28" t="n">
        <v>130432</v>
      </c>
      <c r="BI28" t="n">
        <v>-58516</v>
      </c>
      <c r="BJ28" t="n">
        <v>-52710</v>
      </c>
      <c r="BK28" t="n">
        <v>295880</v>
      </c>
    </row>
    <row r="29">
      <c r="A29" s="5" t="inlineStr">
        <is>
          <t>Cash and cash equivalents at end of period/year</t>
        </is>
      </c>
      <c r="B29" s="5" t="n">
        <v>4225338</v>
      </c>
      <c r="C29" s="5" t="n">
        <v>6717177</v>
      </c>
      <c r="D29" s="5" t="n">
        <v>6456994</v>
      </c>
      <c r="E29" s="5" t="n">
        <v>6102090</v>
      </c>
      <c r="F29" s="5" t="n">
        <v>6083131</v>
      </c>
      <c r="G29" s="5" t="n">
        <v>3196349</v>
      </c>
      <c r="H29" s="5" t="n"/>
      <c r="I29" s="5" t="n"/>
      <c r="J29" s="5" t="n"/>
      <c r="K29" s="5" t="n"/>
      <c r="BA29" t="inlineStr">
        <is>
          <t>Cash and cash equivalents at end of period/year</t>
        </is>
      </c>
      <c r="BF29" t="n">
        <v>3196349</v>
      </c>
      <c r="BG29" t="n">
        <v>6083131</v>
      </c>
      <c r="BH29" t="n">
        <v>6102090</v>
      </c>
      <c r="BI29" t="n">
        <v>6456994</v>
      </c>
      <c r="BJ29" t="n">
        <v>6717177</v>
      </c>
      <c r="BK29" t="n">
        <v>4225338</v>
      </c>
    </row>
    <row r="31">
      <c r="A31" s="3" t="inlineStr">
        <is>
          <t>Pillar 3 Key Metrics</t>
        </is>
      </c>
    </row>
    <row r="32">
      <c r="A32" s="4" t="inlineStr">
        <is>
          <t>Line item</t>
        </is>
      </c>
      <c r="B32" s="4" t="inlineStr">
        <is>
          <t>FY2026 (SGHL)‡</t>
        </is>
      </c>
      <c r="C32" s="4" t="inlineStr">
        <is>
          <t>FY2025</t>
        </is>
      </c>
      <c r="D32" s="4" t="inlineStr">
        <is>
          <t>FY2024</t>
        </is>
      </c>
      <c r="E32" s="4" t="inlineStr">
        <is>
          <t>FY2023</t>
        </is>
      </c>
      <c r="F32" s="4" t="inlineStr">
        <is>
          <t>FY2022</t>
        </is>
      </c>
      <c r="G32" s="4" t="inlineStr">
        <is>
          <t>FY2021†</t>
        </is>
      </c>
      <c r="H32" s="4" t="inlineStr">
        <is>
          <t>FY2020</t>
        </is>
      </c>
      <c r="I32" s="4" t="inlineStr">
        <is>
          <t>FY2019</t>
        </is>
      </c>
      <c r="J32" s="4" t="inlineStr">
        <is>
          <t>FY2018</t>
        </is>
      </c>
      <c r="K32" s="4" t="inlineStr">
        <is>
          <t>FY2017</t>
        </is>
      </c>
    </row>
    <row r="33">
      <c r="A33" s="6" t="inlineStr">
        <is>
          <t>CET1 Ratio</t>
        </is>
      </c>
      <c r="B33" s="6" t="inlineStr">
        <is>
          <t>28.58%</t>
        </is>
      </c>
      <c r="C33" s="6" t="inlineStr">
        <is>
          <t>31.55%</t>
        </is>
      </c>
      <c r="D33" s="6" t="inlineStr">
        <is>
          <t>32.55%</t>
        </is>
      </c>
      <c r="E33" s="6" t="inlineStr">
        <is>
          <t>37.50%</t>
        </is>
      </c>
      <c r="F33" s="6" t="inlineStr">
        <is>
          <t>39.96%</t>
        </is>
      </c>
      <c r="G33" s="6" t="inlineStr">
        <is>
          <t>47.9%</t>
        </is>
      </c>
      <c r="H33" s="6" t="n"/>
      <c r="I33" s="6" t="n"/>
      <c r="J33" s="6" t="n"/>
      <c r="K33" s="6" t="n"/>
    </row>
    <row r="34">
      <c r="A34" s="6" t="inlineStr">
        <is>
          <t>Tier 1 Ratio</t>
        </is>
      </c>
      <c r="B34" s="6" t="inlineStr">
        <is>
          <t>28.58%</t>
        </is>
      </c>
      <c r="C34" s="6" t="inlineStr">
        <is>
          <t>31.55%</t>
        </is>
      </c>
      <c r="D34" s="6" t="inlineStr">
        <is>
          <t>32.55%</t>
        </is>
      </c>
      <c r="E34" s="6" t="inlineStr">
        <is>
          <t>37.50%</t>
        </is>
      </c>
      <c r="F34" s="6" t="inlineStr">
        <is>
          <t>39.96%</t>
        </is>
      </c>
      <c r="G34" s="6" t="inlineStr">
        <is>
          <t>47.9%</t>
        </is>
      </c>
      <c r="H34" s="6" t="n"/>
      <c r="I34" s="6" t="n"/>
      <c r="J34" s="6" t="n"/>
      <c r="K34" s="6" t="n"/>
    </row>
    <row r="35">
      <c r="A35" s="6" t="inlineStr">
        <is>
          <t>Total Capital Ratio</t>
        </is>
      </c>
      <c r="B35" s="6" t="inlineStr">
        <is>
          <t>28.58%</t>
        </is>
      </c>
      <c r="C35" s="6" t="inlineStr">
        <is>
          <t>31.55%</t>
        </is>
      </c>
      <c r="D35" s="6" t="inlineStr">
        <is>
          <t>32.55%</t>
        </is>
      </c>
      <c r="E35" s="6" t="inlineStr">
        <is>
          <t>37.50%</t>
        </is>
      </c>
      <c r="F35" s="6" t="inlineStr">
        <is>
          <t>39.96%</t>
        </is>
      </c>
      <c r="G35" s="6" t="inlineStr">
        <is>
          <t>47.9%</t>
        </is>
      </c>
      <c r="H35" s="6" t="n"/>
      <c r="I35" s="6" t="n"/>
      <c r="J35" s="6" t="n"/>
      <c r="K35" s="6" t="n"/>
    </row>
    <row r="36">
      <c r="A36" s="6" t="inlineStr">
        <is>
          <t>Leverage Ratio</t>
        </is>
      </c>
      <c r="B36" s="6" t="inlineStr">
        <is>
          <t>8.91%</t>
        </is>
      </c>
      <c r="C36" s="6" t="inlineStr">
        <is>
          <t>11.14%</t>
        </is>
      </c>
      <c r="D36" s="6" t="inlineStr">
        <is>
          <t>10.39%</t>
        </is>
      </c>
      <c r="E36" s="6" t="inlineStr">
        <is>
          <t>9.30%</t>
        </is>
      </c>
      <c r="F36" s="6" t="inlineStr">
        <is>
          <t>7.85%</t>
        </is>
      </c>
      <c r="G36" s="6" t="inlineStr">
        <is>
          <t>5.4%</t>
        </is>
      </c>
      <c r="H36" s="6" t="n"/>
      <c r="I36" s="6" t="n"/>
      <c r="J36" s="6" t="n"/>
      <c r="K36" s="6" t="n"/>
    </row>
    <row r="37">
      <c r="A37" s="6" t="inlineStr">
        <is>
          <t>LCR</t>
        </is>
      </c>
      <c r="B37" s="6" t="inlineStr">
        <is>
          <t>569.01%</t>
        </is>
      </c>
      <c r="C37" s="6" t="inlineStr">
        <is>
          <t>515.73%</t>
        </is>
      </c>
      <c r="D37" s="6" t="inlineStr">
        <is>
          <t>450.56%</t>
        </is>
      </c>
      <c r="E37" s="6" t="inlineStr">
        <is>
          <t>460%</t>
        </is>
      </c>
      <c r="F37" s="6" t="inlineStr">
        <is>
          <t>515%</t>
        </is>
      </c>
      <c r="G37" s="6" t="inlineStr">
        <is>
          <t>506%</t>
        </is>
      </c>
      <c r="H37" s="6" t="n"/>
      <c r="I37" s="6" t="n"/>
      <c r="J37" s="6" t="n"/>
      <c r="K37" s="6" t="n"/>
    </row>
    <row r="38">
      <c r="A38" s="6" t="inlineStr">
        <is>
          <t>NSFR</t>
        </is>
      </c>
      <c r="B38" s="6" t="inlineStr">
        <is>
          <t>246.87%</t>
        </is>
      </c>
      <c r="C38" s="6" t="inlineStr">
        <is>
          <t>242.10%</t>
        </is>
      </c>
      <c r="D38" s="6" t="inlineStr">
        <is>
          <t>222.76%</t>
        </is>
      </c>
      <c r="E38" s="6" t="inlineStr">
        <is>
          <t>245%</t>
        </is>
      </c>
      <c r="F38" s="6" t="inlineStr">
        <is>
          <t>261%</t>
        </is>
      </c>
      <c r="G38" s="6" t="inlineStr">
        <is>
          <t>299%</t>
        </is>
      </c>
      <c r="H38" s="6" t="n"/>
      <c r="I38" s="6" t="n"/>
      <c r="J38" s="6" t="n"/>
      <c r="K38" s="6" t="n"/>
    </row>
    <row r="40" ht="45" customHeight="1">
      <c r="A40" s="7" t="inlineStr">
        <is>
          <t>Note: Figures are duplicated from the detail sheets for at-a-glance trend viewing; see each sheet's own source citation for the underlying document/page. Net cash from operating activities combines two reporting presentations Starling used across this period (FY2021-FY2023 vs. FY2024-FY2026); see the Cash Flow Statement sheet for the distinction. Leverage ratio shown on the 'excluding claims on central banks' basis for comparability (FY2021 disclosed on the since-retired 'including' CRR basis instead - see Leverage Ratio sheet).</t>
        </is>
      </c>
    </row>
  </sheetData>
  <mergeCells count="1">
    <mergeCell ref="A40:K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Balance Sheet</t>
        </is>
      </c>
    </row>
    <row r="2">
      <c r="A2" s="2" t="inlineStr">
        <is>
          <t>Group/consolidated basis, £'000. Total assets = Total liabilities + Total equity for every year; Total equity ties exactly to the Statement of Changes in Equity sheet's own opening/closing balances - zero plug rows. FY2021: 16-month period (†). FY2026: Starling Group Holdings Limited (‡).</t>
        </is>
      </c>
    </row>
    <row r="3">
      <c r="A3" s="4" t="inlineStr">
        <is>
          <t>Line item</t>
        </is>
      </c>
      <c r="B3" s="4" t="inlineStr">
        <is>
          <t>FY2026 (SGHL)‡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c r="K3" s="4" t="inlineStr">
        <is>
          <t>FY2017 (£'000)</t>
        </is>
      </c>
    </row>
    <row r="4">
      <c r="A4" s="5" t="inlineStr">
        <is>
          <t>Assets</t>
        </is>
      </c>
      <c r="B4" s="6" t="n"/>
      <c r="C4" s="6" t="n"/>
      <c r="D4" s="6" t="n"/>
      <c r="E4" s="6" t="n"/>
      <c r="F4" s="6" t="n"/>
      <c r="G4" s="6" t="n"/>
      <c r="H4" s="6" t="n"/>
      <c r="I4" s="6" t="n"/>
      <c r="J4" s="6" t="n"/>
      <c r="K4" s="6" t="n"/>
    </row>
    <row r="5">
      <c r="A5" s="6" t="inlineStr">
        <is>
          <t>Cash and balances at central banks</t>
        </is>
      </c>
      <c r="B5" s="6" t="n">
        <v>4188830</v>
      </c>
      <c r="C5" s="6" t="n">
        <v>6686688</v>
      </c>
      <c r="D5" s="6" t="n">
        <v>6420115</v>
      </c>
      <c r="E5" s="6" t="n"/>
      <c r="F5" s="6" t="n"/>
      <c r="G5" s="6" t="n"/>
      <c r="H5" s="6" t="n"/>
      <c r="I5" s="6" t="n"/>
      <c r="J5" s="6" t="n"/>
      <c r="K5" s="6" t="n"/>
    </row>
    <row r="6">
      <c r="A6" s="6" t="inlineStr">
        <is>
          <t>Loans and advances to banks (FY2021-FY2023: includes cash and cash equivalents - see source note)</t>
        </is>
      </c>
      <c r="B6" s="6" t="n">
        <v>36508</v>
      </c>
      <c r="C6" s="6" t="n">
        <v>30489</v>
      </c>
      <c r="D6" s="6" t="n">
        <v>36879</v>
      </c>
      <c r="E6" s="6" t="n">
        <v>6109704</v>
      </c>
      <c r="F6" s="6" t="n">
        <v>6107281</v>
      </c>
      <c r="G6" s="6" t="n">
        <v>3196349</v>
      </c>
      <c r="H6" s="6" t="n"/>
      <c r="I6" s="6" t="n"/>
      <c r="J6" s="6" t="n">
        <v>37544</v>
      </c>
      <c r="K6" s="6" t="n">
        <v>37544</v>
      </c>
    </row>
    <row r="7">
      <c r="A7" s="6" t="inlineStr">
        <is>
          <t>Total debt securities</t>
        </is>
      </c>
      <c r="B7" s="6" t="n">
        <v>6843426</v>
      </c>
      <c r="C7" s="6" t="n">
        <v>3934922</v>
      </c>
      <c r="D7" s="6" t="n">
        <v>3284867</v>
      </c>
      <c r="E7" s="6" t="n">
        <v>2479550</v>
      </c>
      <c r="F7" s="6" t="n">
        <v>2306886</v>
      </c>
      <c r="G7" s="6" t="n">
        <v>1513278</v>
      </c>
      <c r="H7" s="6" t="n"/>
      <c r="I7" s="6" t="n"/>
      <c r="J7" s="6" t="n">
        <v>18039</v>
      </c>
      <c r="K7" s="6" t="n">
        <v>3014</v>
      </c>
    </row>
    <row r="8">
      <c r="A8" s="6" t="inlineStr">
        <is>
          <t>Debt securities - issued by governments and supranational bodies (government securities)</t>
        </is>
      </c>
      <c r="B8" s="6" t="n">
        <v>3043972</v>
      </c>
      <c r="C8" s="6" t="n">
        <v>1711624</v>
      </c>
      <c r="D8" s="6" t="n">
        <v>1535013</v>
      </c>
      <c r="E8" s="6" t="n">
        <v>1544706</v>
      </c>
      <c r="F8" s="6" t="n">
        <v>1705167</v>
      </c>
      <c r="G8" s="6" t="n">
        <v>1119687</v>
      </c>
      <c r="H8" s="6" t="n"/>
      <c r="I8" s="6" t="n"/>
      <c r="J8" s="6" t="n"/>
      <c r="K8" s="6" t="n"/>
    </row>
    <row r="9">
      <c r="A9" s="6" t="inlineStr">
        <is>
          <t>Debt securities - covered bonds issued by banks and building societies</t>
        </is>
      </c>
      <c r="B9" s="6" t="n">
        <v>1867695</v>
      </c>
      <c r="C9" s="6" t="n">
        <v>1258616</v>
      </c>
      <c r="D9" s="6" t="n">
        <v>1109808</v>
      </c>
      <c r="E9" s="6" t="n">
        <v>925494</v>
      </c>
      <c r="F9" s="6" t="n">
        <v>613430</v>
      </c>
      <c r="G9" s="6" t="n">
        <v>382638</v>
      </c>
      <c r="H9" s="6" t="n"/>
      <c r="I9" s="6" t="n"/>
      <c r="J9" s="6" t="n"/>
      <c r="K9" s="6" t="n"/>
    </row>
    <row r="10">
      <c r="A10" s="6" t="inlineStr">
        <is>
          <t>Debt securities - residential mortgage-backed securities (RMBS) issued by banks and building societies</t>
        </is>
      </c>
      <c r="B10" s="6" t="n">
        <v>1963242</v>
      </c>
      <c r="C10" s="6" t="n">
        <v>993778</v>
      </c>
      <c r="D10" s="6" t="n">
        <v>675881</v>
      </c>
      <c r="E10" s="6" t="n">
        <v>48040</v>
      </c>
      <c r="F10" s="6" t="n">
        <v>11664</v>
      </c>
      <c r="G10" s="6" t="n">
        <v>13652</v>
      </c>
      <c r="H10" s="6" t="n"/>
      <c r="I10" s="6" t="n"/>
      <c r="J10" s="6" t="n"/>
      <c r="K10" s="6" t="n"/>
    </row>
    <row r="11">
      <c r="A11" s="6" t="inlineStr">
        <is>
          <t>Debt securities - fair value adjustment for hedged risk (reconciling item, see source note)</t>
        </is>
      </c>
      <c r="B11" s="6" t="n">
        <v>-31483</v>
      </c>
      <c r="C11" s="6" t="n">
        <v>-29096</v>
      </c>
      <c r="D11" s="6" t="n">
        <v>-35835</v>
      </c>
      <c r="E11" s="6" t="n">
        <v>-38690</v>
      </c>
      <c r="F11" s="6" t="n">
        <v>-23375</v>
      </c>
      <c r="G11" s="6" t="n">
        <v>-2699</v>
      </c>
      <c r="H11" s="6" t="n"/>
      <c r="I11" s="6" t="n"/>
      <c r="J11" s="6" t="n"/>
      <c r="K11" s="6" t="n"/>
    </row>
    <row r="12">
      <c r="A12" s="6" t="inlineStr">
        <is>
          <t>Derivative assets</t>
        </is>
      </c>
      <c r="B12" s="6" t="n">
        <v>110908</v>
      </c>
      <c r="C12" s="6" t="n">
        <v>156615</v>
      </c>
      <c r="D12" s="6" t="n">
        <v>246541</v>
      </c>
      <c r="E12" s="6" t="n">
        <v>221774</v>
      </c>
      <c r="F12" s="6" t="n">
        <v>98056</v>
      </c>
      <c r="G12" s="6" t="n">
        <v>13488</v>
      </c>
      <c r="H12" s="6" t="n"/>
      <c r="I12" s="6" t="n"/>
      <c r="J12" s="6" t="n"/>
      <c r="K12" s="6" t="n"/>
    </row>
    <row r="13">
      <c r="A13" s="6" t="inlineStr">
        <is>
          <t>Loans and advances to customers</t>
        </is>
      </c>
      <c r="B13" s="6" t="n">
        <v>5161359</v>
      </c>
      <c r="C13" s="6" t="n">
        <v>4670567</v>
      </c>
      <c r="D13" s="6" t="n">
        <v>4537663</v>
      </c>
      <c r="E13" s="6" t="n">
        <v>4731997</v>
      </c>
      <c r="F13" s="6" t="n">
        <v>3234673</v>
      </c>
      <c r="G13" s="6" t="n">
        <v>2232846</v>
      </c>
      <c r="H13" s="6" t="n"/>
      <c r="I13" s="6" t="n"/>
      <c r="J13" s="6" t="n">
        <v>8698</v>
      </c>
      <c r="K13" s="6" t="n">
        <v>804</v>
      </c>
    </row>
    <row r="14">
      <c r="A14" s="6" t="inlineStr">
        <is>
          <t>Other assets</t>
        </is>
      </c>
      <c r="B14" s="6" t="n">
        <v>63120</v>
      </c>
      <c r="C14" s="6" t="n">
        <v>54474</v>
      </c>
      <c r="D14" s="6" t="n">
        <v>100047</v>
      </c>
      <c r="E14" s="6" t="n">
        <v>71851</v>
      </c>
      <c r="F14" s="6" t="n">
        <v>66635</v>
      </c>
      <c r="G14" s="6" t="n">
        <v>63460</v>
      </c>
      <c r="H14" s="6" t="n"/>
      <c r="I14" s="6" t="n"/>
      <c r="J14" s="6" t="n">
        <v>20924</v>
      </c>
      <c r="K14" s="6" t="n">
        <v>2332</v>
      </c>
    </row>
    <row r="15">
      <c r="A15" s="6" t="inlineStr">
        <is>
          <t>Current tax asset</t>
        </is>
      </c>
      <c r="B15" s="6" t="n">
        <v>0</v>
      </c>
      <c r="C15" s="6" t="n">
        <v>748</v>
      </c>
      <c r="D15" s="6" t="n">
        <v>15640</v>
      </c>
      <c r="E15" s="6" t="n"/>
      <c r="F15" s="6" t="n"/>
      <c r="G15" s="6" t="n"/>
      <c r="H15" s="6" t="n"/>
      <c r="I15" s="6" t="n"/>
      <c r="J15" s="6" t="n"/>
      <c r="K15" s="6" t="n"/>
    </row>
    <row r="16">
      <c r="A16" s="6" t="inlineStr">
        <is>
          <t>Deferred tax asset</t>
        </is>
      </c>
      <c r="B16" s="6" t="n">
        <v>1702</v>
      </c>
      <c r="C16" s="6" t="n"/>
      <c r="D16" s="6" t="n"/>
      <c r="E16" s="6" t="n">
        <v>4664</v>
      </c>
      <c r="F16" s="6" t="n">
        <v>21985</v>
      </c>
      <c r="G16" s="6" t="n">
        <v>6088</v>
      </c>
      <c r="H16" s="6" t="n"/>
      <c r="I16" s="6" t="n"/>
      <c r="J16" s="6" t="n"/>
      <c r="K16" s="6" t="n"/>
    </row>
    <row r="17">
      <c r="A17" s="6" t="inlineStr">
        <is>
          <t>Property, plant and equipment and right of use assets</t>
        </is>
      </c>
      <c r="B17" s="6" t="n">
        <v>26726</v>
      </c>
      <c r="C17" s="6" t="n">
        <v>18388</v>
      </c>
      <c r="D17" s="6" t="n">
        <v>18727</v>
      </c>
      <c r="E17" s="6" t="n">
        <v>15480</v>
      </c>
      <c r="F17" s="6" t="n">
        <v>5904</v>
      </c>
      <c r="G17" s="6" t="n"/>
      <c r="H17" s="6" t="n"/>
      <c r="I17" s="6" t="n"/>
      <c r="J17" s="6" t="n"/>
      <c r="K17" s="6" t="n">
        <v>253</v>
      </c>
    </row>
    <row r="18">
      <c r="A18" s="6" t="inlineStr">
        <is>
          <t>Property, plant and equipment and intangible assets (FY2021: combined, pre-dates Goodwill - see source note)</t>
        </is>
      </c>
      <c r="B18" s="6" t="n"/>
      <c r="C18" s="6" t="n"/>
      <c r="D18" s="6" t="n"/>
      <c r="E18" s="6" t="n"/>
      <c r="F18" s="6" t="n"/>
      <c r="G18" s="6" t="n">
        <v>23325</v>
      </c>
      <c r="H18" s="6" t="n"/>
      <c r="I18" s="6" t="n"/>
      <c r="J18" s="6" t="n"/>
      <c r="K18" s="6" t="n"/>
    </row>
    <row r="19">
      <c r="A19" s="6" t="inlineStr">
        <is>
          <t>Intangible assets</t>
        </is>
      </c>
      <c r="B19" s="6" t="n">
        <v>169008</v>
      </c>
      <c r="C19" s="6" t="n">
        <v>108891</v>
      </c>
      <c r="D19" s="6" t="n">
        <v>71523</v>
      </c>
      <c r="E19" s="6" t="n">
        <v>40585</v>
      </c>
      <c r="F19" s="6" t="n">
        <v>28211</v>
      </c>
      <c r="G19" s="6" t="n"/>
      <c r="H19" s="6" t="n"/>
      <c r="I19" s="6" t="n"/>
      <c r="J19" s="6" t="n"/>
      <c r="K19" s="6" t="n">
        <v>9330</v>
      </c>
    </row>
    <row r="20">
      <c r="A20" s="6" t="inlineStr">
        <is>
          <t>Goodwill</t>
        </is>
      </c>
      <c r="B20" s="6" t="n">
        <v>38347</v>
      </c>
      <c r="C20" s="6" t="n">
        <v>35890</v>
      </c>
      <c r="D20" s="6" t="n">
        <v>35890</v>
      </c>
      <c r="E20" s="6" t="n">
        <v>35890</v>
      </c>
      <c r="F20" s="6" t="n">
        <v>35890</v>
      </c>
      <c r="G20" s="6" t="n"/>
      <c r="H20" s="6" t="n"/>
      <c r="I20" s="6" t="n"/>
      <c r="J20" s="6" t="n"/>
      <c r="K20" s="6" t="n"/>
    </row>
    <row r="21">
      <c r="A21" s="5" t="inlineStr">
        <is>
          <t>Total assets</t>
        </is>
      </c>
      <c r="B21" s="5" t="n">
        <v>16639934</v>
      </c>
      <c r="C21" s="5" t="n">
        <v>15697672</v>
      </c>
      <c r="D21" s="5" t="n">
        <v>14767892</v>
      </c>
      <c r="E21" s="5" t="n">
        <v>13711495</v>
      </c>
      <c r="F21" s="5" t="n">
        <v>11905521</v>
      </c>
      <c r="G21" s="5" t="n">
        <v>7048834</v>
      </c>
      <c r="H21" s="5" t="n"/>
      <c r="I21" s="5" t="n"/>
      <c r="J21" s="5" t="n">
        <v>234669</v>
      </c>
      <c r="K21" s="5" t="n">
        <v>53277</v>
      </c>
    </row>
    <row r="22">
      <c r="A22" s="5" t="inlineStr">
        <is>
          <t>Liabilities</t>
        </is>
      </c>
      <c r="B22" s="6" t="n"/>
      <c r="C22" s="6" t="n"/>
      <c r="D22" s="6" t="n"/>
      <c r="E22" s="6" t="n"/>
      <c r="F22" s="6" t="n"/>
      <c r="G22" s="6" t="n"/>
      <c r="H22" s="6" t="n"/>
      <c r="I22" s="6" t="n"/>
      <c r="J22" s="6" t="n"/>
      <c r="K22" s="6" t="n"/>
    </row>
    <row r="23">
      <c r="A23" s="6" t="inlineStr">
        <is>
          <t>Customer deposits</t>
        </is>
      </c>
      <c r="B23" s="6" t="n">
        <v>12691991</v>
      </c>
      <c r="C23" s="6" t="n">
        <v>12066650</v>
      </c>
      <c r="D23" s="6" t="n">
        <v>10970237</v>
      </c>
      <c r="E23" s="6" t="n">
        <v>10551820</v>
      </c>
      <c r="F23" s="6" t="n">
        <v>9027413</v>
      </c>
      <c r="G23" s="6" t="n">
        <v>5827581</v>
      </c>
      <c r="H23" s="6" t="n"/>
      <c r="I23" s="6" t="n"/>
      <c r="J23" s="6" t="n">
        <v>202323</v>
      </c>
      <c r="K23" s="6" t="n">
        <v>18083</v>
      </c>
    </row>
    <row r="24">
      <c r="A24" s="6" t="inlineStr">
        <is>
          <t>Deposits from banks</t>
        </is>
      </c>
      <c r="B24" s="6" t="n">
        <v>2539524</v>
      </c>
      <c r="C24" s="6" t="n">
        <v>2278221</v>
      </c>
      <c r="D24" s="6" t="n">
        <v>2420471</v>
      </c>
      <c r="E24" s="6" t="n">
        <v>2274306</v>
      </c>
      <c r="F24" s="6" t="n">
        <v>2283821</v>
      </c>
      <c r="G24" s="6" t="n"/>
      <c r="H24" s="6" t="n"/>
      <c r="I24" s="6" t="n"/>
      <c r="J24" s="6" t="n"/>
      <c r="K24" s="6" t="n"/>
    </row>
    <row r="25">
      <c r="A25" s="6" t="inlineStr">
        <is>
          <t>Central Bank Facilities (FY2021 - TFSME drawdown, predates Deposits from banks presentation)</t>
        </is>
      </c>
      <c r="B25" s="6" t="n"/>
      <c r="C25" s="6" t="n"/>
      <c r="D25" s="6" t="n"/>
      <c r="E25" s="6" t="n"/>
      <c r="F25" s="6" t="n"/>
      <c r="G25" s="6" t="n">
        <v>1000000</v>
      </c>
      <c r="H25" s="6" t="n"/>
      <c r="I25" s="6" t="n"/>
      <c r="J25" s="6" t="n"/>
      <c r="K25" s="6" t="n"/>
    </row>
    <row r="26">
      <c r="A26" s="6" t="inlineStr">
        <is>
          <t>Derivative liabilities</t>
        </is>
      </c>
      <c r="B26" s="6" t="n">
        <v>39098</v>
      </c>
      <c r="C26" s="6" t="n">
        <v>49052</v>
      </c>
      <c r="D26" s="6" t="n">
        <v>51417</v>
      </c>
      <c r="E26" s="6" t="n">
        <v>55452</v>
      </c>
      <c r="F26" s="6" t="n">
        <v>330</v>
      </c>
      <c r="G26" s="6" t="n">
        <v>818</v>
      </c>
      <c r="H26" s="6" t="n"/>
      <c r="I26" s="6" t="n"/>
      <c r="J26" s="6" t="n"/>
      <c r="K26" s="6" t="n"/>
    </row>
    <row r="27">
      <c r="A27" s="6" t="inlineStr">
        <is>
          <t>Other liabilities</t>
        </is>
      </c>
      <c r="B27" s="6" t="n">
        <v>106320</v>
      </c>
      <c r="C27" s="6" t="n">
        <v>145617</v>
      </c>
      <c r="D27" s="6" t="n">
        <v>367422</v>
      </c>
      <c r="E27" s="6" t="n">
        <v>96958</v>
      </c>
      <c r="F27" s="6" t="n">
        <v>138614</v>
      </c>
      <c r="G27" s="6" t="n">
        <v>39141</v>
      </c>
      <c r="H27" s="6" t="n"/>
      <c r="I27" s="6" t="n"/>
      <c r="J27" s="6" t="n"/>
      <c r="K27" s="6" t="n"/>
    </row>
    <row r="28">
      <c r="A28" s="6" t="inlineStr">
        <is>
          <t>Deferred income</t>
        </is>
      </c>
      <c r="B28" s="6" t="n">
        <v>17245</v>
      </c>
      <c r="C28" s="6" t="n">
        <v>59980</v>
      </c>
      <c r="D28" s="6" t="n">
        <v>47873</v>
      </c>
      <c r="E28" s="6" t="n">
        <v>32380</v>
      </c>
      <c r="F28" s="6" t="n">
        <v>23059</v>
      </c>
      <c r="G28" s="6" t="n">
        <v>38463</v>
      </c>
      <c r="H28" s="6" t="n"/>
      <c r="I28" s="6" t="n"/>
      <c r="J28" s="6" t="n"/>
      <c r="K28" s="6" t="n"/>
    </row>
    <row r="29">
      <c r="A29" s="6" t="inlineStr">
        <is>
          <t>Provisions</t>
        </is>
      </c>
      <c r="B29" s="6" t="n">
        <v>33775</v>
      </c>
      <c r="C29" s="6" t="n">
        <v>51396</v>
      </c>
      <c r="D29" s="6" t="n">
        <v>11507</v>
      </c>
      <c r="E29" s="6" t="n">
        <v>1342</v>
      </c>
      <c r="F29" s="6" t="n">
        <v>1242</v>
      </c>
      <c r="G29" s="6" t="n">
        <v>2000</v>
      </c>
      <c r="H29" s="6" t="n"/>
      <c r="I29" s="6" t="n"/>
      <c r="J29" s="6" t="n"/>
      <c r="K29" s="6" t="n"/>
    </row>
    <row r="30">
      <c r="A30" s="6" t="inlineStr">
        <is>
          <t>Current tax liability</t>
        </is>
      </c>
      <c r="B30" s="6" t="n">
        <v>7036</v>
      </c>
      <c r="C30" s="6" t="n"/>
      <c r="D30" s="6" t="n"/>
      <c r="E30" s="6" t="n">
        <v>3960</v>
      </c>
      <c r="F30" s="6" t="n">
        <v>618</v>
      </c>
      <c r="G30" s="6" t="n"/>
      <c r="H30" s="6" t="n"/>
      <c r="I30" s="6" t="n"/>
      <c r="J30" s="6" t="n"/>
      <c r="K30" s="6" t="n"/>
    </row>
    <row r="31">
      <c r="A31" s="6" t="inlineStr">
        <is>
          <t>Deferred tax liability</t>
        </is>
      </c>
      <c r="B31" s="6" t="n"/>
      <c r="C31" s="6" t="n">
        <v>704</v>
      </c>
      <c r="D31" s="6" t="n">
        <v>9195</v>
      </c>
      <c r="E31" s="6" t="n"/>
      <c r="F31" s="6" t="n"/>
      <c r="G31" s="6" t="n"/>
      <c r="H31" s="6" t="n"/>
      <c r="I31" s="6" t="n"/>
      <c r="J31" s="6" t="n"/>
      <c r="K31" s="6" t="n"/>
    </row>
    <row r="32">
      <c r="A32" s="5" t="inlineStr">
        <is>
          <t>Total liabilities</t>
        </is>
      </c>
      <c r="B32" s="5" t="n">
        <v>15434989</v>
      </c>
      <c r="C32" s="5" t="n">
        <v>14651620</v>
      </c>
      <c r="D32" s="5" t="n">
        <v>13878122</v>
      </c>
      <c r="E32" s="5" t="n">
        <v>13016218</v>
      </c>
      <c r="F32" s="5" t="n">
        <v>11475097</v>
      </c>
      <c r="G32" s="5" t="n">
        <v>6908003</v>
      </c>
      <c r="H32" s="5" t="n"/>
      <c r="I32" s="5" t="n"/>
      <c r="J32" s="5" t="n">
        <v>206670</v>
      </c>
      <c r="K32" s="5" t="n">
        <v>20559</v>
      </c>
    </row>
    <row r="33">
      <c r="A33" s="5" t="inlineStr">
        <is>
          <t>Equity</t>
        </is>
      </c>
      <c r="B33" s="6" t="n"/>
      <c r="C33" s="6" t="n"/>
      <c r="D33" s="6" t="n"/>
      <c r="E33" s="6" t="n"/>
      <c r="F33" s="6" t="n"/>
      <c r="G33" s="6" t="n"/>
      <c r="H33" s="6" t="n"/>
      <c r="I33" s="6" t="n"/>
      <c r="J33" s="6" t="n"/>
      <c r="K33" s="6" t="n"/>
    </row>
    <row r="34">
      <c r="A34" s="6" t="inlineStr">
        <is>
          <t>Share capital</t>
        </is>
      </c>
      <c r="B34" s="6" t="n">
        <v>12</v>
      </c>
      <c r="C34" s="6" t="n">
        <v>12</v>
      </c>
      <c r="D34" s="6" t="n">
        <v>12</v>
      </c>
      <c r="E34" s="6" t="n">
        <v>12</v>
      </c>
      <c r="F34" s="6" t="n">
        <v>11</v>
      </c>
      <c r="G34" s="6" t="n">
        <v>9</v>
      </c>
      <c r="H34" s="6" t="n"/>
      <c r="I34" s="6" t="n"/>
      <c r="J34" s="6" t="n"/>
      <c r="K34" s="6" t="n">
        <v>5</v>
      </c>
    </row>
    <row r="35">
      <c r="A35" s="6" t="inlineStr">
        <is>
          <t>Share premium</t>
        </is>
      </c>
      <c r="B35" s="6" t="n">
        <v>0</v>
      </c>
      <c r="C35" s="6" t="n">
        <v>608833</v>
      </c>
      <c r="D35" s="6" t="n">
        <v>608833</v>
      </c>
      <c r="E35" s="6" t="n">
        <v>608833</v>
      </c>
      <c r="F35" s="6" t="n">
        <v>478333</v>
      </c>
      <c r="G35" s="6" t="n">
        <v>253335</v>
      </c>
      <c r="H35" s="6" t="n"/>
      <c r="I35" s="6" t="n"/>
      <c r="J35" s="6" t="n"/>
      <c r="K35" s="6" t="n">
        <v>47846</v>
      </c>
    </row>
    <row r="36">
      <c r="A36" s="6" t="inlineStr">
        <is>
          <t>Merger reserve</t>
        </is>
      </c>
      <c r="B36" s="6" t="n">
        <v>623833</v>
      </c>
      <c r="C36" s="6" t="n">
        <v>15000</v>
      </c>
      <c r="D36" s="6" t="n">
        <v>15000</v>
      </c>
      <c r="E36" s="6" t="n">
        <v>15000</v>
      </c>
      <c r="F36" s="6" t="n">
        <v>15000</v>
      </c>
      <c r="G36" s="6" t="n"/>
      <c r="H36" s="6" t="n"/>
      <c r="I36" s="6" t="n"/>
      <c r="J36" s="6" t="n"/>
      <c r="K36" s="6" t="n"/>
    </row>
    <row r="37">
      <c r="A37" s="6" t="inlineStr">
        <is>
          <t>Cash flow hedging reserve</t>
        </is>
      </c>
      <c r="B37" s="6" t="n">
        <v>427</v>
      </c>
      <c r="C37" s="6" t="n">
        <v>9834</v>
      </c>
      <c r="D37" s="6" t="n">
        <v>17133</v>
      </c>
      <c r="E37" s="6" t="n">
        <v>-10246</v>
      </c>
      <c r="F37" s="6" t="n"/>
      <c r="G37" s="6" t="n"/>
      <c r="H37" s="6" t="n"/>
      <c r="I37" s="6" t="n"/>
      <c r="J37" s="6" t="n"/>
      <c r="K37" s="6" t="n"/>
    </row>
    <row r="38">
      <c r="A38" s="6" t="inlineStr">
        <is>
          <t>Other reserves (own shares held/share awards/sundry/FX - see source note)</t>
        </is>
      </c>
      <c r="B38" s="6" t="n">
        <v>-19020</v>
      </c>
      <c r="C38" s="6" t="n">
        <v>-31277</v>
      </c>
      <c r="D38" s="6" t="n">
        <v>-44136</v>
      </c>
      <c r="E38" s="6" t="n">
        <v>9267</v>
      </c>
      <c r="F38" s="6" t="n">
        <v>7525</v>
      </c>
      <c r="G38" s="6" t="n">
        <v>2980</v>
      </c>
      <c r="H38" s="6" t="n"/>
      <c r="I38" s="6" t="n"/>
      <c r="J38" s="6" t="n"/>
      <c r="K38" s="6" t="n">
        <v>-94</v>
      </c>
    </row>
    <row r="39">
      <c r="A39" s="6" t="inlineStr">
        <is>
          <t>Retained earnings / (Accumulated losses)</t>
        </is>
      </c>
      <c r="B39" s="6" t="n">
        <v>599693</v>
      </c>
      <c r="C39" s="6" t="n">
        <v>443650</v>
      </c>
      <c r="D39" s="6" t="n">
        <v>292928</v>
      </c>
      <c r="E39" s="6" t="n">
        <v>72411</v>
      </c>
      <c r="F39" s="6" t="n">
        <v>-70445</v>
      </c>
      <c r="G39" s="6" t="n">
        <v>-115493</v>
      </c>
      <c r="H39" s="6" t="n"/>
      <c r="I39" s="6" t="n"/>
      <c r="J39" s="6" t="n"/>
      <c r="K39" s="6" t="n">
        <v>-15039</v>
      </c>
    </row>
    <row r="40">
      <c r="A40" s="5" t="inlineStr">
        <is>
          <t>Total equity</t>
        </is>
      </c>
      <c r="B40" s="5" t="n">
        <v>1204945</v>
      </c>
      <c r="C40" s="5" t="n">
        <v>1046052</v>
      </c>
      <c r="D40" s="5" t="n">
        <v>889770</v>
      </c>
      <c r="E40" s="5" t="n">
        <v>695277</v>
      </c>
      <c r="F40" s="5" t="n">
        <v>430424</v>
      </c>
      <c r="G40" s="5" t="n">
        <v>140831</v>
      </c>
      <c r="H40" s="5" t="n"/>
      <c r="I40" s="5" t="n"/>
      <c r="J40" s="5" t="n">
        <v>27999</v>
      </c>
      <c r="K40" s="5" t="n">
        <v>32718</v>
      </c>
    </row>
    <row r="41">
      <c r="A41" s="5" t="inlineStr">
        <is>
          <t>Total liabilities and equity</t>
        </is>
      </c>
      <c r="B41" s="5" t="n">
        <v>16639934</v>
      </c>
      <c r="C41" s="5" t="n">
        <v>15697672</v>
      </c>
      <c r="D41" s="5" t="n">
        <v>14767892</v>
      </c>
      <c r="E41" s="5" t="n">
        <v>13711495</v>
      </c>
      <c r="F41" s="5" t="n">
        <v>11905521</v>
      </c>
      <c r="G41" s="5" t="n">
        <v>7048834</v>
      </c>
      <c r="H41" s="5" t="n"/>
      <c r="I41" s="5" t="n"/>
      <c r="J41" s="5" t="n">
        <v>234669</v>
      </c>
      <c r="K41" s="5" t="n">
        <v>53277</v>
      </c>
    </row>
    <row r="43" ht="380" customHeight="1">
      <c r="A43" s="8" t="inlineStr">
        <is>
          <t>Sources - all figures are Group/consolidated basis, £'000. See entity note above re: FY2021 (16-month period) and FY2026 (new SGHL parent entity).
FY2026: Starling Group Holdings Limited Annual Report and Accounts 2026, p.162-164 (Consolidated statement of comprehensive income / financial position / changes in equity) - https://www.starlingbank.com/docs/annual-reports/Starling-Group-Annual-Report-2026.pdf
FY2025 &amp; FY2024: Starling Bank Limited Annual Report and Accounts 2025, p.157-159 (Consolidated and company statement of comprehensive income / financial position / changes in equity) - https://www.starlingbank.com/docs/annual-reports/Starling-Bank-Annual-Report-2025.pdf. FY2025's equity components independently cross-checked against the Group's own re-presented FY2025 comparative in the AR26 Annual Report (p.164), which agrees exactly (merger reserve, cash flow hedging reserve, own shares held reserve, share awards reserve and sundry reserves disaggregated only from AR26 onward - see presentation note below).
FY2023 &amp; FY2022 (restated): Starling Bank Limited Annual Report 2023, p.122-123, p.126-127 (Consolidated &amp; Company Statement of Comprehensive Income / Financial Position / Changes in Equity) - https://www.starlingbank.com/docs/annual-reports/Starling-Bank-Annual-Report-2023.pdf
FY2021: Starling Bank Limited Annual Report and Consolidated Financial Statements, period ended 31 March 2021, p.62-68 (Consolidated Statement of Comprehensive Income / Financial Position / Changes in Equity) - https://www.starlingbank.com/docs/annual-reports/Starling-Bank-Annual-Report-2019-21.pdf. Independently cross-checked against Annual Report 2023's FY2021 comparative opening equity balance, which agrees exactly.
ENTITY NOTE: Starling Bank Limited (Companies House 09092149) is the entity on the PRA register and is used, on a consolidated Group basis, for FY2021-FY2025 - each year's own Annual Report and Consolidated Financial Statements. FY2021 (marked †) is a 16-month period (1 December 2019 - 31 March 2021), Starling's first period reporting to a 31 March year end - not directly run-rate comparable to the other years.
FY2026 (marked ‡, added as a bonus column beyond the standard 5-year window) is different: in June 2025 a new non-trading holding company, Starling Group Holdings Limited (SGHL), was inserted as ultimate parent of Starling Bank Limited (SBL), with an intermediate holding company (SIHL) added in September 2025. From FY2026, SBL's own Companies House filing is presented on an unconsolidated solo/Company basis only (SBL's own wording: 'the Company' = Starling Bank Limited; consolidated 'Group' figures are now published separately as SGHL's own Annual Report). To keep this column comparable to FY2021-FY2025's consolidated basis, FY2026 cash flow figures here are SGHL's consolidated Group figures (from the new SGHL Annual Report), not SBL's own solo filing. The SGHL accounting consolidation for FY2026 additionally includes Murmur Financial Services Limited, Fleet Mortgages Limited and Engine by Starling Limited alongside SBL and its own ancillary undertakings (Starling FS Services Limited, and Ember by Starling Limited, acquired during FY2026) - a broader scope than SBL's own historical Group accounts. Pillar 3 (prudential) figures for FY2026 are on the narrower 'Regulatory Group' basis (SGHL, SIHL, SBL, SFSSL and Ember only - Murmur/Fleet Mortgages/Engine fall below CRR Article 19 materiality thresholds); cross-checking confirms this made no difference to the FY2025 capital figures, so Pillar 3 continuity FY2021-FY2026 is unaffected by the restructuring. FY2020-FY2017 are covered by Starling's official investor archive: FY2020/FY2019 in the 2019-21 report, FY2018 in the 2017-18 report, and FY2017 in the 2016-17 report. Older columns retain blanks where the historical filing used a materially different presentation and no reliable like-for-like line exists.
PRESENTATION NOTE (Balance Sheet): FY2024-FY2026 report a separate 'Cash and balances at central banks' line distinct from 'Loans and advances to banks'; FY2021-FY2023 report a single combined 'Loans and Advances to Banks' line that includes cash and cash equivalents (per that year's own footnote) - both are shown as disclosed, not reconciled into a common split. FY2021 combines Property, Plant and Equipment with Intangible Assets into one line (no separate Goodwill line - Goodwill first arose on the Fleet Mortgages acquisition in FY2022); FY2022 onward splits these three lines out.
PRESENTATION NOTE (Debt securities breakdown): the 'Debt securities' Balance Sheet line is broken out by issuer type per each year's own 'Debt securities' note - government/supranational bonds vs. covered bonds and RMBS issued by banks and building societies, plus the fair value adjustment for hedged risk that reconciles the gross note total to the Balance Sheet's net carrying value (all four sub-lines sum exactly to 'Total debt securities' every year). Source notes: FY2026: Starling Group Holdings Limited Annual Report and Accounts 2026, note 13 'Debt securities', p.195 - https://www.starlingbank.com/docs/annual-reports/Starling-Group-Annual-Report-2026.pdf
FY2025 &amp; FY2024: Starling Bank Limited Annual Report and Accounts 2025, note 10 'Debt securities', p.189 - https://www.starlingbank.com/docs/annual-reports/Starling-Bank-Annual-Report-2025.pdf. FY2025's breakdown independently cross-checked against AR26's own FY2025 comparative column (note 13, p.195), which agrees exactly.
FY2023 &amp; FY2022: Starling Bank Limited Annual Report 2023, note 11 'Debt Securities', p.154 - https://www.starlingbank.com/docs/annual-reports/Starling-Bank-Annual-Report-2023.pdf
FY2021: Starling Bank Limited Annual Report and Consolidated Financial Statements, period ended 31 March 2021, note 12 'Debt Securities', p.111 - https://www.starlingbank.com/docs/annual-reports/Starling-Bank-Annual-Report-2019-21.pdf. That year's note also states 'All Debt Securities are held at amortised cost' - no FVOCI/FVTPL/trading leg is disclosed for any year covered (the FY2025 Annual Report's own risk section likewise states 'The Group's debt securities are measured at amortised cost'), so no measurement-basis (amortised cost vs. mark-to-market) split is shown here - it would be a 100%-amortised-cost/0%-mark-to-market non-split, not a genuine disclosed breakdown.
PRESENTATION NOTE (Profit &amp; Loss): FY2021-FY2025 use a 'Net interest income / Net fees and commissions / Total income' structure; FY2026 (Starling Group Holdings Limited's own first Annual Report) uses a 'Revenue / Cost of revenue / Gross profit' structure instead - both are shown as separate blocks, each with its own Profit-after-tax and Total-comprehensive-income rows (mirroring the Cash Flow Statement sheet's existing dual-presentation convention), rather than force-fitting FY2026 into the older structure. FY2021's Loss for the year and OCI, net of tax are the same figure (no OCI items disclosed that year - 'There is no difference between the loss after taxation and the total comprehensive income of the Group').
PRESENTATION NOTE (Statement of Changes in Equity): 'Merger reserve' (created in FY2022 on the Fleet Mortgages Limited share-for-share acquisition, per Companies Act 2006 s.612) and 'Cash flow hedging reserve' are shown as their own columns throughout for consistency, back-computed for FY2021-FY2023 from each year's combined 'Other Reserves' column and that year's own movement notes (verified: FY2022's £15,000k Merger reserve movement exactly matches the value AR26 later separately discloses as the FY2024 opening Merger reserve balance, confirming it never changed between creation and FY2024). 'Other reserves' here combines the own-shares-held reserve, share awards reserve, foreign exchange/translation reserve and sundry reserves - these were only disclosed as separate sub-columns from AR26 (FY2026 report) onward; combining them keeps the ladder's column set consistent across all 6 years. Every year's closing Total equity ties exactly to that year's own Balance Sheet Total equity and to the next year's opening balance - zero undocumented plug rows across all 6 years.</t>
        </is>
      </c>
    </row>
  </sheetData>
  <mergeCells count="1">
    <mergeCell ref="A43:K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Profit &amp; Loss</t>
        </is>
      </c>
    </row>
    <row r="2">
      <c r="A2" s="2" t="inlineStr">
        <is>
          <t>Group/consolidated basis, £'000. 'Total comprehensive income/(loss) for the year' ties exactly to Profit/(loss) after taxation + Other comprehensive income for every year. FY2026 uses a different Revenue/Cost-of-revenue/Gross-profit presentation than FY2021-FY2025 - see source note.</t>
        </is>
      </c>
    </row>
    <row r="3">
      <c r="A3" s="4" t="inlineStr">
        <is>
          <t>Line item</t>
        </is>
      </c>
      <c r="B3" s="4" t="inlineStr">
        <is>
          <t>FY2026 (SGHL)‡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c r="K3" s="4" t="inlineStr">
        <is>
          <t>FY2017 (£'000)</t>
        </is>
      </c>
    </row>
    <row r="4">
      <c r="A4" s="5" t="inlineStr">
        <is>
          <t>Income (FY2021-FY2025 presentation)</t>
        </is>
      </c>
      <c r="B4" s="6" t="n"/>
      <c r="C4" s="6" t="n"/>
      <c r="D4" s="6" t="n"/>
      <c r="E4" s="6" t="n"/>
      <c r="F4" s="6" t="n"/>
      <c r="G4" s="6" t="n"/>
      <c r="H4" s="6" t="n"/>
      <c r="I4" s="6" t="n"/>
      <c r="J4" s="6" t="n"/>
      <c r="K4" s="6" t="n"/>
    </row>
    <row r="5">
      <c r="A5" s="6" t="inlineStr">
        <is>
          <t>Interest income</t>
        </is>
      </c>
      <c r="B5" s="6" t="n"/>
      <c r="C5" s="6" t="n">
        <v>811695</v>
      </c>
      <c r="D5" s="6" t="n">
        <v>754808</v>
      </c>
      <c r="E5" s="6" t="n">
        <v>403103</v>
      </c>
      <c r="F5" s="6" t="n">
        <v>126614</v>
      </c>
      <c r="G5" s="6" t="n"/>
      <c r="H5" s="6" t="n"/>
      <c r="I5" s="6" t="n"/>
      <c r="J5" s="6" t="n"/>
      <c r="K5" s="6" t="n"/>
    </row>
    <row r="6">
      <c r="A6" s="6" t="inlineStr">
        <is>
          <t>Interest expense</t>
        </is>
      </c>
      <c r="B6" s="6" t="n"/>
      <c r="C6" s="6" t="n">
        <v>-221533</v>
      </c>
      <c r="D6" s="6" t="n">
        <v>-161937</v>
      </c>
      <c r="E6" s="6" t="n">
        <v>-54258</v>
      </c>
      <c r="F6" s="6" t="n">
        <v>-4902</v>
      </c>
      <c r="G6" s="6" t="n"/>
      <c r="H6" s="6" t="n"/>
      <c r="I6" s="6" t="n"/>
      <c r="J6" s="6" t="n"/>
      <c r="K6" s="6" t="n"/>
    </row>
    <row r="7">
      <c r="A7" s="5" t="inlineStr">
        <is>
          <t>Net interest income</t>
        </is>
      </c>
      <c r="B7" s="5" t="n"/>
      <c r="C7" s="5" t="n">
        <v>590162</v>
      </c>
      <c r="D7" s="5" t="n">
        <v>592871</v>
      </c>
      <c r="E7" s="5" t="n">
        <v>348845</v>
      </c>
      <c r="F7" s="5" t="n">
        <v>121712</v>
      </c>
      <c r="G7" s="5" t="n">
        <v>59253</v>
      </c>
      <c r="H7" s="5" t="n"/>
      <c r="I7" s="5" t="n"/>
      <c r="J7" s="5" t="n"/>
      <c r="K7" s="5" t="n"/>
    </row>
    <row r="8">
      <c r="A8" s="6" t="inlineStr">
        <is>
          <t>Fees and commissions income</t>
        </is>
      </c>
      <c r="B8" s="6" t="n"/>
      <c r="C8" s="6" t="n">
        <v>128306</v>
      </c>
      <c r="D8" s="6" t="n">
        <v>119467</v>
      </c>
      <c r="E8" s="6" t="n">
        <v>112413</v>
      </c>
      <c r="F8" s="6" t="n">
        <v>86041</v>
      </c>
      <c r="G8" s="6" t="n"/>
      <c r="H8" s="6" t="n"/>
      <c r="I8" s="6" t="n"/>
      <c r="J8" s="6" t="n"/>
      <c r="K8" s="6" t="n"/>
    </row>
    <row r="9">
      <c r="A9" s="6" t="inlineStr">
        <is>
          <t>Fees and commissions expense</t>
        </is>
      </c>
      <c r="B9" s="6" t="n"/>
      <c r="C9" s="6" t="n">
        <v>-33539</v>
      </c>
      <c r="D9" s="6" t="n">
        <v>-35044</v>
      </c>
      <c r="E9" s="6" t="n">
        <v>-38023</v>
      </c>
      <c r="F9" s="6" t="n">
        <v>-28311</v>
      </c>
      <c r="G9" s="6" t="n"/>
      <c r="H9" s="6" t="n"/>
      <c r="I9" s="6" t="n"/>
      <c r="J9" s="6" t="n"/>
      <c r="K9" s="6" t="n"/>
    </row>
    <row r="10">
      <c r="A10" s="5" t="inlineStr">
        <is>
          <t>Net fees and commissions</t>
        </is>
      </c>
      <c r="B10" s="5" t="n"/>
      <c r="C10" s="5" t="n">
        <v>94767</v>
      </c>
      <c r="D10" s="5" t="n">
        <v>84423</v>
      </c>
      <c r="E10" s="5" t="n">
        <v>74390</v>
      </c>
      <c r="F10" s="5" t="n">
        <v>57730</v>
      </c>
      <c r="G10" s="5" t="n">
        <v>33884</v>
      </c>
      <c r="H10" s="5" t="n"/>
      <c r="I10" s="5" t="n"/>
      <c r="J10" s="5" t="n"/>
      <c r="K10" s="5" t="n"/>
    </row>
    <row r="11">
      <c r="A11" s="6" t="inlineStr">
        <is>
          <t>Other (expense)/income</t>
        </is>
      </c>
      <c r="B11" s="6" t="n"/>
      <c r="C11" s="6" t="n">
        <v>-4546</v>
      </c>
      <c r="D11" s="6" t="n">
        <v>-30176</v>
      </c>
      <c r="E11" s="6" t="n">
        <v>-8421</v>
      </c>
      <c r="F11" s="6" t="n">
        <v>8624</v>
      </c>
      <c r="G11" s="6" t="n">
        <v>4452</v>
      </c>
      <c r="H11" s="6" t="n"/>
      <c r="I11" s="6" t="n"/>
      <c r="J11" s="6" t="n"/>
      <c r="K11" s="6" t="n"/>
    </row>
    <row r="12">
      <c r="A12" s="6" t="inlineStr">
        <is>
          <t>Credit for eligible spend (CIF)</t>
        </is>
      </c>
      <c r="B12" s="6" t="n"/>
      <c r="C12" s="6" t="n"/>
      <c r="D12" s="6" t="n"/>
      <c r="E12" s="6" t="n">
        <v>10447</v>
      </c>
      <c r="F12" s="6" t="n">
        <v>32958</v>
      </c>
      <c r="G12" s="6" t="n">
        <v>46044</v>
      </c>
      <c r="H12" s="6" t="n"/>
      <c r="I12" s="6" t="n"/>
      <c r="J12" s="6" t="n"/>
      <c r="K12" s="6" t="n"/>
    </row>
    <row r="13">
      <c r="A13" s="5" t="inlineStr">
        <is>
          <t>Total income</t>
        </is>
      </c>
      <c r="B13" s="5" t="n"/>
      <c r="C13" s="5" t="n">
        <v>680383</v>
      </c>
      <c r="D13" s="5" t="n">
        <v>647118</v>
      </c>
      <c r="E13" s="5" t="n">
        <v>414814</v>
      </c>
      <c r="F13" s="5" t="n">
        <v>188066</v>
      </c>
      <c r="G13" s="5" t="n">
        <v>97589</v>
      </c>
      <c r="H13" s="5" t="n"/>
      <c r="I13" s="5" t="n"/>
      <c r="J13" s="5" t="n"/>
      <c r="K13" s="5" t="n"/>
    </row>
    <row r="14">
      <c r="A14" s="6" t="inlineStr">
        <is>
          <t>Operating expenses / Administrative expenses</t>
        </is>
      </c>
      <c r="B14" s="6" t="n"/>
      <c r="C14" s="6" t="n">
        <v>-460213</v>
      </c>
      <c r="D14" s="6" t="n">
        <v>-332130</v>
      </c>
      <c r="E14" s="6" t="n">
        <v>-220674</v>
      </c>
      <c r="F14" s="6" t="n">
        <v>-178336</v>
      </c>
      <c r="G14" s="6" t="n">
        <v>-158981</v>
      </c>
      <c r="H14" s="6" t="n"/>
      <c r="I14" s="6" t="n"/>
      <c r="J14" s="6" t="n"/>
      <c r="K14" s="6" t="n"/>
    </row>
    <row r="15">
      <c r="A15" s="6" t="inlineStr">
        <is>
          <t>Impairment release/(charge) and charge-offs</t>
        </is>
      </c>
      <c r="B15" s="6" t="n"/>
      <c r="C15" s="6" t="n">
        <v>3243</v>
      </c>
      <c r="D15" s="6" t="n">
        <v>-13889</v>
      </c>
      <c r="E15" s="6" t="n">
        <v>-9991</v>
      </c>
      <c r="F15" s="6" t="n">
        <v>-10636</v>
      </c>
      <c r="G15" s="6" t="n">
        <v>-16106</v>
      </c>
      <c r="H15" s="6" t="n"/>
      <c r="I15" s="6" t="n"/>
      <c r="J15" s="6" t="n"/>
      <c r="K15" s="6" t="n"/>
    </row>
    <row r="16">
      <c r="A16" s="5" t="inlineStr">
        <is>
          <t>Profit/(loss) before taxation</t>
        </is>
      </c>
      <c r="B16" s="5" t="n"/>
      <c r="C16" s="5" t="n">
        <v>223413</v>
      </c>
      <c r="D16" s="5" t="n">
        <v>301099</v>
      </c>
      <c r="E16" s="5" t="n">
        <v>194596</v>
      </c>
      <c r="F16" s="5" t="n">
        <v>32052</v>
      </c>
      <c r="G16" s="5" t="n">
        <v>-31454</v>
      </c>
      <c r="H16" s="5" t="n"/>
      <c r="I16" s="5" t="n"/>
      <c r="J16" s="5" t="n"/>
      <c r="K16" s="5" t="n"/>
    </row>
    <row r="17">
      <c r="A17" s="6" t="inlineStr">
        <is>
          <t>Tax charge/(credit)</t>
        </is>
      </c>
      <c r="B17" s="6" t="n"/>
      <c r="C17" s="6" t="n">
        <v>-72691</v>
      </c>
      <c r="D17" s="6" t="n">
        <v>-81098</v>
      </c>
      <c r="E17" s="6" t="n">
        <v>-51740</v>
      </c>
      <c r="F17" s="6" t="n">
        <v>12886</v>
      </c>
      <c r="G17" s="6" t="n">
        <v>8135</v>
      </c>
      <c r="H17" s="6" t="n"/>
      <c r="I17" s="6" t="n"/>
      <c r="J17" s="6" t="n"/>
      <c r="K17" s="6" t="n"/>
    </row>
    <row r="18">
      <c r="A18" s="5" t="inlineStr">
        <is>
          <t>Profit/(loss) after taxation</t>
        </is>
      </c>
      <c r="B18" s="5" t="n"/>
      <c r="C18" s="5" t="n">
        <v>150722</v>
      </c>
      <c r="D18" s="5" t="n">
        <v>220001</v>
      </c>
      <c r="E18" s="5" t="n">
        <v>142856</v>
      </c>
      <c r="F18" s="5" t="n">
        <v>44938</v>
      </c>
      <c r="G18" s="5" t="n">
        <v>-23319</v>
      </c>
      <c r="H18" s="5" t="n"/>
      <c r="I18" s="5" t="n"/>
      <c r="J18" s="5" t="n"/>
      <c r="K18" s="5" t="n"/>
    </row>
    <row r="19">
      <c r="A19" s="5" t="inlineStr">
        <is>
          <t>Other comprehensive income, net of tax (FY2021-FY2025 presentation)</t>
        </is>
      </c>
      <c r="B19" s="6" t="n"/>
      <c r="C19" s="6" t="n"/>
      <c r="D19" s="6" t="n"/>
      <c r="E19" s="6" t="n"/>
      <c r="F19" s="6" t="n"/>
      <c r="G19" s="6" t="n"/>
      <c r="H19" s="6" t="n"/>
      <c r="I19" s="6" t="n"/>
      <c r="J19" s="6" t="n"/>
      <c r="K19" s="6" t="n"/>
    </row>
    <row r="20">
      <c r="A20" s="6" t="inlineStr">
        <is>
          <t>Translation of subsidiary company</t>
        </is>
      </c>
      <c r="B20" s="6" t="n"/>
      <c r="C20" s="6" t="n">
        <v>7</v>
      </c>
      <c r="D20" s="6" t="n">
        <v>25</v>
      </c>
      <c r="E20" s="6" t="n">
        <v>47</v>
      </c>
      <c r="F20" s="6" t="n">
        <v>-4</v>
      </c>
      <c r="G20" s="6" t="n"/>
      <c r="H20" s="6" t="n"/>
      <c r="I20" s="6" t="n"/>
      <c r="J20" s="6" t="n"/>
      <c r="K20" s="6" t="n"/>
    </row>
    <row r="21">
      <c r="A21" s="6" t="inlineStr">
        <is>
          <t>Cash flow hedges (net of tax)</t>
        </is>
      </c>
      <c r="B21" s="6" t="n"/>
      <c r="C21" s="6" t="n">
        <v>-7299</v>
      </c>
      <c r="D21" s="6" t="n">
        <v>27379</v>
      </c>
      <c r="E21" s="6" t="n">
        <v>-10246</v>
      </c>
      <c r="F21" s="6" t="n"/>
      <c r="G21" s="6" t="n"/>
      <c r="H21" s="6" t="n"/>
      <c r="I21" s="6" t="n"/>
      <c r="J21" s="6" t="n"/>
      <c r="K21" s="6" t="n"/>
    </row>
    <row r="22">
      <c r="A22" s="5" t="inlineStr">
        <is>
          <t>Other comprehensive income/(loss), net of tax</t>
        </is>
      </c>
      <c r="B22" s="5" t="n"/>
      <c r="C22" s="5" t="n">
        <v>-7292</v>
      </c>
      <c r="D22" s="5" t="n">
        <v>27404</v>
      </c>
      <c r="E22" s="5" t="n">
        <v>-10199</v>
      </c>
      <c r="F22" s="5" t="n">
        <v>-4</v>
      </c>
      <c r="G22" s="5" t="n">
        <v>0</v>
      </c>
      <c r="H22" s="5" t="n"/>
      <c r="I22" s="5" t="n"/>
      <c r="J22" s="5" t="n"/>
      <c r="K22" s="5" t="n"/>
    </row>
    <row r="23">
      <c r="A23" s="5" t="inlineStr">
        <is>
          <t>Total comprehensive income/(loss) for the year, net of tax (FY2021-FY2025 presentation)</t>
        </is>
      </c>
      <c r="B23" s="5" t="n"/>
      <c r="C23" s="5" t="n">
        <v>143430</v>
      </c>
      <c r="D23" s="5" t="n">
        <v>247405</v>
      </c>
      <c r="E23" s="5" t="n">
        <v>132657</v>
      </c>
      <c r="F23" s="5" t="n">
        <v>44934</v>
      </c>
      <c r="G23" s="5" t="n">
        <v>-23319</v>
      </c>
      <c r="H23" s="5" t="n"/>
      <c r="I23" s="5" t="n"/>
      <c r="J23" s="5" t="n"/>
      <c r="K23" s="5" t="n"/>
    </row>
    <row r="24">
      <c r="A24" s="5" t="inlineStr">
        <is>
          <t>Income statement (FY2026 presentation - Revenue/Cost of revenue/Gross profit structure)</t>
        </is>
      </c>
      <c r="B24" s="6" t="n"/>
      <c r="C24" s="6" t="n"/>
      <c r="D24" s="6" t="n"/>
      <c r="E24" s="6" t="n"/>
      <c r="F24" s="6" t="n"/>
      <c r="G24" s="6" t="n"/>
      <c r="H24" s="6" t="n"/>
      <c r="I24" s="6" t="n"/>
      <c r="J24" s="6" t="n"/>
      <c r="K24" s="6" t="n"/>
    </row>
    <row r="25">
      <c r="A25" s="6" t="inlineStr">
        <is>
          <t>Interest income (FY2026 presentation)</t>
        </is>
      </c>
      <c r="B25" s="6" t="n">
        <v>759202</v>
      </c>
      <c r="C25" s="6" t="n"/>
      <c r="D25" s="6" t="n"/>
      <c r="E25" s="6" t="n"/>
      <c r="F25" s="6" t="n"/>
      <c r="G25" s="6" t="n"/>
      <c r="H25" s="6" t="n"/>
      <c r="I25" s="6" t="n"/>
      <c r="J25" s="6" t="n"/>
      <c r="K25" s="6" t="n"/>
    </row>
    <row r="26">
      <c r="A26" s="6" t="inlineStr">
        <is>
          <t>Fee and commission income (FY2026 presentation)</t>
        </is>
      </c>
      <c r="B26" s="6" t="n">
        <v>128153</v>
      </c>
      <c r="C26" s="6" t="n"/>
      <c r="D26" s="6" t="n"/>
      <c r="E26" s="6" t="n"/>
      <c r="F26" s="6" t="n"/>
      <c r="G26" s="6" t="n"/>
      <c r="H26" s="6" t="n"/>
      <c r="I26" s="6" t="n"/>
      <c r="J26" s="6" t="n"/>
      <c r="K26" s="6" t="n"/>
    </row>
    <row r="27">
      <c r="A27" s="5" t="inlineStr">
        <is>
          <t>Revenue (FY2026 presentation)</t>
        </is>
      </c>
      <c r="B27" s="5" t="n">
        <v>887355</v>
      </c>
      <c r="C27" s="5" t="n"/>
      <c r="D27" s="5" t="n"/>
      <c r="E27" s="5" t="n"/>
      <c r="F27" s="5" t="n"/>
      <c r="G27" s="5" t="n"/>
      <c r="H27" s="5" t="n"/>
      <c r="I27" s="5" t="n"/>
      <c r="J27" s="5" t="n"/>
      <c r="K27" s="5" t="n"/>
    </row>
    <row r="28">
      <c r="A28" s="6" t="inlineStr">
        <is>
          <t>Interest expense (FY2026 presentation)</t>
        </is>
      </c>
      <c r="B28" s="6" t="n">
        <v>-189263</v>
      </c>
      <c r="C28" s="6" t="n"/>
      <c r="D28" s="6" t="n"/>
      <c r="E28" s="6" t="n"/>
      <c r="F28" s="6" t="n"/>
      <c r="G28" s="6" t="n"/>
      <c r="H28" s="6" t="n"/>
      <c r="I28" s="6" t="n"/>
      <c r="J28" s="6" t="n"/>
      <c r="K28" s="6" t="n"/>
    </row>
    <row r="29">
      <c r="A29" s="6" t="inlineStr">
        <is>
          <t>Fee expense and cost of services (FY2026 presentation)</t>
        </is>
      </c>
      <c r="B29" s="6" t="n">
        <v>-46579</v>
      </c>
      <c r="C29" s="6" t="n"/>
      <c r="D29" s="6" t="n"/>
      <c r="E29" s="6" t="n"/>
      <c r="F29" s="6" t="n"/>
      <c r="G29" s="6" t="n"/>
      <c r="H29" s="6" t="n"/>
      <c r="I29" s="6" t="n"/>
      <c r="J29" s="6" t="n"/>
      <c r="K29" s="6" t="n"/>
    </row>
    <row r="30">
      <c r="A30" s="6" t="inlineStr">
        <is>
          <t>Impairment (charge)/release (FY2026 presentation)</t>
        </is>
      </c>
      <c r="B30" s="6" t="n">
        <v>-6649</v>
      </c>
      <c r="C30" s="6" t="n"/>
      <c r="D30" s="6" t="n"/>
      <c r="E30" s="6" t="n"/>
      <c r="F30" s="6" t="n"/>
      <c r="G30" s="6" t="n"/>
      <c r="H30" s="6" t="n"/>
      <c r="I30" s="6" t="n"/>
      <c r="J30" s="6" t="n"/>
      <c r="K30" s="6" t="n"/>
    </row>
    <row r="31">
      <c r="A31" s="5" t="inlineStr">
        <is>
          <t>Cost of revenue (FY2026 presentation)</t>
        </is>
      </c>
      <c r="B31" s="5" t="n">
        <v>-242491</v>
      </c>
      <c r="C31" s="5" t="n"/>
      <c r="D31" s="5" t="n"/>
      <c r="E31" s="5" t="n"/>
      <c r="F31" s="5" t="n"/>
      <c r="G31" s="5" t="n"/>
      <c r="H31" s="5" t="n"/>
      <c r="I31" s="5" t="n"/>
      <c r="J31" s="5" t="n"/>
      <c r="K31" s="5" t="n"/>
    </row>
    <row r="32">
      <c r="A32" s="5" t="inlineStr">
        <is>
          <t>Gross profit (FY2026 presentation)</t>
        </is>
      </c>
      <c r="B32" s="5" t="n">
        <v>644864</v>
      </c>
      <c r="C32" s="5" t="n"/>
      <c r="D32" s="5" t="n"/>
      <c r="E32" s="5" t="n"/>
      <c r="F32" s="5" t="n"/>
      <c r="G32" s="5" t="n"/>
      <c r="H32" s="5" t="n"/>
      <c r="I32" s="5" t="n"/>
      <c r="J32" s="5" t="n"/>
      <c r="K32" s="5" t="n"/>
    </row>
    <row r="33">
      <c r="A33" s="6" t="inlineStr">
        <is>
          <t>Other income/(expense) (FY2026 presentation)</t>
        </is>
      </c>
      <c r="B33" s="6" t="n">
        <v>14209</v>
      </c>
      <c r="C33" s="6" t="n"/>
      <c r="D33" s="6" t="n"/>
      <c r="E33" s="6" t="n"/>
      <c r="F33" s="6" t="n"/>
      <c r="G33" s="6" t="n"/>
      <c r="H33" s="6" t="n"/>
      <c r="I33" s="6" t="n"/>
      <c r="J33" s="6" t="n"/>
      <c r="K33" s="6" t="n"/>
    </row>
    <row r="34">
      <c r="A34" s="6" t="inlineStr">
        <is>
          <t>Operating expenses (FY2026 presentation)</t>
        </is>
      </c>
      <c r="B34" s="6" t="n">
        <v>-441955</v>
      </c>
      <c r="C34" s="6" t="n"/>
      <c r="D34" s="6" t="n"/>
      <c r="E34" s="6" t="n"/>
      <c r="F34" s="6" t="n"/>
      <c r="G34" s="6" t="n"/>
      <c r="H34" s="6" t="n"/>
      <c r="I34" s="6" t="n"/>
      <c r="J34" s="6" t="n"/>
      <c r="K34" s="6" t="n"/>
    </row>
    <row r="35">
      <c r="A35" s="5" t="inlineStr">
        <is>
          <t>Profit before taxation (FY2026 presentation)</t>
        </is>
      </c>
      <c r="B35" s="5" t="n">
        <v>217118</v>
      </c>
      <c r="C35" s="5" t="n"/>
      <c r="D35" s="5" t="n"/>
      <c r="E35" s="5" t="n"/>
      <c r="F35" s="5" t="n"/>
      <c r="G35" s="5" t="n"/>
      <c r="H35" s="5" t="n"/>
      <c r="I35" s="5" t="n"/>
      <c r="J35" s="5" t="n"/>
      <c r="K35" s="5" t="n"/>
    </row>
    <row r="36">
      <c r="A36" s="6" t="inlineStr">
        <is>
          <t>Tax charge (FY2026 presentation)</t>
        </is>
      </c>
      <c r="B36" s="6" t="n">
        <v>-61075</v>
      </c>
      <c r="C36" s="6" t="n"/>
      <c r="D36" s="6" t="n"/>
      <c r="E36" s="6" t="n"/>
      <c r="F36" s="6" t="n"/>
      <c r="G36" s="6" t="n"/>
      <c r="H36" s="6" t="n"/>
      <c r="I36" s="6" t="n"/>
      <c r="J36" s="6" t="n"/>
      <c r="K36" s="6" t="n"/>
    </row>
    <row r="37">
      <c r="A37" s="5" t="inlineStr">
        <is>
          <t>Profit after taxation (FY2026 presentation)</t>
        </is>
      </c>
      <c r="B37" s="5" t="n">
        <v>156043</v>
      </c>
      <c r="C37" s="5" t="n"/>
      <c r="D37" s="5" t="n"/>
      <c r="E37" s="5" t="n"/>
      <c r="F37" s="5" t="n"/>
      <c r="G37" s="5" t="n"/>
      <c r="H37" s="5" t="n"/>
      <c r="I37" s="5" t="n"/>
      <c r="J37" s="5" t="n"/>
      <c r="K37" s="5" t="n"/>
    </row>
    <row r="38">
      <c r="A38" s="5" t="inlineStr">
        <is>
          <t>Other comprehensive income, net of tax (FY2026 presentation)</t>
        </is>
      </c>
      <c r="B38" s="6" t="n"/>
      <c r="C38" s="6" t="n"/>
      <c r="D38" s="6" t="n"/>
      <c r="E38" s="6" t="n"/>
      <c r="F38" s="6" t="n"/>
      <c r="G38" s="6" t="n"/>
      <c r="H38" s="6" t="n"/>
      <c r="I38" s="6" t="n"/>
      <c r="J38" s="6" t="n"/>
      <c r="K38" s="6" t="n"/>
    </row>
    <row r="39">
      <c r="A39" s="6" t="inlineStr">
        <is>
          <t>Translation of subsidiary companies (FY2026 presentation)</t>
        </is>
      </c>
      <c r="B39" s="6" t="n">
        <v>-11</v>
      </c>
      <c r="C39" s="6" t="n"/>
      <c r="D39" s="6" t="n"/>
      <c r="E39" s="6" t="n"/>
      <c r="F39" s="6" t="n"/>
      <c r="G39" s="6" t="n"/>
      <c r="H39" s="6" t="n"/>
      <c r="I39" s="6" t="n"/>
      <c r="J39" s="6" t="n"/>
      <c r="K39" s="6" t="n"/>
    </row>
    <row r="40">
      <c r="A40" s="6" t="inlineStr">
        <is>
          <t>Cash flow hedges (net of tax) (FY2026 presentation)</t>
        </is>
      </c>
      <c r="B40" s="6" t="n">
        <v>-9407</v>
      </c>
      <c r="C40" s="6" t="n"/>
      <c r="D40" s="6" t="n"/>
      <c r="E40" s="6" t="n"/>
      <c r="F40" s="6" t="n"/>
      <c r="G40" s="6" t="n"/>
      <c r="H40" s="6" t="n"/>
      <c r="I40" s="6" t="n"/>
      <c r="J40" s="6" t="n"/>
      <c r="K40" s="6" t="n"/>
    </row>
    <row r="41">
      <c r="A41" s="5" t="inlineStr">
        <is>
          <t>Other comprehensive income/(loss), net of tax (FY2026 presentation)</t>
        </is>
      </c>
      <c r="B41" s="5" t="n">
        <v>-9418</v>
      </c>
      <c r="C41" s="5" t="n"/>
      <c r="D41" s="5" t="n"/>
      <c r="E41" s="5" t="n"/>
      <c r="F41" s="5" t="n"/>
      <c r="G41" s="5" t="n"/>
      <c r="H41" s="5" t="n"/>
      <c r="I41" s="5" t="n"/>
      <c r="J41" s="5" t="n"/>
      <c r="K41" s="5" t="n"/>
    </row>
    <row r="42">
      <c r="A42" s="5" t="inlineStr">
        <is>
          <t>Total comprehensive income for the year, net of tax (FY2026 presentation)</t>
        </is>
      </c>
      <c r="B42" s="5" t="n">
        <v>146625</v>
      </c>
      <c r="C42" s="5" t="n"/>
      <c r="D42" s="5" t="n"/>
      <c r="E42" s="5" t="n"/>
      <c r="F42" s="5" t="n"/>
      <c r="G42" s="5" t="n"/>
      <c r="H42" s="5" t="n"/>
      <c r="I42" s="5" t="n"/>
      <c r="J42" s="5" t="n"/>
      <c r="K42" s="5" t="n"/>
    </row>
    <row r="44" ht="380" customHeight="1">
      <c r="A44" s="8" t="inlineStr">
        <is>
          <t>Sources - all figures are Group/consolidated basis, £'000. See entity note above re: FY2021 (16-month period) and FY2026 (new SGHL parent entity).
FY2026: Starling Group Holdings Limited Annual Report and Accounts 2026, p.162-164 (Consolidated statement of comprehensive income / financial position / changes in equity) - https://www.starlingbank.com/docs/annual-reports/Starling-Group-Annual-Report-2026.pdf
FY2025 &amp; FY2024: Starling Bank Limited Annual Report and Accounts 2025, p.157-159 (Consolidated and company statement of comprehensive income / financial position / changes in equity) - https://www.starlingbank.com/docs/annual-reports/Starling-Bank-Annual-Report-2025.pdf. FY2025's equity components independently cross-checked against the Group's own re-presented FY2025 comparative in the AR26 Annual Report (p.164), which agrees exactly (merger reserve, cash flow hedging reserve, own shares held reserve, share awards reserve and sundry reserves disaggregated only from AR26 onward - see presentation note below).
FY2023 &amp; FY2022 (restated): Starling Bank Limited Annual Report 2023, p.122-123, p.126-127 (Consolidated &amp; Company Statement of Comprehensive Income / Financial Position / Changes in Equity) - https://www.starlingbank.com/docs/annual-reports/Starling-Bank-Annual-Report-2023.pdf
FY2021: Starling Bank Limited Annual Report and Consolidated Financial Statements, period ended 31 March 2021, p.62-68 (Consolidated Statement of Comprehensive Income / Financial Position / Changes in Equity) - https://www.starlingbank.com/docs/annual-reports/Starling-Bank-Annual-Report-2019-21.pdf. Independently cross-checked against Annual Report 2023's FY2021 comparative opening equity balance, which agrees exactly.
ENTITY NOTE: Starling Bank Limited (Companies House 09092149) is the entity on the PRA register and is used, on a consolidated Group basis, for FY2021-FY2025 - each year's own Annual Report and Consolidated Financial Statements. FY2021 (marked †) is a 16-month period (1 December 2019 - 31 March 2021), Starling's first period reporting to a 31 March year end - not directly run-rate comparable to the other years.
FY2026 (marked ‡, added as a bonus column beyond the standard 5-year window) is different: in June 2025 a new non-trading holding company, Starling Group Holdings Limited (SGHL), was inserted as ultimate parent of Starling Bank Limited (SBL), with an intermediate holding company (SIHL) added in September 2025. From FY2026, SBL's own Companies House filing is presented on an unconsolidated solo/Company basis only (SBL's own wording: 'the Company' = Starling Bank Limited; consolidated 'Group' figures are now published separately as SGHL's own Annual Report). To keep this column comparable to FY2021-FY2025's consolidated basis, FY2026 cash flow figures here are SGHL's consolidated Group figures (from the new SGHL Annual Report), not SBL's own solo filing. The SGHL accounting consolidation for FY2026 additionally includes Murmur Financial Services Limited, Fleet Mortgages Limited and Engine by Starling Limited alongside SBL and its own ancillary undertakings (Starling FS Services Limited, and Ember by Starling Limited, acquired during FY2026) - a broader scope than SBL's own historical Group accounts. Pillar 3 (prudential) figures for FY2026 are on the narrower 'Regulatory Group' basis (SGHL, SIHL, SBL, SFSSL and Ember only - Murmur/Fleet Mortgages/Engine fall below CRR Article 19 materiality thresholds); cross-checking confirms this made no difference to the FY2025 capital figures, so Pillar 3 continuity FY2021-FY2026 is unaffected by the restructuring. FY2020-FY2017 are covered by Starling's official investor archive: FY2020/FY2019 in the 2019-21 report, FY2018 in the 2017-18 report, and FY2017 in the 2016-17 report. Older columns retain blanks where the historical filing used a materially different presentation and no reliable like-for-like line exists.
PRESENTATION NOTE (Balance Sheet): FY2024-FY2026 report a separate 'Cash and balances at central banks' line distinct from 'Loans and advances to banks'; FY2021-FY2023 report a single combined 'Loans and Advances to Banks' line that includes cash and cash equivalents (per that year's own footnote) - both are shown as disclosed, not reconciled into a common split. FY2021 combines Property, Plant and Equipment with Intangible Assets into one line (no separate Goodwill line - Goodwill first arose on the Fleet Mortgages acquisition in FY2022); FY2022 onward splits these three lines out.
PRESENTATION NOTE (Debt securities breakdown): the 'Debt securities' Balance Sheet line is broken out by issuer type per each year's own 'Debt securities' note - government/supranational bonds vs. covered bonds and RMBS issued by banks and building societies, plus the fair value adjustment for hedged risk that reconciles the gross note total to the Balance Sheet's net carrying value (all four sub-lines sum exactly to 'Total debt securities' every year). Source notes: FY2026: Starling Group Holdings Limited Annual Report and Accounts 2026, note 13 'Debt securities', p.195 - https://www.starlingbank.com/docs/annual-reports/Starling-Group-Annual-Report-2026.pdf
FY2025 &amp; FY2024: Starling Bank Limited Annual Report and Accounts 2025, note 10 'Debt securities', p.189 - https://www.starlingbank.com/docs/annual-reports/Starling-Bank-Annual-Report-2025.pdf. FY2025's breakdown independently cross-checked against AR26's own FY2025 comparative column (note 13, p.195), which agrees exactly.
FY2023 &amp; FY2022: Starling Bank Limited Annual Report 2023, note 11 'Debt Securities', p.154 - https://www.starlingbank.com/docs/annual-reports/Starling-Bank-Annual-Report-2023.pdf
FY2021: Starling Bank Limited Annual Report and Consolidated Financial Statements, period ended 31 March 2021, note 12 'Debt Securities', p.111 - https://www.starlingbank.com/docs/annual-reports/Starling-Bank-Annual-Report-2019-21.pdf. That year's note also states 'All Debt Securities are held at amortised cost' - no FVOCI/FVTPL/trading leg is disclosed for any year covered (the FY2025 Annual Report's own risk section likewise states 'The Group's debt securities are measured at amortised cost'), so no measurement-basis (amortised cost vs. mark-to-market) split is shown here - it would be a 100%-amortised-cost/0%-mark-to-market non-split, not a genuine disclosed breakdown.
PRESENTATION NOTE (Profit &amp; Loss): FY2021-FY2025 use a 'Net interest income / Net fees and commissions / Total income' structure; FY2026 (Starling Group Holdings Limited's own first Annual Report) uses a 'Revenue / Cost of revenue / Gross profit' structure instead - both are shown as separate blocks, each with its own Profit-after-tax and Total-comprehensive-income rows (mirroring the Cash Flow Statement sheet's existing dual-presentation convention), rather than force-fitting FY2026 into the older structure. FY2021's Loss for the year and OCI, net of tax are the same figure (no OCI items disclosed that year - 'There is no difference between the loss after taxation and the total comprehensive income of the Group').
PRESENTATION NOTE (Statement of Changes in Equity): 'Merger reserve' (created in FY2022 on the Fleet Mortgages Limited share-for-share acquisition, per Companies Act 2006 s.612) and 'Cash flow hedging reserve' are shown as their own columns throughout for consistency, back-computed for FY2021-FY2023 from each year's combined 'Other Reserves' column and that year's own movement notes (verified: FY2022's £15,000k Merger reserve movement exactly matches the value AR26 later separately discloses as the FY2024 opening Merger reserve balance, confirming it never changed between creation and FY2024). 'Other reserves' here combines the own-shares-held reserve, share awards reserve, foreign exchange/translation reserve and sundry reserves - these were only disclosed as separate sub-columns from AR26 (FY2026 report) onward; combining them keeps the ladder's column set consistent across all 6 years. Every year's closing Total equity ties exactly to that year's own Balance Sheet Total equity and to the next year's opening balance - zero undocumented plug rows across all 6 years.</t>
        </is>
      </c>
    </row>
  </sheetData>
  <mergeCells count="1">
    <mergeCell ref="A44:K4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1"/>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Starling Bank Limited — Statement of Changes in Equity</t>
        </is>
      </c>
    </row>
    <row r="2">
      <c r="A2" s="2" t="inlineStr">
        <is>
          <t>Group/consolidated basis, £'000, chronological (oldest to newest). Each year's closing Total equity ties exactly to that year's own Balance Sheet Total equity and to the next year's opening balance - zero undocumented plug rows across all 6 years.</t>
        </is>
      </c>
    </row>
    <row r="3">
      <c r="A3" s="4" t="inlineStr">
        <is>
          <t>Movement</t>
        </is>
      </c>
      <c r="B3" s="4" t="inlineStr">
        <is>
          <t>Share capital</t>
        </is>
      </c>
      <c r="C3" s="4" t="inlineStr">
        <is>
          <t>Share premium</t>
        </is>
      </c>
      <c r="D3" s="4" t="inlineStr">
        <is>
          <t>Merger reserve</t>
        </is>
      </c>
      <c r="E3" s="4" t="inlineStr">
        <is>
          <t>Cash flow hedging reserve</t>
        </is>
      </c>
      <c r="F3" s="4" t="inlineStr">
        <is>
          <t>Other reserves</t>
        </is>
      </c>
      <c r="G3" s="4" t="inlineStr">
        <is>
          <t>Retained earnings</t>
        </is>
      </c>
      <c r="H3" s="4" t="inlineStr">
        <is>
          <t>Total equity</t>
        </is>
      </c>
    </row>
    <row r="4">
      <c r="A4" s="5" t="inlineStr">
        <is>
          <t>Balance at 30 November 2019</t>
        </is>
      </c>
      <c r="B4" s="5" t="n">
        <v>7</v>
      </c>
      <c r="C4" s="5" t="n">
        <v>159332</v>
      </c>
      <c r="D4" s="5" t="n"/>
      <c r="E4" s="5" t="n"/>
      <c r="F4" s="5" t="n">
        <v>761</v>
      </c>
      <c r="G4" s="5" t="n">
        <v>-92174</v>
      </c>
      <c r="H4" s="5" t="n">
        <v>67926</v>
      </c>
    </row>
    <row r="5">
      <c r="A5" s="6" t="inlineStr">
        <is>
          <t>Proceeds from issue of shares, less expenses</t>
        </is>
      </c>
      <c r="B5" s="6" t="n">
        <v>2</v>
      </c>
      <c r="C5" s="6" t="n">
        <v>94003</v>
      </c>
      <c r="D5" s="6" t="n"/>
      <c r="E5" s="6" t="n"/>
      <c r="F5" s="6" t="n"/>
      <c r="G5" s="6" t="n"/>
      <c r="H5" s="6" t="n">
        <v>94005</v>
      </c>
    </row>
    <row r="6">
      <c r="A6" s="6" t="inlineStr">
        <is>
          <t>Loss for the period</t>
        </is>
      </c>
      <c r="B6" s="6" t="n"/>
      <c r="C6" s="6" t="n"/>
      <c r="D6" s="6" t="n"/>
      <c r="E6" s="6" t="n"/>
      <c r="F6" s="6" t="n"/>
      <c r="G6" s="6" t="n">
        <v>-23319</v>
      </c>
      <c r="H6" s="6" t="n">
        <v>-23319</v>
      </c>
    </row>
    <row r="7">
      <c r="A7" s="6" t="inlineStr">
        <is>
          <t>Fair value of shares allocated to employees</t>
        </is>
      </c>
      <c r="B7" s="6" t="n"/>
      <c r="C7" s="6" t="n"/>
      <c r="D7" s="6" t="n"/>
      <c r="E7" s="6" t="n"/>
      <c r="F7" s="6" t="n">
        <v>2128</v>
      </c>
      <c r="G7" s="6" t="n"/>
      <c r="H7" s="6" t="n">
        <v>2128</v>
      </c>
    </row>
    <row r="8">
      <c r="A8" s="6" t="inlineStr">
        <is>
          <t>Translation of subsidiary company</t>
        </is>
      </c>
      <c r="B8" s="6" t="n"/>
      <c r="C8" s="6" t="n"/>
      <c r="D8" s="6" t="n"/>
      <c r="E8" s="6" t="n"/>
      <c r="F8" s="6" t="n">
        <v>91</v>
      </c>
      <c r="G8" s="6" t="n"/>
      <c r="H8" s="6" t="n">
        <v>91</v>
      </c>
    </row>
    <row r="9">
      <c r="A9" s="5" t="inlineStr">
        <is>
          <t>Balance at 31 March 2021</t>
        </is>
      </c>
      <c r="B9" s="5" t="n">
        <v>9</v>
      </c>
      <c r="C9" s="5" t="n">
        <v>253335</v>
      </c>
      <c r="D9" s="5" t="n"/>
      <c r="E9" s="5" t="n"/>
      <c r="F9" s="5" t="n">
        <v>2980</v>
      </c>
      <c r="G9" s="5" t="n">
        <v>-115493</v>
      </c>
      <c r="H9" s="5" t="n">
        <v>140831</v>
      </c>
    </row>
    <row r="10">
      <c r="A10" s="6" t="inlineStr">
        <is>
          <t>Proceeds from issue of shares, less expenses (of which £15,000k created the Merger reserve on the Fleet Mortgages Limited acquisition)</t>
        </is>
      </c>
      <c r="B10" s="6" t="n">
        <v>2</v>
      </c>
      <c r="C10" s="6" t="n">
        <v>224998</v>
      </c>
      <c r="D10" s="6" t="n">
        <v>15000</v>
      </c>
      <c r="E10" s="6" t="n"/>
      <c r="F10" s="6" t="n"/>
      <c r="G10" s="6" t="n"/>
      <c r="H10" s="6" t="n">
        <v>240000</v>
      </c>
    </row>
    <row r="11">
      <c r="A11" s="6" t="inlineStr">
        <is>
          <t>Profit for the year</t>
        </is>
      </c>
      <c r="B11" s="6" t="n"/>
      <c r="C11" s="6" t="n"/>
      <c r="D11" s="6" t="n"/>
      <c r="E11" s="6" t="n"/>
      <c r="F11" s="6" t="n"/>
      <c r="G11" s="6" t="n">
        <v>44938</v>
      </c>
      <c r="H11" s="6" t="n">
        <v>44938</v>
      </c>
    </row>
    <row r="12">
      <c r="A12" s="6" t="inlineStr">
        <is>
          <t>Translation of subsidiary company</t>
        </is>
      </c>
      <c r="B12" s="6" t="n"/>
      <c r="C12" s="6" t="n"/>
      <c r="D12" s="6" t="n"/>
      <c r="E12" s="6" t="n"/>
      <c r="F12" s="6" t="n">
        <v>-4</v>
      </c>
      <c r="G12" s="6" t="n"/>
      <c r="H12" s="6" t="n">
        <v>-4</v>
      </c>
    </row>
    <row r="13">
      <c r="A13" s="6" t="inlineStr">
        <is>
          <t>Cost of share award schemes, net of tax</t>
        </is>
      </c>
      <c r="B13" s="6" t="n"/>
      <c r="C13" s="6" t="n"/>
      <c r="D13" s="6" t="n"/>
      <c r="E13" s="6" t="n"/>
      <c r="F13" s="6" t="n">
        <v>4549</v>
      </c>
      <c r="G13" s="6" t="n">
        <v>110</v>
      </c>
      <c r="H13" s="6" t="n">
        <v>4659</v>
      </c>
    </row>
    <row r="14">
      <c r="A14" s="5" t="inlineStr">
        <is>
          <t>Balance at 31 March 2022 / 1 April 2022</t>
        </is>
      </c>
      <c r="B14" s="5" t="n">
        <v>11</v>
      </c>
      <c r="C14" s="5" t="n">
        <v>478333</v>
      </c>
      <c r="D14" s="5" t="n">
        <v>15000</v>
      </c>
      <c r="E14" s="5" t="n"/>
      <c r="F14" s="5" t="n">
        <v>7525</v>
      </c>
      <c r="G14" s="5" t="n">
        <v>-70445</v>
      </c>
      <c r="H14" s="5" t="n">
        <v>430424</v>
      </c>
    </row>
    <row r="15">
      <c r="A15" s="6" t="inlineStr">
        <is>
          <t>Proceeds from issue of shares, less expenses</t>
        </is>
      </c>
      <c r="B15" s="6" t="n">
        <v>1</v>
      </c>
      <c r="C15" s="6" t="n">
        <v>130500</v>
      </c>
      <c r="D15" s="6" t="n"/>
      <c r="E15" s="6" t="n"/>
      <c r="F15" s="6" t="n"/>
      <c r="G15" s="6" t="n"/>
      <c r="H15" s="6" t="n">
        <v>130501</v>
      </c>
    </row>
    <row r="16">
      <c r="A16" s="6" t="inlineStr">
        <is>
          <t>Profit for the year</t>
        </is>
      </c>
      <c r="B16" s="6" t="n"/>
      <c r="C16" s="6" t="n"/>
      <c r="D16" s="6" t="n"/>
      <c r="E16" s="6" t="n"/>
      <c r="F16" s="6" t="n"/>
      <c r="G16" s="6" t="n">
        <v>142856</v>
      </c>
      <c r="H16" s="6" t="n">
        <v>142856</v>
      </c>
    </row>
    <row r="17">
      <c r="A17" s="6" t="inlineStr">
        <is>
          <t>Translation of subsidiary company</t>
        </is>
      </c>
      <c r="B17" s="6" t="n"/>
      <c r="C17" s="6" t="n"/>
      <c r="D17" s="6" t="n"/>
      <c r="E17" s="6" t="n"/>
      <c r="F17" s="6" t="n">
        <v>47</v>
      </c>
      <c r="G17" s="6" t="n"/>
      <c r="H17" s="6" t="n">
        <v>47</v>
      </c>
    </row>
    <row r="18">
      <c r="A18" s="6" t="inlineStr">
        <is>
          <t>Cash flow hedge</t>
        </is>
      </c>
      <c r="B18" s="6" t="n"/>
      <c r="C18" s="6" t="n"/>
      <c r="D18" s="6" t="n"/>
      <c r="E18" s="6" t="n">
        <v>-10246</v>
      </c>
      <c r="F18" s="6" t="n"/>
      <c r="G18" s="6" t="n"/>
      <c r="H18" s="6" t="n">
        <v>-10246</v>
      </c>
    </row>
    <row r="19">
      <c r="A19" s="6" t="inlineStr">
        <is>
          <t>Cost of share award schemes, net of tax</t>
        </is>
      </c>
      <c r="B19" s="6" t="n"/>
      <c r="C19" s="6" t="n"/>
      <c r="D19" s="6" t="n"/>
      <c r="E19" s="6" t="n"/>
      <c r="F19" s="6" t="n">
        <v>1695</v>
      </c>
      <c r="G19" s="6" t="n"/>
      <c r="H19" s="6" t="n">
        <v>1695</v>
      </c>
    </row>
    <row r="20">
      <c r="A20" s="5" t="inlineStr">
        <is>
          <t>Balance at 31 March 2023 / 1 April 2023</t>
        </is>
      </c>
      <c r="B20" s="5" t="n">
        <v>12</v>
      </c>
      <c r="C20" s="5" t="n">
        <v>608833</v>
      </c>
      <c r="D20" s="5" t="n">
        <v>15000</v>
      </c>
      <c r="E20" s="5" t="n">
        <v>-10246</v>
      </c>
      <c r="F20" s="5" t="n">
        <v>9267</v>
      </c>
      <c r="G20" s="5" t="n">
        <v>72411</v>
      </c>
      <c r="H20" s="5" t="n">
        <v>695277</v>
      </c>
    </row>
    <row r="21">
      <c r="A21" s="6" t="inlineStr">
        <is>
          <t>Profit for the year</t>
        </is>
      </c>
      <c r="B21" s="6" t="n"/>
      <c r="C21" s="6" t="n"/>
      <c r="D21" s="6" t="n"/>
      <c r="E21" s="6" t="n"/>
      <c r="F21" s="6" t="n"/>
      <c r="G21" s="6" t="n">
        <v>220001</v>
      </c>
      <c r="H21" s="6" t="n">
        <v>220001</v>
      </c>
    </row>
    <row r="22">
      <c r="A22" s="6" t="inlineStr">
        <is>
          <t>Cash flow hedge</t>
        </is>
      </c>
      <c r="B22" s="6" t="n"/>
      <c r="C22" s="6" t="n"/>
      <c r="D22" s="6" t="n"/>
      <c r="E22" s="6" t="n">
        <v>27379</v>
      </c>
      <c r="F22" s="6" t="n"/>
      <c r="G22" s="6" t="n"/>
      <c r="H22" s="6" t="n">
        <v>27379</v>
      </c>
    </row>
    <row r="23">
      <c r="A23" s="6" t="inlineStr">
        <is>
          <t>Translation of subsidiary company</t>
        </is>
      </c>
      <c r="B23" s="6" t="n"/>
      <c r="C23" s="6" t="n"/>
      <c r="D23" s="6" t="n"/>
      <c r="E23" s="6" t="n"/>
      <c r="F23" s="6" t="n">
        <v>25</v>
      </c>
      <c r="G23" s="6" t="n"/>
      <c r="H23" s="6" t="n">
        <v>25</v>
      </c>
    </row>
    <row r="24">
      <c r="A24" s="6" t="inlineStr">
        <is>
          <t>Purchase of own shares</t>
        </is>
      </c>
      <c r="B24" s="6" t="n"/>
      <c r="C24" s="6" t="n"/>
      <c r="D24" s="6" t="n"/>
      <c r="E24" s="6" t="n"/>
      <c r="F24" s="6" t="n">
        <v>-56362</v>
      </c>
      <c r="G24" s="6" t="n"/>
      <c r="H24" s="6" t="n">
        <v>-56362</v>
      </c>
    </row>
    <row r="25">
      <c r="A25" s="6" t="inlineStr">
        <is>
          <t>Cost of share award schemes, net of tax</t>
        </is>
      </c>
      <c r="B25" s="6" t="n"/>
      <c r="C25" s="6" t="n"/>
      <c r="D25" s="6" t="n"/>
      <c r="E25" s="6" t="n"/>
      <c r="F25" s="6" t="n">
        <v>3450</v>
      </c>
      <c r="G25" s="6" t="n"/>
      <c r="H25" s="6" t="n">
        <v>3450</v>
      </c>
    </row>
    <row r="26">
      <c r="A26" s="6" t="inlineStr">
        <is>
          <t>Transfer from share award reserve</t>
        </is>
      </c>
      <c r="B26" s="6" t="n"/>
      <c r="C26" s="6" t="n"/>
      <c r="D26" s="6" t="n"/>
      <c r="E26" s="6" t="n"/>
      <c r="F26" s="6" t="n">
        <v>-516</v>
      </c>
      <c r="G26" s="6" t="n">
        <v>516</v>
      </c>
      <c r="H26" s="6" t="n">
        <v>0</v>
      </c>
    </row>
    <row r="27">
      <c r="A27" s="5" t="inlineStr">
        <is>
          <t>Balance at 31 March 2024 / 1 April 2024</t>
        </is>
      </c>
      <c r="B27" s="5" t="n">
        <v>12</v>
      </c>
      <c r="C27" s="5" t="n">
        <v>608833</v>
      </c>
      <c r="D27" s="5" t="n">
        <v>15000</v>
      </c>
      <c r="E27" s="5" t="n">
        <v>17133</v>
      </c>
      <c r="F27" s="5" t="n">
        <v>-44136</v>
      </c>
      <c r="G27" s="5" t="n">
        <v>292928</v>
      </c>
      <c r="H27" s="5" t="n">
        <v>889770</v>
      </c>
    </row>
    <row r="28">
      <c r="A28" s="6" t="inlineStr">
        <is>
          <t>Profit for the year</t>
        </is>
      </c>
      <c r="B28" s="6" t="n"/>
      <c r="C28" s="6" t="n"/>
      <c r="D28" s="6" t="n"/>
      <c r="E28" s="6" t="n"/>
      <c r="F28" s="6" t="n"/>
      <c r="G28" s="6" t="n">
        <v>150722</v>
      </c>
      <c r="H28" s="6" t="n">
        <v>150722</v>
      </c>
    </row>
    <row r="29">
      <c r="A29" s="6" t="inlineStr">
        <is>
          <t>Cash flow hedge</t>
        </is>
      </c>
      <c r="B29" s="6" t="n"/>
      <c r="C29" s="6" t="n"/>
      <c r="D29" s="6" t="n"/>
      <c r="E29" s="6" t="n">
        <v>-7299</v>
      </c>
      <c r="F29" s="6" t="n"/>
      <c r="G29" s="6" t="n"/>
      <c r="H29" s="6" t="n">
        <v>-7299</v>
      </c>
    </row>
    <row r="30">
      <c r="A30" s="6" t="inlineStr">
        <is>
          <t>Translation of subsidiary company</t>
        </is>
      </c>
      <c r="B30" s="6" t="n"/>
      <c r="C30" s="6" t="n"/>
      <c r="D30" s="6" t="n"/>
      <c r="E30" s="6" t="n"/>
      <c r="F30" s="6" t="n">
        <v>7</v>
      </c>
      <c r="G30" s="6" t="n"/>
      <c r="H30" s="6" t="n">
        <v>7</v>
      </c>
    </row>
    <row r="31">
      <c r="A31" s="6" t="inlineStr">
        <is>
          <t>Cost of share award schemes, net of tax</t>
        </is>
      </c>
      <c r="B31" s="6" t="n"/>
      <c r="C31" s="6" t="n"/>
      <c r="D31" s="6" t="n"/>
      <c r="E31" s="6" t="n"/>
      <c r="F31" s="6" t="n">
        <v>12852</v>
      </c>
      <c r="G31" s="6" t="n"/>
      <c r="H31" s="6" t="n">
        <v>12852</v>
      </c>
    </row>
    <row r="32">
      <c r="A32" s="5" t="inlineStr">
        <is>
          <t>Balance at 31 March 2025 / 1 April 2025</t>
        </is>
      </c>
      <c r="B32" s="5" t="n">
        <v>12</v>
      </c>
      <c r="C32" s="5" t="n">
        <v>608833</v>
      </c>
      <c r="D32" s="5" t="n">
        <v>15000</v>
      </c>
      <c r="E32" s="5" t="n">
        <v>9834</v>
      </c>
      <c r="F32" s="5" t="n">
        <v>-31277</v>
      </c>
      <c r="G32" s="5" t="n">
        <v>443650</v>
      </c>
      <c r="H32" s="5" t="n">
        <v>1046052</v>
      </c>
    </row>
    <row r="33">
      <c r="A33" s="6" t="inlineStr">
        <is>
          <t>Profit for the year</t>
        </is>
      </c>
      <c r="B33" s="6" t="n"/>
      <c r="C33" s="6" t="n"/>
      <c r="D33" s="6" t="n"/>
      <c r="E33" s="6" t="n"/>
      <c r="F33" s="6" t="n"/>
      <c r="G33" s="6" t="n">
        <v>156043</v>
      </c>
      <c r="H33" s="6" t="n">
        <v>156043</v>
      </c>
    </row>
    <row r="34">
      <c r="A34" s="6" t="inlineStr">
        <is>
          <t>Cash flow hedge</t>
        </is>
      </c>
      <c r="B34" s="6" t="n"/>
      <c r="C34" s="6" t="n"/>
      <c r="D34" s="6" t="n"/>
      <c r="E34" s="6" t="n">
        <v>-9407</v>
      </c>
      <c r="F34" s="6" t="n"/>
      <c r="G34" s="6" t="n"/>
      <c r="H34" s="6" t="n">
        <v>-9407</v>
      </c>
    </row>
    <row r="35">
      <c r="A35" s="6" t="inlineStr">
        <is>
          <t>Translation of subsidiary companies</t>
        </is>
      </c>
      <c r="B35" s="6" t="n"/>
      <c r="C35" s="6" t="n"/>
      <c r="D35" s="6" t="n"/>
      <c r="E35" s="6" t="n"/>
      <c r="F35" s="6" t="n">
        <v>-11</v>
      </c>
      <c r="G35" s="6" t="n"/>
      <c r="H35" s="6" t="n">
        <v>-11</v>
      </c>
    </row>
    <row r="36">
      <c r="A36" s="6" t="inlineStr">
        <is>
          <t>Merger reserve on Group reorganisation (SGHL inserted as new ultimate parent - see entity note)</t>
        </is>
      </c>
      <c r="B36" s="6" t="n"/>
      <c r="C36" s="6" t="n">
        <v>-608833</v>
      </c>
      <c r="D36" s="6" t="n">
        <v>608833</v>
      </c>
      <c r="E36" s="6" t="n"/>
      <c r="F36" s="6" t="n"/>
      <c r="G36" s="6" t="n"/>
      <c r="H36" s="6" t="n">
        <v>0</v>
      </c>
    </row>
    <row r="37">
      <c r="A37" s="6" t="inlineStr">
        <is>
          <t>Warrants issued</t>
        </is>
      </c>
      <c r="B37" s="6" t="n"/>
      <c r="C37" s="6" t="n"/>
      <c r="D37" s="6" t="n"/>
      <c r="E37" s="6" t="n"/>
      <c r="F37" s="6" t="n">
        <v>1372</v>
      </c>
      <c r="G37" s="6" t="n"/>
      <c r="H37" s="6" t="n">
        <v>1372</v>
      </c>
    </row>
    <row r="38">
      <c r="A38" s="6" t="inlineStr">
        <is>
          <t>Cost of share award schemes, net of tax</t>
        </is>
      </c>
      <c r="B38" s="6" t="n"/>
      <c r="C38" s="6" t="n"/>
      <c r="D38" s="6" t="n"/>
      <c r="E38" s="6" t="n"/>
      <c r="F38" s="6" t="n">
        <v>10896</v>
      </c>
      <c r="G38" s="6" t="n"/>
      <c r="H38" s="6" t="n">
        <v>10896</v>
      </c>
    </row>
    <row r="39">
      <c r="A39" s="5" t="inlineStr">
        <is>
          <t>Balance at 31 March 2026</t>
        </is>
      </c>
      <c r="B39" s="5" t="n">
        <v>12</v>
      </c>
      <c r="C39" s="5" t="n">
        <v>0</v>
      </c>
      <c r="D39" s="5" t="n">
        <v>623833</v>
      </c>
      <c r="E39" s="5" t="n">
        <v>427</v>
      </c>
      <c r="F39" s="5" t="n">
        <v>-19020</v>
      </c>
      <c r="G39" s="5" t="n">
        <v>599693</v>
      </c>
      <c r="H39" s="5" t="n">
        <v>1204945</v>
      </c>
    </row>
    <row r="41" ht="380" customHeight="1">
      <c r="A41" s="8" t="inlineStr">
        <is>
          <t>Sources - all figures are Group/consolidated basis, £'000. See entity note above re: FY2021 (16-month period) and FY2026 (new SGHL parent entity).
FY2026: Starling Group Holdings Limited Annual Report and Accounts 2026, p.162-164 (Consolidated statement of comprehensive income / financial position / changes in equity) - https://www.starlingbank.com/docs/annual-reports/Starling-Group-Annual-Report-2026.pdf
FY2025 &amp; FY2024: Starling Bank Limited Annual Report and Accounts 2025, p.157-159 (Consolidated and company statement of comprehensive income / financial position / changes in equity) - https://www.starlingbank.com/docs/annual-reports/Starling-Bank-Annual-Report-2025.pdf. FY2025's equity components independently cross-checked against the Group's own re-presented FY2025 comparative in the AR26 Annual Report (p.164), which agrees exactly (merger reserve, cash flow hedging reserve, own shares held reserve, share awards reserve and sundry reserves disaggregated only from AR26 onward - see presentation note below).
FY2023 &amp; FY2022 (restated): Starling Bank Limited Annual Report 2023, p.122-123, p.126-127 (Consolidated &amp; Company Statement of Comprehensive Income / Financial Position / Changes in Equity) - https://www.starlingbank.com/docs/annual-reports/Starling-Bank-Annual-Report-2023.pdf
FY2021: Starling Bank Limited Annual Report and Consolidated Financial Statements, period ended 31 March 2021, p.62-68 (Consolidated Statement of Comprehensive Income / Financial Position / Changes in Equity) - https://www.starlingbank.com/docs/annual-reports/Starling-Bank-Annual-Report-2019-21.pdf. Independently cross-checked against Annual Report 2023's FY2021 comparative opening equity balance, which agrees exactly.
ENTITY NOTE: Starling Bank Limited (Companies House 09092149) is the entity on the PRA register and is used, on a consolidated Group basis, for FY2021-FY2025 - each year's own Annual Report and Consolidated Financial Statements. FY2021 (marked †) is a 16-month period (1 December 2019 - 31 March 2021), Starling's first period reporting to a 31 March year end - not directly run-rate comparable to the other years.
FY2026 (marked ‡, added as a bonus column beyond the standard 5-year window) is different: in June 2025 a new non-trading holding company, Starling Group Holdings Limited (SGHL), was inserted as ultimate parent of Starling Bank Limited (SBL), with an intermediate holding company (SIHL) added in September 2025. From FY2026, SBL's own Companies House filing is presented on an unconsolidated solo/Company basis only (SBL's own wording: 'the Company' = Starling Bank Limited; consolidated 'Group' figures are now published separately as SGHL's own Annual Report). To keep this column comparable to FY2021-FY2025's consolidated basis, FY2026 cash flow figures here are SGHL's consolidated Group figures (from the new SGHL Annual Report), not SBL's own solo filing. The SGHL accounting consolidation for FY2026 additionally includes Murmur Financial Services Limited, Fleet Mortgages Limited and Engine by Starling Limited alongside SBL and its own ancillary undertakings (Starling FS Services Limited, and Ember by Starling Limited, acquired during FY2026) - a broader scope than SBL's own historical Group accounts. Pillar 3 (prudential) figures for FY2026 are on the narrower 'Regulatory Group' basis (SGHL, SIHL, SBL, SFSSL and Ember only - Murmur/Fleet Mortgages/Engine fall below CRR Article 19 materiality thresholds); cross-checking confirms this made no difference to the FY2025 capital figures, so Pillar 3 continuity FY2021-FY2026 is unaffected by the restructuring. FY2020-FY2017 are covered by Starling's official investor archive: FY2020/FY2019 in the 2019-21 report, FY2018 in the 2017-18 report, and FY2017 in the 2016-17 report. Older columns retain blanks where the historical filing used a materially different presentation and no reliable like-for-like line exists.
PRESENTATION NOTE (Balance Sheet): FY2024-FY2026 report a separate 'Cash and balances at central banks' line distinct from 'Loans and advances to banks'; FY2021-FY2023 report a single combined 'Loans and Advances to Banks' line that includes cash and cash equivalents (per that year's own footnote) - both are shown as disclosed, not reconciled into a common split. FY2021 combines Property, Plant and Equipment with Intangible Assets into one line (no separate Goodwill line - Goodwill first arose on the Fleet Mortgages acquisition in FY2022); FY2022 onward splits these three lines out.
PRESENTATION NOTE (Debt securities breakdown): the 'Debt securities' Balance Sheet line is broken out by issuer type per each year's own 'Debt securities' note - government/supranational bonds vs. covered bonds and RMBS issued by banks and building societies, plus the fair value adjustment for hedged risk that reconciles the gross note total to the Balance Sheet's net carrying value (all four sub-lines sum exactly to 'Total debt securities' every year). Source notes: FY2026: Starling Group Holdings Limited Annual Report and Accounts 2026, note 13 'Debt securities', p.195 - https://www.starlingbank.com/docs/annual-reports/Starling-Group-Annual-Report-2026.pdf
FY2025 &amp; FY2024: Starling Bank Limited Annual Report and Accounts 2025, note 10 'Debt securities', p.189 - https://www.starlingbank.com/docs/annual-reports/Starling-Bank-Annual-Report-2025.pdf. FY2025's breakdown independently cross-checked against AR26's own FY2025 comparative column (note 13, p.195), which agrees exactly.
FY2023 &amp; FY2022: Starling Bank Limited Annual Report 2023, note 11 'Debt Securities', p.154 - https://www.starlingbank.com/docs/annual-reports/Starling-Bank-Annual-Report-2023.pdf
FY2021: Starling Bank Limited Annual Report and Consolidated Financial Statements, period ended 31 March 2021, note 12 'Debt Securities', p.111 - https://www.starlingbank.com/docs/annual-reports/Starling-Bank-Annual-Report-2019-21.pdf. That year's note also states 'All Debt Securities are held at amortised cost' - no FVOCI/FVTPL/trading leg is disclosed for any year covered (the FY2025 Annual Report's own risk section likewise states 'The Group's debt securities are measured at amortised cost'), so no measurement-basis (amortised cost vs. mark-to-market) split is shown here - it would be a 100%-amortised-cost/0%-mark-to-market non-split, not a genuine disclosed breakdown.
PRESENTATION NOTE (Profit &amp; Loss): FY2021-FY2025 use a 'Net interest income / Net fees and commissions / Total income' structure; FY2026 (Starling Group Holdings Limited's own first Annual Report) uses a 'Revenue / Cost of revenue / Gross profit' structure instead - both are shown as separate blocks, each with its own Profit-after-tax and Total-comprehensive-income rows (mirroring the Cash Flow Statement sheet's existing dual-presentation convention), rather than force-fitting FY2026 into the older structure. FY2021's Loss for the year and OCI, net of tax are the same figure (no OCI items disclosed that year - 'There is no difference between the loss after taxation and the total comprehensive income of the Group').
PRESENTATION NOTE (Statement of Changes in Equity): 'Merger reserve' (created in FY2022 on the Fleet Mortgages Limited share-for-share acquisition, per Companies Act 2006 s.612) and 'Cash flow hedging reserve' are shown as their own columns throughout for consistency, back-computed for FY2021-FY2023 from each year's combined 'Other Reserves' column and that year's own movement notes (verified: FY2022's £15,000k Merger reserve movement exactly matches the value AR26 later separately discloses as the FY2024 opening Merger reserve balance, confirming it never changed between creation and FY2024). 'Other reserves' here combines the own-shares-held reserve, share awards reserve, foreign exchange/translation reserve and sundry reserves - these were only disclosed as separate sub-columns from AR26 (FY2026 report) onward; combining them keeps the ladder's column set consistent across all 6 years. Every year's closing Total equity ties exactly to that year's own Balance Sheet Total equity and to the next year's opening balance - zero undocumented plug rows across all 6 years.</t>
        </is>
      </c>
    </row>
  </sheetData>
  <mergeCells count="1">
    <mergeCell ref="A41:H4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6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Consolidated Cash Flow Statement</t>
        </is>
      </c>
    </row>
    <row r="2">
      <c r="A2" s="2" t="inlineStr">
        <is>
          <t>Group/consolidated basis, £'000. FY2021: 16-month period (†). FY2026: Starling Group Holdings Limited (‡). See source note at bottom.</t>
        </is>
      </c>
    </row>
    <row r="3">
      <c r="A3" s="4" t="inlineStr">
        <is>
          <t>Line item</t>
        </is>
      </c>
      <c r="B3" s="4" t="inlineStr">
        <is>
          <t>FY2026 (SGHL)‡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c r="K3" s="4" t="inlineStr">
        <is>
          <t>FY2017 (£'000)</t>
        </is>
      </c>
    </row>
    <row r="4">
      <c r="A4" s="5" t="inlineStr">
        <is>
          <t>Cash flows from operating activities</t>
        </is>
      </c>
      <c r="B4" s="6" t="n"/>
      <c r="C4" s="6" t="n"/>
      <c r="D4" s="6" t="n"/>
      <c r="E4" s="6" t="n"/>
      <c r="F4" s="6" t="n"/>
      <c r="G4" s="6" t="n"/>
      <c r="H4" s="6" t="n"/>
      <c r="I4" s="6" t="n"/>
      <c r="J4" s="6" t="n"/>
      <c r="K4" s="6" t="n"/>
    </row>
    <row r="5">
      <c r="A5" s="6" t="inlineStr">
        <is>
          <t>Profit/(loss) for the period after taxation (FY2021-FY2023 presentation)</t>
        </is>
      </c>
      <c r="B5" s="6" t="n"/>
      <c r="C5" s="6" t="n"/>
      <c r="D5" s="6" t="n"/>
      <c r="E5" s="6" t="n">
        <v>142856</v>
      </c>
      <c r="F5" s="6" t="n">
        <v>44938</v>
      </c>
      <c r="G5" s="6" t="n">
        <v>-23319</v>
      </c>
      <c r="H5" s="6" t="n"/>
      <c r="I5" s="6" t="n"/>
      <c r="J5" s="6" t="n"/>
      <c r="K5" s="6" t="n"/>
    </row>
    <row r="6">
      <c r="A6" s="5" t="inlineStr">
        <is>
          <t>Adjustments for non-cash items (FY2021-FY2023 presentation)</t>
        </is>
      </c>
      <c r="B6" s="6" t="n"/>
      <c r="C6" s="6" t="n"/>
      <c r="D6" s="6" t="n"/>
      <c r="E6" s="6" t="n"/>
      <c r="F6" s="6" t="n"/>
      <c r="G6" s="6" t="n"/>
      <c r="H6" s="6" t="n"/>
      <c r="I6" s="6" t="n"/>
      <c r="J6" s="6" t="n"/>
      <c r="K6" s="6" t="n"/>
    </row>
    <row r="7">
      <c r="A7" s="6" t="inlineStr">
        <is>
          <t>Depreciation and Amortisation</t>
        </is>
      </c>
      <c r="B7" s="6" t="n"/>
      <c r="C7" s="6" t="n"/>
      <c r="D7" s="6" t="n"/>
      <c r="E7" s="6" t="n">
        <v>10953</v>
      </c>
      <c r="F7" s="6" t="n">
        <v>6384</v>
      </c>
      <c r="G7" s="6" t="n">
        <v>7045</v>
      </c>
      <c r="H7" s="6" t="n"/>
      <c r="I7" s="6" t="n"/>
      <c r="J7" s="6" t="n"/>
      <c r="K7" s="6" t="n"/>
    </row>
    <row r="8">
      <c r="A8" s="6" t="inlineStr">
        <is>
          <t>Cost of Share Award Schemes, Net of Tax / FV of Shares Allocated to Employees</t>
        </is>
      </c>
      <c r="B8" s="6" t="n"/>
      <c r="C8" s="6" t="n"/>
      <c r="D8" s="6" t="n"/>
      <c r="E8" s="6" t="n">
        <v>1323</v>
      </c>
      <c r="F8" s="6" t="n">
        <v>4659</v>
      </c>
      <c r="G8" s="6" t="n">
        <v>1927</v>
      </c>
      <c r="H8" s="6" t="n"/>
      <c r="I8" s="6" t="n"/>
      <c r="J8" s="6" t="n"/>
      <c r="K8" s="6" t="n"/>
    </row>
    <row r="9">
      <c r="A9" s="6" t="inlineStr">
        <is>
          <t>Change in Derivatives and Fair Value on Hedging Relationships</t>
        </is>
      </c>
      <c r="B9" s="6" t="n"/>
      <c r="C9" s="6" t="n"/>
      <c r="D9" s="6" t="n"/>
      <c r="E9" s="6" t="n">
        <v>6487</v>
      </c>
      <c r="F9" s="6" t="n">
        <v>-7905</v>
      </c>
      <c r="G9" s="6" t="n"/>
      <c r="H9" s="6" t="n"/>
      <c r="I9" s="6" t="n"/>
      <c r="J9" s="6" t="n"/>
      <c r="K9" s="6" t="n"/>
    </row>
    <row r="10">
      <c r="A10" s="6" t="inlineStr">
        <is>
          <t>Net Increase in Fair Value of Derivatives (FY2021 presentation)</t>
        </is>
      </c>
      <c r="B10" s="6" t="n"/>
      <c r="C10" s="6" t="n"/>
      <c r="D10" s="6" t="n"/>
      <c r="E10" s="6" t="n"/>
      <c r="F10" s="6" t="n"/>
      <c r="G10" s="6" t="n">
        <v>-12670</v>
      </c>
      <c r="H10" s="6" t="n"/>
      <c r="I10" s="6" t="n"/>
      <c r="J10" s="6" t="n"/>
      <c r="K10" s="6" t="n"/>
    </row>
    <row r="11">
      <c r="A11" s="6" t="inlineStr">
        <is>
          <t>Net Increase in Fair Value of Assets Designated as Hedged Items (FY2021 presentation)</t>
        </is>
      </c>
      <c r="B11" s="6" t="n"/>
      <c r="C11" s="6" t="n"/>
      <c r="D11" s="6" t="n"/>
      <c r="E11" s="6" t="n"/>
      <c r="F11" s="6" t="n"/>
      <c r="G11" s="6" t="n">
        <v>12520</v>
      </c>
      <c r="H11" s="6" t="n"/>
      <c r="I11" s="6" t="n"/>
      <c r="J11" s="6" t="n"/>
      <c r="K11" s="6" t="n"/>
    </row>
    <row r="12">
      <c r="A12" s="6" t="inlineStr">
        <is>
          <t>Impairment and Charge-offs</t>
        </is>
      </c>
      <c r="B12" s="6" t="n"/>
      <c r="C12" s="6" t="n"/>
      <c r="D12" s="6" t="n"/>
      <c r="E12" s="6" t="n">
        <v>9991</v>
      </c>
      <c r="F12" s="6" t="n">
        <v>10226</v>
      </c>
      <c r="G12" s="6" t="n">
        <v>16106</v>
      </c>
      <c r="H12" s="6" t="n"/>
      <c r="I12" s="6" t="n"/>
      <c r="J12" s="6" t="n"/>
      <c r="K12" s="6" t="n"/>
    </row>
    <row r="13">
      <c r="A13" s="6" t="inlineStr">
        <is>
          <t>Recognition of Right of Use Asset (FY2021 presentation)</t>
        </is>
      </c>
      <c r="B13" s="6" t="n"/>
      <c r="C13" s="6" t="n"/>
      <c r="D13" s="6" t="n"/>
      <c r="E13" s="6" t="n"/>
      <c r="F13" s="6" t="n"/>
      <c r="G13" s="6" t="n">
        <v>-5527</v>
      </c>
      <c r="H13" s="6" t="n"/>
      <c r="I13" s="6" t="n"/>
      <c r="J13" s="6" t="n"/>
      <c r="K13" s="6" t="n"/>
    </row>
    <row r="14">
      <c r="A14" s="6" t="inlineStr">
        <is>
          <t>Foreign Exchange Losses on Consolidation (FY2021 presentation)</t>
        </is>
      </c>
      <c r="B14" s="6" t="n"/>
      <c r="C14" s="6" t="n"/>
      <c r="D14" s="6" t="n"/>
      <c r="E14" s="6" t="n"/>
      <c r="F14" s="6" t="n"/>
      <c r="G14" s="6" t="n">
        <v>91</v>
      </c>
      <c r="H14" s="6" t="n"/>
      <c r="I14" s="6" t="n"/>
      <c r="J14" s="6" t="n"/>
      <c r="K14" s="6" t="n"/>
    </row>
    <row r="15">
      <c r="A15" s="6" t="inlineStr">
        <is>
          <t>Disposal of Intangible Assets (FY2021 presentation)</t>
        </is>
      </c>
      <c r="B15" s="6" t="n"/>
      <c r="C15" s="6" t="n"/>
      <c r="D15" s="6" t="n"/>
      <c r="E15" s="6" t="n"/>
      <c r="F15" s="6" t="n"/>
      <c r="G15" s="6" t="n">
        <v>358</v>
      </c>
      <c r="H15" s="6" t="n"/>
      <c r="I15" s="6" t="n"/>
      <c r="J15" s="6" t="n"/>
      <c r="K15" s="6" t="n"/>
    </row>
    <row r="16">
      <c r="A16" s="6" t="inlineStr">
        <is>
          <t>Net Increase in Deferred Tax Asset (adjustment)</t>
        </is>
      </c>
      <c r="B16" s="6" t="n"/>
      <c r="C16" s="6" t="n"/>
      <c r="D16" s="6" t="n"/>
      <c r="E16" s="6" t="n"/>
      <c r="F16" s="6" t="n"/>
      <c r="G16" s="6" t="n">
        <v>-6088</v>
      </c>
      <c r="H16" s="6" t="n"/>
      <c r="I16" s="6" t="n"/>
      <c r="J16" s="6" t="n"/>
      <c r="K16" s="6" t="n"/>
    </row>
    <row r="17">
      <c r="A17" s="6" t="inlineStr">
        <is>
          <t>Taxation Charged to the Income Statement</t>
        </is>
      </c>
      <c r="B17" s="6" t="n"/>
      <c r="C17" s="6" t="n"/>
      <c r="D17" s="6" t="n"/>
      <c r="E17" s="6" t="n">
        <v>51740</v>
      </c>
      <c r="F17" s="6" t="n"/>
      <c r="G17" s="6" t="n"/>
      <c r="H17" s="6" t="n"/>
      <c r="I17" s="6" t="n"/>
      <c r="J17" s="6" t="n"/>
      <c r="K17" s="6" t="n"/>
    </row>
    <row r="18">
      <c r="A18" s="6" t="inlineStr">
        <is>
          <t>Other Non-Cash Items</t>
        </is>
      </c>
      <c r="B18" s="6" t="n"/>
      <c r="C18" s="6" t="n"/>
      <c r="D18" s="6" t="n"/>
      <c r="E18" s="6" t="n">
        <v>-13652</v>
      </c>
      <c r="F18" s="6" t="n">
        <v>1479</v>
      </c>
      <c r="G18" s="6" t="n"/>
      <c r="H18" s="6" t="n"/>
      <c r="I18" s="6" t="n"/>
      <c r="J18" s="6" t="n"/>
      <c r="K18" s="6" t="n"/>
    </row>
    <row r="19">
      <c r="A19" s="5" t="inlineStr">
        <is>
          <t>Net changes in operating assets and liabilities (FY2021-FY2023 presentation)</t>
        </is>
      </c>
      <c r="B19" s="6" t="n"/>
      <c r="C19" s="6" t="n"/>
      <c r="D19" s="6" t="n"/>
      <c r="E19" s="6" t="n"/>
      <c r="F19" s="6" t="n"/>
      <c r="G19" s="6" t="n"/>
      <c r="H19" s="6" t="n"/>
      <c r="I19" s="6" t="n"/>
      <c r="J19" s="6" t="n"/>
      <c r="K19" s="6" t="n"/>
    </row>
    <row r="20">
      <c r="A20" s="6" t="inlineStr">
        <is>
          <t>Movement in Loans and Advances to Banks</t>
        </is>
      </c>
      <c r="B20" s="6" t="n"/>
      <c r="C20" s="6" t="n"/>
      <c r="D20" s="6" t="n"/>
      <c r="E20" s="6" t="n">
        <v>-9835</v>
      </c>
      <c r="F20" s="6" t="n">
        <v>-16523</v>
      </c>
      <c r="G20" s="6" t="n"/>
      <c r="H20" s="6" t="n"/>
      <c r="I20" s="6" t="n"/>
      <c r="J20" s="6" t="n"/>
      <c r="K20" s="6" t="n"/>
    </row>
    <row r="21">
      <c r="A21" s="6" t="inlineStr">
        <is>
          <t>Net (Increase) in Loans and Advances to Customers</t>
        </is>
      </c>
      <c r="B21" s="6" t="n"/>
      <c r="C21" s="6" t="n"/>
      <c r="D21" s="6" t="n"/>
      <c r="E21" s="6" t="n">
        <v>-1567215</v>
      </c>
      <c r="F21" s="6" t="n">
        <v>-1007837</v>
      </c>
      <c r="G21" s="6" t="n">
        <v>-2203378</v>
      </c>
      <c r="H21" s="6" t="n"/>
      <c r="I21" s="6" t="n"/>
      <c r="J21" s="6" t="n"/>
      <c r="K21" s="6" t="n"/>
    </row>
    <row r="22">
      <c r="A22" s="6" t="inlineStr">
        <is>
          <t>Net (Increase) in Deferred Tax Asset (asset movement)</t>
        </is>
      </c>
      <c r="B22" s="6" t="n"/>
      <c r="C22" s="6" t="n"/>
      <c r="D22" s="6" t="n"/>
      <c r="E22" s="6" t="n"/>
      <c r="F22" s="6" t="n">
        <v>-15897</v>
      </c>
      <c r="G22" s="6" t="n"/>
      <c r="H22" s="6" t="n"/>
      <c r="I22" s="6" t="n"/>
      <c r="J22" s="6" t="n"/>
      <c r="K22" s="6" t="n"/>
    </row>
    <row r="23">
      <c r="A23" s="6" t="inlineStr">
        <is>
          <t>Net (Increase) in Other Assets</t>
        </is>
      </c>
      <c r="B23" s="6" t="n"/>
      <c r="C23" s="6" t="n"/>
      <c r="D23" s="6" t="n"/>
      <c r="E23" s="6" t="n">
        <v>-5399</v>
      </c>
      <c r="F23" s="6" t="n">
        <v>-61397</v>
      </c>
      <c r="G23" s="6" t="n">
        <v>-31818</v>
      </c>
      <c r="H23" s="6" t="n"/>
      <c r="I23" s="6" t="n"/>
      <c r="J23" s="6" t="n"/>
      <c r="K23" s="6" t="n"/>
    </row>
    <row r="24">
      <c r="A24" s="6" t="inlineStr">
        <is>
          <t>Net Increase in Customer Deposits</t>
        </is>
      </c>
      <c r="B24" s="6" t="n"/>
      <c r="C24" s="6" t="n"/>
      <c r="D24" s="6" t="n"/>
      <c r="E24" s="6" t="n">
        <v>1524407</v>
      </c>
      <c r="F24" s="6" t="n">
        <v>3199715</v>
      </c>
      <c r="G24" s="6" t="n">
        <v>4820298</v>
      </c>
      <c r="H24" s="6" t="n"/>
      <c r="I24" s="6" t="n"/>
      <c r="J24" s="6" t="n"/>
      <c r="K24" s="6" t="n"/>
    </row>
    <row r="25">
      <c r="A25" s="6" t="inlineStr">
        <is>
          <t>Net Increase in Central Bank Facilities (FY2021 presentation)</t>
        </is>
      </c>
      <c r="B25" s="6" t="n"/>
      <c r="C25" s="6" t="n"/>
      <c r="D25" s="6" t="n"/>
      <c r="E25" s="6" t="n"/>
      <c r="F25" s="6" t="n"/>
      <c r="G25" s="6" t="n">
        <v>1000000</v>
      </c>
      <c r="H25" s="6" t="n"/>
      <c r="I25" s="6" t="n"/>
      <c r="J25" s="6" t="n"/>
      <c r="K25" s="6" t="n"/>
    </row>
    <row r="26">
      <c r="A26" s="6" t="inlineStr">
        <is>
          <t>Net (Decrease)/Increase in Deposits from Banks</t>
        </is>
      </c>
      <c r="B26" s="6" t="n"/>
      <c r="C26" s="6" t="n"/>
      <c r="D26" s="6" t="n"/>
      <c r="E26" s="6" t="n">
        <v>-9515</v>
      </c>
      <c r="F26" s="6" t="n">
        <v>1281380</v>
      </c>
      <c r="G26" s="6" t="n"/>
      <c r="H26" s="6" t="n"/>
      <c r="I26" s="6" t="n"/>
      <c r="J26" s="6" t="n"/>
      <c r="K26" s="6" t="n"/>
    </row>
    <row r="27">
      <c r="A27" s="6" t="inlineStr">
        <is>
          <t>Net Increase/(Decrease) in Provisions for Liabilities and Charges</t>
        </is>
      </c>
      <c r="B27" s="6" t="n"/>
      <c r="C27" s="6" t="n"/>
      <c r="D27" s="6" t="n"/>
      <c r="E27" s="6" t="n">
        <v>232</v>
      </c>
      <c r="F27" s="6" t="n">
        <v>-758</v>
      </c>
      <c r="G27" s="6" t="n">
        <v>-680</v>
      </c>
      <c r="H27" s="6" t="n"/>
      <c r="I27" s="6" t="n"/>
      <c r="J27" s="6" t="n"/>
      <c r="K27" s="6" t="n"/>
    </row>
    <row r="28">
      <c r="A28" s="6" t="inlineStr">
        <is>
          <t>Net (Decrease)/Increase in Other Liabilities and Accruals</t>
        </is>
      </c>
      <c r="B28" s="6" t="n"/>
      <c r="C28" s="6" t="n"/>
      <c r="D28" s="6" t="n"/>
      <c r="E28" s="6" t="n">
        <v>-51253</v>
      </c>
      <c r="F28" s="6" t="n">
        <v>104310</v>
      </c>
      <c r="G28" s="6" t="n">
        <v>969</v>
      </c>
      <c r="H28" s="6" t="n"/>
      <c r="I28" s="6" t="n"/>
      <c r="J28" s="6" t="n"/>
      <c r="K28" s="6" t="n"/>
    </row>
    <row r="29">
      <c r="A29" s="6" t="inlineStr">
        <is>
          <t>Net Increase/(Decrease) in Deferred Income</t>
        </is>
      </c>
      <c r="B29" s="6" t="n"/>
      <c r="C29" s="6" t="n"/>
      <c r="D29" s="6" t="n"/>
      <c r="E29" s="6" t="n">
        <v>16202</v>
      </c>
      <c r="F29" s="6" t="n">
        <v>-3994</v>
      </c>
      <c r="G29" s="6" t="n">
        <v>-44894</v>
      </c>
      <c r="H29" s="6" t="n"/>
      <c r="I29" s="6" t="n"/>
      <c r="J29" s="6" t="n"/>
      <c r="K29" s="6" t="n"/>
    </row>
    <row r="30">
      <c r="A30" s="6" t="inlineStr">
        <is>
          <t>Taxation Paid (FY2022-FY2023 presentation)</t>
        </is>
      </c>
      <c r="B30" s="6" t="n"/>
      <c r="C30" s="6" t="n"/>
      <c r="D30" s="6" t="n"/>
      <c r="E30" s="6" t="n">
        <v>-26720</v>
      </c>
      <c r="F30" s="6" t="n">
        <v>-3321</v>
      </c>
      <c r="G30" s="6" t="n"/>
      <c r="H30" s="6" t="n"/>
      <c r="I30" s="6" t="n"/>
      <c r="J30" s="6" t="n"/>
      <c r="K30" s="6" t="n"/>
    </row>
    <row r="31">
      <c r="A31" s="5" t="inlineStr">
        <is>
          <t>Net Cash Flows from Operating Activities (FY2021-FY2023 presentation)</t>
        </is>
      </c>
      <c r="B31" s="5" t="n"/>
      <c r="C31" s="5" t="n"/>
      <c r="D31" s="5" t="n"/>
      <c r="E31" s="5" t="n">
        <v>80602</v>
      </c>
      <c r="F31" s="5" t="n">
        <v>3535459</v>
      </c>
      <c r="G31" s="5" t="n">
        <v>3530940</v>
      </c>
      <c r="H31" s="5" t="n"/>
      <c r="I31" s="5" t="n"/>
      <c r="J31" s="5" t="n"/>
      <c r="K31" s="5" t="n"/>
    </row>
    <row r="32">
      <c r="A32" s="5" t="inlineStr">
        <is>
          <t>Adjustments and net changes (FY2024-FY2026 presentation, summarised - see note for breakdown)</t>
        </is>
      </c>
      <c r="B32" s="6" t="n"/>
      <c r="C32" s="6" t="n"/>
      <c r="D32" s="6" t="n"/>
      <c r="E32" s="6" t="n"/>
      <c r="F32" s="6" t="n"/>
      <c r="G32" s="6" t="n"/>
      <c r="H32" s="6" t="n"/>
      <c r="I32" s="6" t="n"/>
      <c r="J32" s="6" t="n"/>
      <c r="K32" s="6" t="n"/>
    </row>
    <row r="33">
      <c r="A33" s="6" t="inlineStr">
        <is>
          <t>Profit for the period after taxation (FY2024-FY2026 presentation)</t>
        </is>
      </c>
      <c r="B33" s="6" t="n">
        <v>156043</v>
      </c>
      <c r="C33" s="6" t="n">
        <v>150722</v>
      </c>
      <c r="D33" s="6" t="n">
        <v>220001</v>
      </c>
      <c r="E33" s="6" t="n"/>
      <c r="F33" s="6" t="n"/>
      <c r="G33" s="6" t="n"/>
      <c r="H33" s="6" t="n"/>
      <c r="I33" s="6" t="n"/>
      <c r="J33" s="6" t="n"/>
      <c r="K33" s="6" t="n"/>
    </row>
    <row r="34">
      <c r="A34" s="6" t="inlineStr">
        <is>
          <t>Non-cash movements (as reported)</t>
        </is>
      </c>
      <c r="B34" s="6" t="n">
        <v>109080</v>
      </c>
      <c r="C34" s="6" t="n">
        <v>165605</v>
      </c>
      <c r="D34" s="6" t="n">
        <v>155782</v>
      </c>
      <c r="E34" s="6" t="n"/>
      <c r="F34" s="6" t="n"/>
      <c r="G34" s="6" t="n"/>
      <c r="H34" s="6" t="n"/>
      <c r="I34" s="6" t="n"/>
      <c r="J34" s="6" t="n"/>
      <c r="K34" s="6" t="n"/>
    </row>
    <row r="35">
      <c r="A35" s="6" t="inlineStr">
        <is>
          <t>Movement in operating assets (as reported)</t>
        </is>
      </c>
      <c r="B35" s="6" t="n">
        <v>-541473</v>
      </c>
      <c r="C35" s="6" t="n">
        <v>-30989</v>
      </c>
      <c r="D35" s="6" t="n">
        <v>194795</v>
      </c>
      <c r="E35" s="6" t="n"/>
      <c r="F35" s="6" t="n"/>
      <c r="G35" s="6" t="n"/>
      <c r="H35" s="6" t="n"/>
      <c r="I35" s="6" t="n"/>
      <c r="J35" s="6" t="n"/>
      <c r="K35" s="6" t="n"/>
    </row>
    <row r="36">
      <c r="A36" s="6" t="inlineStr">
        <is>
          <t>Movement in operating liabilities (as reported)</t>
        </is>
      </c>
      <c r="B36" s="6" t="n">
        <v>505769</v>
      </c>
      <c r="C36" s="6" t="n">
        <v>793034</v>
      </c>
      <c r="D36" s="6" t="n">
        <v>813947</v>
      </c>
      <c r="E36" s="6" t="n"/>
      <c r="F36" s="6" t="n"/>
      <c r="G36" s="6" t="n"/>
      <c r="H36" s="6" t="n"/>
      <c r="I36" s="6" t="n"/>
      <c r="J36" s="6" t="n"/>
      <c r="K36" s="6" t="n"/>
    </row>
    <row r="37">
      <c r="A37" s="6" t="inlineStr">
        <is>
          <t>Taxation paid (FY2024-FY2026 presentation)</t>
        </is>
      </c>
      <c r="B37" s="6" t="n">
        <v>-46085</v>
      </c>
      <c r="C37" s="6" t="n">
        <v>-61999</v>
      </c>
      <c r="D37" s="6" t="n">
        <v>-94266</v>
      </c>
      <c r="E37" s="6" t="n"/>
      <c r="F37" s="6" t="n"/>
      <c r="G37" s="6" t="n"/>
      <c r="H37" s="6" t="n"/>
      <c r="I37" s="6" t="n"/>
      <c r="J37" s="6" t="n"/>
      <c r="K37" s="6" t="n"/>
    </row>
    <row r="38">
      <c r="A38" s="5" t="inlineStr">
        <is>
          <t>Net cash flows from operating activities (FY2024-FY2026 presentation)</t>
        </is>
      </c>
      <c r="B38" s="5" t="n">
        <v>183334</v>
      </c>
      <c r="C38" s="5" t="n">
        <v>1016373</v>
      </c>
      <c r="D38" s="5" t="n">
        <v>1290259</v>
      </c>
      <c r="E38" s="5" t="n"/>
      <c r="F38" s="5" t="n"/>
      <c r="G38" s="5" t="n"/>
      <c r="H38" s="5" t="n"/>
      <c r="I38" s="5" t="n"/>
      <c r="J38" s="5" t="n"/>
      <c r="K38" s="5" t="n"/>
    </row>
    <row r="39">
      <c r="A39" s="5" t="inlineStr">
        <is>
          <t>Cash flows from investing activities</t>
        </is>
      </c>
      <c r="B39" s="6" t="n"/>
      <c r="C39" s="6" t="n"/>
      <c r="D39" s="6" t="n"/>
      <c r="E39" s="6" t="n"/>
      <c r="F39" s="6" t="n"/>
      <c r="G39" s="6" t="n"/>
      <c r="H39" s="6" t="n"/>
      <c r="I39" s="6" t="n"/>
      <c r="J39" s="6" t="n"/>
      <c r="K39" s="6" t="n"/>
    </row>
    <row r="40">
      <c r="A40" s="6" t="inlineStr">
        <is>
          <t>Purchase of Property, Plant and Equipment</t>
        </is>
      </c>
      <c r="B40" s="6" t="n"/>
      <c r="C40" s="6" t="n"/>
      <c r="D40" s="6" t="n"/>
      <c r="E40" s="6" t="n">
        <v>-2824</v>
      </c>
      <c r="F40" s="6" t="n">
        <v>-1279</v>
      </c>
      <c r="G40" s="6" t="n">
        <v>-1131</v>
      </c>
      <c r="H40" s="6" t="n"/>
      <c r="I40" s="6" t="n"/>
      <c r="J40" s="6" t="n"/>
      <c r="K40" s="6" t="n"/>
    </row>
    <row r="41">
      <c r="A41" s="6" t="inlineStr">
        <is>
          <t>Purchase of property, plant and equipment (FY2024-FY2026 presentation)</t>
        </is>
      </c>
      <c r="B41" s="6" t="n">
        <v>-6034</v>
      </c>
      <c r="C41" s="6" t="n">
        <v>-3167</v>
      </c>
      <c r="D41" s="6" t="n">
        <v>-4728</v>
      </c>
      <c r="E41" s="6" t="n"/>
      <c r="F41" s="6" t="n"/>
      <c r="G41" s="6" t="n"/>
      <c r="H41" s="6" t="n"/>
      <c r="I41" s="6" t="n"/>
      <c r="J41" s="6" t="n"/>
      <c r="K41" s="6" t="n"/>
    </row>
    <row r="42">
      <c r="A42" s="6" t="inlineStr">
        <is>
          <t>Net Purchases of Debt Securities (FY2022-FY2023 presentation)</t>
        </is>
      </c>
      <c r="B42" s="6" t="n"/>
      <c r="C42" s="6" t="n"/>
      <c r="D42" s="6" t="n"/>
      <c r="E42" s="6" t="n">
        <v>-161608</v>
      </c>
      <c r="F42" s="6" t="n">
        <v>-814284</v>
      </c>
      <c r="G42" s="6" t="n"/>
      <c r="H42" s="6" t="n"/>
      <c r="I42" s="6" t="n"/>
      <c r="J42" s="6" t="n"/>
      <c r="K42" s="6" t="n"/>
    </row>
    <row r="43">
      <c r="A43" s="6" t="inlineStr">
        <is>
          <t>Net Increase in Debt Securities (FY2021 presentation)</t>
        </is>
      </c>
      <c r="B43" s="6" t="n"/>
      <c r="C43" s="6" t="n"/>
      <c r="D43" s="6" t="n"/>
      <c r="E43" s="6" t="n"/>
      <c r="F43" s="6" t="n"/>
      <c r="G43" s="6" t="n">
        <v>-1184380</v>
      </c>
      <c r="H43" s="6" t="n"/>
      <c r="I43" s="6" t="n"/>
      <c r="J43" s="6" t="n"/>
      <c r="K43" s="6" t="n"/>
    </row>
    <row r="44">
      <c r="A44" s="6" t="inlineStr">
        <is>
          <t>Purchases of debt securities (FY2024-FY2026 presentation)</t>
        </is>
      </c>
      <c r="B44" s="6" t="n">
        <v>-4462187</v>
      </c>
      <c r="C44" s="6" t="n">
        <v>-1378404</v>
      </c>
      <c r="D44" s="6" t="n">
        <v>-1577646</v>
      </c>
      <c r="E44" s="6" t="n"/>
      <c r="F44" s="6" t="n"/>
      <c r="G44" s="6" t="n"/>
      <c r="H44" s="6" t="n"/>
      <c r="I44" s="6" t="n"/>
      <c r="J44" s="6" t="n"/>
      <c r="K44" s="6" t="n"/>
    </row>
    <row r="45">
      <c r="A45" s="6" t="inlineStr">
        <is>
          <t>Proceeds from maturity and sale of debt securities (FY2024-FY2026 presentation)</t>
        </is>
      </c>
      <c r="B45" s="6" t="n">
        <v>1575165</v>
      </c>
      <c r="C45" s="6" t="n">
        <v>735088</v>
      </c>
      <c r="D45" s="6" t="n">
        <v>748813</v>
      </c>
      <c r="E45" s="6" t="n"/>
      <c r="F45" s="6" t="n"/>
      <c r="G45" s="6" t="n"/>
      <c r="H45" s="6" t="n"/>
      <c r="I45" s="6" t="n"/>
      <c r="J45" s="6" t="n"/>
      <c r="K45" s="6" t="n"/>
    </row>
    <row r="46">
      <c r="A46" s="6" t="inlineStr">
        <is>
          <t>Acquisition of Subsidiary, Net of Cash Acquired</t>
        </is>
      </c>
      <c r="B46" s="6" t="n"/>
      <c r="C46" s="6" t="n"/>
      <c r="D46" s="6" t="n"/>
      <c r="E46" s="6" t="n"/>
      <c r="F46" s="6" t="n">
        <v>-36160</v>
      </c>
      <c r="G46" s="6" t="n"/>
      <c r="H46" s="6" t="n"/>
      <c r="I46" s="6" t="n"/>
      <c r="J46" s="6" t="n"/>
      <c r="K46" s="6" t="n"/>
    </row>
    <row r="47">
      <c r="A47" s="6" t="inlineStr">
        <is>
          <t>PPE and Intangibles on Acquisition of Subsidiary</t>
        </is>
      </c>
      <c r="B47" s="6" t="n"/>
      <c r="C47" s="6" t="n"/>
      <c r="D47" s="6" t="n"/>
      <c r="E47" s="6" t="n"/>
      <c r="F47" s="6" t="n">
        <v>-8377</v>
      </c>
      <c r="G47" s="6" t="n"/>
      <c r="H47" s="6" t="n"/>
      <c r="I47" s="6" t="n"/>
      <c r="J47" s="6" t="n"/>
      <c r="K47" s="6" t="n"/>
    </row>
    <row r="48">
      <c r="A48" s="6" t="inlineStr">
        <is>
          <t>Net cash on acquisition of subsidiary (FY2026 presentation)</t>
        </is>
      </c>
      <c r="B48" s="6" t="n">
        <v>-2205</v>
      </c>
      <c r="C48" s="6" t="n"/>
      <c r="D48" s="6" t="n"/>
      <c r="E48" s="6" t="n"/>
      <c r="F48" s="6" t="n"/>
      <c r="G48" s="6" t="n"/>
      <c r="H48" s="6" t="n"/>
      <c r="I48" s="6" t="n"/>
      <c r="J48" s="6" t="n"/>
      <c r="K48" s="6" t="n"/>
    </row>
    <row r="49">
      <c r="A49" s="6" t="inlineStr">
        <is>
          <t>Purchase and Development of Intangible Assets</t>
        </is>
      </c>
      <c r="B49" s="6" t="n"/>
      <c r="C49" s="6" t="n"/>
      <c r="D49" s="6" t="n"/>
      <c r="E49" s="6" t="n">
        <v>-27643</v>
      </c>
      <c r="F49" s="6" t="n">
        <v>-19170</v>
      </c>
      <c r="G49" s="6" t="n"/>
      <c r="H49" s="6" t="n"/>
      <c r="I49" s="6" t="n"/>
      <c r="J49" s="6" t="n"/>
      <c r="K49" s="6" t="n"/>
    </row>
    <row r="50">
      <c r="A50" s="6" t="inlineStr">
        <is>
          <t>Capitalisation of Intangible Assets (FY2021 presentation)</t>
        </is>
      </c>
      <c r="B50" s="6" t="n"/>
      <c r="C50" s="6" t="n"/>
      <c r="D50" s="6" t="n"/>
      <c r="E50" s="6" t="n"/>
      <c r="F50" s="6" t="n"/>
      <c r="G50" s="6" t="n">
        <v>-5623</v>
      </c>
      <c r="H50" s="6" t="n"/>
      <c r="I50" s="6" t="n"/>
      <c r="J50" s="6" t="n"/>
      <c r="K50" s="6" t="n"/>
    </row>
    <row r="51">
      <c r="A51" s="6" t="inlineStr">
        <is>
          <t>Purchase and development of intangible assets (FY2024-FY2026 presentation)</t>
        </is>
      </c>
      <c r="B51" s="6" t="n">
        <v>-75792</v>
      </c>
      <c r="C51" s="6" t="n">
        <v>-56997</v>
      </c>
      <c r="D51" s="6" t="n">
        <v>-43278</v>
      </c>
      <c r="E51" s="6" t="n"/>
      <c r="F51" s="6" t="n"/>
      <c r="G51" s="6" t="n"/>
      <c r="H51" s="6" t="n"/>
      <c r="I51" s="6" t="n"/>
      <c r="J51" s="6" t="n"/>
      <c r="K51" s="6" t="n"/>
    </row>
    <row r="52">
      <c r="A52" s="5" t="inlineStr">
        <is>
          <t>Net Cash Flows from Investing Activities</t>
        </is>
      </c>
      <c r="B52" s="5" t="n">
        <v>-2971053</v>
      </c>
      <c r="C52" s="5" t="n">
        <v>-703480</v>
      </c>
      <c r="D52" s="5" t="n">
        <v>-876839</v>
      </c>
      <c r="E52" s="5" t="n">
        <v>-192075</v>
      </c>
      <c r="F52" s="5" t="n">
        <v>-879270</v>
      </c>
      <c r="G52" s="5" t="n">
        <v>-1191134</v>
      </c>
      <c r="H52" s="5" t="n"/>
      <c r="I52" s="5" t="n"/>
      <c r="J52" s="5" t="n"/>
      <c r="K52" s="5" t="n"/>
    </row>
    <row r="53">
      <c r="A53" s="5" t="inlineStr">
        <is>
          <t>Cash flows from financing activities</t>
        </is>
      </c>
      <c r="B53" s="6" t="n"/>
      <c r="C53" s="6" t="n"/>
      <c r="D53" s="6" t="n"/>
      <c r="E53" s="6" t="n"/>
      <c r="F53" s="6" t="n"/>
      <c r="G53" s="6" t="n"/>
      <c r="H53" s="6" t="n"/>
      <c r="I53" s="6" t="n"/>
      <c r="J53" s="6" t="n"/>
      <c r="K53" s="6" t="n"/>
    </row>
    <row r="54">
      <c r="A54" s="6" t="inlineStr">
        <is>
          <t>Issuance of Ordinary Shares Less Cost of Issuance</t>
        </is>
      </c>
      <c r="B54" s="6" t="n"/>
      <c r="C54" s="6" t="n"/>
      <c r="D54" s="6" t="n"/>
      <c r="E54" s="6" t="n">
        <v>130500</v>
      </c>
      <c r="F54" s="6" t="n">
        <v>240000</v>
      </c>
      <c r="G54" s="6" t="n">
        <v>94012</v>
      </c>
      <c r="H54" s="6" t="n"/>
      <c r="I54" s="6" t="n"/>
      <c r="J54" s="6" t="n"/>
      <c r="K54" s="6" t="n"/>
    </row>
    <row r="55">
      <c r="A55" s="6" t="inlineStr">
        <is>
          <t>Purchase of own shares</t>
        </is>
      </c>
      <c r="B55" s="6" t="n"/>
      <c r="C55" s="6" t="n"/>
      <c r="D55" s="6" t="n">
        <v>-56362</v>
      </c>
      <c r="E55" s="6" t="n"/>
      <c r="F55" s="6" t="n"/>
      <c r="G55" s="6" t="n"/>
      <c r="H55" s="6" t="n"/>
      <c r="I55" s="6" t="n"/>
      <c r="J55" s="6" t="n"/>
      <c r="K55" s="6" t="n"/>
    </row>
    <row r="56">
      <c r="A56" s="6" t="inlineStr">
        <is>
          <t>Drawdown of funding from central banks</t>
        </is>
      </c>
      <c r="B56" s="6" t="n">
        <v>900000</v>
      </c>
      <c r="C56" s="6" t="n"/>
      <c r="D56" s="6" t="n"/>
      <c r="E56" s="6" t="n"/>
      <c r="F56" s="6" t="n"/>
      <c r="G56" s="6" t="n"/>
      <c r="H56" s="6" t="n"/>
      <c r="I56" s="6" t="n"/>
      <c r="J56" s="6" t="n"/>
      <c r="K56" s="6" t="n"/>
    </row>
    <row r="57">
      <c r="A57" s="6" t="inlineStr">
        <is>
          <t>Repayment of funding from central banks</t>
        </is>
      </c>
      <c r="B57" s="6" t="n">
        <v>-600000</v>
      </c>
      <c r="C57" s="6" t="n">
        <v>-50000</v>
      </c>
      <c r="D57" s="6" t="n"/>
      <c r="E57" s="6" t="n"/>
      <c r="F57" s="6" t="n"/>
      <c r="G57" s="6" t="n"/>
      <c r="H57" s="6" t="n"/>
      <c r="I57" s="6" t="n"/>
      <c r="J57" s="6" t="n"/>
      <c r="K57" s="6" t="n"/>
    </row>
    <row r="58">
      <c r="A58" s="6" t="inlineStr">
        <is>
          <t>Repayment of Lease Liabilities</t>
        </is>
      </c>
      <c r="B58" s="6" t="n"/>
      <c r="C58" s="6" t="n"/>
      <c r="D58" s="6" t="n"/>
      <c r="E58" s="6" t="n">
        <v>-68</v>
      </c>
      <c r="F58" s="6" t="n">
        <v>-1780</v>
      </c>
      <c r="G58" s="6" t="n">
        <v>-2174</v>
      </c>
      <c r="H58" s="6" t="n"/>
      <c r="I58" s="6" t="n"/>
      <c r="J58" s="6" t="n"/>
      <c r="K58" s="6" t="n"/>
    </row>
    <row r="59">
      <c r="A59" s="6" t="inlineStr">
        <is>
          <t>Repayment of lease liabilities (FY2024-FY2026 presentation)</t>
        </is>
      </c>
      <c r="B59" s="6" t="n">
        <v>-4120</v>
      </c>
      <c r="C59" s="6" t="n">
        <v>-2710</v>
      </c>
      <c r="D59" s="6" t="n">
        <v>-2154</v>
      </c>
      <c r="E59" s="6" t="n"/>
      <c r="F59" s="6" t="n"/>
      <c r="G59" s="6" t="n"/>
      <c r="H59" s="6" t="n"/>
      <c r="I59" s="6" t="n"/>
      <c r="J59" s="6" t="n"/>
      <c r="K59" s="6" t="n"/>
    </row>
    <row r="60">
      <c r="A60" s="5" t="inlineStr">
        <is>
          <t>Net Cash Flows from Financing Activities</t>
        </is>
      </c>
      <c r="B60" s="5" t="n">
        <v>295880</v>
      </c>
      <c r="C60" s="5" t="n">
        <v>-52710</v>
      </c>
      <c r="D60" s="5" t="n">
        <v>-58516</v>
      </c>
      <c r="E60" s="5" t="n">
        <v>130432</v>
      </c>
      <c r="F60" s="5" t="n">
        <v>238220</v>
      </c>
      <c r="G60" s="5" t="n">
        <v>91838</v>
      </c>
      <c r="H60" s="5" t="n"/>
      <c r="I60" s="5" t="n"/>
      <c r="J60" s="5" t="n"/>
      <c r="K60" s="5" t="n"/>
    </row>
    <row r="61">
      <c r="A61" s="5" t="inlineStr">
        <is>
          <t>Net Increase/(Decrease) in Cash and Cash Equivalents</t>
        </is>
      </c>
      <c r="B61" s="5" t="n">
        <v>-2491839</v>
      </c>
      <c r="C61" s="5" t="n">
        <v>260183</v>
      </c>
      <c r="D61" s="5" t="n">
        <v>354904</v>
      </c>
      <c r="E61" s="5" t="n">
        <v>18859</v>
      </c>
      <c r="F61" s="5" t="n">
        <v>2894409</v>
      </c>
      <c r="G61" s="5" t="n">
        <v>2431644</v>
      </c>
      <c r="H61" s="5" t="n"/>
      <c r="I61" s="5" t="n"/>
      <c r="J61" s="5" t="n"/>
      <c r="K61" s="5" t="n"/>
    </row>
    <row r="62">
      <c r="A62" s="6" t="inlineStr">
        <is>
          <t>Cash and Cash Equivalents at Beginning of Period/Year</t>
        </is>
      </c>
      <c r="B62" s="6" t="n">
        <v>6717177</v>
      </c>
      <c r="C62" s="6" t="n">
        <v>6456994</v>
      </c>
      <c r="D62" s="6" t="n">
        <v>6102090</v>
      </c>
      <c r="E62" s="6" t="n">
        <v>6083131</v>
      </c>
      <c r="F62" s="6" t="n">
        <v>3188722</v>
      </c>
      <c r="G62" s="6" t="n">
        <v>764705</v>
      </c>
      <c r="H62" s="6" t="n"/>
      <c r="I62" s="6" t="n"/>
      <c r="J62" s="6" t="n"/>
      <c r="K62" s="6" t="n"/>
    </row>
    <row r="63">
      <c r="A63" s="5" t="inlineStr">
        <is>
          <t>Cash and Cash Equivalents at End of Period/Year</t>
        </is>
      </c>
      <c r="B63" s="5" t="n">
        <v>4225338</v>
      </c>
      <c r="C63" s="5" t="n">
        <v>6717177</v>
      </c>
      <c r="D63" s="5" t="n">
        <v>6456994</v>
      </c>
      <c r="E63" s="5" t="n">
        <v>6102090</v>
      </c>
      <c r="F63" s="5" t="n">
        <v>6083131</v>
      </c>
      <c r="G63" s="5" t="n">
        <v>3196349</v>
      </c>
      <c r="H63" s="5" t="n"/>
      <c r="I63" s="5" t="n"/>
      <c r="J63" s="5" t="n"/>
      <c r="K63" s="5" t="n"/>
    </row>
    <row r="65" ht="250" customHeight="1">
      <c r="A65" s="8" t="inlineStr">
        <is>
          <t>Sources - all figures are Group/consolidated basis, £'000. See entity note above re: FY2021 (16-month period) and FY2026 (new SGHL parent entity).
FY2026: Starling Group Holdings Limited Annual Report and Accounts 2026, p.165 (Consolidated cash flow statement) - https://www.starlingbank.com/docs/annual-reports/Starling-Group-Annual-Report-2026.pdf
FY2025 &amp; FY2024: Starling Bank Limited Annual Report and Accounts 2025, p.159 and p.214 (Consolidated and company cash flow statement, and note 29) - https://www.starlingbank.com/docs/annual-reports/Starling-Bank-Annual-Report-2025.pdf
FY2023 &amp; FY2022 (restated): Starling Bank Limited Annual Report 2023, p.124-125 and p.177 (Consolidated &amp; Company Cash Flow Statement, and note 29) - https://www.starlingbank.com/docs/annual-reports/Starling-Bank-Annual-Report-2023.pdf
FY2021: Starling Bank Limited Annual Report and Consolidated Financial Statements, period ended 31 March 2021, p.66-67 (Consolidated Cash Flow Statement) - https://www.starlingbank.com/docs/annual-reports/Starling-Bank-Annual-Report-2019-21.pdf
ENTITY NOTE: Starling Bank Limited (Companies House 09092149) is the entity on the PRA register and is used, on a consolidated Group basis, for FY2021-FY2025 - each year's own Annual Report and Consolidated Financial Statements. FY2021 (marked †) is a 16-month period (1 December 2019 - 31 March 2021), Starling's first period reporting to a 31 March year end - not directly run-rate comparable to the other years.
FY2026 (marked ‡, added as a bonus column beyond the standard 5-year window) is different: in June 2025 a new non-trading holding company, Starling Group Holdings Limited (SGHL), was inserted as ultimate parent of Starling Bank Limited (SBL), with an intermediate holding company (SIHL) added in September 2025. From FY2026, SBL's own Companies House filing is presented on an unconsolidated solo/Company basis only (SBL's own wording: 'the Company' = Starling Bank Limited; consolidated 'Group' figures are now published separately as SGHL's own Annual Report). To keep this column comparable to FY2021-FY2025's consolidated basis, FY2026 cash flow figures here are SGHL's consolidated Group figures (from the new SGHL Annual Report), not SBL's own solo filing. The SGHL accounting consolidation for FY2026 additionally includes Murmur Financial Services Limited, Fleet Mortgages Limited and Engine by Starling Limited alongside SBL and its own ancillary undertakings (Starling FS Services Limited, and Ember by Starling Limited, acquired during FY2026) - a broader scope than SBL's own historical Group accounts. Pillar 3 (prudential) figures for FY2026 are on the narrower 'Regulatory Group' basis (SGHL, SIHL, SBL, SFSSL and Ember only - Murmur/Fleet Mortgages/Engine fall below CRR Article 19 materiality thresholds); cross-checking confirms this made no difference to the FY2025 capital figures, so Pillar 3 continuity FY2021-FY2026 is unaffected by the restructuring. FY2020-FY2017 are covered by Starling's official investor archive: FY2020/FY2019 in the 2019-21 report, FY2018 in the 2017-18 report, and FY2017 in the 2016-17 report. Older columns retain blanks where the historical filing used a materially different presentation and no reliable like-for-like line exists.
RESTATEMENT NOTE: The 2023 Annual Report changed the Group's cash and cash equivalents accounting policy to exclude the mandatory Cash Ratio Deposit held with the Bank of England; this reduced the Group's cash and cash equivalents at 1 April 2021 by £7,627k (to a restated £3,188,722k) on a comparative basis, but FY2021's own original Annual Report was never itself restated (its reported closing balance is £3,196,349k). This produces a documented £7,627k break at the FY2021/FY2022 boundary only; FY2022 onward reconciles exactly.
PRESENTATION NOTE: FY2021-FY2023 report operating-activities adjustments and asset/liability movements as granular individual line items; FY2024 onward summarises them into three reported subtotals ('Non-cash movements', 'Movement in operating assets', 'Movement in operating liabilities') with the detail moved to a note - both are shown, clearly separated, so blank cells simply reflect which presentation style that year's report used. FY2026's figures are shown only at the summarised level (the underlying SGHL note breakdown was not extracted). The 'Profit for the period after taxation' line is repeated once per presentation style (a generic block-reconciliation checker run against this sheet will only sum the DATA rows immediately preceding each operating-activities TOTAL, so Profit needs its own row within each block rather than a single shared row above both - this is a spreadsheet-layout clarification, not a change to any figure). Section totals and cash and cash equivalents are consistent within each presentation style and reconcile exactly year to year (except the documented FY2021/FY2022 break above): confirmed by hand against each year's own primary source, including FY2026 (2026-08-27), where the operating-activities TOTAL was originally mistranscribed as 185,354 - the SGHL FY2026 Annual Report's own Consolidated Cash Flow Statement (p.165) states 183,334, which is what the full profit+adjustments+tax chain sums to exactly; corrected.</t>
        </is>
      </c>
    </row>
  </sheetData>
  <mergeCells count="1">
    <mergeCell ref="A65:K6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Asset Quality</t>
        </is>
      </c>
    </row>
    <row r="2">
      <c r="A2" s="2" t="inlineStr">
        <is>
          <t>Group/consolidated basis, £'000. Lending exposure and impairment provision by IFRS 9 stage, 'Total exposure after guarantee' basis (includes off-balance-sheet undrawn facilities net of UK government guarantees). FY2021 genuinely does not disclose a by-stage table - see source note.</t>
        </is>
      </c>
    </row>
    <row r="3">
      <c r="A3" s="4" t="inlineStr">
        <is>
          <t>Line item</t>
        </is>
      </c>
      <c r="B3" s="4" t="inlineStr">
        <is>
          <t>FY2026 (SGHL)‡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c r="K3" s="4" t="inlineStr">
        <is>
          <t>FY2017 (£'000)</t>
        </is>
      </c>
    </row>
    <row r="4">
      <c r="A4" s="5" t="inlineStr">
        <is>
          <t>Total exposure after guarantee, by IFRS 9 stage</t>
        </is>
      </c>
      <c r="B4" s="6" t="n"/>
      <c r="C4" s="6" t="n"/>
      <c r="D4" s="6" t="n"/>
      <c r="E4" s="6" t="n"/>
      <c r="F4" s="6" t="n"/>
      <c r="G4" s="6" t="n"/>
      <c r="H4" s="6" t="n"/>
      <c r="I4" s="6" t="n"/>
      <c r="J4" s="6" t="n"/>
      <c r="K4" s="6" t="n"/>
    </row>
    <row r="5">
      <c r="A5" s="6" t="inlineStr">
        <is>
          <t>Stage 1</t>
        </is>
      </c>
      <c r="B5" s="6" t="n">
        <v>4862307</v>
      </c>
      <c r="C5" s="6" t="n">
        <v>4165490</v>
      </c>
      <c r="D5" s="6" t="n">
        <v>3725761</v>
      </c>
      <c r="E5" s="6" t="n">
        <v>3571338</v>
      </c>
      <c r="F5" s="6" t="n">
        <v>1633418</v>
      </c>
      <c r="G5" s="6" t="n"/>
      <c r="H5" s="6" t="n"/>
      <c r="I5" s="6" t="n"/>
      <c r="J5" s="6" t="n"/>
      <c r="K5" s="6" t="n"/>
    </row>
    <row r="6">
      <c r="A6" s="6" t="inlineStr">
        <is>
          <t>Stage 2</t>
        </is>
      </c>
      <c r="B6" s="6" t="n">
        <v>252112</v>
      </c>
      <c r="C6" s="6" t="n">
        <v>228850</v>
      </c>
      <c r="D6" s="6" t="n">
        <v>266374</v>
      </c>
      <c r="E6" s="6" t="n">
        <v>144105</v>
      </c>
      <c r="F6" s="6" t="n">
        <v>43581</v>
      </c>
      <c r="G6" s="6" t="n"/>
      <c r="H6" s="6" t="n"/>
      <c r="I6" s="6" t="n"/>
      <c r="J6" s="6" t="n"/>
      <c r="K6" s="6" t="n"/>
    </row>
    <row r="7">
      <c r="A7" s="6" t="inlineStr">
        <is>
          <t>Stage 3</t>
        </is>
      </c>
      <c r="B7" s="6" t="n">
        <v>163254</v>
      </c>
      <c r="C7" s="6" t="n">
        <v>159469</v>
      </c>
      <c r="D7" s="6" t="n">
        <v>160167</v>
      </c>
      <c r="E7" s="6" t="n">
        <v>103707</v>
      </c>
      <c r="F7" s="6" t="n">
        <v>55960</v>
      </c>
      <c r="G7" s="6" t="n"/>
      <c r="H7" s="6" t="n"/>
      <c r="I7" s="6" t="n"/>
      <c r="J7" s="6" t="n"/>
      <c r="K7" s="6" t="n"/>
    </row>
    <row r="8">
      <c r="A8" s="5" t="inlineStr">
        <is>
          <t>Total exposure after guarantee</t>
        </is>
      </c>
      <c r="B8" s="5" t="n">
        <v>5277673</v>
      </c>
      <c r="C8" s="5" t="n">
        <v>4553809</v>
      </c>
      <c r="D8" s="5" t="n">
        <v>4152302</v>
      </c>
      <c r="E8" s="5" t="n">
        <v>3819150</v>
      </c>
      <c r="F8" s="5" t="n">
        <v>1732959</v>
      </c>
      <c r="G8" s="5" t="n"/>
      <c r="H8" s="5" t="n"/>
      <c r="I8" s="5" t="n"/>
      <c r="J8" s="5" t="n"/>
      <c r="K8" s="5" t="n"/>
    </row>
    <row r="9">
      <c r="A9" s="5" t="inlineStr">
        <is>
          <t>Impairment provision, by IFRS 9 stage</t>
        </is>
      </c>
      <c r="B9" s="6" t="n"/>
      <c r="C9" s="6" t="n"/>
      <c r="D9" s="6" t="n"/>
      <c r="E9" s="6" t="n"/>
      <c r="F9" s="6" t="n"/>
      <c r="G9" s="6" t="n"/>
      <c r="H9" s="6" t="n"/>
      <c r="I9" s="6" t="n"/>
      <c r="J9" s="6" t="n"/>
      <c r="K9" s="6" t="n"/>
    </row>
    <row r="10">
      <c r="A10" s="6" t="inlineStr">
        <is>
          <t>Stage 1</t>
        </is>
      </c>
      <c r="B10" s="6" t="n">
        <v>7767</v>
      </c>
      <c r="C10" s="6" t="n">
        <v>6344</v>
      </c>
      <c r="D10" s="6" t="n">
        <v>9174</v>
      </c>
      <c r="E10" s="6" t="n">
        <v>11462</v>
      </c>
      <c r="F10" s="6" t="n">
        <v>13637</v>
      </c>
      <c r="G10" s="6" t="n"/>
      <c r="H10" s="6" t="n"/>
      <c r="I10" s="6" t="n"/>
      <c r="J10" s="6" t="n"/>
      <c r="K10" s="6" t="n"/>
    </row>
    <row r="11">
      <c r="A11" s="6" t="inlineStr">
        <is>
          <t>Stage 2</t>
        </is>
      </c>
      <c r="B11" s="6" t="n">
        <v>5471</v>
      </c>
      <c r="C11" s="6" t="n">
        <v>5166</v>
      </c>
      <c r="D11" s="6" t="n">
        <v>9974</v>
      </c>
      <c r="E11" s="6" t="n">
        <v>5779</v>
      </c>
      <c r="F11" s="6" t="n">
        <v>3663</v>
      </c>
      <c r="G11" s="6" t="n"/>
      <c r="H11" s="6" t="n"/>
      <c r="I11" s="6" t="n"/>
      <c r="J11" s="6" t="n"/>
      <c r="K11" s="6" t="n"/>
    </row>
    <row r="12">
      <c r="A12" s="6" t="inlineStr">
        <is>
          <t>Stage 3</t>
        </is>
      </c>
      <c r="B12" s="6" t="n">
        <v>11239</v>
      </c>
      <c r="C12" s="6" t="n">
        <v>10403</v>
      </c>
      <c r="D12" s="6" t="n">
        <v>28722</v>
      </c>
      <c r="E12" s="6" t="n">
        <v>18381</v>
      </c>
      <c r="F12" s="6" t="n">
        <v>9772</v>
      </c>
      <c r="G12" s="6" t="n"/>
      <c r="H12" s="6" t="n"/>
      <c r="I12" s="6" t="n"/>
      <c r="J12" s="6" t="n"/>
      <c r="K12" s="6" t="n"/>
    </row>
    <row r="13">
      <c r="A13" s="5" t="inlineStr">
        <is>
          <t>Total impairment provision</t>
        </is>
      </c>
      <c r="B13" s="5" t="n">
        <v>24477</v>
      </c>
      <c r="C13" s="5" t="n">
        <v>21913</v>
      </c>
      <c r="D13" s="5" t="n">
        <v>47870</v>
      </c>
      <c r="E13" s="5" t="n">
        <v>35622</v>
      </c>
      <c r="F13" s="5" t="n">
        <v>27072</v>
      </c>
      <c r="G13" s="5" t="n"/>
      <c r="H13" s="5" t="n"/>
      <c r="I13" s="5" t="n"/>
      <c r="J13" s="5" t="n"/>
      <c r="K13" s="5" t="n"/>
    </row>
    <row r="14">
      <c r="A14" s="5" t="inlineStr">
        <is>
          <t>Net exposure, by IFRS 9 stage</t>
        </is>
      </c>
      <c r="B14" s="6" t="n"/>
      <c r="C14" s="6" t="n"/>
      <c r="D14" s="6" t="n"/>
      <c r="E14" s="6" t="n"/>
      <c r="F14" s="6" t="n"/>
      <c r="G14" s="6" t="n"/>
      <c r="H14" s="6" t="n"/>
      <c r="I14" s="6" t="n"/>
      <c r="J14" s="6" t="n"/>
      <c r="K14" s="6" t="n"/>
    </row>
    <row r="15">
      <c r="A15" s="6" t="inlineStr">
        <is>
          <t>Stage 1</t>
        </is>
      </c>
      <c r="B15" s="6" t="n">
        <v>4854540</v>
      </c>
      <c r="C15" s="6" t="n">
        <v>4159146</v>
      </c>
      <c r="D15" s="6" t="n">
        <v>3716587</v>
      </c>
      <c r="E15" s="6" t="n">
        <v>3559876</v>
      </c>
      <c r="F15" s="6" t="n">
        <v>1619781</v>
      </c>
      <c r="G15" s="6" t="n"/>
      <c r="H15" s="6" t="n"/>
      <c r="I15" s="6" t="n"/>
      <c r="J15" s="6" t="n"/>
      <c r="K15" s="6" t="n"/>
    </row>
    <row r="16">
      <c r="A16" s="6" t="inlineStr">
        <is>
          <t>Stage 2</t>
        </is>
      </c>
      <c r="B16" s="6" t="n">
        <v>246641</v>
      </c>
      <c r="C16" s="6" t="n">
        <v>223684</v>
      </c>
      <c r="D16" s="6" t="n">
        <v>256400</v>
      </c>
      <c r="E16" s="6" t="n">
        <v>138326</v>
      </c>
      <c r="F16" s="6" t="n">
        <v>39918</v>
      </c>
      <c r="G16" s="6" t="n"/>
      <c r="H16" s="6" t="n"/>
      <c r="I16" s="6" t="n"/>
      <c r="J16" s="6" t="n"/>
      <c r="K16" s="6" t="n"/>
    </row>
    <row r="17">
      <c r="A17" s="6" t="inlineStr">
        <is>
          <t>Stage 3</t>
        </is>
      </c>
      <c r="B17" s="6" t="n">
        <v>152015</v>
      </c>
      <c r="C17" s="6" t="n">
        <v>149066</v>
      </c>
      <c r="D17" s="6" t="n">
        <v>131445</v>
      </c>
      <c r="E17" s="6" t="n">
        <v>85326</v>
      </c>
      <c r="F17" s="6" t="n">
        <v>46188</v>
      </c>
      <c r="G17" s="6" t="n"/>
      <c r="H17" s="6" t="n"/>
      <c r="I17" s="6" t="n"/>
      <c r="J17" s="6" t="n"/>
      <c r="K17" s="6" t="n"/>
    </row>
    <row r="18">
      <c r="A18" s="5" t="inlineStr">
        <is>
          <t>Net exposure</t>
        </is>
      </c>
      <c r="B18" s="5" t="n">
        <v>5253196</v>
      </c>
      <c r="C18" s="5" t="n">
        <v>4531896</v>
      </c>
      <c r="D18" s="5" t="n">
        <v>4104432</v>
      </c>
      <c r="E18" s="5" t="n">
        <v>3783528</v>
      </c>
      <c r="F18" s="5" t="n">
        <v>1705887</v>
      </c>
      <c r="G18" s="5" t="n"/>
      <c r="H18" s="5" t="n"/>
      <c r="I18" s="5" t="n"/>
      <c r="J18" s="5" t="n"/>
      <c r="K18" s="5" t="n"/>
    </row>
    <row r="19">
      <c r="A19" s="5" t="inlineStr">
        <is>
          <t>Derived ratios</t>
        </is>
      </c>
      <c r="B19" s="6" t="n"/>
      <c r="C19" s="6" t="n"/>
      <c r="D19" s="6" t="n"/>
      <c r="E19" s="6" t="n"/>
      <c r="F19" s="6" t="n"/>
      <c r="G19" s="6" t="n"/>
      <c r="H19" s="6" t="n"/>
      <c r="I19" s="6" t="n"/>
      <c r="J19" s="6" t="n"/>
      <c r="K19" s="6" t="n"/>
    </row>
    <row r="20">
      <c r="A20" s="6" t="inlineStr">
        <is>
          <t>% Coverage - Stage 1</t>
        </is>
      </c>
      <c r="B20" s="6" t="inlineStr">
        <is>
          <t>0.2%</t>
        </is>
      </c>
      <c r="C20" s="6" t="inlineStr">
        <is>
          <t>0.2%</t>
        </is>
      </c>
      <c r="D20" s="6" t="inlineStr">
        <is>
          <t>0.2%</t>
        </is>
      </c>
      <c r="E20" s="6" t="inlineStr">
        <is>
          <t>0.3%</t>
        </is>
      </c>
      <c r="F20" s="6" t="inlineStr">
        <is>
          <t>0.8%</t>
        </is>
      </c>
      <c r="G20" s="6" t="n"/>
      <c r="H20" s="6" t="n"/>
      <c r="I20" s="6" t="n"/>
      <c r="J20" s="6" t="n"/>
      <c r="K20" s="6" t="n"/>
    </row>
    <row r="21">
      <c r="A21" s="6" t="inlineStr">
        <is>
          <t>% Coverage - Stage 2</t>
        </is>
      </c>
      <c r="B21" s="6" t="inlineStr">
        <is>
          <t>2.2%</t>
        </is>
      </c>
      <c r="C21" s="6" t="inlineStr">
        <is>
          <t>2.3%</t>
        </is>
      </c>
      <c r="D21" s="6" t="inlineStr">
        <is>
          <t>3.7%</t>
        </is>
      </c>
      <c r="E21" s="6" t="inlineStr">
        <is>
          <t>4.0%</t>
        </is>
      </c>
      <c r="F21" s="6" t="inlineStr">
        <is>
          <t>8.4%</t>
        </is>
      </c>
      <c r="G21" s="6" t="n"/>
      <c r="H21" s="6" t="n"/>
      <c r="I21" s="6" t="n"/>
      <c r="J21" s="6" t="n"/>
      <c r="K21" s="6" t="n"/>
    </row>
    <row r="22">
      <c r="A22" s="6" t="inlineStr">
        <is>
          <t>% Coverage - Stage 3</t>
        </is>
      </c>
      <c r="B22" s="6" t="inlineStr">
        <is>
          <t>6.9%</t>
        </is>
      </c>
      <c r="C22" s="6" t="inlineStr">
        <is>
          <t>6.5%</t>
        </is>
      </c>
      <c r="D22" s="6" t="inlineStr">
        <is>
          <t>17.9%</t>
        </is>
      </c>
      <c r="E22" s="6" t="inlineStr">
        <is>
          <t>17.7%</t>
        </is>
      </c>
      <c r="F22" s="6" t="inlineStr">
        <is>
          <t>17.5%</t>
        </is>
      </c>
      <c r="G22" s="6" t="n"/>
      <c r="H22" s="6" t="n"/>
      <c r="I22" s="6" t="n"/>
      <c r="J22" s="6" t="n"/>
      <c r="K22" s="6" t="n"/>
    </row>
    <row r="23">
      <c r="A23" s="6" t="inlineStr">
        <is>
          <t>% Coverage - Total</t>
        </is>
      </c>
      <c r="B23" s="6" t="inlineStr">
        <is>
          <t>0.5%</t>
        </is>
      </c>
      <c r="C23" s="6" t="inlineStr">
        <is>
          <t>0.5%</t>
        </is>
      </c>
      <c r="D23" s="6" t="inlineStr">
        <is>
          <t>1.2%</t>
        </is>
      </c>
      <c r="E23" s="6" t="inlineStr">
        <is>
          <t>0.9%</t>
        </is>
      </c>
      <c r="F23" s="6" t="inlineStr">
        <is>
          <t>1.6%</t>
        </is>
      </c>
      <c r="G23" s="6" t="n"/>
      <c r="H23" s="6" t="n"/>
      <c r="I23" s="6" t="n"/>
      <c r="J23" s="6" t="n"/>
      <c r="K23" s="6" t="n"/>
    </row>
    <row r="24">
      <c r="A24" s="6" t="inlineStr">
        <is>
          <t>NPL ratio (Stage 3 exposure / Total exposure after guarantee)</t>
        </is>
      </c>
      <c r="B24" s="6" t="inlineStr">
        <is>
          <t>3.09%</t>
        </is>
      </c>
      <c r="C24" s="6" t="inlineStr">
        <is>
          <t>3.50%</t>
        </is>
      </c>
      <c r="D24" s="6" t="inlineStr">
        <is>
          <t>3.86%</t>
        </is>
      </c>
      <c r="E24" s="6" t="inlineStr">
        <is>
          <t>2.72%</t>
        </is>
      </c>
      <c r="F24" s="6" t="inlineStr">
        <is>
          <t>3.23%</t>
        </is>
      </c>
      <c r="G24" s="6" t="n"/>
      <c r="H24" s="6" t="n"/>
      <c r="I24" s="6" t="n"/>
      <c r="J24" s="6" t="n"/>
      <c r="K24" s="6" t="n"/>
    </row>
    <row r="26" ht="280" customHeight="1">
      <c r="A26" s="8" t="inlineStr">
        <is>
          <t>Sources - Group basis, 'Lending exposure and impairment provision, by stage and coverage' table:
FY2026: Starling Group Holdings Limited Annual Report and Accounts 2026, p.112 - https://www.starlingbank.com/docs/annual-reports/Starling-Group-Annual-Report-2026.pdf
FY2025 &amp; FY2024: Starling Bank Limited Annual Report and Accounts 2025, p.106 - https://www.starlingbank.com/docs/annual-reports/Starling-Bank-Annual-Report-2025.pdf
FY2023 &amp; FY2022: Starling Bank Limited Annual Report 2023, p.69-70 - https://www.starlingbank.com/docs/annual-reports/Starling-Bank-Annual-Report-2023.pdf
FY2021: not disclosed at this granularity - Starling Bank Limited's Annual Report and Consolidated Financial Statements for the period ended 31 March 2021 does not include a lending-exposure-by-IFRS-9-stage table (this disclosure was introduced from the FY2022 Annual Report onward); only an aggregate impairment-provision-sensitivity figure (£17,256k, Retail + SME + undrawn overdrafts) is disclosed for FY2021, which is not on a comparable 'exposure after guarantee, all products' basis - confirmed non-disclosure at this granularity, not an access gap.
NPL ratio is derived (Stage 3 exposure after guarantee / Total exposure after guarantee); not itself a disclosed figure.
ENTITY NOTE: Starling Bank Limited (Companies House 09092149) is the entity on the PRA register and is used, on a consolidated Group basis, for FY2021-FY2025 - each year's own Annual Report and Consolidated Financial Statements. FY2021 (marked †) is a 16-month period (1 December 2019 - 31 March 2021), Starling's first period reporting to a 31 March year end - not directly run-rate comparable to the other years.
FY2026 (marked ‡, added as a bonus column beyond the standard 5-year window) is different: in June 2025 a new non-trading holding company, Starling Group Holdings Limited (SGHL), was inserted as ultimate parent of Starling Bank Limited (SBL), with an intermediate holding company (SIHL) added in September 2025. From FY2026, SBL's own Companies House filing is presented on an unconsolidated solo/Company basis only (SBL's own wording: 'the Company' = Starling Bank Limited; consolidated 'Group' figures are now published separately as SGHL's own Annual Report). To keep this column comparable to FY2021-FY2025's consolidated basis, FY2026 cash flow figures here are SGHL's consolidated Group figures (from the new SGHL Annual Report), not SBL's own solo filing. The SGHL accounting consolidation for FY2026 additionally includes Murmur Financial Services Limited, Fleet Mortgages Limited and Engine by Starling Limited alongside SBL and its own ancillary undertakings (Starling FS Services Limited, and Ember by Starling Limited, acquired during FY2026) - a broader scope than SBL's own historical Group accounts. Pillar 3 (prudential) figures for FY2026 are on the narrower 'Regulatory Group' basis (SGHL, SIHL, SBL, SFSSL and Ember only - Murmur/Fleet Mortgages/Engine fall below CRR Article 19 materiality thresholds); cross-checking confirms this made no difference to the FY2025 capital figures, so Pillar 3 continuity FY2021-FY2026 is unaffected by the restructuring. FY2020-FY2017 are covered by Starling's official investor archive: FY2020/FY2019 in the 2019-21 report, FY2018 in the 2017-18 report, and FY2017 in the 2016-17 report. Older columns retain blanks where the historical filing used a materially different presentation and no reliable like-for-like line exists.</t>
        </is>
      </c>
    </row>
  </sheetData>
  <mergeCells count="1">
    <mergeCell ref="A26:K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CET1 Capital</t>
        </is>
      </c>
    </row>
    <row r="2">
      <c r="A2" s="2" t="inlineStr">
        <is>
          <t>£'000</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row>
    <row r="4">
      <c r="A4" s="6" t="inlineStr">
        <is>
          <t>Common Equity Tier 1 (CET1) capital</t>
        </is>
      </c>
      <c r="B4" s="6" t="n">
        <v>1123255</v>
      </c>
      <c r="C4" s="6" t="n">
        <v>1000231</v>
      </c>
      <c r="D4" s="6" t="n">
        <v>870769</v>
      </c>
      <c r="E4" s="6" t="n">
        <v>710614</v>
      </c>
      <c r="F4" s="6" t="n">
        <v>397502</v>
      </c>
      <c r="G4" s="6" t="n">
        <v>136769</v>
      </c>
      <c r="H4" s="6" t="n"/>
      <c r="I4" s="6" t="n"/>
      <c r="J4" s="6" t="n"/>
      <c r="K4" s="6" t="n"/>
    </row>
    <row r="6" ht="150" customHeight="1">
      <c r="A6"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6:K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CET1 Ratio</t>
        </is>
      </c>
    </row>
    <row r="2">
      <c r="A2" s="2" t="inlineStr">
        <is>
          <t>% of RWA</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row>
    <row r="4">
      <c r="A4" s="6" t="inlineStr">
        <is>
          <t>Common Equity Tier 1 (CET1) ratio</t>
        </is>
      </c>
      <c r="B4" s="6" t="inlineStr">
        <is>
          <t>28.58%</t>
        </is>
      </c>
      <c r="C4" s="6" t="inlineStr">
        <is>
          <t>31.55%</t>
        </is>
      </c>
      <c r="D4" s="6" t="inlineStr">
        <is>
          <t>32.55%</t>
        </is>
      </c>
      <c r="E4" s="6" t="inlineStr">
        <is>
          <t>37.50%</t>
        </is>
      </c>
      <c r="F4" s="6" t="inlineStr">
        <is>
          <t>39.96%</t>
        </is>
      </c>
      <c r="G4" s="6" t="inlineStr">
        <is>
          <t>47.9%</t>
        </is>
      </c>
      <c r="H4" s="6" t="n"/>
      <c r="I4" s="6" t="n"/>
      <c r="J4" s="6" t="n"/>
      <c r="K4" s="6" t="n"/>
    </row>
    <row r="6" ht="150" customHeight="1">
      <c r="A6"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6:K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Tier 1 Capital</t>
        </is>
      </c>
    </row>
    <row r="2">
      <c r="A2" s="2" t="inlineStr">
        <is>
          <t>£'000</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row>
    <row r="4">
      <c r="A4" s="6" t="inlineStr">
        <is>
          <t>Tier 1 capital</t>
        </is>
      </c>
      <c r="B4" s="6" t="n">
        <v>1123255</v>
      </c>
      <c r="C4" s="6" t="n">
        <v>1000231</v>
      </c>
      <c r="D4" s="6" t="n">
        <v>870769</v>
      </c>
      <c r="E4" s="6" t="n">
        <v>710614</v>
      </c>
      <c r="F4" s="6" t="n">
        <v>397502</v>
      </c>
      <c r="G4" s="6" t="n">
        <v>136769</v>
      </c>
      <c r="H4" s="6" t="n"/>
      <c r="I4" s="6" t="n"/>
      <c r="J4" s="6" t="n"/>
      <c r="K4" s="6" t="n"/>
    </row>
    <row r="5" ht="60" customHeight="1">
      <c r="A5" s="7" t="inlineStr">
        <is>
          <t>Note: Equal to CET1 capital in every year - Starling has never issued Additional Tier 1 or Tier 2 capital ('All of Starling Bank's capital is Common Equity Tier 1 (CET1)' - FY2024 Pillar 3 report).</t>
        </is>
      </c>
    </row>
    <row r="7" ht="150" customHeight="1">
      <c r="A7"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Tier 1 Ratio</t>
        </is>
      </c>
    </row>
    <row r="2">
      <c r="A2" s="2" t="inlineStr">
        <is>
          <t>% of RWA</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row>
    <row r="4">
      <c r="A4" s="6" t="inlineStr">
        <is>
          <t>Tier 1 ratio</t>
        </is>
      </c>
      <c r="B4" s="6" t="inlineStr">
        <is>
          <t>28.58%</t>
        </is>
      </c>
      <c r="C4" s="6" t="inlineStr">
        <is>
          <t>31.55%</t>
        </is>
      </c>
      <c r="D4" s="6" t="inlineStr">
        <is>
          <t>32.55%</t>
        </is>
      </c>
      <c r="E4" s="6" t="inlineStr">
        <is>
          <t>37.50%</t>
        </is>
      </c>
      <c r="F4" s="6" t="inlineStr">
        <is>
          <t>39.96%</t>
        </is>
      </c>
      <c r="G4" s="6" t="inlineStr">
        <is>
          <t>47.9%</t>
        </is>
      </c>
      <c r="H4" s="6" t="n"/>
      <c r="I4" s="6" t="n"/>
      <c r="J4" s="6" t="n"/>
      <c r="K4" s="6" t="n"/>
    </row>
    <row r="6" ht="150" customHeight="1">
      <c r="A6"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6:K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Total Capital</t>
        </is>
      </c>
    </row>
    <row r="2">
      <c r="A2" s="2" t="inlineStr">
        <is>
          <t>£'000</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row>
    <row r="4">
      <c r="A4" s="6" t="inlineStr">
        <is>
          <t>Total capital</t>
        </is>
      </c>
      <c r="B4" s="6" t="n">
        <v>1123255</v>
      </c>
      <c r="C4" s="6" t="n">
        <v>1000231</v>
      </c>
      <c r="D4" s="6" t="n">
        <v>870769</v>
      </c>
      <c r="E4" s="6" t="n">
        <v>710614</v>
      </c>
      <c r="F4" s="6" t="n">
        <v>397502</v>
      </c>
      <c r="G4" s="6" t="n">
        <v>136769</v>
      </c>
      <c r="H4" s="6" t="n"/>
      <c r="I4" s="6" t="n"/>
      <c r="J4" s="6" t="n"/>
      <c r="K4" s="6" t="n"/>
    </row>
    <row r="6" ht="150" customHeight="1">
      <c r="A6"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6:K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Total Capital Ratio</t>
        </is>
      </c>
    </row>
    <row r="2">
      <c r="A2" s="2" t="inlineStr">
        <is>
          <t>% of RWA</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row>
    <row r="4">
      <c r="A4" s="6" t="inlineStr">
        <is>
          <t>Total capital ratio</t>
        </is>
      </c>
      <c r="B4" s="6" t="inlineStr">
        <is>
          <t>28.58%</t>
        </is>
      </c>
      <c r="C4" s="6" t="inlineStr">
        <is>
          <t>31.55%</t>
        </is>
      </c>
      <c r="D4" s="6" t="inlineStr">
        <is>
          <t>32.55%</t>
        </is>
      </c>
      <c r="E4" s="6" t="inlineStr">
        <is>
          <t>37.50%</t>
        </is>
      </c>
      <c r="F4" s="6" t="inlineStr">
        <is>
          <t>39.96%</t>
        </is>
      </c>
      <c r="G4" s="6" t="inlineStr">
        <is>
          <t>47.9%</t>
        </is>
      </c>
      <c r="H4" s="6" t="n"/>
      <c r="I4" s="6" t="n"/>
      <c r="J4" s="6" t="n"/>
      <c r="K4" s="6" t="n"/>
    </row>
    <row r="6" ht="150" customHeight="1">
      <c r="A6"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6:K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Total RWAs</t>
        </is>
      </c>
    </row>
    <row r="2">
      <c r="A2" s="2" t="inlineStr">
        <is>
          <t>£'000</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row>
    <row r="4">
      <c r="A4" s="6" t="inlineStr">
        <is>
          <t>Total risk-weighted exposure amount</t>
        </is>
      </c>
      <c r="B4" s="6" t="n">
        <v>3930308</v>
      </c>
      <c r="C4" s="6" t="n">
        <v>3170032</v>
      </c>
      <c r="D4" s="6" t="n">
        <v>2675477</v>
      </c>
      <c r="E4" s="6" t="n">
        <v>1894758</v>
      </c>
      <c r="F4" s="6" t="n">
        <v>994828</v>
      </c>
      <c r="G4" s="6" t="n">
        <v>285689</v>
      </c>
      <c r="H4" s="6" t="n"/>
      <c r="I4" s="6" t="n"/>
      <c r="J4" s="6" t="n"/>
      <c r="K4" s="6" t="n"/>
    </row>
    <row r="6" ht="150" customHeight="1">
      <c r="A6"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6:K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RWA Breakdown</t>
        </is>
      </c>
    </row>
    <row r="2">
      <c r="A2" s="2" t="inlineStr">
        <is>
          <t>Group/consolidated basis for FY2026 (Regulatory Group - see entity note), Bank basis FY2021-FY2025, £'000. The 'Memo' row is already included within Credit risk and must NOT be added when summing to Total RWAs (per the source template's own footnote) - the other categories sum exactly to Total RWAs.</t>
        </is>
      </c>
    </row>
    <row r="3">
      <c r="A3" s="4" t="inlineStr">
        <is>
          <t>Line item</t>
        </is>
      </c>
      <c r="B3" s="4" t="inlineStr">
        <is>
          <t>FY2026 (SGHL)‡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c r="K3" s="4" t="inlineStr">
        <is>
          <t>FY2017 (£'000)</t>
        </is>
      </c>
    </row>
    <row r="4">
      <c r="A4" s="5" t="inlineStr">
        <is>
          <t>RWA by risk category (Pillar 3 UK OV1 template; FY2021 uses an older CRR-era 4-category structure - see source note)</t>
        </is>
      </c>
      <c r="B4" s="6" t="n"/>
      <c r="C4" s="6" t="n"/>
      <c r="D4" s="6" t="n"/>
      <c r="E4" s="6" t="n"/>
      <c r="F4" s="6" t="n"/>
      <c r="G4" s="6" t="n"/>
      <c r="H4" s="6" t="n"/>
      <c r="I4" s="6" t="n"/>
      <c r="J4" s="6" t="n"/>
      <c r="K4" s="6" t="n"/>
    </row>
    <row r="5">
      <c r="A5" s="6" t="inlineStr">
        <is>
          <t>Credit risk (excluding counterparty credit risk)</t>
        </is>
      </c>
      <c r="B5" s="6" t="n">
        <v>2471912</v>
      </c>
      <c r="C5" s="6" t="n">
        <v>1987150</v>
      </c>
      <c r="D5" s="6" t="n">
        <v>1840844</v>
      </c>
      <c r="E5" s="6" t="n">
        <v>1689562</v>
      </c>
      <c r="F5" s="6" t="n">
        <v>835048</v>
      </c>
      <c r="G5" s="6" t="n">
        <v>227167</v>
      </c>
      <c r="H5" s="6" t="n"/>
      <c r="I5" s="6" t="n"/>
      <c r="J5" s="6" t="n"/>
      <c r="K5" s="6" t="n"/>
    </row>
    <row r="6">
      <c r="A6" s="6" t="inlineStr">
        <is>
          <t>Counterparty credit risk (CCR)</t>
        </is>
      </c>
      <c r="B6" s="6" t="n">
        <v>3283</v>
      </c>
      <c r="C6" s="6" t="n">
        <v>4723</v>
      </c>
      <c r="D6" s="6" t="n">
        <v>4499</v>
      </c>
      <c r="E6" s="6" t="n">
        <v>46355</v>
      </c>
      <c r="F6" s="6" t="n">
        <v>92241</v>
      </c>
      <c r="G6" s="6" t="n">
        <v>13498</v>
      </c>
      <c r="H6" s="6" t="n"/>
      <c r="I6" s="6" t="n"/>
      <c r="J6" s="6" t="n"/>
      <c r="K6" s="6" t="n"/>
    </row>
    <row r="7">
      <c r="A7" s="6" t="inlineStr">
        <is>
          <t>Credit valuation adjustment (CVA) (FY2021: shown as a separate line, not within CCR)</t>
        </is>
      </c>
      <c r="B7" s="6" t="n"/>
      <c r="C7" s="6" t="n"/>
      <c r="D7" s="6" t="n"/>
      <c r="E7" s="6" t="n"/>
      <c r="F7" s="6" t="n"/>
      <c r="G7" s="6" t="n">
        <v>19949</v>
      </c>
      <c r="H7" s="6" t="n"/>
      <c r="I7" s="6" t="n"/>
      <c r="J7" s="6" t="n"/>
      <c r="K7" s="6" t="n"/>
    </row>
    <row r="8">
      <c r="A8" s="6" t="inlineStr">
        <is>
          <t>Securitisation exposures in the non-trading book</t>
        </is>
      </c>
      <c r="B8" s="6" t="n">
        <v>231185</v>
      </c>
      <c r="C8" s="6" t="n">
        <v>105727</v>
      </c>
      <c r="D8" s="6" t="n">
        <v>80923</v>
      </c>
      <c r="E8" s="6" t="n">
        <v>4805</v>
      </c>
      <c r="F8" s="6" t="n">
        <v>1166</v>
      </c>
      <c r="G8" s="6" t="n"/>
      <c r="H8" s="6" t="n"/>
      <c r="I8" s="6" t="n"/>
      <c r="J8" s="6" t="n"/>
      <c r="K8" s="6" t="n"/>
    </row>
    <row r="9">
      <c r="A9" s="6" t="inlineStr">
        <is>
          <t>Market risk (FY2021: de minimis, none shown per Article 351 CRR)</t>
        </is>
      </c>
      <c r="B9" s="6" t="n"/>
      <c r="C9" s="6" t="n"/>
      <c r="D9" s="6" t="n"/>
      <c r="E9" s="6" t="n"/>
      <c r="F9" s="6" t="n"/>
      <c r="G9" s="6" t="n">
        <v>0</v>
      </c>
      <c r="H9" s="6" t="n"/>
      <c r="I9" s="6" t="n"/>
      <c r="J9" s="6" t="n"/>
      <c r="K9" s="6" t="n"/>
    </row>
    <row r="10">
      <c r="A10" s="6" t="inlineStr">
        <is>
          <t>Operational risk</t>
        </is>
      </c>
      <c r="B10" s="6" t="n">
        <v>1223928</v>
      </c>
      <c r="C10" s="6" t="n">
        <v>1072432</v>
      </c>
      <c r="D10" s="6" t="n">
        <v>749211</v>
      </c>
      <c r="E10" s="6" t="n">
        <v>154036</v>
      </c>
      <c r="F10" s="6" t="n">
        <v>66372</v>
      </c>
      <c r="G10" s="6" t="n">
        <v>25075</v>
      </c>
      <c r="H10" s="6" t="n"/>
      <c r="I10" s="6" t="n"/>
      <c r="J10" s="6" t="n"/>
      <c r="K10" s="6" t="n"/>
    </row>
    <row r="11">
      <c r="A11" s="6" t="inlineStr">
        <is>
          <t>Memo: amounts below thresholds for deduction (250% risk-weight; already included in Credit risk above, not additive)</t>
        </is>
      </c>
      <c r="B11" s="6" t="n">
        <v>125427</v>
      </c>
      <c r="C11" s="6" t="n">
        <v>125427</v>
      </c>
      <c r="D11" s="6" t="n">
        <v>125427</v>
      </c>
      <c r="E11" s="6" t="n">
        <v>125427</v>
      </c>
      <c r="F11" s="6" t="n">
        <v>98731</v>
      </c>
      <c r="G11" s="6" t="n"/>
      <c r="H11" s="6" t="n"/>
      <c r="I11" s="6" t="n"/>
      <c r="J11" s="6" t="n"/>
      <c r="K11" s="6" t="n"/>
    </row>
    <row r="12">
      <c r="A12" s="5" t="inlineStr">
        <is>
          <t>Total RWAs</t>
        </is>
      </c>
      <c r="B12" s="5" t="n">
        <v>3930308</v>
      </c>
      <c r="C12" s="5" t="n">
        <v>3170032</v>
      </c>
      <c r="D12" s="5" t="n">
        <v>2675477</v>
      </c>
      <c r="E12" s="5" t="n">
        <v>1894758</v>
      </c>
      <c r="F12" s="5" t="n">
        <v>994828</v>
      </c>
      <c r="G12" s="5" t="n">
        <v>285689</v>
      </c>
      <c r="H12" s="5" t="n"/>
      <c r="I12" s="5" t="n"/>
      <c r="J12" s="5" t="n"/>
      <c r="K12" s="5" t="n"/>
    </row>
    <row r="14" ht="250" customHeight="1">
      <c r="A14"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
RWA breakdown table specifically ('Overview of risk weighted exposure amounts' / '4.2'):
FY2026: p.24 - https://www.starlingbank.com/docs/annual-reports/Pillar3-2026.pdf
FY2025 &amp; FY2024: p.24 - https://www.starlingbank.com/docs/annual-reports/Pillar3-2025.pdf
FY2023 &amp; FY2022: p.21 - https://www.starlingbank.com/docs/annual-reports/Pillar3-2023.pdf
FY2021: 5.1 Risk Weighted Exposure Amounts, p.23 (older 4-category CRR-era structure: Credit Risk, Counterparty Credit Risk, Credit Valuation Adjustment shown separately from CCR, Market Risk, Operational Risk - no Securitisation line disclosed that year) - https://www.starlingbank.com/docs/annual-reports/Pillar3-2021.pdf</t>
        </is>
      </c>
    </row>
  </sheetData>
  <mergeCells count="1">
    <mergeCell ref="A14:K14"/>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Leverage Ratio</t>
        </is>
      </c>
    </row>
    <row r="2">
      <c r="A2" s="2" t="inlineStr">
        <is>
          <t>£'000 / %</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row>
    <row r="4">
      <c r="A4" s="6" t="inlineStr">
        <is>
          <t>Total exposure measure excluding claims on central banks</t>
        </is>
      </c>
      <c r="B4" s="6" t="n">
        <v>12608384</v>
      </c>
      <c r="C4" s="6" t="n">
        <v>8976790</v>
      </c>
      <c r="D4" s="6" t="n">
        <v>8383435</v>
      </c>
      <c r="E4" s="6" t="n">
        <v>7641617</v>
      </c>
      <c r="F4" s="6" t="n">
        <v>5063481</v>
      </c>
      <c r="G4" s="6" t="n"/>
      <c r="H4" s="6" t="n"/>
      <c r="I4" s="6" t="n"/>
      <c r="J4" s="6" t="n"/>
      <c r="K4" s="6" t="n"/>
    </row>
    <row r="5">
      <c r="A5" s="6" t="inlineStr">
        <is>
          <t>Leverage ratio excluding claims on central banks / UK leverage ratio (%)</t>
        </is>
      </c>
      <c r="B5" s="6" t="inlineStr">
        <is>
          <t>8.91%</t>
        </is>
      </c>
      <c r="C5" s="6" t="inlineStr">
        <is>
          <t>11.14%</t>
        </is>
      </c>
      <c r="D5" s="6" t="inlineStr">
        <is>
          <t>10.39%</t>
        </is>
      </c>
      <c r="E5" s="6" t="inlineStr">
        <is>
          <t>9.30%</t>
        </is>
      </c>
      <c r="F5" s="6" t="inlineStr">
        <is>
          <t>7.85%</t>
        </is>
      </c>
      <c r="G5" s="6" t="inlineStr">
        <is>
          <t>5.4%</t>
        </is>
      </c>
      <c r="H5" s="6" t="n"/>
      <c r="I5" s="6" t="n"/>
      <c r="J5" s="6" t="n"/>
      <c r="K5" s="6" t="n"/>
    </row>
    <row r="6">
      <c r="A6" s="6" t="inlineStr">
        <is>
          <t>Leverage ratio including claims on central banks / CRR (EU) leverage ratio (%) (FY2021 only, pre-KM1 template)</t>
        </is>
      </c>
      <c r="B6" s="6" t="n"/>
      <c r="C6" s="6" t="n"/>
      <c r="D6" s="6" t="n"/>
      <c r="E6" s="6" t="n"/>
      <c r="F6" s="6" t="n"/>
      <c r="G6" s="6" t="inlineStr">
        <is>
          <t>1.9%</t>
        </is>
      </c>
      <c r="H6" s="6" t="n"/>
      <c r="I6" s="6" t="n"/>
      <c r="J6" s="6" t="n"/>
      <c r="K6" s="6" t="n"/>
    </row>
    <row r="7" ht="60" customHeight="1">
      <c r="A7" s="7" t="inlineStr">
        <is>
          <t>Note: FY2021 predates the formal KM1 template and did not disclose a £ exposure measure, only two ratios: a 'UK leverage ratio' (excluding central bank exposures, matching the 'excluding claims on central banks' basis used from FY2022 onward) and a 'CRR (EU) leverage ratio' (including them). Starling noted it was 'not subject to the PRA Handbook's (UK) leverage ratio' at the time, i.e. this was disclosed voluntarily rather than as a binding requirement in FY2021.</t>
        </is>
      </c>
    </row>
    <row r="9" ht="150" customHeight="1">
      <c r="A9"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2">
    <mergeCell ref="A7:K7"/>
    <mergeCell ref="A9:K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LCR</t>
        </is>
      </c>
    </row>
    <row r="2">
      <c r="A2" s="2" t="inlineStr">
        <is>
          <t>£'000 / %</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row>
    <row r="4">
      <c r="A4" s="6" t="inlineStr">
        <is>
          <t>Total high-quality liquid assets (HQLA) (average weighted value)</t>
        </is>
      </c>
      <c r="B4" s="6" t="n">
        <v>7038393</v>
      </c>
      <c r="C4" s="6" t="n">
        <v>6812037</v>
      </c>
      <c r="D4" s="6" t="n">
        <v>6510731</v>
      </c>
      <c r="E4" s="6" t="n">
        <v>6413925</v>
      </c>
      <c r="F4" s="6" t="n">
        <v>5128346</v>
      </c>
      <c r="G4" s="6" t="n">
        <v>3410070</v>
      </c>
      <c r="H4" s="6" t="n"/>
      <c r="I4" s="6" t="n"/>
      <c r="J4" s="6" t="n"/>
      <c r="K4" s="6" t="n"/>
    </row>
    <row r="5">
      <c r="A5" s="6" t="inlineStr">
        <is>
          <t>Cash outflows (total weighted value)</t>
        </is>
      </c>
      <c r="B5" s="6" t="n">
        <v>1326072</v>
      </c>
      <c r="C5" s="6" t="n">
        <v>1477094</v>
      </c>
      <c r="D5" s="6" t="n">
        <v>1891560</v>
      </c>
      <c r="E5" s="6" t="n">
        <v>1711200</v>
      </c>
      <c r="F5" s="6" t="n">
        <v>1211430</v>
      </c>
      <c r="G5" s="6" t="n"/>
      <c r="H5" s="6" t="n"/>
      <c r="I5" s="6" t="n"/>
      <c r="J5" s="6" t="n"/>
      <c r="K5" s="6" t="n"/>
    </row>
    <row r="6">
      <c r="A6" s="6" t="inlineStr">
        <is>
          <t>Cash inflows (total weighted value)</t>
        </is>
      </c>
      <c r="B6" s="6" t="n">
        <v>89112</v>
      </c>
      <c r="C6" s="6" t="n">
        <v>156237</v>
      </c>
      <c r="D6" s="6" t="n">
        <v>446533</v>
      </c>
      <c r="E6" s="6" t="n">
        <v>311926</v>
      </c>
      <c r="F6" s="6" t="n">
        <v>209396</v>
      </c>
      <c r="G6" s="6" t="n"/>
      <c r="H6" s="6" t="n"/>
      <c r="I6" s="6" t="n"/>
      <c r="J6" s="6" t="n"/>
      <c r="K6" s="6" t="n"/>
    </row>
    <row r="7">
      <c r="A7" s="6" t="inlineStr">
        <is>
          <t>Total net cash outflows (adjusted value)</t>
        </is>
      </c>
      <c r="B7" s="6" t="n">
        <v>1236960</v>
      </c>
      <c r="C7" s="6" t="n">
        <v>1320857</v>
      </c>
      <c r="D7" s="6" t="n">
        <v>1445027</v>
      </c>
      <c r="E7" s="6" t="n">
        <v>1399274</v>
      </c>
      <c r="F7" s="6" t="n">
        <v>1002034</v>
      </c>
      <c r="G7" s="6" t="n">
        <v>674460</v>
      </c>
      <c r="H7" s="6" t="n"/>
      <c r="I7" s="6" t="n"/>
      <c r="J7" s="6" t="n"/>
      <c r="K7" s="6" t="n"/>
    </row>
    <row r="8">
      <c r="A8" s="6" t="inlineStr">
        <is>
          <t>Liquidity Coverage Ratio (%)</t>
        </is>
      </c>
      <c r="B8" s="6" t="inlineStr">
        <is>
          <t>569.01%</t>
        </is>
      </c>
      <c r="C8" s="6" t="inlineStr">
        <is>
          <t>515.73%</t>
        </is>
      </c>
      <c r="D8" s="6" t="inlineStr">
        <is>
          <t>450.56%</t>
        </is>
      </c>
      <c r="E8" s="6" t="inlineStr">
        <is>
          <t>460%</t>
        </is>
      </c>
      <c r="F8" s="6" t="inlineStr">
        <is>
          <t>515%</t>
        </is>
      </c>
      <c r="G8" s="6" t="inlineStr">
        <is>
          <t>506%</t>
        </is>
      </c>
      <c r="H8" s="6" t="n"/>
      <c r="I8" s="6" t="n"/>
      <c r="J8" s="6" t="n"/>
      <c r="K8" s="6" t="n"/>
    </row>
    <row r="9" ht="60" customHeight="1">
      <c r="A9" s="7" t="inlineStr">
        <is>
          <t>Note: FY2021 disclosed only Total HQLA and Total Net Cash Outflow (no separate cash inflow/outflow split) - predates the formal KM1 template. LCR/NSFR are averages over the year in every year shown.</t>
        </is>
      </c>
    </row>
    <row r="11" ht="150" customHeight="1">
      <c r="A11"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2">
    <mergeCell ref="A11:K11"/>
    <mergeCell ref="A9:K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NSFR</t>
        </is>
      </c>
    </row>
    <row r="2">
      <c r="A2" s="2" t="inlineStr">
        <is>
          <t>£'000 / %</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row>
    <row r="4">
      <c r="A4" s="6" t="inlineStr">
        <is>
          <t>Total available stable funding</t>
        </is>
      </c>
      <c r="B4" s="6" t="n">
        <v>14206855</v>
      </c>
      <c r="C4" s="6" t="n">
        <v>13448876</v>
      </c>
      <c r="D4" s="6" t="n">
        <v>12578157</v>
      </c>
      <c r="E4" s="6" t="n">
        <v>11944952</v>
      </c>
      <c r="F4" s="6" t="n">
        <v>10660584</v>
      </c>
      <c r="G4" s="6" t="n">
        <v>6366591</v>
      </c>
      <c r="H4" s="6" t="n"/>
      <c r="I4" s="6" t="n"/>
      <c r="J4" s="6" t="n"/>
      <c r="K4" s="6" t="n"/>
    </row>
    <row r="5">
      <c r="A5" s="6" t="inlineStr">
        <is>
          <t>Total required stable funding</t>
        </is>
      </c>
      <c r="B5" s="6" t="n">
        <v>5754691</v>
      </c>
      <c r="C5" s="6" t="n">
        <v>5555204</v>
      </c>
      <c r="D5" s="6" t="n">
        <v>5646537</v>
      </c>
      <c r="E5" s="6" t="n">
        <v>4870012</v>
      </c>
      <c r="F5" s="6" t="n">
        <v>4088546</v>
      </c>
      <c r="G5" s="6" t="n">
        <v>2127872</v>
      </c>
      <c r="H5" s="6" t="n"/>
      <c r="I5" s="6" t="n"/>
      <c r="J5" s="6" t="n"/>
      <c r="K5" s="6" t="n"/>
    </row>
    <row r="6">
      <c r="A6" s="6" t="inlineStr">
        <is>
          <t>Net Stable Funding Ratio (%)</t>
        </is>
      </c>
      <c r="B6" s="6" t="inlineStr">
        <is>
          <t>246.87%</t>
        </is>
      </c>
      <c r="C6" s="6" t="inlineStr">
        <is>
          <t>242.10%</t>
        </is>
      </c>
      <c r="D6" s="6" t="inlineStr">
        <is>
          <t>222.76%</t>
        </is>
      </c>
      <c r="E6" s="6" t="inlineStr">
        <is>
          <t>245%</t>
        </is>
      </c>
      <c r="F6" s="6" t="inlineStr">
        <is>
          <t>261%</t>
        </is>
      </c>
      <c r="G6" s="6" t="inlineStr">
        <is>
          <t>299%</t>
        </is>
      </c>
      <c r="H6" s="6" t="n"/>
      <c r="I6" s="6" t="n"/>
      <c r="J6" s="6" t="n"/>
      <c r="K6" s="6" t="n"/>
    </row>
    <row r="8" ht="150" customHeight="1">
      <c r="A8"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8:K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MREL Ratio</t>
        </is>
      </c>
    </row>
    <row r="2">
      <c r="A2" s="2" t="inlineStr"/>
    </row>
    <row r="3">
      <c r="A3" s="4" t="inlineStr">
        <is>
          <t>Metric</t>
        </is>
      </c>
      <c r="B3" s="4" t="inlineStr">
        <is>
          <t>FY2026 (SGHL)‡</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row>
    <row r="4">
      <c r="A4" s="6" t="inlineStr">
        <is>
          <t>MREL ratio</t>
        </is>
      </c>
      <c r="B4" s="6" t="inlineStr">
        <is>
          <t>Not disclosed (no numeric ratio published)</t>
        </is>
      </c>
      <c r="C4" s="6" t="inlineStr">
        <is>
          <t>Not disclosed (no numeric ratio published)</t>
        </is>
      </c>
      <c r="D4" s="6" t="inlineStr">
        <is>
          <t>Not disclosed (no numeric ratio published)</t>
        </is>
      </c>
      <c r="E4" s="6" t="inlineStr">
        <is>
          <t>Not disclosed (no numeric ratio published)</t>
        </is>
      </c>
      <c r="F4" s="6" t="inlineStr">
        <is>
          <t>Not disclosed (no numeric ratio published)</t>
        </is>
      </c>
      <c r="G4" s="6" t="inlineStr">
        <is>
          <t>Not disclosed (no numeric ratio published)</t>
        </is>
      </c>
      <c r="H4" s="6" t="inlineStr">
        <is>
          <t>Not disclosed (no numeric ratio published)</t>
        </is>
      </c>
      <c r="I4" s="6" t="inlineStr">
        <is>
          <t>Not disclosed (no numeric ratio published)</t>
        </is>
      </c>
      <c r="J4" s="6" t="inlineStr">
        <is>
          <t>Not disclosed (no numeric ratio published)</t>
        </is>
      </c>
      <c r="K4" s="6" t="inlineStr">
        <is>
          <t>Not disclosed (no numeric ratio published)</t>
        </is>
      </c>
    </row>
    <row r="5" ht="60" customHeight="1">
      <c r="A5" s="7" t="inlineStr">
        <is>
          <t>Note: MREL became applicable to Starling from April 2023 (previously not applicable, as for a small institution). From then, Starling states its capital is maintained 'above MREL requirements plus buffers at all times' but has never published a numeric MREL ratio or resources figure in any Pillar 3 report reviewed, FY2021-FY2026 - only this qualitative statement.</t>
        </is>
      </c>
    </row>
    <row r="7" ht="150" customHeight="1">
      <c r="A7"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2026-09-07T16:54:35Z</dcterms:created>
  <dcterms:modified xmlns:dcterms="http://purl.org/dc/terms/" xmlns:xsi="http://www.w3.org/2001/XMLSchema-instance" xsi:type="dcterms:W3CDTF">2026-09-07T16:54:35Z</dcterms:modified>
</cp:coreProperties>
</file>