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2C91"/>
        <bgColor rgb="006B2C9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Starling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a:prstDash val="solid"/>
            </a:ln>
          </spPr>
          <cat>
            <numRef>
              <f>'Overview'!$K$5:$P$5</f>
            </numRef>
          </cat>
          <val>
            <numRef>
              <f>'Overview'!$K$6:$P$6</f>
            </numRef>
          </val>
        </ser>
        <ser>
          <idx val="1"/>
          <order val="1"/>
          <tx>
            <strRef>
              <f>'Overview'!J7</f>
            </strRef>
          </tx>
          <spPr>
            <a:ln>
              <a:prstDash val="solid"/>
            </a:ln>
          </spPr>
          <cat>
            <numRef>
              <f>'Overview'!$K$5:$P$5</f>
            </numRef>
          </cat>
          <val>
            <numRef>
              <f>'Overview'!$K$7:$P$7</f>
            </numRef>
          </val>
        </ser>
        <ser>
          <idx val="2"/>
          <order val="2"/>
          <tx>
            <strRef>
              <f>'Overview'!J8</f>
            </strRef>
          </tx>
          <spPr>
            <a:ln>
              <a:prstDash val="solid"/>
            </a:ln>
          </spPr>
          <cat>
            <numRef>
              <f>'Overview'!$K$5:$P$5</f>
            </numRef>
          </cat>
          <val>
            <numRef>
              <f>'Overview'!$K$8:$P$8</f>
            </numRef>
          </val>
        </ser>
        <ser>
          <idx val="3"/>
          <order val="3"/>
          <tx>
            <strRef>
              <f>'Overview'!J9</f>
            </strRef>
          </tx>
          <spPr>
            <a:l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Starling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'Overview'!S6</f>
            </strRef>
          </tx>
          <spPr>
            <a:ln>
              <a:prstDash val="solid"/>
            </a:ln>
          </spPr>
          <marker>
            <symbol val="none"/>
            <spPr>
              <a:ln>
                <a:prstDash val="solid"/>
              </a:ln>
            </spPr>
          </marker>
          <cat>
            <numRef>
              <f>'Overview'!$T$5:$Y$5</f>
            </numRef>
          </cat>
          <val>
            <numRef>
              <f>'Overview'!$T$6:$Y$6</f>
            </numRef>
          </val>
          <smooth val="0"/>
        </ser>
        <ser>
          <idx val="1"/>
          <order val="1"/>
          <tx>
            <strRef>
              <f>'Overview'!S7</f>
            </strRef>
          </tx>
          <spPr>
            <a:ln>
              <a:prstDash val="solid"/>
            </a:ln>
          </spPr>
          <marker>
            <symbol val="none"/>
            <spPr>
              <a:ln>
                <a:prstDash val="solid"/>
              </a:ln>
            </spPr>
          </marker>
          <cat>
            <numRef>
              <f>'Overview'!$T$5:$Y$5</f>
            </numRef>
          </cat>
          <val>
            <numRef>
              <f>'Overview'!$T$7:$Y$7</f>
            </numRef>
          </val>
          <smooth val="0"/>
        </ser>
        <ser>
          <idx val="2"/>
          <order val="2"/>
          <tx>
            <strRef>
              <f>'Overview'!S8</f>
            </strRef>
          </tx>
          <spPr>
            <a:ln>
              <a:prstDash val="solid"/>
            </a:ln>
          </spPr>
          <marker>
            <symbol val="none"/>
            <spPr>
              <a:ln>
                <a:prstDash val="solid"/>
              </a:ln>
            </spPr>
          </marker>
          <cat>
            <numRef>
              <f>'Overview'!$T$5:$Y$5</f>
            </numRef>
          </cat>
          <val>
            <numRef>
              <f>'Overview'!$T$8:$Y$8</f>
            </numRef>
          </val>
          <smooth val="0"/>
        </ser>
        <ser>
          <idx val="3"/>
          <order val="3"/>
          <tx>
            <strRef>
              <f>'Overview'!S9</f>
            </strRef>
          </tx>
          <spPr>
            <a:ln>
              <a:prstDash val="solid"/>
            </a:ln>
          </spPr>
          <marker>
            <symbol val="none"/>
            <spPr>
              <a:ln>
                <a:prstDash val="solid"/>
              </a:ln>
            </spPr>
          </marker>
          <cat>
            <numRef>
              <f>'Overview'!$T$5:$Y$5</f>
            </numRef>
          </cat>
          <val>
            <numRef>
              <f>'Overview'!$T$9:$Y$9</f>
            </numRef>
          </val>
          <smooth val="0"/>
        </ser>
        <ser>
          <idx val="4"/>
          <order val="4"/>
          <tx>
            <strRef>
              <f>'Overview'!S10</f>
            </strRef>
          </tx>
          <spPr>
            <a:ln>
              <a:prstDash val="solid"/>
            </a:ln>
          </spPr>
          <marker>
            <symbol val="none"/>
            <spPr>
              <a:ln>
                <a:prstDash val="solid"/>
              </a:ln>
            </spPr>
          </marker>
          <cat>
            <numRef>
              <f>'Overview'!$T$5:$Y$5</f>
            </numRef>
          </cat>
          <val>
            <numRef>
              <f>'Overview'!$T$10:$Y$10</f>
            </numRef>
          </val>
          <smooth val="0"/>
        </ser>
        <ser>
          <idx val="5"/>
          <order val="5"/>
          <tx>
            <strRef>
              <f>'Overview'!S11</f>
            </strRef>
          </tx>
          <spPr>
            <a:ln>
              <a:prstDash val="solid"/>
            </a:ln>
          </spPr>
          <marker>
            <symbol val="none"/>
            <spPr>
              <a:ln>
                <a:prstDash val="solid"/>
              </a:ln>
            </spPr>
          </marker>
          <cat>
            <numRef>
              <f>'Overview'!$T$5:$Y$5</f>
            </numRef>
          </cat>
          <val>
            <numRef>
              <f>'Overview'!$T$11:$Y$11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Y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s>
  <sheetData>
    <row r="1">
      <c r="A1" s="1" t="inlineStr">
        <is>
          <t>Starling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FY2026 (SGHL)‡</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 (SGHL)‡</t>
        </is>
      </c>
      <c r="T5" t="inlineStr">
        <is>
          <t>FY2021†</t>
        </is>
      </c>
      <c r="U5" t="inlineStr">
        <is>
          <t>FY2022</t>
        </is>
      </c>
      <c r="V5" t="inlineStr">
        <is>
          <t>FY2023</t>
        </is>
      </c>
      <c r="W5" t="inlineStr">
        <is>
          <t>FY2024</t>
        </is>
      </c>
      <c r="X5" t="inlineStr">
        <is>
          <t>FY2025</t>
        </is>
      </c>
      <c r="Y5" t="inlineStr">
        <is>
          <t>FY2026 (SGHL)‡</t>
        </is>
      </c>
    </row>
    <row r="6">
      <c r="A6" s="5" t="inlineStr">
        <is>
          <t>Net cash flows from operating activities</t>
        </is>
      </c>
      <c r="B6" s="5" t="n">
        <v>183334</v>
      </c>
      <c r="C6" s="5" t="n">
        <v>1016373</v>
      </c>
      <c r="D6" s="5" t="n">
        <v>1290259</v>
      </c>
      <c r="E6" s="5" t="n">
        <v>80602</v>
      </c>
      <c r="F6" s="5" t="n">
        <v>3535459</v>
      </c>
      <c r="G6" s="5" t="n">
        <v>3530940</v>
      </c>
      <c r="J6" t="inlineStr">
        <is>
          <t>Net cash flows from operating activities</t>
        </is>
      </c>
      <c r="K6" t="n">
        <v>3530940</v>
      </c>
      <c r="L6" t="n">
        <v>3535459</v>
      </c>
      <c r="M6" t="n">
        <v>80602</v>
      </c>
      <c r="N6" t="n">
        <v>1290259</v>
      </c>
      <c r="O6" t="n">
        <v>1016373</v>
      </c>
      <c r="P6" t="n">
        <v>183334</v>
      </c>
      <c r="S6" t="inlineStr">
        <is>
          <t>CET1 Ratio</t>
        </is>
      </c>
      <c r="T6" t="n">
        <v>47.9</v>
      </c>
      <c r="U6" t="n">
        <v>39.96</v>
      </c>
      <c r="V6" t="n">
        <v>37.5</v>
      </c>
      <c r="W6" t="n">
        <v>32.55</v>
      </c>
      <c r="X6" t="n">
        <v>31.55</v>
      </c>
      <c r="Y6" t="n">
        <v>28.58</v>
      </c>
    </row>
    <row r="7">
      <c r="A7" s="5" t="inlineStr">
        <is>
          <t>Net cash flows from investing activities</t>
        </is>
      </c>
      <c r="B7" s="5" t="n">
        <v>-2971053</v>
      </c>
      <c r="C7" s="5" t="n">
        <v>-703480</v>
      </c>
      <c r="D7" s="5" t="n">
        <v>-876839</v>
      </c>
      <c r="E7" s="5" t="n">
        <v>-192075</v>
      </c>
      <c r="F7" s="5" t="n">
        <v>-879270</v>
      </c>
      <c r="G7" s="5" t="n">
        <v>-1191134</v>
      </c>
      <c r="J7" t="inlineStr">
        <is>
          <t>Net cash flows from investing activities</t>
        </is>
      </c>
      <c r="K7" t="n">
        <v>-1191134</v>
      </c>
      <c r="L7" t="n">
        <v>-879270</v>
      </c>
      <c r="M7" t="n">
        <v>-192075</v>
      </c>
      <c r="N7" t="n">
        <v>-876839</v>
      </c>
      <c r="O7" t="n">
        <v>-703480</v>
      </c>
      <c r="P7" t="n">
        <v>-2971053</v>
      </c>
      <c r="S7" t="inlineStr">
        <is>
          <t>Tier 1 Ratio</t>
        </is>
      </c>
      <c r="T7" t="n">
        <v>47.9</v>
      </c>
      <c r="U7" t="n">
        <v>39.96</v>
      </c>
      <c r="V7" t="n">
        <v>37.5</v>
      </c>
      <c r="W7" t="n">
        <v>32.55</v>
      </c>
      <c r="X7" t="n">
        <v>31.55</v>
      </c>
      <c r="Y7" t="n">
        <v>28.58</v>
      </c>
    </row>
    <row r="8">
      <c r="A8" s="5" t="inlineStr">
        <is>
          <t>Net cash flows from financing activities</t>
        </is>
      </c>
      <c r="B8" s="5" t="n">
        <v>295880</v>
      </c>
      <c r="C8" s="5" t="n">
        <v>-52710</v>
      </c>
      <c r="D8" s="5" t="n">
        <v>-58516</v>
      </c>
      <c r="E8" s="5" t="n">
        <v>130432</v>
      </c>
      <c r="F8" s="5" t="n">
        <v>238220</v>
      </c>
      <c r="G8" s="5" t="n">
        <v>91838</v>
      </c>
      <c r="J8" t="inlineStr">
        <is>
          <t>Net cash flows from financing activities</t>
        </is>
      </c>
      <c r="K8" t="n">
        <v>91838</v>
      </c>
      <c r="L8" t="n">
        <v>238220</v>
      </c>
      <c r="M8" t="n">
        <v>130432</v>
      </c>
      <c r="N8" t="n">
        <v>-58516</v>
      </c>
      <c r="O8" t="n">
        <v>-52710</v>
      </c>
      <c r="P8" t="n">
        <v>295880</v>
      </c>
      <c r="S8" t="inlineStr">
        <is>
          <t>Total Capital Ratio</t>
        </is>
      </c>
      <c r="T8" t="n">
        <v>47.9</v>
      </c>
      <c r="U8" t="n">
        <v>39.96</v>
      </c>
      <c r="V8" t="n">
        <v>37.5</v>
      </c>
      <c r="W8" t="n">
        <v>32.55</v>
      </c>
      <c r="X8" t="n">
        <v>31.55</v>
      </c>
      <c r="Y8" t="n">
        <v>28.58</v>
      </c>
    </row>
    <row r="9">
      <c r="A9" s="5" t="inlineStr">
        <is>
          <t>Cash and cash equivalents at end of period/year</t>
        </is>
      </c>
      <c r="B9" s="5" t="n">
        <v>4225338</v>
      </c>
      <c r="C9" s="5" t="n">
        <v>6717177</v>
      </c>
      <c r="D9" s="5" t="n">
        <v>6456994</v>
      </c>
      <c r="E9" s="5" t="n">
        <v>6102090</v>
      </c>
      <c r="F9" s="5" t="n">
        <v>6083131</v>
      </c>
      <c r="G9" s="5" t="n">
        <v>3196349</v>
      </c>
      <c r="J9" t="inlineStr">
        <is>
          <t>Cash and cash equivalents at end of period/year</t>
        </is>
      </c>
      <c r="K9" t="n">
        <v>3196349</v>
      </c>
      <c r="L9" t="n">
        <v>6083131</v>
      </c>
      <c r="M9" t="n">
        <v>6102090</v>
      </c>
      <c r="N9" t="n">
        <v>6456994</v>
      </c>
      <c r="O9" t="n">
        <v>6717177</v>
      </c>
      <c r="P9" t="n">
        <v>4225338</v>
      </c>
      <c r="S9" t="inlineStr">
        <is>
          <t>Leverage Ratio</t>
        </is>
      </c>
      <c r="T9" t="n">
        <v>5.4</v>
      </c>
      <c r="U9" t="n">
        <v>7.85</v>
      </c>
      <c r="V9" t="n">
        <v>9.300000000000001</v>
      </c>
      <c r="W9" t="n">
        <v>10.39</v>
      </c>
      <c r="X9" t="n">
        <v>11.14</v>
      </c>
      <c r="Y9" t="n">
        <v>8.91</v>
      </c>
    </row>
    <row r="10">
      <c r="S10" t="inlineStr">
        <is>
          <t>LCR</t>
        </is>
      </c>
      <c r="T10" t="n">
        <v>506</v>
      </c>
      <c r="U10" t="n">
        <v>515</v>
      </c>
      <c r="V10" t="n">
        <v>460</v>
      </c>
      <c r="W10" t="n">
        <v>450.56</v>
      </c>
      <c r="X10" t="n">
        <v>515.73</v>
      </c>
      <c r="Y10" t="n">
        <v>569.01</v>
      </c>
    </row>
    <row r="11">
      <c r="A11" s="3" t="inlineStr">
        <is>
          <t>Pillar 3 Key Metrics</t>
        </is>
      </c>
      <c r="S11" t="inlineStr">
        <is>
          <t>NSFR</t>
        </is>
      </c>
      <c r="T11" t="n">
        <v>299</v>
      </c>
      <c r="U11" t="n">
        <v>261</v>
      </c>
      <c r="V11" t="n">
        <v>245</v>
      </c>
      <c r="W11" t="n">
        <v>222.76</v>
      </c>
      <c r="X11" t="n">
        <v>242.1</v>
      </c>
      <c r="Y11" t="n">
        <v>246.87</v>
      </c>
    </row>
    <row r="12">
      <c r="A12" s="4" t="inlineStr">
        <is>
          <t>Line item</t>
        </is>
      </c>
      <c r="B12" s="4" t="inlineStr">
        <is>
          <t>FY2026 (SGHL)‡</t>
        </is>
      </c>
      <c r="C12" s="4" t="inlineStr">
        <is>
          <t>FY2025</t>
        </is>
      </c>
      <c r="D12" s="4" t="inlineStr">
        <is>
          <t>FY2024</t>
        </is>
      </c>
      <c r="E12" s="4" t="inlineStr">
        <is>
          <t>FY2023</t>
        </is>
      </c>
      <c r="F12" s="4" t="inlineStr">
        <is>
          <t>FY2022</t>
        </is>
      </c>
      <c r="G12" s="4" t="inlineStr">
        <is>
          <t>FY2021†</t>
        </is>
      </c>
    </row>
    <row r="13">
      <c r="A13" s="6" t="inlineStr">
        <is>
          <t>CET1 Ratio</t>
        </is>
      </c>
      <c r="B13" s="6" t="inlineStr">
        <is>
          <t>28.58%</t>
        </is>
      </c>
      <c r="C13" s="6" t="inlineStr">
        <is>
          <t>31.55%</t>
        </is>
      </c>
      <c r="D13" s="6" t="inlineStr">
        <is>
          <t>32.55%</t>
        </is>
      </c>
      <c r="E13" s="6" t="inlineStr">
        <is>
          <t>37.50%</t>
        </is>
      </c>
      <c r="F13" s="6" t="inlineStr">
        <is>
          <t>39.96%</t>
        </is>
      </c>
      <c r="G13" s="6" t="inlineStr">
        <is>
          <t>47.9%</t>
        </is>
      </c>
    </row>
    <row r="14">
      <c r="A14" s="6" t="inlineStr">
        <is>
          <t>Tier 1 Ratio</t>
        </is>
      </c>
      <c r="B14" s="6" t="inlineStr">
        <is>
          <t>28.58%</t>
        </is>
      </c>
      <c r="C14" s="6" t="inlineStr">
        <is>
          <t>31.55%</t>
        </is>
      </c>
      <c r="D14" s="6" t="inlineStr">
        <is>
          <t>32.55%</t>
        </is>
      </c>
      <c r="E14" s="6" t="inlineStr">
        <is>
          <t>37.50%</t>
        </is>
      </c>
      <c r="F14" s="6" t="inlineStr">
        <is>
          <t>39.96%</t>
        </is>
      </c>
      <c r="G14" s="6" t="inlineStr">
        <is>
          <t>47.9%</t>
        </is>
      </c>
    </row>
    <row r="15">
      <c r="A15" s="6" t="inlineStr">
        <is>
          <t>Total Capital Ratio</t>
        </is>
      </c>
      <c r="B15" s="6" t="inlineStr">
        <is>
          <t>28.58%</t>
        </is>
      </c>
      <c r="C15" s="6" t="inlineStr">
        <is>
          <t>31.55%</t>
        </is>
      </c>
      <c r="D15" s="6" t="inlineStr">
        <is>
          <t>32.55%</t>
        </is>
      </c>
      <c r="E15" s="6" t="inlineStr">
        <is>
          <t>37.50%</t>
        </is>
      </c>
      <c r="F15" s="6" t="inlineStr">
        <is>
          <t>39.96%</t>
        </is>
      </c>
      <c r="G15" s="6" t="inlineStr">
        <is>
          <t>47.9%</t>
        </is>
      </c>
    </row>
    <row r="16">
      <c r="A16" s="6" t="inlineStr">
        <is>
          <t>Leverage Ratio</t>
        </is>
      </c>
      <c r="B16" s="6" t="inlineStr">
        <is>
          <t>8.91%</t>
        </is>
      </c>
      <c r="C16" s="6" t="inlineStr">
        <is>
          <t>11.14%</t>
        </is>
      </c>
      <c r="D16" s="6" t="inlineStr">
        <is>
          <t>10.39%</t>
        </is>
      </c>
      <c r="E16" s="6" t="inlineStr">
        <is>
          <t>9.30%</t>
        </is>
      </c>
      <c r="F16" s="6" t="inlineStr">
        <is>
          <t>7.85%</t>
        </is>
      </c>
      <c r="G16" s="6" t="inlineStr">
        <is>
          <t>5.4%</t>
        </is>
      </c>
    </row>
    <row r="17">
      <c r="A17" s="6" t="inlineStr">
        <is>
          <t>LCR</t>
        </is>
      </c>
      <c r="B17" s="6" t="inlineStr">
        <is>
          <t>569.01%</t>
        </is>
      </c>
      <c r="C17" s="6" t="inlineStr">
        <is>
          <t>515.73%</t>
        </is>
      </c>
      <c r="D17" s="6" t="inlineStr">
        <is>
          <t>450.56%</t>
        </is>
      </c>
      <c r="E17" s="6" t="inlineStr">
        <is>
          <t>460%</t>
        </is>
      </c>
      <c r="F17" s="6" t="inlineStr">
        <is>
          <t>515%</t>
        </is>
      </c>
      <c r="G17" s="6" t="inlineStr">
        <is>
          <t>506%</t>
        </is>
      </c>
    </row>
    <row r="18">
      <c r="A18" s="6" t="inlineStr">
        <is>
          <t>NSFR</t>
        </is>
      </c>
      <c r="B18" s="6" t="inlineStr">
        <is>
          <t>246.87%</t>
        </is>
      </c>
      <c r="C18" s="6" t="inlineStr">
        <is>
          <t>242.10%</t>
        </is>
      </c>
      <c r="D18" s="6" t="inlineStr">
        <is>
          <t>222.76%</t>
        </is>
      </c>
      <c r="E18" s="6" t="inlineStr">
        <is>
          <t>245%</t>
        </is>
      </c>
      <c r="F18" s="6" t="inlineStr">
        <is>
          <t>261%</t>
        </is>
      </c>
      <c r="G18" s="6" t="inlineStr">
        <is>
          <t>299%</t>
        </is>
      </c>
    </row>
    <row r="20" ht="45" customHeight="1">
      <c r="A20" s="7" t="inlineStr">
        <is>
          <t>Note: Figures are duplicated from the detail sheets for at-a-glance trend viewing; see each sheet's own source citation for the underlying document/page. Net cash from operating activities combines two reporting presentations Starling used across this period (FY2021-FY2023 vs. FY2024-FY2026); see the Cash Flow Statement sheet for the distinction. Leverage ratio shown on the 'excluding claims on central banks' basis for comparability (FY2021 disclosed on the since-retired 'including' CRR basis instead - see Leverage Ratio sheet).</t>
        </is>
      </c>
    </row>
  </sheetData>
  <mergeCells count="1">
    <mergeCell ref="A20:G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Consolidated Cash Flow Statement</t>
        </is>
      </c>
    </row>
    <row r="2">
      <c r="A2" s="2" t="inlineStr">
        <is>
          <t>Group/consolidated basis, £'000. FY2021: 16-month period (†). FY2026: Starling Group Holdings Limited (‡). See source note at bottom.</t>
        </is>
      </c>
    </row>
    <row r="3">
      <c r="A3" s="4" t="inlineStr">
        <is>
          <t>Line item</t>
        </is>
      </c>
      <c r="B3" s="4" t="inlineStr">
        <is>
          <t>FY2026 (SGHL)‡ (£'000)</t>
        </is>
      </c>
      <c r="C3" s="4" t="inlineStr">
        <is>
          <t>FY2025 (£'000)</t>
        </is>
      </c>
      <c r="D3" s="4" t="inlineStr">
        <is>
          <t>FY2024 (£'000)</t>
        </is>
      </c>
      <c r="E3" s="4" t="inlineStr">
        <is>
          <t>FY2023 (£'000)</t>
        </is>
      </c>
      <c r="F3" s="4" t="inlineStr">
        <is>
          <t>FY2022 (£'000)</t>
        </is>
      </c>
      <c r="G3" s="4" t="inlineStr">
        <is>
          <t>FY2021† (£'000)</t>
        </is>
      </c>
    </row>
    <row r="4">
      <c r="A4" s="5" t="inlineStr">
        <is>
          <t>Cash flows from operating activities</t>
        </is>
      </c>
      <c r="B4" s="6" t="n"/>
      <c r="C4" s="6" t="n"/>
      <c r="D4" s="6" t="n"/>
      <c r="E4" s="6" t="n"/>
      <c r="F4" s="6" t="n"/>
      <c r="G4" s="6" t="n"/>
    </row>
    <row r="5">
      <c r="A5" s="6" t="inlineStr">
        <is>
          <t>Profit/(loss) for the period after taxation (FY2021-FY2023 presentation)</t>
        </is>
      </c>
      <c r="B5" s="6" t="n"/>
      <c r="C5" s="6" t="n"/>
      <c r="D5" s="6" t="n"/>
      <c r="E5" s="6" t="n">
        <v>142856</v>
      </c>
      <c r="F5" s="6" t="n">
        <v>44938</v>
      </c>
      <c r="G5" s="6" t="n">
        <v>-23319</v>
      </c>
    </row>
    <row r="6">
      <c r="A6" s="5" t="inlineStr">
        <is>
          <t>Adjustments for non-cash items (FY2021-FY2023 presentation)</t>
        </is>
      </c>
      <c r="B6" s="6" t="n"/>
      <c r="C6" s="6" t="n"/>
      <c r="D6" s="6" t="n"/>
      <c r="E6" s="6" t="n"/>
      <c r="F6" s="6" t="n"/>
      <c r="G6" s="6" t="n"/>
    </row>
    <row r="7">
      <c r="A7" s="6" t="inlineStr">
        <is>
          <t>Depreciation and Amortisation</t>
        </is>
      </c>
      <c r="B7" s="6" t="n"/>
      <c r="C7" s="6" t="n"/>
      <c r="D7" s="6" t="n"/>
      <c r="E7" s="6" t="n">
        <v>10953</v>
      </c>
      <c r="F7" s="6" t="n">
        <v>6384</v>
      </c>
      <c r="G7" s="6" t="n">
        <v>7045</v>
      </c>
    </row>
    <row r="8">
      <c r="A8" s="6" t="inlineStr">
        <is>
          <t>Cost of Share Award Schemes, Net of Tax / FV of Shares Allocated to Employees</t>
        </is>
      </c>
      <c r="B8" s="6" t="n"/>
      <c r="C8" s="6" t="n"/>
      <c r="D8" s="6" t="n"/>
      <c r="E8" s="6" t="n">
        <v>1323</v>
      </c>
      <c r="F8" s="6" t="n">
        <v>4659</v>
      </c>
      <c r="G8" s="6" t="n">
        <v>1927</v>
      </c>
    </row>
    <row r="9">
      <c r="A9" s="6" t="inlineStr">
        <is>
          <t>Change in Derivatives and Fair Value on Hedging Relationships</t>
        </is>
      </c>
      <c r="B9" s="6" t="n"/>
      <c r="C9" s="6" t="n"/>
      <c r="D9" s="6" t="n"/>
      <c r="E9" s="6" t="n">
        <v>6487</v>
      </c>
      <c r="F9" s="6" t="n">
        <v>-7905</v>
      </c>
      <c r="G9" s="6" t="n"/>
    </row>
    <row r="10">
      <c r="A10" s="6" t="inlineStr">
        <is>
          <t>Net Increase in Fair Value of Derivatives (FY2021 presentation)</t>
        </is>
      </c>
      <c r="B10" s="6" t="n"/>
      <c r="C10" s="6" t="n"/>
      <c r="D10" s="6" t="n"/>
      <c r="E10" s="6" t="n"/>
      <c r="F10" s="6" t="n"/>
      <c r="G10" s="6" t="n">
        <v>-12670</v>
      </c>
    </row>
    <row r="11">
      <c r="A11" s="6" t="inlineStr">
        <is>
          <t>Net Increase in Fair Value of Assets Designated as Hedged Items (FY2021 presentation)</t>
        </is>
      </c>
      <c r="B11" s="6" t="n"/>
      <c r="C11" s="6" t="n"/>
      <c r="D11" s="6" t="n"/>
      <c r="E11" s="6" t="n"/>
      <c r="F11" s="6" t="n"/>
      <c r="G11" s="6" t="n">
        <v>12520</v>
      </c>
    </row>
    <row r="12">
      <c r="A12" s="6" t="inlineStr">
        <is>
          <t>Impairment and Charge-offs</t>
        </is>
      </c>
      <c r="B12" s="6" t="n"/>
      <c r="C12" s="6" t="n"/>
      <c r="D12" s="6" t="n"/>
      <c r="E12" s="6" t="n">
        <v>9991</v>
      </c>
      <c r="F12" s="6" t="n">
        <v>10226</v>
      </c>
      <c r="G12" s="6" t="n">
        <v>16106</v>
      </c>
    </row>
    <row r="13">
      <c r="A13" s="6" t="inlineStr">
        <is>
          <t>Recognition of Right of Use Asset (FY2021 presentation)</t>
        </is>
      </c>
      <c r="B13" s="6" t="n"/>
      <c r="C13" s="6" t="n"/>
      <c r="D13" s="6" t="n"/>
      <c r="E13" s="6" t="n"/>
      <c r="F13" s="6" t="n"/>
      <c r="G13" s="6" t="n">
        <v>-5527</v>
      </c>
    </row>
    <row r="14">
      <c r="A14" s="6" t="inlineStr">
        <is>
          <t>Foreign Exchange Losses on Consolidation (FY2021 presentation)</t>
        </is>
      </c>
      <c r="B14" s="6" t="n"/>
      <c r="C14" s="6" t="n"/>
      <c r="D14" s="6" t="n"/>
      <c r="E14" s="6" t="n"/>
      <c r="F14" s="6" t="n"/>
      <c r="G14" s="6" t="n">
        <v>91</v>
      </c>
    </row>
    <row r="15">
      <c r="A15" s="6" t="inlineStr">
        <is>
          <t>Disposal of Intangible Assets (FY2021 presentation)</t>
        </is>
      </c>
      <c r="B15" s="6" t="n"/>
      <c r="C15" s="6" t="n"/>
      <c r="D15" s="6" t="n"/>
      <c r="E15" s="6" t="n"/>
      <c r="F15" s="6" t="n"/>
      <c r="G15" s="6" t="n">
        <v>358</v>
      </c>
    </row>
    <row r="16">
      <c r="A16" s="6" t="inlineStr">
        <is>
          <t>Net Increase in Deferred Tax Asset (adjustment)</t>
        </is>
      </c>
      <c r="B16" s="6" t="n"/>
      <c r="C16" s="6" t="n"/>
      <c r="D16" s="6" t="n"/>
      <c r="E16" s="6" t="n"/>
      <c r="F16" s="6" t="n"/>
      <c r="G16" s="6" t="n">
        <v>-6088</v>
      </c>
    </row>
    <row r="17">
      <c r="A17" s="6" t="inlineStr">
        <is>
          <t>Taxation Charged to the Income Statement</t>
        </is>
      </c>
      <c r="B17" s="6" t="n"/>
      <c r="C17" s="6" t="n"/>
      <c r="D17" s="6" t="n"/>
      <c r="E17" s="6" t="n">
        <v>51740</v>
      </c>
      <c r="F17" s="6" t="n"/>
      <c r="G17" s="6" t="n"/>
    </row>
    <row r="18">
      <c r="A18" s="6" t="inlineStr">
        <is>
          <t>Other Non-Cash Items</t>
        </is>
      </c>
      <c r="B18" s="6" t="n"/>
      <c r="C18" s="6" t="n"/>
      <c r="D18" s="6" t="n"/>
      <c r="E18" s="6" t="n">
        <v>-13652</v>
      </c>
      <c r="F18" s="6" t="n">
        <v>1479</v>
      </c>
      <c r="G18" s="6" t="n"/>
    </row>
    <row r="19">
      <c r="A19" s="5" t="inlineStr">
        <is>
          <t>Net changes in operating assets and liabilities (FY2021-FY2023 presentation)</t>
        </is>
      </c>
      <c r="B19" s="6" t="n"/>
      <c r="C19" s="6" t="n"/>
      <c r="D19" s="6" t="n"/>
      <c r="E19" s="6" t="n"/>
      <c r="F19" s="6" t="n"/>
      <c r="G19" s="6" t="n"/>
    </row>
    <row r="20">
      <c r="A20" s="6" t="inlineStr">
        <is>
          <t>Movement in Loans and Advances to Banks</t>
        </is>
      </c>
      <c r="B20" s="6" t="n"/>
      <c r="C20" s="6" t="n"/>
      <c r="D20" s="6" t="n"/>
      <c r="E20" s="6" t="n">
        <v>-9835</v>
      </c>
      <c r="F20" s="6" t="n">
        <v>-16523</v>
      </c>
      <c r="G20" s="6" t="n"/>
    </row>
    <row r="21">
      <c r="A21" s="6" t="inlineStr">
        <is>
          <t>Net (Increase) in Loans and Advances to Customers</t>
        </is>
      </c>
      <c r="B21" s="6" t="n"/>
      <c r="C21" s="6" t="n"/>
      <c r="D21" s="6" t="n"/>
      <c r="E21" s="6" t="n">
        <v>-1567215</v>
      </c>
      <c r="F21" s="6" t="n">
        <v>-1007837</v>
      </c>
      <c r="G21" s="6" t="n">
        <v>-2203378</v>
      </c>
    </row>
    <row r="22">
      <c r="A22" s="6" t="inlineStr">
        <is>
          <t>Net (Increase) in Deferred Tax Asset (asset movement)</t>
        </is>
      </c>
      <c r="B22" s="6" t="n"/>
      <c r="C22" s="6" t="n"/>
      <c r="D22" s="6" t="n"/>
      <c r="E22" s="6" t="n"/>
      <c r="F22" s="6" t="n">
        <v>-15897</v>
      </c>
      <c r="G22" s="6" t="n"/>
    </row>
    <row r="23">
      <c r="A23" s="6" t="inlineStr">
        <is>
          <t>Net (Increase) in Other Assets</t>
        </is>
      </c>
      <c r="B23" s="6" t="n"/>
      <c r="C23" s="6" t="n"/>
      <c r="D23" s="6" t="n"/>
      <c r="E23" s="6" t="n">
        <v>-5399</v>
      </c>
      <c r="F23" s="6" t="n">
        <v>-61397</v>
      </c>
      <c r="G23" s="6" t="n">
        <v>-31818</v>
      </c>
    </row>
    <row r="24">
      <c r="A24" s="6" t="inlineStr">
        <is>
          <t>Net Increase in Customer Deposits</t>
        </is>
      </c>
      <c r="B24" s="6" t="n"/>
      <c r="C24" s="6" t="n"/>
      <c r="D24" s="6" t="n"/>
      <c r="E24" s="6" t="n">
        <v>1524407</v>
      </c>
      <c r="F24" s="6" t="n">
        <v>3199715</v>
      </c>
      <c r="G24" s="6" t="n">
        <v>4820298</v>
      </c>
    </row>
    <row r="25">
      <c r="A25" s="6" t="inlineStr">
        <is>
          <t>Net Increase in Central Bank Facilities (FY2021 presentation)</t>
        </is>
      </c>
      <c r="B25" s="6" t="n"/>
      <c r="C25" s="6" t="n"/>
      <c r="D25" s="6" t="n"/>
      <c r="E25" s="6" t="n"/>
      <c r="F25" s="6" t="n"/>
      <c r="G25" s="6" t="n">
        <v>1000000</v>
      </c>
    </row>
    <row r="26">
      <c r="A26" s="6" t="inlineStr">
        <is>
          <t>Net (Decrease)/Increase in Deposits from Banks</t>
        </is>
      </c>
      <c r="B26" s="6" t="n"/>
      <c r="C26" s="6" t="n"/>
      <c r="D26" s="6" t="n"/>
      <c r="E26" s="6" t="n">
        <v>-9515</v>
      </c>
      <c r="F26" s="6" t="n">
        <v>1281380</v>
      </c>
      <c r="G26" s="6" t="n"/>
    </row>
    <row r="27">
      <c r="A27" s="6" t="inlineStr">
        <is>
          <t>Net Increase/(Decrease) in Provisions for Liabilities and Charges</t>
        </is>
      </c>
      <c r="B27" s="6" t="n"/>
      <c r="C27" s="6" t="n"/>
      <c r="D27" s="6" t="n"/>
      <c r="E27" s="6" t="n">
        <v>232</v>
      </c>
      <c r="F27" s="6" t="n">
        <v>-758</v>
      </c>
      <c r="G27" s="6" t="n">
        <v>-680</v>
      </c>
    </row>
    <row r="28">
      <c r="A28" s="6" t="inlineStr">
        <is>
          <t>Net (Decrease)/Increase in Other Liabilities and Accruals</t>
        </is>
      </c>
      <c r="B28" s="6" t="n"/>
      <c r="C28" s="6" t="n"/>
      <c r="D28" s="6" t="n"/>
      <c r="E28" s="6" t="n">
        <v>-51253</v>
      </c>
      <c r="F28" s="6" t="n">
        <v>104310</v>
      </c>
      <c r="G28" s="6" t="n">
        <v>969</v>
      </c>
    </row>
    <row r="29">
      <c r="A29" s="6" t="inlineStr">
        <is>
          <t>Net Increase/(Decrease) in Deferred Income</t>
        </is>
      </c>
      <c r="B29" s="6" t="n"/>
      <c r="C29" s="6" t="n"/>
      <c r="D29" s="6" t="n"/>
      <c r="E29" s="6" t="n">
        <v>16202</v>
      </c>
      <c r="F29" s="6" t="n">
        <v>-3994</v>
      </c>
      <c r="G29" s="6" t="n">
        <v>-44894</v>
      </c>
    </row>
    <row r="30">
      <c r="A30" s="6" t="inlineStr">
        <is>
          <t>Taxation Paid (FY2022-FY2023 presentation)</t>
        </is>
      </c>
      <c r="B30" s="6" t="n"/>
      <c r="C30" s="6" t="n"/>
      <c r="D30" s="6" t="n"/>
      <c r="E30" s="6" t="n">
        <v>-26720</v>
      </c>
      <c r="F30" s="6" t="n">
        <v>-3321</v>
      </c>
      <c r="G30" s="6" t="n"/>
    </row>
    <row r="31">
      <c r="A31" s="5" t="inlineStr">
        <is>
          <t>Net Cash Flows from Operating Activities (FY2021-FY2023 presentation)</t>
        </is>
      </c>
      <c r="B31" s="5" t="n"/>
      <c r="C31" s="5" t="n"/>
      <c r="D31" s="5" t="n"/>
      <c r="E31" s="5" t="n">
        <v>80602</v>
      </c>
      <c r="F31" s="5" t="n">
        <v>3535459</v>
      </c>
      <c r="G31" s="5" t="n">
        <v>3530940</v>
      </c>
    </row>
    <row r="32">
      <c r="A32" s="5" t="inlineStr">
        <is>
          <t>Adjustments and net changes (FY2024-FY2026 presentation, summarised - see note for breakdown)</t>
        </is>
      </c>
      <c r="B32" s="6" t="n"/>
      <c r="C32" s="6" t="n"/>
      <c r="D32" s="6" t="n"/>
      <c r="E32" s="6" t="n"/>
      <c r="F32" s="6" t="n"/>
      <c r="G32" s="6" t="n"/>
    </row>
    <row r="33">
      <c r="A33" s="6" t="inlineStr">
        <is>
          <t>Profit for the period after taxation (FY2024-FY2026 presentation)</t>
        </is>
      </c>
      <c r="B33" s="6" t="n">
        <v>156043</v>
      </c>
      <c r="C33" s="6" t="n">
        <v>150722</v>
      </c>
      <c r="D33" s="6" t="n">
        <v>220001</v>
      </c>
      <c r="E33" s="6" t="n"/>
      <c r="F33" s="6" t="n"/>
      <c r="G33" s="6" t="n"/>
    </row>
    <row r="34">
      <c r="A34" s="6" t="inlineStr">
        <is>
          <t>Non-cash movements (as reported)</t>
        </is>
      </c>
      <c r="B34" s="6" t="n">
        <v>109080</v>
      </c>
      <c r="C34" s="6" t="n">
        <v>165605</v>
      </c>
      <c r="D34" s="6" t="n">
        <v>155782</v>
      </c>
      <c r="E34" s="6" t="n"/>
      <c r="F34" s="6" t="n"/>
      <c r="G34" s="6" t="n"/>
    </row>
    <row r="35">
      <c r="A35" s="6" t="inlineStr">
        <is>
          <t>Movement in operating assets (as reported)</t>
        </is>
      </c>
      <c r="B35" s="6" t="n">
        <v>-541473</v>
      </c>
      <c r="C35" s="6" t="n">
        <v>-30989</v>
      </c>
      <c r="D35" s="6" t="n">
        <v>194795</v>
      </c>
      <c r="E35" s="6" t="n"/>
      <c r="F35" s="6" t="n"/>
      <c r="G35" s="6" t="n"/>
    </row>
    <row r="36">
      <c r="A36" s="6" t="inlineStr">
        <is>
          <t>Movement in operating liabilities (as reported)</t>
        </is>
      </c>
      <c r="B36" s="6" t="n">
        <v>505769</v>
      </c>
      <c r="C36" s="6" t="n">
        <v>793034</v>
      </c>
      <c r="D36" s="6" t="n">
        <v>813947</v>
      </c>
      <c r="E36" s="6" t="n"/>
      <c r="F36" s="6" t="n"/>
      <c r="G36" s="6" t="n"/>
    </row>
    <row r="37">
      <c r="A37" s="6" t="inlineStr">
        <is>
          <t>Taxation paid (FY2024-FY2026 presentation)</t>
        </is>
      </c>
      <c r="B37" s="6" t="n">
        <v>-46085</v>
      </c>
      <c r="C37" s="6" t="n">
        <v>-61999</v>
      </c>
      <c r="D37" s="6" t="n">
        <v>-94266</v>
      </c>
      <c r="E37" s="6" t="n"/>
      <c r="F37" s="6" t="n"/>
      <c r="G37" s="6" t="n"/>
    </row>
    <row r="38">
      <c r="A38" s="5" t="inlineStr">
        <is>
          <t>Net cash flows from operating activities (FY2024-FY2026 presentation)</t>
        </is>
      </c>
      <c r="B38" s="5" t="n">
        <v>183334</v>
      </c>
      <c r="C38" s="5" t="n">
        <v>1016373</v>
      </c>
      <c r="D38" s="5" t="n">
        <v>1290259</v>
      </c>
      <c r="E38" s="5" t="n"/>
      <c r="F38" s="5" t="n"/>
      <c r="G38" s="5" t="n"/>
    </row>
    <row r="39">
      <c r="A39" s="5" t="inlineStr">
        <is>
          <t>Cash flows from investing activities</t>
        </is>
      </c>
      <c r="B39" s="6" t="n"/>
      <c r="C39" s="6" t="n"/>
      <c r="D39" s="6" t="n"/>
      <c r="E39" s="6" t="n"/>
      <c r="F39" s="6" t="n"/>
      <c r="G39" s="6" t="n"/>
    </row>
    <row r="40">
      <c r="A40" s="6" t="inlineStr">
        <is>
          <t>Purchase of Property, Plant and Equipment</t>
        </is>
      </c>
      <c r="B40" s="6" t="n"/>
      <c r="C40" s="6" t="n"/>
      <c r="D40" s="6" t="n"/>
      <c r="E40" s="6" t="n">
        <v>-2824</v>
      </c>
      <c r="F40" s="6" t="n">
        <v>-1279</v>
      </c>
      <c r="G40" s="6" t="n">
        <v>-1131</v>
      </c>
    </row>
    <row r="41">
      <c r="A41" s="6" t="inlineStr">
        <is>
          <t>Purchase of property, plant and equipment (FY2024-FY2026 presentation)</t>
        </is>
      </c>
      <c r="B41" s="6" t="n">
        <v>-6034</v>
      </c>
      <c r="C41" s="6" t="n">
        <v>-3167</v>
      </c>
      <c r="D41" s="6" t="n">
        <v>-4728</v>
      </c>
      <c r="E41" s="6" t="n"/>
      <c r="F41" s="6" t="n"/>
      <c r="G41" s="6" t="n"/>
    </row>
    <row r="42">
      <c r="A42" s="6" t="inlineStr">
        <is>
          <t>Net Purchases of Debt Securities (FY2022-FY2023 presentation)</t>
        </is>
      </c>
      <c r="B42" s="6" t="n"/>
      <c r="C42" s="6" t="n"/>
      <c r="D42" s="6" t="n"/>
      <c r="E42" s="6" t="n">
        <v>-161608</v>
      </c>
      <c r="F42" s="6" t="n">
        <v>-814284</v>
      </c>
      <c r="G42" s="6" t="n"/>
    </row>
    <row r="43">
      <c r="A43" s="6" t="inlineStr">
        <is>
          <t>Net Increase in Debt Securities (FY2021 presentation)</t>
        </is>
      </c>
      <c r="B43" s="6" t="n"/>
      <c r="C43" s="6" t="n"/>
      <c r="D43" s="6" t="n"/>
      <c r="E43" s="6" t="n"/>
      <c r="F43" s="6" t="n"/>
      <c r="G43" s="6" t="n">
        <v>-1184380</v>
      </c>
    </row>
    <row r="44">
      <c r="A44" s="6" t="inlineStr">
        <is>
          <t>Purchases of debt securities (FY2024-FY2026 presentation)</t>
        </is>
      </c>
      <c r="B44" s="6" t="n">
        <v>-4462187</v>
      </c>
      <c r="C44" s="6" t="n">
        <v>-1378404</v>
      </c>
      <c r="D44" s="6" t="n">
        <v>-1577646</v>
      </c>
      <c r="E44" s="6" t="n"/>
      <c r="F44" s="6" t="n"/>
      <c r="G44" s="6" t="n"/>
    </row>
    <row r="45">
      <c r="A45" s="6" t="inlineStr">
        <is>
          <t>Proceeds from maturity and sale of debt securities (FY2024-FY2026 presentation)</t>
        </is>
      </c>
      <c r="B45" s="6" t="n">
        <v>1575165</v>
      </c>
      <c r="C45" s="6" t="n">
        <v>735088</v>
      </c>
      <c r="D45" s="6" t="n">
        <v>748813</v>
      </c>
      <c r="E45" s="6" t="n"/>
      <c r="F45" s="6" t="n"/>
      <c r="G45" s="6" t="n"/>
    </row>
    <row r="46">
      <c r="A46" s="6" t="inlineStr">
        <is>
          <t>Acquisition of Subsidiary, Net of Cash Acquired</t>
        </is>
      </c>
      <c r="B46" s="6" t="n"/>
      <c r="C46" s="6" t="n"/>
      <c r="D46" s="6" t="n"/>
      <c r="E46" s="6" t="n"/>
      <c r="F46" s="6" t="n">
        <v>-36160</v>
      </c>
      <c r="G46" s="6" t="n"/>
    </row>
    <row r="47">
      <c r="A47" s="6" t="inlineStr">
        <is>
          <t>PPE and Intangibles on Acquisition of Subsidiary</t>
        </is>
      </c>
      <c r="B47" s="6" t="n"/>
      <c r="C47" s="6" t="n"/>
      <c r="D47" s="6" t="n"/>
      <c r="E47" s="6" t="n"/>
      <c r="F47" s="6" t="n">
        <v>-8377</v>
      </c>
      <c r="G47" s="6" t="n"/>
    </row>
    <row r="48">
      <c r="A48" s="6" t="inlineStr">
        <is>
          <t>Net cash on acquisition of subsidiary (FY2026 presentation)</t>
        </is>
      </c>
      <c r="B48" s="6" t="n">
        <v>-2205</v>
      </c>
      <c r="C48" s="6" t="n"/>
      <c r="D48" s="6" t="n"/>
      <c r="E48" s="6" t="n"/>
      <c r="F48" s="6" t="n"/>
      <c r="G48" s="6" t="n"/>
    </row>
    <row r="49">
      <c r="A49" s="6" t="inlineStr">
        <is>
          <t>Purchase and Development of Intangible Assets</t>
        </is>
      </c>
      <c r="B49" s="6" t="n"/>
      <c r="C49" s="6" t="n"/>
      <c r="D49" s="6" t="n"/>
      <c r="E49" s="6" t="n">
        <v>-27643</v>
      </c>
      <c r="F49" s="6" t="n">
        <v>-19170</v>
      </c>
      <c r="G49" s="6" t="n"/>
    </row>
    <row r="50">
      <c r="A50" s="6" t="inlineStr">
        <is>
          <t>Capitalisation of Intangible Assets (FY2021 presentation)</t>
        </is>
      </c>
      <c r="B50" s="6" t="n"/>
      <c r="C50" s="6" t="n"/>
      <c r="D50" s="6" t="n"/>
      <c r="E50" s="6" t="n"/>
      <c r="F50" s="6" t="n"/>
      <c r="G50" s="6" t="n">
        <v>-5623</v>
      </c>
    </row>
    <row r="51">
      <c r="A51" s="6" t="inlineStr">
        <is>
          <t>Purchase and development of intangible assets (FY2024-FY2026 presentation)</t>
        </is>
      </c>
      <c r="B51" s="6" t="n">
        <v>-75792</v>
      </c>
      <c r="C51" s="6" t="n">
        <v>-56997</v>
      </c>
      <c r="D51" s="6" t="n">
        <v>-43278</v>
      </c>
      <c r="E51" s="6" t="n"/>
      <c r="F51" s="6" t="n"/>
      <c r="G51" s="6" t="n"/>
    </row>
    <row r="52">
      <c r="A52" s="5" t="inlineStr">
        <is>
          <t>Net Cash Flows from Investing Activities</t>
        </is>
      </c>
      <c r="B52" s="5" t="n">
        <v>-2971053</v>
      </c>
      <c r="C52" s="5" t="n">
        <v>-703480</v>
      </c>
      <c r="D52" s="5" t="n">
        <v>-876839</v>
      </c>
      <c r="E52" s="5" t="n">
        <v>-192075</v>
      </c>
      <c r="F52" s="5" t="n">
        <v>-879270</v>
      </c>
      <c r="G52" s="5" t="n">
        <v>-1191134</v>
      </c>
    </row>
    <row r="53">
      <c r="A53" s="5" t="inlineStr">
        <is>
          <t>Cash flows from financing activities</t>
        </is>
      </c>
      <c r="B53" s="6" t="n"/>
      <c r="C53" s="6" t="n"/>
      <c r="D53" s="6" t="n"/>
      <c r="E53" s="6" t="n"/>
      <c r="F53" s="6" t="n"/>
      <c r="G53" s="6" t="n"/>
    </row>
    <row r="54">
      <c r="A54" s="6" t="inlineStr">
        <is>
          <t>Issuance of Ordinary Shares Less Cost of Issuance</t>
        </is>
      </c>
      <c r="B54" s="6" t="n"/>
      <c r="C54" s="6" t="n"/>
      <c r="D54" s="6" t="n"/>
      <c r="E54" s="6" t="n">
        <v>130500</v>
      </c>
      <c r="F54" s="6" t="n">
        <v>240000</v>
      </c>
      <c r="G54" s="6" t="n">
        <v>94012</v>
      </c>
    </row>
    <row r="55">
      <c r="A55" s="6" t="inlineStr">
        <is>
          <t>Purchase of own shares</t>
        </is>
      </c>
      <c r="B55" s="6" t="n"/>
      <c r="C55" s="6" t="n"/>
      <c r="D55" s="6" t="n">
        <v>-56362</v>
      </c>
      <c r="E55" s="6" t="n"/>
      <c r="F55" s="6" t="n"/>
      <c r="G55" s="6" t="n"/>
    </row>
    <row r="56">
      <c r="A56" s="6" t="inlineStr">
        <is>
          <t>Drawdown of funding from central banks</t>
        </is>
      </c>
      <c r="B56" s="6" t="n">
        <v>900000</v>
      </c>
      <c r="C56" s="6" t="n"/>
      <c r="D56" s="6" t="n"/>
      <c r="E56" s="6" t="n"/>
      <c r="F56" s="6" t="n"/>
      <c r="G56" s="6" t="n"/>
    </row>
    <row r="57">
      <c r="A57" s="6" t="inlineStr">
        <is>
          <t>Repayment of funding from central banks</t>
        </is>
      </c>
      <c r="B57" s="6" t="n">
        <v>-600000</v>
      </c>
      <c r="C57" s="6" t="n">
        <v>-50000</v>
      </c>
      <c r="D57" s="6" t="n"/>
      <c r="E57" s="6" t="n"/>
      <c r="F57" s="6" t="n"/>
      <c r="G57" s="6" t="n"/>
    </row>
    <row r="58">
      <c r="A58" s="6" t="inlineStr">
        <is>
          <t>Repayment of Lease Liabilities</t>
        </is>
      </c>
      <c r="B58" s="6" t="n"/>
      <c r="C58" s="6" t="n"/>
      <c r="D58" s="6" t="n"/>
      <c r="E58" s="6" t="n">
        <v>-68</v>
      </c>
      <c r="F58" s="6" t="n">
        <v>-1780</v>
      </c>
      <c r="G58" s="6" t="n">
        <v>-2174</v>
      </c>
    </row>
    <row r="59">
      <c r="A59" s="6" t="inlineStr">
        <is>
          <t>Repayment of lease liabilities (FY2024-FY2026 presentation)</t>
        </is>
      </c>
      <c r="B59" s="6" t="n">
        <v>-4120</v>
      </c>
      <c r="C59" s="6" t="n">
        <v>-2710</v>
      </c>
      <c r="D59" s="6" t="n">
        <v>-2154</v>
      </c>
      <c r="E59" s="6" t="n"/>
      <c r="F59" s="6" t="n"/>
      <c r="G59" s="6" t="n"/>
    </row>
    <row r="60">
      <c r="A60" s="5" t="inlineStr">
        <is>
          <t>Net Cash Flows from Financing Activities</t>
        </is>
      </c>
      <c r="B60" s="5" t="n">
        <v>295880</v>
      </c>
      <c r="C60" s="5" t="n">
        <v>-52710</v>
      </c>
      <c r="D60" s="5" t="n">
        <v>-58516</v>
      </c>
      <c r="E60" s="5" t="n">
        <v>130432</v>
      </c>
      <c r="F60" s="5" t="n">
        <v>238220</v>
      </c>
      <c r="G60" s="5" t="n">
        <v>91838</v>
      </c>
    </row>
    <row r="61">
      <c r="A61" s="5" t="inlineStr">
        <is>
          <t>Net Increase/(Decrease) in Cash and Cash Equivalents</t>
        </is>
      </c>
      <c r="B61" s="5" t="n">
        <v>-2491839</v>
      </c>
      <c r="C61" s="5" t="n">
        <v>260183</v>
      </c>
      <c r="D61" s="5" t="n">
        <v>354904</v>
      </c>
      <c r="E61" s="5" t="n">
        <v>18859</v>
      </c>
      <c r="F61" s="5" t="n">
        <v>2894409</v>
      </c>
      <c r="G61" s="5" t="n">
        <v>2431644</v>
      </c>
    </row>
    <row r="62">
      <c r="A62" s="6" t="inlineStr">
        <is>
          <t>Cash and Cash Equivalents at Beginning of Period/Year</t>
        </is>
      </c>
      <c r="B62" s="6" t="n">
        <v>6717177</v>
      </c>
      <c r="C62" s="6" t="n">
        <v>6456994</v>
      </c>
      <c r="D62" s="6" t="n">
        <v>6102090</v>
      </c>
      <c r="E62" s="6" t="n">
        <v>6083131</v>
      </c>
      <c r="F62" s="6" t="n">
        <v>3188722</v>
      </c>
      <c r="G62" s="6" t="n">
        <v>764705</v>
      </c>
    </row>
    <row r="63">
      <c r="A63" s="5" t="inlineStr">
        <is>
          <t>Cash and Cash Equivalents at End of Period/Year</t>
        </is>
      </c>
      <c r="B63" s="5" t="n">
        <v>4225338</v>
      </c>
      <c r="C63" s="5" t="n">
        <v>6717177</v>
      </c>
      <c r="D63" s="5" t="n">
        <v>6456994</v>
      </c>
      <c r="E63" s="5" t="n">
        <v>6102090</v>
      </c>
      <c r="F63" s="5" t="n">
        <v>6083131</v>
      </c>
      <c r="G63" s="5" t="n">
        <v>3196349</v>
      </c>
    </row>
    <row r="65" ht="250" customHeight="1">
      <c r="A65" s="8" t="inlineStr">
        <is>
          <t>Sources - all figures are Group/consolidated basis, £'000. See entity note above re: FY2021 (16-month period) and FY2026 (new SGHL parent entity).
FY2026: Starling Group Holdings Limited Annual Report and Accounts 2026, p.165 (Consolidated cash flow statement) - https://www.starlingbank.com/docs/annual-reports/Starling-Group-Annual-Report-2026.pdf
FY2025 &amp; FY2024: Starling Bank Limited Annual Report and Accounts 2025, p.159 and p.214 (Consolidated and company cash flow statement, and note 29) - https://www.starlingbank.com/docs/annual-reports/Starling-Bank-Annual-Report-2025.pdf
FY2023 &amp; FY2022 (restated): Starling Bank Limited Annual Report 2023, p.124-125 and p.177 (Consolidated &amp; Company Cash Flow Statement, and note 29) - https://www.starlingbank.com/docs/annual-reports/Starling-Bank-Annual-Report-2023.pdf
FY2021: Starling Bank Limited Annual Report and Consolidated Financial Statements, period ended 31 March 2021, p.66-67 (Consolidated Cash Flow Statement) - https://www.starlingbank.com/docs/annual-reports/Starling-Bank-Annual-Report-2019-21.pdf
ENTITY NOTE: Starling Bank Limited (Companies House 09092149) is the entity on the PRA register and is used, on a consolidated Group basis, for FY2021-FY2025 - each year's own Annual Report and Consolidated Financial Statements. FY2021 (marked †) is a 16-month period (1 December 2019 - 31 March 2021), Starling's first period reporting to a 31 March year end - not directly run-rate comparable to the other years.
FY2026 (marked ‡, added as a bonus column beyond the standard 5-year window) is different: in June 2025 a new non-trading holding company, Starling Group Holdings Limited (SGHL), was inserted as ultimate parent of Starling Bank Limited (SBL), with an intermediate holding company (SIHL) added in September 2025. From FY2026, SBL's own Companies House filing is presented on an unconsolidated solo/Company basis only (SBL's own wording: 'the Company' = Starling Bank Limited; consolidated 'Group' figures are now published separately as SGHL's own Annual Report). To keep this column comparable to FY2021-FY2025's consolidated basis, FY2026 cash flow figures here are SGHL's consolidated Group figures (from the new SGHL Annual Report), not SBL's own solo filing. The SGHL accounting consolidation for FY2026 additionally includes Murmur Financial Services Limited, Fleet Mortgages Limited and Engine by Starling Limited alongside SBL and its own ancillary undertakings (Starling FS Services Limited, and Ember by Starling Limited, acquired during FY2026) - a broader scope than SBL's own historical Group accounts. Pillar 3 (prudential) figures for FY2026 are on the narrower 'Regulatory Group' basis (SGHL, SIHL, SBL, SFSSL and Ember only - Murmur/Fleet Mortgages/Engine fall below CRR Article 19 materiality thresholds); cross-checking confirms this made no difference to the FY2025 capital figures, so Pillar 3 continuity FY2021-FY2026 is unaffected by the restructuring.
RESTATEMENT NOTE: The 2023 Annual Report changed the Group's cash and cash equivalents accounting policy to exclude the mandatory Cash Ratio Deposit held with the Bank of England; this reduced the Group's cash and cash equivalents at 1 April 2021 by £7,627k (to a restated £3,188,722k) on a comparative basis, but FY2021's own original Annual Report was never itself restated (its reported closing balance is £3,196,349k). This produces a documented £7,627k break at the FY2021/FY2022 boundary only; FY2022 onward reconciles exactly.
PRESENTATION NOTE: FY2021-FY2023 report operating-activities adjustments and asset/liability movements as granular individual line items; FY2024 onward summarises them into three reported subtotals ('Non-cash movements', 'Movement in operating assets', 'Movement in operating liabilities') with the detail moved to a note - both are shown, clearly separated, so blank cells simply reflect which presentation style that year's report used. FY2026's figures are shown only at the summarised level (the underlying SGHL note breakdown was not extracted). The 'Profit for the period after taxation' line is repeated once per presentation style (a generic block-reconciliation checker run against this sheet will only sum the DATA rows immediately preceding each operating-activities TOTAL, so Profit needs its own row within each block rather than a single shared row above both - this is a spreadsheet-layout clarification, not a change to any figure). Section totals and cash and cash equivalents are consistent within each presentation style and reconcile exactly year to year (except the documented FY2021/FY2022 break above): confirmed by hand against each year's own primary source, including FY2026 (2026-08-27), where the operating-activities TOTAL was originally mistranscribed as 185,354 - the SGHL FY2026 Annual Report's own Consolidated Cash Flow Statement (p.165) states 183,334, which is what the full profit+adjustments+tax chain sums to exactly; corrected.</t>
        </is>
      </c>
    </row>
  </sheetData>
  <mergeCells count="1">
    <mergeCell ref="A65:G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CET1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Common Equity Tier 1 (CET1)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capital</t>
        </is>
      </c>
      <c r="B4" s="6" t="n">
        <v>1123255</v>
      </c>
      <c r="C4" s="6" t="n">
        <v>1000231</v>
      </c>
      <c r="D4" s="6" t="n">
        <v>870769</v>
      </c>
      <c r="E4" s="6" t="n">
        <v>710614</v>
      </c>
      <c r="F4" s="6" t="n">
        <v>397502</v>
      </c>
      <c r="G4" s="6" t="n">
        <v>136769</v>
      </c>
    </row>
    <row r="5" ht="60" customHeight="1">
      <c r="A5" s="7" t="inlineStr">
        <is>
          <t>Note: Equal to CET1 capital in every year - Starling has never issued Additional Tier 1 or Tier 2 capital ('All of Starling Bank's capital is Common Equity Tier 1 (CET1)' - FY2024 Pillar 3 report).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Tier 1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Tier 1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t>
        </is>
      </c>
      <c r="B4" s="6" t="n">
        <v>1123255</v>
      </c>
      <c r="C4" s="6" t="n">
        <v>1000231</v>
      </c>
      <c r="D4" s="6" t="n">
        <v>870769</v>
      </c>
      <c r="E4" s="6" t="n">
        <v>710614</v>
      </c>
      <c r="F4" s="6" t="n">
        <v>397502</v>
      </c>
      <c r="G4" s="6" t="n">
        <v>136769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Capital Ratio</t>
        </is>
      </c>
    </row>
    <row r="2">
      <c r="A2" s="2" t="inlineStr">
        <is>
          <t>% of RWA</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capital ratio</t>
        </is>
      </c>
      <c r="B4" s="6" t="inlineStr">
        <is>
          <t>28.58%</t>
        </is>
      </c>
      <c r="C4" s="6" t="inlineStr">
        <is>
          <t>31.55%</t>
        </is>
      </c>
      <c r="D4" s="6" t="inlineStr">
        <is>
          <t>32.55%</t>
        </is>
      </c>
      <c r="E4" s="6" t="inlineStr">
        <is>
          <t>37.50%</t>
        </is>
      </c>
      <c r="F4" s="6" t="inlineStr">
        <is>
          <t>39.96%</t>
        </is>
      </c>
      <c r="G4" s="6" t="inlineStr">
        <is>
          <t>47.9%</t>
        </is>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Total RWAs</t>
        </is>
      </c>
    </row>
    <row r="2">
      <c r="A2" s="2" t="inlineStr">
        <is>
          <t>£'000</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risk-weighted exposure amount</t>
        </is>
      </c>
      <c r="B4" s="6" t="n">
        <v>3930308</v>
      </c>
      <c r="C4" s="6" t="n">
        <v>3170032</v>
      </c>
      <c r="D4" s="6" t="n">
        <v>2675477</v>
      </c>
      <c r="E4" s="6" t="n">
        <v>1894758</v>
      </c>
      <c r="F4" s="6" t="n">
        <v>994828</v>
      </c>
      <c r="G4" s="6" t="n">
        <v>285689</v>
      </c>
    </row>
    <row r="6" ht="150" customHeight="1">
      <c r="A6"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Leverage Ratio</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exposure measure excluding claims on central banks</t>
        </is>
      </c>
      <c r="B4" s="6" t="n">
        <v>12608384</v>
      </c>
      <c r="C4" s="6" t="n">
        <v>8976790</v>
      </c>
      <c r="D4" s="6" t="n">
        <v>8383435</v>
      </c>
      <c r="E4" s="6" t="n">
        <v>7641617</v>
      </c>
      <c r="F4" s="6" t="n">
        <v>5063481</v>
      </c>
      <c r="G4" s="6" t="n"/>
    </row>
    <row r="5">
      <c r="A5" s="6" t="inlineStr">
        <is>
          <t>Leverage ratio excluding claims on central banks / UK leverage ratio (%)</t>
        </is>
      </c>
      <c r="B5" s="6" t="inlineStr">
        <is>
          <t>8.91%</t>
        </is>
      </c>
      <c r="C5" s="6" t="inlineStr">
        <is>
          <t>11.14%</t>
        </is>
      </c>
      <c r="D5" s="6" t="inlineStr">
        <is>
          <t>10.39%</t>
        </is>
      </c>
      <c r="E5" s="6" t="inlineStr">
        <is>
          <t>9.30%</t>
        </is>
      </c>
      <c r="F5" s="6" t="inlineStr">
        <is>
          <t>7.85%</t>
        </is>
      </c>
      <c r="G5" s="6" t="inlineStr">
        <is>
          <t>5.4%</t>
        </is>
      </c>
    </row>
    <row r="6">
      <c r="A6" s="6" t="inlineStr">
        <is>
          <t>Leverage ratio including claims on central banks / CRR (EU) leverage ratio (%) (FY2021 only, pre-KM1 template)</t>
        </is>
      </c>
      <c r="B6" s="6" t="n"/>
      <c r="C6" s="6" t="n"/>
      <c r="D6" s="6" t="n"/>
      <c r="E6" s="6" t="n"/>
      <c r="F6" s="6" t="n"/>
      <c r="G6" s="6" t="inlineStr">
        <is>
          <t>1.9%</t>
        </is>
      </c>
    </row>
    <row r="7" ht="60" customHeight="1">
      <c r="A7" s="7" t="inlineStr">
        <is>
          <t>Note: FY2021 predates the formal KM1 template and did not disclose a £ exposure measure, only two ratios: a 'UK leverage ratio' (excluding central bank exposures, matching the 'excluding claims on central banks' basis used from FY2022 onward) and a 'CRR (EU) leverage ratio' (including them). Starling noted it was 'not subject to the PRA Handbook's (UK) leverage ratio' at the time, i.e. this was disclosed voluntarily rather than as a binding requirement in FY2021.</t>
        </is>
      </c>
    </row>
    <row r="9" ht="150" customHeight="1">
      <c r="A9"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9:G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LCR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high-quality liquid assets (HQLA) (average weighted value)</t>
        </is>
      </c>
      <c r="B4" s="6" t="n">
        <v>7038393</v>
      </c>
      <c r="C4" s="6" t="n">
        <v>6812037</v>
      </c>
      <c r="D4" s="6" t="n">
        <v>6510731</v>
      </c>
      <c r="E4" s="6" t="n">
        <v>6413925</v>
      </c>
      <c r="F4" s="6" t="n">
        <v>5128346</v>
      </c>
      <c r="G4" s="6" t="n">
        <v>3410070</v>
      </c>
    </row>
    <row r="5">
      <c r="A5" s="6" t="inlineStr">
        <is>
          <t>Cash outflows (total weighted value)</t>
        </is>
      </c>
      <c r="B5" s="6" t="n">
        <v>1326072</v>
      </c>
      <c r="C5" s="6" t="n">
        <v>1477094</v>
      </c>
      <c r="D5" s="6" t="n">
        <v>1891560</v>
      </c>
      <c r="E5" s="6" t="n">
        <v>1711200</v>
      </c>
      <c r="F5" s="6" t="n">
        <v>1211430</v>
      </c>
      <c r="G5" s="6" t="n"/>
    </row>
    <row r="6">
      <c r="A6" s="6" t="inlineStr">
        <is>
          <t>Cash inflows (total weighted value)</t>
        </is>
      </c>
      <c r="B6" s="6" t="n">
        <v>89112</v>
      </c>
      <c r="C6" s="6" t="n">
        <v>156237</v>
      </c>
      <c r="D6" s="6" t="n">
        <v>446533</v>
      </c>
      <c r="E6" s="6" t="n">
        <v>311926</v>
      </c>
      <c r="F6" s="6" t="n">
        <v>209396</v>
      </c>
      <c r="G6" s="6" t="n"/>
    </row>
    <row r="7">
      <c r="A7" s="6" t="inlineStr">
        <is>
          <t>Total net cash outflows (adjusted value)</t>
        </is>
      </c>
      <c r="B7" s="6" t="n">
        <v>1236960</v>
      </c>
      <c r="C7" s="6" t="n">
        <v>1320857</v>
      </c>
      <c r="D7" s="6" t="n">
        <v>1445027</v>
      </c>
      <c r="E7" s="6" t="n">
        <v>1399274</v>
      </c>
      <c r="F7" s="6" t="n">
        <v>1002034</v>
      </c>
      <c r="G7" s="6" t="n">
        <v>674460</v>
      </c>
    </row>
    <row r="8">
      <c r="A8" s="6" t="inlineStr">
        <is>
          <t>Liquidity Coverage Ratio (%)</t>
        </is>
      </c>
      <c r="B8" s="6" t="inlineStr">
        <is>
          <t>569.01%</t>
        </is>
      </c>
      <c r="C8" s="6" t="inlineStr">
        <is>
          <t>515.73%</t>
        </is>
      </c>
      <c r="D8" s="6" t="inlineStr">
        <is>
          <t>450.56%</t>
        </is>
      </c>
      <c r="E8" s="6" t="inlineStr">
        <is>
          <t>460%</t>
        </is>
      </c>
      <c r="F8" s="6" t="inlineStr">
        <is>
          <t>515%</t>
        </is>
      </c>
      <c r="G8" s="6" t="inlineStr">
        <is>
          <t>506%</t>
        </is>
      </c>
    </row>
    <row r="9" ht="60" customHeight="1">
      <c r="A9" s="7" t="inlineStr">
        <is>
          <t>Note: FY2021 disclosed only Total HQLA and Total Net Cash Outflow (no separate cash inflow/outflow split) - predates the formal KM1 template. LCR/NSFR are averages over the year in every year shown.</t>
        </is>
      </c>
    </row>
    <row r="11" ht="150" customHeight="1">
      <c r="A11"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11:G11"/>
    <mergeCell ref="A9:G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NSFR</t>
        </is>
      </c>
    </row>
    <row r="2">
      <c r="A2" s="2" t="inlineStr">
        <is>
          <t>£'000 / %</t>
        </is>
      </c>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Total available stable funding</t>
        </is>
      </c>
      <c r="B4" s="6" t="n">
        <v>14206855</v>
      </c>
      <c r="C4" s="6" t="n">
        <v>13448876</v>
      </c>
      <c r="D4" s="6" t="n">
        <v>12578157</v>
      </c>
      <c r="E4" s="6" t="n">
        <v>11944952</v>
      </c>
      <c r="F4" s="6" t="n">
        <v>10660584</v>
      </c>
      <c r="G4" s="6" t="n">
        <v>6366591</v>
      </c>
    </row>
    <row r="5">
      <c r="A5" s="6" t="inlineStr">
        <is>
          <t>Total required stable funding</t>
        </is>
      </c>
      <c r="B5" s="6" t="n">
        <v>5754691</v>
      </c>
      <c r="C5" s="6" t="n">
        <v>5555204</v>
      </c>
      <c r="D5" s="6" t="n">
        <v>5646537</v>
      </c>
      <c r="E5" s="6" t="n">
        <v>4870012</v>
      </c>
      <c r="F5" s="6" t="n">
        <v>4088546</v>
      </c>
      <c r="G5" s="6" t="n">
        <v>2127872</v>
      </c>
    </row>
    <row r="6">
      <c r="A6" s="6" t="inlineStr">
        <is>
          <t>Net Stable Funding Ratio (%)</t>
        </is>
      </c>
      <c r="B6" s="6" t="inlineStr">
        <is>
          <t>246.87%</t>
        </is>
      </c>
      <c r="C6" s="6" t="inlineStr">
        <is>
          <t>242.10%</t>
        </is>
      </c>
      <c r="D6" s="6" t="inlineStr">
        <is>
          <t>222.76%</t>
        </is>
      </c>
      <c r="E6" s="6" t="inlineStr">
        <is>
          <t>245%</t>
        </is>
      </c>
      <c r="F6" s="6" t="inlineStr">
        <is>
          <t>261%</t>
        </is>
      </c>
      <c r="G6" s="6" t="inlineStr">
        <is>
          <t>299%</t>
        </is>
      </c>
    </row>
    <row r="8" ht="150" customHeight="1">
      <c r="A8"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1">
    <mergeCell ref="A8:G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Starling Bank Limited — MREL Ratio</t>
        </is>
      </c>
    </row>
    <row r="2">
      <c r="A2" s="2" t="inlineStr"/>
    </row>
    <row r="3">
      <c r="A3" s="4" t="inlineStr">
        <is>
          <t>Metric</t>
        </is>
      </c>
      <c r="B3" s="4" t="inlineStr">
        <is>
          <t>FY2026 (SGHL)‡</t>
        </is>
      </c>
      <c r="C3" s="4" t="inlineStr">
        <is>
          <t>FY2025</t>
        </is>
      </c>
      <c r="D3" s="4" t="inlineStr">
        <is>
          <t>FY2024</t>
        </is>
      </c>
      <c r="E3" s="4" t="inlineStr">
        <is>
          <t>FY2023</t>
        </is>
      </c>
      <c r="F3" s="4" t="inlineStr">
        <is>
          <t>FY2022</t>
        </is>
      </c>
      <c r="G3" s="4" t="inlineStr">
        <is>
          <t>FY2021†</t>
        </is>
      </c>
    </row>
    <row r="4">
      <c r="A4" s="6" t="inlineStr">
        <is>
          <t>MREL ratio</t>
        </is>
      </c>
      <c r="B4" s="6" t="inlineStr">
        <is>
          <t>Not disclosed (no numeric ratio published)</t>
        </is>
      </c>
      <c r="C4" s="6" t="inlineStr">
        <is>
          <t>Not disclosed (no numeric ratio published)</t>
        </is>
      </c>
      <c r="D4" s="6" t="inlineStr">
        <is>
          <t>Not disclosed (no numeric ratio published)</t>
        </is>
      </c>
      <c r="E4" s="6" t="inlineStr">
        <is>
          <t>Not disclosed (no numeric ratio published)</t>
        </is>
      </c>
      <c r="F4" s="6" t="inlineStr">
        <is>
          <t>Not disclosed (no numeric ratio published)</t>
        </is>
      </c>
      <c r="G4" s="6" t="inlineStr">
        <is>
          <t>Not disclosed (no numeric ratio published)</t>
        </is>
      </c>
    </row>
    <row r="5" ht="60" customHeight="1">
      <c r="A5" s="7" t="inlineStr">
        <is>
          <t>Note: MREL became applicable to Starling from April 2023 (previously not applicable, as for a small institution). From then, Starling states its capital is maintained 'above MREL requirements plus buffers at all times' but has never published a numeric MREL ratio or resources figure in any Pillar 3 report reviewed, FY2021-FY2026 - only this qualitative statement.</t>
        </is>
      </c>
    </row>
    <row r="7" ht="150" customHeight="1">
      <c r="A7" s="8" t="inlineStr">
        <is>
          <t>Sources - Starling Bank Limited Pillar 3 basis (Regulatory Group basis for FY2026 - see entity note on Cash Flow Statement sheet):
FY2026: Starling Group Pillar 3 report 2026, as at 31 March 2026, section 4.1 Key metrics, p.22-23 - https://www.starlingbank.com/docs/annual-reports/Pillar3-2026.pdf
FY2025: Starling Bank Limited Pillar 3 report 2025, as at 31 March 2025, section 4.1 Key metrics, p.22-23 - https://www.starlingbank.com/docs/annual-reports/Pillar3-2025.pdf
FY2024: Starling Bank Limited Pillar 3 report 2024, as at 31 March 2024, section 4.1 Key metrics, p.22-23 - https://www.starlingbank.com/docs/annual-reports/Pillar3-2024.pdf
FY2023: Starling Bank Limited Pillar 3 Report 2023, as at 31 March 2023, section 4.1 Key Metrics, p.21 - https://www.starlingbank.com/docs/annual-reports/Pillar3-2023.pdf
FY2022: Starling Bank Ltd Pillar 3 Report 2022, as at 31 March 2022 (FY2023 report's comparator column), p.21 - https://www.starlingbank.com/docs/annual-reports/Pillar3-2022.pdf
FY2021: Starling Bank Limited Pillar 3 Disclosures, as at 31 March 2021, sections 5 (Capital Resources), 5.2 (Leverage Ratio) and 12 (Liquidity), p.19-23 - https://www.starlingbank.com/docs/annual-reports/Pillar3-2021.pdf (pre-dates the formal KM1 template)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2026-08-27T18:24:26Z</dcterms:created>
  <dcterms:modified xsi:type="dcterms:W3CDTF">2026-08-27T18:24:26Z</dcterms:modified>
</cp:coreProperties>
</file>