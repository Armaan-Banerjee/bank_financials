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6B2C91"/>
        <bgColor rgb="006B2C91"/>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Starling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'Overview'!N6</f>
            </strRef>
          </tx>
          <spPr>
            <a:ln xmlns:a="http://schemas.openxmlformats.org/drawingml/2006/main">
              <a:prstDash val="solid"/>
            </a:ln>
          </spPr>
          <cat>
            <numRef>
              <f>'Overview'!$O$5:$X$5</f>
            </numRef>
          </cat>
          <val>
            <numRef>
              <f>'Overview'!$O$6:$X$6</f>
            </numRef>
          </val>
        </ser>
        <ser>
          <idx val="1"/>
          <order val="1"/>
          <tx>
            <strRef>
              <f>'Overview'!N7</f>
            </strRef>
          </tx>
          <spPr>
            <a:ln xmlns:a="http://schemas.openxmlformats.org/drawingml/2006/main">
              <a:prstDash val="solid"/>
            </a:ln>
          </spPr>
          <cat>
            <numRef>
              <f>'Overview'!$O$5:$X$5</f>
            </numRef>
          </cat>
          <val>
            <numRef>
              <f>'Overview'!$O$7:$X$7</f>
            </numRef>
          </val>
        </ser>
        <ser>
          <idx val="2"/>
          <order val="2"/>
          <tx>
            <strRef>
              <f>'Overview'!N8</f>
            </strRef>
          </tx>
          <spPr>
            <a:ln xmlns:a="http://schemas.openxmlformats.org/drawingml/2006/main">
              <a:prstDash val="solid"/>
            </a:ln>
          </spPr>
          <cat>
            <numRef>
              <f>'Overview'!$O$5:$X$5</f>
            </numRef>
          </cat>
          <val>
            <numRef>
              <f>'Overview'!$O$8:$X$8</f>
            </numRef>
          </val>
        </ser>
        <ser>
          <idx val="3"/>
          <order val="3"/>
          <tx>
            <strRef>
              <f>'Overview'!N9</f>
            </strRef>
          </tx>
          <spPr>
            <a:ln xmlns:a="http://schemas.openxmlformats.org/drawingml/2006/main">
              <a:prstDash val="solid"/>
            </a:ln>
          </spPr>
          <cat>
            <numRef>
              <f>'Overview'!$O$5:$X$5</f>
            </numRef>
          </cat>
          <val>
            <numRef>
              <f>'Overview'!$O$9:$X$9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Starling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'Overview'!AA13</f>
            </strRef>
          </tx>
          <spPr>
            <a:ln xmlns:a="http://schemas.openxmlformats.org/drawingml/2006/main">
              <a:prstDash val="solid"/>
            </a:ln>
          </spPr>
          <cat>
            <numRef>
              <f>'Overview'!$AB$12:$AK$12</f>
            </numRef>
          </cat>
          <val>
            <numRef>
              <f>'Overview'!$AB$13:$AK$13</f>
            </numRef>
          </val>
        </ser>
        <ser>
          <idx val="1"/>
          <order val="1"/>
          <tx>
            <strRef>
              <f>'Overview'!AA14</f>
            </strRef>
          </tx>
          <spPr>
            <a:ln xmlns:a="http://schemas.openxmlformats.org/drawingml/2006/main">
              <a:prstDash val="solid"/>
            </a:ln>
          </spPr>
          <cat>
            <numRef>
              <f>'Overview'!$AB$12:$AK$12</f>
            </numRef>
          </cat>
          <val>
            <numRef>
              <f>'Overview'!$AB$14:$AK$14</f>
            </numRef>
          </val>
        </ser>
        <ser>
          <idx val="2"/>
          <order val="2"/>
          <tx>
            <strRef>
              <f>'Overview'!AA15</f>
            </strRef>
          </tx>
          <spPr>
            <a:ln xmlns:a="http://schemas.openxmlformats.org/drawingml/2006/main">
              <a:prstDash val="solid"/>
            </a:ln>
          </spPr>
          <cat>
            <numRef>
              <f>'Overview'!$AB$12:$AK$12</f>
            </numRef>
          </cat>
          <val>
            <numRef>
              <f>'Overview'!$AB$15:$AK$15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Starling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'Overview'!AN19</f>
            </strRef>
          </tx>
          <spPr>
            <a:ln xmlns:a="http://schemas.openxmlformats.org/drawingml/2006/main">
              <a:prstDash val="solid"/>
            </a:ln>
          </spPr>
          <cat>
            <numRef>
              <f>'Overview'!$AO$18:$AT$18</f>
            </numRef>
          </cat>
          <val>
            <numRef>
              <f>'Overview'!$AO$19:$AT$19</f>
            </numRef>
          </val>
        </ser>
        <ser>
          <idx val="1"/>
          <order val="1"/>
          <tx>
            <strRef>
              <f>'Overview'!AN20</f>
            </strRef>
          </tx>
          <spPr>
            <a:ln xmlns:a="http://schemas.openxmlformats.org/drawingml/2006/main">
              <a:prstDash val="solid"/>
            </a:ln>
          </spPr>
          <cat>
            <numRef>
              <f>'Overview'!$AO$18:$AT$18</f>
            </numRef>
          </cat>
          <val>
            <numRef>
              <f>'Overview'!$AO$20:$AT$20</f>
            </numRef>
          </val>
        </ser>
        <ser>
          <idx val="2"/>
          <order val="2"/>
          <tx>
            <strRef>
              <f>'Overview'!AN21</f>
            </strRef>
          </tx>
          <spPr>
            <a:ln xmlns:a="http://schemas.openxmlformats.org/drawingml/2006/main">
              <a:prstDash val="solid"/>
            </a:ln>
          </spPr>
          <cat>
            <numRef>
              <f>'Overview'!$AO$18:$AT$18</f>
            </numRef>
          </cat>
          <val>
            <numRef>
              <f>'Overview'!$AO$21:$AT$21</f>
            </numRef>
          </val>
        </ser>
        <ser>
          <idx val="3"/>
          <order val="3"/>
          <tx>
            <strRef>
              <f>'Overview'!AN22</f>
            </strRef>
          </tx>
          <spPr>
            <a:ln xmlns:a="http://schemas.openxmlformats.org/drawingml/2006/main">
              <a:prstDash val="solid"/>
            </a:ln>
          </spPr>
          <cat>
            <numRef>
              <f>'Overview'!$AO$18:$AT$18</f>
            </numRef>
          </cat>
          <val>
            <numRef>
              <f>'Overview'!$AO$22:$AT$22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Starling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'Overview'!AW26</f>
            </strRef>
          </tx>
          <spPr>
            <a:ln xmlns:a="http://schemas.openxmlformats.org/drawingml/2006/main">
              <a:prstDash val="solid"/>
            </a:ln>
          </spPr>
          <cat>
            <numRef>
              <f>'Overview'!$AX$25:$BG$25</f>
            </numRef>
          </cat>
          <val>
            <numRef>
              <f>'Overview'!$AX$26:$BG$26</f>
            </numRef>
          </val>
        </ser>
        <ser>
          <idx val="1"/>
          <order val="1"/>
          <tx>
            <strRef>
              <f>'Overview'!AW27</f>
            </strRef>
          </tx>
          <spPr>
            <a:ln xmlns:a="http://schemas.openxmlformats.org/drawingml/2006/main">
              <a:prstDash val="solid"/>
            </a:ln>
          </spPr>
          <cat>
            <numRef>
              <f>'Overview'!$AX$25:$BG$25</f>
            </numRef>
          </cat>
          <val>
            <numRef>
              <f>'Overview'!$AX$27:$BG$27</f>
            </numRef>
          </val>
        </ser>
        <ser>
          <idx val="2"/>
          <order val="2"/>
          <tx>
            <strRef>
              <f>'Overview'!AW28</f>
            </strRef>
          </tx>
          <spPr>
            <a:ln xmlns:a="http://schemas.openxmlformats.org/drawingml/2006/main">
              <a:prstDash val="solid"/>
            </a:ln>
          </spPr>
          <cat>
            <numRef>
              <f>'Overview'!$AX$25:$BG$25</f>
            </numRef>
          </cat>
          <val>
            <numRef>
              <f>'Overview'!$AX$28:$BG$28</f>
            </numRef>
          </val>
        </ser>
        <ser>
          <idx val="3"/>
          <order val="3"/>
          <tx>
            <strRef>
              <f>'Overview'!AW29</f>
            </strRef>
          </tx>
          <spPr>
            <a:ln xmlns:a="http://schemas.openxmlformats.org/drawingml/2006/main">
              <a:prstDash val="solid"/>
            </a:ln>
          </spPr>
          <cat>
            <numRef>
              <f>'Overview'!$AX$25:$BG$25</f>
            </numRef>
          </cat>
          <val>
            <numRef>
              <f>'Overview'!$AX$29:$BG$29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Starling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'Overview'!BJ6</f>
            </strRef>
          </tx>
          <spPr>
            <a:ln xmlns:a="http://schemas.openxmlformats.org/drawingml/2006/main">
              <a:prstDash val="solid"/>
            </a:ln>
          </spPr>
          <marker>
            <symbol val="none"/>
            <spPr>
              <a:ln xmlns:a="http://schemas.openxmlformats.org/drawingml/2006/main">
                <a:prstDash val="solid"/>
              </a:ln>
            </spPr>
          </marker>
          <cat>
            <numRef>
              <f>'Overview'!$BK$5:$BP$5</f>
            </numRef>
          </cat>
          <val>
            <numRef>
              <f>'Overview'!$BK$6:$BP$6</f>
            </numRef>
          </val>
          <smooth val="0"/>
        </ser>
        <ser>
          <idx val="1"/>
          <order val="1"/>
          <tx>
            <strRef>
              <f>'Overview'!BJ7</f>
            </strRef>
          </tx>
          <spPr>
            <a:ln xmlns:a="http://schemas.openxmlformats.org/drawingml/2006/main">
              <a:prstDash val="solid"/>
            </a:ln>
          </spPr>
          <marker>
            <symbol val="none"/>
            <spPr>
              <a:ln xmlns:a="http://schemas.openxmlformats.org/drawingml/2006/main">
                <a:prstDash val="solid"/>
              </a:ln>
            </spPr>
          </marker>
          <cat>
            <numRef>
              <f>'Overview'!$BK$5:$BP$5</f>
            </numRef>
          </cat>
          <val>
            <numRef>
              <f>'Overview'!$BK$7:$BP$7</f>
            </numRef>
          </val>
          <smooth val="0"/>
        </ser>
        <ser>
          <idx val="2"/>
          <order val="2"/>
          <tx>
            <strRef>
              <f>'Overview'!BJ8</f>
            </strRef>
          </tx>
          <spPr>
            <a:ln xmlns:a="http://schemas.openxmlformats.org/drawingml/2006/main">
              <a:prstDash val="solid"/>
            </a:ln>
          </spPr>
          <marker>
            <symbol val="none"/>
            <spPr>
              <a:ln xmlns:a="http://schemas.openxmlformats.org/drawingml/2006/main">
                <a:prstDash val="solid"/>
              </a:ln>
            </spPr>
          </marker>
          <cat>
            <numRef>
              <f>'Overview'!$BK$5:$BP$5</f>
            </numRef>
          </cat>
          <val>
            <numRef>
              <f>'Overview'!$BK$8:$BP$8</f>
            </numRef>
          </val>
          <smooth val="0"/>
        </ser>
        <ser>
          <idx val="3"/>
          <order val="3"/>
          <tx>
            <strRef>
              <f>'Overview'!BJ9</f>
            </strRef>
          </tx>
          <spPr>
            <a:ln xmlns:a="http://schemas.openxmlformats.org/drawingml/2006/main">
              <a:prstDash val="solid"/>
            </a:ln>
          </spPr>
          <marker>
            <symbol val="none"/>
            <spPr>
              <a:ln xmlns:a="http://schemas.openxmlformats.org/drawingml/2006/main">
                <a:prstDash val="solid"/>
              </a:ln>
            </spPr>
          </marker>
          <cat>
            <numRef>
              <f>'Overview'!$BK$5:$BP$5</f>
            </numRef>
          </cat>
          <val>
            <numRef>
              <f>'Overview'!$BK$9:$BP$9</f>
            </numRef>
          </val>
          <smooth val="0"/>
        </ser>
        <ser>
          <idx val="4"/>
          <order val="4"/>
          <tx>
            <strRef>
              <f>'Overview'!BJ10</f>
            </strRef>
          </tx>
          <spPr>
            <a:ln xmlns:a="http://schemas.openxmlformats.org/drawingml/2006/main">
              <a:prstDash val="solid"/>
            </a:ln>
          </spPr>
          <marker>
            <symbol val="none"/>
            <spPr>
              <a:ln xmlns:a="http://schemas.openxmlformats.org/drawingml/2006/main">
                <a:prstDash val="solid"/>
              </a:ln>
            </spPr>
          </marker>
          <cat>
            <numRef>
              <f>'Overview'!$BK$5:$BP$5</f>
            </numRef>
          </cat>
          <val>
            <numRef>
              <f>'Overview'!$BK$10:$BP$10</f>
            </numRef>
          </val>
          <smooth val="0"/>
        </ser>
        <ser>
          <idx val="5"/>
          <order val="5"/>
          <tx>
            <strRef>
              <f>'Overview'!BJ11</f>
            </strRef>
          </tx>
          <spPr>
            <a:ln xmlns:a="http://schemas.openxmlformats.org/drawingml/2006/main">
              <a:prstDash val="solid"/>
            </a:ln>
          </spPr>
          <marker>
            <symbol val="none"/>
            <spPr>
              <a:ln xmlns:a="http://schemas.openxmlformats.org/drawingml/2006/main">
                <a:prstDash val="solid"/>
              </a:ln>
            </spPr>
          </marker>
          <cat>
            <numRef>
              <f>'Overview'!$BK$5:$BP$5</f>
            </numRef>
          </cat>
          <val>
            <numRef>
              <f>'Overview'!$BK$11:$BP$11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P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s>
  <sheetData>
    <row r="1">
      <c r="A1" s="1" t="inlineStr">
        <is>
          <t>Starling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FY2026 (SGHL)‡</t>
        </is>
      </c>
      <c r="C5" s="4" t="inlineStr">
        <is>
          <t>FY2025</t>
        </is>
      </c>
      <c r="D5" s="4" t="inlineStr">
        <is>
          <t>FY2024</t>
        </is>
      </c>
      <c r="E5" s="4" t="inlineStr">
        <is>
          <t>FY2023</t>
        </is>
      </c>
      <c r="F5" s="4" t="inlineStr">
        <is>
          <t>FY2022</t>
        </is>
      </c>
      <c r="G5" s="4" t="inlineStr">
        <is>
          <t>FY2021†</t>
        </is>
      </c>
      <c r="H5" s="4" t="inlineStr">
        <is>
          <t>FY2020</t>
        </is>
      </c>
      <c r="I5" s="4" t="inlineStr">
        <is>
          <t>FY2019</t>
        </is>
      </c>
      <c r="J5" s="4" t="inlineStr">
        <is>
          <t>FY2018</t>
        </is>
      </c>
      <c r="K5" s="4" t="inlineStr">
        <is>
          <t>FY2017</t>
        </is>
      </c>
      <c r="O5" t="inlineStr">
        <is>
          <t>FY2017</t>
        </is>
      </c>
      <c r="P5" t="inlineStr">
        <is>
          <t>FY2018</t>
        </is>
      </c>
      <c r="Q5" t="inlineStr">
        <is>
          <t>FY2019</t>
        </is>
      </c>
      <c r="R5" t="inlineStr">
        <is>
          <t>FY2020</t>
        </is>
      </c>
      <c r="S5" t="inlineStr">
        <is>
          <t>FY2021†</t>
        </is>
      </c>
      <c r="T5" t="inlineStr">
        <is>
          <t>FY2022</t>
        </is>
      </c>
      <c r="U5" t="inlineStr">
        <is>
          <t>FY2023</t>
        </is>
      </c>
      <c r="V5" t="inlineStr">
        <is>
          <t>FY2024</t>
        </is>
      </c>
      <c r="W5" t="inlineStr">
        <is>
          <t>FY2025</t>
        </is>
      </c>
      <c r="X5" t="inlineStr">
        <is>
          <t>FY2026 (SGHL)‡</t>
        </is>
      </c>
      <c r="BK5" t="inlineStr">
        <is>
          <t>FY2021†</t>
        </is>
      </c>
      <c r="BL5" t="inlineStr">
        <is>
          <t>FY2022</t>
        </is>
      </c>
      <c r="BM5" t="inlineStr">
        <is>
          <t>FY2023</t>
        </is>
      </c>
      <c r="BN5" t="inlineStr">
        <is>
          <t>FY2024</t>
        </is>
      </c>
      <c r="BO5" t="inlineStr">
        <is>
          <t>FY2025</t>
        </is>
      </c>
      <c r="BP5" t="inlineStr">
        <is>
          <t>FY2026 (SGHL)‡</t>
        </is>
      </c>
    </row>
    <row r="6">
      <c r="A6" s="5" t="inlineStr">
        <is>
          <t>Total assets</t>
        </is>
      </c>
      <c r="B6" s="5" t="n">
        <v>16639934</v>
      </c>
      <c r="C6" s="5" t="n">
        <v>15697672</v>
      </c>
      <c r="D6" s="5" t="n">
        <v>14767892</v>
      </c>
      <c r="E6" s="5" t="n">
        <v>13711495</v>
      </c>
      <c r="F6" s="5" t="n">
        <v>11905521</v>
      </c>
      <c r="G6" s="5" t="n">
        <v>7048834</v>
      </c>
      <c r="H6" s="5" t="inlineStr">
        <is>
          <t>Not applicable - no FY2020 balance-sheet date; ARD moved 30 Nov to 31 Mar</t>
        </is>
      </c>
      <c r="I6" s="5" t="n">
        <v>1200682</v>
      </c>
      <c r="J6" s="5" t="n">
        <v>234669</v>
      </c>
      <c r="K6" s="5" t="n">
        <v>53277</v>
      </c>
      <c r="N6" t="inlineStr">
        <is>
          <t>Total assets</t>
        </is>
      </c>
      <c r="O6" t="n">
        <v>53277</v>
      </c>
      <c r="P6" t="n">
        <v>234669</v>
      </c>
      <c r="Q6" t="n">
        <v>1200682</v>
      </c>
      <c r="R6" t="inlineStr">
        <is>
          <t>Not applicable - no FY2020 balance-sheet date; ARD moved 30 Nov to 31 Mar</t>
        </is>
      </c>
      <c r="S6" t="n">
        <v>7048834</v>
      </c>
      <c r="T6" t="n">
        <v>11905521</v>
      </c>
      <c r="U6" t="n">
        <v>13711495</v>
      </c>
      <c r="V6" t="n">
        <v>14767892</v>
      </c>
      <c r="W6" t="n">
        <v>15697672</v>
      </c>
      <c r="X6" t="n">
        <v>16639934</v>
      </c>
      <c r="BJ6" t="inlineStr">
        <is>
          <t>CET1 Ratio</t>
        </is>
      </c>
      <c r="BK6" t="n">
        <v>47.9</v>
      </c>
      <c r="BL6" t="n">
        <v>39.96</v>
      </c>
      <c r="BM6" t="n">
        <v>37.5</v>
      </c>
      <c r="BN6" t="n">
        <v>32.55</v>
      </c>
      <c r="BO6" t="n">
        <v>31.55</v>
      </c>
      <c r="BP6" t="n">
        <v>28.58</v>
      </c>
    </row>
    <row r="7">
      <c r="A7" s="5" t="inlineStr">
        <is>
          <t>Loans and advances to customers</t>
        </is>
      </c>
      <c r="B7" s="5" t="n">
        <v>5161359</v>
      </c>
      <c r="C7" s="5" t="n">
        <v>4670567</v>
      </c>
      <c r="D7" s="5" t="n">
        <v>4537663</v>
      </c>
      <c r="E7" s="5" t="n">
        <v>4731997</v>
      </c>
      <c r="F7" s="5" t="n">
        <v>3234673</v>
      </c>
      <c r="G7" s="5" t="n">
        <v>2232846</v>
      </c>
      <c r="H7" s="5" t="n"/>
      <c r="I7" s="5" t="n">
        <v>54290</v>
      </c>
      <c r="J7" s="5" t="n">
        <v>8698</v>
      </c>
      <c r="K7" s="5" t="n">
        <v>804</v>
      </c>
      <c r="N7" t="inlineStr">
        <is>
          <t>Loans and advances to customers</t>
        </is>
      </c>
      <c r="O7" t="n">
        <v>804</v>
      </c>
      <c r="P7" t="n">
        <v>8698</v>
      </c>
      <c r="Q7" t="n">
        <v>54290</v>
      </c>
      <c r="S7" t="n">
        <v>2232846</v>
      </c>
      <c r="T7" t="n">
        <v>3234673</v>
      </c>
      <c r="U7" t="n">
        <v>4731997</v>
      </c>
      <c r="V7" t="n">
        <v>4537663</v>
      </c>
      <c r="W7" t="n">
        <v>4670567</v>
      </c>
      <c r="X7" t="n">
        <v>5161359</v>
      </c>
      <c r="BJ7" t="inlineStr">
        <is>
          <t>Tier 1 Ratio</t>
        </is>
      </c>
      <c r="BK7" t="n">
        <v>47.9</v>
      </c>
      <c r="BL7" t="n">
        <v>39.96</v>
      </c>
      <c r="BM7" t="n">
        <v>37.5</v>
      </c>
      <c r="BN7" t="n">
        <v>32.55</v>
      </c>
      <c r="BO7" t="n">
        <v>31.55</v>
      </c>
      <c r="BP7" t="n">
        <v>28.58</v>
      </c>
    </row>
    <row r="8">
      <c r="A8" s="5" t="inlineStr">
        <is>
          <t>Customer deposits</t>
        </is>
      </c>
      <c r="B8" s="5" t="n">
        <v>12691991</v>
      </c>
      <c r="C8" s="5" t="n">
        <v>12066650</v>
      </c>
      <c r="D8" s="5" t="n">
        <v>10970237</v>
      </c>
      <c r="E8" s="5" t="n">
        <v>10551820</v>
      </c>
      <c r="F8" s="5" t="n">
        <v>9027413</v>
      </c>
      <c r="G8" s="5" t="n">
        <v>5827581</v>
      </c>
      <c r="H8" s="5" t="n"/>
      <c r="I8" s="5" t="n">
        <v>1007282</v>
      </c>
      <c r="J8" s="5" t="n">
        <v>202323</v>
      </c>
      <c r="K8" s="5" t="n">
        <v>18083</v>
      </c>
      <c r="N8" t="inlineStr">
        <is>
          <t>Customer deposits</t>
        </is>
      </c>
      <c r="O8" t="n">
        <v>18083</v>
      </c>
      <c r="P8" t="n">
        <v>202323</v>
      </c>
      <c r="Q8" t="n">
        <v>1007282</v>
      </c>
      <c r="S8" t="n">
        <v>5827581</v>
      </c>
      <c r="T8" t="n">
        <v>9027413</v>
      </c>
      <c r="U8" t="n">
        <v>10551820</v>
      </c>
      <c r="V8" t="n">
        <v>10970237</v>
      </c>
      <c r="W8" t="n">
        <v>12066650</v>
      </c>
      <c r="X8" t="n">
        <v>12691991</v>
      </c>
      <c r="BJ8" t="inlineStr">
        <is>
          <t>Total Capital Ratio</t>
        </is>
      </c>
      <c r="BK8" t="n">
        <v>47.9</v>
      </c>
      <c r="BL8" t="n">
        <v>39.96</v>
      </c>
      <c r="BM8" t="n">
        <v>37.5</v>
      </c>
      <c r="BN8" t="n">
        <v>32.55</v>
      </c>
      <c r="BO8" t="n">
        <v>31.55</v>
      </c>
      <c r="BP8" t="n">
        <v>28.58</v>
      </c>
    </row>
    <row r="9">
      <c r="A9" s="5" t="inlineStr">
        <is>
          <t>Total equity</t>
        </is>
      </c>
      <c r="B9" s="5" t="n">
        <v>1204945</v>
      </c>
      <c r="C9" s="5" t="n">
        <v>1046052</v>
      </c>
      <c r="D9" s="5" t="n">
        <v>889770</v>
      </c>
      <c r="E9" s="5" t="n">
        <v>695277</v>
      </c>
      <c r="F9" s="5" t="n">
        <v>430424</v>
      </c>
      <c r="G9" s="5" t="n">
        <v>140831</v>
      </c>
      <c r="H9" s="5" t="n"/>
      <c r="I9" s="5" t="n">
        <v>67926</v>
      </c>
      <c r="J9" s="5" t="n">
        <v>27999</v>
      </c>
      <c r="K9" s="5" t="n">
        <v>32718</v>
      </c>
      <c r="N9" t="inlineStr">
        <is>
          <t>Total equity</t>
        </is>
      </c>
      <c r="O9" t="n">
        <v>32718</v>
      </c>
      <c r="P9" t="n">
        <v>27999</v>
      </c>
      <c r="Q9" t="n">
        <v>67926</v>
      </c>
      <c r="S9" t="n">
        <v>140831</v>
      </c>
      <c r="T9" t="n">
        <v>430424</v>
      </c>
      <c r="U9" t="n">
        <v>695277</v>
      </c>
      <c r="V9" t="n">
        <v>889770</v>
      </c>
      <c r="W9" t="n">
        <v>1046052</v>
      </c>
      <c r="X9" t="n">
        <v>1204945</v>
      </c>
      <c r="BJ9" t="inlineStr">
        <is>
          <t>Leverage Ratio</t>
        </is>
      </c>
      <c r="BK9" t="n">
        <v>5.4</v>
      </c>
      <c r="BL9" t="n">
        <v>7.85</v>
      </c>
      <c r="BM9" t="n">
        <v>9.300000000000001</v>
      </c>
      <c r="BN9" t="n">
        <v>10.39</v>
      </c>
      <c r="BO9" t="n">
        <v>11.14</v>
      </c>
      <c r="BP9" t="n">
        <v>8.91</v>
      </c>
    </row>
    <row r="10">
      <c r="BJ10" t="inlineStr">
        <is>
          <t>LCR</t>
        </is>
      </c>
      <c r="BK10" t="n">
        <v>506</v>
      </c>
      <c r="BL10" t="n">
        <v>515</v>
      </c>
      <c r="BM10" t="n">
        <v>460</v>
      </c>
      <c r="BN10" t="n">
        <v>450.56</v>
      </c>
      <c r="BO10" t="n">
        <v>515.73</v>
      </c>
      <c r="BP10" t="n">
        <v>569.01</v>
      </c>
    </row>
    <row r="11">
      <c r="A11" s="3" t="inlineStr">
        <is>
          <t>Profit &amp; Loss Summary (£'000)</t>
        </is>
      </c>
      <c r="BJ11" t="inlineStr">
        <is>
          <t>NSFR</t>
        </is>
      </c>
      <c r="BK11" t="n">
        <v>299</v>
      </c>
      <c r="BL11" t="n">
        <v>261</v>
      </c>
      <c r="BM11" t="n">
        <v>245</v>
      </c>
      <c r="BN11" t="n">
        <v>222.76</v>
      </c>
      <c r="BO11" t="n">
        <v>242.1</v>
      </c>
      <c r="BP11" t="n">
        <v>246.87</v>
      </c>
    </row>
    <row r="12">
      <c r="A12" s="4" t="inlineStr">
        <is>
          <t>Line item</t>
        </is>
      </c>
      <c r="B12" s="4" t="inlineStr">
        <is>
          <t>FY2026 (SGHL)‡</t>
        </is>
      </c>
      <c r="C12" s="4" t="inlineStr">
        <is>
          <t>FY2025</t>
        </is>
      </c>
      <c r="D12" s="4" t="inlineStr">
        <is>
          <t>FY2024</t>
        </is>
      </c>
      <c r="E12" s="4" t="inlineStr">
        <is>
          <t>FY2023</t>
        </is>
      </c>
      <c r="F12" s="4" t="inlineStr">
        <is>
          <t>FY2022</t>
        </is>
      </c>
      <c r="G12" s="4" t="inlineStr">
        <is>
          <t>FY2021†</t>
        </is>
      </c>
      <c r="H12" s="4" t="inlineStr">
        <is>
          <t>FY2020</t>
        </is>
      </c>
      <c r="I12" s="4" t="inlineStr">
        <is>
          <t>FY2019</t>
        </is>
      </c>
      <c r="J12" s="4" t="inlineStr">
        <is>
          <t>FY2018</t>
        </is>
      </c>
      <c r="K12" s="4" t="inlineStr">
        <is>
          <t>FY2017</t>
        </is>
      </c>
      <c r="AB12" t="inlineStr">
        <is>
          <t>FY2017</t>
        </is>
      </c>
      <c r="AC12" t="inlineStr">
        <is>
          <t>FY2018</t>
        </is>
      </c>
      <c r="AD12" t="inlineStr">
        <is>
          <t>FY2019</t>
        </is>
      </c>
      <c r="AE12" t="inlineStr">
        <is>
          <t>FY2020</t>
        </is>
      </c>
      <c r="AF12" t="inlineStr">
        <is>
          <t>FY2021†</t>
        </is>
      </c>
      <c r="AG12" t="inlineStr">
        <is>
          <t>FY2022</t>
        </is>
      </c>
      <c r="AH12" t="inlineStr">
        <is>
          <t>FY2023</t>
        </is>
      </c>
      <c r="AI12" t="inlineStr">
        <is>
          <t>FY2024</t>
        </is>
      </c>
      <c r="AJ12" t="inlineStr">
        <is>
          <t>FY2025</t>
        </is>
      </c>
      <c r="AK12" t="inlineStr">
        <is>
          <t>FY2026 (SGHL)‡</t>
        </is>
      </c>
    </row>
    <row r="13">
      <c r="A13" s="5" t="inlineStr">
        <is>
          <t>Total income / Revenue</t>
        </is>
      </c>
      <c r="B13" s="5" t="n">
        <v>887355</v>
      </c>
      <c r="C13" s="5" t="n">
        <v>680383</v>
      </c>
      <c r="D13" s="5" t="n">
        <v>647118</v>
      </c>
      <c r="E13" s="5" t="n">
        <v>414814</v>
      </c>
      <c r="F13" s="5" t="n">
        <v>188066</v>
      </c>
      <c r="G13" s="5" t="n">
        <v>97589</v>
      </c>
      <c r="H13" s="5" t="n"/>
      <c r="I13" s="5" t="n"/>
      <c r="J13" s="5" t="n"/>
      <c r="K13" s="5" t="n"/>
      <c r="AA13" t="inlineStr">
        <is>
          <t>Total income / Revenue</t>
        </is>
      </c>
      <c r="AF13" t="n">
        <v>97589</v>
      </c>
      <c r="AG13" t="n">
        <v>188066</v>
      </c>
      <c r="AH13" t="n">
        <v>414814</v>
      </c>
      <c r="AI13" t="n">
        <v>647118</v>
      </c>
      <c r="AJ13" t="n">
        <v>680383</v>
      </c>
      <c r="AK13" t="n">
        <v>887355</v>
      </c>
    </row>
    <row r="14">
      <c r="A14" s="5" t="inlineStr">
        <is>
          <t>Operating expenses</t>
        </is>
      </c>
      <c r="B14" s="5" t="n">
        <v>-441955</v>
      </c>
      <c r="C14" s="5" t="n">
        <v>-460213</v>
      </c>
      <c r="D14" s="5" t="n">
        <v>-332130</v>
      </c>
      <c r="E14" s="5" t="n">
        <v>-220674</v>
      </c>
      <c r="F14" s="5" t="n">
        <v>-178336</v>
      </c>
      <c r="G14" s="5" t="n">
        <v>-158981</v>
      </c>
      <c r="H14" s="5" t="n"/>
      <c r="I14" s="5" t="n"/>
      <c r="J14" s="5" t="n"/>
      <c r="K14" s="5" t="n"/>
      <c r="AA14" t="inlineStr">
        <is>
          <t>Operating expenses</t>
        </is>
      </c>
      <c r="AF14" t="n">
        <v>-158981</v>
      </c>
      <c r="AG14" t="n">
        <v>-178336</v>
      </c>
      <c r="AH14" t="n">
        <v>-220674</v>
      </c>
      <c r="AI14" t="n">
        <v>-332130</v>
      </c>
      <c r="AJ14" t="n">
        <v>-460213</v>
      </c>
      <c r="AK14" t="n">
        <v>-441955</v>
      </c>
    </row>
    <row r="15">
      <c r="A15" s="5" t="inlineStr">
        <is>
          <t>Profit/(loss) after taxation</t>
        </is>
      </c>
      <c r="B15" s="5" t="n">
        <v>156043</v>
      </c>
      <c r="C15" s="5" t="n">
        <v>150722</v>
      </c>
      <c r="D15" s="5" t="n">
        <v>220001</v>
      </c>
      <c r="E15" s="5" t="n">
        <v>142856</v>
      </c>
      <c r="F15" s="5" t="n">
        <v>44938</v>
      </c>
      <c r="G15" s="5" t="n">
        <v>-23319</v>
      </c>
      <c r="H15" s="5" t="n"/>
      <c r="I15" s="5" t="n">
        <v>-52064</v>
      </c>
      <c r="J15" s="5" t="n">
        <v>-25070</v>
      </c>
      <c r="K15" s="5" t="n">
        <v>-10196</v>
      </c>
      <c r="AA15" t="inlineStr">
        <is>
          <t>Profit/(loss) after taxation</t>
        </is>
      </c>
      <c r="AB15" t="n">
        <v>-10196</v>
      </c>
      <c r="AC15" t="n">
        <v>-25070</v>
      </c>
      <c r="AD15" t="n">
        <v>-52064</v>
      </c>
      <c r="AF15" t="n">
        <v>-23319</v>
      </c>
      <c r="AG15" t="n">
        <v>44938</v>
      </c>
      <c r="AH15" t="n">
        <v>142856</v>
      </c>
      <c r="AI15" t="n">
        <v>220001</v>
      </c>
      <c r="AJ15" t="n">
        <v>150722</v>
      </c>
      <c r="AK15" t="n">
        <v>156043</v>
      </c>
    </row>
    <row r="17">
      <c r="A17" s="3" t="inlineStr">
        <is>
          <t>Statement of Changes in Equity Summary (£'000)</t>
        </is>
      </c>
    </row>
    <row r="18">
      <c r="A18" s="4" t="inlineStr">
        <is>
          <t>Line item</t>
        </is>
      </c>
      <c r="B18" s="4" t="inlineStr">
        <is>
          <t>FY2026 (SGHL)‡</t>
        </is>
      </c>
      <c r="C18" s="4" t="inlineStr">
        <is>
          <t>FY2025</t>
        </is>
      </c>
      <c r="D18" s="4" t="inlineStr">
        <is>
          <t>FY2024</t>
        </is>
      </c>
      <c r="E18" s="4" t="inlineStr">
        <is>
          <t>FY2023</t>
        </is>
      </c>
      <c r="F18" s="4" t="inlineStr">
        <is>
          <t>FY2022</t>
        </is>
      </c>
      <c r="G18" s="4" t="inlineStr">
        <is>
          <t>FY2021†</t>
        </is>
      </c>
      <c r="AO18" t="inlineStr">
        <is>
          <t>FY2021†</t>
        </is>
      </c>
      <c r="AP18" t="inlineStr">
        <is>
          <t>FY2022</t>
        </is>
      </c>
      <c r="AQ18" t="inlineStr">
        <is>
          <t>FY2023</t>
        </is>
      </c>
      <c r="AR18" t="inlineStr">
        <is>
          <t>FY2024</t>
        </is>
      </c>
      <c r="AS18" t="inlineStr">
        <is>
          <t>FY2025</t>
        </is>
      </c>
      <c r="AT18" t="inlineStr">
        <is>
          <t>FY2026 (SGHL)‡</t>
        </is>
      </c>
    </row>
    <row r="19">
      <c r="A19" s="5" t="inlineStr">
        <is>
          <t>Opening equity</t>
        </is>
      </c>
      <c r="B19" s="5" t="n">
        <v>1046052</v>
      </c>
      <c r="C19" s="5" t="n">
        <v>889770</v>
      </c>
      <c r="D19" s="5" t="n">
        <v>695277</v>
      </c>
      <c r="E19" s="5" t="n">
        <v>430424</v>
      </c>
      <c r="F19" s="5" t="n">
        <v>140831</v>
      </c>
      <c r="G19" s="5" t="n">
        <v>67926</v>
      </c>
      <c r="AN19" t="inlineStr">
        <is>
          <t>Opening equity</t>
        </is>
      </c>
      <c r="AO19" t="n">
        <v>67926</v>
      </c>
      <c r="AP19" t="n">
        <v>140831</v>
      </c>
      <c r="AQ19" t="n">
        <v>430424</v>
      </c>
      <c r="AR19" t="n">
        <v>695277</v>
      </c>
      <c r="AS19" t="n">
        <v>889770</v>
      </c>
      <c r="AT19" t="n">
        <v>1046052</v>
      </c>
    </row>
    <row r="20">
      <c r="A20" s="5" t="inlineStr">
        <is>
          <t>Total comprehensive income/(loss) for the year</t>
        </is>
      </c>
      <c r="B20" s="5" t="n">
        <v>146625</v>
      </c>
      <c r="C20" s="5" t="n">
        <v>143430</v>
      </c>
      <c r="D20" s="5" t="n">
        <v>247405</v>
      </c>
      <c r="E20" s="5" t="n">
        <v>132657</v>
      </c>
      <c r="F20" s="5" t="n">
        <v>44934</v>
      </c>
      <c r="G20" s="5" t="n">
        <v>-23319</v>
      </c>
      <c r="AN20" t="inlineStr">
        <is>
          <t>Total comprehensive income/(loss) for the year</t>
        </is>
      </c>
      <c r="AO20" t="n">
        <v>-23319</v>
      </c>
      <c r="AP20" t="n">
        <v>44934</v>
      </c>
      <c r="AQ20" t="n">
        <v>132657</v>
      </c>
      <c r="AR20" t="n">
        <v>247405</v>
      </c>
      <c r="AS20" t="n">
        <v>143430</v>
      </c>
      <c r="AT20" t="n">
        <v>146625</v>
      </c>
    </row>
    <row r="21">
      <c r="A21" s="5" t="inlineStr">
        <is>
          <t>Other equity movements, net</t>
        </is>
      </c>
      <c r="B21" s="5" t="n">
        <v>12268</v>
      </c>
      <c r="C21" s="5" t="n">
        <v>12852</v>
      </c>
      <c r="D21" s="5" t="n">
        <v>-52912</v>
      </c>
      <c r="E21" s="5" t="n">
        <v>132196</v>
      </c>
      <c r="F21" s="5" t="n">
        <v>244659</v>
      </c>
      <c r="G21" s="5" t="n">
        <v>96224</v>
      </c>
      <c r="AN21" t="inlineStr">
        <is>
          <t>Other equity movements, net</t>
        </is>
      </c>
      <c r="AO21" t="n">
        <v>96224</v>
      </c>
      <c r="AP21" t="n">
        <v>244659</v>
      </c>
      <c r="AQ21" t="n">
        <v>132196</v>
      </c>
      <c r="AR21" t="n">
        <v>-52912</v>
      </c>
      <c r="AS21" t="n">
        <v>12852</v>
      </c>
      <c r="AT21" t="n">
        <v>12268</v>
      </c>
    </row>
    <row r="22">
      <c r="A22" s="5" t="inlineStr">
        <is>
          <t>Closing equity</t>
        </is>
      </c>
      <c r="B22" s="5" t="n">
        <v>1204945</v>
      </c>
      <c r="C22" s="5" t="n">
        <v>1046052</v>
      </c>
      <c r="D22" s="5" t="n">
        <v>889770</v>
      </c>
      <c r="E22" s="5" t="n">
        <v>695277</v>
      </c>
      <c r="F22" s="5" t="n">
        <v>430424</v>
      </c>
      <c r="G22" s="5" t="n">
        <v>140831</v>
      </c>
      <c r="AN22" t="inlineStr">
        <is>
          <t>Closing equity</t>
        </is>
      </c>
      <c r="AO22" t="n">
        <v>140831</v>
      </c>
      <c r="AP22" t="n">
        <v>430424</v>
      </c>
      <c r="AQ22" t="n">
        <v>695277</v>
      </c>
      <c r="AR22" t="n">
        <v>889770</v>
      </c>
      <c r="AS22" t="n">
        <v>1046052</v>
      </c>
      <c r="AT22" t="n">
        <v>1204945</v>
      </c>
    </row>
    <row r="24">
      <c r="A24" s="3" t="inlineStr">
        <is>
          <t>Cash Flow Summary (£'000)</t>
        </is>
      </c>
    </row>
    <row r="25">
      <c r="A25" s="4" t="inlineStr">
        <is>
          <t>Line item</t>
        </is>
      </c>
      <c r="B25" s="4" t="inlineStr">
        <is>
          <t>FY2026 (SGHL)‡</t>
        </is>
      </c>
      <c r="C25" s="4" t="inlineStr">
        <is>
          <t>FY2025</t>
        </is>
      </c>
      <c r="D25" s="4" t="inlineStr">
        <is>
          <t>FY2024</t>
        </is>
      </c>
      <c r="E25" s="4" t="inlineStr">
        <is>
          <t>FY2023</t>
        </is>
      </c>
      <c r="F25" s="4" t="inlineStr">
        <is>
          <t>FY2022</t>
        </is>
      </c>
      <c r="G25" s="4" t="inlineStr">
        <is>
          <t>FY2021†</t>
        </is>
      </c>
      <c r="H25" s="4" t="inlineStr">
        <is>
          <t>FY2020</t>
        </is>
      </c>
      <c r="I25" s="4" t="inlineStr">
        <is>
          <t>FY2019</t>
        </is>
      </c>
      <c r="J25" s="4" t="inlineStr">
        <is>
          <t>FY2018</t>
        </is>
      </c>
      <c r="K25" s="4" t="inlineStr">
        <is>
          <t>FY2017</t>
        </is>
      </c>
      <c r="AX25" t="inlineStr">
        <is>
          <t>FY2017</t>
        </is>
      </c>
      <c r="AY25" t="inlineStr">
        <is>
          <t>FY2018</t>
        </is>
      </c>
      <c r="AZ25" t="inlineStr">
        <is>
          <t>FY2019</t>
        </is>
      </c>
      <c r="BA25" t="inlineStr">
        <is>
          <t>FY2020</t>
        </is>
      </c>
      <c r="BB25" t="inlineStr">
        <is>
          <t>FY2021†</t>
        </is>
      </c>
      <c r="BC25" t="inlineStr">
        <is>
          <t>FY2022</t>
        </is>
      </c>
      <c r="BD25" t="inlineStr">
        <is>
          <t>FY2023</t>
        </is>
      </c>
      <c r="BE25" t="inlineStr">
        <is>
          <t>FY2024</t>
        </is>
      </c>
      <c r="BF25" t="inlineStr">
        <is>
          <t>FY2025</t>
        </is>
      </c>
      <c r="BG25" t="inlineStr">
        <is>
          <t>FY2026 (SGHL)‡</t>
        </is>
      </c>
    </row>
    <row r="26">
      <c r="A26" s="5" t="inlineStr">
        <is>
          <t>Net cash flows from operating activities</t>
        </is>
      </c>
      <c r="B26" s="5" t="n">
        <v>183334</v>
      </c>
      <c r="C26" s="5" t="n">
        <v>1016373</v>
      </c>
      <c r="D26" s="5" t="n">
        <v>1290259</v>
      </c>
      <c r="E26" s="5" t="n">
        <v>80602</v>
      </c>
      <c r="F26" s="5" t="n">
        <v>3535459</v>
      </c>
      <c r="G26" s="5" t="n">
        <v>3530940</v>
      </c>
      <c r="H26" s="5" t="n"/>
      <c r="I26" s="5" t="n"/>
      <c r="J26" s="5" t="n"/>
      <c r="K26" s="5" t="n"/>
      <c r="AW26" t="inlineStr">
        <is>
          <t>Net cash flows from operating activities</t>
        </is>
      </c>
      <c r="BB26" t="n">
        <v>3530940</v>
      </c>
      <c r="BC26" t="n">
        <v>3535459</v>
      </c>
      <c r="BD26" t="n">
        <v>80602</v>
      </c>
      <c r="BE26" t="n">
        <v>1290259</v>
      </c>
      <c r="BF26" t="n">
        <v>1016373</v>
      </c>
      <c r="BG26" t="n">
        <v>183334</v>
      </c>
    </row>
    <row r="27">
      <c r="A27" s="5" t="inlineStr">
        <is>
          <t>Net cash flows from investing activities</t>
        </is>
      </c>
      <c r="B27" s="5" t="n">
        <v>-2971053</v>
      </c>
      <c r="C27" s="5" t="n">
        <v>-703480</v>
      </c>
      <c r="D27" s="5" t="n">
        <v>-876839</v>
      </c>
      <c r="E27" s="5" t="n">
        <v>-192075</v>
      </c>
      <c r="F27" s="5" t="n">
        <v>-879270</v>
      </c>
      <c r="G27" s="5" t="n">
        <v>-1191134</v>
      </c>
      <c r="H27" s="5" t="n"/>
      <c r="I27" s="5" t="n">
        <v>-217244</v>
      </c>
      <c r="J27" s="5" t="n">
        <v>-6040</v>
      </c>
      <c r="K27" s="5" t="n">
        <v>-4955</v>
      </c>
      <c r="AW27" t="inlineStr">
        <is>
          <t>Net cash flows from investing activities</t>
        </is>
      </c>
      <c r="AX27" t="n">
        <v>-4955</v>
      </c>
      <c r="AY27" t="n">
        <v>-6040</v>
      </c>
      <c r="AZ27" t="n">
        <v>-217244</v>
      </c>
      <c r="BB27" t="n">
        <v>-1191134</v>
      </c>
      <c r="BC27" t="n">
        <v>-879270</v>
      </c>
      <c r="BD27" t="n">
        <v>-192075</v>
      </c>
      <c r="BE27" t="n">
        <v>-876839</v>
      </c>
      <c r="BF27" t="n">
        <v>-703480</v>
      </c>
      <c r="BG27" t="n">
        <v>-2971053</v>
      </c>
    </row>
    <row r="28">
      <c r="A28" s="5" t="inlineStr">
        <is>
          <t>Net cash flows from financing activities</t>
        </is>
      </c>
      <c r="B28" s="5" t="n">
        <v>295880</v>
      </c>
      <c r="C28" s="5" t="n">
        <v>-52710</v>
      </c>
      <c r="D28" s="5" t="n">
        <v>-58516</v>
      </c>
      <c r="E28" s="5" t="n">
        <v>130432</v>
      </c>
      <c r="F28" s="5" t="n">
        <v>238220</v>
      </c>
      <c r="G28" s="5" t="n">
        <v>91838</v>
      </c>
      <c r="H28" s="5" t="n"/>
      <c r="I28" s="5" t="n">
        <v>91550</v>
      </c>
      <c r="J28" s="5" t="n">
        <v>20351</v>
      </c>
      <c r="K28" s="5" t="n">
        <v>29865</v>
      </c>
      <c r="AW28" t="inlineStr">
        <is>
          <t>Net cash flows from financing activities</t>
        </is>
      </c>
      <c r="AX28" t="n">
        <v>29865</v>
      </c>
      <c r="AY28" t="n">
        <v>20351</v>
      </c>
      <c r="AZ28" t="n">
        <v>91550</v>
      </c>
      <c r="BB28" t="n">
        <v>91838</v>
      </c>
      <c r="BC28" t="n">
        <v>238220</v>
      </c>
      <c r="BD28" t="n">
        <v>130432</v>
      </c>
      <c r="BE28" t="n">
        <v>-58516</v>
      </c>
      <c r="BF28" t="n">
        <v>-52710</v>
      </c>
      <c r="BG28" t="n">
        <v>295880</v>
      </c>
    </row>
    <row r="29">
      <c r="A29" s="5" t="inlineStr">
        <is>
          <t>Cash and cash equivalents at end of period/year</t>
        </is>
      </c>
      <c r="B29" s="5" t="n">
        <v>4225338</v>
      </c>
      <c r="C29" s="5" t="n">
        <v>6717177</v>
      </c>
      <c r="D29" s="5" t="n">
        <v>6456994</v>
      </c>
      <c r="E29" s="5" t="n">
        <v>6102090</v>
      </c>
      <c r="F29" s="5" t="n">
        <v>6083131</v>
      </c>
      <c r="G29" s="5" t="n">
        <v>3196349</v>
      </c>
      <c r="H29" s="5" t="inlineStr">
        <is>
          <t>Not applicable - no FY2020 reporting period; ARD moved 30 Nov to 31 Mar</t>
        </is>
      </c>
      <c r="I29" s="5" t="n">
        <v>764705</v>
      </c>
      <c r="J29" s="5" t="n">
        <v>187008</v>
      </c>
      <c r="K29" s="5" t="n">
        <v>37544</v>
      </c>
      <c r="AW29" t="inlineStr">
        <is>
          <t>Cash and cash equivalents at end of period/year</t>
        </is>
      </c>
      <c r="AX29" t="n">
        <v>37544</v>
      </c>
      <c r="AY29" t="n">
        <v>187008</v>
      </c>
      <c r="AZ29" t="n">
        <v>764705</v>
      </c>
      <c r="BA29" t="inlineStr">
        <is>
          <t>Not applicable - no FY2020 reporting period; ARD moved 30 Nov to 31 Mar</t>
        </is>
      </c>
      <c r="BB29" t="n">
        <v>3196349</v>
      </c>
      <c r="BC29" t="n">
        <v>6083131</v>
      </c>
      <c r="BD29" t="n">
        <v>6102090</v>
      </c>
      <c r="BE29" t="n">
        <v>6456994</v>
      </c>
      <c r="BF29" t="n">
        <v>6717177</v>
      </c>
      <c r="BG29" t="n">
        <v>4225338</v>
      </c>
    </row>
    <row r="31">
      <c r="A31" s="3" t="inlineStr">
        <is>
          <t>Pillar 3 Key Metrics</t>
        </is>
      </c>
    </row>
    <row r="32">
      <c r="A32" s="4" t="inlineStr">
        <is>
          <t>Line item</t>
        </is>
      </c>
      <c r="B32" s="4" t="inlineStr">
        <is>
          <t>FY2026 (SGHL)‡</t>
        </is>
      </c>
      <c r="C32" s="4" t="inlineStr">
        <is>
          <t>FY2025</t>
        </is>
      </c>
      <c r="D32" s="4" t="inlineStr">
        <is>
          <t>FY2024</t>
        </is>
      </c>
      <c r="E32" s="4" t="inlineStr">
        <is>
          <t>FY2023</t>
        </is>
      </c>
      <c r="F32" s="4" t="inlineStr">
        <is>
          <t>FY2022</t>
        </is>
      </c>
      <c r="G32" s="4" t="inlineStr">
        <is>
          <t>FY2021†</t>
        </is>
      </c>
    </row>
    <row r="33">
      <c r="A33" s="6" t="inlineStr">
        <is>
          <t>CET1 Ratio</t>
        </is>
      </c>
      <c r="B33" s="6" t="inlineStr">
        <is>
          <t>28.58%</t>
        </is>
      </c>
      <c r="C33" s="6" t="inlineStr">
        <is>
          <t>31.55%</t>
        </is>
      </c>
      <c r="D33" s="6" t="inlineStr">
        <is>
          <t>32.55%</t>
        </is>
      </c>
      <c r="E33" s="6" t="inlineStr">
        <is>
          <t>37.50%</t>
        </is>
      </c>
      <c r="F33" s="6" t="inlineStr">
        <is>
          <t>39.96%</t>
        </is>
      </c>
      <c r="G33" s="6" t="inlineStr">
        <is>
          <t>47.9%</t>
        </is>
      </c>
    </row>
    <row r="34">
      <c r="A34" s="6" t="inlineStr">
        <is>
          <t>Tier 1 Ratio</t>
        </is>
      </c>
      <c r="B34" s="6" t="inlineStr">
        <is>
          <t>28.58%</t>
        </is>
      </c>
      <c r="C34" s="6" t="inlineStr">
        <is>
          <t>31.55%</t>
        </is>
      </c>
      <c r="D34" s="6" t="inlineStr">
        <is>
          <t>32.55%</t>
        </is>
      </c>
      <c r="E34" s="6" t="inlineStr">
        <is>
          <t>37.50%</t>
        </is>
      </c>
      <c r="F34" s="6" t="inlineStr">
        <is>
          <t>39.96%</t>
        </is>
      </c>
      <c r="G34" s="6" t="inlineStr">
        <is>
          <t>47.9%</t>
        </is>
      </c>
    </row>
    <row r="35">
      <c r="A35" s="6" t="inlineStr">
        <is>
          <t>Total Capital Ratio</t>
        </is>
      </c>
      <c r="B35" s="6" t="inlineStr">
        <is>
          <t>28.58%</t>
        </is>
      </c>
      <c r="C35" s="6" t="inlineStr">
        <is>
          <t>31.55%</t>
        </is>
      </c>
      <c r="D35" s="6" t="inlineStr">
        <is>
          <t>32.55%</t>
        </is>
      </c>
      <c r="E35" s="6" t="inlineStr">
        <is>
          <t>37.50%</t>
        </is>
      </c>
      <c r="F35" s="6" t="inlineStr">
        <is>
          <t>39.96%</t>
        </is>
      </c>
      <c r="G35" s="6" t="inlineStr">
        <is>
          <t>47.9%</t>
        </is>
      </c>
    </row>
    <row r="36">
      <c r="A36" s="6" t="inlineStr">
        <is>
          <t>Leverage Ratio</t>
        </is>
      </c>
      <c r="B36" s="6" t="inlineStr">
        <is>
          <t>8.91%</t>
        </is>
      </c>
      <c r="C36" s="6" t="inlineStr">
        <is>
          <t>11.14%</t>
        </is>
      </c>
      <c r="D36" s="6" t="inlineStr">
        <is>
          <t>10.39%</t>
        </is>
      </c>
      <c r="E36" s="6" t="inlineStr">
        <is>
          <t>9.30%</t>
        </is>
      </c>
      <c r="F36" s="6" t="inlineStr">
        <is>
          <t>7.85%</t>
        </is>
      </c>
      <c r="G36" s="6" t="inlineStr">
        <is>
          <t>5.4%</t>
        </is>
      </c>
    </row>
    <row r="37">
      <c r="A37" s="6" t="inlineStr">
        <is>
          <t>LCR</t>
        </is>
      </c>
      <c r="B37" s="6" t="inlineStr">
        <is>
          <t>569.01%</t>
        </is>
      </c>
      <c r="C37" s="6" t="inlineStr">
        <is>
          <t>515.73%</t>
        </is>
      </c>
      <c r="D37" s="6" t="inlineStr">
        <is>
          <t>450.56%</t>
        </is>
      </c>
      <c r="E37" s="6" t="inlineStr">
        <is>
          <t>460%</t>
        </is>
      </c>
      <c r="F37" s="6" t="inlineStr">
        <is>
          <t>515%</t>
        </is>
      </c>
      <c r="G37" s="6" t="inlineStr">
        <is>
          <t>506%</t>
        </is>
      </c>
    </row>
    <row r="38">
      <c r="A38" s="6" t="inlineStr">
        <is>
          <t>NSFR</t>
        </is>
      </c>
      <c r="B38" s="6" t="inlineStr">
        <is>
          <t>246.87%</t>
        </is>
      </c>
      <c r="C38" s="6" t="inlineStr">
        <is>
          <t>242.10%</t>
        </is>
      </c>
      <c r="D38" s="6" t="inlineStr">
        <is>
          <t>222.76%</t>
        </is>
      </c>
      <c r="E38" s="6" t="inlineStr">
        <is>
          <t>245%</t>
        </is>
      </c>
      <c r="F38" s="6" t="inlineStr">
        <is>
          <t>261%</t>
        </is>
      </c>
      <c r="G38" s="6" t="inlineStr">
        <is>
          <t>299%</t>
        </is>
      </c>
    </row>
    <row r="40" ht="39" customHeight="1">
      <c r="A40" s="7" t="inlineStr">
        <is>
          <t>Note: Figures are duplicated from the detail sheets for at-a-glance trend viewing; see each sheet's own source citation for the underlying document/page. Net cash from operating activities combines two reporting presentations Starling used across this period (FY2021-FY2023 vs. FY2024-FY2026); see the Cash Flow Statement sheet for the distinction. Leverage ratio shown on the 'excluding claims on central banks' basis for comparability (FY2021 disclosed on the since-retired 'including' CRR basis instead - see Leverage Ratio sheet).</t>
        </is>
      </c>
    </row>
  </sheetData>
  <mergeCells count="1">
    <mergeCell ref="A40:K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4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Starling Bank Limited — Balance Sheet</t>
        </is>
      </c>
    </row>
    <row r="2">
      <c r="A2" s="2" t="inlineStr">
        <is>
          <t>Group/consolidated basis, £'000. Total assets = Total liabilities + Total equity for every year; Total equity ties exactly to the Statement of Changes in Equity sheet's own opening/closing balances - zero plug rows. FY2021: 16-month period (†). FY2026: Starling Group Holdings Limited (‡).</t>
        </is>
      </c>
    </row>
    <row r="3">
      <c r="A3" s="4" t="inlineStr">
        <is>
          <t>Line item</t>
        </is>
      </c>
      <c r="B3" s="4" t="inlineStr">
        <is>
          <t>FY2026 (SGHL)‡ (£'000)</t>
        </is>
      </c>
      <c r="C3" s="4" t="inlineStr">
        <is>
          <t>FY2025 (£'000)</t>
        </is>
      </c>
      <c r="D3" s="4" t="inlineStr">
        <is>
          <t>FY2024 (£'000)</t>
        </is>
      </c>
      <c r="E3" s="4" t="inlineStr">
        <is>
          <t>FY2023 (£'000)</t>
        </is>
      </c>
      <c r="F3" s="4" t="inlineStr">
        <is>
          <t>FY2022 (£'000)</t>
        </is>
      </c>
      <c r="G3" s="4" t="inlineStr">
        <is>
          <t>FY2021† (£'000)</t>
        </is>
      </c>
      <c r="H3" s="4" t="inlineStr">
        <is>
          <t>FY2020 (£'000)</t>
        </is>
      </c>
      <c r="I3" s="4" t="inlineStr">
        <is>
          <t>FY2019 (£'000)</t>
        </is>
      </c>
      <c r="J3" s="4" t="inlineStr">
        <is>
          <t>FY2018 (£'000)</t>
        </is>
      </c>
      <c r="K3" s="4" t="inlineStr">
        <is>
          <t>FY2017 (£'000)</t>
        </is>
      </c>
    </row>
    <row r="4">
      <c r="A4" s="5" t="inlineStr">
        <is>
          <t>Assets</t>
        </is>
      </c>
      <c r="B4" s="6" t="n"/>
      <c r="C4" s="6" t="n"/>
      <c r="D4" s="6" t="n"/>
      <c r="E4" s="6" t="n"/>
      <c r="F4" s="6" t="n"/>
      <c r="G4" s="6" t="n"/>
      <c r="H4" s="6" t="n"/>
      <c r="I4" s="6" t="n"/>
      <c r="J4" s="6" t="n"/>
      <c r="K4" s="6" t="n"/>
    </row>
    <row r="5">
      <c r="A5" s="6" t="inlineStr">
        <is>
          <t>Cash and balances at central banks</t>
        </is>
      </c>
      <c r="B5" s="6" t="n">
        <v>4188830</v>
      </c>
      <c r="C5" s="6" t="n">
        <v>6686688</v>
      </c>
      <c r="D5" s="6" t="n">
        <v>6420115</v>
      </c>
      <c r="E5" s="6" t="n"/>
      <c r="F5" s="6" t="n"/>
      <c r="G5" s="6" t="n"/>
      <c r="H5" s="6" t="n"/>
      <c r="I5" s="6" t="n"/>
      <c r="J5" s="6" t="n"/>
      <c r="K5" s="6" t="n"/>
    </row>
    <row r="6">
      <c r="A6" s="6" t="inlineStr">
        <is>
          <t>Loans and advances to banks (FY2021-FY2023: includes cash and cash equivalents - see source note)</t>
        </is>
      </c>
      <c r="B6" s="6" t="n">
        <v>36508</v>
      </c>
      <c r="C6" s="6" t="n">
        <v>30489</v>
      </c>
      <c r="D6" s="6" t="n">
        <v>36879</v>
      </c>
      <c r="E6" s="6" t="n">
        <v>6109704</v>
      </c>
      <c r="F6" s="6" t="n">
        <v>6107281</v>
      </c>
      <c r="G6" s="6" t="n">
        <v>3196349</v>
      </c>
      <c r="H6" s="6" t="n"/>
      <c r="I6" s="6" t="n">
        <v>764705</v>
      </c>
      <c r="J6" s="6" t="n">
        <v>187008</v>
      </c>
      <c r="K6" s="6" t="n">
        <v>37544</v>
      </c>
    </row>
    <row r="7">
      <c r="A7" s="6" t="inlineStr">
        <is>
          <t>Total debt securities</t>
        </is>
      </c>
      <c r="B7" s="6" t="n">
        <v>6843426</v>
      </c>
      <c r="C7" s="6" t="n">
        <v>3934922</v>
      </c>
      <c r="D7" s="6" t="n">
        <v>3284867</v>
      </c>
      <c r="E7" s="6" t="n">
        <v>2479550</v>
      </c>
      <c r="F7" s="6" t="n">
        <v>2306886</v>
      </c>
      <c r="G7" s="6" t="n">
        <v>1513278</v>
      </c>
      <c r="H7" s="6" t="n"/>
      <c r="I7" s="6" t="n">
        <v>331597</v>
      </c>
      <c r="J7" s="6" t="n">
        <v>18039</v>
      </c>
      <c r="K7" s="6" t="n">
        <v>3014</v>
      </c>
    </row>
    <row r="8">
      <c r="A8" s="6" t="inlineStr">
        <is>
          <t>Debt securities - issued by governments and supranational bodies (government securities)</t>
        </is>
      </c>
      <c r="B8" s="6" t="n">
        <v>3043972</v>
      </c>
      <c r="C8" s="6" t="n">
        <v>1711624</v>
      </c>
      <c r="D8" s="6" t="n">
        <v>1535013</v>
      </c>
      <c r="E8" s="6" t="n">
        <v>1544706</v>
      </c>
      <c r="F8" s="6" t="n">
        <v>1705167</v>
      </c>
      <c r="G8" s="6" t="n">
        <v>1119687</v>
      </c>
      <c r="H8" s="6" t="n"/>
      <c r="I8" s="6" t="n"/>
      <c r="J8" s="6" t="n"/>
      <c r="K8" s="6" t="n"/>
    </row>
    <row r="9">
      <c r="A9" s="6" t="inlineStr">
        <is>
          <t>Debt securities - covered bonds issued by banks and building societies</t>
        </is>
      </c>
      <c r="B9" s="6" t="n">
        <v>1867695</v>
      </c>
      <c r="C9" s="6" t="n">
        <v>1258616</v>
      </c>
      <c r="D9" s="6" t="n">
        <v>1109808</v>
      </c>
      <c r="E9" s="6" t="n">
        <v>925494</v>
      </c>
      <c r="F9" s="6" t="n">
        <v>613430</v>
      </c>
      <c r="G9" s="6" t="n">
        <v>382638</v>
      </c>
      <c r="H9" s="6" t="n"/>
      <c r="I9" s="6" t="n"/>
      <c r="J9" s="6" t="n"/>
      <c r="K9" s="6" t="n"/>
    </row>
    <row r="10">
      <c r="A10" s="6" t="inlineStr">
        <is>
          <t>Debt securities - residential mortgage-backed securities (RMBS) issued by banks and building societies</t>
        </is>
      </c>
      <c r="B10" s="6" t="n">
        <v>1963242</v>
      </c>
      <c r="C10" s="6" t="n">
        <v>993778</v>
      </c>
      <c r="D10" s="6" t="n">
        <v>675881</v>
      </c>
      <c r="E10" s="6" t="n">
        <v>48040</v>
      </c>
      <c r="F10" s="6" t="n">
        <v>11664</v>
      </c>
      <c r="G10" s="6" t="n">
        <v>13652</v>
      </c>
      <c r="H10" s="6" t="n"/>
      <c r="I10" s="6" t="n"/>
      <c r="J10" s="6" t="n"/>
      <c r="K10" s="6" t="n"/>
    </row>
    <row r="11">
      <c r="A11" s="6" t="inlineStr">
        <is>
          <t>Debt securities - fair value adjustment for hedged risk (reconciling item, see source note)</t>
        </is>
      </c>
      <c r="B11" s="6" t="n">
        <v>-31483</v>
      </c>
      <c r="C11" s="6" t="n">
        <v>-29096</v>
      </c>
      <c r="D11" s="6" t="n">
        <v>-35835</v>
      </c>
      <c r="E11" s="6" t="n">
        <v>-38690</v>
      </c>
      <c r="F11" s="6" t="n">
        <v>-23375</v>
      </c>
      <c r="G11" s="6" t="n">
        <v>-2699</v>
      </c>
      <c r="H11" s="6" t="n"/>
      <c r="I11" s="6" t="n"/>
      <c r="J11" s="6" t="n"/>
      <c r="K11" s="6" t="n"/>
    </row>
    <row r="12">
      <c r="A12" s="6" t="inlineStr">
        <is>
          <t>Derivative assets</t>
        </is>
      </c>
      <c r="B12" s="6" t="n">
        <v>110908</v>
      </c>
      <c r="C12" s="6" t="n">
        <v>156615</v>
      </c>
      <c r="D12" s="6" t="n">
        <v>246541</v>
      </c>
      <c r="E12" s="6" t="n">
        <v>221774</v>
      </c>
      <c r="F12" s="6" t="n">
        <v>98056</v>
      </c>
      <c r="G12" s="6" t="n">
        <v>13488</v>
      </c>
      <c r="H12" s="6" t="n"/>
      <c r="I12" s="6" t="n"/>
      <c r="J12" s="6" t="n"/>
      <c r="K12" s="6" t="n"/>
    </row>
    <row r="13">
      <c r="A13" s="6" t="inlineStr">
        <is>
          <t>Loans and advances to customers</t>
        </is>
      </c>
      <c r="B13" s="6" t="n">
        <v>5161359</v>
      </c>
      <c r="C13" s="6" t="n">
        <v>4670567</v>
      </c>
      <c r="D13" s="6" t="n">
        <v>4537663</v>
      </c>
      <c r="E13" s="6" t="n">
        <v>4731997</v>
      </c>
      <c r="F13" s="6" t="n">
        <v>3234673</v>
      </c>
      <c r="G13" s="6" t="n">
        <v>2232846</v>
      </c>
      <c r="H13" s="6" t="n"/>
      <c r="I13" s="6" t="n">
        <v>54290</v>
      </c>
      <c r="J13" s="6" t="n">
        <v>8698</v>
      </c>
      <c r="K13" s="6" t="n">
        <v>804</v>
      </c>
    </row>
    <row r="14">
      <c r="A14" s="6" t="inlineStr">
        <is>
          <t>Other assets</t>
        </is>
      </c>
      <c r="B14" s="6" t="n">
        <v>63120</v>
      </c>
      <c r="C14" s="6" t="n">
        <v>54474</v>
      </c>
      <c r="D14" s="6" t="n">
        <v>100047</v>
      </c>
      <c r="E14" s="6" t="n">
        <v>71851</v>
      </c>
      <c r="F14" s="6" t="n">
        <v>66635</v>
      </c>
      <c r="G14" s="6" t="n">
        <v>63460</v>
      </c>
      <c r="H14" s="6" t="n"/>
      <c r="I14" s="6" t="n">
        <v>31642</v>
      </c>
      <c r="J14" s="6" t="n">
        <v>7087</v>
      </c>
      <c r="K14" s="6" t="n">
        <v>2332</v>
      </c>
    </row>
    <row r="15">
      <c r="A15" s="6" t="inlineStr">
        <is>
          <t>Current tax asset</t>
        </is>
      </c>
      <c r="B15" s="6" t="n">
        <v>0</v>
      </c>
      <c r="C15" s="6" t="n">
        <v>748</v>
      </c>
      <c r="D15" s="6" t="n">
        <v>15640</v>
      </c>
      <c r="E15" s="6" t="n"/>
      <c r="F15" s="6" t="n"/>
      <c r="G15" s="6" t="n"/>
      <c r="H15" s="6" t="n"/>
      <c r="I15" s="6" t="n"/>
      <c r="J15" s="6" t="n"/>
      <c r="K15" s="6" t="n"/>
    </row>
    <row r="16">
      <c r="A16" s="6" t="inlineStr">
        <is>
          <t>Deferred tax asset</t>
        </is>
      </c>
      <c r="B16" s="6" t="n">
        <v>1702</v>
      </c>
      <c r="C16" s="6" t="n"/>
      <c r="D16" s="6" t="n"/>
      <c r="E16" s="6" t="n">
        <v>4664</v>
      </c>
      <c r="F16" s="6" t="n">
        <v>21985</v>
      </c>
      <c r="G16" s="6" t="n">
        <v>6088</v>
      </c>
      <c r="H16" s="6" t="n"/>
      <c r="I16" s="6" t="n"/>
      <c r="J16" s="6" t="n"/>
      <c r="K16" s="6" t="n"/>
    </row>
    <row r="17">
      <c r="A17" s="6" t="inlineStr">
        <is>
          <t>Property, plant and equipment and right of use assets</t>
        </is>
      </c>
      <c r="B17" s="6" t="n">
        <v>26726</v>
      </c>
      <c r="C17" s="6" t="n">
        <v>18388</v>
      </c>
      <c r="D17" s="6" t="n">
        <v>18727</v>
      </c>
      <c r="E17" s="6" t="n">
        <v>15480</v>
      </c>
      <c r="F17" s="6" t="n">
        <v>5904</v>
      </c>
      <c r="G17" s="6" t="n"/>
      <c r="H17" s="6" t="n"/>
      <c r="I17" s="6" t="n">
        <v>2393</v>
      </c>
      <c r="J17" s="6" t="n">
        <v>616</v>
      </c>
      <c r="K17" s="6" t="n">
        <v>253</v>
      </c>
    </row>
    <row r="18">
      <c r="A18" s="6" t="inlineStr">
        <is>
          <t>Property, plant and equipment and intangible assets (FY2021: combined, pre-dates Goodwill - see source note)</t>
        </is>
      </c>
      <c r="B18" s="6" t="n"/>
      <c r="C18" s="6" t="n"/>
      <c r="D18" s="6" t="n"/>
      <c r="E18" s="6" t="n"/>
      <c r="F18" s="6" t="n"/>
      <c r="G18" s="6" t="n">
        <v>23325</v>
      </c>
      <c r="H18" s="6" t="n"/>
      <c r="I18" s="6" t="n"/>
      <c r="J18" s="6" t="n"/>
      <c r="K18" s="6" t="n"/>
    </row>
    <row r="19">
      <c r="A19" s="6" t="inlineStr">
        <is>
          <t>Intangible assets</t>
        </is>
      </c>
      <c r="B19" s="6" t="n">
        <v>169008</v>
      </c>
      <c r="C19" s="6" t="n">
        <v>108891</v>
      </c>
      <c r="D19" s="6" t="n">
        <v>71523</v>
      </c>
      <c r="E19" s="6" t="n">
        <v>40585</v>
      </c>
      <c r="F19" s="6" t="n">
        <v>28211</v>
      </c>
      <c r="G19" s="6" t="n"/>
      <c r="H19" s="6" t="n"/>
      <c r="I19" s="6" t="n">
        <v>16055</v>
      </c>
      <c r="J19" s="6" t="n">
        <v>13221</v>
      </c>
      <c r="K19" s="6" t="n">
        <v>9330</v>
      </c>
    </row>
    <row r="20">
      <c r="A20" s="6" t="inlineStr">
        <is>
          <t>Goodwill</t>
        </is>
      </c>
      <c r="B20" s="6" t="n">
        <v>38347</v>
      </c>
      <c r="C20" s="6" t="n">
        <v>35890</v>
      </c>
      <c r="D20" s="6" t="n">
        <v>35890</v>
      </c>
      <c r="E20" s="6" t="n">
        <v>35890</v>
      </c>
      <c r="F20" s="6" t="n">
        <v>35890</v>
      </c>
      <c r="G20" s="6" t="n"/>
      <c r="H20" s="6" t="n"/>
      <c r="I20" s="6" t="n"/>
      <c r="J20" s="6" t="n"/>
      <c r="K20" s="6" t="n"/>
    </row>
    <row r="21">
      <c r="A21" s="5" t="inlineStr">
        <is>
          <t>Total assets</t>
        </is>
      </c>
      <c r="B21" s="5" t="n">
        <v>16639934</v>
      </c>
      <c r="C21" s="5" t="n">
        <v>15697672</v>
      </c>
      <c r="D21" s="5" t="n">
        <v>14767892</v>
      </c>
      <c r="E21" s="5" t="n">
        <v>13711495</v>
      </c>
      <c r="F21" s="5" t="n">
        <v>11905521</v>
      </c>
      <c r="G21" s="5" t="n">
        <v>7048834</v>
      </c>
      <c r="H21" s="5" t="inlineStr">
        <is>
          <t>Not applicable - no FY2020 balance-sheet date; ARD moved 30 Nov to 31 Mar</t>
        </is>
      </c>
      <c r="I21" s="5" t="n">
        <v>1200682</v>
      </c>
      <c r="J21" s="5" t="n">
        <v>234669</v>
      </c>
      <c r="K21" s="5" t="n">
        <v>53277</v>
      </c>
    </row>
    <row r="22">
      <c r="A22" s="5" t="inlineStr">
        <is>
          <t>Liabilities</t>
        </is>
      </c>
      <c r="B22" s="6" t="n"/>
      <c r="C22" s="6" t="n"/>
      <c r="D22" s="6" t="n"/>
      <c r="E22" s="6" t="n"/>
      <c r="F22" s="6" t="n"/>
      <c r="G22" s="6" t="n"/>
      <c r="H22" s="6" t="n"/>
      <c r="I22" s="6" t="n"/>
      <c r="J22" s="6" t="n"/>
      <c r="K22" s="6" t="n"/>
    </row>
    <row r="23">
      <c r="A23" s="6" t="inlineStr">
        <is>
          <t>Customer deposits</t>
        </is>
      </c>
      <c r="B23" s="6" t="n">
        <v>12691991</v>
      </c>
      <c r="C23" s="6" t="n">
        <v>12066650</v>
      </c>
      <c r="D23" s="6" t="n">
        <v>10970237</v>
      </c>
      <c r="E23" s="6" t="n">
        <v>10551820</v>
      </c>
      <c r="F23" s="6" t="n">
        <v>9027413</v>
      </c>
      <c r="G23" s="6" t="n">
        <v>5827581</v>
      </c>
      <c r="H23" s="6" t="n"/>
      <c r="I23" s="6" t="n">
        <v>1007282</v>
      </c>
      <c r="J23" s="6" t="n">
        <v>202323</v>
      </c>
      <c r="K23" s="6" t="n">
        <v>18083</v>
      </c>
    </row>
    <row r="24">
      <c r="A24" s="6" t="inlineStr">
        <is>
          <t>Deposits from banks</t>
        </is>
      </c>
      <c r="B24" s="6" t="n">
        <v>2539524</v>
      </c>
      <c r="C24" s="6" t="n">
        <v>2278221</v>
      </c>
      <c r="D24" s="6" t="n">
        <v>2420471</v>
      </c>
      <c r="E24" s="6" t="n">
        <v>2274306</v>
      </c>
      <c r="F24" s="6" t="n">
        <v>2283821</v>
      </c>
      <c r="G24" s="6" t="n"/>
      <c r="H24" s="6" t="n"/>
      <c r="I24" s="6" t="n"/>
      <c r="J24" s="6" t="n"/>
      <c r="K24" s="6" t="n"/>
    </row>
    <row r="25">
      <c r="A25" s="6" t="inlineStr">
        <is>
          <t>Central Bank Facilities (FY2021 - TFSME drawdown, predates Deposits from banks presentation)</t>
        </is>
      </c>
      <c r="B25" s="6" t="n"/>
      <c r="C25" s="6" t="n"/>
      <c r="D25" s="6" t="n"/>
      <c r="E25" s="6" t="n"/>
      <c r="F25" s="6" t="n"/>
      <c r="G25" s="6" t="n">
        <v>1000000</v>
      </c>
      <c r="H25" s="6" t="n"/>
      <c r="I25" s="6" t="n"/>
      <c r="J25" s="6" t="n"/>
      <c r="K25" s="6" t="n"/>
    </row>
    <row r="26">
      <c r="A26" s="6" t="inlineStr">
        <is>
          <t>Derivative liabilities</t>
        </is>
      </c>
      <c r="B26" s="6" t="n">
        <v>39098</v>
      </c>
      <c r="C26" s="6" t="n">
        <v>49052</v>
      </c>
      <c r="D26" s="6" t="n">
        <v>51417</v>
      </c>
      <c r="E26" s="6" t="n">
        <v>55452</v>
      </c>
      <c r="F26" s="6" t="n">
        <v>330</v>
      </c>
      <c r="G26" s="6" t="n">
        <v>818</v>
      </c>
      <c r="H26" s="6" t="n"/>
      <c r="I26" s="6" t="n"/>
      <c r="J26" s="6" t="n"/>
      <c r="K26" s="6" t="n"/>
    </row>
    <row r="27">
      <c r="A27" s="6" t="inlineStr">
        <is>
          <t>Other liabilities</t>
        </is>
      </c>
      <c r="B27" s="6" t="n">
        <v>106320</v>
      </c>
      <c r="C27" s="6" t="n">
        <v>145617</v>
      </c>
      <c r="D27" s="6" t="n">
        <v>367422</v>
      </c>
      <c r="E27" s="6" t="n">
        <v>96958</v>
      </c>
      <c r="F27" s="6" t="n">
        <v>138614</v>
      </c>
      <c r="G27" s="6" t="n">
        <v>39141</v>
      </c>
      <c r="H27" s="6" t="n"/>
      <c r="I27" s="6" t="n">
        <v>40542</v>
      </c>
      <c r="J27" s="6" t="n">
        <v>3614</v>
      </c>
      <c r="K27" s="6" t="n">
        <v>808</v>
      </c>
    </row>
    <row r="28">
      <c r="A28" s="6" t="inlineStr">
        <is>
          <t>Deferred income</t>
        </is>
      </c>
      <c r="B28" s="6" t="n">
        <v>17245</v>
      </c>
      <c r="C28" s="6" t="n">
        <v>59980</v>
      </c>
      <c r="D28" s="6" t="n">
        <v>47873</v>
      </c>
      <c r="E28" s="6" t="n">
        <v>32380</v>
      </c>
      <c r="F28" s="6" t="n">
        <v>23059</v>
      </c>
      <c r="G28" s="6" t="n">
        <v>38463</v>
      </c>
      <c r="H28" s="6" t="n"/>
      <c r="I28" s="6" t="n">
        <v>83357</v>
      </c>
      <c r="J28" s="6" t="n">
        <v>531</v>
      </c>
      <c r="K28" s="6" t="n">
        <v>1485</v>
      </c>
    </row>
    <row r="29">
      <c r="A29" s="6" t="inlineStr">
        <is>
          <t>Provisions</t>
        </is>
      </c>
      <c r="B29" s="6" t="n">
        <v>33775</v>
      </c>
      <c r="C29" s="6" t="n">
        <v>51396</v>
      </c>
      <c r="D29" s="6" t="n">
        <v>11507</v>
      </c>
      <c r="E29" s="6" t="n">
        <v>1342</v>
      </c>
      <c r="F29" s="6" t="n">
        <v>1242</v>
      </c>
      <c r="G29" s="6" t="n">
        <v>2000</v>
      </c>
      <c r="H29" s="6" t="n"/>
      <c r="I29" s="6" t="n">
        <v>1575</v>
      </c>
      <c r="J29" s="6" t="n">
        <v>202</v>
      </c>
      <c r="K29" s="6" t="n">
        <v>183</v>
      </c>
    </row>
    <row r="30">
      <c r="A30" s="6" t="inlineStr">
        <is>
          <t>Current tax liability</t>
        </is>
      </c>
      <c r="B30" s="6" t="n">
        <v>7036</v>
      </c>
      <c r="C30" s="6" t="n"/>
      <c r="D30" s="6" t="n"/>
      <c r="E30" s="6" t="n">
        <v>3960</v>
      </c>
      <c r="F30" s="6" t="n">
        <v>618</v>
      </c>
      <c r="G30" s="6" t="n"/>
      <c r="H30" s="6" t="n"/>
      <c r="I30" s="6" t="n"/>
      <c r="J30" s="6" t="n"/>
      <c r="K30" s="6" t="n"/>
    </row>
    <row r="31">
      <c r="A31" s="6" t="inlineStr">
        <is>
          <t>Deferred tax liability</t>
        </is>
      </c>
      <c r="B31" s="6" t="n"/>
      <c r="C31" s="6" t="n">
        <v>704</v>
      </c>
      <c r="D31" s="6" t="n">
        <v>9195</v>
      </c>
      <c r="E31" s="6" t="n"/>
      <c r="F31" s="6" t="n"/>
      <c r="G31" s="6" t="n"/>
      <c r="H31" s="6" t="n"/>
      <c r="I31" s="6" t="n"/>
      <c r="J31" s="6" t="n"/>
      <c r="K31" s="6" t="n"/>
    </row>
    <row r="32">
      <c r="A32" s="5" t="inlineStr">
        <is>
          <t>Total liabilities</t>
        </is>
      </c>
      <c r="B32" s="5" t="n">
        <v>15434989</v>
      </c>
      <c r="C32" s="5" t="n">
        <v>14651620</v>
      </c>
      <c r="D32" s="5" t="n">
        <v>13878122</v>
      </c>
      <c r="E32" s="5" t="n">
        <v>13016218</v>
      </c>
      <c r="F32" s="5" t="n">
        <v>11475097</v>
      </c>
      <c r="G32" s="5" t="n">
        <v>6908003</v>
      </c>
      <c r="H32" s="5" t="n"/>
      <c r="I32" s="5" t="n">
        <v>1132756</v>
      </c>
      <c r="J32" s="5" t="n">
        <v>206670</v>
      </c>
      <c r="K32" s="5" t="n">
        <v>20559</v>
      </c>
    </row>
    <row r="33">
      <c r="A33" s="5" t="inlineStr">
        <is>
          <t>Equity</t>
        </is>
      </c>
      <c r="B33" s="6" t="n"/>
      <c r="C33" s="6" t="n"/>
      <c r="D33" s="6" t="n"/>
      <c r="E33" s="6" t="n"/>
      <c r="F33" s="6" t="n"/>
      <c r="G33" s="6" t="n"/>
      <c r="H33" s="6" t="n"/>
      <c r="I33" s="6" t="n"/>
      <c r="J33" s="6" t="n"/>
      <c r="K33" s="6" t="n"/>
    </row>
    <row r="34">
      <c r="A34" s="6" t="inlineStr">
        <is>
          <t>Share capital</t>
        </is>
      </c>
      <c r="B34" s="6" t="n">
        <v>12</v>
      </c>
      <c r="C34" s="6" t="n">
        <v>12</v>
      </c>
      <c r="D34" s="6" t="n">
        <v>12</v>
      </c>
      <c r="E34" s="6" t="n">
        <v>12</v>
      </c>
      <c r="F34" s="6" t="n">
        <v>11</v>
      </c>
      <c r="G34" s="6" t="n">
        <v>9</v>
      </c>
      <c r="H34" s="6" t="n"/>
      <c r="I34" s="6" t="n">
        <v>7</v>
      </c>
      <c r="J34" s="6" t="n">
        <v>5</v>
      </c>
      <c r="K34" s="6" t="n">
        <v>5</v>
      </c>
    </row>
    <row r="35">
      <c r="A35" s="6" t="inlineStr">
        <is>
          <t>Share premium</t>
        </is>
      </c>
      <c r="B35" s="6" t="n">
        <v>0</v>
      </c>
      <c r="C35" s="6" t="n">
        <v>608833</v>
      </c>
      <c r="D35" s="6" t="n">
        <v>608833</v>
      </c>
      <c r="E35" s="6" t="n">
        <v>608833</v>
      </c>
      <c r="F35" s="6" t="n">
        <v>478333</v>
      </c>
      <c r="G35" s="6" t="n">
        <v>253335</v>
      </c>
      <c r="H35" s="6" t="n"/>
      <c r="I35" s="6" t="n">
        <v>159332</v>
      </c>
      <c r="J35" s="6" t="n">
        <v>67784</v>
      </c>
      <c r="K35" s="6" t="n">
        <v>47846</v>
      </c>
    </row>
    <row r="36">
      <c r="A36" s="6" t="inlineStr">
        <is>
          <t>Merger reserve</t>
        </is>
      </c>
      <c r="B36" s="6" t="n">
        <v>623833</v>
      </c>
      <c r="C36" s="6" t="n">
        <v>15000</v>
      </c>
      <c r="D36" s="6" t="n">
        <v>15000</v>
      </c>
      <c r="E36" s="6" t="n">
        <v>15000</v>
      </c>
      <c r="F36" s="6" t="n">
        <v>15000</v>
      </c>
      <c r="G36" s="6" t="n"/>
      <c r="H36" s="6" t="n"/>
      <c r="I36" s="6" t="n"/>
      <c r="J36" s="6" t="n"/>
      <c r="K36" s="6" t="n"/>
    </row>
    <row r="37">
      <c r="A37" s="6" t="inlineStr">
        <is>
          <t>Cash flow hedging reserve</t>
        </is>
      </c>
      <c r="B37" s="6" t="n">
        <v>427</v>
      </c>
      <c r="C37" s="6" t="n">
        <v>9834</v>
      </c>
      <c r="D37" s="6" t="n">
        <v>17133</v>
      </c>
      <c r="E37" s="6" t="n">
        <v>-10246</v>
      </c>
      <c r="F37" s="6" t="n"/>
      <c r="G37" s="6" t="n"/>
      <c r="H37" s="6" t="n"/>
      <c r="I37" s="6" t="n"/>
      <c r="J37" s="6" t="n"/>
      <c r="K37" s="6" t="n"/>
    </row>
    <row r="38">
      <c r="A38" s="6" t="inlineStr">
        <is>
          <t>Other reserves (own shares held/share awards/sundry/FX - see source note)</t>
        </is>
      </c>
      <c r="B38" s="6" t="n">
        <v>-19020</v>
      </c>
      <c r="C38" s="6" t="n">
        <v>-31277</v>
      </c>
      <c r="D38" s="6" t="n">
        <v>-44136</v>
      </c>
      <c r="E38" s="6" t="n">
        <v>9267</v>
      </c>
      <c r="F38" s="6" t="n">
        <v>7525</v>
      </c>
      <c r="G38" s="6" t="n">
        <v>2980</v>
      </c>
      <c r="H38" s="6" t="n"/>
      <c r="I38" s="6" t="n">
        <v>761</v>
      </c>
      <c r="J38" s="6" t="n">
        <v>319</v>
      </c>
      <c r="K38" s="6" t="n">
        <v>-94</v>
      </c>
    </row>
    <row r="39">
      <c r="A39" s="6" t="inlineStr">
        <is>
          <t>Retained earnings / (Accumulated losses)</t>
        </is>
      </c>
      <c r="B39" s="6" t="n">
        <v>599693</v>
      </c>
      <c r="C39" s="6" t="n">
        <v>443650</v>
      </c>
      <c r="D39" s="6" t="n">
        <v>292928</v>
      </c>
      <c r="E39" s="6" t="n">
        <v>72411</v>
      </c>
      <c r="F39" s="6" t="n">
        <v>-70445</v>
      </c>
      <c r="G39" s="6" t="n">
        <v>-115493</v>
      </c>
      <c r="H39" s="6" t="n"/>
      <c r="I39" s="6" t="n">
        <v>-92174</v>
      </c>
      <c r="J39" s="6" t="n">
        <v>-40109</v>
      </c>
      <c r="K39" s="6" t="n">
        <v>-15039</v>
      </c>
    </row>
    <row r="40">
      <c r="A40" s="5" t="inlineStr">
        <is>
          <t>Total equity</t>
        </is>
      </c>
      <c r="B40" s="5" t="n">
        <v>1204945</v>
      </c>
      <c r="C40" s="5" t="n">
        <v>1046052</v>
      </c>
      <c r="D40" s="5" t="n">
        <v>889770</v>
      </c>
      <c r="E40" s="5" t="n">
        <v>695277</v>
      </c>
      <c r="F40" s="5" t="n">
        <v>430424</v>
      </c>
      <c r="G40" s="5" t="n">
        <v>140831</v>
      </c>
      <c r="H40" s="5" t="n"/>
      <c r="I40" s="5" t="n">
        <v>67926</v>
      </c>
      <c r="J40" s="5" t="n">
        <v>27999</v>
      </c>
      <c r="K40" s="5" t="n">
        <v>32718</v>
      </c>
    </row>
    <row r="41">
      <c r="A41" s="5" t="inlineStr">
        <is>
          <t>Total liabilities and equity</t>
        </is>
      </c>
      <c r="B41" s="5" t="n">
        <v>16639934</v>
      </c>
      <c r="C41" s="5" t="n">
        <v>15697672</v>
      </c>
      <c r="D41" s="5" t="n">
        <v>14767892</v>
      </c>
      <c r="E41" s="5" t="n">
        <v>13711495</v>
      </c>
      <c r="F41" s="5" t="n">
        <v>11905521</v>
      </c>
      <c r="G41" s="5" t="n">
        <v>7048834</v>
      </c>
      <c r="H41" s="5" t="n"/>
      <c r="I41" s="5" t="n">
        <v>1200682</v>
      </c>
      <c r="J41" s="5" t="n">
        <v>234669</v>
      </c>
      <c r="K41" s="5" t="n">
        <v>53277</v>
      </c>
    </row>
    <row r="43" ht="390" customHeight="1">
      <c r="A43" s="8" t="inlineStr">
        <is>
          <t>Sources - all figures are Group/consolidated basis, £'000. See entity note above re: FY2021 (16-month period) and FY2026 (new SGHL parent entity).
FY2026: Starling Group Holdings Limited Annual Report and Accounts 2026, p.162-164 (Consolidated statement of comprehensive income / financial position / changes in equity) - https://www.starlingbank.com/docs/annual-reports/Starling-Group-Annual-Report-2026.pdf
FY2025 &amp; FY2024: Starling Bank Limited Annual Report and Accounts 2025, p.157-159 (Consolidated and company statement of comprehensive income / financial position / changes in equity) - https://www.starlingbank.com/docs/annual-reports/Starling-Bank-Annual-Report-2025.pdf. FY2025's equity components independently cross-checked against the Group's own re-presented FY2025 comparative in the AR26 Annual Report (p.164), which agrees exactly (merger reserve, cash flow hedging reserve, own shares held reserve, share awards reserve and sundry reserves disaggregated only from AR26 onward - see presentation note below).
FY2023 &amp; FY2022 (restated): Starling Bank Limited Annual Report 2023, p.122-123, p.126-127 (Consolidated &amp; Company Statement of Comprehensive Income / Financial Position / Changes in Equity) - https://www.starlingbank.com/docs/annual-reports/Starling-Bank-Annual-Report-2023.pdf
FY2021: Starling Bank Limited Annual Report and Consolidated Financial Statements, period ended 31 March 2021, p.62-68 (Consolidated Statement of Comprehensive Income / Financial Position / Changes in Equity) - https://www.starlingbank.com/docs/annual-reports/Starling-Bank-Annual-Report-2019-21.pdf. Independently cross-checked against Annual Report 2023's FY2021 comparative opening equity balance, which agrees exactly.
FY2019: Starling Bank Limited Annual Report and Consolidated Financial Statements for the year ended 30 November 2019, printed p.46 / PDF p.25, 'Consolidated Statement of Financial Position' - https://www.starlingbank.com/docs/annual-reports/Starling-Bank-Annual-Report-2018-19.pdf. That table prints four columns (Group 2019, Group 2018, Company 2019, Company 2018); the GROUP 2019 column is used, as everywhere else in this workbook. The column foots exactly to its own printed totals (Total Assets 1,200,682; Total Liabilities 1,132,756; Total Equity 67,926), and its equity components agree exactly with the 'Balance at 30 November 2019' row on this workbook's Statement of Changes in Equity sheet, which was transcribed from a different page. Independently cross-checked against the 16-month report's own 30 Nov 2019 comparative column (p.64-65 / PDF p.34), which agrees on every line except Other Liabilities and Accruals, printed 40,542 in FY2019's own edition and 40,541 in the later one - a £1k difference reproduced here as each edition printed it, with FY2019's own edition used, not reconciled away.
FY2019 EDITION-vs-EDITION NOTE (FY2018 comparative): the FY2019 report's FY2018 comparative column splits Other Liabilities and Accruals 3,784 / Deferred Income 361, where FY2018's OWN report printed 3,614 / 531. The two sum identically (4,145) - a £170k reclassification between the two captions on re-presentation. The FY2018 column in this workbook keeps FY2018's own edition, per this workbook's each-year-from-its-own-edition rule; nothing was restated.
FY2020: NO BALANCE SHEET EXISTS - a sourced negative, not a gap in the search (established 2026-09-18). Starling changed its accounting reference date from 30 November to 31 March, so its accounts run ...year to 30 Nov 2019, then the 16-month period 1 Dec 2019 - 31 Mar 2021, then year to 31 Mar 2022. The twelve months to 30 November 2020 were never a financial year of their own. Three independent documents were read rather than searched: (1) the 16-month Annual Report's note 01(b) 'Change to accounting reference date' states 'The financial statements are therefore for the 16 month period ended 31 March 2021' and that income-statement comparatives are the 12 months to 30 November 2019; (2) that report's Consolidated Statement of Financial Position (p.64-65 / PDF p.34) prints exactly two balance-sheet dates, 31 Mar 2021 and 30 Nov 2019 - there is no 30 Nov 2020 column anywhere in the statements; (3) Companies House filing history for Starling Bank Limited (09092149) lists accounts made up to 30 November 2019 and then 31 March 2021, with nothing in between. The ONLY 30 November 2020 figures Starling ever published are an UNAUDITED 12-month INCOME-STATEMENT memorandum in the 16-month report's Group Strategic Report (p.14-15, alongside an unaudited 4-month column to 31 Mar 2021) and a matching unaudited interest-margin table (p.16-17) - RE-VERIFIED INDEPENDENTLY 2026-09-19, and the FY2020 column now SAYS this on the Total assets row rather than standing empty - FY2020 is an interior column here (FY2019, FY2018 and FY2017 all carry figures), so it cannot be trimmed away, and an empty interior column reads exactly like one nobody has examined. The Companies House accounts filing history for 09092149 was re-enumerated PAGE BY PAGE (?category=accounts&amp;page=1..4, HTTP 200 each), because a filing absent from page 1 is not a missing filing: page 1 gives 31 March 2026 and 31 March 2025, page 2 gives 31 March 2024, 2023 and 2022, page 3 gives 31 March 2021 and page 4 gives 30 November 2019. The sequence steps straight from 30 Nov 2019 to 31 Mar 2021 with nothing made up to any date in 2020. income and margin only, no assets, no liabilities and no equity. Nothing from those memoranda is carried here: they are unaudited, they are not a balance sheet, and this is a Balance Sheet sheet. Starling's Pillar 3 series does not fill the hole either: the files are named by PUBLICATION year, not reporting date - Pillar3-2020.pdf is 'Starling Bank Limited Pillar 3 Disclosures 30 November 2019' and Pillar3-2019.pdf is as at 30 November 2018 - so no Starling Pillar 3 has a 2020 reporting date either.
FY2018 (&amp; FY2017): Starling Bank Limited Annual Report and Consolidated Financial Statements for the year ended 30 November 2018, printed p.45 / PDF p.25, 'Consolidated Statement of Financial Position as at 30 November 2018' - https://www.starlingbank.com/docs/annual-reports/Starling-bank-annual-report-2017-18.pdf. That table prints four columns (Group 2018, Group 2017, Company 2018, Company 2017); the GROUP columns are used, as everywhere else in this workbook.
FY2017 independently cross-checked against its own original report: Starling Bank Limited Annual Report 2017 (year ended 30 November 2017), printed p.42 / PDF p.44, Consolidated Statement of Financial Position - https://www.starlingbank.com/docs/annual-reports/Starling-bank-annual-report-2016-17.pdf. Every FY2017 figure agrees exactly between the two editions (Loans and Advances to Banks 37,544; Total Assets 53,277; Total Liabilities 20,559; Share Premium 47,846; Total Equity 32,718) - no restatement.
CORRECTION (2026-09-16): FY2018 'Loans and advances to banks' previously read 37,544. That is the FY2017 COMPARATIVE from the same table, mis-read one column across; the FY2018 Group figure is 187,008. The error was self-evident from the column's own arithmetic - 187,008 + 18,039 + 8,698 + 7,087 + 616 + 13,221 = 234,669, the printed Total Assets, whereas 37,544 left the column 149,464 short of its own stated total. Every other FY2018 and FY2017 cell was re-checked against the printed table and is correct. The FY2018 column was also completed at the same time: it previously carried a single 'Other assets' of 20,924 that silently absorbed Property, Plant and Equipment (616) and Intangible Assets (13,221), while the adjacent FY2017 column showed those two lines separately - the two columns now use identical treatment, and the FY2018 equity components (Share Capital 5, Share Premium 67,784, Other Reserves 319, Cumulative Retained Earnings (40,109)) and liability components (Provisions 202, Other Liabilities 3,614, Accruals and Deferred Income 531) are transcribed rather than left blank.</t>
        </is>
      </c>
    </row>
    <row r="45" ht="403" customHeight="1">
      <c r="A45" s="8" t="inlineStr">
        <is>
          <t>(continued)
FY2018/FY2017 caption mapping: 'Investment Securities' is carried on the 'Total debt securities' row (no issuer-type breakdown is disclosed for these years, so the four sub-lines stay blank); 'Accruals and Deferred Income' is carried on the 'Deferred income' row; and 'Other assets' combines the report's 'Other Assets' and 'Accrued Interest and Prepayments' lines (FY2018: 5,464 + 1,623 = 7,087; FY2017: 2,236 + 96 = 2,332) because no separate accrued-interest row exists in this ladder. Both columns tie exactly: assets to Total Assets, liabilities to Total Liabilities, and equity components to Total Equity.
ENTITY NOTE: Starling Bank Limited (Companies House 09092149) is the entity on the PRA register and is used, on a consolidated Group basis, for FY2021-FY2025 - each year's own Annual Report and Consolidated Financial Statements. FY2021 (marked †) is a 16-month period (1 December 2019 - 31 March 2021), Starling's first period reporting to a 31 March year end - not directly run-rate comparable to the other years.
FY2026 (marked ‡, added as a bonus column beyond the standard 5-year window) is different: in June 2025 a new non-trading holding company, Starling Group Holdings Limited (SGHL), was inserted as ultimate parent of Starling Bank Limited (SBL), with an intermediate holding company (SIHL) added in September 2025. From FY2026, SBL's own Companies House filing is presented on an unconsolidated solo/Company basis only (SBL's own wording: 'the Company' = Starling Bank Limited; consolidated 'Group' figures are now published separately as SGHL's own Annual Report). To keep this column comparable to FY2021-FY2025's consolidated basis, FY2026 cash flow figures here are SGHL's consolidated Group figures (from the new SGHL Annual Report), not SBL's own solo filing. The SGHL accounting consolidation for FY2026 additionally includes Murmur Financial Services Limited, Fleet Mortgages Limited and Engine by Starling Limited alongside SBL and its own ancillary undertakings (Starling FS Services Limited, and Ember by Starling Limited, acquired during FY2026) - a broader scope than SBL's own historical Group accounts. Pillar 3 (prudential) figures for FY2026 are on the narrower 'Regulatory Group' basis (SGHL, SIHL, SBL, SFSSL and Ember only - Murmur/Fleet Mortgages/Engine fall below CRR Article 19 materiality thresholds); cross-checking confirms this made no difference to the FY2025 capital figures, so Pillar 3 continuity FY2021-FY2026 is unaffected by the restructuring. FY2019-FY2017 are covered by Starling's official investor archive, each from its OWN edition: FY2019 in the 2018-19 report (year ended 30 November 2019), FY2018 in the 2017-18 report, and FY2017 in the 2016-17 report. Older columns retain blanks where the historical filing used a materially different presentation and no reliable like-for-like line exists.
FY2020 HAS NO REPORTING DATE AT ALL - THERE IS NO STARLING BALANCE SHEET TO FIND (established 2026-09-18, see the Balance Sheet source note for the documents read). Starling changed its accounting reference date from 30 November to 31 March, so the twelve months to 30 November 2020 fall INSIDE the 16-month period 1 December 2019 - 31 March 2021 and were never themselves a financial year. No statement of financial position was ever drawn up at any date in the FY2020 slot - not by the Group, not in a Pillar 3, and not at Companies House. This is a sourced negative about the calendar, not a gap in the search.
PRESENTATION NOTE (Balance Sheet): FY2024-FY2026 report a separate 'Cash and balances at central banks' line distinct from 'Loans and advances to banks'; FY2021-FY2023 report a single combined 'Loans and Advances to Banks' line that includes cash and cash equivalents (per that year's own footnote) - both are shown as disclosed, not reconciled into a common split. FY2021 combines Property, Plant and Equipment with Intangible Assets into one line (no separate Goodwill line - Goodwill first arose on the Fleet Mortgages acquisition in FY2022); FY2022 onward splits these three lines out.
PRESENTATION NOTE (Debt securities breakdown): the 'Debt securities' Balance Sheet line is broken out by issuer type per each year's own 'Debt securities' note - government/supranational bonds vs. covered bonds and RMBS issued by banks and building societies, plus the fair value adjustment for hedged risk that reconciles the gross note total to the Balance Sheet's net carrying value (all four sub-lines sum exactly to 'Total debt securities' every year). Source notes: FY2026: Starling Group Holdings Limited Annual Report and Accounts 2026, note 13 'Debt securities', p.195 - https://www.starlingbank.com/docs/annual-reports/Starling-Group-Annual-Report-2026.pdf
FY2025 &amp; FY2024: Starling Bank Limited Annual Report and Accounts 2025, note 10 'Debt securities', p.189 - https://www.starlingbank.com/docs/annual-reports/Starling-Bank-Annual-Report-2025.pdf. FY2025's breakdown independently cross-checked against AR26's own FY2025 comparative column (note 13, p.195), which agrees exactly.
FY2023 &amp; FY2022: Starling Bank Limited Annual Report 2023, note 11 'Debt Securities', p.154 - https://www.starlingbank.com/docs/annual-reports/Starling-Bank-Annual-Report-2023.pdf
FY2021: Starling Bank Limited Annual Report and Consolidated Financial Statements, period ended 31 March 2021, note 12 'Debt Securities', p.111 - https://www.starlingbank.com/docs/annual-reports/Starling-Bank-Annual-Report-2019-21.pdf. That year's note also states 'All Debt Securities are held at amortised cost' - no FVOCI/FVTPL/trading leg is disclosed for any year covered (the FY2025 Annual Report's own risk section likewise states 'The Group's debt securities are measured at amortised cost'), so no measurement-basis (amortised cost vs. mark-to-market) split is shown here - it would be a 100%-amortised-cost/0%-mark-to-market non-split, not a genuine disclosed breakdown.
PRESENTATION NOTE (Profit &amp; Loss): FY2021-FY2025 use a 'Net interest income / Net fees and commissions / Total income' structure; FY2026 (Starling Group Holdings Limited's own first Annual Report) uses a 'Revenue / Cost of revenue / Gross profit' structure instead - both are shown as separate blocks, each with its own Profit-after-tax and Total-comprehensive-income rows (mirroring the Cash Flow Statement sheet's existing dual-presentation convention), rather than force-fitting FY2026 into the older structure. FY2021's Loss for the year and OCI, net of tax are the same figure (no OCI items disclosed that year - 'There is no difference between the loss after taxation and the total comprehensive income of the Group').</t>
        </is>
      </c>
    </row>
    <row r="47" ht="409" customHeight="1">
      <c r="A47" s="8" t="inlineStr">
        <is>
          <t>(continued)
PRESENTATION NOTE (Statement of Changes in Equity): 'Merger reserve' (created in FY2022 on the Fleet Mortgages Limited share-for-share acquisition, per Companies Act 2006 s.612) and 'Cash flow hedging reserve' are shown as their own columns throughout for consistency, back-computed for FY2021-FY2023 from each year's combined 'Other Reserves' column and that year's own movement notes (verified: FY2022's £15,000k Merger reserve movement exactly matches the value AR26 later separately discloses as the FY2024 opening Merger reserve balance, confirming it never changed between creation and FY2024). 'Other reserves' here combines the own-shares-held reserve, share awards reserve, foreign exchange/translation reserve and sundry reserves - these were only disclosed as separate sub-columns from AR26 (FY2026 report) onward; combining them keeps the ladder's column set consistent across all 6 years. Every year's closing Total equity ties exactly to that year's own Balance Sheet Total equity and to the next year's opening balance - zero undocumented plug rows across all 6 years.
FY2017-FY2019 ADDED TO THE PROFIT &amp; LOSS, CASH FLOW STATEMENT AND STATEMENT OF CHANGES IN EQUITY (2026-10-08). WHY THEY WERE MISSING, which matters more than the figures: the Balance Sheet has carried FY2017, FY2018 and FY2019 since this workbook was built, but the other three statements stopped at FY2021 - even though the very documents already cited for the Balance Sheet print a full Group income statement, cash flow statement and equity reconciliation for those same years. The columns were not marked as gaps; they were TRIMMED AWAY by _trim_trailing_empty_years, which drops an oldest-end year column that no row fills. That rule assumes an absent old column means the disclosure did not exist that far back. Here it did. A trimmed column is invisible to audit_gaps.py as well, because the census reports the years a sheet HAS - so no check in this repo could see this, and it was found by a reader comparing two sheets by eye. A corpus-wide sweep for the same shape (Balance Sheet spanning years its Profit &amp; Loss does not) returns only Afin Bank FY2021 and Kingdom Bank FY2004 besides Starling.
SOURCES, each year from its OWN edition, all figures read off 300 dpi page renders (text layer used for navigation only): FY2019 - AR 2018-19, printed p.45 (Consolidated Statement of Comprehensive Income), printed p.48 (Consolidated Cash Flow Statement), printed p.49 (Consolidated Statement of Changes in Equity) - https://www.starlingbank.com/docs/annual-reports/Starling-Bank-Annual-Report-2018-19.pdf. FY2018 - AR 2017-18, printed p.47, p.48 and p.49 respectively - https://www.starlingbank.com/docs/annual-reports/Starling-bank-annual-report-2017-18.pdf. FY2017 - AR 2016-17, printed p.43, p.44 and p.45 respectively - https://www.starlingbank.com/docs/annual-reports/Starling-bank-annual-report-2016-17.pdf. Group columns throughout.
CORROBORATION: the FY2019 closing cash of 764,705 is already this sheet's FY2021 opening balance, and FY2018's closing 187,008 is FY2019's opening - the three added years chain into the existing series with no seam. Every added column's operating/investing/financing totals and its net-increase line were recomputed from the printed line items, and the equity ladder's four balance rows each foot across their own components.
DEFECT IN STARLING'S OWN FY2017 CASH FLOW STATEMENT - REPRODUCED AS PRINTED, NOT CORRECTED. AR 2016-17's Consolidated Cash Flow Statement (printed p.44) lists nine operating movement rows, and they do not foot to its own printed total: -10,196 + 557 - 804 - 3,014 - 1,858 - 86 + 18,081 - 97 - 978 = 1,605, against a printed 'Net Cash Flows from Operating Activities' of 2,837 - a shortfall of 1,232. The FY2018 edition's FY2017 comparative prints the same rows PLUS 'Net (decrease)/increase in Accruals and Deferred Income 1,232', and 1,605 + 1,232 = 2,837 exactly. So the printed TOTAL is right and a ROW is missing from the bank's own FY2017 statement; the next edition restored it. The 30 Nov 2016 comparative column in that same statement has the same shape of defect (its rows sum to -3,131 against a printed (2,878), a gap of 253) and cannot be cross-checked, because the FY2018 edition shows only 2018 and 2017. BOTH the nine printed rows and the printed 2,837 are reproduced here exactly as published. The missing 1,232 is NOT imported from the later edition - that would mix two editions inside one column - and the total is NOT adjusted to match the rows. verify_workbook.py therefore reports a cash-flow block mismatch on FY2017; that report is correct and this paragraph is its explanation. FY2018 (135,153) and FY2019 (703,391) both foot exactly.
£1k INCONSISTENCY INSIDE THE FY2019 EDITION. AR 2018-19 prints 'Loss after Taxation (52,064)' in its Consolidated Statement of Comprehensive Income (printed p.45) and 'Loss for the Period (52,065)' in its Consolidated Statement of Changes in Equity (printed p.49). The SOCE's 52,065 is what makes its own column foot ((40,109) + (52,065) = (92,174), the printed closing retained earnings), so each statement is internally consistent and they disagree with each other. Both are reproduced as printed - the Profit &amp; Loss sheet carries 52,064 and the equity ladder carries 52,065. Neither is adjusted to the other.
EDITION-vs-EDITION DIFFERENCES ON THE ADDED YEARS (own edition used in every case, later edition recorded here). FY2018 income statement: its own edition prints Administrative Expenses (26,854), Impairment on Loans and Advances to Customers (346) and Provisions for Liabilities and Charges (406); the FY2019 edition's comparative prints Administrative Expenses (27,054) and a single Impairment and Write Offs (552). Both foot to Loss before Taxation (26,856) - £200k moved from provisions into administrative expenses on re-presentation. FY2018 cash flow: its own edition puts investment securities (15,025) in OPERATING and reports operating 135,153 / investing (6,040) / financing 20,351; the FY2019 edition's comparative moves those securities to INVESTING and moves the £330 fair value of shares from financing to operating, giving 150,508 / (21,065) / 20,021. Both reach the same net increase of 149,464 and the same opening and closing cash. FY2017 cash flow: its own edition prints Purchases of Tangible Assets (242) with no disposals line, where the FY2018 edition's comparative splits the same net figure into purchases (263) and sales 21. FY2017 income statement: its own edition splits operating costs into Other Operating Costs (16,688) and Capitalisation of Intangible Asset 4,710 to reach Total Operating Costs (11,978), where the FY2018 edition's comparative prints only the (11,978) net.
PRESENTATION: the FY2017-FY2019 figures are kept in their own clearly-labelled blocks on the Profit &amp; Loss and Cash Flow sheets rather than merged into the FY2021+ rows, because the row sets are genuinely different (a 30 November year-end, a CIF grant, securities classified in operating rather than investing) - the same treatment this workbook already gives the FY2026 SGHL presentation. One line the Group reports as nil is omitted rather than shown as a zero: 'Net Increase in the Inter-Company Account' is a printed dash in all three Group columns (it is a Company-only item).</t>
        </is>
      </c>
    </row>
  </sheetData>
  <mergeCells count="3">
    <mergeCell ref="A45:K45"/>
    <mergeCell ref="A47:K47"/>
    <mergeCell ref="A43:K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Starling Bank Limited — Profit &amp; Loss</t>
        </is>
      </c>
    </row>
    <row r="2">
      <c r="A2" s="2" t="inlineStr">
        <is>
          <t>Group/consolidated basis, £'000. 'Total comprehensive income/(loss) for the year' ties exactly to Profit/(loss) after taxation + Other comprehensive income for every year. Three presentations are shown as separate blocks: FY2017-FY2019 (30 November year-end), FY2021-FY2025, and FY2026 (Revenue/Cost-of-revenue/Gross-profit) - see source note. FY2020 is a recorded absence, not a gap.</t>
        </is>
      </c>
    </row>
    <row r="3">
      <c r="A3" s="4" t="inlineStr">
        <is>
          <t>Line item</t>
        </is>
      </c>
      <c r="B3" s="4" t="inlineStr">
        <is>
          <t>FY2026 (SGHL)‡ (£'000)</t>
        </is>
      </c>
      <c r="C3" s="4" t="inlineStr">
        <is>
          <t>FY2025 (£'000)</t>
        </is>
      </c>
      <c r="D3" s="4" t="inlineStr">
        <is>
          <t>FY2024 (£'000)</t>
        </is>
      </c>
      <c r="E3" s="4" t="inlineStr">
        <is>
          <t>FY2023 (£'000)</t>
        </is>
      </c>
      <c r="F3" s="4" t="inlineStr">
        <is>
          <t>FY2022 (£'000)</t>
        </is>
      </c>
      <c r="G3" s="4" t="inlineStr">
        <is>
          <t>FY2021† (£'000)</t>
        </is>
      </c>
      <c r="H3" s="4" t="inlineStr">
        <is>
          <t>FY2020 (£'000)</t>
        </is>
      </c>
      <c r="I3" s="4" t="inlineStr">
        <is>
          <t>FY2019 (£'000)</t>
        </is>
      </c>
      <c r="J3" s="4" t="inlineStr">
        <is>
          <t>FY2018 (£'000)</t>
        </is>
      </c>
      <c r="K3" s="4" t="inlineStr">
        <is>
          <t>FY2017 (£'000)</t>
        </is>
      </c>
    </row>
    <row r="4">
      <c r="A4" s="5" t="inlineStr">
        <is>
          <t>Income statement (FY2017-FY2019 presentation - 30 November year-end)</t>
        </is>
      </c>
      <c r="B4" s="6" t="n"/>
      <c r="C4" s="6" t="n"/>
      <c r="D4" s="6" t="n"/>
      <c r="E4" s="6" t="n"/>
      <c r="F4" s="6" t="n"/>
      <c r="G4" s="6" t="n"/>
      <c r="H4" s="6" t="n"/>
      <c r="I4" s="6" t="n"/>
      <c r="J4" s="6" t="n"/>
      <c r="K4" s="6" t="n"/>
    </row>
    <row r="5">
      <c r="A5" s="6" t="inlineStr">
        <is>
          <t>Net interest income (FY2017-FY2019 presentation)</t>
        </is>
      </c>
      <c r="B5" s="6" t="n"/>
      <c r="C5" s="6" t="n"/>
      <c r="D5" s="6" t="n"/>
      <c r="E5" s="6" t="n"/>
      <c r="F5" s="6" t="n"/>
      <c r="G5" s="6" t="n"/>
      <c r="H5" s="6" t="n"/>
      <c r="I5" s="6" t="n">
        <v>5967</v>
      </c>
      <c r="J5" s="6" t="n">
        <v>929</v>
      </c>
      <c r="K5" s="6" t="n">
        <v>76</v>
      </c>
    </row>
    <row r="6">
      <c r="A6" s="6" t="inlineStr">
        <is>
          <t>Net fee and commission (FY2019) / Fees and commissions expense (FY2017-FY2018)</t>
        </is>
      </c>
      <c r="B6" s="6" t="n"/>
      <c r="C6" s="6" t="n"/>
      <c r="D6" s="6" t="n"/>
      <c r="E6" s="6" t="n"/>
      <c r="F6" s="6" t="n"/>
      <c r="G6" s="6" t="n"/>
      <c r="H6" s="6" t="n"/>
      <c r="I6" s="6" t="n">
        <v>7483</v>
      </c>
      <c r="J6" s="6" t="n">
        <v>-386</v>
      </c>
      <c r="K6" s="6" t="n">
        <v>-38</v>
      </c>
    </row>
    <row r="7">
      <c r="A7" s="6" t="inlineStr">
        <is>
          <t>Other income (FY2017-FY2019 presentation)</t>
        </is>
      </c>
      <c r="B7" s="6" t="n"/>
      <c r="C7" s="6" t="n"/>
      <c r="D7" s="6" t="n"/>
      <c r="E7" s="6" t="n"/>
      <c r="F7" s="6" t="n"/>
      <c r="G7" s="6" t="n"/>
      <c r="H7" s="6" t="n"/>
      <c r="I7" s="6" t="n">
        <v>751</v>
      </c>
      <c r="J7" s="6" t="n">
        <v>207</v>
      </c>
      <c r="K7" s="6" t="n">
        <v>-57</v>
      </c>
    </row>
    <row r="8">
      <c r="A8" s="5" t="inlineStr">
        <is>
          <t>Total income/(expense) (FY2017-FY2019 presentation)</t>
        </is>
      </c>
      <c r="B8" s="5" t="n"/>
      <c r="C8" s="5" t="n"/>
      <c r="D8" s="5" t="n"/>
      <c r="E8" s="5" t="n"/>
      <c r="F8" s="5" t="n"/>
      <c r="G8" s="5" t="n"/>
      <c r="H8" s="5" t="n"/>
      <c r="I8" s="5" t="n">
        <v>14201</v>
      </c>
      <c r="J8" s="5" t="n">
        <v>750</v>
      </c>
      <c r="K8" s="5" t="n">
        <v>-19</v>
      </c>
    </row>
    <row r="9">
      <c r="A9" s="6" t="inlineStr">
        <is>
          <t>Administrative expenses (FY2018-FY2019) / Other operating costs (FY2017)</t>
        </is>
      </c>
      <c r="B9" s="6" t="n"/>
      <c r="C9" s="6" t="n"/>
      <c r="D9" s="6" t="n"/>
      <c r="E9" s="6" t="n"/>
      <c r="F9" s="6" t="n"/>
      <c r="G9" s="6" t="n"/>
      <c r="H9" s="6" t="n"/>
      <c r="I9" s="6" t="n">
        <v>-83241</v>
      </c>
      <c r="J9" s="6" t="n">
        <v>-26854</v>
      </c>
      <c r="K9" s="6" t="n">
        <v>-16688</v>
      </c>
    </row>
    <row r="10">
      <c r="A10" s="6" t="inlineStr">
        <is>
          <t>Capitalisation of intangible asset (FY2017 presentation)</t>
        </is>
      </c>
      <c r="B10" s="6" t="n"/>
      <c r="C10" s="6" t="n"/>
      <c r="D10" s="6" t="n"/>
      <c r="E10" s="6" t="n"/>
      <c r="F10" s="6" t="n"/>
      <c r="G10" s="6" t="n"/>
      <c r="H10" s="6" t="n"/>
      <c r="I10" s="6" t="n"/>
      <c r="J10" s="6" t="n"/>
      <c r="K10" s="6" t="n">
        <v>4710</v>
      </c>
    </row>
    <row r="11">
      <c r="A11" s="5" t="inlineStr">
        <is>
          <t>Total operating costs (FY2017 presentation)</t>
        </is>
      </c>
      <c r="B11" s="5" t="n"/>
      <c r="C11" s="5" t="n"/>
      <c r="D11" s="5" t="n"/>
      <c r="E11" s="5" t="n"/>
      <c r="F11" s="5" t="n"/>
      <c r="G11" s="5" t="n"/>
      <c r="H11" s="5" t="n"/>
      <c r="I11" s="5" t="n"/>
      <c r="J11" s="5" t="n"/>
      <c r="K11" s="5" t="n">
        <v>-11978</v>
      </c>
    </row>
    <row r="12">
      <c r="A12" s="6" t="inlineStr">
        <is>
          <t>Credit for CIF eligible spend (FY2019 presentation)</t>
        </is>
      </c>
      <c r="B12" s="6" t="n"/>
      <c r="C12" s="6" t="n"/>
      <c r="D12" s="6" t="n"/>
      <c r="E12" s="6" t="n"/>
      <c r="F12" s="6" t="n"/>
      <c r="G12" s="6" t="n"/>
      <c r="H12" s="6" t="n"/>
      <c r="I12" s="6" t="n">
        <v>19738</v>
      </c>
      <c r="J12" s="6" t="n"/>
      <c r="K12" s="6" t="n"/>
    </row>
    <row r="13">
      <c r="A13" s="6" t="inlineStr">
        <is>
          <t>Impairment and write offs (FY2019) / Impairment on loans and advances to customers (FY2018)</t>
        </is>
      </c>
      <c r="B13" s="6" t="n"/>
      <c r="C13" s="6" t="n"/>
      <c r="D13" s="6" t="n"/>
      <c r="E13" s="6" t="n"/>
      <c r="F13" s="6" t="n"/>
      <c r="G13" s="6" t="n"/>
      <c r="H13" s="6" t="n"/>
      <c r="I13" s="6" t="n">
        <v>-4300</v>
      </c>
      <c r="J13" s="6" t="n">
        <v>-346</v>
      </c>
      <c r="K13" s="6" t="n"/>
    </row>
    <row r="14">
      <c r="A14" s="6" t="inlineStr">
        <is>
          <t>Provisions for liabilities and charges (FY2017-FY2018 presentation)</t>
        </is>
      </c>
      <c r="B14" s="6" t="n"/>
      <c r="C14" s="6" t="n"/>
      <c r="D14" s="6" t="n"/>
      <c r="E14" s="6" t="n"/>
      <c r="F14" s="6" t="n"/>
      <c r="G14" s="6" t="n"/>
      <c r="H14" s="6" t="n"/>
      <c r="I14" s="6" t="n"/>
      <c r="J14" s="6" t="n">
        <v>-406</v>
      </c>
      <c r="K14" s="6" t="n">
        <v>387</v>
      </c>
    </row>
    <row r="15">
      <c r="A15" s="5" t="inlineStr">
        <is>
          <t>Loss before taxation (FY2017-FY2019 presentation)</t>
        </is>
      </c>
      <c r="B15" s="5" t="n"/>
      <c r="C15" s="5" t="n"/>
      <c r="D15" s="5" t="n"/>
      <c r="E15" s="5" t="n"/>
      <c r="F15" s="5" t="n"/>
      <c r="G15" s="5" t="n"/>
      <c r="H15" s="5" t="n"/>
      <c r="I15" s="5" t="n">
        <v>-53602</v>
      </c>
      <c r="J15" s="5" t="n">
        <v>-26856</v>
      </c>
      <c r="K15" s="5" t="n">
        <v>-11610</v>
      </c>
    </row>
    <row r="16">
      <c r="A16" s="6" t="inlineStr">
        <is>
          <t>Taxation credit (FY2017-FY2019 presentation)</t>
        </is>
      </c>
      <c r="B16" s="6" t="n"/>
      <c r="C16" s="6" t="n"/>
      <c r="D16" s="6" t="n"/>
      <c r="E16" s="6" t="n"/>
      <c r="F16" s="6" t="n"/>
      <c r="G16" s="6" t="n"/>
      <c r="H16" s="6" t="n"/>
      <c r="I16" s="6" t="n">
        <v>1538</v>
      </c>
      <c r="J16" s="6" t="n">
        <v>1786</v>
      </c>
      <c r="K16" s="6" t="n">
        <v>1414</v>
      </c>
    </row>
    <row r="17">
      <c r="A17" s="5" t="inlineStr">
        <is>
          <t>Loss after taxation (FY2017-FY2019 presentation)</t>
        </is>
      </c>
      <c r="B17" s="5" t="n"/>
      <c r="C17" s="5" t="n"/>
      <c r="D17" s="5" t="n"/>
      <c r="E17" s="5" t="n"/>
      <c r="F17" s="5" t="n"/>
      <c r="G17" s="5" t="n"/>
      <c r="H17" s="5" t="n"/>
      <c r="I17" s="5" t="n">
        <v>-52064</v>
      </c>
      <c r="J17" s="5" t="n">
        <v>-25070</v>
      </c>
      <c r="K17" s="5" t="n">
        <v>-10196</v>
      </c>
    </row>
    <row r="18">
      <c r="A18" s="5" t="inlineStr">
        <is>
          <t>Total comprehensive loss for the year (FY2017-FY2019 presentation)</t>
        </is>
      </c>
      <c r="B18" s="5" t="n"/>
      <c r="C18" s="5" t="n"/>
      <c r="D18" s="5" t="n"/>
      <c r="E18" s="5" t="n"/>
      <c r="F18" s="5" t="n"/>
      <c r="G18" s="5" t="n"/>
      <c r="H18" s="5" t="inlineStr">
        <is>
          <t>Not applicable - no FY2020 reporting period; ARD moved 30 Nov to 31 Mar</t>
        </is>
      </c>
      <c r="I18" s="5" t="n">
        <v>-52064</v>
      </c>
      <c r="J18" s="5" t="n">
        <v>-25070</v>
      </c>
      <c r="K18" s="5" t="n">
        <v>-10196</v>
      </c>
    </row>
    <row r="19">
      <c r="A19" s="5" t="inlineStr">
        <is>
          <t>Income (FY2021-FY2025 presentation)</t>
        </is>
      </c>
      <c r="B19" s="6" t="n"/>
      <c r="C19" s="6" t="n"/>
      <c r="D19" s="6" t="n"/>
      <c r="E19" s="6" t="n"/>
      <c r="F19" s="6" t="n"/>
      <c r="G19" s="6" t="n"/>
      <c r="H19" s="6" t="n"/>
      <c r="I19" s="6" t="n"/>
      <c r="J19" s="6" t="n"/>
      <c r="K19" s="6" t="n"/>
    </row>
    <row r="20">
      <c r="A20" s="6" t="inlineStr">
        <is>
          <t>Interest income</t>
        </is>
      </c>
      <c r="B20" s="6" t="n"/>
      <c r="C20" s="6" t="n">
        <v>811695</v>
      </c>
      <c r="D20" s="6" t="n">
        <v>754808</v>
      </c>
      <c r="E20" s="6" t="n">
        <v>403103</v>
      </c>
      <c r="F20" s="6" t="n">
        <v>126614</v>
      </c>
      <c r="G20" s="6" t="n"/>
      <c r="H20" s="6" t="n"/>
      <c r="I20" s="6" t="n"/>
      <c r="J20" s="6" t="n"/>
      <c r="K20" s="6" t="n"/>
    </row>
    <row r="21">
      <c r="A21" s="6" t="inlineStr">
        <is>
          <t>Interest expense</t>
        </is>
      </c>
      <c r="B21" s="6" t="n"/>
      <c r="C21" s="6" t="n">
        <v>-221533</v>
      </c>
      <c r="D21" s="6" t="n">
        <v>-161937</v>
      </c>
      <c r="E21" s="6" t="n">
        <v>-54258</v>
      </c>
      <c r="F21" s="6" t="n">
        <v>-4902</v>
      </c>
      <c r="G21" s="6" t="n"/>
      <c r="H21" s="6" t="n"/>
      <c r="I21" s="6" t="n"/>
      <c r="J21" s="6" t="n"/>
      <c r="K21" s="6" t="n"/>
    </row>
    <row r="22">
      <c r="A22" s="5" t="inlineStr">
        <is>
          <t>Net interest income</t>
        </is>
      </c>
      <c r="B22" s="5" t="n"/>
      <c r="C22" s="5" t="n">
        <v>590162</v>
      </c>
      <c r="D22" s="5" t="n">
        <v>592871</v>
      </c>
      <c r="E22" s="5" t="n">
        <v>348845</v>
      </c>
      <c r="F22" s="5" t="n">
        <v>121712</v>
      </c>
      <c r="G22" s="5" t="n">
        <v>59253</v>
      </c>
      <c r="H22" s="5" t="n"/>
      <c r="I22" s="5" t="n"/>
      <c r="J22" s="5" t="n"/>
      <c r="K22" s="5" t="n"/>
    </row>
    <row r="23">
      <c r="A23" s="6" t="inlineStr">
        <is>
          <t>Fees and commissions income</t>
        </is>
      </c>
      <c r="B23" s="6" t="n"/>
      <c r="C23" s="6" t="n">
        <v>128306</v>
      </c>
      <c r="D23" s="6" t="n">
        <v>119467</v>
      </c>
      <c r="E23" s="6" t="n">
        <v>112413</v>
      </c>
      <c r="F23" s="6" t="n">
        <v>86041</v>
      </c>
      <c r="G23" s="6" t="n"/>
      <c r="H23" s="6" t="n"/>
      <c r="I23" s="6" t="n"/>
      <c r="J23" s="6" t="n"/>
      <c r="K23" s="6" t="n"/>
    </row>
    <row r="24">
      <c r="A24" s="6" t="inlineStr">
        <is>
          <t>Fees and commissions expense</t>
        </is>
      </c>
      <c r="B24" s="6" t="n"/>
      <c r="C24" s="6" t="n">
        <v>-33539</v>
      </c>
      <c r="D24" s="6" t="n">
        <v>-35044</v>
      </c>
      <c r="E24" s="6" t="n">
        <v>-38023</v>
      </c>
      <c r="F24" s="6" t="n">
        <v>-28311</v>
      </c>
      <c r="G24" s="6" t="n"/>
      <c r="H24" s="6" t="n"/>
      <c r="I24" s="6" t="n"/>
      <c r="J24" s="6" t="n"/>
      <c r="K24" s="6" t="n"/>
    </row>
    <row r="25">
      <c r="A25" s="5" t="inlineStr">
        <is>
          <t>Net fees and commissions</t>
        </is>
      </c>
      <c r="B25" s="5" t="n"/>
      <c r="C25" s="5" t="n">
        <v>94767</v>
      </c>
      <c r="D25" s="5" t="n">
        <v>84423</v>
      </c>
      <c r="E25" s="5" t="n">
        <v>74390</v>
      </c>
      <c r="F25" s="5" t="n">
        <v>57730</v>
      </c>
      <c r="G25" s="5" t="n">
        <v>33884</v>
      </c>
      <c r="H25" s="5" t="n"/>
      <c r="I25" s="5" t="n"/>
      <c r="J25" s="5" t="n"/>
      <c r="K25" s="5" t="n"/>
    </row>
    <row r="26">
      <c r="A26" s="6" t="inlineStr">
        <is>
          <t>Other (expense)/income</t>
        </is>
      </c>
      <c r="B26" s="6" t="n"/>
      <c r="C26" s="6" t="n">
        <v>-4546</v>
      </c>
      <c r="D26" s="6" t="n">
        <v>-30176</v>
      </c>
      <c r="E26" s="6" t="n">
        <v>-8421</v>
      </c>
      <c r="F26" s="6" t="n">
        <v>8624</v>
      </c>
      <c r="G26" s="6" t="n">
        <v>4452</v>
      </c>
      <c r="H26" s="6" t="n"/>
      <c r="I26" s="6" t="n"/>
      <c r="J26" s="6" t="n"/>
      <c r="K26" s="6" t="n"/>
    </row>
    <row r="27">
      <c r="A27" s="6" t="inlineStr">
        <is>
          <t>Credit for eligible spend (CIF)</t>
        </is>
      </c>
      <c r="B27" s="6" t="n"/>
      <c r="C27" s="6" t="n"/>
      <c r="D27" s="6" t="n"/>
      <c r="E27" s="6" t="n">
        <v>10447</v>
      </c>
      <c r="F27" s="6" t="n">
        <v>32958</v>
      </c>
      <c r="G27" s="6" t="n">
        <v>46044</v>
      </c>
      <c r="H27" s="6" t="n"/>
      <c r="I27" s="6" t="n"/>
      <c r="J27" s="6" t="n"/>
      <c r="K27" s="6" t="n"/>
    </row>
    <row r="28">
      <c r="A28" s="5" t="inlineStr">
        <is>
          <t>Total income</t>
        </is>
      </c>
      <c r="B28" s="5" t="n"/>
      <c r="C28" s="5" t="n">
        <v>680383</v>
      </c>
      <c r="D28" s="5" t="n">
        <v>647118</v>
      </c>
      <c r="E28" s="5" t="n">
        <v>414814</v>
      </c>
      <c r="F28" s="5" t="n">
        <v>188066</v>
      </c>
      <c r="G28" s="5" t="n">
        <v>97589</v>
      </c>
      <c r="H28" s="5" t="n"/>
      <c r="I28" s="5" t="n"/>
      <c r="J28" s="5" t="n"/>
      <c r="K28" s="5" t="n"/>
    </row>
    <row r="29">
      <c r="A29" s="6" t="inlineStr">
        <is>
          <t>Operating expenses / Administrative expenses</t>
        </is>
      </c>
      <c r="B29" s="6" t="n"/>
      <c r="C29" s="6" t="n">
        <v>-460213</v>
      </c>
      <c r="D29" s="6" t="n">
        <v>-332130</v>
      </c>
      <c r="E29" s="6" t="n">
        <v>-220674</v>
      </c>
      <c r="F29" s="6" t="n">
        <v>-178336</v>
      </c>
      <c r="G29" s="6" t="n">
        <v>-158981</v>
      </c>
      <c r="H29" s="6" t="n"/>
      <c r="I29" s="6" t="n"/>
      <c r="J29" s="6" t="n"/>
      <c r="K29" s="6" t="n"/>
    </row>
    <row r="30">
      <c r="A30" s="6" t="inlineStr">
        <is>
          <t>Impairment release/(charge) and charge-offs</t>
        </is>
      </c>
      <c r="B30" s="6" t="n"/>
      <c r="C30" s="6" t="n">
        <v>3243</v>
      </c>
      <c r="D30" s="6" t="n">
        <v>-13889</v>
      </c>
      <c r="E30" s="6" t="n">
        <v>-9991</v>
      </c>
      <c r="F30" s="6" t="n">
        <v>-10636</v>
      </c>
      <c r="G30" s="6" t="n">
        <v>-16106</v>
      </c>
      <c r="H30" s="6" t="n"/>
      <c r="I30" s="6" t="n"/>
      <c r="J30" s="6" t="n"/>
      <c r="K30" s="6" t="n"/>
    </row>
    <row r="31">
      <c r="A31" s="5" t="inlineStr">
        <is>
          <t>Profit/(loss) before taxation</t>
        </is>
      </c>
      <c r="B31" s="5" t="n"/>
      <c r="C31" s="5" t="n">
        <v>223413</v>
      </c>
      <c r="D31" s="5" t="n">
        <v>301099</v>
      </c>
      <c r="E31" s="5" t="n">
        <v>194596</v>
      </c>
      <c r="F31" s="5" t="n">
        <v>32052</v>
      </c>
      <c r="G31" s="5" t="n">
        <v>-31454</v>
      </c>
      <c r="H31" s="5" t="n"/>
      <c r="I31" s="5" t="n"/>
      <c r="J31" s="5" t="n"/>
      <c r="K31" s="5" t="n"/>
    </row>
    <row r="32">
      <c r="A32" s="6" t="inlineStr">
        <is>
          <t>Tax charge/(credit)</t>
        </is>
      </c>
      <c r="B32" s="6" t="n"/>
      <c r="C32" s="6" t="n">
        <v>-72691</v>
      </c>
      <c r="D32" s="6" t="n">
        <v>-81098</v>
      </c>
      <c r="E32" s="6" t="n">
        <v>-51740</v>
      </c>
      <c r="F32" s="6" t="n">
        <v>12886</v>
      </c>
      <c r="G32" s="6" t="n">
        <v>8135</v>
      </c>
      <c r="H32" s="6" t="n"/>
      <c r="I32" s="6" t="n"/>
      <c r="J32" s="6" t="n"/>
      <c r="K32" s="6" t="n"/>
    </row>
    <row r="33">
      <c r="A33" s="5" t="inlineStr">
        <is>
          <t>Profit/(loss) after taxation</t>
        </is>
      </c>
      <c r="B33" s="5" t="n"/>
      <c r="C33" s="5" t="n">
        <v>150722</v>
      </c>
      <c r="D33" s="5" t="n">
        <v>220001</v>
      </c>
      <c r="E33" s="5" t="n">
        <v>142856</v>
      </c>
      <c r="F33" s="5" t="n">
        <v>44938</v>
      </c>
      <c r="G33" s="5" t="n">
        <v>-23319</v>
      </c>
      <c r="H33" s="5" t="n"/>
      <c r="I33" s="5" t="n"/>
      <c r="J33" s="5" t="n"/>
      <c r="K33" s="5" t="n"/>
    </row>
    <row r="34">
      <c r="A34" s="5" t="inlineStr">
        <is>
          <t>Other comprehensive income, net of tax (FY2021-FY2025 presentation)</t>
        </is>
      </c>
      <c r="B34" s="6" t="n"/>
      <c r="C34" s="6" t="n"/>
      <c r="D34" s="6" t="n"/>
      <c r="E34" s="6" t="n"/>
      <c r="F34" s="6" t="n"/>
      <c r="G34" s="6" t="n"/>
      <c r="H34" s="6" t="n"/>
      <c r="I34" s="6" t="n"/>
      <c r="J34" s="6" t="n"/>
      <c r="K34" s="6" t="n"/>
    </row>
    <row r="35">
      <c r="A35" s="6" t="inlineStr">
        <is>
          <t>Translation of subsidiary company</t>
        </is>
      </c>
      <c r="B35" s="6" t="n"/>
      <c r="C35" s="6" t="n">
        <v>7</v>
      </c>
      <c r="D35" s="6" t="n">
        <v>25</v>
      </c>
      <c r="E35" s="6" t="n">
        <v>47</v>
      </c>
      <c r="F35" s="6" t="n">
        <v>-4</v>
      </c>
      <c r="G35" s="6" t="n"/>
      <c r="H35" s="6" t="n"/>
      <c r="I35" s="6" t="n"/>
      <c r="J35" s="6" t="n"/>
      <c r="K35" s="6" t="n"/>
    </row>
    <row r="36">
      <c r="A36" s="6" t="inlineStr">
        <is>
          <t>Cash flow hedges (net of tax)</t>
        </is>
      </c>
      <c r="B36" s="6" t="n"/>
      <c r="C36" s="6" t="n">
        <v>-7299</v>
      </c>
      <c r="D36" s="6" t="n">
        <v>27379</v>
      </c>
      <c r="E36" s="6" t="n">
        <v>-10246</v>
      </c>
      <c r="F36" s="6" t="n"/>
      <c r="G36" s="6" t="n"/>
      <c r="H36" s="6" t="n"/>
      <c r="I36" s="6" t="n"/>
      <c r="J36" s="6" t="n"/>
      <c r="K36" s="6" t="n"/>
    </row>
    <row r="37">
      <c r="A37" s="5" t="inlineStr">
        <is>
          <t>Other comprehensive income/(loss), net of tax</t>
        </is>
      </c>
      <c r="B37" s="5" t="n"/>
      <c r="C37" s="5" t="n">
        <v>-7292</v>
      </c>
      <c r="D37" s="5" t="n">
        <v>27404</v>
      </c>
      <c r="E37" s="5" t="n">
        <v>-10199</v>
      </c>
      <c r="F37" s="5" t="n">
        <v>-4</v>
      </c>
      <c r="G37" s="5" t="n">
        <v>0</v>
      </c>
      <c r="H37" s="5" t="n"/>
      <c r="I37" s="5" t="n"/>
      <c r="J37" s="5" t="n"/>
      <c r="K37" s="5" t="n"/>
    </row>
    <row r="38">
      <c r="A38" s="5" t="inlineStr">
        <is>
          <t>Total comprehensive income/(loss) for the year, net of tax (FY2021-FY2025 presentation)</t>
        </is>
      </c>
      <c r="B38" s="5" t="n"/>
      <c r="C38" s="5" t="n">
        <v>143430</v>
      </c>
      <c r="D38" s="5" t="n">
        <v>247405</v>
      </c>
      <c r="E38" s="5" t="n">
        <v>132657</v>
      </c>
      <c r="F38" s="5" t="n">
        <v>44934</v>
      </c>
      <c r="G38" s="5" t="n">
        <v>-23319</v>
      </c>
      <c r="H38" s="5" t="n"/>
      <c r="I38" s="5" t="n"/>
      <c r="J38" s="5" t="n"/>
      <c r="K38" s="5" t="n"/>
    </row>
    <row r="39">
      <c r="A39" s="5" t="inlineStr">
        <is>
          <t>Income statement (FY2026 presentation - Revenue/Cost of revenue/Gross profit structure)</t>
        </is>
      </c>
      <c r="B39" s="6" t="n"/>
      <c r="C39" s="6" t="n"/>
      <c r="D39" s="6" t="n"/>
      <c r="E39" s="6" t="n"/>
      <c r="F39" s="6" t="n"/>
      <c r="G39" s="6" t="n"/>
      <c r="H39" s="6" t="n"/>
      <c r="I39" s="6" t="n"/>
      <c r="J39" s="6" t="n"/>
      <c r="K39" s="6" t="n"/>
    </row>
    <row r="40">
      <c r="A40" s="6" t="inlineStr">
        <is>
          <t>Interest income (FY2026 presentation)</t>
        </is>
      </c>
      <c r="B40" s="6" t="n">
        <v>759202</v>
      </c>
      <c r="C40" s="6" t="n"/>
      <c r="D40" s="6" t="n"/>
      <c r="E40" s="6" t="n"/>
      <c r="F40" s="6" t="n"/>
      <c r="G40" s="6" t="n"/>
      <c r="H40" s="6" t="n"/>
      <c r="I40" s="6" t="n"/>
      <c r="J40" s="6" t="n"/>
      <c r="K40" s="6" t="n"/>
    </row>
    <row r="41">
      <c r="A41" s="6" t="inlineStr">
        <is>
          <t>Fee and commission income (FY2026 presentation)</t>
        </is>
      </c>
      <c r="B41" s="6" t="n">
        <v>128153</v>
      </c>
      <c r="C41" s="6" t="n"/>
      <c r="D41" s="6" t="n"/>
      <c r="E41" s="6" t="n"/>
      <c r="F41" s="6" t="n"/>
      <c r="G41" s="6" t="n"/>
      <c r="H41" s="6" t="n"/>
      <c r="I41" s="6" t="n"/>
      <c r="J41" s="6" t="n"/>
      <c r="K41" s="6" t="n"/>
    </row>
    <row r="42">
      <c r="A42" s="5" t="inlineStr">
        <is>
          <t>Revenue (FY2026 presentation)</t>
        </is>
      </c>
      <c r="B42" s="5" t="n">
        <v>887355</v>
      </c>
      <c r="C42" s="5" t="n"/>
      <c r="D42" s="5" t="n"/>
      <c r="E42" s="5" t="n"/>
      <c r="F42" s="5" t="n"/>
      <c r="G42" s="5" t="n"/>
      <c r="H42" s="5" t="n"/>
      <c r="I42" s="5" t="n"/>
      <c r="J42" s="5" t="n"/>
      <c r="K42" s="5" t="n"/>
    </row>
    <row r="43">
      <c r="A43" s="6" t="inlineStr">
        <is>
          <t>Interest expense (FY2026 presentation)</t>
        </is>
      </c>
      <c r="B43" s="6" t="n">
        <v>-189263</v>
      </c>
      <c r="C43" s="6" t="n"/>
      <c r="D43" s="6" t="n"/>
      <c r="E43" s="6" t="n"/>
      <c r="F43" s="6" t="n"/>
      <c r="G43" s="6" t="n"/>
      <c r="H43" s="6" t="n"/>
      <c r="I43" s="6" t="n"/>
      <c r="J43" s="6" t="n"/>
      <c r="K43" s="6" t="n"/>
    </row>
    <row r="44">
      <c r="A44" s="6" t="inlineStr">
        <is>
          <t>Fee expense and cost of services (FY2026 presentation)</t>
        </is>
      </c>
      <c r="B44" s="6" t="n">
        <v>-46579</v>
      </c>
      <c r="C44" s="6" t="n"/>
      <c r="D44" s="6" t="n"/>
      <c r="E44" s="6" t="n"/>
      <c r="F44" s="6" t="n"/>
      <c r="G44" s="6" t="n"/>
      <c r="H44" s="6" t="n"/>
      <c r="I44" s="6" t="n"/>
      <c r="J44" s="6" t="n"/>
      <c r="K44" s="6" t="n"/>
    </row>
    <row r="45">
      <c r="A45" s="6" t="inlineStr">
        <is>
          <t>Impairment (charge)/release (FY2026 presentation)</t>
        </is>
      </c>
      <c r="B45" s="6" t="n">
        <v>-6649</v>
      </c>
      <c r="C45" s="6" t="n"/>
      <c r="D45" s="6" t="n"/>
      <c r="E45" s="6" t="n"/>
      <c r="F45" s="6" t="n"/>
      <c r="G45" s="6" t="n"/>
      <c r="H45" s="6" t="n"/>
      <c r="I45" s="6" t="n"/>
      <c r="J45" s="6" t="n"/>
      <c r="K45" s="6" t="n"/>
    </row>
    <row r="46">
      <c r="A46" s="5" t="inlineStr">
        <is>
          <t>Cost of revenue (FY2026 presentation)</t>
        </is>
      </c>
      <c r="B46" s="5" t="n">
        <v>-242491</v>
      </c>
      <c r="C46" s="5" t="n"/>
      <c r="D46" s="5" t="n"/>
      <c r="E46" s="5" t="n"/>
      <c r="F46" s="5" t="n"/>
      <c r="G46" s="5" t="n"/>
      <c r="H46" s="5" t="n"/>
      <c r="I46" s="5" t="n"/>
      <c r="J46" s="5" t="n"/>
      <c r="K46" s="5" t="n"/>
    </row>
    <row r="47">
      <c r="A47" s="5" t="inlineStr">
        <is>
          <t>Gross profit (FY2026 presentation)</t>
        </is>
      </c>
      <c r="B47" s="5" t="n">
        <v>644864</v>
      </c>
      <c r="C47" s="5" t="n"/>
      <c r="D47" s="5" t="n"/>
      <c r="E47" s="5" t="n"/>
      <c r="F47" s="5" t="n"/>
      <c r="G47" s="5" t="n"/>
      <c r="H47" s="5" t="n"/>
      <c r="I47" s="5" t="n"/>
      <c r="J47" s="5" t="n"/>
      <c r="K47" s="5" t="n"/>
    </row>
    <row r="48">
      <c r="A48" s="6" t="inlineStr">
        <is>
          <t>Other income/(expense) (FY2026 presentation)</t>
        </is>
      </c>
      <c r="B48" s="6" t="n">
        <v>14209</v>
      </c>
      <c r="C48" s="6" t="n"/>
      <c r="D48" s="6" t="n"/>
      <c r="E48" s="6" t="n"/>
      <c r="F48" s="6" t="n"/>
      <c r="G48" s="6" t="n"/>
      <c r="H48" s="6" t="n"/>
      <c r="I48" s="6" t="n"/>
      <c r="J48" s="6" t="n"/>
      <c r="K48" s="6" t="n"/>
    </row>
    <row r="49">
      <c r="A49" s="6" t="inlineStr">
        <is>
          <t>Operating expenses (FY2026 presentation)</t>
        </is>
      </c>
      <c r="B49" s="6" t="n">
        <v>-441955</v>
      </c>
      <c r="C49" s="6" t="n"/>
      <c r="D49" s="6" t="n"/>
      <c r="E49" s="6" t="n"/>
      <c r="F49" s="6" t="n"/>
      <c r="G49" s="6" t="n"/>
      <c r="H49" s="6" t="n"/>
      <c r="I49" s="6" t="n"/>
      <c r="J49" s="6" t="n"/>
      <c r="K49" s="6" t="n"/>
    </row>
    <row r="50">
      <c r="A50" s="5" t="inlineStr">
        <is>
          <t>Profit before taxation (FY2026 presentation)</t>
        </is>
      </c>
      <c r="B50" s="5" t="n">
        <v>217118</v>
      </c>
      <c r="C50" s="5" t="n"/>
      <c r="D50" s="5" t="n"/>
      <c r="E50" s="5" t="n"/>
      <c r="F50" s="5" t="n"/>
      <c r="G50" s="5" t="n"/>
      <c r="H50" s="5" t="n"/>
      <c r="I50" s="5" t="n"/>
      <c r="J50" s="5" t="n"/>
      <c r="K50" s="5" t="n"/>
    </row>
    <row r="51">
      <c r="A51" s="6" t="inlineStr">
        <is>
          <t>Tax charge (FY2026 presentation)</t>
        </is>
      </c>
      <c r="B51" s="6" t="n">
        <v>-61075</v>
      </c>
      <c r="C51" s="6" t="n"/>
      <c r="D51" s="6" t="n"/>
      <c r="E51" s="6" t="n"/>
      <c r="F51" s="6" t="n"/>
      <c r="G51" s="6" t="n"/>
      <c r="H51" s="6" t="n"/>
      <c r="I51" s="6" t="n"/>
      <c r="J51" s="6" t="n"/>
      <c r="K51" s="6" t="n"/>
    </row>
    <row r="52">
      <c r="A52" s="5" t="inlineStr">
        <is>
          <t>Profit after taxation (FY2026 presentation)</t>
        </is>
      </c>
      <c r="B52" s="5" t="n">
        <v>156043</v>
      </c>
      <c r="C52" s="5" t="n"/>
      <c r="D52" s="5" t="n"/>
      <c r="E52" s="5" t="n"/>
      <c r="F52" s="5" t="n"/>
      <c r="G52" s="5" t="n"/>
      <c r="H52" s="5" t="n"/>
      <c r="I52" s="5" t="n"/>
      <c r="J52" s="5" t="n"/>
      <c r="K52" s="5" t="n"/>
    </row>
    <row r="53">
      <c r="A53" s="5" t="inlineStr">
        <is>
          <t>Other comprehensive income, net of tax (FY2026 presentation)</t>
        </is>
      </c>
      <c r="B53" s="6" t="n"/>
      <c r="C53" s="6" t="n"/>
      <c r="D53" s="6" t="n"/>
      <c r="E53" s="6" t="n"/>
      <c r="F53" s="6" t="n"/>
      <c r="G53" s="6" t="n"/>
      <c r="H53" s="6" t="n"/>
      <c r="I53" s="6" t="n"/>
      <c r="J53" s="6" t="n"/>
      <c r="K53" s="6" t="n"/>
    </row>
    <row r="54">
      <c r="A54" s="6" t="inlineStr">
        <is>
          <t>Translation of subsidiary companies (FY2026 presentation)</t>
        </is>
      </c>
      <c r="B54" s="6" t="n">
        <v>-11</v>
      </c>
      <c r="C54" s="6" t="n"/>
      <c r="D54" s="6" t="n"/>
      <c r="E54" s="6" t="n"/>
      <c r="F54" s="6" t="n"/>
      <c r="G54" s="6" t="n"/>
      <c r="H54" s="6" t="n"/>
      <c r="I54" s="6" t="n"/>
      <c r="J54" s="6" t="n"/>
      <c r="K54" s="6" t="n"/>
    </row>
    <row r="55">
      <c r="A55" s="6" t="inlineStr">
        <is>
          <t>Cash flow hedges (net of tax) (FY2026 presentation)</t>
        </is>
      </c>
      <c r="B55" s="6" t="n">
        <v>-9407</v>
      </c>
      <c r="C55" s="6" t="n"/>
      <c r="D55" s="6" t="n"/>
      <c r="E55" s="6" t="n"/>
      <c r="F55" s="6" t="n"/>
      <c r="G55" s="6" t="n"/>
      <c r="H55" s="6" t="n"/>
      <c r="I55" s="6" t="n"/>
      <c r="J55" s="6" t="n"/>
      <c r="K55" s="6" t="n"/>
    </row>
    <row r="56">
      <c r="A56" s="5" t="inlineStr">
        <is>
          <t>Other comprehensive income/(loss), net of tax (FY2026 presentation)</t>
        </is>
      </c>
      <c r="B56" s="5" t="n">
        <v>-9418</v>
      </c>
      <c r="C56" s="5" t="n"/>
      <c r="D56" s="5" t="n"/>
      <c r="E56" s="5" t="n"/>
      <c r="F56" s="5" t="n"/>
      <c r="G56" s="5" t="n"/>
      <c r="H56" s="5" t="n"/>
      <c r="I56" s="5" t="n"/>
      <c r="J56" s="5" t="n"/>
      <c r="K56" s="5" t="n"/>
    </row>
    <row r="57">
      <c r="A57" s="5" t="inlineStr">
        <is>
          <t>Total comprehensive income for the year, net of tax (FY2026 presentation)</t>
        </is>
      </c>
      <c r="B57" s="5" t="n">
        <v>146625</v>
      </c>
      <c r="C57" s="5" t="n"/>
      <c r="D57" s="5" t="n"/>
      <c r="E57" s="5" t="n"/>
      <c r="F57" s="5" t="n"/>
      <c r="G57" s="5" t="n"/>
      <c r="H57" s="5" t="n"/>
      <c r="I57" s="5" t="n"/>
      <c r="J57" s="5" t="n"/>
      <c r="K57" s="5" t="n"/>
    </row>
    <row r="59" ht="390" customHeight="1">
      <c r="A59" s="8" t="inlineStr">
        <is>
          <t>Sources - all figures are Group/consolidated basis, £'000. See entity note above re: FY2021 (16-month period) and FY2026 (new SGHL parent entity).
FY2026: Starling Group Holdings Limited Annual Report and Accounts 2026, p.162-164 (Consolidated statement of comprehensive income / financial position / changes in equity) - https://www.starlingbank.com/docs/annual-reports/Starling-Group-Annual-Report-2026.pdf
FY2025 &amp; FY2024: Starling Bank Limited Annual Report and Accounts 2025, p.157-159 (Consolidated and company statement of comprehensive income / financial position / changes in equity) - https://www.starlingbank.com/docs/annual-reports/Starling-Bank-Annual-Report-2025.pdf. FY2025's equity components independently cross-checked against the Group's own re-presented FY2025 comparative in the AR26 Annual Report (p.164), which agrees exactly (merger reserve, cash flow hedging reserve, own shares held reserve, share awards reserve and sundry reserves disaggregated only from AR26 onward - see presentation note below).
FY2023 &amp; FY2022 (restated): Starling Bank Limited Annual Report 2023, p.122-123, p.126-127 (Consolidated &amp; Company Statement of Comprehensive Income / Financial Position / Changes in Equity) - https://www.starlingbank.com/docs/annual-reports/Starling-Bank-Annual-Report-2023.pdf
FY2021: Starling Bank Limited Annual Report and Consolidated Financial Statements, period ended 31 March 2021, p.62-68 (Consolidated Statement of Comprehensive Income / Financial Position / Changes in Equity) - https://www.starlingbank.com/docs/annual-reports/Starling-Bank-Annual-Report-2019-21.pdf. Independently cross-checked against Annual Report 2023's FY2021 comparative opening equity balance, which agrees exactly.
FY2019: Starling Bank Limited Annual Report and Consolidated Financial Statements for the year ended 30 November 2019, printed p.46 / PDF p.25, 'Consolidated Statement of Financial Position' - https://www.starlingbank.com/docs/annual-reports/Starling-Bank-Annual-Report-2018-19.pdf. That table prints four columns (Group 2019, Group 2018, Company 2019, Company 2018); the GROUP 2019 column is used, as everywhere else in this workbook. The column foots exactly to its own printed totals (Total Assets 1,200,682; Total Liabilities 1,132,756; Total Equity 67,926), and its equity components agree exactly with the 'Balance at 30 November 2019' row on this workbook's Statement of Changes in Equity sheet, which was transcribed from a different page. Independently cross-checked against the 16-month report's own 30 Nov 2019 comparative column (p.64-65 / PDF p.34), which agrees on every line except Other Liabilities and Accruals, printed 40,542 in FY2019's own edition and 40,541 in the later one - a £1k difference reproduced here as each edition printed it, with FY2019's own edition used, not reconciled away.
FY2019 EDITION-vs-EDITION NOTE (FY2018 comparative): the FY2019 report's FY2018 comparative column splits Other Liabilities and Accruals 3,784 / Deferred Income 361, where FY2018's OWN report printed 3,614 / 531. The two sum identically (4,145) - a £170k reclassification between the two captions on re-presentation. The FY2018 column in this workbook keeps FY2018's own edition, per this workbook's each-year-from-its-own-edition rule; nothing was restated.
FY2020: NO BALANCE SHEET EXISTS - a sourced negative, not a gap in the search (established 2026-09-18). Starling changed its accounting reference date from 30 November to 31 March, so its accounts run ...year to 30 Nov 2019, then the 16-month period 1 Dec 2019 - 31 Mar 2021, then year to 31 Mar 2022. The twelve months to 30 November 2020 were never a financial year of their own. Three independent documents were read rather than searched: (1) the 16-month Annual Report's note 01(b) 'Change to accounting reference date' states 'The financial statements are therefore for the 16 month period ended 31 March 2021' and that income-statement comparatives are the 12 months to 30 November 2019; (2) that report's Consolidated Statement of Financial Position (p.64-65 / PDF p.34) prints exactly two balance-sheet dates, 31 Mar 2021 and 30 Nov 2019 - there is no 30 Nov 2020 column anywhere in the statements; (3) Companies House filing history for Starling Bank Limited (09092149) lists accounts made up to 30 November 2019 and then 31 March 2021, with nothing in between. The ONLY 30 November 2020 figures Starling ever published are an UNAUDITED 12-month INCOME-STATEMENT memorandum in the 16-month report's Group Strategic Report (p.14-15, alongside an unaudited 4-month column to 31 Mar 2021) and a matching unaudited interest-margin table (p.16-17) - RE-VERIFIED INDEPENDENTLY 2026-09-19, and the FY2020 column now SAYS this on the Total assets row rather than standing empty - FY2020 is an interior column here (FY2019, FY2018 and FY2017 all carry figures), so it cannot be trimmed away, and an empty interior column reads exactly like one nobody has examined. The Companies House accounts filing history for 09092149 was re-enumerated PAGE BY PAGE (?category=accounts&amp;page=1..4, HTTP 200 each), because a filing absent from page 1 is not a missing filing: page 1 gives 31 March 2026 and 31 March 2025, page 2 gives 31 March 2024, 2023 and 2022, page 3 gives 31 March 2021 and page 4 gives 30 November 2019. The sequence steps straight from 30 Nov 2019 to 31 Mar 2021 with nothing made up to any date in 2020. income and margin only, no assets, no liabilities and no equity. Nothing from those memoranda is carried here: they are unaudited, they are not a balance sheet, and this is a Balance Sheet sheet. Starling's Pillar 3 series does not fill the hole either: the files are named by PUBLICATION year, not reporting date - Pillar3-2020.pdf is 'Starling Bank Limited Pillar 3 Disclosures 30 November 2019' and Pillar3-2019.pdf is as at 30 November 2018 - so no Starling Pillar 3 has a 2020 reporting date either.
FY2018 (&amp; FY2017): Starling Bank Limited Annual Report and Consolidated Financial Statements for the year ended 30 November 2018, printed p.45 / PDF p.25, 'Consolidated Statement of Financial Position as at 30 November 2018' - https://www.starlingbank.com/docs/annual-reports/Starling-bank-annual-report-2017-18.pdf. That table prints four columns (Group 2018, Group 2017, Company 2018, Company 2017); the GROUP columns are used, as everywhere else in this workbook.
FY2017 independently cross-checked against its own original report: Starling Bank Limited Annual Report 2017 (year ended 30 November 2017), printed p.42 / PDF p.44, Consolidated Statement of Financial Position - https://www.starlingbank.com/docs/annual-reports/Starling-bank-annual-report-2016-17.pdf. Every FY2017 figure agrees exactly between the two editions (Loans and Advances to Banks 37,544; Total Assets 53,277; Total Liabilities 20,559; Share Premium 47,846; Total Equity 32,718) - no restatement.
CORRECTION (2026-09-16): FY2018 'Loans and advances to banks' previously read 37,544. That is the FY2017 COMPARATIVE from the same table, mis-read one column across; the FY2018 Group figure is 187,008. The error was self-evident from the column's own arithmetic - 187,008 + 18,039 + 8,698 + 7,087 + 616 + 13,221 = 234,669, the printed Total Assets, whereas 37,544 left the column 149,464 short of its own stated total. Every other FY2018 and FY2017 cell was re-checked against the printed table and is correct. The FY2018 column was also completed at the same time: it previously carried a single 'Other assets' of 20,924 that silently absorbed Property, Plant and Equipment (616) and Intangible Assets (13,221), while the adjacent FY2017 column showed those two lines separately - the two columns now use identical treatment, and the FY2018 equity components (Share Capital 5, Share Premium 67,784, Other Reserves 319, Cumulative Retained Earnings (40,109)) and liability components (Provisions 202, Other Liabilities 3,614, Accruals and Deferred Income 531) are transcribed rather than left blank.</t>
        </is>
      </c>
    </row>
    <row r="61" ht="403" customHeight="1">
      <c r="A61" s="8" t="inlineStr">
        <is>
          <t>(continued)
FY2018/FY2017 caption mapping: 'Investment Securities' is carried on the 'Total debt securities' row (no issuer-type breakdown is disclosed for these years, so the four sub-lines stay blank); 'Accruals and Deferred Income' is carried on the 'Deferred income' row; and 'Other assets' combines the report's 'Other Assets' and 'Accrued Interest and Prepayments' lines (FY2018: 5,464 + 1,623 = 7,087; FY2017: 2,236 + 96 = 2,332) because no separate accrued-interest row exists in this ladder. Both columns tie exactly: assets to Total Assets, liabilities to Total Liabilities, and equity components to Total Equity.
ENTITY NOTE: Starling Bank Limited (Companies House 09092149) is the entity on the PRA register and is used, on a consolidated Group basis, for FY2021-FY2025 - each year's own Annual Report and Consolidated Financial Statements. FY2021 (marked †) is a 16-month period (1 December 2019 - 31 March 2021), Starling's first period reporting to a 31 March year end - not directly run-rate comparable to the other years.
FY2026 (marked ‡, added as a bonus column beyond the standard 5-year window) is different: in June 2025 a new non-trading holding company, Starling Group Holdings Limited (SGHL), was inserted as ultimate parent of Starling Bank Limited (SBL), with an intermediate holding company (SIHL) added in September 2025. From FY2026, SBL's own Companies House filing is presented on an unconsolidated solo/Company basis only (SBL's own wording: 'the Company' = Starling Bank Limited; consolidated 'Group' figures are now published separately as SGHL's own Annual Report). To keep this column comparable to FY2021-FY2025's consolidated basis, FY2026 cash flow figures here are SGHL's consolidated Group figures (from the new SGHL Annual Report), not SBL's own solo filing. The SGHL accounting consolidation for FY2026 additionally includes Murmur Financial Services Limited, Fleet Mortgages Limited and Engine by Starling Limited alongside SBL and its own ancillary undertakings (Starling FS Services Limited, and Ember by Starling Limited, acquired during FY2026) - a broader scope than SBL's own historical Group accounts. Pillar 3 (prudential) figures for FY2026 are on the narrower 'Regulatory Group' basis (SGHL, SIHL, SBL, SFSSL and Ember only - Murmur/Fleet Mortgages/Engine fall below CRR Article 19 materiality thresholds); cross-checking confirms this made no difference to the FY2025 capital figures, so Pillar 3 continuity FY2021-FY2026 is unaffected by the restructuring. FY2019-FY2017 are covered by Starling's official investor archive, each from its OWN edition: FY2019 in the 2018-19 report (year ended 30 November 2019), FY2018 in the 2017-18 report, and FY2017 in the 2016-17 report. Older columns retain blanks where the historical filing used a materially different presentation and no reliable like-for-like line exists.
FY2020 HAS NO REPORTING DATE AT ALL - THERE IS NO STARLING BALANCE SHEET TO FIND (established 2026-09-18, see the Balance Sheet source note for the documents read). Starling changed its accounting reference date from 30 November to 31 March, so the twelve months to 30 November 2020 fall INSIDE the 16-month period 1 December 2019 - 31 March 2021 and were never themselves a financial year. No statement of financial position was ever drawn up at any date in the FY2020 slot - not by the Group, not in a Pillar 3, and not at Companies House. This is a sourced negative about the calendar, not a gap in the search.
PRESENTATION NOTE (Balance Sheet): FY2024-FY2026 report a separate 'Cash and balances at central banks' line distinct from 'Loans and advances to banks'; FY2021-FY2023 report a single combined 'Loans and Advances to Banks' line that includes cash and cash equivalents (per that year's own footnote) - both are shown as disclosed, not reconciled into a common split. FY2021 combines Property, Plant and Equipment with Intangible Assets into one line (no separate Goodwill line - Goodwill first arose on the Fleet Mortgages acquisition in FY2022); FY2022 onward splits these three lines out.
PRESENTATION NOTE (Debt securities breakdown): the 'Debt securities' Balance Sheet line is broken out by issuer type per each year's own 'Debt securities' note - government/supranational bonds vs. covered bonds and RMBS issued by banks and building societies, plus the fair value adjustment for hedged risk that reconciles the gross note total to the Balance Sheet's net carrying value (all four sub-lines sum exactly to 'Total debt securities' every year). Source notes: FY2026: Starling Group Holdings Limited Annual Report and Accounts 2026, note 13 'Debt securities', p.195 - https://www.starlingbank.com/docs/annual-reports/Starling-Group-Annual-Report-2026.pdf
FY2025 &amp; FY2024: Starling Bank Limited Annual Report and Accounts 2025, note 10 'Debt securities', p.189 - https://www.starlingbank.com/docs/annual-reports/Starling-Bank-Annual-Report-2025.pdf. FY2025's breakdown independently cross-checked against AR26's own FY2025 comparative column (note 13, p.195), which agrees exactly.
FY2023 &amp; FY2022: Starling Bank Limited Annual Report 2023, note 11 'Debt Securities', p.154 - https://www.starlingbank.com/docs/annual-reports/Starling-Bank-Annual-Report-2023.pdf
FY2021: Starling Bank Limited Annual Report and Consolidated Financial Statements, period ended 31 March 2021, note 12 'Debt Securities', p.111 - https://www.starlingbank.com/docs/annual-reports/Starling-Bank-Annual-Report-2019-21.pdf. That year's note also states 'All Debt Securities are held at amortised cost' - no FVOCI/FVTPL/trading leg is disclosed for any year covered (the FY2025 Annual Report's own risk section likewise states 'The Group's debt securities are measured at amortised cost'), so no measurement-basis (amortised cost vs. mark-to-market) split is shown here - it would be a 100%-amortised-cost/0%-mark-to-market non-split, not a genuine disclosed breakdown.
PRESENTATION NOTE (Profit &amp; Loss): FY2021-FY2025 use a 'Net interest income / Net fees and commissions / Total income' structure; FY2026 (Starling Group Holdings Limited's own first Annual Report) uses a 'Revenue / Cost of revenue / Gross profit' structure instead - both are shown as separate blocks, each with its own Profit-after-tax and Total-comprehensive-income rows (mirroring the Cash Flow Statement sheet's existing dual-presentation convention), rather than force-fitting FY2026 into the older structure. FY2021's Loss for the year and OCI, net of tax are the same figure (no OCI items disclosed that year - 'There is no difference between the loss after taxation and the total comprehensive income of the Group').</t>
        </is>
      </c>
    </row>
    <row r="63" ht="409" customHeight="1">
      <c r="A63" s="8" t="inlineStr">
        <is>
          <t>(continued)
PRESENTATION NOTE (Statement of Changes in Equity): 'Merger reserve' (created in FY2022 on the Fleet Mortgages Limited share-for-share acquisition, per Companies Act 2006 s.612) and 'Cash flow hedging reserve' are shown as their own columns throughout for consistency, back-computed for FY2021-FY2023 from each year's combined 'Other Reserves' column and that year's own movement notes (verified: FY2022's £15,000k Merger reserve movement exactly matches the value AR26 later separately discloses as the FY2024 opening Merger reserve balance, confirming it never changed between creation and FY2024). 'Other reserves' here combines the own-shares-held reserve, share awards reserve, foreign exchange/translation reserve and sundry reserves - these were only disclosed as separate sub-columns from AR26 (FY2026 report) onward; combining them keeps the ladder's column set consistent across all 6 years. Every year's closing Total equity ties exactly to that year's own Balance Sheet Total equity and to the next year's opening balance - zero undocumented plug rows across all 6 years.
FY2017-FY2019 ADDED TO THE PROFIT &amp; LOSS, CASH FLOW STATEMENT AND STATEMENT OF CHANGES IN EQUITY (2026-10-08). WHY THEY WERE MISSING, which matters more than the figures: the Balance Sheet has carried FY2017, FY2018 and FY2019 since this workbook was built, but the other three statements stopped at FY2021 - even though the very documents already cited for the Balance Sheet print a full Group income statement, cash flow statement and equity reconciliation for those same years. The columns were not marked as gaps; they were TRIMMED AWAY by _trim_trailing_empty_years, which drops an oldest-end year column that no row fills. That rule assumes an absent old column means the disclosure did not exist that far back. Here it did. A trimmed column is invisible to audit_gaps.py as well, because the census reports the years a sheet HAS - so no check in this repo could see this, and it was found by a reader comparing two sheets by eye. A corpus-wide sweep for the same shape (Balance Sheet spanning years its Profit &amp; Loss does not) returns only Afin Bank FY2021 and Kingdom Bank FY2004 besides Starling.
SOURCES, each year from its OWN edition, all figures read off 300 dpi page renders (text layer used for navigation only): FY2019 - AR 2018-19, printed p.45 (Consolidated Statement of Comprehensive Income), printed p.48 (Consolidated Cash Flow Statement), printed p.49 (Consolidated Statement of Changes in Equity) - https://www.starlingbank.com/docs/annual-reports/Starling-Bank-Annual-Report-2018-19.pdf. FY2018 - AR 2017-18, printed p.47, p.48 and p.49 respectively - https://www.starlingbank.com/docs/annual-reports/Starling-bank-annual-report-2017-18.pdf. FY2017 - AR 2016-17, printed p.43, p.44 and p.45 respectively - https://www.starlingbank.com/docs/annual-reports/Starling-bank-annual-report-2016-17.pdf. Group columns throughout.
CORROBORATION: the FY2019 closing cash of 764,705 is already this sheet's FY2021 opening balance, and FY2018's closing 187,008 is FY2019's opening - the three added years chain into the existing series with no seam. Every added column's operating/investing/financing totals and its net-increase line were recomputed from the printed line items, and the equity ladder's four balance rows each foot across their own components.
DEFECT IN STARLING'S OWN FY2017 CASH FLOW STATEMENT - REPRODUCED AS PRINTED, NOT CORRECTED. AR 2016-17's Consolidated Cash Flow Statement (printed p.44) lists nine operating movement rows, and they do not foot to its own printed total: -10,196 + 557 - 804 - 3,014 - 1,858 - 86 + 18,081 - 97 - 978 = 1,605, against a printed 'Net Cash Flows from Operating Activities' of 2,837 - a shortfall of 1,232. The FY2018 edition's FY2017 comparative prints the same rows PLUS 'Net (decrease)/increase in Accruals and Deferred Income 1,232', and 1,605 + 1,232 = 2,837 exactly. So the printed TOTAL is right and a ROW is missing from the bank's own FY2017 statement; the next edition restored it. The 30 Nov 2016 comparative column in that same statement has the same shape of defect (its rows sum to -3,131 against a printed (2,878), a gap of 253) and cannot be cross-checked, because the FY2018 edition shows only 2018 and 2017. BOTH the nine printed rows and the printed 2,837 are reproduced here exactly as published. The missing 1,232 is NOT imported from the later edition - that would mix two editions inside one column - and the total is NOT adjusted to match the rows. verify_workbook.py therefore reports a cash-flow block mismatch on FY2017; that report is correct and this paragraph is its explanation. FY2018 (135,153) and FY2019 (703,391) both foot exactly.
£1k INCONSISTENCY INSIDE THE FY2019 EDITION. AR 2018-19 prints 'Loss after Taxation (52,064)' in its Consolidated Statement of Comprehensive Income (printed p.45) and 'Loss for the Period (52,065)' in its Consolidated Statement of Changes in Equity (printed p.49). The SOCE's 52,065 is what makes its own column foot ((40,109) + (52,065) = (92,174), the printed closing retained earnings), so each statement is internally consistent and they disagree with each other. Both are reproduced as printed - the Profit &amp; Loss sheet carries 52,064 and the equity ladder carries 52,065. Neither is adjusted to the other.
EDITION-vs-EDITION DIFFERENCES ON THE ADDED YEARS (own edition used in every case, later edition recorded here). FY2018 income statement: its own edition prints Administrative Expenses (26,854), Impairment on Loans and Advances to Customers (346) and Provisions for Liabilities and Charges (406); the FY2019 edition's comparative prints Administrative Expenses (27,054) and a single Impairment and Write Offs (552). Both foot to Loss before Taxation (26,856) - £200k moved from provisions into administrative expenses on re-presentation. FY2018 cash flow: its own edition puts investment securities (15,025) in OPERATING and reports operating 135,153 / investing (6,040) / financing 20,351; the FY2019 edition's comparative moves those securities to INVESTING and moves the £330 fair value of shares from financing to operating, giving 150,508 / (21,065) / 20,021. Both reach the same net increase of 149,464 and the same opening and closing cash. FY2017 cash flow: its own edition prints Purchases of Tangible Assets (242) with no disposals line, where the FY2018 edition's comparative splits the same net figure into purchases (263) and sales 21. FY2017 income statement: its own edition splits operating costs into Other Operating Costs (16,688) and Capitalisation of Intangible Asset 4,710 to reach Total Operating Costs (11,978), where the FY2018 edition's comparative prints only the (11,978) net.
PRESENTATION: the FY2017-FY2019 figures are kept in their own clearly-labelled blocks on the Profit &amp; Loss and Cash Flow sheets rather than merged into the FY2021+ rows, because the row sets are genuinely different (a 30 November year-end, a CIF grant, securities classified in operating rather than investing) - the same treatment this workbook already gives the FY2026 SGHL presentation. One line the Group reports as nil is omitted rather than shown as a zero: 'Net Increase in the Inter-Company Account' is a printed dash in all three Group columns (it is a Company-only item).</t>
        </is>
      </c>
    </row>
  </sheetData>
  <mergeCells count="3">
    <mergeCell ref="A61:K61"/>
    <mergeCell ref="A63:K63"/>
    <mergeCell ref="A59:K5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3"/>
  <sheetViews>
    <sheetView workbookViewId="0">
      <pane ySplit="4" topLeftCell="A5" activePane="bottomLeft" state="frozen"/>
      <selection pane="bottomLef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Starling Bank Limited — Statement of Changes in Equity</t>
        </is>
      </c>
    </row>
    <row r="2">
      <c r="A2" s="2" t="inlineStr">
        <is>
          <t>Group/consolidated basis, £'000, chronological (oldest to newest). Each year's closing Total equity ties exactly to that year's own Balance Sheet Total equity and to the next year's opening balance - zero undocumented plug rows across all 6 years.</t>
        </is>
      </c>
    </row>
    <row r="3">
      <c r="A3" s="4" t="inlineStr">
        <is>
          <t>Movement</t>
        </is>
      </c>
      <c r="B3" s="4" t="inlineStr">
        <is>
          <t>Share capital</t>
        </is>
      </c>
      <c r="C3" s="4" t="inlineStr">
        <is>
          <t>Share premium</t>
        </is>
      </c>
      <c r="D3" s="4" t="inlineStr">
        <is>
          <t>Merger reserve</t>
        </is>
      </c>
      <c r="E3" s="4" t="inlineStr">
        <is>
          <t>Cash flow hedging reserve</t>
        </is>
      </c>
      <c r="F3" s="4" t="inlineStr">
        <is>
          <t>Other reserves</t>
        </is>
      </c>
      <c r="G3" s="4" t="inlineStr">
        <is>
          <t>Retained earnings</t>
        </is>
      </c>
      <c r="H3" s="4" t="inlineStr">
        <is>
          <t>Total equity</t>
        </is>
      </c>
    </row>
    <row r="4">
      <c r="A4" s="5" t="inlineStr">
        <is>
          <t>Balance at 30 November 2016</t>
        </is>
      </c>
      <c r="B4" s="5" t="n">
        <v>3</v>
      </c>
      <c r="C4" s="5" t="n">
        <v>17889</v>
      </c>
      <c r="D4" s="5" t="n"/>
      <c r="E4" s="5" t="n"/>
      <c r="F4" s="5" t="n"/>
      <c r="G4" s="5" t="n">
        <v>-4843</v>
      </c>
      <c r="H4" s="5" t="n">
        <v>13049</v>
      </c>
    </row>
    <row r="5">
      <c r="A5" s="6" t="inlineStr">
        <is>
          <t>Proceeds from issue of shares, less expenses</t>
        </is>
      </c>
      <c r="B5" s="6" t="n">
        <v>2</v>
      </c>
      <c r="C5" s="6" t="n">
        <v>29957</v>
      </c>
      <c r="D5" s="6" t="n"/>
      <c r="E5" s="6" t="n"/>
      <c r="F5" s="6" t="n"/>
      <c r="G5" s="6" t="n"/>
      <c r="H5" s="6" t="n">
        <v>29959</v>
      </c>
    </row>
    <row r="6">
      <c r="A6" s="6" t="inlineStr">
        <is>
          <t>Shares held by Employee Benefit Trust</t>
        </is>
      </c>
      <c r="B6" s="6" t="n"/>
      <c r="C6" s="6" t="n"/>
      <c r="D6" s="6" t="n"/>
      <c r="E6" s="6" t="n"/>
      <c r="F6" s="6" t="n">
        <v>-185</v>
      </c>
      <c r="G6" s="6" t="n"/>
      <c r="H6" s="6" t="n">
        <v>-185</v>
      </c>
    </row>
    <row r="7">
      <c r="A7" s="6" t="inlineStr">
        <is>
          <t>Fair value of shares allocated to employees</t>
        </is>
      </c>
      <c r="B7" s="6" t="n"/>
      <c r="C7" s="6" t="n"/>
      <c r="D7" s="6" t="n"/>
      <c r="E7" s="6" t="n"/>
      <c r="F7" s="6" t="n">
        <v>91</v>
      </c>
      <c r="G7" s="6" t="n"/>
      <c r="H7" s="6" t="n">
        <v>91</v>
      </c>
    </row>
    <row r="8">
      <c r="A8" s="6" t="inlineStr">
        <is>
          <t>Loss for the period</t>
        </is>
      </c>
      <c r="B8" s="6" t="n"/>
      <c r="C8" s="6" t="n"/>
      <c r="D8" s="6" t="n"/>
      <c r="E8" s="6" t="n"/>
      <c r="F8" s="6" t="n"/>
      <c r="G8" s="6" t="n">
        <v>-10196</v>
      </c>
      <c r="H8" s="6" t="n">
        <v>-10196</v>
      </c>
    </row>
    <row r="9">
      <c r="A9" s="5" t="inlineStr">
        <is>
          <t>Balance at 30 November 2017</t>
        </is>
      </c>
      <c r="B9" s="5" t="n">
        <v>5</v>
      </c>
      <c r="C9" s="5" t="n">
        <v>47846</v>
      </c>
      <c r="D9" s="5" t="n"/>
      <c r="E9" s="5" t="n"/>
      <c r="F9" s="5" t="n">
        <v>-94</v>
      </c>
      <c r="G9" s="5" t="n">
        <v>-15039</v>
      </c>
      <c r="H9" s="5" t="n">
        <v>32718</v>
      </c>
    </row>
    <row r="10">
      <c r="A10" s="6" t="inlineStr">
        <is>
          <t>Proceeds from issue of shares, less expenses</t>
        </is>
      </c>
      <c r="B10" s="6" t="n"/>
      <c r="C10" s="6" t="n">
        <v>19938</v>
      </c>
      <c r="D10" s="6" t="n"/>
      <c r="E10" s="6" t="n"/>
      <c r="F10" s="6" t="n"/>
      <c r="G10" s="6" t="n"/>
      <c r="H10" s="6" t="n">
        <v>19938</v>
      </c>
    </row>
    <row r="11">
      <c r="A11" s="6" t="inlineStr">
        <is>
          <t>Shares held by Employee Benefit Trust</t>
        </is>
      </c>
      <c r="B11" s="6" t="n"/>
      <c r="C11" s="6" t="n"/>
      <c r="D11" s="6" t="n"/>
      <c r="E11" s="6" t="n"/>
      <c r="F11" s="6" t="n">
        <v>175</v>
      </c>
      <c r="G11" s="6" t="n"/>
      <c r="H11" s="6" t="n">
        <v>175</v>
      </c>
    </row>
    <row r="12">
      <c r="A12" s="6" t="inlineStr">
        <is>
          <t>Fair value of shares allocated to employees</t>
        </is>
      </c>
      <c r="B12" s="6" t="n"/>
      <c r="C12" s="6" t="n"/>
      <c r="D12" s="6" t="n"/>
      <c r="E12" s="6" t="n"/>
      <c r="F12" s="6" t="n">
        <v>238</v>
      </c>
      <c r="G12" s="6" t="n"/>
      <c r="H12" s="6" t="n">
        <v>238</v>
      </c>
    </row>
    <row r="13">
      <c r="A13" s="6" t="inlineStr">
        <is>
          <t>Loss for the period</t>
        </is>
      </c>
      <c r="B13" s="6" t="n"/>
      <c r="C13" s="6" t="n"/>
      <c r="D13" s="6" t="n"/>
      <c r="E13" s="6" t="n"/>
      <c r="F13" s="6" t="n"/>
      <c r="G13" s="6" t="n">
        <v>-25070</v>
      </c>
      <c r="H13" s="6" t="n">
        <v>-25070</v>
      </c>
    </row>
    <row r="14">
      <c r="A14" s="5" t="inlineStr">
        <is>
          <t>Balance at 30 November 2018</t>
        </is>
      </c>
      <c r="B14" s="5" t="n">
        <v>5</v>
      </c>
      <c r="C14" s="5" t="n">
        <v>67784</v>
      </c>
      <c r="D14" s="5" t="n"/>
      <c r="E14" s="5" t="n"/>
      <c r="F14" s="5" t="n">
        <v>319</v>
      </c>
      <c r="G14" s="5" t="n">
        <v>-40109</v>
      </c>
      <c r="H14" s="5" t="n">
        <v>27999</v>
      </c>
    </row>
    <row r="15">
      <c r="A15" s="6" t="inlineStr">
        <is>
          <t>Proceeds from issue of shares, less expenses</t>
        </is>
      </c>
      <c r="B15" s="6" t="n">
        <v>2</v>
      </c>
      <c r="C15" s="6" t="n">
        <v>91548</v>
      </c>
      <c r="D15" s="6" t="n"/>
      <c r="E15" s="6" t="n"/>
      <c r="F15" s="6" t="n"/>
      <c r="G15" s="6" t="n"/>
      <c r="H15" s="6" t="n">
        <v>91550</v>
      </c>
    </row>
    <row r="16">
      <c r="A16" s="6" t="inlineStr">
        <is>
          <t>Loss for the period (this statement prints 52,065; the same edition's Profit &amp; Loss prints 52,064 - see note)</t>
        </is>
      </c>
      <c r="B16" s="6" t="n"/>
      <c r="C16" s="6" t="n"/>
      <c r="D16" s="6" t="n"/>
      <c r="E16" s="6" t="n"/>
      <c r="F16" s="6" t="n"/>
      <c r="G16" s="6" t="n">
        <v>-52065</v>
      </c>
      <c r="H16" s="6" t="n">
        <v>-52065</v>
      </c>
    </row>
    <row r="17">
      <c r="A17" s="6" t="inlineStr">
        <is>
          <t>Fair value of shares allocated to employees</t>
        </is>
      </c>
      <c r="B17" s="6" t="n"/>
      <c r="C17" s="6" t="n"/>
      <c r="D17" s="6" t="n"/>
      <c r="E17" s="6" t="n"/>
      <c r="F17" s="6" t="n">
        <v>442</v>
      </c>
      <c r="G17" s="6" t="n"/>
      <c r="H17" s="6" t="n">
        <v>442</v>
      </c>
    </row>
    <row r="18">
      <c r="A18" s="5" t="inlineStr">
        <is>
          <t>Balance at 30 November 2019</t>
        </is>
      </c>
      <c r="B18" s="5" t="n">
        <v>7</v>
      </c>
      <c r="C18" s="5" t="n">
        <v>159332</v>
      </c>
      <c r="D18" s="5" t="n"/>
      <c r="E18" s="5" t="n"/>
      <c r="F18" s="5" t="n">
        <v>761</v>
      </c>
      <c r="G18" s="5" t="n">
        <v>-92174</v>
      </c>
      <c r="H18" s="5" t="n">
        <v>67926</v>
      </c>
    </row>
    <row r="19">
      <c r="A19" s="6" t="inlineStr">
        <is>
          <t>Proceeds from issue of shares, less expenses</t>
        </is>
      </c>
      <c r="B19" s="6" t="n">
        <v>2</v>
      </c>
      <c r="C19" s="6" t="n">
        <v>94003</v>
      </c>
      <c r="D19" s="6" t="n"/>
      <c r="E19" s="6" t="n"/>
      <c r="F19" s="6" t="n"/>
      <c r="G19" s="6" t="n"/>
      <c r="H19" s="6" t="n">
        <v>94005</v>
      </c>
    </row>
    <row r="20">
      <c r="A20" s="6" t="inlineStr">
        <is>
          <t>Loss for the period</t>
        </is>
      </c>
      <c r="B20" s="6" t="n"/>
      <c r="C20" s="6" t="n"/>
      <c r="D20" s="6" t="n"/>
      <c r="E20" s="6" t="n"/>
      <c r="F20" s="6" t="n"/>
      <c r="G20" s="6" t="n">
        <v>-23319</v>
      </c>
      <c r="H20" s="6" t="n">
        <v>-23319</v>
      </c>
    </row>
    <row r="21">
      <c r="A21" s="6" t="inlineStr">
        <is>
          <t>Fair value of shares allocated to employees</t>
        </is>
      </c>
      <c r="B21" s="6" t="n"/>
      <c r="C21" s="6" t="n"/>
      <c r="D21" s="6" t="n"/>
      <c r="E21" s="6" t="n"/>
      <c r="F21" s="6" t="n">
        <v>2128</v>
      </c>
      <c r="G21" s="6" t="n"/>
      <c r="H21" s="6" t="n">
        <v>2128</v>
      </c>
    </row>
    <row r="22">
      <c r="A22" s="6" t="inlineStr">
        <is>
          <t>Translation of subsidiary company</t>
        </is>
      </c>
      <c r="B22" s="6" t="n"/>
      <c r="C22" s="6" t="n"/>
      <c r="D22" s="6" t="n"/>
      <c r="E22" s="6" t="n"/>
      <c r="F22" s="6" t="n">
        <v>91</v>
      </c>
      <c r="G22" s="6" t="n"/>
      <c r="H22" s="6" t="n">
        <v>91</v>
      </c>
    </row>
    <row r="23">
      <c r="A23" s="5" t="inlineStr">
        <is>
          <t>Balance at 31 March 2021</t>
        </is>
      </c>
      <c r="B23" s="5" t="n">
        <v>9</v>
      </c>
      <c r="C23" s="5" t="n">
        <v>253335</v>
      </c>
      <c r="D23" s="5" t="n"/>
      <c r="E23" s="5" t="n"/>
      <c r="F23" s="5" t="n">
        <v>2980</v>
      </c>
      <c r="G23" s="5" t="n">
        <v>-115493</v>
      </c>
      <c r="H23" s="5" t="n">
        <v>140831</v>
      </c>
    </row>
    <row r="24">
      <c r="A24" s="6" t="inlineStr">
        <is>
          <t>Proceeds from issue of shares, less expenses (of which £15,000k created the Merger reserve on the Fleet Mortgages Limited acquisition)</t>
        </is>
      </c>
      <c r="B24" s="6" t="n">
        <v>2</v>
      </c>
      <c r="C24" s="6" t="n">
        <v>224998</v>
      </c>
      <c r="D24" s="6" t="n">
        <v>15000</v>
      </c>
      <c r="E24" s="6" t="n"/>
      <c r="F24" s="6" t="n"/>
      <c r="G24" s="6" t="n"/>
      <c r="H24" s="6" t="n">
        <v>240000</v>
      </c>
    </row>
    <row r="25">
      <c r="A25" s="6" t="inlineStr">
        <is>
          <t>Profit for the year</t>
        </is>
      </c>
      <c r="B25" s="6" t="n"/>
      <c r="C25" s="6" t="n"/>
      <c r="D25" s="6" t="n"/>
      <c r="E25" s="6" t="n"/>
      <c r="F25" s="6" t="n"/>
      <c r="G25" s="6" t="n">
        <v>44938</v>
      </c>
      <c r="H25" s="6" t="n">
        <v>44938</v>
      </c>
    </row>
    <row r="26">
      <c r="A26" s="6" t="inlineStr">
        <is>
          <t>Translation of subsidiary company</t>
        </is>
      </c>
      <c r="B26" s="6" t="n"/>
      <c r="C26" s="6" t="n"/>
      <c r="D26" s="6" t="n"/>
      <c r="E26" s="6" t="n"/>
      <c r="F26" s="6" t="n">
        <v>-4</v>
      </c>
      <c r="G26" s="6" t="n"/>
      <c r="H26" s="6" t="n">
        <v>-4</v>
      </c>
    </row>
    <row r="27">
      <c r="A27" s="6" t="inlineStr">
        <is>
          <t>Cost of share award schemes, net of tax</t>
        </is>
      </c>
      <c r="B27" s="6" t="n"/>
      <c r="C27" s="6" t="n"/>
      <c r="D27" s="6" t="n"/>
      <c r="E27" s="6" t="n"/>
      <c r="F27" s="6" t="n">
        <v>4549</v>
      </c>
      <c r="G27" s="6" t="n">
        <v>110</v>
      </c>
      <c r="H27" s="6" t="n">
        <v>4659</v>
      </c>
    </row>
    <row r="28">
      <c r="A28" s="5" t="inlineStr">
        <is>
          <t>Balance at 31 March 2022 / 1 April 2022</t>
        </is>
      </c>
      <c r="B28" s="5" t="n">
        <v>11</v>
      </c>
      <c r="C28" s="5" t="n">
        <v>478333</v>
      </c>
      <c r="D28" s="5" t="n">
        <v>15000</v>
      </c>
      <c r="E28" s="5" t="n"/>
      <c r="F28" s="5" t="n">
        <v>7525</v>
      </c>
      <c r="G28" s="5" t="n">
        <v>-70445</v>
      </c>
      <c r="H28" s="5" t="n">
        <v>430424</v>
      </c>
    </row>
    <row r="29">
      <c r="A29" s="6" t="inlineStr">
        <is>
          <t>Proceeds from issue of shares, less expenses</t>
        </is>
      </c>
      <c r="B29" s="6" t="n">
        <v>1</v>
      </c>
      <c r="C29" s="6" t="n">
        <v>130500</v>
      </c>
      <c r="D29" s="6" t="n"/>
      <c r="E29" s="6" t="n"/>
      <c r="F29" s="6" t="n"/>
      <c r="G29" s="6" t="n"/>
      <c r="H29" s="6" t="n">
        <v>130501</v>
      </c>
    </row>
    <row r="30">
      <c r="A30" s="6" t="inlineStr">
        <is>
          <t>Profit for the year</t>
        </is>
      </c>
      <c r="B30" s="6" t="n"/>
      <c r="C30" s="6" t="n"/>
      <c r="D30" s="6" t="n"/>
      <c r="E30" s="6" t="n"/>
      <c r="F30" s="6" t="n"/>
      <c r="G30" s="6" t="n">
        <v>142856</v>
      </c>
      <c r="H30" s="6" t="n">
        <v>142856</v>
      </c>
    </row>
    <row r="31">
      <c r="A31" s="6" t="inlineStr">
        <is>
          <t>Translation of subsidiary company</t>
        </is>
      </c>
      <c r="B31" s="6" t="n"/>
      <c r="C31" s="6" t="n"/>
      <c r="D31" s="6" t="n"/>
      <c r="E31" s="6" t="n"/>
      <c r="F31" s="6" t="n">
        <v>47</v>
      </c>
      <c r="G31" s="6" t="n"/>
      <c r="H31" s="6" t="n">
        <v>47</v>
      </c>
    </row>
    <row r="32">
      <c r="A32" s="6" t="inlineStr">
        <is>
          <t>Cash flow hedge</t>
        </is>
      </c>
      <c r="B32" s="6" t="n"/>
      <c r="C32" s="6" t="n"/>
      <c r="D32" s="6" t="n"/>
      <c r="E32" s="6" t="n">
        <v>-10246</v>
      </c>
      <c r="F32" s="6" t="n"/>
      <c r="G32" s="6" t="n"/>
      <c r="H32" s="6" t="n">
        <v>-10246</v>
      </c>
    </row>
    <row r="33">
      <c r="A33" s="6" t="inlineStr">
        <is>
          <t>Cost of share award schemes, net of tax</t>
        </is>
      </c>
      <c r="B33" s="6" t="n"/>
      <c r="C33" s="6" t="n"/>
      <c r="D33" s="6" t="n"/>
      <c r="E33" s="6" t="n"/>
      <c r="F33" s="6" t="n">
        <v>1695</v>
      </c>
      <c r="G33" s="6" t="n"/>
      <c r="H33" s="6" t="n">
        <v>1695</v>
      </c>
    </row>
    <row r="34">
      <c r="A34" s="5" t="inlineStr">
        <is>
          <t>Balance at 31 March 2023 / 1 April 2023</t>
        </is>
      </c>
      <c r="B34" s="5" t="n">
        <v>12</v>
      </c>
      <c r="C34" s="5" t="n">
        <v>608833</v>
      </c>
      <c r="D34" s="5" t="n">
        <v>15000</v>
      </c>
      <c r="E34" s="5" t="n">
        <v>-10246</v>
      </c>
      <c r="F34" s="5" t="n">
        <v>9267</v>
      </c>
      <c r="G34" s="5" t="n">
        <v>72411</v>
      </c>
      <c r="H34" s="5" t="n">
        <v>695277</v>
      </c>
    </row>
    <row r="35">
      <c r="A35" s="6" t="inlineStr">
        <is>
          <t>Profit for the year</t>
        </is>
      </c>
      <c r="B35" s="6" t="n"/>
      <c r="C35" s="6" t="n"/>
      <c r="D35" s="6" t="n"/>
      <c r="E35" s="6" t="n"/>
      <c r="F35" s="6" t="n"/>
      <c r="G35" s="6" t="n">
        <v>220001</v>
      </c>
      <c r="H35" s="6" t="n">
        <v>220001</v>
      </c>
    </row>
    <row r="36">
      <c r="A36" s="6" t="inlineStr">
        <is>
          <t>Cash flow hedge</t>
        </is>
      </c>
      <c r="B36" s="6" t="n"/>
      <c r="C36" s="6" t="n"/>
      <c r="D36" s="6" t="n"/>
      <c r="E36" s="6" t="n">
        <v>27379</v>
      </c>
      <c r="F36" s="6" t="n"/>
      <c r="G36" s="6" t="n"/>
      <c r="H36" s="6" t="n">
        <v>27379</v>
      </c>
    </row>
    <row r="37">
      <c r="A37" s="6" t="inlineStr">
        <is>
          <t>Translation of subsidiary company</t>
        </is>
      </c>
      <c r="B37" s="6" t="n"/>
      <c r="C37" s="6" t="n"/>
      <c r="D37" s="6" t="n"/>
      <c r="E37" s="6" t="n"/>
      <c r="F37" s="6" t="n">
        <v>25</v>
      </c>
      <c r="G37" s="6" t="n"/>
      <c r="H37" s="6" t="n">
        <v>25</v>
      </c>
    </row>
    <row r="38">
      <c r="A38" s="6" t="inlineStr">
        <is>
          <t>Purchase of own shares</t>
        </is>
      </c>
      <c r="B38" s="6" t="n"/>
      <c r="C38" s="6" t="n"/>
      <c r="D38" s="6" t="n"/>
      <c r="E38" s="6" t="n"/>
      <c r="F38" s="6" t="n">
        <v>-56362</v>
      </c>
      <c r="G38" s="6" t="n"/>
      <c r="H38" s="6" t="n">
        <v>-56362</v>
      </c>
    </row>
    <row r="39">
      <c r="A39" s="6" t="inlineStr">
        <is>
          <t>Cost of share award schemes, net of tax</t>
        </is>
      </c>
      <c r="B39" s="6" t="n"/>
      <c r="C39" s="6" t="n"/>
      <c r="D39" s="6" t="n"/>
      <c r="E39" s="6" t="n"/>
      <c r="F39" s="6" t="n">
        <v>3450</v>
      </c>
      <c r="G39" s="6" t="n"/>
      <c r="H39" s="6" t="n">
        <v>3450</v>
      </c>
    </row>
    <row r="40">
      <c r="A40" s="6" t="inlineStr">
        <is>
          <t>Transfer from share award reserve</t>
        </is>
      </c>
      <c r="B40" s="6" t="n"/>
      <c r="C40" s="6" t="n"/>
      <c r="D40" s="6" t="n"/>
      <c r="E40" s="6" t="n"/>
      <c r="F40" s="6" t="n">
        <v>-516</v>
      </c>
      <c r="G40" s="6" t="n">
        <v>516</v>
      </c>
      <c r="H40" s="6" t="n">
        <v>0</v>
      </c>
    </row>
    <row r="41">
      <c r="A41" s="5" t="inlineStr">
        <is>
          <t>Balance at 31 March 2024 / 1 April 2024</t>
        </is>
      </c>
      <c r="B41" s="5" t="n">
        <v>12</v>
      </c>
      <c r="C41" s="5" t="n">
        <v>608833</v>
      </c>
      <c r="D41" s="5" t="n">
        <v>15000</v>
      </c>
      <c r="E41" s="5" t="n">
        <v>17133</v>
      </c>
      <c r="F41" s="5" t="n">
        <v>-44136</v>
      </c>
      <c r="G41" s="5" t="n">
        <v>292928</v>
      </c>
      <c r="H41" s="5" t="n">
        <v>889770</v>
      </c>
    </row>
    <row r="42">
      <c r="A42" s="6" t="inlineStr">
        <is>
          <t>Profit for the year</t>
        </is>
      </c>
      <c r="B42" s="6" t="n"/>
      <c r="C42" s="6" t="n"/>
      <c r="D42" s="6" t="n"/>
      <c r="E42" s="6" t="n"/>
      <c r="F42" s="6" t="n"/>
      <c r="G42" s="6" t="n">
        <v>150722</v>
      </c>
      <c r="H42" s="6" t="n">
        <v>150722</v>
      </c>
    </row>
    <row r="43">
      <c r="A43" s="6" t="inlineStr">
        <is>
          <t>Cash flow hedge</t>
        </is>
      </c>
      <c r="B43" s="6" t="n"/>
      <c r="C43" s="6" t="n"/>
      <c r="D43" s="6" t="n"/>
      <c r="E43" s="6" t="n">
        <v>-7299</v>
      </c>
      <c r="F43" s="6" t="n"/>
      <c r="G43" s="6" t="n"/>
      <c r="H43" s="6" t="n">
        <v>-7299</v>
      </c>
    </row>
    <row r="44">
      <c r="A44" s="6" t="inlineStr">
        <is>
          <t>Translation of subsidiary company</t>
        </is>
      </c>
      <c r="B44" s="6" t="n"/>
      <c r="C44" s="6" t="n"/>
      <c r="D44" s="6" t="n"/>
      <c r="E44" s="6" t="n"/>
      <c r="F44" s="6" t="n">
        <v>7</v>
      </c>
      <c r="G44" s="6" t="n"/>
      <c r="H44" s="6" t="n">
        <v>7</v>
      </c>
    </row>
    <row r="45">
      <c r="A45" s="6" t="inlineStr">
        <is>
          <t>Cost of share award schemes, net of tax</t>
        </is>
      </c>
      <c r="B45" s="6" t="n"/>
      <c r="C45" s="6" t="n"/>
      <c r="D45" s="6" t="n"/>
      <c r="E45" s="6" t="n"/>
      <c r="F45" s="6" t="n">
        <v>12852</v>
      </c>
      <c r="G45" s="6" t="n"/>
      <c r="H45" s="6" t="n">
        <v>12852</v>
      </c>
    </row>
    <row r="46">
      <c r="A46" s="5" t="inlineStr">
        <is>
          <t>Balance at 31 March 2025 / 1 April 2025</t>
        </is>
      </c>
      <c r="B46" s="5" t="n">
        <v>12</v>
      </c>
      <c r="C46" s="5" t="n">
        <v>608833</v>
      </c>
      <c r="D46" s="5" t="n">
        <v>15000</v>
      </c>
      <c r="E46" s="5" t="n">
        <v>9834</v>
      </c>
      <c r="F46" s="5" t="n">
        <v>-31277</v>
      </c>
      <c r="G46" s="5" t="n">
        <v>443650</v>
      </c>
      <c r="H46" s="5" t="n">
        <v>1046052</v>
      </c>
    </row>
    <row r="47">
      <c r="A47" s="6" t="inlineStr">
        <is>
          <t>Profit for the year</t>
        </is>
      </c>
      <c r="B47" s="6" t="n"/>
      <c r="C47" s="6" t="n"/>
      <c r="D47" s="6" t="n"/>
      <c r="E47" s="6" t="n"/>
      <c r="F47" s="6" t="n"/>
      <c r="G47" s="6" t="n">
        <v>156043</v>
      </c>
      <c r="H47" s="6" t="n">
        <v>156043</v>
      </c>
    </row>
    <row r="48">
      <c r="A48" s="6" t="inlineStr">
        <is>
          <t>Cash flow hedge</t>
        </is>
      </c>
      <c r="B48" s="6" t="n"/>
      <c r="C48" s="6" t="n"/>
      <c r="D48" s="6" t="n"/>
      <c r="E48" s="6" t="n">
        <v>-9407</v>
      </c>
      <c r="F48" s="6" t="n"/>
      <c r="G48" s="6" t="n"/>
      <c r="H48" s="6" t="n">
        <v>-9407</v>
      </c>
    </row>
    <row r="49">
      <c r="A49" s="6" t="inlineStr">
        <is>
          <t>Translation of subsidiary companies</t>
        </is>
      </c>
      <c r="B49" s="6" t="n"/>
      <c r="C49" s="6" t="n"/>
      <c r="D49" s="6" t="n"/>
      <c r="E49" s="6" t="n"/>
      <c r="F49" s="6" t="n">
        <v>-11</v>
      </c>
      <c r="G49" s="6" t="n"/>
      <c r="H49" s="6" t="n">
        <v>-11</v>
      </c>
    </row>
    <row r="50">
      <c r="A50" s="6" t="inlineStr">
        <is>
          <t>Merger reserve on Group reorganisation (SGHL inserted as new ultimate parent - see entity note)</t>
        </is>
      </c>
      <c r="B50" s="6" t="n"/>
      <c r="C50" s="6" t="n">
        <v>-608833</v>
      </c>
      <c r="D50" s="6" t="n">
        <v>608833</v>
      </c>
      <c r="E50" s="6" t="n"/>
      <c r="F50" s="6" t="n"/>
      <c r="G50" s="6" t="n"/>
      <c r="H50" s="6" t="n">
        <v>0</v>
      </c>
    </row>
    <row r="51">
      <c r="A51" s="6" t="inlineStr">
        <is>
          <t>Warrants issued</t>
        </is>
      </c>
      <c r="B51" s="6" t="n"/>
      <c r="C51" s="6" t="n"/>
      <c r="D51" s="6" t="n"/>
      <c r="E51" s="6" t="n"/>
      <c r="F51" s="6" t="n">
        <v>1372</v>
      </c>
      <c r="G51" s="6" t="n"/>
      <c r="H51" s="6" t="n">
        <v>1372</v>
      </c>
    </row>
    <row r="52">
      <c r="A52" s="6" t="inlineStr">
        <is>
          <t>Cost of share award schemes, net of tax</t>
        </is>
      </c>
      <c r="B52" s="6" t="n"/>
      <c r="C52" s="6" t="n"/>
      <c r="D52" s="6" t="n"/>
      <c r="E52" s="6" t="n"/>
      <c r="F52" s="6" t="n">
        <v>10896</v>
      </c>
      <c r="G52" s="6" t="n"/>
      <c r="H52" s="6" t="n">
        <v>10896</v>
      </c>
    </row>
    <row r="53">
      <c r="A53" s="5" t="inlineStr">
        <is>
          <t>Balance at 31 March 2026</t>
        </is>
      </c>
      <c r="B53" s="5" t="n">
        <v>12</v>
      </c>
      <c r="C53" s="5" t="n">
        <v>0</v>
      </c>
      <c r="D53" s="5" t="n">
        <v>623833</v>
      </c>
      <c r="E53" s="5" t="n">
        <v>427</v>
      </c>
      <c r="F53" s="5" t="n">
        <v>-19020</v>
      </c>
      <c r="G53" s="5" t="n">
        <v>599693</v>
      </c>
      <c r="H53" s="5" t="n">
        <v>1204945</v>
      </c>
    </row>
    <row r="55" ht="380" customHeight="1">
      <c r="A55" s="8" t="inlineStr">
        <is>
          <t>Sources - all figures are Group/consolidated basis, £'000. See entity note above re: FY2021 (16-month period) and FY2026 (new SGHL parent entity).
FY2026: Starling Group Holdings Limited Annual Report and Accounts 2026, p.162-164 (Consolidated statement of comprehensive income / financial position / changes in equity) - https://www.starlingbank.com/docs/annual-reports/Starling-Group-Annual-Report-2026.pdf
FY2025 &amp; FY2024: Starling Bank Limited Annual Report and Accounts 2025, p.157-159 (Consolidated and company statement of comprehensive income / financial position / changes in equity) - https://www.starlingbank.com/docs/annual-reports/Starling-Bank-Annual-Report-2025.pdf. FY2025's equity components independently cross-checked against the Group's own re-presented FY2025 comparative in the AR26 Annual Report (p.164), which agrees exactly (merger reserve, cash flow hedging reserve, own shares held reserve, share awards reserve and sundry reserves disaggregated only from AR26 onward - see presentation note below).
FY2023 &amp; FY2022 (restated): Starling Bank Limited Annual Report 2023, p.122-123, p.126-127 (Consolidated &amp; Company Statement of Comprehensive Income / Financial Position / Changes in Equity) - https://www.starlingbank.com/docs/annual-reports/Starling-Bank-Annual-Report-2023.pdf
FY2021: Starling Bank Limited Annual Report and Consolidated Financial Statements, period ended 31 March 2021, p.62-68 (Consolidated Statement of Comprehensive Income / Financial Position / Changes in Equity) - https://www.starlingbank.com/docs/annual-reports/Starling-Bank-Annual-Report-2019-21.pdf. Independently cross-checked against Annual Report 2023's FY2021 comparative opening equity balance, which agrees exactly.
FY2019: Starling Bank Limited Annual Report and Consolidated Financial Statements for the year ended 30 November 2019, printed p.46 / PDF p.25, 'Consolidated Statement of Financial Position' - https://www.starlingbank.com/docs/annual-reports/Starling-Bank-Annual-Report-2018-19.pdf. That table prints four columns (Group 2019, Group 2018, Company 2019, Company 2018); the GROUP 2019 column is used, as everywhere else in this workbook. The column foots exactly to its own printed totals (Total Assets 1,200,682; Total Liabilities 1,132,756; Total Equity 67,926), and its equity components agree exactly with the 'Balance at 30 November 2019' row on this workbook's Statement of Changes in Equity sheet, which was transcribed from a different page. Independently cross-checked against the 16-month report's own 30 Nov 2019 comparative column (p.64-65 / PDF p.34), which agrees on every line except Other Liabilities and Accruals, printed 40,542 in FY2019's own edition and 40,541 in the later one - a £1k difference reproduced here as each edition printed it, with FY2019's own edition used, not reconciled away.
FY2019 EDITION-vs-EDITION NOTE (FY2018 comparative): the FY2019 report's FY2018 comparative column splits Other Liabilities and Accruals 3,784 / Deferred Income 361, where FY2018's OWN report printed 3,614 / 531. The two sum identically (4,145) - a £170k reclassification between the two captions on re-presentation. The FY2018 column in this workbook keeps FY2018's own edition, per this workbook's each-year-from-its-own-edition rule; nothing was restated.</t>
        </is>
      </c>
    </row>
    <row r="57" ht="390" customHeight="1">
      <c r="A57" s="8" t="inlineStr">
        <is>
          <t>(continued)
FY2020: NO BALANCE SHEET EXISTS - a sourced negative, not a gap in the search (established 2026-09-18). Starling changed its accounting reference date from 30 November to 31 March, so its accounts run ...year to 30 Nov 2019, then the 16-month period 1 Dec 2019 - 31 Mar 2021, then year to 31 Mar 2022. The twelve months to 30 November 2020 were never a financial year of their own. Three independent documents were read rather than searched: (1) the 16-month Annual Report's note 01(b) 'Change to accounting reference date' states 'The financial statements are therefore for the 16 month period ended 31 March 2021' and that income-statement comparatives are the 12 months to 30 November 2019; (2) that report's Consolidated Statement of Financial Position (p.64-65 / PDF p.34) prints exactly two balance-sheet dates, 31 Mar 2021 and 30 Nov 2019 - there is no 30 Nov 2020 column anywhere in the statements; (3) Companies House filing history for Starling Bank Limited (09092149) lists accounts made up to 30 November 2019 and then 31 March 2021, with nothing in between. The ONLY 30 November 2020 figures Starling ever published are an UNAUDITED 12-month INCOME-STATEMENT memorandum in the 16-month report's Group Strategic Report (p.14-15, alongside an unaudited 4-month column to 31 Mar 2021) and a matching unaudited interest-margin table (p.16-17) - RE-VERIFIED INDEPENDENTLY 2026-09-19, and the FY2020 column now SAYS this on the Total assets row rather than standing empty - FY2020 is an interior column here (FY2019, FY2018 and FY2017 all carry figures), so it cannot be trimmed away, and an empty interior column reads exactly like one nobody has examined. The Companies House accounts filing history for 09092149 was re-enumerated PAGE BY PAGE (?category=accounts&amp;page=1..4, HTTP 200 each), because a filing absent from page 1 is not a missing filing: page 1 gives 31 March 2026 and 31 March 2025, page 2 gives 31 March 2024, 2023 and 2022, page 3 gives 31 March 2021 and page 4 gives 30 November 2019. The sequence steps straight from 30 Nov 2019 to 31 Mar 2021 with nothing made up to any date in 2020. income and margin only, no assets, no liabilities and no equity. Nothing from those memoranda is carried here: they are unaudited, they are not a balance sheet, and this is a Balance Sheet sheet. Starling's Pillar 3 series does not fill the hole either: the files are named by PUBLICATION year, not reporting date - Pillar3-2020.pdf is 'Starling Bank Limited Pillar 3 Disclosures 30 November 2019' and Pillar3-2019.pdf is as at 30 November 2018 - so no Starling Pillar 3 has a 2020 reporting date either.
FY2018 (&amp; FY2017): Starling Bank Limited Annual Report and Consolidated Financial Statements for the year ended 30 November 2018, printed p.45 / PDF p.25, 'Consolidated Statement of Financial Position as at 30 November 2018' - https://www.starlingbank.com/docs/annual-reports/Starling-bank-annual-report-2017-18.pdf. That table prints four columns (Group 2018, Group 2017, Company 2018, Company 2017); the GROUP columns are used, as everywhere else in this workbook.
FY2017 independently cross-checked against its own original report: Starling Bank Limited Annual Report 2017 (year ended 30 November 2017), printed p.42 / PDF p.44, Consolidated Statement of Financial Position - https://www.starlingbank.com/docs/annual-reports/Starling-bank-annual-report-2016-17.pdf. Every FY2017 figure agrees exactly between the two editions (Loans and Advances to Banks 37,544; Total Assets 53,277; Total Liabilities 20,559; Share Premium 47,846; Total Equity 32,718) - no restatement.
CORRECTION (2026-09-16): FY2018 'Loans and advances to banks' previously read 37,544. That is the FY2017 COMPARATIVE from the same table, mis-read one column across; the FY2018 Group figure is 187,008. The error was self-evident from the column's own arithmetic - 187,008 + 18,039 + 8,698 + 7,087 + 616 + 13,221 = 234,669, the printed Total Assets, whereas 37,544 left the column 149,464 short of its own stated total. Every other FY2018 and FY2017 cell was re-checked against the printed table and is correct. The FY2018 column was also completed at the same time: it previously carried a single 'Other assets' of 20,924 that silently absorbed Property, Plant and Equipment (616) and Intangible Assets (13,221), while the adjacent FY2017 column showed those two lines separately - the two columns now use identical treatment, and the FY2018 equity components (Share Capital 5, Share Premium 67,784, Other Reserves 319, Cumulative Retained Earnings (40,109)) and liability components (Provisions 202, Other Liabilities 3,614, Accruals and Deferred Income 531) are transcribed rather than left blank.
FY2018/FY2017 caption mapping: 'Investment Securities' is carried on the 'Total debt securities' row (no issuer-type breakdown is disclosed for these years, so the four sub-lines stay blank); 'Accruals and Deferred Income' is carried on the 'Deferred income' row; and 'Other assets' combines the report's 'Other Assets' and 'Accrued Interest and Prepayments' lines (FY2018: 5,464 + 1,623 = 7,087; FY2017: 2,236 + 96 = 2,332) because no separate accrued-interest row exists in this ladder. Both columns tie exactly: assets to Total Assets, liabilities to Total Liabilities, and equity components to Total Equity.
ENTITY NOTE: Starling Bank Limited (Companies House 09092149) is the entity on the PRA register and is used, on a consolidated Group basis, for FY2021-FY2025 - each year's own Annual Report and Consolidated Financial Statements. FY2021 (marked †) is a 16-month period (1 December 2019 - 31 March 2021), Starling's first period reporting to a 31 March year end - not directly run-rate comparable to the other years.</t>
        </is>
      </c>
    </row>
    <row r="59" ht="380" customHeight="1">
      <c r="A59" s="8" t="inlineStr">
        <is>
          <t>(continued)
FY2026 (marked ‡, added as a bonus column beyond the standard 5-year window) is different: in June 2025 a new non-trading holding company, Starling Group Holdings Limited (SGHL), was inserted as ultimate parent of Starling Bank Limited (SBL), with an intermediate holding company (SIHL) added in September 2025. From FY2026, SBL's own Companies House filing is presented on an unconsolidated solo/Company basis only (SBL's own wording: 'the Company' = Starling Bank Limited; consolidated 'Group' figures are now published separately as SGHL's own Annual Report). To keep this column comparable to FY2021-FY2025's consolidated basis, FY2026 cash flow figures here are SGHL's consolidated Group figures (from the new SGHL Annual Report), not SBL's own solo filing. The SGHL accounting consolidation for FY2026 additionally includes Murmur Financial Services Limited, Fleet Mortgages Limited and Engine by Starling Limited alongside SBL and its own ancillary undertakings (Starling FS Services Limited, and Ember by Starling Limited, acquired during FY2026) - a broader scope than SBL's own historical Group accounts. Pillar 3 (prudential) figures for FY2026 are on the narrower 'Regulatory Group' basis (SGHL, SIHL, SBL, SFSSL and Ember only - Murmur/Fleet Mortgages/Engine fall below CRR Article 19 materiality thresholds); cross-checking confirms this made no difference to the FY2025 capital figures, so Pillar 3 continuity FY2021-FY2026 is unaffected by the restructuring. FY2019-FY2017 are covered by Starling's official investor archive, each from its OWN edition: FY2019 in the 2018-19 report (year ended 30 November 2019), FY2018 in the 2017-18 report, and FY2017 in the 2016-17 report. Older columns retain blanks where the historical filing used a materially different presentation and no reliable like-for-like line exists.
FY2020 HAS NO REPORTING DATE AT ALL - THERE IS NO STARLING BALANCE SHEET TO FIND (established 2026-09-18, see the Balance Sheet source note for the documents read). Starling changed its accounting reference date from 30 November to 31 March, so the twelve months to 30 November 2020 fall INSIDE the 16-month period 1 December 2019 - 31 March 2021 and were never themselves a financial year. No statement of financial position was ever drawn up at any date in the FY2020 slot - not by the Group, not in a Pillar 3, and not at Companies House. This is a sourced negative about the calendar, not a gap in the search.
PRESENTATION NOTE (Balance Sheet): FY2024-FY2026 report a separate 'Cash and balances at central banks' line distinct from 'Loans and advances to banks'; FY2021-FY2023 report a single combined 'Loans and Advances to Banks' line that includes cash and cash equivalents (per that year's own footnote) - both are shown as disclosed, not reconciled into a common split. FY2021 combines Property, Plant and Equipment with Intangible Assets into one line (no separate Goodwill line - Goodwill first arose on the Fleet Mortgages acquisition in FY2022); FY2022 onward splits these three lines out.
PRESENTATION NOTE (Debt securities breakdown): the 'Debt securities' Balance Sheet line is broken out by issuer type per each year's own 'Debt securities' note - government/supranational bonds vs. covered bonds and RMBS issued by banks and building societies, plus the fair value adjustment for hedged risk that reconciles the gross note total to the Balance Sheet's net carrying value (all four sub-lines sum exactly to 'Total debt securities' every year). Source notes: FY2026: Starling Group Holdings Limited Annual Report and Accounts 2026, note 13 'Debt securities', p.195 - https://www.starlingbank.com/docs/annual-reports/Starling-Group-Annual-Report-2026.pdf
FY2025 &amp; FY2024: Starling Bank Limited Annual Report and Accounts 2025, note 10 'Debt securities', p.189 - https://www.starlingbank.com/docs/annual-reports/Starling-Bank-Annual-Report-2025.pdf. FY2025's breakdown independently cross-checked against AR26's own FY2025 comparative column (note 13, p.195), which agrees exactly.
FY2023 &amp; FY2022: Starling Bank Limited Annual Report 2023, note 11 'Debt Securities', p.154 - https://www.starlingbank.com/docs/annual-reports/Starling-Bank-Annual-Report-2023.pdf
FY2021: Starling Bank Limited Annual Report and Consolidated Financial Statements, period ended 31 March 2021, note 12 'Debt Securities', p.111 - https://www.starlingbank.com/docs/annual-reports/Starling-Bank-Annual-Report-2019-21.pdf. That year's note also states 'All Debt Securities are held at amortised cost' - no FVOCI/FVTPL/trading leg is disclosed for any year covered (the FY2025 Annual Report's own risk section likewise states 'The Group's debt securities are measured at amortised cost'), so no measurement-basis (amortised cost vs. mark-to-market) split is shown here - it would be a 100%-amortised-cost/0%-mark-to-market non-split, not a genuine disclosed breakdown.</t>
        </is>
      </c>
    </row>
    <row r="61" ht="390" customHeight="1">
      <c r="A61" s="8" t="inlineStr">
        <is>
          <t>(continued)
PRESENTATION NOTE (Profit &amp; Loss): FY2021-FY2025 use a 'Net interest income / Net fees and commissions / Total income' structure; FY2026 (Starling Group Holdings Limited's own first Annual Report) uses a 'Revenue / Cost of revenue / Gross profit' structure instead - both are shown as separate blocks, each with its own Profit-after-tax and Total-comprehensive-income rows (mirroring the Cash Flow Statement sheet's existing dual-presentation convention), rather than force-fitting FY2026 into the older structure. FY2021's Loss for the year and OCI, net of tax are the same figure (no OCI items disclosed that year - 'There is no difference between the loss after taxation and the total comprehensive income of the Group').
PRESENTATION NOTE (Statement of Changes in Equity): 'Merger reserve' (created in FY2022 on the Fleet Mortgages Limited share-for-share acquisition, per Companies Act 2006 s.612) and 'Cash flow hedging reserve' are shown as their own columns throughout for consistency, back-computed for FY2021-FY2023 from each year's combined 'Other Reserves' column and that year's own movement notes (verified: FY2022's £15,000k Merger reserve movement exactly matches the value AR26 later separately discloses as the FY2024 opening Merger reserve balance, confirming it never changed between creation and FY2024). 'Other reserves' here combines the own-shares-held reserve, share awards reserve, foreign exchange/translation reserve and sundry reserves - these were only disclosed as separate sub-columns from AR26 (FY2026 report) onward; combining them keeps the ladder's column set consistent across all 6 years. Every year's closing Total equity ties exactly to that year's own Balance Sheet Total equity and to the next year's opening balance - zero undocumented plug rows across all 6 years.
FY2017-FY2019 ADDED TO THE PROFIT &amp; LOSS, CASH FLOW STATEMENT AND STATEMENT OF CHANGES IN EQUITY (2026-10-08). WHY THEY WERE MISSING, which matters more than the figures: the Balance Sheet has carried FY2017, FY2018 and FY2019 since this workbook was built, but the other three statements stopped at FY2021 - even though the very documents already cited for the Balance Sheet print a full Group income statement, cash flow statement and equity reconciliation for those same years. The columns were not marked as gaps; they were TRIMMED AWAY by _trim_trailing_empty_years, which drops an oldest-end year column that no row fills. That rule assumes an absent old column means the disclosure did not exist that far back. Here it did. A trimmed column is invisible to audit_gaps.py as well, because the census reports the years a sheet HAS - so no check in this repo could see this, and it was found by a reader comparing two sheets by eye. A corpus-wide sweep for the same shape (Balance Sheet spanning years its Profit &amp; Loss does not) returns only Afin Bank FY2021 and Kingdom Bank FY2004 besides Starling.
SOURCES, each year from its OWN edition, all figures read off 300 dpi page renders (text layer used for navigation only): FY2019 - AR 2018-19, printed p.45 (Consolidated Statement of Comprehensive Income), printed p.48 (Consolidated Cash Flow Statement), printed p.49 (Consolidated Statement of Changes in Equity) - https://www.starlingbank.com/docs/annual-reports/Starling-Bank-Annual-Report-2018-19.pdf. FY2018 - AR 2017-18, printed p.47, p.48 and p.49 respectively - https://www.starlingbank.com/docs/annual-reports/Starling-bank-annual-report-2017-18.pdf. FY2017 - AR 2016-17, printed p.43, p.44 and p.45 respectively - https://www.starlingbank.com/docs/annual-reports/Starling-bank-annual-report-2016-17.pdf. Group columns throughout.
CORROBORATION: the FY2019 closing cash of 764,705 is already this sheet's FY2021 opening balance, and FY2018's closing 187,008 is FY2019's opening - the three added years chain into the existing series with no seam. Every added column's operating/investing/financing totals and its net-increase line were recomputed from the printed line items, and the equity ladder's four balance rows each foot across their own components.
DEFECT IN STARLING'S OWN FY2017 CASH FLOW STATEMENT - REPRODUCED AS PRINTED, NOT CORRECTED. AR 2016-17's Consolidated Cash Flow Statement (printed p.44) lists nine operating movement rows, and they do not foot to its own printed total: -10,196 + 557 - 804 - 3,014 - 1,858 - 86 + 18,081 - 97 - 978 = 1,605, against a printed 'Net Cash Flows from Operating Activities' of 2,837 - a shortfall of 1,232. The FY2018 edition's FY2017 comparative prints the same rows PLUS 'Net (decrease)/increase in Accruals and Deferred Income 1,232', and 1,605 + 1,232 = 2,837 exactly. So the printed TOTAL is right and a ROW is missing from the bank's own FY2017 statement; the next edition restored it. The 30 Nov 2016 comparative column in that same statement has the same shape of defect (its rows sum to -3,131 against a printed (2,878), a gap of 253) and cannot be cross-checked, because the FY2018 edition shows only 2018 and 2017. BOTH the nine printed rows and the printed 2,837 are reproduced here exactly as published. The missing 1,232 is NOT imported from the later edition - that would mix two editions inside one column - and the total is NOT adjusted to match the rows. verify_workbook.py therefore reports a cash-flow block mismatch on FY2017; that report is correct and this paragraph is its explanation. FY2018 (135,153) and FY2019 (703,391) both foot exactly.</t>
        </is>
      </c>
    </row>
    <row r="63" ht="380" customHeight="1">
      <c r="A63" s="8" t="inlineStr">
        <is>
          <t>(continued)
£1k INCONSISTENCY INSIDE THE FY2019 EDITION. AR 2018-19 prints 'Loss after Taxation (52,064)' in its Consolidated Statement of Comprehensive Income (printed p.45) and 'Loss for the Period (52,065)' in its Consolidated Statement of Changes in Equity (printed p.49). The SOCE's 52,065 is what makes its own column foot ((40,109) + (52,065) = (92,174), the printed closing retained earnings), so each statement is internally consistent and they disagree with each other. Both are reproduced as printed - the Profit &amp; Loss sheet carries 52,064 and the equity ladder carries 52,065. Neither is adjusted to the other.
EDITION-vs-EDITION DIFFERENCES ON THE ADDED YEARS (own edition used in every case, later edition recorded here). FY2018 income statement: its own edition prints Administrative Expenses (26,854), Impairment on Loans and Advances to Customers (346) and Provisions for Liabilities and Charges (406); the FY2019 edition's comparative prints Administrative Expenses (27,054) and a single Impairment and Write Offs (552). Both foot to Loss before Taxation (26,856) - £200k moved from provisions into administrative expenses on re-presentation. FY2018 cash flow: its own edition puts investment securities (15,025) in OPERATING and reports operating 135,153 / investing (6,040) / financing 20,351; the FY2019 edition's comparative moves those securities to INVESTING and moves the £330 fair value of shares from financing to operating, giving 150,508 / (21,065) / 20,021. Both reach the same net increase of 149,464 and the same opening and closing cash. FY2017 cash flow: its own edition prints Purchases of Tangible Assets (242) with no disposals line, where the FY2018 edition's comparative splits the same net figure into purchases (263) and sales 21. FY2017 income statement: its own edition splits operating costs into Other Operating Costs (16,688) and Capitalisation of Intangible Asset 4,710 to reach Total Operating Costs (11,978), where the FY2018 edition's comparative prints only the (11,978) net.
PRESENTATION: the FY2017-FY2019 figures are kept in their own clearly-labelled blocks on the Profit &amp; Loss and Cash Flow sheets rather than merged into the FY2021+ rows, because the row sets are genuinely different (a 30 November year-end, a CIF grant, securities classified in operating rather than investing) - the same treatment this workbook already gives the FY2026 SGHL presentation. One line the Group reports as nil is omitted rather than shown as a zero: 'Net Increase in the Inter-Company Account' is a printed dash in all three Group columns (it is a Company-only item).</t>
        </is>
      </c>
    </row>
  </sheetData>
  <mergeCells count="5">
    <mergeCell ref="A55:H55"/>
    <mergeCell ref="A59:H59"/>
    <mergeCell ref="A57:H57"/>
    <mergeCell ref="A63:H63"/>
    <mergeCell ref="A61:H6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Starling Bank Limited — Consolidated Cash Flow Statement</t>
        </is>
      </c>
    </row>
    <row r="2">
      <c r="A2" s="2" t="inlineStr">
        <is>
          <t>Group/consolidated basis, £'000. FY2017-FY2019 (30 November year-end), FY2021-FY2023 and FY2024-FY2026 are shown as separate presentation blocks. FY2020 is a recorded absence, not a gap. FY2021: 16-month period (†). FY2026: Starling Group Holdings Limited (‡). See source note at bottom.</t>
        </is>
      </c>
    </row>
    <row r="3">
      <c r="A3" s="4" t="inlineStr">
        <is>
          <t>Line item</t>
        </is>
      </c>
      <c r="B3" s="4" t="inlineStr">
        <is>
          <t>FY2026 (SGHL)‡ (£'000)</t>
        </is>
      </c>
      <c r="C3" s="4" t="inlineStr">
        <is>
          <t>FY2025 (£'000)</t>
        </is>
      </c>
      <c r="D3" s="4" t="inlineStr">
        <is>
          <t>FY2024 (£'000)</t>
        </is>
      </c>
      <c r="E3" s="4" t="inlineStr">
        <is>
          <t>FY2023 (£'000)</t>
        </is>
      </c>
      <c r="F3" s="4" t="inlineStr">
        <is>
          <t>FY2022 (£'000)</t>
        </is>
      </c>
      <c r="G3" s="4" t="inlineStr">
        <is>
          <t>FY2021† (£'000)</t>
        </is>
      </c>
      <c r="H3" s="4" t="inlineStr">
        <is>
          <t>FY2020 (£'000)</t>
        </is>
      </c>
      <c r="I3" s="4" t="inlineStr">
        <is>
          <t>FY2019 (£'000)</t>
        </is>
      </c>
      <c r="J3" s="4" t="inlineStr">
        <is>
          <t>FY2018 (£'000)</t>
        </is>
      </c>
      <c r="K3" s="4" t="inlineStr">
        <is>
          <t>FY2017 (£'000)</t>
        </is>
      </c>
    </row>
    <row r="4">
      <c r="A4" s="5" t="inlineStr">
        <is>
          <t>Cash flows from operating activities</t>
        </is>
      </c>
      <c r="B4" s="6" t="n"/>
      <c r="C4" s="6" t="n"/>
      <c r="D4" s="6" t="n"/>
      <c r="E4" s="6" t="n"/>
      <c r="F4" s="6" t="n"/>
      <c r="G4" s="6" t="n"/>
      <c r="H4" s="6" t="n"/>
      <c r="I4" s="6" t="n"/>
      <c r="J4" s="6" t="n"/>
      <c r="K4" s="6" t="n"/>
    </row>
    <row r="5">
      <c r="A5" s="5" t="inlineStr">
        <is>
          <t>Adjustments and net changes (FY2017-FY2019 presentation, 30 November year-end)</t>
        </is>
      </c>
      <c r="B5" s="6" t="n"/>
      <c r="C5" s="6" t="n"/>
      <c r="D5" s="6" t="n"/>
      <c r="E5" s="6" t="n"/>
      <c r="F5" s="6" t="n"/>
      <c r="G5" s="6" t="n"/>
      <c r="H5" s="6" t="n"/>
      <c r="I5" s="6" t="n"/>
      <c r="J5" s="6" t="n"/>
      <c r="K5" s="6" t="n"/>
    </row>
    <row r="6">
      <c r="A6" s="6" t="inlineStr">
        <is>
          <t>Loss for the period after taxation (FY2017-FY2019 presentation)</t>
        </is>
      </c>
      <c r="B6" s="6" t="n"/>
      <c r="C6" s="6" t="n"/>
      <c r="D6" s="6" t="n"/>
      <c r="E6" s="6" t="n"/>
      <c r="F6" s="6" t="n"/>
      <c r="G6" s="6" t="n"/>
      <c r="H6" s="6" t="n"/>
      <c r="I6" s="6" t="n">
        <v>-52064</v>
      </c>
      <c r="J6" s="6" t="n">
        <v>-25070</v>
      </c>
      <c r="K6" s="6" t="n">
        <v>-10196</v>
      </c>
    </row>
    <row r="7">
      <c r="A7" s="6" t="inlineStr">
        <is>
          <t>Depreciation and amortisation (FY2017-FY2019 presentation)</t>
        </is>
      </c>
      <c r="B7" s="6" t="n"/>
      <c r="C7" s="6" t="n"/>
      <c r="D7" s="6" t="n"/>
      <c r="E7" s="6" t="n"/>
      <c r="F7" s="6" t="n"/>
      <c r="G7" s="6" t="n"/>
      <c r="H7" s="6" t="n"/>
      <c r="I7" s="6" t="n">
        <v>3074</v>
      </c>
      <c r="J7" s="6" t="n">
        <v>1786</v>
      </c>
      <c r="K7" s="6" t="n">
        <v>557</v>
      </c>
    </row>
    <row r="8">
      <c r="A8" s="6" t="inlineStr">
        <is>
          <t>FV of shares allocated/options granted to employees (FY2019 presentation)</t>
        </is>
      </c>
      <c r="B8" s="6" t="n"/>
      <c r="C8" s="6" t="n"/>
      <c r="D8" s="6" t="n"/>
      <c r="E8" s="6" t="n"/>
      <c r="F8" s="6" t="n"/>
      <c r="G8" s="6" t="n"/>
      <c r="H8" s="6" t="n"/>
      <c r="I8" s="6" t="n">
        <v>643</v>
      </c>
      <c r="J8" s="6" t="n"/>
      <c r="K8" s="6" t="n"/>
    </row>
    <row r="9">
      <c r="A9" s="6" t="inlineStr">
        <is>
          <t>Net increase in loans and advances to customers (FY2017-FY2019 presentation)</t>
        </is>
      </c>
      <c r="B9" s="6" t="n"/>
      <c r="C9" s="6" t="n"/>
      <c r="D9" s="6" t="n"/>
      <c r="E9" s="6" t="n"/>
      <c r="F9" s="6" t="n"/>
      <c r="G9" s="6" t="n"/>
      <c r="H9" s="6" t="n"/>
      <c r="I9" s="6" t="n">
        <v>-45592</v>
      </c>
      <c r="J9" s="6" t="n">
        <v>-7895</v>
      </c>
      <c r="K9" s="6" t="n">
        <v>-804</v>
      </c>
    </row>
    <row r="10">
      <c r="A10" s="6" t="inlineStr">
        <is>
          <t>Net increase in debt/investment securities (FY2017-FY2018: classified in OPERATING)</t>
        </is>
      </c>
      <c r="B10" s="6" t="n"/>
      <c r="C10" s="6" t="n"/>
      <c r="D10" s="6" t="n"/>
      <c r="E10" s="6" t="n"/>
      <c r="F10" s="6" t="n"/>
      <c r="G10" s="6" t="n"/>
      <c r="H10" s="6" t="n"/>
      <c r="I10" s="6" t="n"/>
      <c r="J10" s="6" t="n">
        <v>-15025</v>
      </c>
      <c r="K10" s="6" t="n">
        <v>-3014</v>
      </c>
    </row>
    <row r="11">
      <c r="A11" s="6" t="inlineStr">
        <is>
          <t>Net increase in other assets (FY2017-FY2019 presentation)</t>
        </is>
      </c>
      <c r="B11" s="6" t="n"/>
      <c r="C11" s="6" t="n"/>
      <c r="D11" s="6" t="n"/>
      <c r="E11" s="6" t="n"/>
      <c r="F11" s="6" t="n"/>
      <c r="G11" s="6" t="n"/>
      <c r="H11" s="6" t="n"/>
      <c r="I11" s="6" t="n">
        <v>-24555</v>
      </c>
      <c r="J11" s="6" t="n">
        <v>-3229</v>
      </c>
      <c r="K11" s="6" t="n">
        <v>-1858</v>
      </c>
    </row>
    <row r="12">
      <c r="A12" s="6" t="inlineStr">
        <is>
          <t>Net increase in accrued interest and prepayments (FY2017-FY2018 presentation)</t>
        </is>
      </c>
      <c r="B12" s="6" t="n"/>
      <c r="C12" s="6" t="n"/>
      <c r="D12" s="6" t="n"/>
      <c r="E12" s="6" t="n"/>
      <c r="F12" s="6" t="n"/>
      <c r="G12" s="6" t="n"/>
      <c r="H12" s="6" t="n"/>
      <c r="I12" s="6" t="n"/>
      <c r="J12" s="6" t="n">
        <v>-1526</v>
      </c>
      <c r="K12" s="6" t="n">
        <v>-86</v>
      </c>
    </row>
    <row r="13">
      <c r="A13" s="6" t="inlineStr">
        <is>
          <t>Net increase in customer deposits (FY2017-FY2019 presentation)</t>
        </is>
      </c>
      <c r="B13" s="6" t="n"/>
      <c r="C13" s="6" t="n"/>
      <c r="D13" s="6" t="n"/>
      <c r="E13" s="6" t="n"/>
      <c r="F13" s="6" t="n"/>
      <c r="G13" s="6" t="n"/>
      <c r="H13" s="6" t="n"/>
      <c r="I13" s="6" t="n">
        <v>804959</v>
      </c>
      <c r="J13" s="6" t="n">
        <v>184240</v>
      </c>
      <c r="K13" s="6" t="n">
        <v>18081</v>
      </c>
    </row>
    <row r="14">
      <c r="A14" s="6" t="inlineStr">
        <is>
          <t>Net increase/(decrease) in other liabilities (FY2017-FY2019 presentation)</t>
        </is>
      </c>
      <c r="B14" s="6" t="n"/>
      <c r="C14" s="6" t="n"/>
      <c r="D14" s="6" t="n"/>
      <c r="E14" s="6" t="n"/>
      <c r="F14" s="6" t="n"/>
      <c r="G14" s="6" t="n"/>
      <c r="H14" s="6" t="n"/>
      <c r="I14" s="6" t="n">
        <v>32557</v>
      </c>
      <c r="J14" s="6" t="n">
        <v>2807</v>
      </c>
      <c r="K14" s="6" t="n">
        <v>-97</v>
      </c>
    </row>
    <row r="15">
      <c r="A15" s="6" t="inlineStr">
        <is>
          <t>Net (decrease)/increase in accruals and deferred income (FY2018 presentation)</t>
        </is>
      </c>
      <c r="B15" s="6" t="n"/>
      <c r="C15" s="6" t="n"/>
      <c r="D15" s="6" t="n"/>
      <c r="E15" s="6" t="n"/>
      <c r="F15" s="6" t="n"/>
      <c r="G15" s="6" t="n"/>
      <c r="H15" s="6" t="n"/>
      <c r="I15" s="6" t="n"/>
      <c r="J15" s="6" t="n">
        <v>-954</v>
      </c>
      <c r="K15" s="6" t="n"/>
    </row>
    <row r="16">
      <c r="A16" s="6" t="inlineStr">
        <is>
          <t>Net increase/(decrease) in deferred income (FY2019 presentation)</t>
        </is>
      </c>
      <c r="B16" s="6" t="n"/>
      <c r="C16" s="6" t="n"/>
      <c r="D16" s="6" t="n"/>
      <c r="E16" s="6" t="n"/>
      <c r="F16" s="6" t="n"/>
      <c r="G16" s="6" t="n"/>
      <c r="H16" s="6" t="n"/>
      <c r="I16" s="6" t="n">
        <v>-17004</v>
      </c>
      <c r="J16" s="6" t="n"/>
      <c r="K16" s="6" t="n"/>
    </row>
    <row r="17">
      <c r="A17" s="6" t="inlineStr">
        <is>
          <t>Net increase/(decrease) in provisions (FY2017-FY2019 presentation)</t>
        </is>
      </c>
      <c r="B17" s="6" t="n"/>
      <c r="C17" s="6" t="n"/>
      <c r="D17" s="6" t="n"/>
      <c r="E17" s="6" t="n"/>
      <c r="F17" s="6" t="n"/>
      <c r="G17" s="6" t="n"/>
      <c r="H17" s="6" t="n"/>
      <c r="I17" s="6" t="n">
        <v>1373</v>
      </c>
      <c r="J17" s="6" t="n">
        <v>19</v>
      </c>
      <c r="K17" s="6" t="n">
        <v>-978</v>
      </c>
    </row>
    <row r="18">
      <c r="A18" s="5" t="inlineStr">
        <is>
          <t>Net cash flows from operating activities (FY2017-FY2019 presentation)</t>
        </is>
      </c>
      <c r="B18" s="5" t="n"/>
      <c r="C18" s="5" t="n"/>
      <c r="D18" s="5" t="n"/>
      <c r="E18" s="5" t="n"/>
      <c r="F18" s="5" t="n"/>
      <c r="G18" s="5" t="n"/>
      <c r="H18" s="5" t="n"/>
      <c r="I18" s="5" t="n">
        <v>703391</v>
      </c>
      <c r="J18" s="5" t="n">
        <v>135153</v>
      </c>
      <c r="K18" s="5" t="n">
        <v>2837</v>
      </c>
    </row>
    <row r="19">
      <c r="A19" s="6" t="inlineStr">
        <is>
          <t>Profit/(loss) for the period after taxation (FY2021-FY2023 presentation)</t>
        </is>
      </c>
      <c r="B19" s="6" t="n"/>
      <c r="C19" s="6" t="n"/>
      <c r="D19" s="6" t="n"/>
      <c r="E19" s="6" t="n">
        <v>142856</v>
      </c>
      <c r="F19" s="6" t="n">
        <v>44938</v>
      </c>
      <c r="G19" s="6" t="n">
        <v>-23319</v>
      </c>
      <c r="H19" s="6" t="n"/>
      <c r="I19" s="6" t="n"/>
      <c r="J19" s="6" t="n"/>
      <c r="K19" s="6" t="n"/>
    </row>
    <row r="20">
      <c r="A20" s="5" t="inlineStr">
        <is>
          <t>Adjustments for non-cash items (FY2021-FY2023 presentation)</t>
        </is>
      </c>
      <c r="B20" s="6" t="n"/>
      <c r="C20" s="6" t="n"/>
      <c r="D20" s="6" t="n"/>
      <c r="E20" s="6" t="n"/>
      <c r="F20" s="6" t="n"/>
      <c r="G20" s="6" t="n"/>
      <c r="H20" s="6" t="n"/>
      <c r="I20" s="6" t="n"/>
      <c r="J20" s="6" t="n"/>
      <c r="K20" s="6" t="n"/>
    </row>
    <row r="21">
      <c r="A21" s="6" t="inlineStr">
        <is>
          <t>Depreciation and Amortisation</t>
        </is>
      </c>
      <c r="B21" s="6" t="n"/>
      <c r="C21" s="6" t="n"/>
      <c r="D21" s="6" t="n"/>
      <c r="E21" s="6" t="n">
        <v>10953</v>
      </c>
      <c r="F21" s="6" t="n">
        <v>6384</v>
      </c>
      <c r="G21" s="6" t="n">
        <v>7045</v>
      </c>
      <c r="H21" s="6" t="n"/>
      <c r="I21" s="6" t="n"/>
      <c r="J21" s="6" t="n"/>
      <c r="K21" s="6" t="n"/>
    </row>
    <row r="22">
      <c r="A22" s="6" t="inlineStr">
        <is>
          <t>Cost of Share Award Schemes, Net of Tax / FV of Shares Allocated to Employees</t>
        </is>
      </c>
      <c r="B22" s="6" t="n"/>
      <c r="C22" s="6" t="n"/>
      <c r="D22" s="6" t="n"/>
      <c r="E22" s="6" t="n">
        <v>1323</v>
      </c>
      <c r="F22" s="6" t="n">
        <v>4659</v>
      </c>
      <c r="G22" s="6" t="n">
        <v>1927</v>
      </c>
      <c r="H22" s="6" t="n"/>
      <c r="I22" s="6" t="n"/>
      <c r="J22" s="6" t="n"/>
      <c r="K22" s="6" t="n"/>
    </row>
    <row r="23">
      <c r="A23" s="6" t="inlineStr">
        <is>
          <t>Change in Derivatives and Fair Value on Hedging Relationships</t>
        </is>
      </c>
      <c r="B23" s="6" t="n"/>
      <c r="C23" s="6" t="n"/>
      <c r="D23" s="6" t="n"/>
      <c r="E23" s="6" t="n">
        <v>6487</v>
      </c>
      <c r="F23" s="6" t="n">
        <v>-7905</v>
      </c>
      <c r="G23" s="6" t="n"/>
      <c r="H23" s="6" t="n"/>
      <c r="I23" s="6" t="n"/>
      <c r="J23" s="6" t="n"/>
      <c r="K23" s="6" t="n"/>
    </row>
    <row r="24">
      <c r="A24" s="6" t="inlineStr">
        <is>
          <t>Net Increase in Fair Value of Derivatives (FY2021 presentation)</t>
        </is>
      </c>
      <c r="B24" s="6" t="n"/>
      <c r="C24" s="6" t="n"/>
      <c r="D24" s="6" t="n"/>
      <c r="E24" s="6" t="n"/>
      <c r="F24" s="6" t="n"/>
      <c r="G24" s="6" t="n">
        <v>-12670</v>
      </c>
      <c r="H24" s="6" t="n"/>
      <c r="I24" s="6" t="n"/>
      <c r="J24" s="6" t="n"/>
      <c r="K24" s="6" t="n"/>
    </row>
    <row r="25">
      <c r="A25" s="6" t="inlineStr">
        <is>
          <t>Net Increase in Fair Value of Assets Designated as Hedged Items (FY2021 presentation)</t>
        </is>
      </c>
      <c r="B25" s="6" t="n"/>
      <c r="C25" s="6" t="n"/>
      <c r="D25" s="6" t="n"/>
      <c r="E25" s="6" t="n"/>
      <c r="F25" s="6" t="n"/>
      <c r="G25" s="6" t="n">
        <v>12520</v>
      </c>
      <c r="H25" s="6" t="n"/>
      <c r="I25" s="6" t="n"/>
      <c r="J25" s="6" t="n"/>
      <c r="K25" s="6" t="n"/>
    </row>
    <row r="26">
      <c r="A26" s="6" t="inlineStr">
        <is>
          <t>Impairment and Charge-offs</t>
        </is>
      </c>
      <c r="B26" s="6" t="n"/>
      <c r="C26" s="6" t="n"/>
      <c r="D26" s="6" t="n"/>
      <c r="E26" s="6" t="n">
        <v>9991</v>
      </c>
      <c r="F26" s="6" t="n">
        <v>10226</v>
      </c>
      <c r="G26" s="6" t="n">
        <v>16106</v>
      </c>
      <c r="H26" s="6" t="n"/>
      <c r="I26" s="6" t="n"/>
      <c r="J26" s="6" t="n"/>
      <c r="K26" s="6" t="n"/>
    </row>
    <row r="27">
      <c r="A27" s="6" t="inlineStr">
        <is>
          <t>Recognition of Right of Use Asset (FY2021 presentation)</t>
        </is>
      </c>
      <c r="B27" s="6" t="n"/>
      <c r="C27" s="6" t="n"/>
      <c r="D27" s="6" t="n"/>
      <c r="E27" s="6" t="n"/>
      <c r="F27" s="6" t="n"/>
      <c r="G27" s="6" t="n">
        <v>-5527</v>
      </c>
      <c r="H27" s="6" t="n"/>
      <c r="I27" s="6" t="n"/>
      <c r="J27" s="6" t="n"/>
      <c r="K27" s="6" t="n"/>
    </row>
    <row r="28">
      <c r="A28" s="6" t="inlineStr">
        <is>
          <t>Foreign Exchange Losses on Consolidation (FY2021 presentation)</t>
        </is>
      </c>
      <c r="B28" s="6" t="n"/>
      <c r="C28" s="6" t="n"/>
      <c r="D28" s="6" t="n"/>
      <c r="E28" s="6" t="n"/>
      <c r="F28" s="6" t="n"/>
      <c r="G28" s="6" t="n">
        <v>91</v>
      </c>
      <c r="H28" s="6" t="n"/>
      <c r="I28" s="6" t="n"/>
      <c r="J28" s="6" t="n"/>
      <c r="K28" s="6" t="n"/>
    </row>
    <row r="29">
      <c r="A29" s="6" t="inlineStr">
        <is>
          <t>Disposal of Intangible Assets (FY2021 presentation)</t>
        </is>
      </c>
      <c r="B29" s="6" t="n"/>
      <c r="C29" s="6" t="n"/>
      <c r="D29" s="6" t="n"/>
      <c r="E29" s="6" t="n"/>
      <c r="F29" s="6" t="n"/>
      <c r="G29" s="6" t="n">
        <v>358</v>
      </c>
      <c r="H29" s="6" t="n"/>
      <c r="I29" s="6" t="n"/>
      <c r="J29" s="6" t="n"/>
      <c r="K29" s="6" t="n"/>
    </row>
    <row r="30">
      <c r="A30" s="6" t="inlineStr">
        <is>
          <t>Net Increase in Deferred Tax Asset (adjustment)</t>
        </is>
      </c>
      <c r="B30" s="6" t="n"/>
      <c r="C30" s="6" t="n"/>
      <c r="D30" s="6" t="n"/>
      <c r="E30" s="6" t="n"/>
      <c r="F30" s="6" t="n"/>
      <c r="G30" s="6" t="n">
        <v>-6088</v>
      </c>
      <c r="H30" s="6" t="n"/>
      <c r="I30" s="6" t="n"/>
      <c r="J30" s="6" t="n"/>
      <c r="K30" s="6" t="n"/>
    </row>
    <row r="31">
      <c r="A31" s="6" t="inlineStr">
        <is>
          <t>Taxation Charged to the Income Statement</t>
        </is>
      </c>
      <c r="B31" s="6" t="n"/>
      <c r="C31" s="6" t="n"/>
      <c r="D31" s="6" t="n"/>
      <c r="E31" s="6" t="n">
        <v>51740</v>
      </c>
      <c r="F31" s="6" t="n"/>
      <c r="G31" s="6" t="n"/>
      <c r="H31" s="6" t="n"/>
      <c r="I31" s="6" t="n"/>
      <c r="J31" s="6" t="n"/>
      <c r="K31" s="6" t="n"/>
    </row>
    <row r="32">
      <c r="A32" s="6" t="inlineStr">
        <is>
          <t>Other Non-Cash Items</t>
        </is>
      </c>
      <c r="B32" s="6" t="n"/>
      <c r="C32" s="6" t="n"/>
      <c r="D32" s="6" t="n"/>
      <c r="E32" s="6" t="n">
        <v>-13652</v>
      </c>
      <c r="F32" s="6" t="n">
        <v>1479</v>
      </c>
      <c r="G32" s="6" t="n"/>
      <c r="H32" s="6" t="n"/>
      <c r="I32" s="6" t="n"/>
      <c r="J32" s="6" t="n"/>
      <c r="K32" s="6" t="n"/>
    </row>
    <row r="33">
      <c r="A33" s="5" t="inlineStr">
        <is>
          <t>Net changes in operating assets and liabilities (FY2021-FY2023 presentation)</t>
        </is>
      </c>
      <c r="B33" s="6" t="n"/>
      <c r="C33" s="6" t="n"/>
      <c r="D33" s="6" t="n"/>
      <c r="E33" s="6" t="n"/>
      <c r="F33" s="6" t="n"/>
      <c r="G33" s="6" t="n"/>
      <c r="H33" s="6" t="n"/>
      <c r="I33" s="6" t="n"/>
      <c r="J33" s="6" t="n"/>
      <c r="K33" s="6" t="n"/>
    </row>
    <row r="34">
      <c r="A34" s="6" t="inlineStr">
        <is>
          <t>Movement in Loans and Advances to Banks</t>
        </is>
      </c>
      <c r="B34" s="6" t="n"/>
      <c r="C34" s="6" t="n"/>
      <c r="D34" s="6" t="n"/>
      <c r="E34" s="6" t="n">
        <v>-9835</v>
      </c>
      <c r="F34" s="6" t="n">
        <v>-16523</v>
      </c>
      <c r="G34" s="6" t="n"/>
      <c r="H34" s="6" t="n"/>
      <c r="I34" s="6" t="n"/>
      <c r="J34" s="6" t="n"/>
      <c r="K34" s="6" t="n"/>
    </row>
    <row r="35">
      <c r="A35" s="6" t="inlineStr">
        <is>
          <t>Net (Increase) in Loans and Advances to Customers</t>
        </is>
      </c>
      <c r="B35" s="6" t="n"/>
      <c r="C35" s="6" t="n"/>
      <c r="D35" s="6" t="n"/>
      <c r="E35" s="6" t="n">
        <v>-1567215</v>
      </c>
      <c r="F35" s="6" t="n">
        <v>-1007837</v>
      </c>
      <c r="G35" s="6" t="n">
        <v>-2203378</v>
      </c>
      <c r="H35" s="6" t="n"/>
      <c r="I35" s="6" t="n"/>
      <c r="J35" s="6" t="n"/>
      <c r="K35" s="6" t="n"/>
    </row>
    <row r="36">
      <c r="A36" s="6" t="inlineStr">
        <is>
          <t>Net (Increase) in Deferred Tax Asset (asset movement)</t>
        </is>
      </c>
      <c r="B36" s="6" t="n"/>
      <c r="C36" s="6" t="n"/>
      <c r="D36" s="6" t="n"/>
      <c r="E36" s="6" t="n"/>
      <c r="F36" s="6" t="n">
        <v>-15897</v>
      </c>
      <c r="G36" s="6" t="n"/>
      <c r="H36" s="6" t="n"/>
      <c r="I36" s="6" t="n"/>
      <c r="J36" s="6" t="n"/>
      <c r="K36" s="6" t="n"/>
    </row>
    <row r="37">
      <c r="A37" s="6" t="inlineStr">
        <is>
          <t>Net (Increase) in Other Assets</t>
        </is>
      </c>
      <c r="B37" s="6" t="n"/>
      <c r="C37" s="6" t="n"/>
      <c r="D37" s="6" t="n"/>
      <c r="E37" s="6" t="n">
        <v>-5399</v>
      </c>
      <c r="F37" s="6" t="n">
        <v>-61397</v>
      </c>
      <c r="G37" s="6" t="n">
        <v>-31818</v>
      </c>
      <c r="H37" s="6" t="n"/>
      <c r="I37" s="6" t="n"/>
      <c r="J37" s="6" t="n"/>
      <c r="K37" s="6" t="n"/>
    </row>
    <row r="38">
      <c r="A38" s="6" t="inlineStr">
        <is>
          <t>Net Increase in Customer Deposits</t>
        </is>
      </c>
      <c r="B38" s="6" t="n"/>
      <c r="C38" s="6" t="n"/>
      <c r="D38" s="6" t="n"/>
      <c r="E38" s="6" t="n">
        <v>1524407</v>
      </c>
      <c r="F38" s="6" t="n">
        <v>3199715</v>
      </c>
      <c r="G38" s="6" t="n">
        <v>4820298</v>
      </c>
      <c r="H38" s="6" t="n"/>
      <c r="I38" s="6" t="n"/>
      <c r="J38" s="6" t="n"/>
      <c r="K38" s="6" t="n"/>
    </row>
    <row r="39">
      <c r="A39" s="6" t="inlineStr">
        <is>
          <t>Net Increase in Central Bank Facilities (FY2021 presentation)</t>
        </is>
      </c>
      <c r="B39" s="6" t="n"/>
      <c r="C39" s="6" t="n"/>
      <c r="D39" s="6" t="n"/>
      <c r="E39" s="6" t="n"/>
      <c r="F39" s="6" t="n"/>
      <c r="G39" s="6" t="n">
        <v>1000000</v>
      </c>
      <c r="H39" s="6" t="n"/>
      <c r="I39" s="6" t="n"/>
      <c r="J39" s="6" t="n"/>
      <c r="K39" s="6" t="n"/>
    </row>
    <row r="40">
      <c r="A40" s="6" t="inlineStr">
        <is>
          <t>Net (Decrease)/Increase in Deposits from Banks</t>
        </is>
      </c>
      <c r="B40" s="6" t="n"/>
      <c r="C40" s="6" t="n"/>
      <c r="D40" s="6" t="n"/>
      <c r="E40" s="6" t="n">
        <v>-9515</v>
      </c>
      <c r="F40" s="6" t="n">
        <v>1281380</v>
      </c>
      <c r="G40" s="6" t="n"/>
      <c r="H40" s="6" t="n"/>
      <c r="I40" s="6" t="n"/>
      <c r="J40" s="6" t="n"/>
      <c r="K40" s="6" t="n"/>
    </row>
    <row r="41">
      <c r="A41" s="6" t="inlineStr">
        <is>
          <t>Net Increase/(Decrease) in Provisions for Liabilities and Charges</t>
        </is>
      </c>
      <c r="B41" s="6" t="n"/>
      <c r="C41" s="6" t="n"/>
      <c r="D41" s="6" t="n"/>
      <c r="E41" s="6" t="n">
        <v>232</v>
      </c>
      <c r="F41" s="6" t="n">
        <v>-758</v>
      </c>
      <c r="G41" s="6" t="n">
        <v>-680</v>
      </c>
      <c r="H41" s="6" t="n"/>
      <c r="I41" s="6" t="n"/>
      <c r="J41" s="6" t="n"/>
      <c r="K41" s="6" t="n"/>
    </row>
    <row r="42">
      <c r="A42" s="6" t="inlineStr">
        <is>
          <t>Net (Decrease)/Increase in Other Liabilities and Accruals</t>
        </is>
      </c>
      <c r="B42" s="6" t="n"/>
      <c r="C42" s="6" t="n"/>
      <c r="D42" s="6" t="n"/>
      <c r="E42" s="6" t="n">
        <v>-51253</v>
      </c>
      <c r="F42" s="6" t="n">
        <v>104310</v>
      </c>
      <c r="G42" s="6" t="n">
        <v>969</v>
      </c>
      <c r="H42" s="6" t="n"/>
      <c r="I42" s="6" t="n"/>
      <c r="J42" s="6" t="n"/>
      <c r="K42" s="6" t="n"/>
    </row>
    <row r="43">
      <c r="A43" s="6" t="inlineStr">
        <is>
          <t>Net Increase/(Decrease) in Deferred Income</t>
        </is>
      </c>
      <c r="B43" s="6" t="n"/>
      <c r="C43" s="6" t="n"/>
      <c r="D43" s="6" t="n"/>
      <c r="E43" s="6" t="n">
        <v>16202</v>
      </c>
      <c r="F43" s="6" t="n">
        <v>-3994</v>
      </c>
      <c r="G43" s="6" t="n">
        <v>-44894</v>
      </c>
      <c r="H43" s="6" t="n"/>
      <c r="I43" s="6" t="n"/>
      <c r="J43" s="6" t="n"/>
      <c r="K43" s="6" t="n"/>
    </row>
    <row r="44">
      <c r="A44" s="6" t="inlineStr">
        <is>
          <t>Taxation Paid (FY2022-FY2023 presentation)</t>
        </is>
      </c>
      <c r="B44" s="6" t="n"/>
      <c r="C44" s="6" t="n"/>
      <c r="D44" s="6" t="n"/>
      <c r="E44" s="6" t="n">
        <v>-26720</v>
      </c>
      <c r="F44" s="6" t="n">
        <v>-3321</v>
      </c>
      <c r="G44" s="6" t="n"/>
      <c r="H44" s="6" t="n"/>
      <c r="I44" s="6" t="n"/>
      <c r="J44" s="6" t="n"/>
      <c r="K44" s="6" t="n"/>
    </row>
    <row r="45">
      <c r="A45" s="5" t="inlineStr">
        <is>
          <t>Net Cash Flows from Operating Activities (FY2021-FY2023 presentation)</t>
        </is>
      </c>
      <c r="B45" s="5" t="n"/>
      <c r="C45" s="5" t="n"/>
      <c r="D45" s="5" t="n"/>
      <c r="E45" s="5" t="n">
        <v>80602</v>
      </c>
      <c r="F45" s="5" t="n">
        <v>3535459</v>
      </c>
      <c r="G45" s="5" t="n">
        <v>3530940</v>
      </c>
      <c r="H45" s="5" t="n"/>
      <c r="I45" s="5" t="n"/>
      <c r="J45" s="5" t="n"/>
      <c r="K45" s="5" t="n"/>
    </row>
    <row r="46">
      <c r="A46" s="5" t="inlineStr">
        <is>
          <t>Adjustments and net changes (FY2024-FY2026 presentation, summarised - see note for breakdown)</t>
        </is>
      </c>
      <c r="B46" s="6" t="n"/>
      <c r="C46" s="6" t="n"/>
      <c r="D46" s="6" t="n"/>
      <c r="E46" s="6" t="n"/>
      <c r="F46" s="6" t="n"/>
      <c r="G46" s="6" t="n"/>
      <c r="H46" s="6" t="n"/>
      <c r="I46" s="6" t="n"/>
      <c r="J46" s="6" t="n"/>
      <c r="K46" s="6" t="n"/>
    </row>
    <row r="47">
      <c r="A47" s="6" t="inlineStr">
        <is>
          <t>Profit for the period after taxation (FY2024-FY2026 presentation)</t>
        </is>
      </c>
      <c r="B47" s="6" t="n">
        <v>156043</v>
      </c>
      <c r="C47" s="6" t="n">
        <v>150722</v>
      </c>
      <c r="D47" s="6" t="n">
        <v>220001</v>
      </c>
      <c r="E47" s="6" t="n"/>
      <c r="F47" s="6" t="n"/>
      <c r="G47" s="6" t="n"/>
      <c r="H47" s="6" t="n"/>
      <c r="I47" s="6" t="n"/>
      <c r="J47" s="6" t="n"/>
      <c r="K47" s="6" t="n"/>
    </row>
    <row r="48">
      <c r="A48" s="6" t="inlineStr">
        <is>
          <t>Non-cash movements (as reported)</t>
        </is>
      </c>
      <c r="B48" s="6" t="n">
        <v>109080</v>
      </c>
      <c r="C48" s="6" t="n">
        <v>165605</v>
      </c>
      <c r="D48" s="6" t="n">
        <v>155782</v>
      </c>
      <c r="E48" s="6" t="n"/>
      <c r="F48" s="6" t="n"/>
      <c r="G48" s="6" t="n"/>
      <c r="H48" s="6" t="n"/>
      <c r="I48" s="6" t="n"/>
      <c r="J48" s="6" t="n"/>
      <c r="K48" s="6" t="n"/>
    </row>
    <row r="49">
      <c r="A49" s="6" t="inlineStr">
        <is>
          <t>Movement in operating assets (as reported)</t>
        </is>
      </c>
      <c r="B49" s="6" t="n">
        <v>-541473</v>
      </c>
      <c r="C49" s="6" t="n">
        <v>-30989</v>
      </c>
      <c r="D49" s="6" t="n">
        <v>194795</v>
      </c>
      <c r="E49" s="6" t="n"/>
      <c r="F49" s="6" t="n"/>
      <c r="G49" s="6" t="n"/>
      <c r="H49" s="6" t="n"/>
      <c r="I49" s="6" t="n"/>
      <c r="J49" s="6" t="n"/>
      <c r="K49" s="6" t="n"/>
    </row>
    <row r="50">
      <c r="A50" s="6" t="inlineStr">
        <is>
          <t>Movement in operating liabilities (as reported)</t>
        </is>
      </c>
      <c r="B50" s="6" t="n">
        <v>505769</v>
      </c>
      <c r="C50" s="6" t="n">
        <v>793034</v>
      </c>
      <c r="D50" s="6" t="n">
        <v>813947</v>
      </c>
      <c r="E50" s="6" t="n"/>
      <c r="F50" s="6" t="n"/>
      <c r="G50" s="6" t="n"/>
      <c r="H50" s="6" t="n"/>
      <c r="I50" s="6" t="n"/>
      <c r="J50" s="6" t="n"/>
      <c r="K50" s="6" t="n"/>
    </row>
    <row r="51">
      <c r="A51" s="6" t="inlineStr">
        <is>
          <t>Taxation paid (FY2024-FY2026 presentation)</t>
        </is>
      </c>
      <c r="B51" s="6" t="n">
        <v>-46085</v>
      </c>
      <c r="C51" s="6" t="n">
        <v>-61999</v>
      </c>
      <c r="D51" s="6" t="n">
        <v>-94266</v>
      </c>
      <c r="E51" s="6" t="n"/>
      <c r="F51" s="6" t="n"/>
      <c r="G51" s="6" t="n"/>
      <c r="H51" s="6" t="n"/>
      <c r="I51" s="6" t="n"/>
      <c r="J51" s="6" t="n"/>
      <c r="K51" s="6" t="n"/>
    </row>
    <row r="52">
      <c r="A52" s="5" t="inlineStr">
        <is>
          <t>Net cash flows from operating activities (FY2024-FY2026 presentation)</t>
        </is>
      </c>
      <c r="B52" s="5" t="n">
        <v>183334</v>
      </c>
      <c r="C52" s="5" t="n">
        <v>1016373</v>
      </c>
      <c r="D52" s="5" t="n">
        <v>1290259</v>
      </c>
      <c r="E52" s="5" t="n"/>
      <c r="F52" s="5" t="n"/>
      <c r="G52" s="5" t="n"/>
      <c r="H52" s="5" t="n"/>
      <c r="I52" s="5" t="n"/>
      <c r="J52" s="5" t="n"/>
      <c r="K52" s="5" t="n"/>
    </row>
    <row r="53">
      <c r="A53" s="5" t="inlineStr">
        <is>
          <t>Cash flows from investing activities</t>
        </is>
      </c>
      <c r="B53" s="6" t="n"/>
      <c r="C53" s="6" t="n"/>
      <c r="D53" s="6" t="n"/>
      <c r="E53" s="6" t="n"/>
      <c r="F53" s="6" t="n"/>
      <c r="G53" s="6" t="n"/>
      <c r="H53" s="6" t="n"/>
      <c r="I53" s="6" t="n"/>
      <c r="J53" s="6" t="n"/>
      <c r="K53" s="6" t="n"/>
    </row>
    <row r="54">
      <c r="A54" s="6" t="inlineStr">
        <is>
          <t>Purchases of property, plant and equipment (FY2017-FY2019 presentation)</t>
        </is>
      </c>
      <c r="B54" s="6" t="n"/>
      <c r="C54" s="6" t="n"/>
      <c r="D54" s="6" t="n"/>
      <c r="E54" s="6" t="n"/>
      <c r="F54" s="6" t="n"/>
      <c r="G54" s="6" t="n"/>
      <c r="H54" s="6" t="n"/>
      <c r="I54" s="6" t="n">
        <v>-2249</v>
      </c>
      <c r="J54" s="6" t="n">
        <v>-568</v>
      </c>
      <c r="K54" s="6" t="n">
        <v>-242</v>
      </c>
    </row>
    <row r="55">
      <c r="A55" s="6" t="inlineStr">
        <is>
          <t>Disposal of property, plant and equipment (FY2018-FY2019 presentation)</t>
        </is>
      </c>
      <c r="B55" s="6" t="n"/>
      <c r="C55" s="6" t="n"/>
      <c r="D55" s="6" t="n"/>
      <c r="E55" s="6" t="n"/>
      <c r="F55" s="6" t="n"/>
      <c r="G55" s="6" t="n"/>
      <c r="H55" s="6" t="n"/>
      <c r="I55" s="6" t="n">
        <v>5</v>
      </c>
      <c r="J55" s="6" t="n">
        <v>5</v>
      </c>
      <c r="K55" s="6" t="n"/>
    </row>
    <row r="56">
      <c r="A56" s="6" t="inlineStr">
        <is>
          <t>Net increase in debt securities (FY2019: classified in INVESTING)</t>
        </is>
      </c>
      <c r="B56" s="6" t="n"/>
      <c r="C56" s="6" t="n"/>
      <c r="D56" s="6" t="n"/>
      <c r="E56" s="6" t="n"/>
      <c r="F56" s="6" t="n"/>
      <c r="G56" s="6" t="n"/>
      <c r="H56" s="6" t="n"/>
      <c r="I56" s="6" t="n">
        <v>-309558</v>
      </c>
      <c r="J56" s="6" t="n"/>
      <c r="K56" s="6" t="n"/>
    </row>
    <row r="57">
      <c r="A57" s="6" t="inlineStr">
        <is>
          <t>Capitalisation of intangible assets (FY2017-FY2019 presentation)</t>
        </is>
      </c>
      <c r="B57" s="6" t="n"/>
      <c r="C57" s="6" t="n"/>
      <c r="D57" s="6" t="n"/>
      <c r="E57" s="6" t="n"/>
      <c r="F57" s="6" t="n"/>
      <c r="G57" s="6" t="n"/>
      <c r="H57" s="6" t="n"/>
      <c r="I57" s="6" t="n">
        <v>-5442</v>
      </c>
      <c r="J57" s="6" t="n">
        <v>-5477</v>
      </c>
      <c r="K57" s="6" t="n">
        <v>-4710</v>
      </c>
    </row>
    <row r="58">
      <c r="A58" s="6" t="inlineStr">
        <is>
          <t>Purchases of intangible assets (FY2017 presentation)</t>
        </is>
      </c>
      <c r="B58" s="6" t="n"/>
      <c r="C58" s="6" t="n"/>
      <c r="D58" s="6" t="n"/>
      <c r="E58" s="6" t="n"/>
      <c r="F58" s="6" t="n"/>
      <c r="G58" s="6" t="n"/>
      <c r="H58" s="6" t="n"/>
      <c r="I58" s="6" t="n"/>
      <c r="J58" s="6" t="n"/>
      <c r="K58" s="6" t="n">
        <v>-3</v>
      </c>
    </row>
    <row r="59">
      <c r="A59" s="6" t="inlineStr">
        <is>
          <t>Receipt of CIF grant (FY2019 presentation)</t>
        </is>
      </c>
      <c r="B59" s="6" t="n"/>
      <c r="C59" s="6" t="n"/>
      <c r="D59" s="6" t="n"/>
      <c r="E59" s="6" t="n"/>
      <c r="F59" s="6" t="n"/>
      <c r="G59" s="6" t="n"/>
      <c r="H59" s="6" t="n"/>
      <c r="I59" s="6" t="n">
        <v>100000</v>
      </c>
      <c r="J59" s="6" t="n"/>
      <c r="K59" s="6" t="n"/>
    </row>
    <row r="60">
      <c r="A60" s="6" t="inlineStr">
        <is>
          <t>Purchase of Property, Plant and Equipment</t>
        </is>
      </c>
      <c r="B60" s="6" t="n"/>
      <c r="C60" s="6" t="n"/>
      <c r="D60" s="6" t="n"/>
      <c r="E60" s="6" t="n">
        <v>-2824</v>
      </c>
      <c r="F60" s="6" t="n">
        <v>-1279</v>
      </c>
      <c r="G60" s="6" t="n">
        <v>-1131</v>
      </c>
      <c r="H60" s="6" t="n"/>
      <c r="I60" s="6" t="n"/>
      <c r="J60" s="6" t="n"/>
      <c r="K60" s="6" t="n"/>
    </row>
    <row r="61">
      <c r="A61" s="6" t="inlineStr">
        <is>
          <t>Purchase of property, plant and equipment (FY2024-FY2026 presentation)</t>
        </is>
      </c>
      <c r="B61" s="6" t="n">
        <v>-6034</v>
      </c>
      <c r="C61" s="6" t="n">
        <v>-3167</v>
      </c>
      <c r="D61" s="6" t="n">
        <v>-4728</v>
      </c>
      <c r="E61" s="6" t="n"/>
      <c r="F61" s="6" t="n"/>
      <c r="G61" s="6" t="n"/>
      <c r="H61" s="6" t="n"/>
      <c r="I61" s="6" t="n"/>
      <c r="J61" s="6" t="n"/>
      <c r="K61" s="6" t="n"/>
    </row>
    <row r="62">
      <c r="A62" s="6" t="inlineStr">
        <is>
          <t>Net Purchases of Debt Securities (FY2022-FY2023 presentation)</t>
        </is>
      </c>
      <c r="B62" s="6" t="n"/>
      <c r="C62" s="6" t="n"/>
      <c r="D62" s="6" t="n"/>
      <c r="E62" s="6" t="n">
        <v>-161608</v>
      </c>
      <c r="F62" s="6" t="n">
        <v>-814284</v>
      </c>
      <c r="G62" s="6" t="n"/>
      <c r="H62" s="6" t="n"/>
      <c r="I62" s="6" t="n"/>
      <c r="J62" s="6" t="n"/>
      <c r="K62" s="6" t="n"/>
    </row>
    <row r="63">
      <c r="A63" s="6" t="inlineStr">
        <is>
          <t>Net Increase in Debt Securities (FY2021 presentation)</t>
        </is>
      </c>
      <c r="B63" s="6" t="n"/>
      <c r="C63" s="6" t="n"/>
      <c r="D63" s="6" t="n"/>
      <c r="E63" s="6" t="n"/>
      <c r="F63" s="6" t="n"/>
      <c r="G63" s="6" t="n">
        <v>-1184380</v>
      </c>
      <c r="H63" s="6" t="n"/>
      <c r="I63" s="6" t="n"/>
      <c r="J63" s="6" t="n"/>
      <c r="K63" s="6" t="n"/>
    </row>
    <row r="64">
      <c r="A64" s="6" t="inlineStr">
        <is>
          <t>Purchases of debt securities (FY2024-FY2026 presentation)</t>
        </is>
      </c>
      <c r="B64" s="6" t="n">
        <v>-4462187</v>
      </c>
      <c r="C64" s="6" t="n">
        <v>-1378404</v>
      </c>
      <c r="D64" s="6" t="n">
        <v>-1577646</v>
      </c>
      <c r="E64" s="6" t="n"/>
      <c r="F64" s="6" t="n"/>
      <c r="G64" s="6" t="n"/>
      <c r="H64" s="6" t="n"/>
      <c r="I64" s="6" t="n"/>
      <c r="J64" s="6" t="n"/>
      <c r="K64" s="6" t="n"/>
    </row>
    <row r="65">
      <c r="A65" s="6" t="inlineStr">
        <is>
          <t>Proceeds from maturity and sale of debt securities (FY2024-FY2026 presentation)</t>
        </is>
      </c>
      <c r="B65" s="6" t="n">
        <v>1575165</v>
      </c>
      <c r="C65" s="6" t="n">
        <v>735088</v>
      </c>
      <c r="D65" s="6" t="n">
        <v>748813</v>
      </c>
      <c r="E65" s="6" t="n"/>
      <c r="F65" s="6" t="n"/>
      <c r="G65" s="6" t="n"/>
      <c r="H65" s="6" t="n"/>
      <c r="I65" s="6" t="n"/>
      <c r="J65" s="6" t="n"/>
      <c r="K65" s="6" t="n"/>
    </row>
    <row r="66">
      <c r="A66" s="6" t="inlineStr">
        <is>
          <t>Acquisition of Subsidiary, Net of Cash Acquired</t>
        </is>
      </c>
      <c r="B66" s="6" t="n"/>
      <c r="C66" s="6" t="n"/>
      <c r="D66" s="6" t="n"/>
      <c r="E66" s="6" t="n"/>
      <c r="F66" s="6" t="n">
        <v>-36160</v>
      </c>
      <c r="G66" s="6" t="n"/>
      <c r="H66" s="6" t="n"/>
      <c r="I66" s="6" t="n"/>
      <c r="J66" s="6" t="n"/>
      <c r="K66" s="6" t="n"/>
    </row>
    <row r="67">
      <c r="A67" s="6" t="inlineStr">
        <is>
          <t>PPE and Intangibles on Acquisition of Subsidiary</t>
        </is>
      </c>
      <c r="B67" s="6" t="n"/>
      <c r="C67" s="6" t="n"/>
      <c r="D67" s="6" t="n"/>
      <c r="E67" s="6" t="n"/>
      <c r="F67" s="6" t="n">
        <v>-8377</v>
      </c>
      <c r="G67" s="6" t="n"/>
      <c r="H67" s="6" t="n"/>
      <c r="I67" s="6" t="n"/>
      <c r="J67" s="6" t="n"/>
      <c r="K67" s="6" t="n"/>
    </row>
    <row r="68">
      <c r="A68" s="6" t="inlineStr">
        <is>
          <t>Net cash on acquisition of subsidiary (FY2026 presentation)</t>
        </is>
      </c>
      <c r="B68" s="6" t="n">
        <v>-2205</v>
      </c>
      <c r="C68" s="6" t="n"/>
      <c r="D68" s="6" t="n"/>
      <c r="E68" s="6" t="n"/>
      <c r="F68" s="6" t="n"/>
      <c r="G68" s="6" t="n"/>
      <c r="H68" s="6" t="n"/>
      <c r="I68" s="6" t="n"/>
      <c r="J68" s="6" t="n"/>
      <c r="K68" s="6" t="n"/>
    </row>
    <row r="69">
      <c r="A69" s="6" t="inlineStr">
        <is>
          <t>Purchase and Development of Intangible Assets</t>
        </is>
      </c>
      <c r="B69" s="6" t="n"/>
      <c r="C69" s="6" t="n"/>
      <c r="D69" s="6" t="n"/>
      <c r="E69" s="6" t="n">
        <v>-27643</v>
      </c>
      <c r="F69" s="6" t="n">
        <v>-19170</v>
      </c>
      <c r="G69" s="6" t="n"/>
      <c r="H69" s="6" t="n"/>
      <c r="I69" s="6" t="n"/>
      <c r="J69" s="6" t="n"/>
      <c r="K69" s="6" t="n"/>
    </row>
    <row r="70">
      <c r="A70" s="6" t="inlineStr">
        <is>
          <t>Capitalisation of Intangible Assets (FY2021 presentation)</t>
        </is>
      </c>
      <c r="B70" s="6" t="n"/>
      <c r="C70" s="6" t="n"/>
      <c r="D70" s="6" t="n"/>
      <c r="E70" s="6" t="n"/>
      <c r="F70" s="6" t="n"/>
      <c r="G70" s="6" t="n">
        <v>-5623</v>
      </c>
      <c r="H70" s="6" t="n"/>
      <c r="I70" s="6" t="n"/>
      <c r="J70" s="6" t="n"/>
      <c r="K70" s="6" t="n"/>
    </row>
    <row r="71">
      <c r="A71" s="6" t="inlineStr">
        <is>
          <t>Purchase and development of intangible assets (FY2024-FY2026 presentation)</t>
        </is>
      </c>
      <c r="B71" s="6" t="n">
        <v>-75792</v>
      </c>
      <c r="C71" s="6" t="n">
        <v>-56997</v>
      </c>
      <c r="D71" s="6" t="n">
        <v>-43278</v>
      </c>
      <c r="E71" s="6" t="n"/>
      <c r="F71" s="6" t="n"/>
      <c r="G71" s="6" t="n"/>
      <c r="H71" s="6" t="n"/>
      <c r="I71" s="6" t="n"/>
      <c r="J71" s="6" t="n"/>
      <c r="K71" s="6" t="n"/>
    </row>
    <row r="72">
      <c r="A72" s="5" t="inlineStr">
        <is>
          <t>Net Cash Flows from Investing Activities</t>
        </is>
      </c>
      <c r="B72" s="5" t="n">
        <v>-2971053</v>
      </c>
      <c r="C72" s="5" t="n">
        <v>-703480</v>
      </c>
      <c r="D72" s="5" t="n">
        <v>-876839</v>
      </c>
      <c r="E72" s="5" t="n">
        <v>-192075</v>
      </c>
      <c r="F72" s="5" t="n">
        <v>-879270</v>
      </c>
      <c r="G72" s="5" t="n">
        <v>-1191134</v>
      </c>
      <c r="H72" s="5" t="n"/>
      <c r="I72" s="5" t="n">
        <v>-217244</v>
      </c>
      <c r="J72" s="5" t="n">
        <v>-6040</v>
      </c>
      <c r="K72" s="5" t="n">
        <v>-4955</v>
      </c>
    </row>
    <row r="73">
      <c r="A73" s="5" t="inlineStr">
        <is>
          <t>Cash flows from financing activities</t>
        </is>
      </c>
      <c r="B73" s="6" t="n"/>
      <c r="C73" s="6" t="n"/>
      <c r="D73" s="6" t="n"/>
      <c r="E73" s="6" t="n"/>
      <c r="F73" s="6" t="n"/>
      <c r="G73" s="6" t="n"/>
      <c r="H73" s="6" t="n"/>
      <c r="I73" s="6" t="n"/>
      <c r="J73" s="6" t="n"/>
      <c r="K73" s="6" t="n"/>
    </row>
    <row r="74">
      <c r="A74" s="6" t="inlineStr">
        <is>
          <t>Issuance of Ordinary Shares Less Cost of Issuance</t>
        </is>
      </c>
      <c r="B74" s="6" t="n"/>
      <c r="C74" s="6" t="n"/>
      <c r="D74" s="6" t="n"/>
      <c r="E74" s="6" t="n">
        <v>130500</v>
      </c>
      <c r="F74" s="6" t="n">
        <v>240000</v>
      </c>
      <c r="G74" s="6" t="n">
        <v>94012</v>
      </c>
      <c r="H74" s="6" t="n"/>
      <c r="I74" s="6" t="n">
        <v>91550</v>
      </c>
      <c r="J74" s="6" t="n">
        <v>19938</v>
      </c>
      <c r="K74" s="6" t="n">
        <v>29959</v>
      </c>
    </row>
    <row r="75">
      <c r="A75" s="6" t="inlineStr">
        <is>
          <t>Acquisition of shares by Employee Benefit Trust (FY2017-FY2018 presentation)</t>
        </is>
      </c>
      <c r="B75" s="6" t="n"/>
      <c r="C75" s="6" t="n"/>
      <c r="D75" s="6" t="n"/>
      <c r="E75" s="6" t="n"/>
      <c r="F75" s="6" t="n"/>
      <c r="G75" s="6" t="n"/>
      <c r="H75" s="6" t="n"/>
      <c r="I75" s="6" t="n"/>
      <c r="J75" s="6" t="n">
        <v>413</v>
      </c>
      <c r="K75" s="6" t="n">
        <v>-94</v>
      </c>
    </row>
    <row r="76">
      <c r="A76" s="6" t="inlineStr">
        <is>
          <t>Purchase of own shares</t>
        </is>
      </c>
      <c r="B76" s="6" t="n"/>
      <c r="C76" s="6" t="n"/>
      <c r="D76" s="6" t="n">
        <v>-56362</v>
      </c>
      <c r="E76" s="6" t="n"/>
      <c r="F76" s="6" t="n"/>
      <c r="G76" s="6" t="n"/>
      <c r="H76" s="6" t="n"/>
      <c r="I76" s="6" t="n"/>
      <c r="J76" s="6" t="n"/>
      <c r="K76" s="6" t="n"/>
    </row>
    <row r="77">
      <c r="A77" s="6" t="inlineStr">
        <is>
          <t>Drawdown of funding from central banks</t>
        </is>
      </c>
      <c r="B77" s="6" t="n">
        <v>900000</v>
      </c>
      <c r="C77" s="6" t="n"/>
      <c r="D77" s="6" t="n"/>
      <c r="E77" s="6" t="n"/>
      <c r="F77" s="6" t="n"/>
      <c r="G77" s="6" t="n"/>
      <c r="H77" s="6" t="n"/>
      <c r="I77" s="6" t="n"/>
      <c r="J77" s="6" t="n"/>
      <c r="K77" s="6" t="n"/>
    </row>
    <row r="78">
      <c r="A78" s="6" t="inlineStr">
        <is>
          <t>Repayment of funding from central banks</t>
        </is>
      </c>
      <c r="B78" s="6" t="n">
        <v>-600000</v>
      </c>
      <c r="C78" s="6" t="n">
        <v>-50000</v>
      </c>
      <c r="D78" s="6" t="n"/>
      <c r="E78" s="6" t="n"/>
      <c r="F78" s="6" t="n"/>
      <c r="G78" s="6" t="n"/>
      <c r="H78" s="6" t="n"/>
      <c r="I78" s="6" t="n"/>
      <c r="J78" s="6" t="n"/>
      <c r="K78" s="6" t="n"/>
    </row>
    <row r="79">
      <c r="A79" s="6" t="inlineStr">
        <is>
          <t>Repayment of Lease Liabilities</t>
        </is>
      </c>
      <c r="B79" s="6" t="n"/>
      <c r="C79" s="6" t="n"/>
      <c r="D79" s="6" t="n"/>
      <c r="E79" s="6" t="n">
        <v>-68</v>
      </c>
      <c r="F79" s="6" t="n">
        <v>-1780</v>
      </c>
      <c r="G79" s="6" t="n">
        <v>-2174</v>
      </c>
      <c r="H79" s="6" t="n"/>
      <c r="I79" s="6" t="n"/>
      <c r="J79" s="6" t="n"/>
      <c r="K79" s="6" t="n"/>
    </row>
    <row r="80">
      <c r="A80" s="6" t="inlineStr">
        <is>
          <t>Repayment of lease liabilities (FY2024-FY2026 presentation)</t>
        </is>
      </c>
      <c r="B80" s="6" t="n">
        <v>-4120</v>
      </c>
      <c r="C80" s="6" t="n">
        <v>-2710</v>
      </c>
      <c r="D80" s="6" t="n">
        <v>-2154</v>
      </c>
      <c r="E80" s="6" t="n"/>
      <c r="F80" s="6" t="n"/>
      <c r="G80" s="6" t="n"/>
      <c r="H80" s="6" t="n"/>
      <c r="I80" s="6" t="n"/>
      <c r="J80" s="6" t="n"/>
      <c r="K80" s="6" t="n"/>
    </row>
    <row r="81">
      <c r="A81" s="5" t="inlineStr">
        <is>
          <t>Net Cash Flows from Financing Activities</t>
        </is>
      </c>
      <c r="B81" s="5" t="n">
        <v>295880</v>
      </c>
      <c r="C81" s="5" t="n">
        <v>-52710</v>
      </c>
      <c r="D81" s="5" t="n">
        <v>-58516</v>
      </c>
      <c r="E81" s="5" t="n">
        <v>130432</v>
      </c>
      <c r="F81" s="5" t="n">
        <v>238220</v>
      </c>
      <c r="G81" s="5" t="n">
        <v>91838</v>
      </c>
      <c r="H81" s="5" t="n"/>
      <c r="I81" s="5" t="n">
        <v>91550</v>
      </c>
      <c r="J81" s="5" t="n">
        <v>20351</v>
      </c>
      <c r="K81" s="5" t="n">
        <v>29865</v>
      </c>
    </row>
    <row r="82">
      <c r="A82" s="5" t="inlineStr">
        <is>
          <t>Net Increase/(Decrease) in Cash and Cash Equivalents</t>
        </is>
      </c>
      <c r="B82" s="5" t="n">
        <v>-2491839</v>
      </c>
      <c r="C82" s="5" t="n">
        <v>260183</v>
      </c>
      <c r="D82" s="5" t="n">
        <v>354904</v>
      </c>
      <c r="E82" s="5" t="n">
        <v>18859</v>
      </c>
      <c r="F82" s="5" t="n">
        <v>2894409</v>
      </c>
      <c r="G82" s="5" t="n">
        <v>2431644</v>
      </c>
      <c r="H82" s="5" t="n"/>
      <c r="I82" s="5" t="n">
        <v>577697</v>
      </c>
      <c r="J82" s="5" t="n">
        <v>149464</v>
      </c>
      <c r="K82" s="5" t="n">
        <v>27747</v>
      </c>
    </row>
    <row r="83">
      <c r="A83" s="6" t="inlineStr">
        <is>
          <t>Cash and Cash Equivalents at Beginning of Period/Year</t>
        </is>
      </c>
      <c r="B83" s="6" t="n">
        <v>6717177</v>
      </c>
      <c r="C83" s="6" t="n">
        <v>6456994</v>
      </c>
      <c r="D83" s="6" t="n">
        <v>6102090</v>
      </c>
      <c r="E83" s="6" t="n">
        <v>6083131</v>
      </c>
      <c r="F83" s="6" t="n">
        <v>3188722</v>
      </c>
      <c r="G83" s="6" t="n">
        <v>764705</v>
      </c>
      <c r="H83" s="6" t="n"/>
      <c r="I83" s="6" t="n">
        <v>187008</v>
      </c>
      <c r="J83" s="6" t="n">
        <v>37544</v>
      </c>
      <c r="K83" s="6" t="n">
        <v>9797</v>
      </c>
    </row>
    <row r="84">
      <c r="A84" s="5" t="inlineStr">
        <is>
          <t>Cash and Cash Equivalents at End of Period/Year</t>
        </is>
      </c>
      <c r="B84" s="5" t="n">
        <v>4225338</v>
      </c>
      <c r="C84" s="5" t="n">
        <v>6717177</v>
      </c>
      <c r="D84" s="5" t="n">
        <v>6456994</v>
      </c>
      <c r="E84" s="5" t="n">
        <v>6102090</v>
      </c>
      <c r="F84" s="5" t="n">
        <v>6083131</v>
      </c>
      <c r="G84" s="5" t="n">
        <v>3196349</v>
      </c>
      <c r="H84" s="5" t="inlineStr">
        <is>
          <t>Not applicable - no FY2020 reporting period; ARD moved 30 Nov to 31 Mar</t>
        </is>
      </c>
      <c r="I84" s="5" t="n">
        <v>764705</v>
      </c>
      <c r="J84" s="5" t="n">
        <v>187008</v>
      </c>
      <c r="K84" s="5" t="n">
        <v>37544</v>
      </c>
    </row>
    <row r="86" ht="325" customHeight="1">
      <c r="A86" s="8" t="inlineStr">
        <is>
          <t>Sources - all figures are Group/consolidated basis, £'000. See entity note above re: FY2021 (16-month period) and FY2026 (new SGHL parent entity).
FY2026: Starling Group Holdings Limited Annual Report and Accounts 2026, p.165 (Consolidated cash flow statement) - https://www.starlingbank.com/docs/annual-reports/Starling-Group-Annual-Report-2026.pdf
FY2025 &amp; FY2024: Starling Bank Limited Annual Report and Accounts 2025, p.159 and p.214 (Consolidated and company cash flow statement, and note 29) - https://www.starlingbank.com/docs/annual-reports/Starling-Bank-Annual-Report-2025.pdf
FY2023 &amp; FY2022 (restated): Starling Bank Limited Annual Report 2023, p.124-125 and p.177 (Consolidated &amp; Company Cash Flow Statement, and note 29) - https://www.starlingbank.com/docs/annual-reports/Starling-Bank-Annual-Report-2023.pdf
FY2021: Starling Bank Limited Annual Report and Consolidated Financial Statements, period ended 31 March 2021, p.66-67 (Consolidated Cash Flow Statement) - https://www.starlingbank.com/docs/annual-reports/Starling-Bank-Annual-Report-2019-21.pdf
ENTITY NOTE: Starling Bank Limited (Companies House 09092149) is the entity on the PRA register and is used, on a consolidated Group basis, for FY2021-FY2025 - each year's own Annual Report and Consolidated Financial Statements. FY2021 (marked †) is a 16-month period (1 December 2019 - 31 March 2021), Starling's first period reporting to a 31 March year end - not directly run-rate comparable to the other years.
FY2026 (marked ‡, added as a bonus column beyond the standard 5-year window) is different: in June 2025 a new non-trading holding company, Starling Group Holdings Limited (SGHL), was inserted as ultimate parent of Starling Bank Limited (SBL), with an intermediate holding company (SIHL) added in September 2025. From FY2026, SBL's own Companies House filing is presented on an unconsolidated solo/Company basis only (SBL's own wording: 'the Company' = Starling Bank Limited; consolidated 'Group' figures are now published separately as SGHL's own Annual Report). To keep this column comparable to FY2021-FY2025's consolidated basis, FY2026 cash flow figures here are SGHL's consolidated Group figures (from the new SGHL Annual Report), not SBL's own solo filing. The SGHL accounting consolidation for FY2026 additionally includes Murmur Financial Services Limited, Fleet Mortgages Limited and Engine by Starling Limited alongside SBL and its own ancillary undertakings (Starling FS Services Limited, and Ember by Starling Limited, acquired during FY2026) - a broader scope than SBL's own historical Group accounts. Pillar 3 (prudential) figures for FY2026 are on the narrower 'Regulatory Group' basis (SGHL, SIHL, SBL, SFSSL and Ember only - Murmur/Fleet Mortgages/Engine fall below CRR Article 19 materiality thresholds); cross-checking confirms this made no difference to the FY2025 capital figures, so Pillar 3 continuity FY2021-FY2026 is unaffected by the restructuring. FY2019-FY2017 are covered by Starling's official investor archive, each from its OWN edition: FY2019 in the 2018-19 report (year ended 30 November 2019), FY2018 in the 2017-18 report, and FY2017 in the 2016-17 report. Older columns retain blanks where the historical filing used a materially different presentation and no reliable like-for-like line exists.
FY2020 HAS NO REPORTING DATE AT ALL - THERE IS NO STARLING BALANCE SHEET TO FIND (established 2026-09-18, see the Balance Sheet source note for the documents read). Starling changed its accounting reference date from 30 November to 31 March, so the twelve months to 30 November 2020 fall INSIDE the 16-month period 1 December 2019 - 31 March 2021 and were never themselves a financial year. No statement of financial position was ever drawn up at any date in the FY2020 slot - not by the Group, not in a Pillar 3, and not at Companies House. This is a sourced negative about the calendar, not a gap in the search.
RESTATEMENT NOTE: The 2023 Annual Report changed the Group's cash and cash equivalents accounting policy to exclude the mandatory Cash Ratio Deposit held with the Bank of England; this reduced the Group's cash and cash equivalents at 1 April 2021 by £7,627k (to a restated £3,188,722k) on a comparative basis, but FY2021's own original Annual Report was never itself restated (its reported closing balance is £3,196,349k). This produces a documented £7,627k break at the FY2021/FY2022 boundary only; FY2022 onward reconciles exactly.
PRESENTATION NOTE: FY2021-FY2023 report operating-activities adjustments and asset/liability movements as granular individual line items; FY2024 onward summarises them into three reported subtotals ('Non-cash movements', 'Movement in operating assets', 'Movement in operating liabilities') with the detail moved to a note - both are shown, clearly separated, so blank cells simply reflect which presentation style that year's report used. FY2026's figures are shown only at the summarised level (the underlying SGHL note breakdown was not extracted). The 'Profit for the period after taxation' line is repeated once per presentation style (a generic block-reconciliation checker run against this sheet will only sum the DATA rows immediately preceding each operating-activities TOTAL, so Profit needs its own row within each block rather than a single shared row above both - this is a spreadsheet-layout clarification, not a change to any figure). Section totals and cash and cash equivalents are consistent within each presentation style and reconcile exactly year to year (except the documented FY2021/FY2022 break above): confirmed by hand against each year's own primary source, including FY2026 (2026-08-27), where the operating-activities TOTAL was originally mistranscribed as 185,354 - the SGHL FY2026 Annual Report's own Consolidated Cash Flow Statement (p.165) states 183,334, which is what the full profit+adjustments+tax chain sums to exactly; corrected.</t>
        </is>
      </c>
    </row>
    <row r="88" ht="250" customHeight="1">
      <c r="A88" s="8" t="inlineStr">
        <is>
          <t>(continued)
FY2017-FY2019 ADDED 2026-10-08. These three years were previously absent from this sheet altogether - not marked as gaps, but TRIMMED AWAY by _trim_trailing_empty_years, which drops an oldest-end year column no row fills. The Balance Sheet carried them throughout, and the documents already cited for it print a full Group cash flow statement for each. A trimmed column is invisible to audit_gaps.py too (the census reports the years a sheet HAS), so no check in this repo could see this. Sources, each year from its OWN edition, read off 300 dpi page renders: FY2019 - AR 2018-19 printed p.48 - https://www.starlingbank.com/docs/annual-reports/Starling-Bank-Annual-Report-2018-19.pdf; FY2018 - AR 2017-18 printed p.48 - https://www.starlingbank.com/docs/annual-reports/Starling-bank-annual-report-2017-18.pdf; FY2017 - AR 2016-17 printed p.44 - https://www.starlingbank.com/docs/annual-reports/Starling-bank-annual-report-2016-17.pdf. Group columns. The chain is continuous with the existing series: FY2019's closing cash 764,705 is already this sheet's FY2021 opening balance, and FY2018's closing 187,008 is FY2019's opening. FY2020 carries a recorded absence rather than a blank, because adding these years makes it an INTERIOR column and an empty interior column is indistinguishable from one nobody examined - there is no 30 November 2020 reporting date at all, the accounting reference date having moved from 30 November to 31 March.
DEFECT IN STARLING'S OWN FY2017 STATEMENT - REPRODUCED AS PRINTED, NOT CORRECTED. AR 2016-17 printed p.44 lists nine operating movement rows which do not foot to its own printed total: -10,196 + 557 - 804 - 3,014 - 1,858 - 86 + 18,081 - 97 - 978 = 1,605, against a printed 'Net Cash Flows from Operating Activities' of 2,837 - short by 1,232. The FY2018 edition's FY2017 comparative prints the same rows PLUS 'Net (decrease)/increase in Accruals and Deferred Income 1,232', and 1,605 + 1,232 = 2,837 exactly. The printed TOTAL is right and a ROW is missing from the bank's own FY2017 statement; the next edition restored it. Its 30 Nov 2016 comparative column shows the same shape of defect (rows sum to -3,131 against a printed (2,878), a gap of 253) and cannot be cross-checked, the FY2018 edition showing only 2018 and 2017. Both the nine printed rows and the printed 2,837 are reproduced here exactly as published: the missing 1,232 is NOT imported from the later edition, which would mix two editions inside one column, and the total is NOT adjusted to match the rows. verify_workbook.py reports a block mismatch on FY2017 as a result; that report is correct and this paragraph is its explanation. FY2018 (135,153) and FY2019 (703,391) both foot exactly to their own printed rows.
EDITION-vs-EDITION DIFFERENCE ON FY2018 (own edition used, later edition recorded). AR 2017-18 classifies investment securities (15,025) in OPERATING and reports operating 135,153 / investing (6,040) / financing 20,351. AR 2018-19's comparative moves those securities to INVESTING and moves the £330 fair value of shares from financing to operating, giving 150,508 / (21,065) / 20,021. Both reach the same net increase of 149,464 and the same opening and closing cash; only the split differs. Similarly on FY2017, its own edition prints Purchases of Tangible Assets (242) with no disposals line where the FY2018 edition splits the same net figure into purchases (263) and sales 21. Because the row sets genuinely differ - a 30 November year-end, a CIF grant, securities in operating rather than investing - FY2017-FY2019 are kept in their own labelled block rather than merged into the FY2021+ rows, the same treatment this sheet already gives the FY2024-FY2026 presentation. One Group line is omitted rather than shown as a zero: 'Net Increase in the Inter-Company Account' is a printed dash in all three Group columns (Company-only).</t>
        </is>
      </c>
    </row>
  </sheetData>
  <mergeCells count="2">
    <mergeCell ref="A88:K88"/>
    <mergeCell ref="A86:K8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s>
  <sheetData>
    <row r="1">
      <c r="A1" s="1" t="inlineStr">
        <is>
          <t>Starling Bank Limited — Asset Quality</t>
        </is>
      </c>
    </row>
    <row r="2">
      <c r="A2" s="2" t="inlineStr">
        <is>
          <t>Group/consolidated basis, £'000. Lending exposure and impairment provision by IFRS 9 stage, 'Total exposure after guarantee' basis (includes off-balance-sheet undrawn facilities net of UK government guarantees). FY2021 genuinely does not disclose a by-stage table - see source note.</t>
        </is>
      </c>
    </row>
    <row r="3">
      <c r="A3" s="4" t="inlineStr">
        <is>
          <t>Line item</t>
        </is>
      </c>
      <c r="B3" s="4" t="inlineStr">
        <is>
          <t>FY2026 (SGHL)‡ (£'000)</t>
        </is>
      </c>
      <c r="C3" s="4" t="inlineStr">
        <is>
          <t>FY2025 (£'000)</t>
        </is>
      </c>
      <c r="D3" s="4" t="inlineStr">
        <is>
          <t>FY2024 (£'000)</t>
        </is>
      </c>
      <c r="E3" s="4" t="inlineStr">
        <is>
          <t>FY2023 (£'000)</t>
        </is>
      </c>
      <c r="F3" s="4" t="inlineStr">
        <is>
          <t>FY2022 (£'000)</t>
        </is>
      </c>
    </row>
    <row r="4">
      <c r="A4" s="5" t="inlineStr">
        <is>
          <t>Total exposure after guarantee, by IFRS 9 stage</t>
        </is>
      </c>
      <c r="B4" s="6" t="n"/>
      <c r="C4" s="6" t="n"/>
      <c r="D4" s="6" t="n"/>
      <c r="E4" s="6" t="n"/>
      <c r="F4" s="6" t="n"/>
    </row>
    <row r="5">
      <c r="A5" s="6" t="inlineStr">
        <is>
          <t>Stage 1</t>
        </is>
      </c>
      <c r="B5" s="6" t="n">
        <v>4862307</v>
      </c>
      <c r="C5" s="6" t="n">
        <v>4165490</v>
      </c>
      <c r="D5" s="6" t="n">
        <v>3725761</v>
      </c>
      <c r="E5" s="6" t="n">
        <v>3571338</v>
      </c>
      <c r="F5" s="6" t="n">
        <v>1633418</v>
      </c>
    </row>
    <row r="6">
      <c r="A6" s="6" t="inlineStr">
        <is>
          <t>Stage 2</t>
        </is>
      </c>
      <c r="B6" s="6" t="n">
        <v>252112</v>
      </c>
      <c r="C6" s="6" t="n">
        <v>228850</v>
      </c>
      <c r="D6" s="6" t="n">
        <v>266374</v>
      </c>
      <c r="E6" s="6" t="n">
        <v>144105</v>
      </c>
      <c r="F6" s="6" t="n">
        <v>43581</v>
      </c>
    </row>
    <row r="7">
      <c r="A7" s="6" t="inlineStr">
        <is>
          <t>Stage 3</t>
        </is>
      </c>
      <c r="B7" s="6" t="n">
        <v>163254</v>
      </c>
      <c r="C7" s="6" t="n">
        <v>159469</v>
      </c>
      <c r="D7" s="6" t="n">
        <v>160167</v>
      </c>
      <c r="E7" s="6" t="n">
        <v>103707</v>
      </c>
      <c r="F7" s="6" t="n">
        <v>55960</v>
      </c>
    </row>
    <row r="8">
      <c r="A8" s="5" t="inlineStr">
        <is>
          <t>Total exposure after guarantee</t>
        </is>
      </c>
      <c r="B8" s="5" t="n">
        <v>5277673</v>
      </c>
      <c r="C8" s="5" t="n">
        <v>4553809</v>
      </c>
      <c r="D8" s="5" t="n">
        <v>4152302</v>
      </c>
      <c r="E8" s="5" t="n">
        <v>3819150</v>
      </c>
      <c r="F8" s="5" t="n">
        <v>1732959</v>
      </c>
    </row>
    <row r="9">
      <c r="A9" s="5" t="inlineStr">
        <is>
          <t>Impairment provision, by IFRS 9 stage</t>
        </is>
      </c>
      <c r="B9" s="6" t="n"/>
      <c r="C9" s="6" t="n"/>
      <c r="D9" s="6" t="n"/>
      <c r="E9" s="6" t="n"/>
      <c r="F9" s="6" t="n"/>
    </row>
    <row r="10">
      <c r="A10" s="6" t="inlineStr">
        <is>
          <t>Stage 1</t>
        </is>
      </c>
      <c r="B10" s="6" t="n">
        <v>7767</v>
      </c>
      <c r="C10" s="6" t="n">
        <v>6344</v>
      </c>
      <c r="D10" s="6" t="n">
        <v>9174</v>
      </c>
      <c r="E10" s="6" t="n">
        <v>11462</v>
      </c>
      <c r="F10" s="6" t="n">
        <v>13637</v>
      </c>
    </row>
    <row r="11">
      <c r="A11" s="6" t="inlineStr">
        <is>
          <t>Stage 2</t>
        </is>
      </c>
      <c r="B11" s="6" t="n">
        <v>5471</v>
      </c>
      <c r="C11" s="6" t="n">
        <v>5166</v>
      </c>
      <c r="D11" s="6" t="n">
        <v>9974</v>
      </c>
      <c r="E11" s="6" t="n">
        <v>5779</v>
      </c>
      <c r="F11" s="6" t="n">
        <v>3663</v>
      </c>
    </row>
    <row r="12">
      <c r="A12" s="6" t="inlineStr">
        <is>
          <t>Stage 3</t>
        </is>
      </c>
      <c r="B12" s="6" t="n">
        <v>11239</v>
      </c>
      <c r="C12" s="6" t="n">
        <v>10403</v>
      </c>
      <c r="D12" s="6" t="n">
        <v>28722</v>
      </c>
      <c r="E12" s="6" t="n">
        <v>18381</v>
      </c>
      <c r="F12" s="6" t="n">
        <v>9772</v>
      </c>
    </row>
    <row r="13">
      <c r="A13" s="5" t="inlineStr">
        <is>
          <t>Total impairment provision</t>
        </is>
      </c>
      <c r="B13" s="5" t="n">
        <v>24477</v>
      </c>
      <c r="C13" s="5" t="n">
        <v>21913</v>
      </c>
      <c r="D13" s="5" t="n">
        <v>47870</v>
      </c>
      <c r="E13" s="5" t="n">
        <v>35622</v>
      </c>
      <c r="F13" s="5" t="n">
        <v>27072</v>
      </c>
    </row>
    <row r="14">
      <c r="A14" s="5" t="inlineStr">
        <is>
          <t>Net exposure, by IFRS 9 stage</t>
        </is>
      </c>
      <c r="B14" s="6" t="n"/>
      <c r="C14" s="6" t="n"/>
      <c r="D14" s="6" t="n"/>
      <c r="E14" s="6" t="n"/>
      <c r="F14" s="6" t="n"/>
    </row>
    <row r="15">
      <c r="A15" s="6" t="inlineStr">
        <is>
          <t>Stage 1</t>
        </is>
      </c>
      <c r="B15" s="6" t="n">
        <v>4854540</v>
      </c>
      <c r="C15" s="6" t="n">
        <v>4159146</v>
      </c>
      <c r="D15" s="6" t="n">
        <v>3716587</v>
      </c>
      <c r="E15" s="6" t="n">
        <v>3559876</v>
      </c>
      <c r="F15" s="6" t="n">
        <v>1619781</v>
      </c>
    </row>
    <row r="16">
      <c r="A16" s="6" t="inlineStr">
        <is>
          <t>Stage 2</t>
        </is>
      </c>
      <c r="B16" s="6" t="n">
        <v>246641</v>
      </c>
      <c r="C16" s="6" t="n">
        <v>223684</v>
      </c>
      <c r="D16" s="6" t="n">
        <v>256400</v>
      </c>
      <c r="E16" s="6" t="n">
        <v>138326</v>
      </c>
      <c r="F16" s="6" t="n">
        <v>39918</v>
      </c>
    </row>
    <row r="17">
      <c r="A17" s="6" t="inlineStr">
        <is>
          <t>Stage 3</t>
        </is>
      </c>
      <c r="B17" s="6" t="n">
        <v>152015</v>
      </c>
      <c r="C17" s="6" t="n">
        <v>149066</v>
      </c>
      <c r="D17" s="6" t="n">
        <v>131445</v>
      </c>
      <c r="E17" s="6" t="n">
        <v>85326</v>
      </c>
      <c r="F17" s="6" t="n">
        <v>46188</v>
      </c>
    </row>
    <row r="18">
      <c r="A18" s="5" t="inlineStr">
        <is>
          <t>Net exposure</t>
        </is>
      </c>
      <c r="B18" s="5" t="n">
        <v>5253196</v>
      </c>
      <c r="C18" s="5" t="n">
        <v>4531896</v>
      </c>
      <c r="D18" s="5" t="n">
        <v>4104432</v>
      </c>
      <c r="E18" s="5" t="n">
        <v>3783528</v>
      </c>
      <c r="F18" s="5" t="n">
        <v>1705887</v>
      </c>
    </row>
    <row r="19">
      <c r="A19" s="5" t="inlineStr">
        <is>
          <t>Derived ratios</t>
        </is>
      </c>
      <c r="B19" s="6" t="n"/>
      <c r="C19" s="6" t="n"/>
      <c r="D19" s="6" t="n"/>
      <c r="E19" s="6" t="n"/>
      <c r="F19" s="6" t="n"/>
    </row>
    <row r="20">
      <c r="A20" s="6" t="inlineStr">
        <is>
          <t>% Coverage - Stage 1</t>
        </is>
      </c>
      <c r="B20" s="6" t="inlineStr">
        <is>
          <t>0.2%</t>
        </is>
      </c>
      <c r="C20" s="6" t="inlineStr">
        <is>
          <t>0.2%</t>
        </is>
      </c>
      <c r="D20" s="6" t="inlineStr">
        <is>
          <t>0.2%</t>
        </is>
      </c>
      <c r="E20" s="6" t="inlineStr">
        <is>
          <t>0.3%</t>
        </is>
      </c>
      <c r="F20" s="6" t="inlineStr">
        <is>
          <t>0.8%</t>
        </is>
      </c>
    </row>
    <row r="21">
      <c r="A21" s="6" t="inlineStr">
        <is>
          <t>% Coverage - Stage 2</t>
        </is>
      </c>
      <c r="B21" s="6" t="inlineStr">
        <is>
          <t>2.2%</t>
        </is>
      </c>
      <c r="C21" s="6" t="inlineStr">
        <is>
          <t>2.3%</t>
        </is>
      </c>
      <c r="D21" s="6" t="inlineStr">
        <is>
          <t>3.7%</t>
        </is>
      </c>
      <c r="E21" s="6" t="inlineStr">
        <is>
          <t>4.0%</t>
        </is>
      </c>
      <c r="F21" s="6" t="inlineStr">
        <is>
          <t>8.4%</t>
        </is>
      </c>
    </row>
    <row r="22">
      <c r="A22" s="6" t="inlineStr">
        <is>
          <t>% Coverage - Stage 3</t>
        </is>
      </c>
      <c r="B22" s="6" t="inlineStr">
        <is>
          <t>6.9%</t>
        </is>
      </c>
      <c r="C22" s="6" t="inlineStr">
        <is>
          <t>6.5%</t>
        </is>
      </c>
      <c r="D22" s="6" t="inlineStr">
        <is>
          <t>17.9%</t>
        </is>
      </c>
      <c r="E22" s="6" t="inlineStr">
        <is>
          <t>17.7%</t>
        </is>
      </c>
      <c r="F22" s="6" t="inlineStr">
        <is>
          <t>17.5%</t>
        </is>
      </c>
    </row>
    <row r="23">
      <c r="A23" s="6" t="inlineStr">
        <is>
          <t>% Coverage - Total</t>
        </is>
      </c>
      <c r="B23" s="6" t="inlineStr">
        <is>
          <t>0.5%</t>
        </is>
      </c>
      <c r="C23" s="6" t="inlineStr">
        <is>
          <t>0.5%</t>
        </is>
      </c>
      <c r="D23" s="6" t="inlineStr">
        <is>
          <t>1.2%</t>
        </is>
      </c>
      <c r="E23" s="6" t="inlineStr">
        <is>
          <t>0.9%</t>
        </is>
      </c>
      <c r="F23" s="6" t="inlineStr">
        <is>
          <t>1.6%</t>
        </is>
      </c>
    </row>
    <row r="24">
      <c r="A24" s="6" t="inlineStr">
        <is>
          <t>NPL ratio (Stage 3 exposure / Total exposure after guarantee)</t>
        </is>
      </c>
      <c r="B24" s="6" t="inlineStr">
        <is>
          <t>3.09%</t>
        </is>
      </c>
      <c r="C24" s="6" t="inlineStr">
        <is>
          <t>3.50%</t>
        </is>
      </c>
      <c r="D24" s="6" t="inlineStr">
        <is>
          <t>3.86%</t>
        </is>
      </c>
      <c r="E24" s="6" t="inlineStr">
        <is>
          <t>2.72%</t>
        </is>
      </c>
      <c r="F24" s="6" t="inlineStr">
        <is>
          <t>3.23%</t>
        </is>
      </c>
    </row>
    <row r="26" ht="338" customHeight="1">
      <c r="A26" s="8" t="inlineStr">
        <is>
          <t>Sources - Group basis, 'Lending exposure and impairment provision, by stage and coverage' table:
FY2026: Starling Group Holdings Limited Annual Report and Accounts 2026, p.112 - https://www.starlingbank.com/docs/annual-reports/Starling-Group-Annual-Report-2026.pdf
FY2025 &amp; FY2024: Starling Bank Limited Annual Report and Accounts 2025, p.106 - https://www.starlingbank.com/docs/annual-reports/Starling-Bank-Annual-Report-2025.pdf
FY2023 &amp; FY2022: Starling Bank Limited Annual Report 2023, p.69-70 - https://www.starlingbank.com/docs/annual-reports/Starling-Bank-Annual-Report-2023.pdf
FY2021: not disclosed at this granularity - Starling Bank Limited's Annual Report and Consolidated Financial Statements for the period ended 31 March 2021 does not include a lending-exposure-by-IFRS-9-stage table (this disclosure was introduced from the FY2022 Annual Report onward); only an aggregate impairment-provision-sensitivity figure (£17,256k, Retail + SME + undrawn overdrafts) is disclosed for FY2021, which is not on a comparable 'exposure after guarantee, all products' basis - confirmed non-disclosure at this granularity, not an access gap.
NPL ratio is derived (Stage 3 exposure after guarantee / Total exposure after guarantee); not itself a disclosed figure.
ENTITY NOTE: Starling Bank Limited (Companies House 09092149) is the entity on the PRA register and is used, on a consolidated Group basis, for FY2021-FY2025 - each year's own Annual Report and Consolidated Financial Statements. FY2021 (marked †) is a 16-month period (1 December 2019 - 31 March 2021), Starling's first period reporting to a 31 March year end - not directly run-rate comparable to the other years.
FY2026 (marked ‡, added as a bonus column beyond the standard 5-year window) is different: in June 2025 a new non-trading holding company, Starling Group Holdings Limited (SGHL), was inserted as ultimate parent of Starling Bank Limited (SBL), with an intermediate holding company (SIHL) added in September 2025. From FY2026, SBL's own Companies House filing is presented on an unconsolidated solo/Company basis only (SBL's own wording: 'the Company' = Starling Bank Limited; consolidated 'Group' figures are now published separately as SGHL's own Annual Report). To keep this column comparable to FY2021-FY2025's consolidated basis, FY2026 cash flow figures here are SGHL's consolidated Group figures (from the new SGHL Annual Report), not SBL's own solo filing. The SGHL accounting consolidation for FY2026 additionally includes Murmur Financial Services Limited, Fleet Mortgages Limited and Engine by Starling Limited alongside SBL and its own ancillary undertakings (Starling FS Services Limited, and Ember by Starling Limited, acquired during FY2026) - a broader scope than SBL's own historical Group accounts. Pillar 3 (prudential) figures for FY2026 are on the narrower 'Regulatory Group' basis (SGHL, SIHL, SBL, SFSSL and Ember only - Murmur/Fleet Mortgages/Engine fall below CRR Article 19 materiality thresholds); cross-checking confirms this made no difference to the FY2025 capital figures, so Pillar 3 continuity FY2021-FY2026 is unaffected by the restructuring. FY2019-FY2017 are covered by Starling's official investor archive, each from its OWN edition: FY2019 in the 2018-19 report (year ended 30 November 2019), FY2018 in the 2017-18 report, and FY2017 in the 2016-17 report. Older columns retain blanks where the historical filing used a materially different presentation and no reliable like-for-like line exists.
FY2020 HAS NO REPORTING DATE AT ALL - THERE IS NO STARLING BALANCE SHEET TO FIND (established 2026-09-18, see the Balance Sheet source note for the documents read). Starling changed its accounting reference date from 30 November to 31 March, so the twelve months to 30 November 2020 fall INSIDE the 16-month period 1 December 2019 - 31 March 2021 and were never themselves a financial year. No statement of financial position was ever drawn up at any date in the FY2020 slot - not by the Group, not in a Pillar 3, and not at Companies House. This is a sourced negative about the calendar, not a gap in the search.</t>
        </is>
      </c>
    </row>
  </sheetData>
  <mergeCells count="1">
    <mergeCell ref="A26:F2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Starling Bank Limited — KM1 Key Metrics</t>
        </is>
      </c>
    </row>
    <row r="2">
      <c r="A2" s="2" t="inlineStr">
        <is>
          <t>Starling's own published key-metrics template (its section 4.1), reproduced whole in the bank's row order, labels and printed precision. Starling prints the template UNNUMBERED and never uses the string 'KM1', so no row numbers have been added - it is the template on the row-set test. Amounts in £'000, ratios as printed. FY2026-FY2022 come from their own editions; FY2021 is the FY2022 edition's comparative column (that year's own report pre-dates the template). FY2026 is the SGHL Regulatory Group basis - see the source note. FY2020-FY2017 are not shown at all: Starling published no Pillar 3 report for those years, so those columns are omitted rather than printed empty.</t>
        </is>
      </c>
    </row>
    <row r="3">
      <c r="A3" s="4" t="inlineStr">
        <is>
          <t>Line item</t>
        </is>
      </c>
      <c r="B3" s="4" t="inlineStr">
        <is>
          <t>FY2026 (SGHL)‡</t>
        </is>
      </c>
      <c r="C3" s="4" t="inlineStr">
        <is>
          <t>FY2025</t>
        </is>
      </c>
      <c r="D3" s="4" t="inlineStr">
        <is>
          <t>FY2024</t>
        </is>
      </c>
      <c r="E3" s="4" t="inlineStr">
        <is>
          <t>FY2023</t>
        </is>
      </c>
      <c r="F3" s="4" t="inlineStr">
        <is>
          <t>FY2022</t>
        </is>
      </c>
      <c r="G3" s="4" t="inlineStr">
        <is>
          <t>FY2021†</t>
        </is>
      </c>
    </row>
    <row r="4">
      <c r="A4" s="5" t="inlineStr">
        <is>
          <t>Available own funds (amounts)</t>
        </is>
      </c>
      <c r="B4" s="6" t="n"/>
      <c r="C4" s="6" t="n"/>
      <c r="D4" s="6" t="n"/>
      <c r="E4" s="6" t="n"/>
      <c r="F4" s="6" t="n"/>
      <c r="G4" s="6" t="n"/>
    </row>
    <row r="5">
      <c r="A5" s="6" t="inlineStr">
        <is>
          <t>Common Equity Tier 1 (CET1) capital (£'000)</t>
        </is>
      </c>
      <c r="B5" s="6" t="n">
        <v>1123255</v>
      </c>
      <c r="C5" s="6" t="n">
        <v>1000231</v>
      </c>
      <c r="D5" s="6" t="n">
        <v>870769</v>
      </c>
      <c r="E5" s="6" t="n">
        <v>710614</v>
      </c>
      <c r="F5" s="6" t="n">
        <v>397502</v>
      </c>
      <c r="G5" s="6" t="n">
        <v>136769</v>
      </c>
    </row>
    <row r="6">
      <c r="A6" s="6" t="inlineStr">
        <is>
          <t>Tier 1 capital (£'000)</t>
        </is>
      </c>
      <c r="B6" s="6" t="n">
        <v>1123255</v>
      </c>
      <c r="C6" s="6" t="n">
        <v>1000231</v>
      </c>
      <c r="D6" s="6" t="n">
        <v>870769</v>
      </c>
      <c r="E6" s="6" t="n">
        <v>710614</v>
      </c>
      <c r="F6" s="6" t="n">
        <v>397502</v>
      </c>
      <c r="G6" s="6" t="n">
        <v>136769</v>
      </c>
    </row>
    <row r="7">
      <c r="A7" s="6" t="inlineStr">
        <is>
          <t>Total capital (£'000)</t>
        </is>
      </c>
      <c r="B7" s="6" t="n">
        <v>1123255</v>
      </c>
      <c r="C7" s="6" t="n">
        <v>1000231</v>
      </c>
      <c r="D7" s="6" t="n">
        <v>870769</v>
      </c>
      <c r="E7" s="6" t="n">
        <v>710614</v>
      </c>
      <c r="F7" s="6" t="n">
        <v>397502</v>
      </c>
      <c r="G7" s="6" t="n">
        <v>136769</v>
      </c>
    </row>
    <row r="8">
      <c r="A8" s="5" t="inlineStr">
        <is>
          <t>Risk-weighted exposure amounts</t>
        </is>
      </c>
      <c r="B8" s="6" t="n"/>
      <c r="C8" s="6" t="n"/>
      <c r="D8" s="6" t="n"/>
      <c r="E8" s="6" t="n"/>
      <c r="F8" s="6" t="n"/>
      <c r="G8" s="6" t="n"/>
    </row>
    <row r="9">
      <c r="A9" s="6" t="inlineStr">
        <is>
          <t>Total risk-weighted exposure amount (£'000)</t>
        </is>
      </c>
      <c r="B9" s="6" t="n">
        <v>3930308</v>
      </c>
      <c r="C9" s="6" t="n">
        <v>3170032</v>
      </c>
      <c r="D9" s="6" t="n">
        <v>2675477</v>
      </c>
      <c r="E9" s="6" t="n">
        <v>1894758</v>
      </c>
      <c r="F9" s="6" t="n">
        <v>994828</v>
      </c>
      <c r="G9" s="6" t="n">
        <v>285689</v>
      </c>
    </row>
    <row r="10">
      <c r="A10" s="5" t="inlineStr">
        <is>
          <t>Capital ratios (as a percentage of risk-weighted exposure amount)</t>
        </is>
      </c>
      <c r="B10" s="6" t="n"/>
      <c r="C10" s="6" t="n"/>
      <c r="D10" s="6" t="n"/>
      <c r="E10" s="6" t="n"/>
      <c r="F10" s="6" t="n"/>
      <c r="G10" s="6" t="n"/>
    </row>
    <row r="11">
      <c r="A11" s="6" t="inlineStr">
        <is>
          <t>Common Equity Tier 1 ratio (%)</t>
        </is>
      </c>
      <c r="B11" s="6" t="inlineStr">
        <is>
          <t>28.58 %</t>
        </is>
      </c>
      <c r="C11" s="6" t="inlineStr">
        <is>
          <t>31.55%</t>
        </is>
      </c>
      <c r="D11" s="6" t="inlineStr">
        <is>
          <t>32.55%</t>
        </is>
      </c>
      <c r="E11" s="6" t="inlineStr">
        <is>
          <t>37.50%</t>
        </is>
      </c>
      <c r="F11" s="6" t="inlineStr">
        <is>
          <t>39.96%</t>
        </is>
      </c>
      <c r="G11" s="6" t="inlineStr">
        <is>
          <t>47.90%</t>
        </is>
      </c>
    </row>
    <row r="12">
      <c r="A12" s="6" t="inlineStr">
        <is>
          <t>Tier 1 ratio (%)</t>
        </is>
      </c>
      <c r="B12" s="6" t="inlineStr">
        <is>
          <t>28.58 %</t>
        </is>
      </c>
      <c r="C12" s="6" t="inlineStr">
        <is>
          <t>31.55%</t>
        </is>
      </c>
      <c r="D12" s="6" t="inlineStr">
        <is>
          <t>32.55%</t>
        </is>
      </c>
      <c r="E12" s="6" t="inlineStr">
        <is>
          <t>37.50%</t>
        </is>
      </c>
      <c r="F12" s="6" t="inlineStr">
        <is>
          <t>39.96%</t>
        </is>
      </c>
      <c r="G12" s="6" t="inlineStr">
        <is>
          <t>47.90%</t>
        </is>
      </c>
    </row>
    <row r="13">
      <c r="A13" s="6" t="inlineStr">
        <is>
          <t>Total capital ratio (%)</t>
        </is>
      </c>
      <c r="B13" s="6" t="inlineStr">
        <is>
          <t>28.58 %</t>
        </is>
      </c>
      <c r="C13" s="6" t="inlineStr">
        <is>
          <t>31.55%</t>
        </is>
      </c>
      <c r="D13" s="6" t="inlineStr">
        <is>
          <t>32.55%</t>
        </is>
      </c>
      <c r="E13" s="6" t="inlineStr">
        <is>
          <t>37.50%</t>
        </is>
      </c>
      <c r="F13" s="6" t="inlineStr">
        <is>
          <t>39.96%</t>
        </is>
      </c>
      <c r="G13" s="6" t="inlineStr">
        <is>
          <t>47.90%</t>
        </is>
      </c>
    </row>
    <row r="14">
      <c r="A14" s="5" t="inlineStr">
        <is>
          <t>Additional own funds requirements based on SREP (as a percentage of risk-weighted exposure amount)</t>
        </is>
      </c>
      <c r="B14" s="6" t="n"/>
      <c r="C14" s="6" t="n"/>
      <c r="D14" s="6" t="n"/>
      <c r="E14" s="6" t="n"/>
      <c r="F14" s="6" t="n"/>
      <c r="G14" s="6" t="n"/>
    </row>
    <row r="15">
      <c r="A15" s="6" t="inlineStr">
        <is>
          <t>Additional CET1 SREP requirements (%)</t>
        </is>
      </c>
      <c r="B15" s="6" t="inlineStr">
        <is>
          <t>1.40 %</t>
        </is>
      </c>
      <c r="C15" s="6" t="inlineStr">
        <is>
          <t>2.94%</t>
        </is>
      </c>
      <c r="D15" s="6" t="inlineStr">
        <is>
          <t>2.94%</t>
        </is>
      </c>
      <c r="E15" s="6" t="inlineStr">
        <is>
          <t>2.94%</t>
        </is>
      </c>
      <c r="F15" s="6" t="inlineStr">
        <is>
          <t>0%</t>
        </is>
      </c>
      <c r="G15" s="6" t="inlineStr">
        <is>
          <t>5.33%</t>
        </is>
      </c>
    </row>
    <row r="16">
      <c r="A16" s="6" t="inlineStr">
        <is>
          <t>Additional AT1 SREP requirements (%)</t>
        </is>
      </c>
      <c r="B16" s="6" t="inlineStr">
        <is>
          <t>0.46 %</t>
        </is>
      </c>
      <c r="C16" s="6" t="inlineStr">
        <is>
          <t>0.97%</t>
        </is>
      </c>
      <c r="D16" s="6" t="inlineStr">
        <is>
          <t>0.97%</t>
        </is>
      </c>
      <c r="E16" s="6" t="inlineStr">
        <is>
          <t>0.97%</t>
        </is>
      </c>
      <c r="F16" s="6" t="inlineStr">
        <is>
          <t>0%</t>
        </is>
      </c>
      <c r="G16" s="6" t="inlineStr">
        <is>
          <t>1.78%</t>
        </is>
      </c>
    </row>
    <row r="17">
      <c r="A17" s="6" t="inlineStr">
        <is>
          <t>Additional T2 SREP requirements (%)</t>
        </is>
      </c>
      <c r="B17" s="6" t="inlineStr">
        <is>
          <t>0.62 %</t>
        </is>
      </c>
      <c r="C17" s="6" t="inlineStr">
        <is>
          <t>1.31%</t>
        </is>
      </c>
      <c r="D17" s="6" t="inlineStr">
        <is>
          <t>1.31%</t>
        </is>
      </c>
      <c r="E17" s="6" t="inlineStr">
        <is>
          <t>1.31%</t>
        </is>
      </c>
      <c r="F17" s="6" t="inlineStr">
        <is>
          <t>0%</t>
        </is>
      </c>
      <c r="G17" s="6" t="inlineStr">
        <is>
          <t>2.37%</t>
        </is>
      </c>
    </row>
    <row r="18">
      <c r="A18" s="6" t="inlineStr">
        <is>
          <t>Total SREP own funds requirements (%)</t>
        </is>
      </c>
      <c r="B18" s="6" t="inlineStr">
        <is>
          <t>10.48 %</t>
        </is>
      </c>
      <c r="C18" s="6" t="inlineStr">
        <is>
          <t>13.22%</t>
        </is>
      </c>
      <c r="D18" s="6" t="inlineStr">
        <is>
          <t>13.22%</t>
        </is>
      </c>
      <c r="E18" s="6" t="inlineStr">
        <is>
          <t>13.22%</t>
        </is>
      </c>
      <c r="F18" s="6" t="inlineStr">
        <is>
          <t>8.00%</t>
        </is>
      </c>
      <c r="G18" s="6" t="inlineStr">
        <is>
          <t>17.47%</t>
        </is>
      </c>
    </row>
    <row r="19">
      <c r="A19" s="5" t="inlineStr">
        <is>
          <t>Combined buffer requirement (as a percentage of risk-weighted exposure amount)</t>
        </is>
      </c>
      <c r="B19" s="6" t="n"/>
      <c r="C19" s="6" t="n"/>
      <c r="D19" s="6" t="n"/>
      <c r="E19" s="6" t="n"/>
      <c r="F19" s="6" t="n"/>
      <c r="G19" s="6" t="n"/>
    </row>
    <row r="20">
      <c r="A20" s="6" t="inlineStr">
        <is>
          <t>Capital conservation buffer (%)</t>
        </is>
      </c>
      <c r="B20" s="6" t="inlineStr">
        <is>
          <t>2.50 %</t>
        </is>
      </c>
      <c r="C20" s="6" t="inlineStr">
        <is>
          <t>2.50%</t>
        </is>
      </c>
      <c r="D20" s="6" t="inlineStr">
        <is>
          <t>2.50%</t>
        </is>
      </c>
      <c r="E20" s="6" t="inlineStr">
        <is>
          <t>2.5%</t>
        </is>
      </c>
      <c r="F20" s="6" t="inlineStr">
        <is>
          <t>2.50%</t>
        </is>
      </c>
      <c r="G20" s="6" t="inlineStr">
        <is>
          <t>2.50%</t>
        </is>
      </c>
    </row>
    <row r="21">
      <c r="A21" s="6" t="inlineStr">
        <is>
          <t>Institution specific countercyclical capital buffer (%)</t>
        </is>
      </c>
      <c r="B21" s="6" t="inlineStr">
        <is>
          <t>2.00 %</t>
        </is>
      </c>
      <c r="C21" s="6" t="inlineStr">
        <is>
          <t>2.00%</t>
        </is>
      </c>
      <c r="D21" s="6" t="inlineStr">
        <is>
          <t>2.00%</t>
        </is>
      </c>
      <c r="E21" s="6" t="inlineStr">
        <is>
          <t>1%</t>
        </is>
      </c>
      <c r="F21" s="6" t="inlineStr">
        <is>
          <t>0%</t>
        </is>
      </c>
      <c r="G21" s="6" t="inlineStr">
        <is>
          <t>0%</t>
        </is>
      </c>
    </row>
    <row r="22">
      <c r="A22" s="6" t="inlineStr">
        <is>
          <t>Combined buffer requirement (%)</t>
        </is>
      </c>
      <c r="B22" s="6" t="inlineStr">
        <is>
          <t>4.50 %</t>
        </is>
      </c>
      <c r="C22" s="6" t="inlineStr">
        <is>
          <t>4.50%</t>
        </is>
      </c>
      <c r="D22" s="6" t="inlineStr">
        <is>
          <t>4.50%</t>
        </is>
      </c>
      <c r="E22" s="6" t="inlineStr">
        <is>
          <t>3.50%</t>
        </is>
      </c>
      <c r="F22" s="6" t="inlineStr">
        <is>
          <t>2.50%</t>
        </is>
      </c>
      <c r="G22" s="6" t="inlineStr">
        <is>
          <t>2.50%</t>
        </is>
      </c>
    </row>
    <row r="23">
      <c r="A23" s="6" t="inlineStr">
        <is>
          <t>Overall capital requirements (%)</t>
        </is>
      </c>
      <c r="B23" s="6" t="inlineStr">
        <is>
          <t>14.98 %</t>
        </is>
      </c>
      <c r="C23" s="6" t="inlineStr">
        <is>
          <t>17.72%</t>
        </is>
      </c>
      <c r="D23" s="6" t="inlineStr">
        <is>
          <t>17.72%</t>
        </is>
      </c>
      <c r="E23" s="6" t="inlineStr">
        <is>
          <t>16.72%</t>
        </is>
      </c>
      <c r="F23" s="6" t="inlineStr">
        <is>
          <t>10.50%</t>
        </is>
      </c>
      <c r="G23" s="6" t="inlineStr">
        <is>
          <t>19.97%</t>
        </is>
      </c>
    </row>
    <row r="24">
      <c r="A24" s="6" t="inlineStr">
        <is>
          <t>CET1 available after meeting the total SREP own funds requirements (%)</t>
        </is>
      </c>
      <c r="B24" s="6" t="inlineStr">
        <is>
          <t>22.68 %</t>
        </is>
      </c>
      <c r="C24" s="6" t="inlineStr">
        <is>
          <t>24.12%</t>
        </is>
      </c>
      <c r="D24" s="6" t="inlineStr">
        <is>
          <t>25.11%</t>
        </is>
      </c>
      <c r="E24" s="6" t="inlineStr">
        <is>
          <t>30.07%</t>
        </is>
      </c>
      <c r="F24" s="6" t="n">
        <v>293045</v>
      </c>
      <c r="G24" s="6" t="n">
        <v>79716</v>
      </c>
    </row>
    <row r="25">
      <c r="A25" s="5" t="inlineStr">
        <is>
          <t>Leverage ratio</t>
        </is>
      </c>
      <c r="B25" s="6" t="n"/>
      <c r="C25" s="6" t="n"/>
      <c r="D25" s="6" t="n"/>
      <c r="E25" s="6" t="n"/>
      <c r="F25" s="6" t="n"/>
      <c r="G25" s="6" t="n"/>
    </row>
    <row r="26">
      <c r="A26" s="6" t="inlineStr">
        <is>
          <t>Total exposure measure excluding claims on central banks (£'000)</t>
        </is>
      </c>
      <c r="B26" s="6" t="n">
        <v>12608384</v>
      </c>
      <c r="C26" s="6" t="n">
        <v>8976790</v>
      </c>
      <c r="D26" s="6" t="n">
        <v>8383435</v>
      </c>
      <c r="E26" s="6" t="n">
        <v>7641617</v>
      </c>
      <c r="F26" s="6" t="n">
        <v>5063481</v>
      </c>
      <c r="G26" s="6" t="n">
        <v>2546904</v>
      </c>
    </row>
    <row r="27">
      <c r="A27" s="6" t="inlineStr">
        <is>
          <t>Leverage ratio excluding claims on central banks (%)</t>
        </is>
      </c>
      <c r="B27" s="6" t="inlineStr">
        <is>
          <t>8.91 %</t>
        </is>
      </c>
      <c r="C27" s="6" t="inlineStr">
        <is>
          <t>11.14%</t>
        </is>
      </c>
      <c r="D27" s="6" t="inlineStr">
        <is>
          <t>10.39%</t>
        </is>
      </c>
      <c r="E27" s="6" t="inlineStr">
        <is>
          <t>9.30%</t>
        </is>
      </c>
      <c r="F27" s="6" t="inlineStr">
        <is>
          <t>7.85%</t>
        </is>
      </c>
      <c r="G27" s="6" t="inlineStr">
        <is>
          <t>5.37%</t>
        </is>
      </c>
    </row>
    <row r="28">
      <c r="A28" s="5" t="inlineStr">
        <is>
          <t>Liquidity Coverage Ratio</t>
        </is>
      </c>
      <c r="B28" s="6" t="n"/>
      <c r="C28" s="6" t="n"/>
      <c r="D28" s="6" t="n"/>
      <c r="E28" s="6" t="n"/>
      <c r="F28" s="6" t="n"/>
      <c r="G28" s="6" t="n"/>
    </row>
    <row r="29">
      <c r="A29" s="6" t="inlineStr">
        <is>
          <t>Total HQLA (average weighted value) (£'000)</t>
        </is>
      </c>
      <c r="B29" s="6" t="n">
        <v>7038393</v>
      </c>
      <c r="C29" s="6" t="n">
        <v>6812037</v>
      </c>
      <c r="D29" s="6" t="n">
        <v>6510731</v>
      </c>
      <c r="E29" s="6" t="n">
        <v>6413925</v>
      </c>
      <c r="F29" s="6" t="n">
        <v>5128346</v>
      </c>
      <c r="G29" s="6" t="n">
        <v>2402238</v>
      </c>
    </row>
    <row r="30">
      <c r="A30" s="6" t="inlineStr">
        <is>
          <t>Cash outflows (total weighted value) (£'000)</t>
        </is>
      </c>
      <c r="B30" s="6" t="n">
        <v>1326072</v>
      </c>
      <c r="C30" s="6" t="n">
        <v>1477094</v>
      </c>
      <c r="D30" s="6" t="n">
        <v>1891560</v>
      </c>
      <c r="E30" s="6" t="n">
        <v>1711200</v>
      </c>
      <c r="F30" s="6" t="n">
        <v>1211430</v>
      </c>
      <c r="G30" s="6" t="n">
        <v>531222</v>
      </c>
    </row>
    <row r="31">
      <c r="A31" s="6" t="inlineStr">
        <is>
          <t>Cash inflows (total weighted value) (£'000)</t>
        </is>
      </c>
      <c r="B31" s="6" t="n">
        <v>89112</v>
      </c>
      <c r="C31" s="6" t="n">
        <v>156237</v>
      </c>
      <c r="D31" s="6" t="n">
        <v>446533</v>
      </c>
      <c r="E31" s="6" t="n">
        <v>311926</v>
      </c>
      <c r="F31" s="6" t="n">
        <v>209396</v>
      </c>
      <c r="G31" s="6" t="n">
        <v>41655</v>
      </c>
    </row>
    <row r="32">
      <c r="A32" s="6" t="inlineStr">
        <is>
          <t>Total net cash outflows (adjusted value) (£'000)</t>
        </is>
      </c>
      <c r="B32" s="6" t="n">
        <v>1236960</v>
      </c>
      <c r="C32" s="6" t="n">
        <v>1320857</v>
      </c>
      <c r="D32" s="6" t="n">
        <v>1445027</v>
      </c>
      <c r="E32" s="6" t="n">
        <v>1399274</v>
      </c>
      <c r="F32" s="6" t="n">
        <v>1002034</v>
      </c>
      <c r="G32" s="6" t="n">
        <v>489567</v>
      </c>
    </row>
    <row r="33">
      <c r="A33" s="6" t="inlineStr">
        <is>
          <t>Liquidity Coverage Ratio (%)</t>
        </is>
      </c>
      <c r="B33" s="6" t="inlineStr">
        <is>
          <t>569.01 %</t>
        </is>
      </c>
      <c r="C33" s="6" t="inlineStr">
        <is>
          <t>515.73%</t>
        </is>
      </c>
      <c r="D33" s="6" t="inlineStr">
        <is>
          <t>450.56%</t>
        </is>
      </c>
      <c r="E33" s="6" t="inlineStr">
        <is>
          <t>460%</t>
        </is>
      </c>
      <c r="F33" s="6" t="inlineStr">
        <is>
          <t>515%</t>
        </is>
      </c>
      <c r="G33" s="6" t="inlineStr">
        <is>
          <t>522%</t>
        </is>
      </c>
    </row>
    <row r="34">
      <c r="A34" s="5" t="inlineStr">
        <is>
          <t>Net Stable Funding Ratio</t>
        </is>
      </c>
      <c r="B34" s="6" t="n"/>
      <c r="C34" s="6" t="n"/>
      <c r="D34" s="6" t="n"/>
      <c r="E34" s="6" t="n"/>
      <c r="F34" s="6" t="n"/>
      <c r="G34" s="6" t="n"/>
    </row>
    <row r="35">
      <c r="A35" s="6" t="inlineStr">
        <is>
          <t>Total available stable funding (£'000)</t>
        </is>
      </c>
      <c r="B35" s="6" t="n">
        <v>14206855</v>
      </c>
      <c r="C35" s="6" t="n">
        <v>13448876</v>
      </c>
      <c r="D35" s="6" t="n">
        <v>12578157</v>
      </c>
      <c r="E35" s="6" t="n">
        <v>11944952</v>
      </c>
      <c r="F35" s="6" t="n">
        <v>10660584</v>
      </c>
      <c r="G35" s="6" t="n"/>
    </row>
    <row r="36">
      <c r="A36" s="6" t="inlineStr">
        <is>
          <t>Total required stable funding (£'000)</t>
        </is>
      </c>
      <c r="B36" s="6" t="n">
        <v>5754691</v>
      </c>
      <c r="C36" s="6" t="n">
        <v>5555204</v>
      </c>
      <c r="D36" s="6" t="n">
        <v>5646537</v>
      </c>
      <c r="E36" s="6" t="n">
        <v>4870012</v>
      </c>
      <c r="F36" s="6" t="n">
        <v>4088546</v>
      </c>
      <c r="G36" s="6" t="n"/>
    </row>
    <row r="37">
      <c r="A37" s="6" t="inlineStr">
        <is>
          <t>Net stable funding ratio (%)</t>
        </is>
      </c>
      <c r="B37" s="6" t="inlineStr">
        <is>
          <t>246.87 %</t>
        </is>
      </c>
      <c r="C37" s="6" t="inlineStr">
        <is>
          <t>242.10%</t>
        </is>
      </c>
      <c r="D37" s="6" t="inlineStr">
        <is>
          <t>222.76%</t>
        </is>
      </c>
      <c r="E37" s="6" t="inlineStr">
        <is>
          <t>245%</t>
        </is>
      </c>
      <c r="F37" s="6" t="inlineStr">
        <is>
          <t>261%</t>
        </is>
      </c>
      <c r="G37" s="6" t="n"/>
    </row>
    <row r="39" ht="409" customHeight="1">
      <c r="A39" s="8" t="inlineStr">
        <is>
          <t>Sources - Starling's own key-metrics template (section 4.1 Key metrics), £'000 and % as printed:
FY2026: Starling Group Pillar 3 report 2026, as at 31 March 2026, p.22-23 - https://www.starlingbank.com/docs/annual-reports/Pillar3-2026.pdf
FY2025: Starling Bank Limited Pillar 3 report 2025, as at 31 March 2025, p.22-23 - https://www.starlingbank.com/docs/annual-reports/Pillar3-2025.pdf
FY2024: Starling Bank Limited Pillar 3 report 2024, as at 31 March 2024, p.23-24 - https://www.starlingbank.com/docs/annual-reports/Pillar3-2024.pdf
FY2023: Starling Bank Limited Pillar 3 Report 2023, as at 31 March 2023, p.21 - https://www.starlingbank.com/docs/annual-reports/Pillar3-2023.pdf
FY2022: Starling Bank Ltd Pillar 3 Report 2022, as at 31 March 2022, p.19 - https://www.starlingbank.com/docs/annual-reports/Pillar3-2022.pdf
FY2021: the FY2022 report's 31 March 2021 comparative column, p.19 - https://www.starlingbank.com/docs/annual-reports/Pillar3-2022.pdf
LATEST-EDITION CHECK, 2026-09-17: starlingbank.com's investor page refuses this project's automated fetcher (HTTP 403 with a bot-protection HTML body) - that is a statement about our reach, NOT about what Starling has published, so it is recorded as blocked rather than as an absence. The documents themselves fetch normally with a browser user-agent, and were probed directly: Pillar3-2026.pdf returns a 12MB file with %PDF magic bytes (year ended 31 March 2026, the newest edition and already held here); Pillar3-2027.pdf does not exist, and is not due. Checked, none newer.
WHY THIS IS THE KM1 TEMPLATE EVEN THOUGH IT SAYS 'KEY METRICS'. Starling never writes 'KM1' and never prints the template's row numbers. The test applied here is the ROW SET, not the title or the numbering: the table carries own funds, risk-weighted exposure amounts, the three capital ratios, the four SREP rows, the combined-buffer block, the leverage block and the full LCR and NSFR blocks, in template order. Row numbers have deliberately NOT been added, because the bank did not print them.
ENTITY: FY2026 is Starling Group Holdings Limited's Regulatory Group (SGHL, SIHL, SBL, SFSSL and Ember), the basis on which prudential figures are now published following the June 2025 group restructuring - the same basis as this workbook's other FY2026 Pillar 3 columns, and the reason the FY2026 header carries the SGHL marker. FY2025-FY2021 are Starling Bank Limited. See the entity note on the Cash Flow Statement sheet; Starling's own cross-check confirmed the restructuring made no difference to the FY2025 capital figures, so the series is continuous.
WHY FY2021 IS FILLED FROM THE FY2022 EDITION: the Pillar 3 Disclosures for 31 March 2021 pre-date the template and print no key-metrics table at all - capital resources, leverage and liquidity appear in three separate bespoke sections (5, 5.2 and 12). The FY2022 report prints a full 31 March 2021 comparative column, which is the only place this table exists for that date, so the FY2021 column here is that comparative and is labelled as such.
SOURCE DEFECT, REPRODUCED NOT CORRECTED: in the FY2022 edition the row 'CET1 available after meeting the total SREP own funds requirements (%)' is captioned as a percentage but printed as a £'000 AMOUNT - 293,045 for 2022 and 79,716 for 2021. The FY2023 edition prints the same two dates as 30.07% and 29.46%. Both columns here are the FY2022 edition's own figures, as published; the later edition's percentages have not been substituted, and the amounts have not been converted into percentages.
CROSS-EDITION DIFFERENCES WORTH KNOWING (each year is its own edition's figure):
- FY2023 CET1/Tier 1/Total capital read 710,614 in the FY2023 edition and 710,616 in the FY2024 edition's comparative. The FY2023 edition's own figure is used, as it is on the metric sheets.</t>
        </is>
      </c>
    </row>
    <row r="41" ht="409" customHeight="1">
      <c r="A41" s="8" t="inlineStr">
        <is>
          <t>(continued)
- FY2021's LCR reads 522% in the FY2022 edition's comparative (used here) against 506% in the FY2021 edition's own liquidity section (used on the LCR metric sheet, since that is the figure Starling published for the year at the time). The same pair of editions differ on the FY2021 HQLA and net-outflow amounts (2,402,238 / 489,567 here against 3,410,070 / 674,460 on the metric sheet). This is a genuine restatement between two Starling documents, not a transcription difference, and neither figure has been altered to match the other.
- FY2023's LCR and NSFR are printed to whole percents in their own edition ('460%', '245%') and to two decimals in the FY2024 edition's comparative. The bank's own precision for the year is kept.
PRINTED-FORM NOTE: the FY2026 edition puts a space before the per-cent sign ('28.58 %') where earlier editions do not ('31.55%'). Reproduced as published.
ROWS 1, 2 AND 3 ARE EQUAL IN EVERY YEAR, AND THAT IS WHAT STARLING PRINTS. CET1 capital, Tier 1 capital and Total capital carry the same figure in all six columns because Starling has no Additional Tier 1 and no Tier 2 instruments in issue, so CET1 = Tier 1 = Total capital by construction. Confirmed against the FY2026 report twice over on 18 September 2026: section 4.1 prints all three rows as 1,123,255 (2026) and 1,000,231 (2025), and the same document's UK CC1 composition-of-own-funds table independently prints 'Tier 1 capital (T1 = CET1 + AT1)' and 'Total capital (TC = T1 + T2)' at 1,123,255 as well. The bank's own ratio rows agree: 1,123,255 / 3,930,308 = 28.58%, which is what rows 5, 6 and 7 all print. This is recorded because an identical triple otherwise looks like one value copied into three slots.
YEAR COLUMNS SHOWN: this sheet carries FY2026-FY2021 only. FY2020, FY2019, FY2018 and FY2017 are omitted from the header rather than shown as empty columns, because Starling published no Pillar 3 report at all for those years and so has no key-metrics table on any basis - there is nothing for a column to be empty OF. The other sheets in this workbook still carry those years.
ROWS LEFT BLANK: FY2021's three NSFR rows are printed as 'n/a' in the FY2022 edition, with its own footnote explaining that 'NSFR is a new requirement introduced in 2022 as part of CRR 2, thus the Bank does not provide comparative information for the prior period'. FY2020-FY2017 are blank because Starling published no Pillar 3 report for those years at all - its series begins with the 31 March 2021 document.</t>
        </is>
      </c>
    </row>
  </sheetData>
  <mergeCells count="2">
    <mergeCell ref="A41:G41"/>
    <mergeCell ref="A39:G3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Starling Bank Limited — CET1 Capital</t>
        </is>
      </c>
    </row>
    <row r="2">
      <c r="A2" s="2" t="inlineStr">
        <is>
          <t>£'000</t>
        </is>
      </c>
    </row>
    <row r="3">
      <c r="A3" s="4" t="inlineStr">
        <is>
          <t>Metric</t>
        </is>
      </c>
      <c r="B3" s="4" t="inlineStr">
        <is>
          <t>FY2026 (SGHL)‡</t>
        </is>
      </c>
      <c r="C3" s="4" t="inlineStr">
        <is>
          <t>FY2025</t>
        </is>
      </c>
      <c r="D3" s="4" t="inlineStr">
        <is>
          <t>FY2024</t>
        </is>
      </c>
      <c r="E3" s="4" t="inlineStr">
        <is>
          <t>FY2023</t>
        </is>
      </c>
      <c r="F3" s="4" t="inlineStr">
        <is>
          <t>FY2022</t>
        </is>
      </c>
      <c r="G3" s="4" t="inlineStr">
        <is>
          <t>FY2021†</t>
        </is>
      </c>
    </row>
    <row r="4">
      <c r="A4" s="6" t="inlineStr">
        <is>
          <t>Common Equity Tier 1 (CET1) capital</t>
        </is>
      </c>
      <c r="B4" s="6" t="n">
        <v>1123255</v>
      </c>
      <c r="C4" s="6" t="n">
        <v>1000231</v>
      </c>
      <c r="D4" s="6" t="n">
        <v>870769</v>
      </c>
      <c r="E4" s="6" t="n">
        <v>710614</v>
      </c>
      <c r="F4" s="6" t="n">
        <v>397502</v>
      </c>
      <c r="G4" s="6" t="n">
        <v>136769</v>
      </c>
    </row>
    <row r="6" ht="150" customHeight="1">
      <c r="A6" s="8" t="inlineStr">
        <is>
          <t>Sources - Starling Bank Limited Pillar 3 basis (Regulatory Group basis for FY2026 - see entity note on Cash Flow Statement sheet):
FY2026: Starling Group Pillar 3 report 2026, as at 31 March 2026, section 4.1 Key metrics, p.22-23 - https://www.starlingbank.com/docs/annual-reports/Pillar3-2026.pdf
FY2025: Starling Bank Limited Pillar 3 report 2025, as at 31 March 2025, section 4.1 Key metrics, p.22-23 - https://www.starlingbank.com/docs/annual-reports/Pillar3-2025.pdf
FY2024: Starling Bank Limited Pillar 3 report 2024, as at 31 March 2024, section 4.1 Key metrics, p.22-23 - https://www.starlingbank.com/docs/annual-reports/Pillar3-2024.pdf
FY2023: Starling Bank Limited Pillar 3 Report 2023, as at 31 March 2023, section 4.1 Key Metrics, p.21 - https://www.starlingbank.com/docs/annual-reports/Pillar3-2023.pdf
FY2022: Starling Bank Ltd Pillar 3 Report 2022, as at 31 March 2022 (FY2023 report's comparator column), p.21 - https://www.starlingbank.com/docs/annual-reports/Pillar3-2022.pdf
FY2021: Starling Bank Limited Pillar 3 Disclosures, as at 31 March 2021, sections 5 (Capital Resources), 5.2 (Leverage Ratio) and 12 (Liquidity), p.19-23 - https://www.starlingbank.com/docs/annual-reports/Pillar3-2021.pdf (pre-dates the formal KM1 template)</t>
        </is>
      </c>
    </row>
  </sheetData>
  <mergeCells count="1">
    <mergeCell ref="A6:G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Starling Bank Limited — CET1 Ratio</t>
        </is>
      </c>
    </row>
    <row r="2">
      <c r="A2" s="2" t="inlineStr">
        <is>
          <t>% of RWA</t>
        </is>
      </c>
    </row>
    <row r="3">
      <c r="A3" s="4" t="inlineStr">
        <is>
          <t>Metric</t>
        </is>
      </c>
      <c r="B3" s="4" t="inlineStr">
        <is>
          <t>FY2026 (SGHL)‡</t>
        </is>
      </c>
      <c r="C3" s="4" t="inlineStr">
        <is>
          <t>FY2025</t>
        </is>
      </c>
      <c r="D3" s="4" t="inlineStr">
        <is>
          <t>FY2024</t>
        </is>
      </c>
      <c r="E3" s="4" t="inlineStr">
        <is>
          <t>FY2023</t>
        </is>
      </c>
      <c r="F3" s="4" t="inlineStr">
        <is>
          <t>FY2022</t>
        </is>
      </c>
      <c r="G3" s="4" t="inlineStr">
        <is>
          <t>FY2021†</t>
        </is>
      </c>
    </row>
    <row r="4">
      <c r="A4" s="6" t="inlineStr">
        <is>
          <t>Common Equity Tier 1 (CET1) ratio</t>
        </is>
      </c>
      <c r="B4" s="6" t="inlineStr">
        <is>
          <t>28.58%</t>
        </is>
      </c>
      <c r="C4" s="6" t="inlineStr">
        <is>
          <t>31.55%</t>
        </is>
      </c>
      <c r="D4" s="6" t="inlineStr">
        <is>
          <t>32.55%</t>
        </is>
      </c>
      <c r="E4" s="6" t="inlineStr">
        <is>
          <t>37.50%</t>
        </is>
      </c>
      <c r="F4" s="6" t="inlineStr">
        <is>
          <t>39.96%</t>
        </is>
      </c>
      <c r="G4" s="6" t="inlineStr">
        <is>
          <t>47.9%</t>
        </is>
      </c>
    </row>
    <row r="6" ht="150" customHeight="1">
      <c r="A6" s="8" t="inlineStr">
        <is>
          <t>Sources - Starling Bank Limited Pillar 3 basis (Regulatory Group basis for FY2026 - see entity note on Cash Flow Statement sheet):
FY2026: Starling Group Pillar 3 report 2026, as at 31 March 2026, section 4.1 Key metrics, p.22-23 - https://www.starlingbank.com/docs/annual-reports/Pillar3-2026.pdf
FY2025: Starling Bank Limited Pillar 3 report 2025, as at 31 March 2025, section 4.1 Key metrics, p.22-23 - https://www.starlingbank.com/docs/annual-reports/Pillar3-2025.pdf
FY2024: Starling Bank Limited Pillar 3 report 2024, as at 31 March 2024, section 4.1 Key metrics, p.22-23 - https://www.starlingbank.com/docs/annual-reports/Pillar3-2024.pdf
FY2023: Starling Bank Limited Pillar 3 Report 2023, as at 31 March 2023, section 4.1 Key Metrics, p.21 - https://www.starlingbank.com/docs/annual-reports/Pillar3-2023.pdf
FY2022: Starling Bank Ltd Pillar 3 Report 2022, as at 31 March 2022 (FY2023 report's comparator column), p.21 - https://www.starlingbank.com/docs/annual-reports/Pillar3-2022.pdf
FY2021: Starling Bank Limited Pillar 3 Disclosures, as at 31 March 2021, sections 5 (Capital Resources), 5.2 (Leverage Ratio) and 12 (Liquidity), p.19-23 - https://www.starlingbank.com/docs/annual-reports/Pillar3-2021.pdf (pre-dates the formal KM1 template)</t>
        </is>
      </c>
    </row>
  </sheetData>
  <mergeCells count="1">
    <mergeCell ref="A6:G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Starling Bank Limited — Tier 1 Capital</t>
        </is>
      </c>
    </row>
    <row r="2">
      <c r="A2" s="2" t="inlineStr">
        <is>
          <t>£'000</t>
        </is>
      </c>
    </row>
    <row r="3">
      <c r="A3" s="4" t="inlineStr">
        <is>
          <t>Metric</t>
        </is>
      </c>
      <c r="B3" s="4" t="inlineStr">
        <is>
          <t>FY2026 (SGHL)‡</t>
        </is>
      </c>
      <c r="C3" s="4" t="inlineStr">
        <is>
          <t>FY2025</t>
        </is>
      </c>
      <c r="D3" s="4" t="inlineStr">
        <is>
          <t>FY2024</t>
        </is>
      </c>
      <c r="E3" s="4" t="inlineStr">
        <is>
          <t>FY2023</t>
        </is>
      </c>
      <c r="F3" s="4" t="inlineStr">
        <is>
          <t>FY2022</t>
        </is>
      </c>
      <c r="G3" s="4" t="inlineStr">
        <is>
          <t>FY2021†</t>
        </is>
      </c>
    </row>
    <row r="4">
      <c r="A4" s="6" t="inlineStr">
        <is>
          <t>Tier 1 capital</t>
        </is>
      </c>
      <c r="B4" s="6" t="n">
        <v>1123255</v>
      </c>
      <c r="C4" s="6" t="n">
        <v>1000231</v>
      </c>
      <c r="D4" s="6" t="n">
        <v>870769</v>
      </c>
      <c r="E4" s="6" t="n">
        <v>710614</v>
      </c>
      <c r="F4" s="6" t="n">
        <v>397502</v>
      </c>
      <c r="G4" s="6" t="n">
        <v>136769</v>
      </c>
    </row>
    <row r="5" ht="30" customHeight="1">
      <c r="A5" s="7" t="inlineStr">
        <is>
          <t>Note: Equal to CET1 capital in every year - Starling has never issued Additional Tier 1 or Tier 2 capital ('All of Starling Bank's capital is Common Equity Tier 1 (CET1)' - FY2024 Pillar 3 report).</t>
        </is>
      </c>
    </row>
    <row r="7" ht="150" customHeight="1">
      <c r="A7" s="8" t="inlineStr">
        <is>
          <t>Sources - Starling Bank Limited Pillar 3 basis (Regulatory Group basis for FY2026 - see entity note on Cash Flow Statement sheet):
FY2026: Starling Group Pillar 3 report 2026, as at 31 March 2026, section 4.1 Key metrics, p.22-23 - https://www.starlingbank.com/docs/annual-reports/Pillar3-2026.pdf
FY2025: Starling Bank Limited Pillar 3 report 2025, as at 31 March 2025, section 4.1 Key metrics, p.22-23 - https://www.starlingbank.com/docs/annual-reports/Pillar3-2025.pdf
FY2024: Starling Bank Limited Pillar 3 report 2024, as at 31 March 2024, section 4.1 Key metrics, p.22-23 - https://www.starlingbank.com/docs/annual-reports/Pillar3-2024.pdf
FY2023: Starling Bank Limited Pillar 3 Report 2023, as at 31 March 2023, section 4.1 Key Metrics, p.21 - https://www.starlingbank.com/docs/annual-reports/Pillar3-2023.pdf
FY2022: Starling Bank Ltd Pillar 3 Report 2022, as at 31 March 2022 (FY2023 report's comparator column), p.21 - https://www.starlingbank.com/docs/annual-reports/Pillar3-2022.pdf
FY2021: Starling Bank Limited Pillar 3 Disclosures, as at 31 March 2021, sections 5 (Capital Resources), 5.2 (Leverage Ratio) and 12 (Liquidity), p.19-23 - https://www.starlingbank.com/docs/annual-reports/Pillar3-2021.pdf (pre-dates the formal KM1 template)</t>
        </is>
      </c>
    </row>
  </sheetData>
  <mergeCells count="2">
    <mergeCell ref="A7:G7"/>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Starling Bank Limited — Tier 1 Ratio</t>
        </is>
      </c>
    </row>
    <row r="2">
      <c r="A2" s="2" t="inlineStr">
        <is>
          <t>% of RWA</t>
        </is>
      </c>
    </row>
    <row r="3">
      <c r="A3" s="4" t="inlineStr">
        <is>
          <t>Metric</t>
        </is>
      </c>
      <c r="B3" s="4" t="inlineStr">
        <is>
          <t>FY2026 (SGHL)‡</t>
        </is>
      </c>
      <c r="C3" s="4" t="inlineStr">
        <is>
          <t>FY2025</t>
        </is>
      </c>
      <c r="D3" s="4" t="inlineStr">
        <is>
          <t>FY2024</t>
        </is>
      </c>
      <c r="E3" s="4" t="inlineStr">
        <is>
          <t>FY2023</t>
        </is>
      </c>
      <c r="F3" s="4" t="inlineStr">
        <is>
          <t>FY2022</t>
        </is>
      </c>
      <c r="G3" s="4" t="inlineStr">
        <is>
          <t>FY2021†</t>
        </is>
      </c>
    </row>
    <row r="4">
      <c r="A4" s="6" t="inlineStr">
        <is>
          <t>Tier 1 ratio</t>
        </is>
      </c>
      <c r="B4" s="6" t="inlineStr">
        <is>
          <t>28.58%</t>
        </is>
      </c>
      <c r="C4" s="6" t="inlineStr">
        <is>
          <t>31.55%</t>
        </is>
      </c>
      <c r="D4" s="6" t="inlineStr">
        <is>
          <t>32.55%</t>
        </is>
      </c>
      <c r="E4" s="6" t="inlineStr">
        <is>
          <t>37.50%</t>
        </is>
      </c>
      <c r="F4" s="6" t="inlineStr">
        <is>
          <t>39.96%</t>
        </is>
      </c>
      <c r="G4" s="6" t="inlineStr">
        <is>
          <t>47.9%</t>
        </is>
      </c>
    </row>
    <row r="6" ht="150" customHeight="1">
      <c r="A6" s="8" t="inlineStr">
        <is>
          <t>Sources - Starling Bank Limited Pillar 3 basis (Regulatory Group basis for FY2026 - see entity note on Cash Flow Statement sheet):
FY2026: Starling Group Pillar 3 report 2026, as at 31 March 2026, section 4.1 Key metrics, p.22-23 - https://www.starlingbank.com/docs/annual-reports/Pillar3-2026.pdf
FY2025: Starling Bank Limited Pillar 3 report 2025, as at 31 March 2025, section 4.1 Key metrics, p.22-23 - https://www.starlingbank.com/docs/annual-reports/Pillar3-2025.pdf
FY2024: Starling Bank Limited Pillar 3 report 2024, as at 31 March 2024, section 4.1 Key metrics, p.22-23 - https://www.starlingbank.com/docs/annual-reports/Pillar3-2024.pdf
FY2023: Starling Bank Limited Pillar 3 Report 2023, as at 31 March 2023, section 4.1 Key Metrics, p.21 - https://www.starlingbank.com/docs/annual-reports/Pillar3-2023.pdf
FY2022: Starling Bank Ltd Pillar 3 Report 2022, as at 31 March 2022 (FY2023 report's comparator column), p.21 - https://www.starlingbank.com/docs/annual-reports/Pillar3-2022.pdf
FY2021: Starling Bank Limited Pillar 3 Disclosures, as at 31 March 2021, sections 5 (Capital Resources), 5.2 (Leverage Ratio) and 12 (Liquidity), p.19-23 - https://www.starlingbank.com/docs/annual-reports/Pillar3-2021.pdf (pre-dates the formal KM1 template)</t>
        </is>
      </c>
    </row>
  </sheetData>
  <mergeCells count="1">
    <mergeCell ref="A6:G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Starling Bank Limited — Total Capital</t>
        </is>
      </c>
    </row>
    <row r="2">
      <c r="A2" s="2" t="inlineStr">
        <is>
          <t>£'000</t>
        </is>
      </c>
    </row>
    <row r="3">
      <c r="A3" s="4" t="inlineStr">
        <is>
          <t>Metric</t>
        </is>
      </c>
      <c r="B3" s="4" t="inlineStr">
        <is>
          <t>FY2026 (SGHL)‡</t>
        </is>
      </c>
      <c r="C3" s="4" t="inlineStr">
        <is>
          <t>FY2025</t>
        </is>
      </c>
      <c r="D3" s="4" t="inlineStr">
        <is>
          <t>FY2024</t>
        </is>
      </c>
      <c r="E3" s="4" t="inlineStr">
        <is>
          <t>FY2023</t>
        </is>
      </c>
      <c r="F3" s="4" t="inlineStr">
        <is>
          <t>FY2022</t>
        </is>
      </c>
      <c r="G3" s="4" t="inlineStr">
        <is>
          <t>FY2021†</t>
        </is>
      </c>
    </row>
    <row r="4">
      <c r="A4" s="6" t="inlineStr">
        <is>
          <t>Total capital</t>
        </is>
      </c>
      <c r="B4" s="6" t="n">
        <v>1123255</v>
      </c>
      <c r="C4" s="6" t="n">
        <v>1000231</v>
      </c>
      <c r="D4" s="6" t="n">
        <v>870769</v>
      </c>
      <c r="E4" s="6" t="n">
        <v>710614</v>
      </c>
      <c r="F4" s="6" t="n">
        <v>397502</v>
      </c>
      <c r="G4" s="6" t="n">
        <v>136769</v>
      </c>
    </row>
    <row r="6" ht="150" customHeight="1">
      <c r="A6" s="8" t="inlineStr">
        <is>
          <t>Sources - Starling Bank Limited Pillar 3 basis (Regulatory Group basis for FY2026 - see entity note on Cash Flow Statement sheet):
FY2026: Starling Group Pillar 3 report 2026, as at 31 March 2026, section 4.1 Key metrics, p.22-23 - https://www.starlingbank.com/docs/annual-reports/Pillar3-2026.pdf
FY2025: Starling Bank Limited Pillar 3 report 2025, as at 31 March 2025, section 4.1 Key metrics, p.22-23 - https://www.starlingbank.com/docs/annual-reports/Pillar3-2025.pdf
FY2024: Starling Bank Limited Pillar 3 report 2024, as at 31 March 2024, section 4.1 Key metrics, p.22-23 - https://www.starlingbank.com/docs/annual-reports/Pillar3-2024.pdf
FY2023: Starling Bank Limited Pillar 3 Report 2023, as at 31 March 2023, section 4.1 Key Metrics, p.21 - https://www.starlingbank.com/docs/annual-reports/Pillar3-2023.pdf
FY2022: Starling Bank Ltd Pillar 3 Report 2022, as at 31 March 2022 (FY2023 report's comparator column), p.21 - https://www.starlingbank.com/docs/annual-reports/Pillar3-2022.pdf
FY2021: Starling Bank Limited Pillar 3 Disclosures, as at 31 March 2021, sections 5 (Capital Resources), 5.2 (Leverage Ratio) and 12 (Liquidity), p.19-23 - https://www.starlingbank.com/docs/annual-reports/Pillar3-2021.pdf (pre-dates the formal KM1 template)</t>
        </is>
      </c>
    </row>
  </sheetData>
  <mergeCells count="1">
    <mergeCell ref="A6:G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Starling Bank Limited — Total Capital Ratio</t>
        </is>
      </c>
    </row>
    <row r="2">
      <c r="A2" s="2" t="inlineStr">
        <is>
          <t>% of RWA</t>
        </is>
      </c>
    </row>
    <row r="3">
      <c r="A3" s="4" t="inlineStr">
        <is>
          <t>Metric</t>
        </is>
      </c>
      <c r="B3" s="4" t="inlineStr">
        <is>
          <t>FY2026 (SGHL)‡</t>
        </is>
      </c>
      <c r="C3" s="4" t="inlineStr">
        <is>
          <t>FY2025</t>
        </is>
      </c>
      <c r="D3" s="4" t="inlineStr">
        <is>
          <t>FY2024</t>
        </is>
      </c>
      <c r="E3" s="4" t="inlineStr">
        <is>
          <t>FY2023</t>
        </is>
      </c>
      <c r="F3" s="4" t="inlineStr">
        <is>
          <t>FY2022</t>
        </is>
      </c>
      <c r="G3" s="4" t="inlineStr">
        <is>
          <t>FY2021†</t>
        </is>
      </c>
    </row>
    <row r="4">
      <c r="A4" s="6" t="inlineStr">
        <is>
          <t>Total capital ratio</t>
        </is>
      </c>
      <c r="B4" s="6" t="inlineStr">
        <is>
          <t>28.58%</t>
        </is>
      </c>
      <c r="C4" s="6" t="inlineStr">
        <is>
          <t>31.55%</t>
        </is>
      </c>
      <c r="D4" s="6" t="inlineStr">
        <is>
          <t>32.55%</t>
        </is>
      </c>
      <c r="E4" s="6" t="inlineStr">
        <is>
          <t>37.50%</t>
        </is>
      </c>
      <c r="F4" s="6" t="inlineStr">
        <is>
          <t>39.96%</t>
        </is>
      </c>
      <c r="G4" s="6" t="inlineStr">
        <is>
          <t>47.9%</t>
        </is>
      </c>
    </row>
    <row r="6" ht="150" customHeight="1">
      <c r="A6" s="8" t="inlineStr">
        <is>
          <t>Sources - Starling Bank Limited Pillar 3 basis (Regulatory Group basis for FY2026 - see entity note on Cash Flow Statement sheet):
FY2026: Starling Group Pillar 3 report 2026, as at 31 March 2026, section 4.1 Key metrics, p.22-23 - https://www.starlingbank.com/docs/annual-reports/Pillar3-2026.pdf
FY2025: Starling Bank Limited Pillar 3 report 2025, as at 31 March 2025, section 4.1 Key metrics, p.22-23 - https://www.starlingbank.com/docs/annual-reports/Pillar3-2025.pdf
FY2024: Starling Bank Limited Pillar 3 report 2024, as at 31 March 2024, section 4.1 Key metrics, p.22-23 - https://www.starlingbank.com/docs/annual-reports/Pillar3-2024.pdf
FY2023: Starling Bank Limited Pillar 3 Report 2023, as at 31 March 2023, section 4.1 Key Metrics, p.21 - https://www.starlingbank.com/docs/annual-reports/Pillar3-2023.pdf
FY2022: Starling Bank Ltd Pillar 3 Report 2022, as at 31 March 2022 (FY2023 report's comparator column), p.21 - https://www.starlingbank.com/docs/annual-reports/Pillar3-2022.pdf
FY2021: Starling Bank Limited Pillar 3 Disclosures, as at 31 March 2021, sections 5 (Capital Resources), 5.2 (Leverage Ratio) and 12 (Liquidity), p.19-23 - https://www.starlingbank.com/docs/annual-reports/Pillar3-2021.pdf (pre-dates the formal KM1 template)</t>
        </is>
      </c>
    </row>
  </sheetData>
  <mergeCells count="1">
    <mergeCell ref="A6:G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Starling Bank Limited — Total RWAs</t>
        </is>
      </c>
    </row>
    <row r="2">
      <c r="A2" s="2" t="inlineStr">
        <is>
          <t>£'000</t>
        </is>
      </c>
    </row>
    <row r="3">
      <c r="A3" s="4" t="inlineStr">
        <is>
          <t>Metric</t>
        </is>
      </c>
      <c r="B3" s="4" t="inlineStr">
        <is>
          <t>FY2026 (SGHL)‡</t>
        </is>
      </c>
      <c r="C3" s="4" t="inlineStr">
        <is>
          <t>FY2025</t>
        </is>
      </c>
      <c r="D3" s="4" t="inlineStr">
        <is>
          <t>FY2024</t>
        </is>
      </c>
      <c r="E3" s="4" t="inlineStr">
        <is>
          <t>FY2023</t>
        </is>
      </c>
      <c r="F3" s="4" t="inlineStr">
        <is>
          <t>FY2022</t>
        </is>
      </c>
      <c r="G3" s="4" t="inlineStr">
        <is>
          <t>FY2021†</t>
        </is>
      </c>
    </row>
    <row r="4">
      <c r="A4" s="6" t="inlineStr">
        <is>
          <t>Total risk-weighted exposure amount</t>
        </is>
      </c>
      <c r="B4" s="6" t="n">
        <v>3930308</v>
      </c>
      <c r="C4" s="6" t="n">
        <v>3170032</v>
      </c>
      <c r="D4" s="6" t="n">
        <v>2675477</v>
      </c>
      <c r="E4" s="6" t="n">
        <v>1894758</v>
      </c>
      <c r="F4" s="6" t="n">
        <v>994828</v>
      </c>
      <c r="G4" s="6" t="n">
        <v>285689</v>
      </c>
    </row>
    <row r="6" ht="150" customHeight="1">
      <c r="A6" s="8" t="inlineStr">
        <is>
          <t>Sources - Starling Bank Limited Pillar 3 basis (Regulatory Group basis for FY2026 - see entity note on Cash Flow Statement sheet):
FY2026: Starling Group Pillar 3 report 2026, as at 31 March 2026, section 4.1 Key metrics, p.22-23 - https://www.starlingbank.com/docs/annual-reports/Pillar3-2026.pdf
FY2025: Starling Bank Limited Pillar 3 report 2025, as at 31 March 2025, section 4.1 Key metrics, p.22-23 - https://www.starlingbank.com/docs/annual-reports/Pillar3-2025.pdf
FY2024: Starling Bank Limited Pillar 3 report 2024, as at 31 March 2024, section 4.1 Key metrics, p.22-23 - https://www.starlingbank.com/docs/annual-reports/Pillar3-2024.pdf
FY2023: Starling Bank Limited Pillar 3 Report 2023, as at 31 March 2023, section 4.1 Key Metrics, p.21 - https://www.starlingbank.com/docs/annual-reports/Pillar3-2023.pdf
FY2022: Starling Bank Ltd Pillar 3 Report 2022, as at 31 March 2022 (FY2023 report's comparator column), p.21 - https://www.starlingbank.com/docs/annual-reports/Pillar3-2022.pdf
FY2021: Starling Bank Limited Pillar 3 Disclosures, as at 31 March 2021, sections 5 (Capital Resources), 5.2 (Leverage Ratio) and 12 (Liquidity), p.19-23 - https://www.starlingbank.com/docs/annual-reports/Pillar3-2021.pdf (pre-dates the formal KM1 template)</t>
        </is>
      </c>
    </row>
  </sheetData>
  <mergeCells count="1">
    <mergeCell ref="A6:G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Starling Bank Limited — RWA Breakdown</t>
        </is>
      </c>
    </row>
    <row r="2">
      <c r="A2" s="2" t="inlineStr">
        <is>
          <t>Group/consolidated basis for FY2026 (Regulatory Group - see entity note), Bank basis FY2021-FY2025, £'000. The 'Memo' row is already included within Credit risk and must NOT be added when summing to Total RWAs (per the source template's own footnote) - the other categories sum exactly to Total RWAs.</t>
        </is>
      </c>
    </row>
    <row r="3">
      <c r="A3" s="4" t="inlineStr">
        <is>
          <t>Line item</t>
        </is>
      </c>
      <c r="B3" s="4" t="inlineStr">
        <is>
          <t>FY2026 (SGHL)‡ (£'000)</t>
        </is>
      </c>
      <c r="C3" s="4" t="inlineStr">
        <is>
          <t>FY2025 (£'000)</t>
        </is>
      </c>
      <c r="D3" s="4" t="inlineStr">
        <is>
          <t>FY2024 (£'000)</t>
        </is>
      </c>
      <c r="E3" s="4" t="inlineStr">
        <is>
          <t>FY2023 (£'000)</t>
        </is>
      </c>
      <c r="F3" s="4" t="inlineStr">
        <is>
          <t>FY2022 (£'000)</t>
        </is>
      </c>
      <c r="G3" s="4" t="inlineStr">
        <is>
          <t>FY2021† (£'000)</t>
        </is>
      </c>
    </row>
    <row r="4">
      <c r="A4" s="5" t="inlineStr">
        <is>
          <t>RWA by risk category (Pillar 3 UK OV1 template; FY2021 uses an older CRR-era 4-category structure - see source note)</t>
        </is>
      </c>
      <c r="B4" s="6" t="n"/>
      <c r="C4" s="6" t="n"/>
      <c r="D4" s="6" t="n"/>
      <c r="E4" s="6" t="n"/>
      <c r="F4" s="6" t="n"/>
      <c r="G4" s="6" t="n"/>
    </row>
    <row r="5">
      <c r="A5" s="6" t="inlineStr">
        <is>
          <t>Credit risk (excluding counterparty credit risk)</t>
        </is>
      </c>
      <c r="B5" s="6" t="n">
        <v>2471912</v>
      </c>
      <c r="C5" s="6" t="n">
        <v>1987150</v>
      </c>
      <c r="D5" s="6" t="n">
        <v>1840844</v>
      </c>
      <c r="E5" s="6" t="n">
        <v>1689562</v>
      </c>
      <c r="F5" s="6" t="n">
        <v>835048</v>
      </c>
      <c r="G5" s="6" t="n">
        <v>227167</v>
      </c>
    </row>
    <row r="6">
      <c r="A6" s="6" t="inlineStr">
        <is>
          <t>Counterparty credit risk (CCR)</t>
        </is>
      </c>
      <c r="B6" s="6" t="n">
        <v>3283</v>
      </c>
      <c r="C6" s="6" t="n">
        <v>4723</v>
      </c>
      <c r="D6" s="6" t="n">
        <v>4499</v>
      </c>
      <c r="E6" s="6" t="n">
        <v>46355</v>
      </c>
      <c r="F6" s="6" t="n">
        <v>92241</v>
      </c>
      <c r="G6" s="6" t="n">
        <v>13498</v>
      </c>
    </row>
    <row r="7">
      <c r="A7" s="6" t="inlineStr">
        <is>
          <t>Credit valuation adjustment (CVA) (FY2021: shown as a separate line, not within CCR)</t>
        </is>
      </c>
      <c r="B7" s="6" t="n"/>
      <c r="C7" s="6" t="n"/>
      <c r="D7" s="6" t="n"/>
      <c r="E7" s="6" t="n"/>
      <c r="F7" s="6" t="n"/>
      <c r="G7" s="6" t="n">
        <v>19949</v>
      </c>
    </row>
    <row r="8">
      <c r="A8" s="6" t="inlineStr">
        <is>
          <t>Securitisation exposures in the non-trading book</t>
        </is>
      </c>
      <c r="B8" s="6" t="n">
        <v>231185</v>
      </c>
      <c r="C8" s="6" t="n">
        <v>105727</v>
      </c>
      <c r="D8" s="6" t="n">
        <v>80923</v>
      </c>
      <c r="E8" s="6" t="n">
        <v>4805</v>
      </c>
      <c r="F8" s="6" t="n">
        <v>1166</v>
      </c>
      <c r="G8" s="6" t="n"/>
    </row>
    <row r="9">
      <c r="A9" s="6" t="inlineStr">
        <is>
          <t>Market risk (FY2021: de minimis, none shown per Article 351 CRR)</t>
        </is>
      </c>
      <c r="B9" s="6" t="n"/>
      <c r="C9" s="6" t="n"/>
      <c r="D9" s="6" t="n"/>
      <c r="E9" s="6" t="n"/>
      <c r="F9" s="6" t="n"/>
      <c r="G9" s="6" t="n">
        <v>0</v>
      </c>
    </row>
    <row r="10">
      <c r="A10" s="6" t="inlineStr">
        <is>
          <t>Operational risk</t>
        </is>
      </c>
      <c r="B10" s="6" t="n">
        <v>1223928</v>
      </c>
      <c r="C10" s="6" t="n">
        <v>1072432</v>
      </c>
      <c r="D10" s="6" t="n">
        <v>749211</v>
      </c>
      <c r="E10" s="6" t="n">
        <v>154036</v>
      </c>
      <c r="F10" s="6" t="n">
        <v>66372</v>
      </c>
      <c r="G10" s="6" t="n">
        <v>25075</v>
      </c>
    </row>
    <row r="11">
      <c r="A11" s="6" t="inlineStr">
        <is>
          <t>Memo: amounts below thresholds for deduction (250% risk-weight; already included in Credit risk above, not additive)</t>
        </is>
      </c>
      <c r="B11" s="6" t="n">
        <v>125427</v>
      </c>
      <c r="C11" s="6" t="n">
        <v>125427</v>
      </c>
      <c r="D11" s="6" t="n">
        <v>125427</v>
      </c>
      <c r="E11" s="6" t="n">
        <v>125427</v>
      </c>
      <c r="F11" s="6" t="n">
        <v>98731</v>
      </c>
      <c r="G11" s="6" t="n"/>
    </row>
    <row r="12">
      <c r="A12" s="5" t="inlineStr">
        <is>
          <t>Total RWAs</t>
        </is>
      </c>
      <c r="B12" s="5" t="n">
        <v>3930308</v>
      </c>
      <c r="C12" s="5" t="n">
        <v>3170032</v>
      </c>
      <c r="D12" s="5" t="n">
        <v>2675477</v>
      </c>
      <c r="E12" s="5" t="n">
        <v>1894758</v>
      </c>
      <c r="F12" s="5" t="n">
        <v>994828</v>
      </c>
      <c r="G12" s="5" t="n">
        <v>285689</v>
      </c>
    </row>
    <row r="14" ht="250" customHeight="1">
      <c r="A14" s="8" t="inlineStr">
        <is>
          <t>Sources - Starling Bank Limited Pillar 3 basis (Regulatory Group basis for FY2026 - see entity note on Cash Flow Statement sheet):
FY2026: Starling Group Pillar 3 report 2026, as at 31 March 2026, section 4.1 Key metrics, p.22-23 - https://www.starlingbank.com/docs/annual-reports/Pillar3-2026.pdf
FY2025: Starling Bank Limited Pillar 3 report 2025, as at 31 March 2025, section 4.1 Key metrics, p.22-23 - https://www.starlingbank.com/docs/annual-reports/Pillar3-2025.pdf
FY2024: Starling Bank Limited Pillar 3 report 2024, as at 31 March 2024, section 4.1 Key metrics, p.22-23 - https://www.starlingbank.com/docs/annual-reports/Pillar3-2024.pdf
FY2023: Starling Bank Limited Pillar 3 Report 2023, as at 31 March 2023, section 4.1 Key Metrics, p.21 - https://www.starlingbank.com/docs/annual-reports/Pillar3-2023.pdf
FY2022: Starling Bank Ltd Pillar 3 Report 2022, as at 31 March 2022 (FY2023 report's comparator column), p.21 - https://www.starlingbank.com/docs/annual-reports/Pillar3-2022.pdf
FY2021: Starling Bank Limited Pillar 3 Disclosures, as at 31 March 2021, sections 5 (Capital Resources), 5.2 (Leverage Ratio) and 12 (Liquidity), p.19-23 - https://www.starlingbank.com/docs/annual-reports/Pillar3-2021.pdf (pre-dates the formal KM1 template)
RWA breakdown table specifically ('Overview of risk weighted exposure amounts' / '4.2'):
FY2026: p.24 - https://www.starlingbank.com/docs/annual-reports/Pillar3-2026.pdf
FY2025 &amp; FY2024: p.24 - https://www.starlingbank.com/docs/annual-reports/Pillar3-2025.pdf
FY2023 &amp; FY2022: p.21 - https://www.starlingbank.com/docs/annual-reports/Pillar3-2023.pdf
FY2021: 5.1 Risk Weighted Exposure Amounts, p.23 (older 4-category CRR-era structure: Credit Risk, Counterparty Credit Risk, Credit Valuation Adjustment shown separately from CCR, Market Risk, Operational Risk - no Securitisation line disclosed that year) - https://www.starlingbank.com/docs/annual-reports/Pillar3-2021.pdf</t>
        </is>
      </c>
    </row>
  </sheetData>
  <mergeCells count="1">
    <mergeCell ref="A14:G1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Starling Bank Limited — Leverage Ratio</t>
        </is>
      </c>
    </row>
    <row r="2">
      <c r="A2" s="2" t="inlineStr">
        <is>
          <t>£'000 / %</t>
        </is>
      </c>
    </row>
    <row r="3">
      <c r="A3" s="4" t="inlineStr">
        <is>
          <t>Metric</t>
        </is>
      </c>
      <c r="B3" s="4" t="inlineStr">
        <is>
          <t>FY2026 (SGHL)‡</t>
        </is>
      </c>
      <c r="C3" s="4" t="inlineStr">
        <is>
          <t>FY2025</t>
        </is>
      </c>
      <c r="D3" s="4" t="inlineStr">
        <is>
          <t>FY2024</t>
        </is>
      </c>
      <c r="E3" s="4" t="inlineStr">
        <is>
          <t>FY2023</t>
        </is>
      </c>
      <c r="F3" s="4" t="inlineStr">
        <is>
          <t>FY2022</t>
        </is>
      </c>
      <c r="G3" s="4" t="inlineStr">
        <is>
          <t>FY2021†</t>
        </is>
      </c>
    </row>
    <row r="4">
      <c r="A4" s="6" t="inlineStr">
        <is>
          <t>Total exposure measure excluding claims on central banks</t>
        </is>
      </c>
      <c r="B4" s="6" t="n">
        <v>12608384</v>
      </c>
      <c r="C4" s="6" t="n">
        <v>8976790</v>
      </c>
      <c r="D4" s="6" t="n">
        <v>8383435</v>
      </c>
      <c r="E4" s="6" t="n">
        <v>7641617</v>
      </c>
      <c r="F4" s="6" t="n">
        <v>5063481</v>
      </c>
      <c r="G4" s="6" t="n"/>
    </row>
    <row r="5">
      <c r="A5" s="6" t="inlineStr">
        <is>
          <t>Leverage ratio excluding claims on central banks / UK leverage ratio (%)</t>
        </is>
      </c>
      <c r="B5" s="6" t="inlineStr">
        <is>
          <t>8.91%</t>
        </is>
      </c>
      <c r="C5" s="6" t="inlineStr">
        <is>
          <t>11.14%</t>
        </is>
      </c>
      <c r="D5" s="6" t="inlineStr">
        <is>
          <t>10.39%</t>
        </is>
      </c>
      <c r="E5" s="6" t="inlineStr">
        <is>
          <t>9.30%</t>
        </is>
      </c>
      <c r="F5" s="6" t="inlineStr">
        <is>
          <t>7.85%</t>
        </is>
      </c>
      <c r="G5" s="6" t="inlineStr">
        <is>
          <t>5.4%</t>
        </is>
      </c>
    </row>
    <row r="6">
      <c r="A6" s="6" t="inlineStr">
        <is>
          <t>Leverage ratio including claims on central banks / CRR (EU) leverage ratio (%) (FY2021 only, pre-KM1 template)</t>
        </is>
      </c>
      <c r="B6" s="6" t="n"/>
      <c r="C6" s="6" t="n"/>
      <c r="D6" s="6" t="n"/>
      <c r="E6" s="6" t="n"/>
      <c r="F6" s="6" t="n"/>
      <c r="G6" s="6" t="inlineStr">
        <is>
          <t>1.9%</t>
        </is>
      </c>
    </row>
    <row r="7" ht="39" customHeight="1">
      <c r="A7" s="7" t="inlineStr">
        <is>
          <t>Note: FY2021 predates the formal KM1 template and did not disclose a £ exposure measure, only two ratios: a 'UK leverage ratio' (excluding central bank exposures, matching the 'excluding claims on central banks' basis used from FY2022 onward) and a 'CRR (EU) leverage ratio' (including them). Starling noted it was 'not subject to the PRA Handbook's (UK) leverage ratio' at the time, i.e. this was disclosed voluntarily rather than as a binding requirement in FY2021.</t>
        </is>
      </c>
    </row>
    <row r="9" ht="150" customHeight="1">
      <c r="A9" s="8" t="inlineStr">
        <is>
          <t>Sources - Starling Bank Limited Pillar 3 basis (Regulatory Group basis for FY2026 - see entity note on Cash Flow Statement sheet):
FY2026: Starling Group Pillar 3 report 2026, as at 31 March 2026, section 4.1 Key metrics, p.22-23 - https://www.starlingbank.com/docs/annual-reports/Pillar3-2026.pdf
FY2025: Starling Bank Limited Pillar 3 report 2025, as at 31 March 2025, section 4.1 Key metrics, p.22-23 - https://www.starlingbank.com/docs/annual-reports/Pillar3-2025.pdf
FY2024: Starling Bank Limited Pillar 3 report 2024, as at 31 March 2024, section 4.1 Key metrics, p.22-23 - https://www.starlingbank.com/docs/annual-reports/Pillar3-2024.pdf
FY2023: Starling Bank Limited Pillar 3 Report 2023, as at 31 March 2023, section 4.1 Key Metrics, p.21 - https://www.starlingbank.com/docs/annual-reports/Pillar3-2023.pdf
FY2022: Starling Bank Ltd Pillar 3 Report 2022, as at 31 March 2022 (FY2023 report's comparator column), p.21 - https://www.starlingbank.com/docs/annual-reports/Pillar3-2022.pdf
FY2021: Starling Bank Limited Pillar 3 Disclosures, as at 31 March 2021, sections 5 (Capital Resources), 5.2 (Leverage Ratio) and 12 (Liquidity), p.19-23 - https://www.starlingbank.com/docs/annual-reports/Pillar3-2021.pdf (pre-dates the formal KM1 template)</t>
        </is>
      </c>
    </row>
  </sheetData>
  <mergeCells count="2">
    <mergeCell ref="A7:G7"/>
    <mergeCell ref="A9:G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Starling Bank Limited — LCR</t>
        </is>
      </c>
    </row>
    <row r="2">
      <c r="A2" s="2" t="inlineStr">
        <is>
          <t>£'000 / %</t>
        </is>
      </c>
    </row>
    <row r="3">
      <c r="A3" s="4" t="inlineStr">
        <is>
          <t>Metric</t>
        </is>
      </c>
      <c r="B3" s="4" t="inlineStr">
        <is>
          <t>FY2026 (SGHL)‡</t>
        </is>
      </c>
      <c r="C3" s="4" t="inlineStr">
        <is>
          <t>FY2025</t>
        </is>
      </c>
      <c r="D3" s="4" t="inlineStr">
        <is>
          <t>FY2024</t>
        </is>
      </c>
      <c r="E3" s="4" t="inlineStr">
        <is>
          <t>FY2023</t>
        </is>
      </c>
      <c r="F3" s="4" t="inlineStr">
        <is>
          <t>FY2022</t>
        </is>
      </c>
      <c r="G3" s="4" t="inlineStr">
        <is>
          <t>FY2021†</t>
        </is>
      </c>
    </row>
    <row r="4">
      <c r="A4" s="6" t="inlineStr">
        <is>
          <t>Total high-quality liquid assets (HQLA) (average weighted value)</t>
        </is>
      </c>
      <c r="B4" s="6" t="n">
        <v>7038393</v>
      </c>
      <c r="C4" s="6" t="n">
        <v>6812037</v>
      </c>
      <c r="D4" s="6" t="n">
        <v>6510731</v>
      </c>
      <c r="E4" s="6" t="n">
        <v>6413925</v>
      </c>
      <c r="F4" s="6" t="n">
        <v>5128346</v>
      </c>
      <c r="G4" s="6" t="n">
        <v>3410070</v>
      </c>
    </row>
    <row r="5">
      <c r="A5" s="6" t="inlineStr">
        <is>
          <t>Cash outflows (total weighted value)</t>
        </is>
      </c>
      <c r="B5" s="6" t="n">
        <v>1326072</v>
      </c>
      <c r="C5" s="6" t="n">
        <v>1477094</v>
      </c>
      <c r="D5" s="6" t="n">
        <v>1891560</v>
      </c>
      <c r="E5" s="6" t="n">
        <v>1711200</v>
      </c>
      <c r="F5" s="6" t="n">
        <v>1211430</v>
      </c>
      <c r="G5" s="6" t="n"/>
    </row>
    <row r="6">
      <c r="A6" s="6" t="inlineStr">
        <is>
          <t>Cash inflows (total weighted value)</t>
        </is>
      </c>
      <c r="B6" s="6" t="n">
        <v>89112</v>
      </c>
      <c r="C6" s="6" t="n">
        <v>156237</v>
      </c>
      <c r="D6" s="6" t="n">
        <v>446533</v>
      </c>
      <c r="E6" s="6" t="n">
        <v>311926</v>
      </c>
      <c r="F6" s="6" t="n">
        <v>209396</v>
      </c>
      <c r="G6" s="6" t="n"/>
    </row>
    <row r="7">
      <c r="A7" s="6" t="inlineStr">
        <is>
          <t>Total net cash outflows (adjusted value)</t>
        </is>
      </c>
      <c r="B7" s="6" t="n">
        <v>1236960</v>
      </c>
      <c r="C7" s="6" t="n">
        <v>1320857</v>
      </c>
      <c r="D7" s="6" t="n">
        <v>1445027</v>
      </c>
      <c r="E7" s="6" t="n">
        <v>1399274</v>
      </c>
      <c r="F7" s="6" t="n">
        <v>1002034</v>
      </c>
      <c r="G7" s="6" t="n">
        <v>674460</v>
      </c>
    </row>
    <row r="8">
      <c r="A8" s="6" t="inlineStr">
        <is>
          <t>Liquidity Coverage Ratio (%)</t>
        </is>
      </c>
      <c r="B8" s="6" t="inlineStr">
        <is>
          <t>569.01%</t>
        </is>
      </c>
      <c r="C8" s="6" t="inlineStr">
        <is>
          <t>515.73%</t>
        </is>
      </c>
      <c r="D8" s="6" t="inlineStr">
        <is>
          <t>450.56%</t>
        </is>
      </c>
      <c r="E8" s="6" t="inlineStr">
        <is>
          <t>460%</t>
        </is>
      </c>
      <c r="F8" s="6" t="inlineStr">
        <is>
          <t>515%</t>
        </is>
      </c>
      <c r="G8" s="6" t="inlineStr">
        <is>
          <t>506%</t>
        </is>
      </c>
    </row>
    <row r="9" ht="30" customHeight="1">
      <c r="A9" s="7" t="inlineStr">
        <is>
          <t>Note: FY2021 disclosed only Total HQLA and Total Net Cash Outflow (no separate cash inflow/outflow split) - predates the formal KM1 template. LCR/NSFR are averages over the year in every year shown.</t>
        </is>
      </c>
    </row>
    <row r="11" ht="150" customHeight="1">
      <c r="A11" s="8" t="inlineStr">
        <is>
          <t>Sources - Starling Bank Limited Pillar 3 basis (Regulatory Group basis for FY2026 - see entity note on Cash Flow Statement sheet):
FY2026: Starling Group Pillar 3 report 2026, as at 31 March 2026, section 4.1 Key metrics, p.22-23 - https://www.starlingbank.com/docs/annual-reports/Pillar3-2026.pdf
FY2025: Starling Bank Limited Pillar 3 report 2025, as at 31 March 2025, section 4.1 Key metrics, p.22-23 - https://www.starlingbank.com/docs/annual-reports/Pillar3-2025.pdf
FY2024: Starling Bank Limited Pillar 3 report 2024, as at 31 March 2024, section 4.1 Key metrics, p.22-23 - https://www.starlingbank.com/docs/annual-reports/Pillar3-2024.pdf
FY2023: Starling Bank Limited Pillar 3 Report 2023, as at 31 March 2023, section 4.1 Key Metrics, p.21 - https://www.starlingbank.com/docs/annual-reports/Pillar3-2023.pdf
FY2022: Starling Bank Ltd Pillar 3 Report 2022, as at 31 March 2022 (FY2023 report's comparator column), p.21 - https://www.starlingbank.com/docs/annual-reports/Pillar3-2022.pdf
FY2021: Starling Bank Limited Pillar 3 Disclosures, as at 31 March 2021, sections 5 (Capital Resources), 5.2 (Leverage Ratio) and 12 (Liquidity), p.19-23 - https://www.starlingbank.com/docs/annual-reports/Pillar3-2021.pdf (pre-dates the formal KM1 template)</t>
        </is>
      </c>
    </row>
  </sheetData>
  <mergeCells count="2">
    <mergeCell ref="A11:G11"/>
    <mergeCell ref="A9:G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Starling Bank Limited — NSFR</t>
        </is>
      </c>
    </row>
    <row r="2">
      <c r="A2" s="2" t="inlineStr">
        <is>
          <t>£'000 / %</t>
        </is>
      </c>
    </row>
    <row r="3">
      <c r="A3" s="4" t="inlineStr">
        <is>
          <t>Metric</t>
        </is>
      </c>
      <c r="B3" s="4" t="inlineStr">
        <is>
          <t>FY2026 (SGHL)‡</t>
        </is>
      </c>
      <c r="C3" s="4" t="inlineStr">
        <is>
          <t>FY2025</t>
        </is>
      </c>
      <c r="D3" s="4" t="inlineStr">
        <is>
          <t>FY2024</t>
        </is>
      </c>
      <c r="E3" s="4" t="inlineStr">
        <is>
          <t>FY2023</t>
        </is>
      </c>
      <c r="F3" s="4" t="inlineStr">
        <is>
          <t>FY2022</t>
        </is>
      </c>
      <c r="G3" s="4" t="inlineStr">
        <is>
          <t>FY2021†</t>
        </is>
      </c>
    </row>
    <row r="4">
      <c r="A4" s="6" t="inlineStr">
        <is>
          <t>Total available stable funding</t>
        </is>
      </c>
      <c r="B4" s="6" t="n">
        <v>14206855</v>
      </c>
      <c r="C4" s="6" t="n">
        <v>13448876</v>
      </c>
      <c r="D4" s="6" t="n">
        <v>12578157</v>
      </c>
      <c r="E4" s="6" t="n">
        <v>11944952</v>
      </c>
      <c r="F4" s="6" t="n">
        <v>10660584</v>
      </c>
      <c r="G4" s="6" t="n">
        <v>6366591</v>
      </c>
    </row>
    <row r="5">
      <c r="A5" s="6" t="inlineStr">
        <is>
          <t>Total required stable funding</t>
        </is>
      </c>
      <c r="B5" s="6" t="n">
        <v>5754691</v>
      </c>
      <c r="C5" s="6" t="n">
        <v>5555204</v>
      </c>
      <c r="D5" s="6" t="n">
        <v>5646537</v>
      </c>
      <c r="E5" s="6" t="n">
        <v>4870012</v>
      </c>
      <c r="F5" s="6" t="n">
        <v>4088546</v>
      </c>
      <c r="G5" s="6" t="n">
        <v>2127872</v>
      </c>
    </row>
    <row r="6">
      <c r="A6" s="6" t="inlineStr">
        <is>
          <t>Net Stable Funding Ratio (%)</t>
        </is>
      </c>
      <c r="B6" s="6" t="inlineStr">
        <is>
          <t>246.87%</t>
        </is>
      </c>
      <c r="C6" s="6" t="inlineStr">
        <is>
          <t>242.10%</t>
        </is>
      </c>
      <c r="D6" s="6" t="inlineStr">
        <is>
          <t>222.76%</t>
        </is>
      </c>
      <c r="E6" s="6" t="inlineStr">
        <is>
          <t>245%</t>
        </is>
      </c>
      <c r="F6" s="6" t="inlineStr">
        <is>
          <t>261%</t>
        </is>
      </c>
      <c r="G6" s="6" t="inlineStr">
        <is>
          <t>299%</t>
        </is>
      </c>
    </row>
    <row r="8" ht="150" customHeight="1">
      <c r="A8" s="8" t="inlineStr">
        <is>
          <t>Sources - Starling Bank Limited Pillar 3 basis (Regulatory Group basis for FY2026 - see entity note on Cash Flow Statement sheet):
FY2026: Starling Group Pillar 3 report 2026, as at 31 March 2026, section 4.1 Key metrics, p.22-23 - https://www.starlingbank.com/docs/annual-reports/Pillar3-2026.pdf
FY2025: Starling Bank Limited Pillar 3 report 2025, as at 31 March 2025, section 4.1 Key metrics, p.22-23 - https://www.starlingbank.com/docs/annual-reports/Pillar3-2025.pdf
FY2024: Starling Bank Limited Pillar 3 report 2024, as at 31 March 2024, section 4.1 Key metrics, p.22-23 - https://www.starlingbank.com/docs/annual-reports/Pillar3-2024.pdf
FY2023: Starling Bank Limited Pillar 3 Report 2023, as at 31 March 2023, section 4.1 Key Metrics, p.21 - https://www.starlingbank.com/docs/annual-reports/Pillar3-2023.pdf
FY2022: Starling Bank Ltd Pillar 3 Report 2022, as at 31 March 2022 (FY2023 report's comparator column), p.21 - https://www.starlingbank.com/docs/annual-reports/Pillar3-2022.pdf
FY2021: Starling Bank Limited Pillar 3 Disclosures, as at 31 March 2021, sections 5 (Capital Resources), 5.2 (Leverage Ratio) and 12 (Liquidity), p.19-23 - https://www.starlingbank.com/docs/annual-reports/Pillar3-2021.pdf (pre-dates the formal KM1 template)</t>
        </is>
      </c>
    </row>
  </sheetData>
  <mergeCells count="1">
    <mergeCell ref="A8:G8"/>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Starling Bank Limited — MREL Ratio</t>
        </is>
      </c>
    </row>
    <row r="2">
      <c r="A2" s="2" t="inlineStr"/>
    </row>
    <row r="3">
      <c r="A3" s="4" t="inlineStr">
        <is>
          <t>Metric</t>
        </is>
      </c>
      <c r="B3" s="4" t="inlineStr">
        <is>
          <t>FY2026 (SGHL)‡</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row>
    <row r="4">
      <c r="A4" s="6" t="inlineStr">
        <is>
          <t>MREL ratio</t>
        </is>
      </c>
      <c r="B4" s="6" t="inlineStr">
        <is>
          <t>Not disclosed (no numeric ratio published)</t>
        </is>
      </c>
      <c r="C4" s="6" t="inlineStr">
        <is>
          <t>Not disclosed (no numeric ratio published)</t>
        </is>
      </c>
      <c r="D4" s="6" t="inlineStr">
        <is>
          <t>Not disclosed (no numeric ratio published)</t>
        </is>
      </c>
      <c r="E4" s="6" t="inlineStr">
        <is>
          <t>Not disclosed (no numeric ratio published)</t>
        </is>
      </c>
      <c r="F4" s="6" t="inlineStr">
        <is>
          <t>Not disclosed (no numeric ratio published)</t>
        </is>
      </c>
      <c r="G4" s="6" t="inlineStr">
        <is>
          <t>Not disclosed (no numeric ratio published)</t>
        </is>
      </c>
      <c r="H4" s="6" t="inlineStr">
        <is>
          <t>Not disclosed (no numeric ratio published)</t>
        </is>
      </c>
      <c r="I4" s="6" t="inlineStr">
        <is>
          <t>Not disclosed (no numeric ratio published)</t>
        </is>
      </c>
      <c r="J4" s="6" t="inlineStr">
        <is>
          <t>Not disclosed (no numeric ratio published)</t>
        </is>
      </c>
      <c r="K4" s="6" t="inlineStr">
        <is>
          <t>Not disclosed (no numeric ratio published)</t>
        </is>
      </c>
    </row>
    <row r="5" ht="30" customHeight="1">
      <c r="A5" s="7" t="inlineStr">
        <is>
          <t>Note: MREL became applicable to Starling from April 2023 (previously not applicable, as for a small institution). From then, Starling states its capital is maintained 'above MREL requirements plus buffers at all times' but has never published a numeric MREL ratio or resources figure in any Pillar 3 report reviewed, FY2021-FY2026 - only this qualitative statement.</t>
        </is>
      </c>
    </row>
    <row r="7" ht="150" customHeight="1">
      <c r="A7" s="8" t="inlineStr">
        <is>
          <t>Sources - Starling Bank Limited Pillar 3 basis (Regulatory Group basis for FY2026 - see entity note on Cash Flow Statement sheet):
FY2026: Starling Group Pillar 3 report 2026, as at 31 March 2026, section 4.1 Key metrics, p.22-23 - https://www.starlingbank.com/docs/annual-reports/Pillar3-2026.pdf
FY2025: Starling Bank Limited Pillar 3 report 2025, as at 31 March 2025, section 4.1 Key metrics, p.22-23 - https://www.starlingbank.com/docs/annual-reports/Pillar3-2025.pdf
FY2024: Starling Bank Limited Pillar 3 report 2024, as at 31 March 2024, section 4.1 Key metrics, p.22-23 - https://www.starlingbank.com/docs/annual-reports/Pillar3-2024.pdf
FY2023: Starling Bank Limited Pillar 3 Report 2023, as at 31 March 2023, section 4.1 Key Metrics, p.21 - https://www.starlingbank.com/docs/annual-reports/Pillar3-2023.pdf
FY2022: Starling Bank Ltd Pillar 3 Report 2022, as at 31 March 2022 (FY2023 report's comparator column), p.21 - https://www.starlingbank.com/docs/annual-reports/Pillar3-2022.pdf
FY2021: Starling Bank Limited Pillar 3 Disclosures, as at 31 March 2021, sections 5 (Capital Resources), 5.2 (Leverage Ratio) and 12 (Liquidity), p.19-23 - https://www.starlingbank.com/docs/annual-reports/Pillar3-2021.pdf (pre-dates the formal KM1 template)</t>
        </is>
      </c>
    </row>
  </sheetData>
  <mergeCells count="2">
    <mergeCell ref="A5:K5"/>
    <mergeCell ref="A7:K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2026-10-10T15:08:41Z</dcterms:created>
  <dcterms:modified xmlns:dcterms="http://purl.org/dc/terms/" xmlns:xsi="http://www.w3.org/2001/XMLSchema-instance" xsi:type="dcterms:W3CDTF">2026-10-10T15:08:41Z</dcterms:modified>
</cp:coreProperties>
</file>