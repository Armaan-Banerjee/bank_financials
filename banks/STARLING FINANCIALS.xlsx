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 (SGHL)‡</t>
        </is>
      </c>
      <c r="AU5" t="inlineStr">
        <is>
          <t>FY2021†</t>
        </is>
      </c>
      <c r="AV5" t="inlineStr">
        <is>
          <t>FY2022</t>
        </is>
      </c>
      <c r="AW5" t="inlineStr">
        <is>
          <t>FY2023</t>
        </is>
      </c>
      <c r="AX5" t="inlineStr">
        <is>
          <t>FY2024</t>
        </is>
      </c>
      <c r="AY5" t="inlineStr">
        <is>
          <t>FY2025</t>
        </is>
      </c>
      <c r="AZ5" t="inlineStr">
        <is>
          <t>FY2026 (SGHL)‡</t>
        </is>
      </c>
    </row>
    <row r="6">
      <c r="A6" s="5" t="inlineStr">
        <is>
          <t>Total assets</t>
        </is>
      </c>
      <c r="B6" s="5" t="n">
        <v>16639934</v>
      </c>
      <c r="C6" s="5" t="n">
        <v>15697672</v>
      </c>
      <c r="D6" s="5" t="n">
        <v>14767892</v>
      </c>
      <c r="E6" s="5" t="n">
        <v>13711495</v>
      </c>
      <c r="F6" s="5" t="n">
        <v>11905521</v>
      </c>
      <c r="G6" s="5" t="n">
        <v>7048834</v>
      </c>
      <c r="J6" t="inlineStr">
        <is>
          <t>Total assets</t>
        </is>
      </c>
      <c r="K6" t="n">
        <v>7048834</v>
      </c>
      <c r="L6" t="n">
        <v>11905521</v>
      </c>
      <c r="M6" t="n">
        <v>13711495</v>
      </c>
      <c r="N6" t="n">
        <v>14767892</v>
      </c>
      <c r="O6" t="n">
        <v>15697672</v>
      </c>
      <c r="P6" t="n">
        <v>16639934</v>
      </c>
      <c r="AT6" t="inlineStr">
        <is>
          <t>CET1 Ratio</t>
        </is>
      </c>
      <c r="AU6" t="n">
        <v>47.9</v>
      </c>
      <c r="AV6" t="n">
        <v>39.96</v>
      </c>
      <c r="AW6" t="n">
        <v>37.5</v>
      </c>
      <c r="AX6" t="n">
        <v>32.55</v>
      </c>
      <c r="AY6" t="n">
        <v>31.55</v>
      </c>
      <c r="AZ6" t="n">
        <v>28.58</v>
      </c>
    </row>
    <row r="7">
      <c r="A7" s="5" t="inlineStr">
        <is>
          <t>Loans and advances to customers</t>
        </is>
      </c>
      <c r="B7" s="5" t="n">
        <v>5161359</v>
      </c>
      <c r="C7" s="5" t="n">
        <v>4670567</v>
      </c>
      <c r="D7" s="5" t="n">
        <v>4537663</v>
      </c>
      <c r="E7" s="5" t="n">
        <v>4731997</v>
      </c>
      <c r="F7" s="5" t="n">
        <v>3234673</v>
      </c>
      <c r="G7" s="5" t="n">
        <v>2232846</v>
      </c>
      <c r="J7" t="inlineStr">
        <is>
          <t>Loans and advances to customers</t>
        </is>
      </c>
      <c r="K7" t="n">
        <v>2232846</v>
      </c>
      <c r="L7" t="n">
        <v>3234673</v>
      </c>
      <c r="M7" t="n">
        <v>4731997</v>
      </c>
      <c r="N7" t="n">
        <v>4537663</v>
      </c>
      <c r="O7" t="n">
        <v>4670567</v>
      </c>
      <c r="P7" t="n">
        <v>5161359</v>
      </c>
      <c r="AT7" t="inlineStr">
        <is>
          <t>Tier 1 Ratio</t>
        </is>
      </c>
      <c r="AU7" t="n">
        <v>47.9</v>
      </c>
      <c r="AV7" t="n">
        <v>39.96</v>
      </c>
      <c r="AW7" t="n">
        <v>37.5</v>
      </c>
      <c r="AX7" t="n">
        <v>32.55</v>
      </c>
      <c r="AY7" t="n">
        <v>31.55</v>
      </c>
      <c r="AZ7" t="n">
        <v>28.58</v>
      </c>
    </row>
    <row r="8">
      <c r="A8" s="5" t="inlineStr">
        <is>
          <t>Customer deposits</t>
        </is>
      </c>
      <c r="B8" s="5" t="n">
        <v>12691991</v>
      </c>
      <c r="C8" s="5" t="n">
        <v>12066650</v>
      </c>
      <c r="D8" s="5" t="n">
        <v>10970237</v>
      </c>
      <c r="E8" s="5" t="n">
        <v>10551820</v>
      </c>
      <c r="F8" s="5" t="n">
        <v>9027413</v>
      </c>
      <c r="G8" s="5" t="n">
        <v>5827581</v>
      </c>
      <c r="J8" t="inlineStr">
        <is>
          <t>Customer deposits</t>
        </is>
      </c>
      <c r="K8" t="n">
        <v>5827581</v>
      </c>
      <c r="L8" t="n">
        <v>9027413</v>
      </c>
      <c r="M8" t="n">
        <v>10551820</v>
      </c>
      <c r="N8" t="n">
        <v>10970237</v>
      </c>
      <c r="O8" t="n">
        <v>12066650</v>
      </c>
      <c r="P8" t="n">
        <v>12691991</v>
      </c>
      <c r="AT8" t="inlineStr">
        <is>
          <t>Total Capital Ratio</t>
        </is>
      </c>
      <c r="AU8" t="n">
        <v>47.9</v>
      </c>
      <c r="AV8" t="n">
        <v>39.96</v>
      </c>
      <c r="AW8" t="n">
        <v>37.5</v>
      </c>
      <c r="AX8" t="n">
        <v>32.55</v>
      </c>
      <c r="AY8" t="n">
        <v>31.55</v>
      </c>
      <c r="AZ8" t="n">
        <v>28.58</v>
      </c>
    </row>
    <row r="9">
      <c r="A9" s="5" t="inlineStr">
        <is>
          <t>Total equity</t>
        </is>
      </c>
      <c r="B9" s="5" t="n">
        <v>1204945</v>
      </c>
      <c r="C9" s="5" t="n">
        <v>1046052</v>
      </c>
      <c r="D9" s="5" t="n">
        <v>889770</v>
      </c>
      <c r="E9" s="5" t="n">
        <v>695277</v>
      </c>
      <c r="F9" s="5" t="n">
        <v>430424</v>
      </c>
      <c r="G9" s="5" t="n">
        <v>140831</v>
      </c>
      <c r="J9" t="inlineStr">
        <is>
          <t>Total equity</t>
        </is>
      </c>
      <c r="K9" t="n">
        <v>140831</v>
      </c>
      <c r="L9" t="n">
        <v>430424</v>
      </c>
      <c r="M9" t="n">
        <v>695277</v>
      </c>
      <c r="N9" t="n">
        <v>889770</v>
      </c>
      <c r="O9" t="n">
        <v>1046052</v>
      </c>
      <c r="P9" t="n">
        <v>1204945</v>
      </c>
      <c r="AT9" t="inlineStr">
        <is>
          <t>Leverage Ratio</t>
        </is>
      </c>
      <c r="AU9" t="n">
        <v>5.4</v>
      </c>
      <c r="AV9" t="n">
        <v>7.85</v>
      </c>
      <c r="AW9" t="n">
        <v>9.300000000000001</v>
      </c>
      <c r="AX9" t="n">
        <v>10.39</v>
      </c>
      <c r="AY9" t="n">
        <v>11.14</v>
      </c>
      <c r="AZ9" t="n">
        <v>8.91</v>
      </c>
    </row>
    <row r="10">
      <c r="AT10" t="inlineStr">
        <is>
          <t>LCR</t>
        </is>
      </c>
      <c r="AU10" t="n">
        <v>506</v>
      </c>
      <c r="AV10" t="n">
        <v>515</v>
      </c>
      <c r="AW10" t="n">
        <v>460</v>
      </c>
      <c r="AX10" t="n">
        <v>450.56</v>
      </c>
      <c r="AY10" t="n">
        <v>515.73</v>
      </c>
      <c r="AZ10" t="n">
        <v>569.01</v>
      </c>
    </row>
    <row r="11">
      <c r="A11" s="3" t="inlineStr">
        <is>
          <t>Profit &amp; Loss Summary (£'000)</t>
        </is>
      </c>
      <c r="AT11" t="inlineStr">
        <is>
          <t>NSFR</t>
        </is>
      </c>
      <c r="AU11" t="n">
        <v>299</v>
      </c>
      <c r="AV11" t="n">
        <v>261</v>
      </c>
      <c r="AW11" t="n">
        <v>245</v>
      </c>
      <c r="AX11" t="n">
        <v>222.76</v>
      </c>
      <c r="AY11" t="n">
        <v>242.1</v>
      </c>
      <c r="AZ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 (SGHL)‡</t>
        </is>
      </c>
    </row>
    <row r="13">
      <c r="A13" s="5" t="inlineStr">
        <is>
          <t>Total income / Revenue</t>
        </is>
      </c>
      <c r="B13" s="5" t="n">
        <v>887355</v>
      </c>
      <c r="C13" s="5" t="n">
        <v>680383</v>
      </c>
      <c r="D13" s="5" t="n">
        <v>647118</v>
      </c>
      <c r="E13" s="5" t="n">
        <v>414814</v>
      </c>
      <c r="F13" s="5" t="n">
        <v>188066</v>
      </c>
      <c r="G13" s="5" t="n">
        <v>97589</v>
      </c>
      <c r="S13" t="inlineStr">
        <is>
          <t>Total income / Revenue</t>
        </is>
      </c>
      <c r="T13" t="n">
        <v>97589</v>
      </c>
      <c r="U13" t="n">
        <v>188066</v>
      </c>
      <c r="V13" t="n">
        <v>414814</v>
      </c>
      <c r="W13" t="n">
        <v>647118</v>
      </c>
      <c r="X13" t="n">
        <v>680383</v>
      </c>
      <c r="Y13" t="n">
        <v>887355</v>
      </c>
    </row>
    <row r="14">
      <c r="A14" s="5" t="inlineStr">
        <is>
          <t>Operating expenses</t>
        </is>
      </c>
      <c r="B14" s="5" t="n">
        <v>-441955</v>
      </c>
      <c r="C14" s="5" t="n">
        <v>-460213</v>
      </c>
      <c r="D14" s="5" t="n">
        <v>-332130</v>
      </c>
      <c r="E14" s="5" t="n">
        <v>-220674</v>
      </c>
      <c r="F14" s="5" t="n">
        <v>-178336</v>
      </c>
      <c r="G14" s="5" t="n">
        <v>-158981</v>
      </c>
      <c r="S14" t="inlineStr">
        <is>
          <t>Operating expenses</t>
        </is>
      </c>
      <c r="T14" t="n">
        <v>-158981</v>
      </c>
      <c r="U14" t="n">
        <v>-178336</v>
      </c>
      <c r="V14" t="n">
        <v>-220674</v>
      </c>
      <c r="W14" t="n">
        <v>-332130</v>
      </c>
      <c r="X14" t="n">
        <v>-460213</v>
      </c>
      <c r="Y14" t="n">
        <v>-441955</v>
      </c>
    </row>
    <row r="15">
      <c r="A15" s="5" t="inlineStr">
        <is>
          <t>Profit/(loss) after taxation</t>
        </is>
      </c>
      <c r="B15" s="5" t="n">
        <v>156043</v>
      </c>
      <c r="C15" s="5" t="n">
        <v>150722</v>
      </c>
      <c r="D15" s="5" t="n">
        <v>220001</v>
      </c>
      <c r="E15" s="5" t="n">
        <v>142856</v>
      </c>
      <c r="F15" s="5" t="n">
        <v>44938</v>
      </c>
      <c r="G15" s="5" t="n">
        <v>-23319</v>
      </c>
      <c r="S15" t="inlineStr">
        <is>
          <t>Profit/(loss) after taxation</t>
        </is>
      </c>
      <c r="T15" t="n">
        <v>-23319</v>
      </c>
      <c r="U15" t="n">
        <v>44938</v>
      </c>
      <c r="V15" t="n">
        <v>142856</v>
      </c>
      <c r="W15" t="n">
        <v>220001</v>
      </c>
      <c r="X15" t="n">
        <v>150722</v>
      </c>
      <c r="Y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 (SGHL)‡</t>
        </is>
      </c>
    </row>
    <row r="19">
      <c r="A19" s="5" t="inlineStr">
        <is>
          <t>Opening equity</t>
        </is>
      </c>
      <c r="B19" s="5" t="n">
        <v>1046052</v>
      </c>
      <c r="C19" s="5" t="n">
        <v>889770</v>
      </c>
      <c r="D19" s="5" t="n">
        <v>695277</v>
      </c>
      <c r="E19" s="5" t="n">
        <v>430424</v>
      </c>
      <c r="F19" s="5" t="n">
        <v>140831</v>
      </c>
      <c r="G19" s="5" t="n">
        <v>67926</v>
      </c>
      <c r="AB19" t="inlineStr">
        <is>
          <t>Opening equity</t>
        </is>
      </c>
      <c r="AC19" t="n">
        <v>67926</v>
      </c>
      <c r="AD19" t="n">
        <v>140831</v>
      </c>
      <c r="AE19" t="n">
        <v>430424</v>
      </c>
      <c r="AF19" t="n">
        <v>695277</v>
      </c>
      <c r="AG19" t="n">
        <v>889770</v>
      </c>
      <c r="AH19" t="n">
        <v>1046052</v>
      </c>
    </row>
    <row r="20">
      <c r="A20" s="5" t="inlineStr">
        <is>
          <t>Total comprehensive income/(loss) for the year</t>
        </is>
      </c>
      <c r="B20" s="5" t="n">
        <v>146625</v>
      </c>
      <c r="C20" s="5" t="n">
        <v>143430</v>
      </c>
      <c r="D20" s="5" t="n">
        <v>247405</v>
      </c>
      <c r="E20" s="5" t="n">
        <v>132657</v>
      </c>
      <c r="F20" s="5" t="n">
        <v>44934</v>
      </c>
      <c r="G20" s="5" t="n">
        <v>-23319</v>
      </c>
      <c r="AB20" t="inlineStr">
        <is>
          <t>Total comprehensive income/(loss) for the year</t>
        </is>
      </c>
      <c r="AC20" t="n">
        <v>-23319</v>
      </c>
      <c r="AD20" t="n">
        <v>44934</v>
      </c>
      <c r="AE20" t="n">
        <v>132657</v>
      </c>
      <c r="AF20" t="n">
        <v>247405</v>
      </c>
      <c r="AG20" t="n">
        <v>143430</v>
      </c>
      <c r="AH20" t="n">
        <v>146625</v>
      </c>
    </row>
    <row r="21">
      <c r="A21" s="5" t="inlineStr">
        <is>
          <t>Other equity movements, net</t>
        </is>
      </c>
      <c r="B21" s="5" t="n">
        <v>12268</v>
      </c>
      <c r="C21" s="5" t="n">
        <v>12852</v>
      </c>
      <c r="D21" s="5" t="n">
        <v>-52912</v>
      </c>
      <c r="E21" s="5" t="n">
        <v>132196</v>
      </c>
      <c r="F21" s="5" t="n">
        <v>244659</v>
      </c>
      <c r="G21" s="5" t="n">
        <v>96224</v>
      </c>
      <c r="AB21" t="inlineStr">
        <is>
          <t>Other equity movements, net</t>
        </is>
      </c>
      <c r="AC21" t="n">
        <v>96224</v>
      </c>
      <c r="AD21" t="n">
        <v>244659</v>
      </c>
      <c r="AE21" t="n">
        <v>132196</v>
      </c>
      <c r="AF21" t="n">
        <v>-52912</v>
      </c>
      <c r="AG21" t="n">
        <v>12852</v>
      </c>
      <c r="AH21" t="n">
        <v>12268</v>
      </c>
    </row>
    <row r="22">
      <c r="A22" s="5" t="inlineStr">
        <is>
          <t>Closing equity</t>
        </is>
      </c>
      <c r="B22" s="5" t="n">
        <v>1204945</v>
      </c>
      <c r="C22" s="5" t="n">
        <v>1046052</v>
      </c>
      <c r="D22" s="5" t="n">
        <v>889770</v>
      </c>
      <c r="E22" s="5" t="n">
        <v>695277</v>
      </c>
      <c r="F22" s="5" t="n">
        <v>430424</v>
      </c>
      <c r="G22" s="5" t="n">
        <v>140831</v>
      </c>
      <c r="AB22" t="inlineStr">
        <is>
          <t>Closing equity</t>
        </is>
      </c>
      <c r="AC22" t="n">
        <v>140831</v>
      </c>
      <c r="AD22" t="n">
        <v>430424</v>
      </c>
      <c r="AE22" t="n">
        <v>695277</v>
      </c>
      <c r="AF22" t="n">
        <v>889770</v>
      </c>
      <c r="AG22" t="n">
        <v>1046052</v>
      </c>
      <c r="AH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 (SGHL)‡</t>
        </is>
      </c>
    </row>
    <row r="26">
      <c r="A26" s="5" t="inlineStr">
        <is>
          <t>Net cash flows from operating activities</t>
        </is>
      </c>
      <c r="B26" s="5" t="n">
        <v>183334</v>
      </c>
      <c r="C26" s="5" t="n">
        <v>1016373</v>
      </c>
      <c r="D26" s="5" t="n">
        <v>1290259</v>
      </c>
      <c r="E26" s="5" t="n">
        <v>80602</v>
      </c>
      <c r="F26" s="5" t="n">
        <v>3535459</v>
      </c>
      <c r="G26" s="5" t="n">
        <v>3530940</v>
      </c>
      <c r="AK26" t="inlineStr">
        <is>
          <t>Net cash flows from operating activities</t>
        </is>
      </c>
      <c r="AL26" t="n">
        <v>3530940</v>
      </c>
      <c r="AM26" t="n">
        <v>3535459</v>
      </c>
      <c r="AN26" t="n">
        <v>80602</v>
      </c>
      <c r="AO26" t="n">
        <v>1290259</v>
      </c>
      <c r="AP26" t="n">
        <v>1016373</v>
      </c>
      <c r="AQ26" t="n">
        <v>183334</v>
      </c>
    </row>
    <row r="27">
      <c r="A27" s="5" t="inlineStr">
        <is>
          <t>Net cash flows from investing activities</t>
        </is>
      </c>
      <c r="B27" s="5" t="n">
        <v>-2971053</v>
      </c>
      <c r="C27" s="5" t="n">
        <v>-703480</v>
      </c>
      <c r="D27" s="5" t="n">
        <v>-876839</v>
      </c>
      <c r="E27" s="5" t="n">
        <v>-192075</v>
      </c>
      <c r="F27" s="5" t="n">
        <v>-879270</v>
      </c>
      <c r="G27" s="5" t="n">
        <v>-1191134</v>
      </c>
      <c r="AK27" t="inlineStr">
        <is>
          <t>Net cash flows from investing activities</t>
        </is>
      </c>
      <c r="AL27" t="n">
        <v>-1191134</v>
      </c>
      <c r="AM27" t="n">
        <v>-879270</v>
      </c>
      <c r="AN27" t="n">
        <v>-192075</v>
      </c>
      <c r="AO27" t="n">
        <v>-876839</v>
      </c>
      <c r="AP27" t="n">
        <v>-703480</v>
      </c>
      <c r="AQ27" t="n">
        <v>-2971053</v>
      </c>
    </row>
    <row r="28">
      <c r="A28" s="5" t="inlineStr">
        <is>
          <t>Net cash flows from financing activities</t>
        </is>
      </c>
      <c r="B28" s="5" t="n">
        <v>295880</v>
      </c>
      <c r="C28" s="5" t="n">
        <v>-52710</v>
      </c>
      <c r="D28" s="5" t="n">
        <v>-58516</v>
      </c>
      <c r="E28" s="5" t="n">
        <v>130432</v>
      </c>
      <c r="F28" s="5" t="n">
        <v>238220</v>
      </c>
      <c r="G28" s="5" t="n">
        <v>91838</v>
      </c>
      <c r="AK28" t="inlineStr">
        <is>
          <t>Net cash flows from financing activities</t>
        </is>
      </c>
      <c r="AL28" t="n">
        <v>91838</v>
      </c>
      <c r="AM28" t="n">
        <v>238220</v>
      </c>
      <c r="AN28" t="n">
        <v>130432</v>
      </c>
      <c r="AO28" t="n">
        <v>-58516</v>
      </c>
      <c r="AP28" t="n">
        <v>-52710</v>
      </c>
      <c r="AQ28" t="n">
        <v>295880</v>
      </c>
    </row>
    <row r="29">
      <c r="A29" s="5" t="inlineStr">
        <is>
          <t>Cash and cash equivalents at end of period/year</t>
        </is>
      </c>
      <c r="B29" s="5" t="n">
        <v>4225338</v>
      </c>
      <c r="C29" s="5" t="n">
        <v>6717177</v>
      </c>
      <c r="D29" s="5" t="n">
        <v>6456994</v>
      </c>
      <c r="E29" s="5" t="n">
        <v>6102090</v>
      </c>
      <c r="F29" s="5" t="n">
        <v>6083131</v>
      </c>
      <c r="G29" s="5" t="n">
        <v>3196349</v>
      </c>
      <c r="AK29" t="inlineStr">
        <is>
          <t>Cash and cash equivalents at end of period/year</t>
        </is>
      </c>
      <c r="AL29" t="n">
        <v>3196349</v>
      </c>
      <c r="AM29" t="n">
        <v>6083131</v>
      </c>
      <c r="AN29" t="n">
        <v>6102090</v>
      </c>
      <c r="AO29" t="n">
        <v>6456994</v>
      </c>
      <c r="AP29" t="n">
        <v>6717177</v>
      </c>
      <c r="AQ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row>
    <row r="33">
      <c r="A33" s="6" t="inlineStr">
        <is>
          <t>CET1 Ratio</t>
        </is>
      </c>
      <c r="B33" s="6" t="inlineStr">
        <is>
          <t>28.58%</t>
        </is>
      </c>
      <c r="C33" s="6" t="inlineStr">
        <is>
          <t>31.55%</t>
        </is>
      </c>
      <c r="D33" s="6" t="inlineStr">
        <is>
          <t>32.55%</t>
        </is>
      </c>
      <c r="E33" s="6" t="inlineStr">
        <is>
          <t>37.50%</t>
        </is>
      </c>
      <c r="F33" s="6" t="inlineStr">
        <is>
          <t>39.96%</t>
        </is>
      </c>
      <c r="G33" s="6" t="inlineStr">
        <is>
          <t>47.9%</t>
        </is>
      </c>
    </row>
    <row r="34">
      <c r="A34" s="6" t="inlineStr">
        <is>
          <t>Tier 1 Ratio</t>
        </is>
      </c>
      <c r="B34" s="6" t="inlineStr">
        <is>
          <t>28.58%</t>
        </is>
      </c>
      <c r="C34" s="6" t="inlineStr">
        <is>
          <t>31.55%</t>
        </is>
      </c>
      <c r="D34" s="6" t="inlineStr">
        <is>
          <t>32.55%</t>
        </is>
      </c>
      <c r="E34" s="6" t="inlineStr">
        <is>
          <t>37.50%</t>
        </is>
      </c>
      <c r="F34" s="6" t="inlineStr">
        <is>
          <t>39.96%</t>
        </is>
      </c>
      <c r="G34" s="6" t="inlineStr">
        <is>
          <t>47.9%</t>
        </is>
      </c>
    </row>
    <row r="35">
      <c r="A35" s="6" t="inlineStr">
        <is>
          <t>Total Capital Ratio</t>
        </is>
      </c>
      <c r="B35" s="6" t="inlineStr">
        <is>
          <t>28.58%</t>
        </is>
      </c>
      <c r="C35" s="6" t="inlineStr">
        <is>
          <t>31.55%</t>
        </is>
      </c>
      <c r="D35" s="6" t="inlineStr">
        <is>
          <t>32.55%</t>
        </is>
      </c>
      <c r="E35" s="6" t="inlineStr">
        <is>
          <t>37.50%</t>
        </is>
      </c>
      <c r="F35" s="6" t="inlineStr">
        <is>
          <t>39.96%</t>
        </is>
      </c>
      <c r="G35" s="6" t="inlineStr">
        <is>
          <t>47.9%</t>
        </is>
      </c>
    </row>
    <row r="36">
      <c r="A36" s="6" t="inlineStr">
        <is>
          <t>Leverage Ratio</t>
        </is>
      </c>
      <c r="B36" s="6" t="inlineStr">
        <is>
          <t>8.91%</t>
        </is>
      </c>
      <c r="C36" s="6" t="inlineStr">
        <is>
          <t>11.14%</t>
        </is>
      </c>
      <c r="D36" s="6" t="inlineStr">
        <is>
          <t>10.39%</t>
        </is>
      </c>
      <c r="E36" s="6" t="inlineStr">
        <is>
          <t>9.30%</t>
        </is>
      </c>
      <c r="F36" s="6" t="inlineStr">
        <is>
          <t>7.85%</t>
        </is>
      </c>
      <c r="G36" s="6" t="inlineStr">
        <is>
          <t>5.4%</t>
        </is>
      </c>
    </row>
    <row r="37">
      <c r="A37" s="6" t="inlineStr">
        <is>
          <t>LCR</t>
        </is>
      </c>
      <c r="B37" s="6" t="inlineStr">
        <is>
          <t>569.01%</t>
        </is>
      </c>
      <c r="C37" s="6" t="inlineStr">
        <is>
          <t>515.73%</t>
        </is>
      </c>
      <c r="D37" s="6" t="inlineStr">
        <is>
          <t>450.56%</t>
        </is>
      </c>
      <c r="E37" s="6" t="inlineStr">
        <is>
          <t>460%</t>
        </is>
      </c>
      <c r="F37" s="6" t="inlineStr">
        <is>
          <t>515%</t>
        </is>
      </c>
      <c r="G37" s="6" t="inlineStr">
        <is>
          <t>506%</t>
        </is>
      </c>
    </row>
    <row r="38">
      <c r="A38" s="6" t="inlineStr">
        <is>
          <t>NSFR</t>
        </is>
      </c>
      <c r="B38" s="6" t="inlineStr">
        <is>
          <t>246.87%</t>
        </is>
      </c>
      <c r="C38" s="6" t="inlineStr">
        <is>
          <t>242.10%</t>
        </is>
      </c>
      <c r="D38" s="6" t="inlineStr">
        <is>
          <t>222.76%</t>
        </is>
      </c>
      <c r="E38" s="6" t="inlineStr">
        <is>
          <t>245%</t>
        </is>
      </c>
      <c r="F38" s="6" t="inlineStr">
        <is>
          <t>261%</t>
        </is>
      </c>
      <c r="G38" s="6" t="inlineStr">
        <is>
          <t>299%</t>
        </is>
      </c>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Assets</t>
        </is>
      </c>
      <c r="B4" s="6" t="n"/>
      <c r="C4" s="6" t="n"/>
      <c r="D4" s="6" t="n"/>
      <c r="E4" s="6" t="n"/>
      <c r="F4" s="6" t="n"/>
      <c r="G4" s="6" t="n"/>
    </row>
    <row r="5">
      <c r="A5" s="6" t="inlineStr">
        <is>
          <t>Cash and balances at central banks</t>
        </is>
      </c>
      <c r="B5" s="6" t="n">
        <v>4188830</v>
      </c>
      <c r="C5" s="6" t="n">
        <v>6686688</v>
      </c>
      <c r="D5" s="6" t="n">
        <v>6420115</v>
      </c>
      <c r="E5" s="6" t="n"/>
      <c r="F5" s="6" t="n"/>
      <c r="G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row>
    <row r="7">
      <c r="A7" s="6" t="inlineStr">
        <is>
          <t>Debt securities</t>
        </is>
      </c>
      <c r="B7" s="6" t="n">
        <v>6843426</v>
      </c>
      <c r="C7" s="6" t="n">
        <v>3934922</v>
      </c>
      <c r="D7" s="6" t="n">
        <v>3284867</v>
      </c>
      <c r="E7" s="6" t="n">
        <v>2479550</v>
      </c>
      <c r="F7" s="6" t="n">
        <v>2306886</v>
      </c>
      <c r="G7" s="6" t="n">
        <v>1513278</v>
      </c>
    </row>
    <row r="8">
      <c r="A8" s="6" t="inlineStr">
        <is>
          <t>Derivative assets</t>
        </is>
      </c>
      <c r="B8" s="6" t="n">
        <v>110908</v>
      </c>
      <c r="C8" s="6" t="n">
        <v>156615</v>
      </c>
      <c r="D8" s="6" t="n">
        <v>246541</v>
      </c>
      <c r="E8" s="6" t="n">
        <v>221774</v>
      </c>
      <c r="F8" s="6" t="n">
        <v>98056</v>
      </c>
      <c r="G8" s="6" t="n">
        <v>13488</v>
      </c>
    </row>
    <row r="9">
      <c r="A9" s="6" t="inlineStr">
        <is>
          <t>Loans and advances to customers</t>
        </is>
      </c>
      <c r="B9" s="6" t="n">
        <v>5161359</v>
      </c>
      <c r="C9" s="6" t="n">
        <v>4670567</v>
      </c>
      <c r="D9" s="6" t="n">
        <v>4537663</v>
      </c>
      <c r="E9" s="6" t="n">
        <v>4731997</v>
      </c>
      <c r="F9" s="6" t="n">
        <v>3234673</v>
      </c>
      <c r="G9" s="6" t="n">
        <v>2232846</v>
      </c>
    </row>
    <row r="10">
      <c r="A10" s="6" t="inlineStr">
        <is>
          <t>Other assets</t>
        </is>
      </c>
      <c r="B10" s="6" t="n">
        <v>63120</v>
      </c>
      <c r="C10" s="6" t="n">
        <v>54474</v>
      </c>
      <c r="D10" s="6" t="n">
        <v>100047</v>
      </c>
      <c r="E10" s="6" t="n">
        <v>71851</v>
      </c>
      <c r="F10" s="6" t="n">
        <v>66635</v>
      </c>
      <c r="G10" s="6" t="n">
        <v>63460</v>
      </c>
    </row>
    <row r="11">
      <c r="A11" s="6" t="inlineStr">
        <is>
          <t>Current tax asset</t>
        </is>
      </c>
      <c r="B11" s="6" t="n">
        <v>0</v>
      </c>
      <c r="C11" s="6" t="n">
        <v>748</v>
      </c>
      <c r="D11" s="6" t="n">
        <v>15640</v>
      </c>
      <c r="E11" s="6" t="n"/>
      <c r="F11" s="6" t="n"/>
      <c r="G11" s="6" t="n"/>
    </row>
    <row r="12">
      <c r="A12" s="6" t="inlineStr">
        <is>
          <t>Deferred tax asset</t>
        </is>
      </c>
      <c r="B12" s="6" t="n">
        <v>1702</v>
      </c>
      <c r="C12" s="6" t="n"/>
      <c r="D12" s="6" t="n"/>
      <c r="E12" s="6" t="n">
        <v>4664</v>
      </c>
      <c r="F12" s="6" t="n">
        <v>21985</v>
      </c>
      <c r="G12" s="6" t="n">
        <v>6088</v>
      </c>
    </row>
    <row r="13">
      <c r="A13" s="6" t="inlineStr">
        <is>
          <t>Property, plant and equipment and right of use assets</t>
        </is>
      </c>
      <c r="B13" s="6" t="n">
        <v>26726</v>
      </c>
      <c r="C13" s="6" t="n">
        <v>18388</v>
      </c>
      <c r="D13" s="6" t="n">
        <v>18727</v>
      </c>
      <c r="E13" s="6" t="n">
        <v>15480</v>
      </c>
      <c r="F13" s="6" t="n">
        <v>5904</v>
      </c>
      <c r="G13" s="6" t="n"/>
    </row>
    <row r="14">
      <c r="A14" s="6" t="inlineStr">
        <is>
          <t>Property, plant and equipment and intangible assets (FY2021: combined, pre-dates Goodwill - see source note)</t>
        </is>
      </c>
      <c r="B14" s="6" t="n"/>
      <c r="C14" s="6" t="n"/>
      <c r="D14" s="6" t="n"/>
      <c r="E14" s="6" t="n"/>
      <c r="F14" s="6" t="n"/>
      <c r="G14" s="6" t="n">
        <v>23325</v>
      </c>
    </row>
    <row r="15">
      <c r="A15" s="6" t="inlineStr">
        <is>
          <t>Intangible assets</t>
        </is>
      </c>
      <c r="B15" s="6" t="n">
        <v>169008</v>
      </c>
      <c r="C15" s="6" t="n">
        <v>108891</v>
      </c>
      <c r="D15" s="6" t="n">
        <v>71523</v>
      </c>
      <c r="E15" s="6" t="n">
        <v>40585</v>
      </c>
      <c r="F15" s="6" t="n">
        <v>28211</v>
      </c>
      <c r="G15" s="6" t="n"/>
    </row>
    <row r="16">
      <c r="A16" s="6" t="inlineStr">
        <is>
          <t>Goodwill</t>
        </is>
      </c>
      <c r="B16" s="6" t="n">
        <v>38347</v>
      </c>
      <c r="C16" s="6" t="n">
        <v>35890</v>
      </c>
      <c r="D16" s="6" t="n">
        <v>35890</v>
      </c>
      <c r="E16" s="6" t="n">
        <v>35890</v>
      </c>
      <c r="F16" s="6" t="n">
        <v>35890</v>
      </c>
      <c r="G16" s="6" t="n"/>
    </row>
    <row r="17">
      <c r="A17" s="5" t="inlineStr">
        <is>
          <t>Total assets</t>
        </is>
      </c>
      <c r="B17" s="5" t="n">
        <v>16639934</v>
      </c>
      <c r="C17" s="5" t="n">
        <v>15697672</v>
      </c>
      <c r="D17" s="5" t="n">
        <v>14767892</v>
      </c>
      <c r="E17" s="5" t="n">
        <v>13711495</v>
      </c>
      <c r="F17" s="5" t="n">
        <v>11905521</v>
      </c>
      <c r="G17" s="5" t="n">
        <v>7048834</v>
      </c>
    </row>
    <row r="18">
      <c r="A18" s="5" t="inlineStr">
        <is>
          <t>Liabilities</t>
        </is>
      </c>
      <c r="B18" s="6" t="n"/>
      <c r="C18" s="6" t="n"/>
      <c r="D18" s="6" t="n"/>
      <c r="E18" s="6" t="n"/>
      <c r="F18" s="6" t="n"/>
      <c r="G18" s="6" t="n"/>
    </row>
    <row r="19">
      <c r="A19" s="6" t="inlineStr">
        <is>
          <t>Customer deposits</t>
        </is>
      </c>
      <c r="B19" s="6" t="n">
        <v>12691991</v>
      </c>
      <c r="C19" s="6" t="n">
        <v>12066650</v>
      </c>
      <c r="D19" s="6" t="n">
        <v>10970237</v>
      </c>
      <c r="E19" s="6" t="n">
        <v>10551820</v>
      </c>
      <c r="F19" s="6" t="n">
        <v>9027413</v>
      </c>
      <c r="G19" s="6" t="n">
        <v>5827581</v>
      </c>
    </row>
    <row r="20">
      <c r="A20" s="6" t="inlineStr">
        <is>
          <t>Deposits from banks</t>
        </is>
      </c>
      <c r="B20" s="6" t="n">
        <v>2539524</v>
      </c>
      <c r="C20" s="6" t="n">
        <v>2278221</v>
      </c>
      <c r="D20" s="6" t="n">
        <v>2420471</v>
      </c>
      <c r="E20" s="6" t="n">
        <v>2274306</v>
      </c>
      <c r="F20" s="6" t="n">
        <v>2283821</v>
      </c>
      <c r="G20" s="6" t="n"/>
    </row>
    <row r="21">
      <c r="A21" s="6" t="inlineStr">
        <is>
          <t>Central Bank Facilities (FY2021 - TFSME drawdown, predates Deposits from banks presentation)</t>
        </is>
      </c>
      <c r="B21" s="6" t="n"/>
      <c r="C21" s="6" t="n"/>
      <c r="D21" s="6" t="n"/>
      <c r="E21" s="6" t="n"/>
      <c r="F21" s="6" t="n"/>
      <c r="G21" s="6" t="n">
        <v>1000000</v>
      </c>
    </row>
    <row r="22">
      <c r="A22" s="6" t="inlineStr">
        <is>
          <t>Derivative liabilities</t>
        </is>
      </c>
      <c r="B22" s="6" t="n">
        <v>39098</v>
      </c>
      <c r="C22" s="6" t="n">
        <v>49052</v>
      </c>
      <c r="D22" s="6" t="n">
        <v>51417</v>
      </c>
      <c r="E22" s="6" t="n">
        <v>55452</v>
      </c>
      <c r="F22" s="6" t="n">
        <v>330</v>
      </c>
      <c r="G22" s="6" t="n">
        <v>818</v>
      </c>
    </row>
    <row r="23">
      <c r="A23" s="6" t="inlineStr">
        <is>
          <t>Other liabilities</t>
        </is>
      </c>
      <c r="B23" s="6" t="n">
        <v>106320</v>
      </c>
      <c r="C23" s="6" t="n">
        <v>145617</v>
      </c>
      <c r="D23" s="6" t="n">
        <v>367422</v>
      </c>
      <c r="E23" s="6" t="n">
        <v>96958</v>
      </c>
      <c r="F23" s="6" t="n">
        <v>138614</v>
      </c>
      <c r="G23" s="6" t="n">
        <v>39141</v>
      </c>
    </row>
    <row r="24">
      <c r="A24" s="6" t="inlineStr">
        <is>
          <t>Deferred income</t>
        </is>
      </c>
      <c r="B24" s="6" t="n">
        <v>17245</v>
      </c>
      <c r="C24" s="6" t="n">
        <v>59980</v>
      </c>
      <c r="D24" s="6" t="n">
        <v>47873</v>
      </c>
      <c r="E24" s="6" t="n">
        <v>32380</v>
      </c>
      <c r="F24" s="6" t="n">
        <v>23059</v>
      </c>
      <c r="G24" s="6" t="n">
        <v>38463</v>
      </c>
    </row>
    <row r="25">
      <c r="A25" s="6" t="inlineStr">
        <is>
          <t>Provisions</t>
        </is>
      </c>
      <c r="B25" s="6" t="n">
        <v>33775</v>
      </c>
      <c r="C25" s="6" t="n">
        <v>51396</v>
      </c>
      <c r="D25" s="6" t="n">
        <v>11507</v>
      </c>
      <c r="E25" s="6" t="n">
        <v>1342</v>
      </c>
      <c r="F25" s="6" t="n">
        <v>1242</v>
      </c>
      <c r="G25" s="6" t="n">
        <v>2000</v>
      </c>
    </row>
    <row r="26">
      <c r="A26" s="6" t="inlineStr">
        <is>
          <t>Current tax liability</t>
        </is>
      </c>
      <c r="B26" s="6" t="n">
        <v>7036</v>
      </c>
      <c r="C26" s="6" t="n"/>
      <c r="D26" s="6" t="n"/>
      <c r="E26" s="6" t="n">
        <v>3960</v>
      </c>
      <c r="F26" s="6" t="n">
        <v>618</v>
      </c>
      <c r="G26" s="6" t="n"/>
    </row>
    <row r="27">
      <c r="A27" s="6" t="inlineStr">
        <is>
          <t>Deferred tax liability</t>
        </is>
      </c>
      <c r="B27" s="6" t="n"/>
      <c r="C27" s="6" t="n">
        <v>704</v>
      </c>
      <c r="D27" s="6" t="n">
        <v>9195</v>
      </c>
      <c r="E27" s="6" t="n"/>
      <c r="F27" s="6" t="n"/>
      <c r="G27" s="6" t="n"/>
    </row>
    <row r="28">
      <c r="A28" s="5" t="inlineStr">
        <is>
          <t>Total liabilities</t>
        </is>
      </c>
      <c r="B28" s="5" t="n">
        <v>15434989</v>
      </c>
      <c r="C28" s="5" t="n">
        <v>14651620</v>
      </c>
      <c r="D28" s="5" t="n">
        <v>13878122</v>
      </c>
      <c r="E28" s="5" t="n">
        <v>13016218</v>
      </c>
      <c r="F28" s="5" t="n">
        <v>11475097</v>
      </c>
      <c r="G28" s="5" t="n">
        <v>6908003</v>
      </c>
    </row>
    <row r="29">
      <c r="A29" s="5" t="inlineStr">
        <is>
          <t>Equity</t>
        </is>
      </c>
      <c r="B29" s="6" t="n"/>
      <c r="C29" s="6" t="n"/>
      <c r="D29" s="6" t="n"/>
      <c r="E29" s="6" t="n"/>
      <c r="F29" s="6" t="n"/>
      <c r="G29" s="6" t="n"/>
    </row>
    <row r="30">
      <c r="A30" s="6" t="inlineStr">
        <is>
          <t>Share capital</t>
        </is>
      </c>
      <c r="B30" s="6" t="n">
        <v>12</v>
      </c>
      <c r="C30" s="6" t="n">
        <v>12</v>
      </c>
      <c r="D30" s="6" t="n">
        <v>12</v>
      </c>
      <c r="E30" s="6" t="n">
        <v>12</v>
      </c>
      <c r="F30" s="6" t="n">
        <v>11</v>
      </c>
      <c r="G30" s="6" t="n">
        <v>9</v>
      </c>
    </row>
    <row r="31">
      <c r="A31" s="6" t="inlineStr">
        <is>
          <t>Share premium</t>
        </is>
      </c>
      <c r="B31" s="6" t="n">
        <v>0</v>
      </c>
      <c r="C31" s="6" t="n">
        <v>608833</v>
      </c>
      <c r="D31" s="6" t="n">
        <v>608833</v>
      </c>
      <c r="E31" s="6" t="n">
        <v>608833</v>
      </c>
      <c r="F31" s="6" t="n">
        <v>478333</v>
      </c>
      <c r="G31" s="6" t="n">
        <v>253335</v>
      </c>
    </row>
    <row r="32">
      <c r="A32" s="6" t="inlineStr">
        <is>
          <t>Merger reserve</t>
        </is>
      </c>
      <c r="B32" s="6" t="n">
        <v>623833</v>
      </c>
      <c r="C32" s="6" t="n">
        <v>15000</v>
      </c>
      <c r="D32" s="6" t="n">
        <v>15000</v>
      </c>
      <c r="E32" s="6" t="n">
        <v>15000</v>
      </c>
      <c r="F32" s="6" t="n">
        <v>15000</v>
      </c>
      <c r="G32" s="6" t="n"/>
    </row>
    <row r="33">
      <c r="A33" s="6" t="inlineStr">
        <is>
          <t>Cash flow hedging reserve</t>
        </is>
      </c>
      <c r="B33" s="6" t="n">
        <v>427</v>
      </c>
      <c r="C33" s="6" t="n">
        <v>9834</v>
      </c>
      <c r="D33" s="6" t="n">
        <v>17133</v>
      </c>
      <c r="E33" s="6" t="n">
        <v>-10246</v>
      </c>
      <c r="F33" s="6" t="n"/>
      <c r="G33" s="6" t="n"/>
    </row>
    <row r="34">
      <c r="A34" s="6" t="inlineStr">
        <is>
          <t>Other reserves (own shares held/share awards/sundry/FX - see source note)</t>
        </is>
      </c>
      <c r="B34" s="6" t="n">
        <v>-19020</v>
      </c>
      <c r="C34" s="6" t="n">
        <v>-31277</v>
      </c>
      <c r="D34" s="6" t="n">
        <v>-44136</v>
      </c>
      <c r="E34" s="6" t="n">
        <v>9267</v>
      </c>
      <c r="F34" s="6" t="n">
        <v>7525</v>
      </c>
      <c r="G34" s="6" t="n">
        <v>2980</v>
      </c>
    </row>
    <row r="35">
      <c r="A35" s="6" t="inlineStr">
        <is>
          <t>Retained earnings / (Accumulated losses)</t>
        </is>
      </c>
      <c r="B35" s="6" t="n">
        <v>599693</v>
      </c>
      <c r="C35" s="6" t="n">
        <v>443650</v>
      </c>
      <c r="D35" s="6" t="n">
        <v>292928</v>
      </c>
      <c r="E35" s="6" t="n">
        <v>72411</v>
      </c>
      <c r="F35" s="6" t="n">
        <v>-70445</v>
      </c>
      <c r="G35" s="6" t="n">
        <v>-115493</v>
      </c>
    </row>
    <row r="36">
      <c r="A36" s="5" t="inlineStr">
        <is>
          <t>Total equity</t>
        </is>
      </c>
      <c r="B36" s="5" t="n">
        <v>1204945</v>
      </c>
      <c r="C36" s="5" t="n">
        <v>1046052</v>
      </c>
      <c r="D36" s="5" t="n">
        <v>889770</v>
      </c>
      <c r="E36" s="5" t="n">
        <v>695277</v>
      </c>
      <c r="F36" s="5" t="n">
        <v>430424</v>
      </c>
      <c r="G36" s="5" t="n">
        <v>140831</v>
      </c>
    </row>
    <row r="37">
      <c r="A37" s="5" t="inlineStr">
        <is>
          <t>Total liabilities and equity</t>
        </is>
      </c>
      <c r="B37" s="5" t="n">
        <v>16639934</v>
      </c>
      <c r="C37" s="5" t="n">
        <v>15697672</v>
      </c>
      <c r="D37" s="5" t="n">
        <v>14767892</v>
      </c>
      <c r="E37" s="5" t="n">
        <v>13711495</v>
      </c>
      <c r="F37" s="5" t="n">
        <v>11905521</v>
      </c>
      <c r="G37" s="5" t="n">
        <v>7048834</v>
      </c>
    </row>
    <row r="39" ht="290" customHeight="1">
      <c r="A39"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Income (FY2021-FY2025 presentation)</t>
        </is>
      </c>
      <c r="B4" s="6" t="n"/>
      <c r="C4" s="6" t="n"/>
      <c r="D4" s="6" t="n"/>
      <c r="E4" s="6" t="n"/>
      <c r="F4" s="6" t="n"/>
      <c r="G4" s="6" t="n"/>
    </row>
    <row r="5">
      <c r="A5" s="6" t="inlineStr">
        <is>
          <t>Interest income</t>
        </is>
      </c>
      <c r="B5" s="6" t="n"/>
      <c r="C5" s="6" t="n">
        <v>811695</v>
      </c>
      <c r="D5" s="6" t="n">
        <v>754808</v>
      </c>
      <c r="E5" s="6" t="n">
        <v>403103</v>
      </c>
      <c r="F5" s="6" t="n">
        <v>126614</v>
      </c>
      <c r="G5" s="6" t="n"/>
    </row>
    <row r="6">
      <c r="A6" s="6" t="inlineStr">
        <is>
          <t>Interest expense</t>
        </is>
      </c>
      <c r="B6" s="6" t="n"/>
      <c r="C6" s="6" t="n">
        <v>-221533</v>
      </c>
      <c r="D6" s="6" t="n">
        <v>-161937</v>
      </c>
      <c r="E6" s="6" t="n">
        <v>-54258</v>
      </c>
      <c r="F6" s="6" t="n">
        <v>-4902</v>
      </c>
      <c r="G6" s="6" t="n"/>
    </row>
    <row r="7">
      <c r="A7" s="5" t="inlineStr">
        <is>
          <t>Net interest income</t>
        </is>
      </c>
      <c r="B7" s="5" t="n"/>
      <c r="C7" s="5" t="n">
        <v>590162</v>
      </c>
      <c r="D7" s="5" t="n">
        <v>592871</v>
      </c>
      <c r="E7" s="5" t="n">
        <v>348845</v>
      </c>
      <c r="F7" s="5" t="n">
        <v>121712</v>
      </c>
      <c r="G7" s="5" t="n">
        <v>59253</v>
      </c>
    </row>
    <row r="8">
      <c r="A8" s="6" t="inlineStr">
        <is>
          <t>Fees and commissions income</t>
        </is>
      </c>
      <c r="B8" s="6" t="n"/>
      <c r="C8" s="6" t="n">
        <v>128306</v>
      </c>
      <c r="D8" s="6" t="n">
        <v>119467</v>
      </c>
      <c r="E8" s="6" t="n">
        <v>112413</v>
      </c>
      <c r="F8" s="6" t="n">
        <v>86041</v>
      </c>
      <c r="G8" s="6" t="n"/>
    </row>
    <row r="9">
      <c r="A9" s="6" t="inlineStr">
        <is>
          <t>Fees and commissions expense</t>
        </is>
      </c>
      <c r="B9" s="6" t="n"/>
      <c r="C9" s="6" t="n">
        <v>-33539</v>
      </c>
      <c r="D9" s="6" t="n">
        <v>-35044</v>
      </c>
      <c r="E9" s="6" t="n">
        <v>-38023</v>
      </c>
      <c r="F9" s="6" t="n">
        <v>-28311</v>
      </c>
      <c r="G9" s="6" t="n"/>
    </row>
    <row r="10">
      <c r="A10" s="5" t="inlineStr">
        <is>
          <t>Net fees and commissions</t>
        </is>
      </c>
      <c r="B10" s="5" t="n"/>
      <c r="C10" s="5" t="n">
        <v>94767</v>
      </c>
      <c r="D10" s="5" t="n">
        <v>84423</v>
      </c>
      <c r="E10" s="5" t="n">
        <v>74390</v>
      </c>
      <c r="F10" s="5" t="n">
        <v>57730</v>
      </c>
      <c r="G10" s="5" t="n">
        <v>33884</v>
      </c>
    </row>
    <row r="11">
      <c r="A11" s="6" t="inlineStr">
        <is>
          <t>Other (expense)/income</t>
        </is>
      </c>
      <c r="B11" s="6" t="n"/>
      <c r="C11" s="6" t="n">
        <v>-4546</v>
      </c>
      <c r="D11" s="6" t="n">
        <v>-30176</v>
      </c>
      <c r="E11" s="6" t="n">
        <v>-8421</v>
      </c>
      <c r="F11" s="6" t="n">
        <v>8624</v>
      </c>
      <c r="G11" s="6" t="n">
        <v>4452</v>
      </c>
    </row>
    <row r="12">
      <c r="A12" s="6" t="inlineStr">
        <is>
          <t>Credit for eligible spend (CIF)</t>
        </is>
      </c>
      <c r="B12" s="6" t="n"/>
      <c r="C12" s="6" t="n"/>
      <c r="D12" s="6" t="n"/>
      <c r="E12" s="6" t="n">
        <v>10447</v>
      </c>
      <c r="F12" s="6" t="n">
        <v>32958</v>
      </c>
      <c r="G12" s="6" t="n">
        <v>46044</v>
      </c>
    </row>
    <row r="13">
      <c r="A13" s="5" t="inlineStr">
        <is>
          <t>Total income</t>
        </is>
      </c>
      <c r="B13" s="5" t="n"/>
      <c r="C13" s="5" t="n">
        <v>680383</v>
      </c>
      <c r="D13" s="5" t="n">
        <v>647118</v>
      </c>
      <c r="E13" s="5" t="n">
        <v>414814</v>
      </c>
      <c r="F13" s="5" t="n">
        <v>188066</v>
      </c>
      <c r="G13" s="5" t="n">
        <v>97589</v>
      </c>
    </row>
    <row r="14">
      <c r="A14" s="6" t="inlineStr">
        <is>
          <t>Operating expenses / Administrative expenses</t>
        </is>
      </c>
      <c r="B14" s="6" t="n"/>
      <c r="C14" s="6" t="n">
        <v>-460213</v>
      </c>
      <c r="D14" s="6" t="n">
        <v>-332130</v>
      </c>
      <c r="E14" s="6" t="n">
        <v>-220674</v>
      </c>
      <c r="F14" s="6" t="n">
        <v>-178336</v>
      </c>
      <c r="G14" s="6" t="n">
        <v>-158981</v>
      </c>
    </row>
    <row r="15">
      <c r="A15" s="6" t="inlineStr">
        <is>
          <t>Impairment release/(charge) and charge-offs</t>
        </is>
      </c>
      <c r="B15" s="6" t="n"/>
      <c r="C15" s="6" t="n">
        <v>3243</v>
      </c>
      <c r="D15" s="6" t="n">
        <v>-13889</v>
      </c>
      <c r="E15" s="6" t="n">
        <v>-9991</v>
      </c>
      <c r="F15" s="6" t="n">
        <v>-10636</v>
      </c>
      <c r="G15" s="6" t="n">
        <v>-16106</v>
      </c>
    </row>
    <row r="16">
      <c r="A16" s="5" t="inlineStr">
        <is>
          <t>Profit/(loss) before taxation</t>
        </is>
      </c>
      <c r="B16" s="5" t="n"/>
      <c r="C16" s="5" t="n">
        <v>223413</v>
      </c>
      <c r="D16" s="5" t="n">
        <v>301099</v>
      </c>
      <c r="E16" s="5" t="n">
        <v>194596</v>
      </c>
      <c r="F16" s="5" t="n">
        <v>32052</v>
      </c>
      <c r="G16" s="5" t="n">
        <v>-31454</v>
      </c>
    </row>
    <row r="17">
      <c r="A17" s="6" t="inlineStr">
        <is>
          <t>Tax charge/(credit)</t>
        </is>
      </c>
      <c r="B17" s="6" t="n"/>
      <c r="C17" s="6" t="n">
        <v>-72691</v>
      </c>
      <c r="D17" s="6" t="n">
        <v>-81098</v>
      </c>
      <c r="E17" s="6" t="n">
        <v>-51740</v>
      </c>
      <c r="F17" s="6" t="n">
        <v>12886</v>
      </c>
      <c r="G17" s="6" t="n">
        <v>8135</v>
      </c>
    </row>
    <row r="18">
      <c r="A18" s="5" t="inlineStr">
        <is>
          <t>Profit/(loss) after taxation</t>
        </is>
      </c>
      <c r="B18" s="5" t="n"/>
      <c r="C18" s="5" t="n">
        <v>150722</v>
      </c>
      <c r="D18" s="5" t="n">
        <v>220001</v>
      </c>
      <c r="E18" s="5" t="n">
        <v>142856</v>
      </c>
      <c r="F18" s="5" t="n">
        <v>44938</v>
      </c>
      <c r="G18" s="5" t="n">
        <v>-23319</v>
      </c>
    </row>
    <row r="19">
      <c r="A19" s="5" t="inlineStr">
        <is>
          <t>Other comprehensive income, net of tax (FY2021-FY2025 presentation)</t>
        </is>
      </c>
      <c r="B19" s="6" t="n"/>
      <c r="C19" s="6" t="n"/>
      <c r="D19" s="6" t="n"/>
      <c r="E19" s="6" t="n"/>
      <c r="F19" s="6" t="n"/>
      <c r="G19" s="6" t="n"/>
    </row>
    <row r="20">
      <c r="A20" s="6" t="inlineStr">
        <is>
          <t>Translation of subsidiary company</t>
        </is>
      </c>
      <c r="B20" s="6" t="n"/>
      <c r="C20" s="6" t="n">
        <v>7</v>
      </c>
      <c r="D20" s="6" t="n">
        <v>25</v>
      </c>
      <c r="E20" s="6" t="n">
        <v>47</v>
      </c>
      <c r="F20" s="6" t="n">
        <v>-4</v>
      </c>
      <c r="G20" s="6" t="n"/>
    </row>
    <row r="21">
      <c r="A21" s="6" t="inlineStr">
        <is>
          <t>Cash flow hedges (net of tax)</t>
        </is>
      </c>
      <c r="B21" s="6" t="n"/>
      <c r="C21" s="6" t="n">
        <v>-7299</v>
      </c>
      <c r="D21" s="6" t="n">
        <v>27379</v>
      </c>
      <c r="E21" s="6" t="n">
        <v>-10246</v>
      </c>
      <c r="F21" s="6" t="n"/>
      <c r="G21" s="6" t="n"/>
    </row>
    <row r="22">
      <c r="A22" s="5" t="inlineStr">
        <is>
          <t>Other comprehensive income/(loss), net of tax</t>
        </is>
      </c>
      <c r="B22" s="5" t="n"/>
      <c r="C22" s="5" t="n">
        <v>-7292</v>
      </c>
      <c r="D22" s="5" t="n">
        <v>27404</v>
      </c>
      <c r="E22" s="5" t="n">
        <v>-10199</v>
      </c>
      <c r="F22" s="5" t="n">
        <v>-4</v>
      </c>
      <c r="G22" s="5" t="n">
        <v>0</v>
      </c>
    </row>
    <row r="23">
      <c r="A23" s="5" t="inlineStr">
        <is>
          <t>Total comprehensive income/(loss) for the year, net of tax (FY2021-FY2025 presentation)</t>
        </is>
      </c>
      <c r="B23" s="5" t="n"/>
      <c r="C23" s="5" t="n">
        <v>143430</v>
      </c>
      <c r="D23" s="5" t="n">
        <v>247405</v>
      </c>
      <c r="E23" s="5" t="n">
        <v>132657</v>
      </c>
      <c r="F23" s="5" t="n">
        <v>44934</v>
      </c>
      <c r="G23" s="5" t="n">
        <v>-23319</v>
      </c>
    </row>
    <row r="24">
      <c r="A24" s="5" t="inlineStr">
        <is>
          <t>Income statement (FY2026 presentation - Revenue/Cost of revenue/Gross profit structure)</t>
        </is>
      </c>
      <c r="B24" s="6" t="n"/>
      <c r="C24" s="6" t="n"/>
      <c r="D24" s="6" t="n"/>
      <c r="E24" s="6" t="n"/>
      <c r="F24" s="6" t="n"/>
      <c r="G24" s="6" t="n"/>
    </row>
    <row r="25">
      <c r="A25" s="6" t="inlineStr">
        <is>
          <t>Interest income (FY2026 presentation)</t>
        </is>
      </c>
      <c r="B25" s="6" t="n">
        <v>759202</v>
      </c>
      <c r="C25" s="6" t="n"/>
      <c r="D25" s="6" t="n"/>
      <c r="E25" s="6" t="n"/>
      <c r="F25" s="6" t="n"/>
      <c r="G25" s="6" t="n"/>
    </row>
    <row r="26">
      <c r="A26" s="6" t="inlineStr">
        <is>
          <t>Fee and commission income (FY2026 presentation)</t>
        </is>
      </c>
      <c r="B26" s="6" t="n">
        <v>128153</v>
      </c>
      <c r="C26" s="6" t="n"/>
      <c r="D26" s="6" t="n"/>
      <c r="E26" s="6" t="n"/>
      <c r="F26" s="6" t="n"/>
      <c r="G26" s="6" t="n"/>
    </row>
    <row r="27">
      <c r="A27" s="5" t="inlineStr">
        <is>
          <t>Revenue (FY2026 presentation)</t>
        </is>
      </c>
      <c r="B27" s="5" t="n">
        <v>887355</v>
      </c>
      <c r="C27" s="5" t="n"/>
      <c r="D27" s="5" t="n"/>
      <c r="E27" s="5" t="n"/>
      <c r="F27" s="5" t="n"/>
      <c r="G27" s="5" t="n"/>
    </row>
    <row r="28">
      <c r="A28" s="6" t="inlineStr">
        <is>
          <t>Interest expense (FY2026 presentation)</t>
        </is>
      </c>
      <c r="B28" s="6" t="n">
        <v>-189263</v>
      </c>
      <c r="C28" s="6" t="n"/>
      <c r="D28" s="6" t="n"/>
      <c r="E28" s="6" t="n"/>
      <c r="F28" s="6" t="n"/>
      <c r="G28" s="6" t="n"/>
    </row>
    <row r="29">
      <c r="A29" s="6" t="inlineStr">
        <is>
          <t>Fee expense and cost of services (FY2026 presentation)</t>
        </is>
      </c>
      <c r="B29" s="6" t="n">
        <v>-46579</v>
      </c>
      <c r="C29" s="6" t="n"/>
      <c r="D29" s="6" t="n"/>
      <c r="E29" s="6" t="n"/>
      <c r="F29" s="6" t="n"/>
      <c r="G29" s="6" t="n"/>
    </row>
    <row r="30">
      <c r="A30" s="6" t="inlineStr">
        <is>
          <t>Impairment (charge)/release (FY2026 presentation)</t>
        </is>
      </c>
      <c r="B30" s="6" t="n">
        <v>-6649</v>
      </c>
      <c r="C30" s="6" t="n"/>
      <c r="D30" s="6" t="n"/>
      <c r="E30" s="6" t="n"/>
      <c r="F30" s="6" t="n"/>
      <c r="G30" s="6" t="n"/>
    </row>
    <row r="31">
      <c r="A31" s="5" t="inlineStr">
        <is>
          <t>Cost of revenue (FY2026 presentation)</t>
        </is>
      </c>
      <c r="B31" s="5" t="n">
        <v>-242491</v>
      </c>
      <c r="C31" s="5" t="n"/>
      <c r="D31" s="5" t="n"/>
      <c r="E31" s="5" t="n"/>
      <c r="F31" s="5" t="n"/>
      <c r="G31" s="5" t="n"/>
    </row>
    <row r="32">
      <c r="A32" s="5" t="inlineStr">
        <is>
          <t>Gross profit (FY2026 presentation)</t>
        </is>
      </c>
      <c r="B32" s="5" t="n">
        <v>644864</v>
      </c>
      <c r="C32" s="5" t="n"/>
      <c r="D32" s="5" t="n"/>
      <c r="E32" s="5" t="n"/>
      <c r="F32" s="5" t="n"/>
      <c r="G32" s="5" t="n"/>
    </row>
    <row r="33">
      <c r="A33" s="6" t="inlineStr">
        <is>
          <t>Other income/(expense) (FY2026 presentation)</t>
        </is>
      </c>
      <c r="B33" s="6" t="n">
        <v>14209</v>
      </c>
      <c r="C33" s="6" t="n"/>
      <c r="D33" s="6" t="n"/>
      <c r="E33" s="6" t="n"/>
      <c r="F33" s="6" t="n"/>
      <c r="G33" s="6" t="n"/>
    </row>
    <row r="34">
      <c r="A34" s="6" t="inlineStr">
        <is>
          <t>Operating expenses (FY2026 presentation)</t>
        </is>
      </c>
      <c r="B34" s="6" t="n">
        <v>-441955</v>
      </c>
      <c r="C34" s="6" t="n"/>
      <c r="D34" s="6" t="n"/>
      <c r="E34" s="6" t="n"/>
      <c r="F34" s="6" t="n"/>
      <c r="G34" s="6" t="n"/>
    </row>
    <row r="35">
      <c r="A35" s="5" t="inlineStr">
        <is>
          <t>Profit before taxation (FY2026 presentation)</t>
        </is>
      </c>
      <c r="B35" s="5" t="n">
        <v>217118</v>
      </c>
      <c r="C35" s="5" t="n"/>
      <c r="D35" s="5" t="n"/>
      <c r="E35" s="5" t="n"/>
      <c r="F35" s="5" t="n"/>
      <c r="G35" s="5" t="n"/>
    </row>
    <row r="36">
      <c r="A36" s="6" t="inlineStr">
        <is>
          <t>Tax charge (FY2026 presentation)</t>
        </is>
      </c>
      <c r="B36" s="6" t="n">
        <v>-61075</v>
      </c>
      <c r="C36" s="6" t="n"/>
      <c r="D36" s="6" t="n"/>
      <c r="E36" s="6" t="n"/>
      <c r="F36" s="6" t="n"/>
      <c r="G36" s="6" t="n"/>
    </row>
    <row r="37">
      <c r="A37" s="5" t="inlineStr">
        <is>
          <t>Profit after taxation (FY2026 presentation)</t>
        </is>
      </c>
      <c r="B37" s="5" t="n">
        <v>156043</v>
      </c>
      <c r="C37" s="5" t="n"/>
      <c r="D37" s="5" t="n"/>
      <c r="E37" s="5" t="n"/>
      <c r="F37" s="5" t="n"/>
      <c r="G37" s="5" t="n"/>
    </row>
    <row r="38">
      <c r="A38" s="5" t="inlineStr">
        <is>
          <t>Other comprehensive income, net of tax (FY2026 presentation)</t>
        </is>
      </c>
      <c r="B38" s="6" t="n"/>
      <c r="C38" s="6" t="n"/>
      <c r="D38" s="6" t="n"/>
      <c r="E38" s="6" t="n"/>
      <c r="F38" s="6" t="n"/>
      <c r="G38" s="6" t="n"/>
    </row>
    <row r="39">
      <c r="A39" s="6" t="inlineStr">
        <is>
          <t>Translation of subsidiary companies (FY2026 presentation)</t>
        </is>
      </c>
      <c r="B39" s="6" t="n">
        <v>-11</v>
      </c>
      <c r="C39" s="6" t="n"/>
      <c r="D39" s="6" t="n"/>
      <c r="E39" s="6" t="n"/>
      <c r="F39" s="6" t="n"/>
      <c r="G39" s="6" t="n"/>
    </row>
    <row r="40">
      <c r="A40" s="6" t="inlineStr">
        <is>
          <t>Cash flow hedges (net of tax) (FY2026 presentation)</t>
        </is>
      </c>
      <c r="B40" s="6" t="n">
        <v>-9407</v>
      </c>
      <c r="C40" s="6" t="n"/>
      <c r="D40" s="6" t="n"/>
      <c r="E40" s="6" t="n"/>
      <c r="F40" s="6" t="n"/>
      <c r="G40" s="6" t="n"/>
    </row>
    <row r="41">
      <c r="A41" s="5" t="inlineStr">
        <is>
          <t>Other comprehensive income/(loss), net of tax (FY2026 presentation)</t>
        </is>
      </c>
      <c r="B41" s="5" t="n">
        <v>-9418</v>
      </c>
      <c r="C41" s="5" t="n"/>
      <c r="D41" s="5" t="n"/>
      <c r="E41" s="5" t="n"/>
      <c r="F41" s="5" t="n"/>
      <c r="G41" s="5" t="n"/>
    </row>
    <row r="42">
      <c r="A42" s="5" t="inlineStr">
        <is>
          <t>Total comprehensive income for the year, net of tax (FY2026 presentation)</t>
        </is>
      </c>
      <c r="B42" s="5" t="n">
        <v>146625</v>
      </c>
      <c r="C42" s="5" t="n"/>
      <c r="D42" s="5" t="n"/>
      <c r="E42" s="5" t="n"/>
      <c r="F42" s="5" t="n"/>
      <c r="G42" s="5" t="n"/>
    </row>
    <row r="44" ht="29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G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29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Cash flows from operating activities</t>
        </is>
      </c>
      <c r="B4" s="6" t="n"/>
      <c r="C4" s="6" t="n"/>
      <c r="D4" s="6" t="n"/>
      <c r="E4" s="6" t="n"/>
      <c r="F4" s="6" t="n"/>
      <c r="G4" s="6" t="n"/>
    </row>
    <row r="5">
      <c r="A5" s="6" t="inlineStr">
        <is>
          <t>Profit/(loss) for the period after taxation (FY2021-FY2023 presentation)</t>
        </is>
      </c>
      <c r="B5" s="6" t="n"/>
      <c r="C5" s="6" t="n"/>
      <c r="D5" s="6" t="n"/>
      <c r="E5" s="6" t="n">
        <v>142856</v>
      </c>
      <c r="F5" s="6" t="n">
        <v>44938</v>
      </c>
      <c r="G5" s="6" t="n">
        <v>-23319</v>
      </c>
    </row>
    <row r="6">
      <c r="A6" s="5" t="inlineStr">
        <is>
          <t>Adjustments for non-cash items (FY2021-FY2023 presentation)</t>
        </is>
      </c>
      <c r="B6" s="6" t="n"/>
      <c r="C6" s="6" t="n"/>
      <c r="D6" s="6" t="n"/>
      <c r="E6" s="6" t="n"/>
      <c r="F6" s="6" t="n"/>
      <c r="G6" s="6" t="n"/>
    </row>
    <row r="7">
      <c r="A7" s="6" t="inlineStr">
        <is>
          <t>Depreciation and Amortisation</t>
        </is>
      </c>
      <c r="B7" s="6" t="n"/>
      <c r="C7" s="6" t="n"/>
      <c r="D7" s="6" t="n"/>
      <c r="E7" s="6" t="n">
        <v>10953</v>
      </c>
      <c r="F7" s="6" t="n">
        <v>6384</v>
      </c>
      <c r="G7" s="6" t="n">
        <v>7045</v>
      </c>
    </row>
    <row r="8">
      <c r="A8" s="6" t="inlineStr">
        <is>
          <t>Cost of Share Award Schemes, Net of Tax / FV of Shares Allocated to Employees</t>
        </is>
      </c>
      <c r="B8" s="6" t="n"/>
      <c r="C8" s="6" t="n"/>
      <c r="D8" s="6" t="n"/>
      <c r="E8" s="6" t="n">
        <v>1323</v>
      </c>
      <c r="F8" s="6" t="n">
        <v>4659</v>
      </c>
      <c r="G8" s="6" t="n">
        <v>1927</v>
      </c>
    </row>
    <row r="9">
      <c r="A9" s="6" t="inlineStr">
        <is>
          <t>Change in Derivatives and Fair Value on Hedging Relationships</t>
        </is>
      </c>
      <c r="B9" s="6" t="n"/>
      <c r="C9" s="6" t="n"/>
      <c r="D9" s="6" t="n"/>
      <c r="E9" s="6" t="n">
        <v>6487</v>
      </c>
      <c r="F9" s="6" t="n">
        <v>-7905</v>
      </c>
      <c r="G9" s="6" t="n"/>
    </row>
    <row r="10">
      <c r="A10" s="6" t="inlineStr">
        <is>
          <t>Net Increase in Fair Value of Derivatives (FY2021 presentation)</t>
        </is>
      </c>
      <c r="B10" s="6" t="n"/>
      <c r="C10" s="6" t="n"/>
      <c r="D10" s="6" t="n"/>
      <c r="E10" s="6" t="n"/>
      <c r="F10" s="6" t="n"/>
      <c r="G10" s="6" t="n">
        <v>-12670</v>
      </c>
    </row>
    <row r="11">
      <c r="A11" s="6" t="inlineStr">
        <is>
          <t>Net Increase in Fair Value of Assets Designated as Hedged Items (FY2021 presentation)</t>
        </is>
      </c>
      <c r="B11" s="6" t="n"/>
      <c r="C11" s="6" t="n"/>
      <c r="D11" s="6" t="n"/>
      <c r="E11" s="6" t="n"/>
      <c r="F11" s="6" t="n"/>
      <c r="G11" s="6" t="n">
        <v>12520</v>
      </c>
    </row>
    <row r="12">
      <c r="A12" s="6" t="inlineStr">
        <is>
          <t>Impairment and Charge-offs</t>
        </is>
      </c>
      <c r="B12" s="6" t="n"/>
      <c r="C12" s="6" t="n"/>
      <c r="D12" s="6" t="n"/>
      <c r="E12" s="6" t="n">
        <v>9991</v>
      </c>
      <c r="F12" s="6" t="n">
        <v>10226</v>
      </c>
      <c r="G12" s="6" t="n">
        <v>16106</v>
      </c>
    </row>
    <row r="13">
      <c r="A13" s="6" t="inlineStr">
        <is>
          <t>Recognition of Right of Use Asset (FY2021 presentation)</t>
        </is>
      </c>
      <c r="B13" s="6" t="n"/>
      <c r="C13" s="6" t="n"/>
      <c r="D13" s="6" t="n"/>
      <c r="E13" s="6" t="n"/>
      <c r="F13" s="6" t="n"/>
      <c r="G13" s="6" t="n">
        <v>-5527</v>
      </c>
    </row>
    <row r="14">
      <c r="A14" s="6" t="inlineStr">
        <is>
          <t>Foreign Exchange Losses on Consolidation (FY2021 presentation)</t>
        </is>
      </c>
      <c r="B14" s="6" t="n"/>
      <c r="C14" s="6" t="n"/>
      <c r="D14" s="6" t="n"/>
      <c r="E14" s="6" t="n"/>
      <c r="F14" s="6" t="n"/>
      <c r="G14" s="6" t="n">
        <v>91</v>
      </c>
    </row>
    <row r="15">
      <c r="A15" s="6" t="inlineStr">
        <is>
          <t>Disposal of Intangible Assets (FY2021 presentation)</t>
        </is>
      </c>
      <c r="B15" s="6" t="n"/>
      <c r="C15" s="6" t="n"/>
      <c r="D15" s="6" t="n"/>
      <c r="E15" s="6" t="n"/>
      <c r="F15" s="6" t="n"/>
      <c r="G15" s="6" t="n">
        <v>358</v>
      </c>
    </row>
    <row r="16">
      <c r="A16" s="6" t="inlineStr">
        <is>
          <t>Net Increase in Deferred Tax Asset (adjustment)</t>
        </is>
      </c>
      <c r="B16" s="6" t="n"/>
      <c r="C16" s="6" t="n"/>
      <c r="D16" s="6" t="n"/>
      <c r="E16" s="6" t="n"/>
      <c r="F16" s="6" t="n"/>
      <c r="G16" s="6" t="n">
        <v>-6088</v>
      </c>
    </row>
    <row r="17">
      <c r="A17" s="6" t="inlineStr">
        <is>
          <t>Taxation Charged to the Income Statement</t>
        </is>
      </c>
      <c r="B17" s="6" t="n"/>
      <c r="C17" s="6" t="n"/>
      <c r="D17" s="6" t="n"/>
      <c r="E17" s="6" t="n">
        <v>51740</v>
      </c>
      <c r="F17" s="6" t="n"/>
      <c r="G17" s="6" t="n"/>
    </row>
    <row r="18">
      <c r="A18" s="6" t="inlineStr">
        <is>
          <t>Other Non-Cash Items</t>
        </is>
      </c>
      <c r="B18" s="6" t="n"/>
      <c r="C18" s="6" t="n"/>
      <c r="D18" s="6" t="n"/>
      <c r="E18" s="6" t="n">
        <v>-13652</v>
      </c>
      <c r="F18" s="6" t="n">
        <v>1479</v>
      </c>
      <c r="G18" s="6" t="n"/>
    </row>
    <row r="19">
      <c r="A19" s="5" t="inlineStr">
        <is>
          <t>Net changes in operating assets and liabilities (FY2021-FY2023 presentation)</t>
        </is>
      </c>
      <c r="B19" s="6" t="n"/>
      <c r="C19" s="6" t="n"/>
      <c r="D19" s="6" t="n"/>
      <c r="E19" s="6" t="n"/>
      <c r="F19" s="6" t="n"/>
      <c r="G19" s="6" t="n"/>
    </row>
    <row r="20">
      <c r="A20" s="6" t="inlineStr">
        <is>
          <t>Movement in Loans and Advances to Banks</t>
        </is>
      </c>
      <c r="B20" s="6" t="n"/>
      <c r="C20" s="6" t="n"/>
      <c r="D20" s="6" t="n"/>
      <c r="E20" s="6" t="n">
        <v>-9835</v>
      </c>
      <c r="F20" s="6" t="n">
        <v>-16523</v>
      </c>
      <c r="G20" s="6" t="n"/>
    </row>
    <row r="21">
      <c r="A21" s="6" t="inlineStr">
        <is>
          <t>Net (Increase) in Loans and Advances to Customers</t>
        </is>
      </c>
      <c r="B21" s="6" t="n"/>
      <c r="C21" s="6" t="n"/>
      <c r="D21" s="6" t="n"/>
      <c r="E21" s="6" t="n">
        <v>-1567215</v>
      </c>
      <c r="F21" s="6" t="n">
        <v>-1007837</v>
      </c>
      <c r="G21" s="6" t="n">
        <v>-2203378</v>
      </c>
    </row>
    <row r="22">
      <c r="A22" s="6" t="inlineStr">
        <is>
          <t>Net (Increase) in Deferred Tax Asset (asset movement)</t>
        </is>
      </c>
      <c r="B22" s="6" t="n"/>
      <c r="C22" s="6" t="n"/>
      <c r="D22" s="6" t="n"/>
      <c r="E22" s="6" t="n"/>
      <c r="F22" s="6" t="n">
        <v>-15897</v>
      </c>
      <c r="G22" s="6" t="n"/>
    </row>
    <row r="23">
      <c r="A23" s="6" t="inlineStr">
        <is>
          <t>Net (Increase) in Other Assets</t>
        </is>
      </c>
      <c r="B23" s="6" t="n"/>
      <c r="C23" s="6" t="n"/>
      <c r="D23" s="6" t="n"/>
      <c r="E23" s="6" t="n">
        <v>-5399</v>
      </c>
      <c r="F23" s="6" t="n">
        <v>-61397</v>
      </c>
      <c r="G23" s="6" t="n">
        <v>-31818</v>
      </c>
    </row>
    <row r="24">
      <c r="A24" s="6" t="inlineStr">
        <is>
          <t>Net Increase in Customer Deposits</t>
        </is>
      </c>
      <c r="B24" s="6" t="n"/>
      <c r="C24" s="6" t="n"/>
      <c r="D24" s="6" t="n"/>
      <c r="E24" s="6" t="n">
        <v>1524407</v>
      </c>
      <c r="F24" s="6" t="n">
        <v>3199715</v>
      </c>
      <c r="G24" s="6" t="n">
        <v>4820298</v>
      </c>
    </row>
    <row r="25">
      <c r="A25" s="6" t="inlineStr">
        <is>
          <t>Net Increase in Central Bank Facilities (FY2021 presentation)</t>
        </is>
      </c>
      <c r="B25" s="6" t="n"/>
      <c r="C25" s="6" t="n"/>
      <c r="D25" s="6" t="n"/>
      <c r="E25" s="6" t="n"/>
      <c r="F25" s="6" t="n"/>
      <c r="G25" s="6" t="n">
        <v>1000000</v>
      </c>
    </row>
    <row r="26">
      <c r="A26" s="6" t="inlineStr">
        <is>
          <t>Net (Decrease)/Increase in Deposits from Banks</t>
        </is>
      </c>
      <c r="B26" s="6" t="n"/>
      <c r="C26" s="6" t="n"/>
      <c r="D26" s="6" t="n"/>
      <c r="E26" s="6" t="n">
        <v>-9515</v>
      </c>
      <c r="F26" s="6" t="n">
        <v>1281380</v>
      </c>
      <c r="G26" s="6" t="n"/>
    </row>
    <row r="27">
      <c r="A27" s="6" t="inlineStr">
        <is>
          <t>Net Increase/(Decrease) in Provisions for Liabilities and Charges</t>
        </is>
      </c>
      <c r="B27" s="6" t="n"/>
      <c r="C27" s="6" t="n"/>
      <c r="D27" s="6" t="n"/>
      <c r="E27" s="6" t="n">
        <v>232</v>
      </c>
      <c r="F27" s="6" t="n">
        <v>-758</v>
      </c>
      <c r="G27" s="6" t="n">
        <v>-680</v>
      </c>
    </row>
    <row r="28">
      <c r="A28" s="6" t="inlineStr">
        <is>
          <t>Net (Decrease)/Increase in Other Liabilities and Accruals</t>
        </is>
      </c>
      <c r="B28" s="6" t="n"/>
      <c r="C28" s="6" t="n"/>
      <c r="D28" s="6" t="n"/>
      <c r="E28" s="6" t="n">
        <v>-51253</v>
      </c>
      <c r="F28" s="6" t="n">
        <v>104310</v>
      </c>
      <c r="G28" s="6" t="n">
        <v>969</v>
      </c>
    </row>
    <row r="29">
      <c r="A29" s="6" t="inlineStr">
        <is>
          <t>Net Increase/(Decrease) in Deferred Income</t>
        </is>
      </c>
      <c r="B29" s="6" t="n"/>
      <c r="C29" s="6" t="n"/>
      <c r="D29" s="6" t="n"/>
      <c r="E29" s="6" t="n">
        <v>16202</v>
      </c>
      <c r="F29" s="6" t="n">
        <v>-3994</v>
      </c>
      <c r="G29" s="6" t="n">
        <v>-44894</v>
      </c>
    </row>
    <row r="30">
      <c r="A30" s="6" t="inlineStr">
        <is>
          <t>Taxation Paid (FY2022-FY2023 presentation)</t>
        </is>
      </c>
      <c r="B30" s="6" t="n"/>
      <c r="C30" s="6" t="n"/>
      <c r="D30" s="6" t="n"/>
      <c r="E30" s="6" t="n">
        <v>-26720</v>
      </c>
      <c r="F30" s="6" t="n">
        <v>-3321</v>
      </c>
      <c r="G30" s="6" t="n"/>
    </row>
    <row r="31">
      <c r="A31" s="5" t="inlineStr">
        <is>
          <t>Net Cash Flows from Operating Activities (FY2021-FY2023 presentation)</t>
        </is>
      </c>
      <c r="B31" s="5" t="n"/>
      <c r="C31" s="5" t="n"/>
      <c r="D31" s="5" t="n"/>
      <c r="E31" s="5" t="n">
        <v>80602</v>
      </c>
      <c r="F31" s="5" t="n">
        <v>3535459</v>
      </c>
      <c r="G31" s="5" t="n">
        <v>3530940</v>
      </c>
    </row>
    <row r="32">
      <c r="A32" s="5" t="inlineStr">
        <is>
          <t>Adjustments and net changes (FY2024-FY2026 presentation, summarised - see note for breakdown)</t>
        </is>
      </c>
      <c r="B32" s="6" t="n"/>
      <c r="C32" s="6" t="n"/>
      <c r="D32" s="6" t="n"/>
      <c r="E32" s="6" t="n"/>
      <c r="F32" s="6" t="n"/>
      <c r="G32" s="6" t="n"/>
    </row>
    <row r="33">
      <c r="A33" s="6" t="inlineStr">
        <is>
          <t>Profit for the period after taxation (FY2024-FY2026 presentation)</t>
        </is>
      </c>
      <c r="B33" s="6" t="n">
        <v>156043</v>
      </c>
      <c r="C33" s="6" t="n">
        <v>150722</v>
      </c>
      <c r="D33" s="6" t="n">
        <v>220001</v>
      </c>
      <c r="E33" s="6" t="n"/>
      <c r="F33" s="6" t="n"/>
      <c r="G33" s="6" t="n"/>
    </row>
    <row r="34">
      <c r="A34" s="6" t="inlineStr">
        <is>
          <t>Non-cash movements (as reported)</t>
        </is>
      </c>
      <c r="B34" s="6" t="n">
        <v>109080</v>
      </c>
      <c r="C34" s="6" t="n">
        <v>165605</v>
      </c>
      <c r="D34" s="6" t="n">
        <v>155782</v>
      </c>
      <c r="E34" s="6" t="n"/>
      <c r="F34" s="6" t="n"/>
      <c r="G34" s="6" t="n"/>
    </row>
    <row r="35">
      <c r="A35" s="6" t="inlineStr">
        <is>
          <t>Movement in operating assets (as reported)</t>
        </is>
      </c>
      <c r="B35" s="6" t="n">
        <v>-541473</v>
      </c>
      <c r="C35" s="6" t="n">
        <v>-30989</v>
      </c>
      <c r="D35" s="6" t="n">
        <v>194795</v>
      </c>
      <c r="E35" s="6" t="n"/>
      <c r="F35" s="6" t="n"/>
      <c r="G35" s="6" t="n"/>
    </row>
    <row r="36">
      <c r="A36" s="6" t="inlineStr">
        <is>
          <t>Movement in operating liabilities (as reported)</t>
        </is>
      </c>
      <c r="B36" s="6" t="n">
        <v>505769</v>
      </c>
      <c r="C36" s="6" t="n">
        <v>793034</v>
      </c>
      <c r="D36" s="6" t="n">
        <v>813947</v>
      </c>
      <c r="E36" s="6" t="n"/>
      <c r="F36" s="6" t="n"/>
      <c r="G36" s="6" t="n"/>
    </row>
    <row r="37">
      <c r="A37" s="6" t="inlineStr">
        <is>
          <t>Taxation paid (FY2024-FY2026 presentation)</t>
        </is>
      </c>
      <c r="B37" s="6" t="n">
        <v>-46085</v>
      </c>
      <c r="C37" s="6" t="n">
        <v>-61999</v>
      </c>
      <c r="D37" s="6" t="n">
        <v>-94266</v>
      </c>
      <c r="E37" s="6" t="n"/>
      <c r="F37" s="6" t="n"/>
      <c r="G37" s="6" t="n"/>
    </row>
    <row r="38">
      <c r="A38" s="5" t="inlineStr">
        <is>
          <t>Net cash flows from operating activities (FY2024-FY2026 presentation)</t>
        </is>
      </c>
      <c r="B38" s="5" t="n">
        <v>183334</v>
      </c>
      <c r="C38" s="5" t="n">
        <v>1016373</v>
      </c>
      <c r="D38" s="5" t="n">
        <v>1290259</v>
      </c>
      <c r="E38" s="5" t="n"/>
      <c r="F38" s="5" t="n"/>
      <c r="G38" s="5" t="n"/>
    </row>
    <row r="39">
      <c r="A39" s="5" t="inlineStr">
        <is>
          <t>Cash flows from investing activities</t>
        </is>
      </c>
      <c r="B39" s="6" t="n"/>
      <c r="C39" s="6" t="n"/>
      <c r="D39" s="6" t="n"/>
      <c r="E39" s="6" t="n"/>
      <c r="F39" s="6" t="n"/>
      <c r="G39" s="6" t="n"/>
    </row>
    <row r="40">
      <c r="A40" s="6" t="inlineStr">
        <is>
          <t>Purchase of Property, Plant and Equipment</t>
        </is>
      </c>
      <c r="B40" s="6" t="n"/>
      <c r="C40" s="6" t="n"/>
      <c r="D40" s="6" t="n"/>
      <c r="E40" s="6" t="n">
        <v>-2824</v>
      </c>
      <c r="F40" s="6" t="n">
        <v>-1279</v>
      </c>
      <c r="G40" s="6" t="n">
        <v>-1131</v>
      </c>
    </row>
    <row r="41">
      <c r="A41" s="6" t="inlineStr">
        <is>
          <t>Purchase of property, plant and equipment (FY2024-FY2026 presentation)</t>
        </is>
      </c>
      <c r="B41" s="6" t="n">
        <v>-6034</v>
      </c>
      <c r="C41" s="6" t="n">
        <v>-3167</v>
      </c>
      <c r="D41" s="6" t="n">
        <v>-4728</v>
      </c>
      <c r="E41" s="6" t="n"/>
      <c r="F41" s="6" t="n"/>
      <c r="G41" s="6" t="n"/>
    </row>
    <row r="42">
      <c r="A42" s="6" t="inlineStr">
        <is>
          <t>Net Purchases of Debt Securities (FY2022-FY2023 presentation)</t>
        </is>
      </c>
      <c r="B42" s="6" t="n"/>
      <c r="C42" s="6" t="n"/>
      <c r="D42" s="6" t="n"/>
      <c r="E42" s="6" t="n">
        <v>-161608</v>
      </c>
      <c r="F42" s="6" t="n">
        <v>-814284</v>
      </c>
      <c r="G42" s="6" t="n"/>
    </row>
    <row r="43">
      <c r="A43" s="6" t="inlineStr">
        <is>
          <t>Net Increase in Debt Securities (FY2021 presentation)</t>
        </is>
      </c>
      <c r="B43" s="6" t="n"/>
      <c r="C43" s="6" t="n"/>
      <c r="D43" s="6" t="n"/>
      <c r="E43" s="6" t="n"/>
      <c r="F43" s="6" t="n"/>
      <c r="G43" s="6" t="n">
        <v>-1184380</v>
      </c>
    </row>
    <row r="44">
      <c r="A44" s="6" t="inlineStr">
        <is>
          <t>Purchases of debt securities (FY2024-FY2026 presentation)</t>
        </is>
      </c>
      <c r="B44" s="6" t="n">
        <v>-4462187</v>
      </c>
      <c r="C44" s="6" t="n">
        <v>-1378404</v>
      </c>
      <c r="D44" s="6" t="n">
        <v>-1577646</v>
      </c>
      <c r="E44" s="6" t="n"/>
      <c r="F44" s="6" t="n"/>
      <c r="G44" s="6" t="n"/>
    </row>
    <row r="45">
      <c r="A45" s="6" t="inlineStr">
        <is>
          <t>Proceeds from maturity and sale of debt securities (FY2024-FY2026 presentation)</t>
        </is>
      </c>
      <c r="B45" s="6" t="n">
        <v>1575165</v>
      </c>
      <c r="C45" s="6" t="n">
        <v>735088</v>
      </c>
      <c r="D45" s="6" t="n">
        <v>748813</v>
      </c>
      <c r="E45" s="6" t="n"/>
      <c r="F45" s="6" t="n"/>
      <c r="G45" s="6" t="n"/>
    </row>
    <row r="46">
      <c r="A46" s="6" t="inlineStr">
        <is>
          <t>Acquisition of Subsidiary, Net of Cash Acquired</t>
        </is>
      </c>
      <c r="B46" s="6" t="n"/>
      <c r="C46" s="6" t="n"/>
      <c r="D46" s="6" t="n"/>
      <c r="E46" s="6" t="n"/>
      <c r="F46" s="6" t="n">
        <v>-36160</v>
      </c>
      <c r="G46" s="6" t="n"/>
    </row>
    <row r="47">
      <c r="A47" s="6" t="inlineStr">
        <is>
          <t>PPE and Intangibles on Acquisition of Subsidiary</t>
        </is>
      </c>
      <c r="B47" s="6" t="n"/>
      <c r="C47" s="6" t="n"/>
      <c r="D47" s="6" t="n"/>
      <c r="E47" s="6" t="n"/>
      <c r="F47" s="6" t="n">
        <v>-8377</v>
      </c>
      <c r="G47" s="6" t="n"/>
    </row>
    <row r="48">
      <c r="A48" s="6" t="inlineStr">
        <is>
          <t>Net cash on acquisition of subsidiary (FY2026 presentation)</t>
        </is>
      </c>
      <c r="B48" s="6" t="n">
        <v>-2205</v>
      </c>
      <c r="C48" s="6" t="n"/>
      <c r="D48" s="6" t="n"/>
      <c r="E48" s="6" t="n"/>
      <c r="F48" s="6" t="n"/>
      <c r="G48" s="6" t="n"/>
    </row>
    <row r="49">
      <c r="A49" s="6" t="inlineStr">
        <is>
          <t>Purchase and Development of Intangible Assets</t>
        </is>
      </c>
      <c r="B49" s="6" t="n"/>
      <c r="C49" s="6" t="n"/>
      <c r="D49" s="6" t="n"/>
      <c r="E49" s="6" t="n">
        <v>-27643</v>
      </c>
      <c r="F49" s="6" t="n">
        <v>-19170</v>
      </c>
      <c r="G49" s="6" t="n"/>
    </row>
    <row r="50">
      <c r="A50" s="6" t="inlineStr">
        <is>
          <t>Capitalisation of Intangible Assets (FY2021 presentation)</t>
        </is>
      </c>
      <c r="B50" s="6" t="n"/>
      <c r="C50" s="6" t="n"/>
      <c r="D50" s="6" t="n"/>
      <c r="E50" s="6" t="n"/>
      <c r="F50" s="6" t="n"/>
      <c r="G50" s="6" t="n">
        <v>-5623</v>
      </c>
    </row>
    <row r="51">
      <c r="A51" s="6" t="inlineStr">
        <is>
          <t>Purchase and development of intangible assets (FY2024-FY2026 presentation)</t>
        </is>
      </c>
      <c r="B51" s="6" t="n">
        <v>-75792</v>
      </c>
      <c r="C51" s="6" t="n">
        <v>-56997</v>
      </c>
      <c r="D51" s="6" t="n">
        <v>-43278</v>
      </c>
      <c r="E51" s="6" t="n"/>
      <c r="F51" s="6" t="n"/>
      <c r="G51" s="6" t="n"/>
    </row>
    <row r="52">
      <c r="A52" s="5" t="inlineStr">
        <is>
          <t>Net Cash Flows from Investing Activities</t>
        </is>
      </c>
      <c r="B52" s="5" t="n">
        <v>-2971053</v>
      </c>
      <c r="C52" s="5" t="n">
        <v>-703480</v>
      </c>
      <c r="D52" s="5" t="n">
        <v>-876839</v>
      </c>
      <c r="E52" s="5" t="n">
        <v>-192075</v>
      </c>
      <c r="F52" s="5" t="n">
        <v>-879270</v>
      </c>
      <c r="G52" s="5" t="n">
        <v>-1191134</v>
      </c>
    </row>
    <row r="53">
      <c r="A53" s="5" t="inlineStr">
        <is>
          <t>Cash flows from financing activities</t>
        </is>
      </c>
      <c r="B53" s="6" t="n"/>
      <c r="C53" s="6" t="n"/>
      <c r="D53" s="6" t="n"/>
      <c r="E53" s="6" t="n"/>
      <c r="F53" s="6" t="n"/>
      <c r="G53" s="6" t="n"/>
    </row>
    <row r="54">
      <c r="A54" s="6" t="inlineStr">
        <is>
          <t>Issuance of Ordinary Shares Less Cost of Issuance</t>
        </is>
      </c>
      <c r="B54" s="6" t="n"/>
      <c r="C54" s="6" t="n"/>
      <c r="D54" s="6" t="n"/>
      <c r="E54" s="6" t="n">
        <v>130500</v>
      </c>
      <c r="F54" s="6" t="n">
        <v>240000</v>
      </c>
      <c r="G54" s="6" t="n">
        <v>94012</v>
      </c>
    </row>
    <row r="55">
      <c r="A55" s="6" t="inlineStr">
        <is>
          <t>Purchase of own shares</t>
        </is>
      </c>
      <c r="B55" s="6" t="n"/>
      <c r="C55" s="6" t="n"/>
      <c r="D55" s="6" t="n">
        <v>-56362</v>
      </c>
      <c r="E55" s="6" t="n"/>
      <c r="F55" s="6" t="n"/>
      <c r="G55" s="6" t="n"/>
    </row>
    <row r="56">
      <c r="A56" s="6" t="inlineStr">
        <is>
          <t>Drawdown of funding from central banks</t>
        </is>
      </c>
      <c r="B56" s="6" t="n">
        <v>900000</v>
      </c>
      <c r="C56" s="6" t="n"/>
      <c r="D56" s="6" t="n"/>
      <c r="E56" s="6" t="n"/>
      <c r="F56" s="6" t="n"/>
      <c r="G56" s="6" t="n"/>
    </row>
    <row r="57">
      <c r="A57" s="6" t="inlineStr">
        <is>
          <t>Repayment of funding from central banks</t>
        </is>
      </c>
      <c r="B57" s="6" t="n">
        <v>-600000</v>
      </c>
      <c r="C57" s="6" t="n">
        <v>-50000</v>
      </c>
      <c r="D57" s="6" t="n"/>
      <c r="E57" s="6" t="n"/>
      <c r="F57" s="6" t="n"/>
      <c r="G57" s="6" t="n"/>
    </row>
    <row r="58">
      <c r="A58" s="6" t="inlineStr">
        <is>
          <t>Repayment of Lease Liabilities</t>
        </is>
      </c>
      <c r="B58" s="6" t="n"/>
      <c r="C58" s="6" t="n"/>
      <c r="D58" s="6" t="n"/>
      <c r="E58" s="6" t="n">
        <v>-68</v>
      </c>
      <c r="F58" s="6" t="n">
        <v>-1780</v>
      </c>
      <c r="G58" s="6" t="n">
        <v>-2174</v>
      </c>
    </row>
    <row r="59">
      <c r="A59" s="6" t="inlineStr">
        <is>
          <t>Repayment of lease liabilities (FY2024-FY2026 presentation)</t>
        </is>
      </c>
      <c r="B59" s="6" t="n">
        <v>-4120</v>
      </c>
      <c r="C59" s="6" t="n">
        <v>-2710</v>
      </c>
      <c r="D59" s="6" t="n">
        <v>-2154</v>
      </c>
      <c r="E59" s="6" t="n"/>
      <c r="F59" s="6" t="n"/>
      <c r="G59" s="6" t="n"/>
    </row>
    <row r="60">
      <c r="A60" s="5" t="inlineStr">
        <is>
          <t>Net Cash Flows from Financing Activities</t>
        </is>
      </c>
      <c r="B60" s="5" t="n">
        <v>295880</v>
      </c>
      <c r="C60" s="5" t="n">
        <v>-52710</v>
      </c>
      <c r="D60" s="5" t="n">
        <v>-58516</v>
      </c>
      <c r="E60" s="5" t="n">
        <v>130432</v>
      </c>
      <c r="F60" s="5" t="n">
        <v>238220</v>
      </c>
      <c r="G60" s="5" t="n">
        <v>91838</v>
      </c>
    </row>
    <row r="61">
      <c r="A61" s="5" t="inlineStr">
        <is>
          <t>Net Increase/(Decrease) in Cash and Cash Equivalents</t>
        </is>
      </c>
      <c r="B61" s="5" t="n">
        <v>-2491839</v>
      </c>
      <c r="C61" s="5" t="n">
        <v>260183</v>
      </c>
      <c r="D61" s="5" t="n">
        <v>354904</v>
      </c>
      <c r="E61" s="5" t="n">
        <v>18859</v>
      </c>
      <c r="F61" s="5" t="n">
        <v>2894409</v>
      </c>
      <c r="G61" s="5" t="n">
        <v>2431644</v>
      </c>
    </row>
    <row r="62">
      <c r="A62" s="6" t="inlineStr">
        <is>
          <t>Cash and Cash Equivalents at Beginning of Period/Year</t>
        </is>
      </c>
      <c r="B62" s="6" t="n">
        <v>6717177</v>
      </c>
      <c r="C62" s="6" t="n">
        <v>6456994</v>
      </c>
      <c r="D62" s="6" t="n">
        <v>6102090</v>
      </c>
      <c r="E62" s="6" t="n">
        <v>6083131</v>
      </c>
      <c r="F62" s="6" t="n">
        <v>3188722</v>
      </c>
      <c r="G62" s="6" t="n">
        <v>764705</v>
      </c>
    </row>
    <row r="63">
      <c r="A63" s="5" t="inlineStr">
        <is>
          <t>Cash and Cash Equivalents at End of Period/Year</t>
        </is>
      </c>
      <c r="B63" s="5" t="n">
        <v>4225338</v>
      </c>
      <c r="C63" s="5" t="n">
        <v>6717177</v>
      </c>
      <c r="D63" s="5" t="n">
        <v>6456994</v>
      </c>
      <c r="E63" s="5" t="n">
        <v>6102090</v>
      </c>
      <c r="F63" s="5" t="n">
        <v>6083131</v>
      </c>
      <c r="G63" s="5" t="n">
        <v>3196349</v>
      </c>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G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Total exposure after guarantee, by IFRS 9 stage</t>
        </is>
      </c>
      <c r="B4" s="6" t="n"/>
      <c r="C4" s="6" t="n"/>
      <c r="D4" s="6" t="n"/>
      <c r="E4" s="6" t="n"/>
      <c r="F4" s="6" t="n"/>
      <c r="G4" s="6" t="n"/>
    </row>
    <row r="5">
      <c r="A5" s="6" t="inlineStr">
        <is>
          <t>Stage 1</t>
        </is>
      </c>
      <c r="B5" s="6" t="n">
        <v>4862307</v>
      </c>
      <c r="C5" s="6" t="n">
        <v>4165490</v>
      </c>
      <c r="D5" s="6" t="n">
        <v>3725761</v>
      </c>
      <c r="E5" s="6" t="n">
        <v>3571338</v>
      </c>
      <c r="F5" s="6" t="n">
        <v>1633418</v>
      </c>
      <c r="G5" s="6" t="n"/>
    </row>
    <row r="6">
      <c r="A6" s="6" t="inlineStr">
        <is>
          <t>Stage 2</t>
        </is>
      </c>
      <c r="B6" s="6" t="n">
        <v>252112</v>
      </c>
      <c r="C6" s="6" t="n">
        <v>228850</v>
      </c>
      <c r="D6" s="6" t="n">
        <v>266374</v>
      </c>
      <c r="E6" s="6" t="n">
        <v>144105</v>
      </c>
      <c r="F6" s="6" t="n">
        <v>43581</v>
      </c>
      <c r="G6" s="6" t="n"/>
    </row>
    <row r="7">
      <c r="A7" s="6" t="inlineStr">
        <is>
          <t>Stage 3</t>
        </is>
      </c>
      <c r="B7" s="6" t="n">
        <v>163254</v>
      </c>
      <c r="C7" s="6" t="n">
        <v>159469</v>
      </c>
      <c r="D7" s="6" t="n">
        <v>160167</v>
      </c>
      <c r="E7" s="6" t="n">
        <v>103707</v>
      </c>
      <c r="F7" s="6" t="n">
        <v>55960</v>
      </c>
      <c r="G7" s="6" t="n"/>
    </row>
    <row r="8">
      <c r="A8" s="5" t="inlineStr">
        <is>
          <t>Total exposure after guarantee</t>
        </is>
      </c>
      <c r="B8" s="5" t="n">
        <v>5277673</v>
      </c>
      <c r="C8" s="5" t="n">
        <v>4553809</v>
      </c>
      <c r="D8" s="5" t="n">
        <v>4152302</v>
      </c>
      <c r="E8" s="5" t="n">
        <v>3819150</v>
      </c>
      <c r="F8" s="5" t="n">
        <v>1732959</v>
      </c>
      <c r="G8" s="5" t="n"/>
    </row>
    <row r="9">
      <c r="A9" s="5" t="inlineStr">
        <is>
          <t>Impairment provision, by IFRS 9 stage</t>
        </is>
      </c>
      <c r="B9" s="6" t="n"/>
      <c r="C9" s="6" t="n"/>
      <c r="D9" s="6" t="n"/>
      <c r="E9" s="6" t="n"/>
      <c r="F9" s="6" t="n"/>
      <c r="G9" s="6" t="n"/>
    </row>
    <row r="10">
      <c r="A10" s="6" t="inlineStr">
        <is>
          <t>Stage 1</t>
        </is>
      </c>
      <c r="B10" s="6" t="n">
        <v>7767</v>
      </c>
      <c r="C10" s="6" t="n">
        <v>6344</v>
      </c>
      <c r="D10" s="6" t="n">
        <v>9174</v>
      </c>
      <c r="E10" s="6" t="n">
        <v>11462</v>
      </c>
      <c r="F10" s="6" t="n">
        <v>13637</v>
      </c>
      <c r="G10" s="6" t="n"/>
    </row>
    <row r="11">
      <c r="A11" s="6" t="inlineStr">
        <is>
          <t>Stage 2</t>
        </is>
      </c>
      <c r="B11" s="6" t="n">
        <v>5471</v>
      </c>
      <c r="C11" s="6" t="n">
        <v>5166</v>
      </c>
      <c r="D11" s="6" t="n">
        <v>9974</v>
      </c>
      <c r="E11" s="6" t="n">
        <v>5779</v>
      </c>
      <c r="F11" s="6" t="n">
        <v>3663</v>
      </c>
      <c r="G11" s="6" t="n"/>
    </row>
    <row r="12">
      <c r="A12" s="6" t="inlineStr">
        <is>
          <t>Stage 3</t>
        </is>
      </c>
      <c r="B12" s="6" t="n">
        <v>11239</v>
      </c>
      <c r="C12" s="6" t="n">
        <v>10403</v>
      </c>
      <c r="D12" s="6" t="n">
        <v>28722</v>
      </c>
      <c r="E12" s="6" t="n">
        <v>18381</v>
      </c>
      <c r="F12" s="6" t="n">
        <v>9772</v>
      </c>
      <c r="G12" s="6" t="n"/>
    </row>
    <row r="13">
      <c r="A13" s="5" t="inlineStr">
        <is>
          <t>Total impairment provision</t>
        </is>
      </c>
      <c r="B13" s="5" t="n">
        <v>24477</v>
      </c>
      <c r="C13" s="5" t="n">
        <v>21913</v>
      </c>
      <c r="D13" s="5" t="n">
        <v>47870</v>
      </c>
      <c r="E13" s="5" t="n">
        <v>35622</v>
      </c>
      <c r="F13" s="5" t="n">
        <v>27072</v>
      </c>
      <c r="G13" s="5" t="n"/>
    </row>
    <row r="14">
      <c r="A14" s="5" t="inlineStr">
        <is>
          <t>Net exposure, by IFRS 9 stage</t>
        </is>
      </c>
      <c r="B14" s="6" t="n"/>
      <c r="C14" s="6" t="n"/>
      <c r="D14" s="6" t="n"/>
      <c r="E14" s="6" t="n"/>
      <c r="F14" s="6" t="n"/>
      <c r="G14" s="6" t="n"/>
    </row>
    <row r="15">
      <c r="A15" s="6" t="inlineStr">
        <is>
          <t>Stage 1</t>
        </is>
      </c>
      <c r="B15" s="6" t="n">
        <v>4854540</v>
      </c>
      <c r="C15" s="6" t="n">
        <v>4159146</v>
      </c>
      <c r="D15" s="6" t="n">
        <v>3716587</v>
      </c>
      <c r="E15" s="6" t="n">
        <v>3559876</v>
      </c>
      <c r="F15" s="6" t="n">
        <v>1619781</v>
      </c>
      <c r="G15" s="6" t="n"/>
    </row>
    <row r="16">
      <c r="A16" s="6" t="inlineStr">
        <is>
          <t>Stage 2</t>
        </is>
      </c>
      <c r="B16" s="6" t="n">
        <v>246641</v>
      </c>
      <c r="C16" s="6" t="n">
        <v>223684</v>
      </c>
      <c r="D16" s="6" t="n">
        <v>256400</v>
      </c>
      <c r="E16" s="6" t="n">
        <v>138326</v>
      </c>
      <c r="F16" s="6" t="n">
        <v>39918</v>
      </c>
      <c r="G16" s="6" t="n"/>
    </row>
    <row r="17">
      <c r="A17" s="6" t="inlineStr">
        <is>
          <t>Stage 3</t>
        </is>
      </c>
      <c r="B17" s="6" t="n">
        <v>152015</v>
      </c>
      <c r="C17" s="6" t="n">
        <v>149066</v>
      </c>
      <c r="D17" s="6" t="n">
        <v>131445</v>
      </c>
      <c r="E17" s="6" t="n">
        <v>85326</v>
      </c>
      <c r="F17" s="6" t="n">
        <v>46188</v>
      </c>
      <c r="G17" s="6" t="n"/>
    </row>
    <row r="18">
      <c r="A18" s="5" t="inlineStr">
        <is>
          <t>Net exposure</t>
        </is>
      </c>
      <c r="B18" s="5" t="n">
        <v>5253196</v>
      </c>
      <c r="C18" s="5" t="n">
        <v>4531896</v>
      </c>
      <c r="D18" s="5" t="n">
        <v>4104432</v>
      </c>
      <c r="E18" s="5" t="n">
        <v>3783528</v>
      </c>
      <c r="F18" s="5" t="n">
        <v>1705887</v>
      </c>
      <c r="G18" s="5" t="n"/>
    </row>
    <row r="19">
      <c r="A19" s="5" t="inlineStr">
        <is>
          <t>Derived ratios</t>
        </is>
      </c>
      <c r="B19" s="6" t="n"/>
      <c r="C19" s="6" t="n"/>
      <c r="D19" s="6" t="n"/>
      <c r="E19" s="6" t="n"/>
      <c r="F19" s="6" t="n"/>
      <c r="G19" s="6" t="n"/>
    </row>
    <row r="20">
      <c r="A20" s="6" t="inlineStr">
        <is>
          <t>% Coverage - Stage 1</t>
        </is>
      </c>
      <c r="B20" s="6" t="inlineStr">
        <is>
          <t>0.2%</t>
        </is>
      </c>
      <c r="C20" s="6" t="inlineStr">
        <is>
          <t>0.2%</t>
        </is>
      </c>
      <c r="D20" s="6" t="inlineStr">
        <is>
          <t>0.2%</t>
        </is>
      </c>
      <c r="E20" s="6" t="inlineStr">
        <is>
          <t>0.3%</t>
        </is>
      </c>
      <c r="F20" s="6" t="inlineStr">
        <is>
          <t>0.8%</t>
        </is>
      </c>
      <c r="G20" s="6" t="n"/>
    </row>
    <row r="21">
      <c r="A21" s="6" t="inlineStr">
        <is>
          <t>% Coverage - Stage 2</t>
        </is>
      </c>
      <c r="B21" s="6" t="inlineStr">
        <is>
          <t>2.2%</t>
        </is>
      </c>
      <c r="C21" s="6" t="inlineStr">
        <is>
          <t>2.3%</t>
        </is>
      </c>
      <c r="D21" s="6" t="inlineStr">
        <is>
          <t>3.7%</t>
        </is>
      </c>
      <c r="E21" s="6" t="inlineStr">
        <is>
          <t>4.0%</t>
        </is>
      </c>
      <c r="F21" s="6" t="inlineStr">
        <is>
          <t>8.4%</t>
        </is>
      </c>
      <c r="G21" s="6" t="n"/>
    </row>
    <row r="22">
      <c r="A22" s="6" t="inlineStr">
        <is>
          <t>% Coverage - Stage 3</t>
        </is>
      </c>
      <c r="B22" s="6" t="inlineStr">
        <is>
          <t>6.9%</t>
        </is>
      </c>
      <c r="C22" s="6" t="inlineStr">
        <is>
          <t>6.5%</t>
        </is>
      </c>
      <c r="D22" s="6" t="inlineStr">
        <is>
          <t>17.9%</t>
        </is>
      </c>
      <c r="E22" s="6" t="inlineStr">
        <is>
          <t>17.7%</t>
        </is>
      </c>
      <c r="F22" s="6" t="inlineStr">
        <is>
          <t>17.5%</t>
        </is>
      </c>
      <c r="G22" s="6" t="n"/>
    </row>
    <row r="23">
      <c r="A23" s="6" t="inlineStr">
        <is>
          <t>% Coverage - Total</t>
        </is>
      </c>
      <c r="B23" s="6" t="inlineStr">
        <is>
          <t>0.5%</t>
        </is>
      </c>
      <c r="C23" s="6" t="inlineStr">
        <is>
          <t>0.5%</t>
        </is>
      </c>
      <c r="D23" s="6" t="inlineStr">
        <is>
          <t>1.2%</t>
        </is>
      </c>
      <c r="E23" s="6" t="inlineStr">
        <is>
          <t>0.9%</t>
        </is>
      </c>
      <c r="F23" s="6" t="inlineStr">
        <is>
          <t>1.6%</t>
        </is>
      </c>
      <c r="G23" s="6" t="n"/>
    </row>
    <row r="24">
      <c r="A24" s="6" t="inlineStr">
        <is>
          <t>NPL ratio (Stage 3 exposure / Total exposure after guarantee)</t>
        </is>
      </c>
      <c r="B24" s="6" t="inlineStr">
        <is>
          <t>3.09%</t>
        </is>
      </c>
      <c r="C24" s="6" t="inlineStr">
        <is>
          <t>3.50%</t>
        </is>
      </c>
      <c r="D24" s="6" t="inlineStr">
        <is>
          <t>3.86%</t>
        </is>
      </c>
      <c r="E24" s="6" t="inlineStr">
        <is>
          <t>2.72%</t>
        </is>
      </c>
      <c r="F24" s="6" t="inlineStr">
        <is>
          <t>3.23%</t>
        </is>
      </c>
      <c r="G24" s="6" t="n"/>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2026-09-03T21:26:21Z</dcterms:created>
  <dcterms:modified xmlns:dcterms="http://purl.org/dc/terms/" xmlns:xsi="http://www.w3.org/2001/XMLSchema-instance" xsi:type="dcterms:W3CDTF">2026-09-03T21:26:21Z</dcterms:modified>
</cp:coreProperties>
</file>