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c r="J6" s="5" t="n">
        <v>234669</v>
      </c>
      <c r="K6" s="5" t="n">
        <v>53277</v>
      </c>
      <c r="N6" t="inlineStr">
        <is>
          <t>Total assets</t>
        </is>
      </c>
      <c r="O6" t="n">
        <v>53277</v>
      </c>
      <c r="P6" t="n">
        <v>234669</v>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c r="J7" s="5" t="n">
        <v>8698</v>
      </c>
      <c r="K7" s="5" t="n">
        <v>804</v>
      </c>
      <c r="N7" t="inlineStr">
        <is>
          <t>Loans and advances to customers</t>
        </is>
      </c>
      <c r="O7" t="n">
        <v>804</v>
      </c>
      <c r="P7" t="n">
        <v>8698</v>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c r="J8" s="5" t="n">
        <v>202323</v>
      </c>
      <c r="K8" s="5" t="n">
        <v>18083</v>
      </c>
      <c r="N8" t="inlineStr">
        <is>
          <t>Customer deposits</t>
        </is>
      </c>
      <c r="O8" t="n">
        <v>18083</v>
      </c>
      <c r="P8" t="n">
        <v>202323</v>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c r="J9" s="5" t="n">
        <v>27999</v>
      </c>
      <c r="K9" s="5" t="n">
        <v>32718</v>
      </c>
      <c r="N9" t="inlineStr">
        <is>
          <t>Total equity</t>
        </is>
      </c>
      <c r="O9" t="n">
        <v>32718</v>
      </c>
      <c r="P9" t="n">
        <v>27999</v>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c r="J27" s="5" t="n"/>
      <c r="K27" s="5" t="n"/>
      <c r="BA27" t="inlineStr">
        <is>
          <t>Net cash flows from investing activities</t>
        </is>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c r="J28" s="5" t="n"/>
      <c r="K28" s="5" t="n"/>
      <c r="BA28" t="inlineStr">
        <is>
          <t>Net cash flows from financing activities</t>
        </is>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c r="J29" s="5" t="n"/>
      <c r="K29" s="5" t="n"/>
      <c r="BA29" t="inlineStr">
        <is>
          <t>Cash and cash equivalents at end of period/year</t>
        </is>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v>764705</v>
      </c>
      <c r="J6" s="6" t="n">
        <v>187008</v>
      </c>
      <c r="K6" s="6" t="n">
        <v>37544</v>
      </c>
    </row>
    <row r="7">
      <c r="A7" s="6" t="inlineStr">
        <is>
          <t>Total debt securities</t>
        </is>
      </c>
      <c r="B7" s="6" t="n">
        <v>6843426</v>
      </c>
      <c r="C7" s="6" t="n">
        <v>3934922</v>
      </c>
      <c r="D7" s="6" t="n">
        <v>3284867</v>
      </c>
      <c r="E7" s="6" t="n">
        <v>2479550</v>
      </c>
      <c r="F7" s="6" t="n">
        <v>2306886</v>
      </c>
      <c r="G7" s="6" t="n">
        <v>1513278</v>
      </c>
      <c r="H7" s="6" t="n"/>
      <c r="I7" s="6" t="n">
        <v>331597</v>
      </c>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v>54290</v>
      </c>
      <c r="J13" s="6" t="n">
        <v>8698</v>
      </c>
      <c r="K13" s="6" t="n">
        <v>804</v>
      </c>
    </row>
    <row r="14">
      <c r="A14" s="6" t="inlineStr">
        <is>
          <t>Other assets</t>
        </is>
      </c>
      <c r="B14" s="6" t="n">
        <v>63120</v>
      </c>
      <c r="C14" s="6" t="n">
        <v>54474</v>
      </c>
      <c r="D14" s="6" t="n">
        <v>100047</v>
      </c>
      <c r="E14" s="6" t="n">
        <v>71851</v>
      </c>
      <c r="F14" s="6" t="n">
        <v>66635</v>
      </c>
      <c r="G14" s="6" t="n">
        <v>63460</v>
      </c>
      <c r="H14" s="6" t="n"/>
      <c r="I14" s="6" t="n">
        <v>31642</v>
      </c>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v>2393</v>
      </c>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v>16055</v>
      </c>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n"/>
      <c r="I21" s="5" t="n">
        <v>1200682</v>
      </c>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v>1007282</v>
      </c>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v>40542</v>
      </c>
      <c r="J27" s="6" t="n">
        <v>3614</v>
      </c>
      <c r="K27" s="6" t="n">
        <v>808</v>
      </c>
    </row>
    <row r="28">
      <c r="A28" s="6" t="inlineStr">
        <is>
          <t>Deferred income</t>
        </is>
      </c>
      <c r="B28" s="6" t="n">
        <v>17245</v>
      </c>
      <c r="C28" s="6" t="n">
        <v>59980</v>
      </c>
      <c r="D28" s="6" t="n">
        <v>47873</v>
      </c>
      <c r="E28" s="6" t="n">
        <v>32380</v>
      </c>
      <c r="F28" s="6" t="n">
        <v>23059</v>
      </c>
      <c r="G28" s="6" t="n">
        <v>38463</v>
      </c>
      <c r="H28" s="6" t="n"/>
      <c r="I28" s="6" t="n">
        <v>83357</v>
      </c>
      <c r="J28" s="6" t="n">
        <v>531</v>
      </c>
      <c r="K28" s="6" t="n">
        <v>1485</v>
      </c>
    </row>
    <row r="29">
      <c r="A29" s="6" t="inlineStr">
        <is>
          <t>Provisions</t>
        </is>
      </c>
      <c r="B29" s="6" t="n">
        <v>33775</v>
      </c>
      <c r="C29" s="6" t="n">
        <v>51396</v>
      </c>
      <c r="D29" s="6" t="n">
        <v>11507</v>
      </c>
      <c r="E29" s="6" t="n">
        <v>1342</v>
      </c>
      <c r="F29" s="6" t="n">
        <v>1242</v>
      </c>
      <c r="G29" s="6" t="n">
        <v>2000</v>
      </c>
      <c r="H29" s="6" t="n"/>
      <c r="I29" s="6" t="n">
        <v>1575</v>
      </c>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v>1132756</v>
      </c>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v>7</v>
      </c>
      <c r="J34" s="6" t="n">
        <v>5</v>
      </c>
      <c r="K34" s="6" t="n">
        <v>5</v>
      </c>
    </row>
    <row r="35">
      <c r="A35" s="6" t="inlineStr">
        <is>
          <t>Share premium</t>
        </is>
      </c>
      <c r="B35" s="6" t="n">
        <v>0</v>
      </c>
      <c r="C35" s="6" t="n">
        <v>608833</v>
      </c>
      <c r="D35" s="6" t="n">
        <v>608833</v>
      </c>
      <c r="E35" s="6" t="n">
        <v>608833</v>
      </c>
      <c r="F35" s="6" t="n">
        <v>478333</v>
      </c>
      <c r="G35" s="6" t="n">
        <v>253335</v>
      </c>
      <c r="H35" s="6" t="n"/>
      <c r="I35" s="6" t="n">
        <v>159332</v>
      </c>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v>761</v>
      </c>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v>-92174</v>
      </c>
      <c r="J39" s="6" t="n">
        <v>-40109</v>
      </c>
      <c r="K39" s="6" t="n">
        <v>-15039</v>
      </c>
    </row>
    <row r="40">
      <c r="A40" s="5" t="inlineStr">
        <is>
          <t>Total equity</t>
        </is>
      </c>
      <c r="B40" s="5" t="n">
        <v>1204945</v>
      </c>
      <c r="C40" s="5" t="n">
        <v>1046052</v>
      </c>
      <c r="D40" s="5" t="n">
        <v>889770</v>
      </c>
      <c r="E40" s="5" t="n">
        <v>695277</v>
      </c>
      <c r="F40" s="5" t="n">
        <v>430424</v>
      </c>
      <c r="G40" s="5" t="n">
        <v>140831</v>
      </c>
      <c r="H40" s="5" t="n"/>
      <c r="I40" s="5" t="n">
        <v>67926</v>
      </c>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v>1200682</v>
      </c>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Income (FY2021-FY2025 presentation)</t>
        </is>
      </c>
      <c r="B4" s="6" t="n"/>
      <c r="C4" s="6" t="n"/>
      <c r="D4" s="6" t="n"/>
      <c r="E4" s="6" t="n"/>
      <c r="F4" s="6" t="n"/>
      <c r="G4" s="6" t="n"/>
    </row>
    <row r="5">
      <c r="A5" s="6" t="inlineStr">
        <is>
          <t>Interest income</t>
        </is>
      </c>
      <c r="B5" s="6" t="n"/>
      <c r="C5" s="6" t="n">
        <v>811695</v>
      </c>
      <c r="D5" s="6" t="n">
        <v>754808</v>
      </c>
      <c r="E5" s="6" t="n">
        <v>403103</v>
      </c>
      <c r="F5" s="6" t="n">
        <v>126614</v>
      </c>
      <c r="G5" s="6" t="n"/>
    </row>
    <row r="6">
      <c r="A6" s="6" t="inlineStr">
        <is>
          <t>Interest expense</t>
        </is>
      </c>
      <c r="B6" s="6" t="n"/>
      <c r="C6" s="6" t="n">
        <v>-221533</v>
      </c>
      <c r="D6" s="6" t="n">
        <v>-161937</v>
      </c>
      <c r="E6" s="6" t="n">
        <v>-54258</v>
      </c>
      <c r="F6" s="6" t="n">
        <v>-4902</v>
      </c>
      <c r="G6" s="6" t="n"/>
    </row>
    <row r="7">
      <c r="A7" s="5" t="inlineStr">
        <is>
          <t>Net interest income</t>
        </is>
      </c>
      <c r="B7" s="5" t="n"/>
      <c r="C7" s="5" t="n">
        <v>590162</v>
      </c>
      <c r="D7" s="5" t="n">
        <v>592871</v>
      </c>
      <c r="E7" s="5" t="n">
        <v>348845</v>
      </c>
      <c r="F7" s="5" t="n">
        <v>121712</v>
      </c>
      <c r="G7" s="5" t="n">
        <v>59253</v>
      </c>
    </row>
    <row r="8">
      <c r="A8" s="6" t="inlineStr">
        <is>
          <t>Fees and commissions income</t>
        </is>
      </c>
      <c r="B8" s="6" t="n"/>
      <c r="C8" s="6" t="n">
        <v>128306</v>
      </c>
      <c r="D8" s="6" t="n">
        <v>119467</v>
      </c>
      <c r="E8" s="6" t="n">
        <v>112413</v>
      </c>
      <c r="F8" s="6" t="n">
        <v>86041</v>
      </c>
      <c r="G8" s="6" t="n"/>
    </row>
    <row r="9">
      <c r="A9" s="6" t="inlineStr">
        <is>
          <t>Fees and commissions expense</t>
        </is>
      </c>
      <c r="B9" s="6" t="n"/>
      <c r="C9" s="6" t="n">
        <v>-33539</v>
      </c>
      <c r="D9" s="6" t="n">
        <v>-35044</v>
      </c>
      <c r="E9" s="6" t="n">
        <v>-38023</v>
      </c>
      <c r="F9" s="6" t="n">
        <v>-28311</v>
      </c>
      <c r="G9" s="6" t="n"/>
    </row>
    <row r="10">
      <c r="A10" s="5" t="inlineStr">
        <is>
          <t>Net fees and commissions</t>
        </is>
      </c>
      <c r="B10" s="5" t="n"/>
      <c r="C10" s="5" t="n">
        <v>94767</v>
      </c>
      <c r="D10" s="5" t="n">
        <v>84423</v>
      </c>
      <c r="E10" s="5" t="n">
        <v>74390</v>
      </c>
      <c r="F10" s="5" t="n">
        <v>57730</v>
      </c>
      <c r="G10" s="5" t="n">
        <v>33884</v>
      </c>
    </row>
    <row r="11">
      <c r="A11" s="6" t="inlineStr">
        <is>
          <t>Other (expense)/income</t>
        </is>
      </c>
      <c r="B11" s="6" t="n"/>
      <c r="C11" s="6" t="n">
        <v>-4546</v>
      </c>
      <c r="D11" s="6" t="n">
        <v>-30176</v>
      </c>
      <c r="E11" s="6" t="n">
        <v>-8421</v>
      </c>
      <c r="F11" s="6" t="n">
        <v>8624</v>
      </c>
      <c r="G11" s="6" t="n">
        <v>4452</v>
      </c>
    </row>
    <row r="12">
      <c r="A12" s="6" t="inlineStr">
        <is>
          <t>Credit for eligible spend (CIF)</t>
        </is>
      </c>
      <c r="B12" s="6" t="n"/>
      <c r="C12" s="6" t="n"/>
      <c r="D12" s="6" t="n"/>
      <c r="E12" s="6" t="n">
        <v>10447</v>
      </c>
      <c r="F12" s="6" t="n">
        <v>32958</v>
      </c>
      <c r="G12" s="6" t="n">
        <v>46044</v>
      </c>
    </row>
    <row r="13">
      <c r="A13" s="5" t="inlineStr">
        <is>
          <t>Total income</t>
        </is>
      </c>
      <c r="B13" s="5" t="n"/>
      <c r="C13" s="5" t="n">
        <v>680383</v>
      </c>
      <c r="D13" s="5" t="n">
        <v>647118</v>
      </c>
      <c r="E13" s="5" t="n">
        <v>414814</v>
      </c>
      <c r="F13" s="5" t="n">
        <v>188066</v>
      </c>
      <c r="G13" s="5" t="n">
        <v>97589</v>
      </c>
    </row>
    <row r="14">
      <c r="A14" s="6" t="inlineStr">
        <is>
          <t>Operating expenses / Administrative expenses</t>
        </is>
      </c>
      <c r="B14" s="6" t="n"/>
      <c r="C14" s="6" t="n">
        <v>-460213</v>
      </c>
      <c r="D14" s="6" t="n">
        <v>-332130</v>
      </c>
      <c r="E14" s="6" t="n">
        <v>-220674</v>
      </c>
      <c r="F14" s="6" t="n">
        <v>-178336</v>
      </c>
      <c r="G14" s="6" t="n">
        <v>-158981</v>
      </c>
    </row>
    <row r="15">
      <c r="A15" s="6" t="inlineStr">
        <is>
          <t>Impairment release/(charge) and charge-offs</t>
        </is>
      </c>
      <c r="B15" s="6" t="n"/>
      <c r="C15" s="6" t="n">
        <v>3243</v>
      </c>
      <c r="D15" s="6" t="n">
        <v>-13889</v>
      </c>
      <c r="E15" s="6" t="n">
        <v>-9991</v>
      </c>
      <c r="F15" s="6" t="n">
        <v>-10636</v>
      </c>
      <c r="G15" s="6" t="n">
        <v>-16106</v>
      </c>
    </row>
    <row r="16">
      <c r="A16" s="5" t="inlineStr">
        <is>
          <t>Profit/(loss) before taxation</t>
        </is>
      </c>
      <c r="B16" s="5" t="n"/>
      <c r="C16" s="5" t="n">
        <v>223413</v>
      </c>
      <c r="D16" s="5" t="n">
        <v>301099</v>
      </c>
      <c r="E16" s="5" t="n">
        <v>194596</v>
      </c>
      <c r="F16" s="5" t="n">
        <v>32052</v>
      </c>
      <c r="G16" s="5" t="n">
        <v>-31454</v>
      </c>
    </row>
    <row r="17">
      <c r="A17" s="6" t="inlineStr">
        <is>
          <t>Tax charge/(credit)</t>
        </is>
      </c>
      <c r="B17" s="6" t="n"/>
      <c r="C17" s="6" t="n">
        <v>-72691</v>
      </c>
      <c r="D17" s="6" t="n">
        <v>-81098</v>
      </c>
      <c r="E17" s="6" t="n">
        <v>-51740</v>
      </c>
      <c r="F17" s="6" t="n">
        <v>12886</v>
      </c>
      <c r="G17" s="6" t="n">
        <v>8135</v>
      </c>
    </row>
    <row r="18">
      <c r="A18" s="5" t="inlineStr">
        <is>
          <t>Profit/(loss) after taxation</t>
        </is>
      </c>
      <c r="B18" s="5" t="n"/>
      <c r="C18" s="5" t="n">
        <v>150722</v>
      </c>
      <c r="D18" s="5" t="n">
        <v>220001</v>
      </c>
      <c r="E18" s="5" t="n">
        <v>142856</v>
      </c>
      <c r="F18" s="5" t="n">
        <v>44938</v>
      </c>
      <c r="G18" s="5" t="n">
        <v>-23319</v>
      </c>
    </row>
    <row r="19">
      <c r="A19" s="5" t="inlineStr">
        <is>
          <t>Other comprehensive income, net of tax (FY2021-FY2025 presentation)</t>
        </is>
      </c>
      <c r="B19" s="6" t="n"/>
      <c r="C19" s="6" t="n"/>
      <c r="D19" s="6" t="n"/>
      <c r="E19" s="6" t="n"/>
      <c r="F19" s="6" t="n"/>
      <c r="G19" s="6" t="n"/>
    </row>
    <row r="20">
      <c r="A20" s="6" t="inlineStr">
        <is>
          <t>Translation of subsidiary company</t>
        </is>
      </c>
      <c r="B20" s="6" t="n"/>
      <c r="C20" s="6" t="n">
        <v>7</v>
      </c>
      <c r="D20" s="6" t="n">
        <v>25</v>
      </c>
      <c r="E20" s="6" t="n">
        <v>47</v>
      </c>
      <c r="F20" s="6" t="n">
        <v>-4</v>
      </c>
      <c r="G20" s="6" t="n"/>
    </row>
    <row r="21">
      <c r="A21" s="6" t="inlineStr">
        <is>
          <t>Cash flow hedges (net of tax)</t>
        </is>
      </c>
      <c r="B21" s="6" t="n"/>
      <c r="C21" s="6" t="n">
        <v>-7299</v>
      </c>
      <c r="D21" s="6" t="n">
        <v>27379</v>
      </c>
      <c r="E21" s="6" t="n">
        <v>-10246</v>
      </c>
      <c r="F21" s="6" t="n"/>
      <c r="G21" s="6" t="n"/>
    </row>
    <row r="22">
      <c r="A22" s="5" t="inlineStr">
        <is>
          <t>Other comprehensive income/(loss), net of tax</t>
        </is>
      </c>
      <c r="B22" s="5" t="n"/>
      <c r="C22" s="5" t="n">
        <v>-7292</v>
      </c>
      <c r="D22" s="5" t="n">
        <v>27404</v>
      </c>
      <c r="E22" s="5" t="n">
        <v>-10199</v>
      </c>
      <c r="F22" s="5" t="n">
        <v>-4</v>
      </c>
      <c r="G22" s="5" t="n">
        <v>0</v>
      </c>
    </row>
    <row r="23">
      <c r="A23" s="5" t="inlineStr">
        <is>
          <t>Total comprehensive income/(loss) for the year, net of tax (FY2021-FY2025 presentation)</t>
        </is>
      </c>
      <c r="B23" s="5" t="n"/>
      <c r="C23" s="5" t="n">
        <v>143430</v>
      </c>
      <c r="D23" s="5" t="n">
        <v>247405</v>
      </c>
      <c r="E23" s="5" t="n">
        <v>132657</v>
      </c>
      <c r="F23" s="5" t="n">
        <v>44934</v>
      </c>
      <c r="G23" s="5" t="n">
        <v>-23319</v>
      </c>
    </row>
    <row r="24">
      <c r="A24" s="5" t="inlineStr">
        <is>
          <t>Income statement (FY2026 presentation - Revenue/Cost of revenue/Gross profit structure)</t>
        </is>
      </c>
      <c r="B24" s="6" t="n"/>
      <c r="C24" s="6" t="n"/>
      <c r="D24" s="6" t="n"/>
      <c r="E24" s="6" t="n"/>
      <c r="F24" s="6" t="n"/>
      <c r="G24" s="6" t="n"/>
    </row>
    <row r="25">
      <c r="A25" s="6" t="inlineStr">
        <is>
          <t>Interest income (FY2026 presentation)</t>
        </is>
      </c>
      <c r="B25" s="6" t="n">
        <v>759202</v>
      </c>
      <c r="C25" s="6" t="n"/>
      <c r="D25" s="6" t="n"/>
      <c r="E25" s="6" t="n"/>
      <c r="F25" s="6" t="n"/>
      <c r="G25" s="6" t="n"/>
    </row>
    <row r="26">
      <c r="A26" s="6" t="inlineStr">
        <is>
          <t>Fee and commission income (FY2026 presentation)</t>
        </is>
      </c>
      <c r="B26" s="6" t="n">
        <v>128153</v>
      </c>
      <c r="C26" s="6" t="n"/>
      <c r="D26" s="6" t="n"/>
      <c r="E26" s="6" t="n"/>
      <c r="F26" s="6" t="n"/>
      <c r="G26" s="6" t="n"/>
    </row>
    <row r="27">
      <c r="A27" s="5" t="inlineStr">
        <is>
          <t>Revenue (FY2026 presentation)</t>
        </is>
      </c>
      <c r="B27" s="5" t="n">
        <v>887355</v>
      </c>
      <c r="C27" s="5" t="n"/>
      <c r="D27" s="5" t="n"/>
      <c r="E27" s="5" t="n"/>
      <c r="F27" s="5" t="n"/>
      <c r="G27" s="5" t="n"/>
    </row>
    <row r="28">
      <c r="A28" s="6" t="inlineStr">
        <is>
          <t>Interest expense (FY2026 presentation)</t>
        </is>
      </c>
      <c r="B28" s="6" t="n">
        <v>-189263</v>
      </c>
      <c r="C28" s="6" t="n"/>
      <c r="D28" s="6" t="n"/>
      <c r="E28" s="6" t="n"/>
      <c r="F28" s="6" t="n"/>
      <c r="G28" s="6" t="n"/>
    </row>
    <row r="29">
      <c r="A29" s="6" t="inlineStr">
        <is>
          <t>Fee expense and cost of services (FY2026 presentation)</t>
        </is>
      </c>
      <c r="B29" s="6" t="n">
        <v>-46579</v>
      </c>
      <c r="C29" s="6" t="n"/>
      <c r="D29" s="6" t="n"/>
      <c r="E29" s="6" t="n"/>
      <c r="F29" s="6" t="n"/>
      <c r="G29" s="6" t="n"/>
    </row>
    <row r="30">
      <c r="A30" s="6" t="inlineStr">
        <is>
          <t>Impairment (charge)/release (FY2026 presentation)</t>
        </is>
      </c>
      <c r="B30" s="6" t="n">
        <v>-6649</v>
      </c>
      <c r="C30" s="6" t="n"/>
      <c r="D30" s="6" t="n"/>
      <c r="E30" s="6" t="n"/>
      <c r="F30" s="6" t="n"/>
      <c r="G30" s="6" t="n"/>
    </row>
    <row r="31">
      <c r="A31" s="5" t="inlineStr">
        <is>
          <t>Cost of revenue (FY2026 presentation)</t>
        </is>
      </c>
      <c r="B31" s="5" t="n">
        <v>-242491</v>
      </c>
      <c r="C31" s="5" t="n"/>
      <c r="D31" s="5" t="n"/>
      <c r="E31" s="5" t="n"/>
      <c r="F31" s="5" t="n"/>
      <c r="G31" s="5" t="n"/>
    </row>
    <row r="32">
      <c r="A32" s="5" t="inlineStr">
        <is>
          <t>Gross profit (FY2026 presentation)</t>
        </is>
      </c>
      <c r="B32" s="5" t="n">
        <v>644864</v>
      </c>
      <c r="C32" s="5" t="n"/>
      <c r="D32" s="5" t="n"/>
      <c r="E32" s="5" t="n"/>
      <c r="F32" s="5" t="n"/>
      <c r="G32" s="5" t="n"/>
    </row>
    <row r="33">
      <c r="A33" s="6" t="inlineStr">
        <is>
          <t>Other income/(expense) (FY2026 presentation)</t>
        </is>
      </c>
      <c r="B33" s="6" t="n">
        <v>14209</v>
      </c>
      <c r="C33" s="6" t="n"/>
      <c r="D33" s="6" t="n"/>
      <c r="E33" s="6" t="n"/>
      <c r="F33" s="6" t="n"/>
      <c r="G33" s="6" t="n"/>
    </row>
    <row r="34">
      <c r="A34" s="6" t="inlineStr">
        <is>
          <t>Operating expenses (FY2026 presentation)</t>
        </is>
      </c>
      <c r="B34" s="6" t="n">
        <v>-441955</v>
      </c>
      <c r="C34" s="6" t="n"/>
      <c r="D34" s="6" t="n"/>
      <c r="E34" s="6" t="n"/>
      <c r="F34" s="6" t="n"/>
      <c r="G34" s="6" t="n"/>
    </row>
    <row r="35">
      <c r="A35" s="5" t="inlineStr">
        <is>
          <t>Profit before taxation (FY2026 presentation)</t>
        </is>
      </c>
      <c r="B35" s="5" t="n">
        <v>217118</v>
      </c>
      <c r="C35" s="5" t="n"/>
      <c r="D35" s="5" t="n"/>
      <c r="E35" s="5" t="n"/>
      <c r="F35" s="5" t="n"/>
      <c r="G35" s="5" t="n"/>
    </row>
    <row r="36">
      <c r="A36" s="6" t="inlineStr">
        <is>
          <t>Tax charge (FY2026 presentation)</t>
        </is>
      </c>
      <c r="B36" s="6" t="n">
        <v>-61075</v>
      </c>
      <c r="C36" s="6" t="n"/>
      <c r="D36" s="6" t="n"/>
      <c r="E36" s="6" t="n"/>
      <c r="F36" s="6" t="n"/>
      <c r="G36" s="6" t="n"/>
    </row>
    <row r="37">
      <c r="A37" s="5" t="inlineStr">
        <is>
          <t>Profit after taxation (FY2026 presentation)</t>
        </is>
      </c>
      <c r="B37" s="5" t="n">
        <v>156043</v>
      </c>
      <c r="C37" s="5" t="n"/>
      <c r="D37" s="5" t="n"/>
      <c r="E37" s="5" t="n"/>
      <c r="F37" s="5" t="n"/>
      <c r="G37" s="5" t="n"/>
    </row>
    <row r="38">
      <c r="A38" s="5" t="inlineStr">
        <is>
          <t>Other comprehensive income, net of tax (FY2026 presentation)</t>
        </is>
      </c>
      <c r="B38" s="6" t="n"/>
      <c r="C38" s="6" t="n"/>
      <c r="D38" s="6" t="n"/>
      <c r="E38" s="6" t="n"/>
      <c r="F38" s="6" t="n"/>
      <c r="G38" s="6" t="n"/>
    </row>
    <row r="39">
      <c r="A39" s="6" t="inlineStr">
        <is>
          <t>Translation of subsidiary companies (FY2026 presentation)</t>
        </is>
      </c>
      <c r="B39" s="6" t="n">
        <v>-11</v>
      </c>
      <c r="C39" s="6" t="n"/>
      <c r="D39" s="6" t="n"/>
      <c r="E39" s="6" t="n"/>
      <c r="F39" s="6" t="n"/>
      <c r="G39" s="6" t="n"/>
    </row>
    <row r="40">
      <c r="A40" s="6" t="inlineStr">
        <is>
          <t>Cash flow hedges (net of tax) (FY2026 presentation)</t>
        </is>
      </c>
      <c r="B40" s="6" t="n">
        <v>-9407</v>
      </c>
      <c r="C40" s="6" t="n"/>
      <c r="D40" s="6" t="n"/>
      <c r="E40" s="6" t="n"/>
      <c r="F40" s="6" t="n"/>
      <c r="G40" s="6" t="n"/>
    </row>
    <row r="41">
      <c r="A41" s="5" t="inlineStr">
        <is>
          <t>Other comprehensive income/(loss), net of tax (FY2026 presentation)</t>
        </is>
      </c>
      <c r="B41" s="5" t="n">
        <v>-9418</v>
      </c>
      <c r="C41" s="5" t="n"/>
      <c r="D41" s="5" t="n"/>
      <c r="E41" s="5" t="n"/>
      <c r="F41" s="5" t="n"/>
      <c r="G41" s="5" t="n"/>
    </row>
    <row r="42">
      <c r="A42" s="5" t="inlineStr">
        <is>
          <t>Total comprehensive income for the year, net of tax (FY2026 presentation)</t>
        </is>
      </c>
      <c r="B42" s="5" t="n">
        <v>146625</v>
      </c>
      <c r="C42" s="5" t="n"/>
      <c r="D42" s="5" t="n"/>
      <c r="E42" s="5" t="n"/>
      <c r="F42" s="5" t="n"/>
      <c r="G42" s="5" t="n"/>
    </row>
    <row r="44" ht="38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G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38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Cash flows from operating activities</t>
        </is>
      </c>
      <c r="B4" s="6" t="n"/>
      <c r="C4" s="6" t="n"/>
      <c r="D4" s="6" t="n"/>
      <c r="E4" s="6" t="n"/>
      <c r="F4" s="6" t="n"/>
      <c r="G4" s="6" t="n"/>
    </row>
    <row r="5">
      <c r="A5" s="6" t="inlineStr">
        <is>
          <t>Profit/(loss) for the period after taxation (FY2021-FY2023 presentation)</t>
        </is>
      </c>
      <c r="B5" s="6" t="n"/>
      <c r="C5" s="6" t="n"/>
      <c r="D5" s="6" t="n"/>
      <c r="E5" s="6" t="n">
        <v>142856</v>
      </c>
      <c r="F5" s="6" t="n">
        <v>44938</v>
      </c>
      <c r="G5" s="6" t="n">
        <v>-23319</v>
      </c>
    </row>
    <row r="6">
      <c r="A6" s="5" t="inlineStr">
        <is>
          <t>Adjustments for non-cash items (FY2021-FY2023 presentation)</t>
        </is>
      </c>
      <c r="B6" s="6" t="n"/>
      <c r="C6" s="6" t="n"/>
      <c r="D6" s="6" t="n"/>
      <c r="E6" s="6" t="n"/>
      <c r="F6" s="6" t="n"/>
      <c r="G6" s="6" t="n"/>
    </row>
    <row r="7">
      <c r="A7" s="6" t="inlineStr">
        <is>
          <t>Depreciation and Amortisation</t>
        </is>
      </c>
      <c r="B7" s="6" t="n"/>
      <c r="C7" s="6" t="n"/>
      <c r="D7" s="6" t="n"/>
      <c r="E7" s="6" t="n">
        <v>10953</v>
      </c>
      <c r="F7" s="6" t="n">
        <v>6384</v>
      </c>
      <c r="G7" s="6" t="n">
        <v>7045</v>
      </c>
    </row>
    <row r="8">
      <c r="A8" s="6" t="inlineStr">
        <is>
          <t>Cost of Share Award Schemes, Net of Tax / FV of Shares Allocated to Employees</t>
        </is>
      </c>
      <c r="B8" s="6" t="n"/>
      <c r="C8" s="6" t="n"/>
      <c r="D8" s="6" t="n"/>
      <c r="E8" s="6" t="n">
        <v>1323</v>
      </c>
      <c r="F8" s="6" t="n">
        <v>4659</v>
      </c>
      <c r="G8" s="6" t="n">
        <v>1927</v>
      </c>
    </row>
    <row r="9">
      <c r="A9" s="6" t="inlineStr">
        <is>
          <t>Change in Derivatives and Fair Value on Hedging Relationships</t>
        </is>
      </c>
      <c r="B9" s="6" t="n"/>
      <c r="C9" s="6" t="n"/>
      <c r="D9" s="6" t="n"/>
      <c r="E9" s="6" t="n">
        <v>6487</v>
      </c>
      <c r="F9" s="6" t="n">
        <v>-7905</v>
      </c>
      <c r="G9" s="6" t="n"/>
    </row>
    <row r="10">
      <c r="A10" s="6" t="inlineStr">
        <is>
          <t>Net Increase in Fair Value of Derivatives (FY2021 presentation)</t>
        </is>
      </c>
      <c r="B10" s="6" t="n"/>
      <c r="C10" s="6" t="n"/>
      <c r="D10" s="6" t="n"/>
      <c r="E10" s="6" t="n"/>
      <c r="F10" s="6" t="n"/>
      <c r="G10" s="6" t="n">
        <v>-12670</v>
      </c>
    </row>
    <row r="11">
      <c r="A11" s="6" t="inlineStr">
        <is>
          <t>Net Increase in Fair Value of Assets Designated as Hedged Items (FY2021 presentation)</t>
        </is>
      </c>
      <c r="B11" s="6" t="n"/>
      <c r="C11" s="6" t="n"/>
      <c r="D11" s="6" t="n"/>
      <c r="E11" s="6" t="n"/>
      <c r="F11" s="6" t="n"/>
      <c r="G11" s="6" t="n">
        <v>12520</v>
      </c>
    </row>
    <row r="12">
      <c r="A12" s="6" t="inlineStr">
        <is>
          <t>Impairment and Charge-offs</t>
        </is>
      </c>
      <c r="B12" s="6" t="n"/>
      <c r="C12" s="6" t="n"/>
      <c r="D12" s="6" t="n"/>
      <c r="E12" s="6" t="n">
        <v>9991</v>
      </c>
      <c r="F12" s="6" t="n">
        <v>10226</v>
      </c>
      <c r="G12" s="6" t="n">
        <v>16106</v>
      </c>
    </row>
    <row r="13">
      <c r="A13" s="6" t="inlineStr">
        <is>
          <t>Recognition of Right of Use Asset (FY2021 presentation)</t>
        </is>
      </c>
      <c r="B13" s="6" t="n"/>
      <c r="C13" s="6" t="n"/>
      <c r="D13" s="6" t="n"/>
      <c r="E13" s="6" t="n"/>
      <c r="F13" s="6" t="n"/>
      <c r="G13" s="6" t="n">
        <v>-5527</v>
      </c>
    </row>
    <row r="14">
      <c r="A14" s="6" t="inlineStr">
        <is>
          <t>Foreign Exchange Losses on Consolidation (FY2021 presentation)</t>
        </is>
      </c>
      <c r="B14" s="6" t="n"/>
      <c r="C14" s="6" t="n"/>
      <c r="D14" s="6" t="n"/>
      <c r="E14" s="6" t="n"/>
      <c r="F14" s="6" t="n"/>
      <c r="G14" s="6" t="n">
        <v>91</v>
      </c>
    </row>
    <row r="15">
      <c r="A15" s="6" t="inlineStr">
        <is>
          <t>Disposal of Intangible Assets (FY2021 presentation)</t>
        </is>
      </c>
      <c r="B15" s="6" t="n"/>
      <c r="C15" s="6" t="n"/>
      <c r="D15" s="6" t="n"/>
      <c r="E15" s="6" t="n"/>
      <c r="F15" s="6" t="n"/>
      <c r="G15" s="6" t="n">
        <v>358</v>
      </c>
    </row>
    <row r="16">
      <c r="A16" s="6" t="inlineStr">
        <is>
          <t>Net Increase in Deferred Tax Asset (adjustment)</t>
        </is>
      </c>
      <c r="B16" s="6" t="n"/>
      <c r="C16" s="6" t="n"/>
      <c r="D16" s="6" t="n"/>
      <c r="E16" s="6" t="n"/>
      <c r="F16" s="6" t="n"/>
      <c r="G16" s="6" t="n">
        <v>-6088</v>
      </c>
    </row>
    <row r="17">
      <c r="A17" s="6" t="inlineStr">
        <is>
          <t>Taxation Charged to the Income Statement</t>
        </is>
      </c>
      <c r="B17" s="6" t="n"/>
      <c r="C17" s="6" t="n"/>
      <c r="D17" s="6" t="n"/>
      <c r="E17" s="6" t="n">
        <v>51740</v>
      </c>
      <c r="F17" s="6" t="n"/>
      <c r="G17" s="6" t="n"/>
    </row>
    <row r="18">
      <c r="A18" s="6" t="inlineStr">
        <is>
          <t>Other Non-Cash Items</t>
        </is>
      </c>
      <c r="B18" s="6" t="n"/>
      <c r="C18" s="6" t="n"/>
      <c r="D18" s="6" t="n"/>
      <c r="E18" s="6" t="n">
        <v>-13652</v>
      </c>
      <c r="F18" s="6" t="n">
        <v>1479</v>
      </c>
      <c r="G18" s="6" t="n"/>
    </row>
    <row r="19">
      <c r="A19" s="5" t="inlineStr">
        <is>
          <t>Net changes in operating assets and liabilities (FY2021-FY2023 presentation)</t>
        </is>
      </c>
      <c r="B19" s="6" t="n"/>
      <c r="C19" s="6" t="n"/>
      <c r="D19" s="6" t="n"/>
      <c r="E19" s="6" t="n"/>
      <c r="F19" s="6" t="n"/>
      <c r="G19" s="6" t="n"/>
    </row>
    <row r="20">
      <c r="A20" s="6" t="inlineStr">
        <is>
          <t>Movement in Loans and Advances to Banks</t>
        </is>
      </c>
      <c r="B20" s="6" t="n"/>
      <c r="C20" s="6" t="n"/>
      <c r="D20" s="6" t="n"/>
      <c r="E20" s="6" t="n">
        <v>-9835</v>
      </c>
      <c r="F20" s="6" t="n">
        <v>-16523</v>
      </c>
      <c r="G20" s="6" t="n"/>
    </row>
    <row r="21">
      <c r="A21" s="6" t="inlineStr">
        <is>
          <t>Net (Increase) in Loans and Advances to Customers</t>
        </is>
      </c>
      <c r="B21" s="6" t="n"/>
      <c r="C21" s="6" t="n"/>
      <c r="D21" s="6" t="n"/>
      <c r="E21" s="6" t="n">
        <v>-1567215</v>
      </c>
      <c r="F21" s="6" t="n">
        <v>-1007837</v>
      </c>
      <c r="G21" s="6" t="n">
        <v>-2203378</v>
      </c>
    </row>
    <row r="22">
      <c r="A22" s="6" t="inlineStr">
        <is>
          <t>Net (Increase) in Deferred Tax Asset (asset movement)</t>
        </is>
      </c>
      <c r="B22" s="6" t="n"/>
      <c r="C22" s="6" t="n"/>
      <c r="D22" s="6" t="n"/>
      <c r="E22" s="6" t="n"/>
      <c r="F22" s="6" t="n">
        <v>-15897</v>
      </c>
      <c r="G22" s="6" t="n"/>
    </row>
    <row r="23">
      <c r="A23" s="6" t="inlineStr">
        <is>
          <t>Net (Increase) in Other Assets</t>
        </is>
      </c>
      <c r="B23" s="6" t="n"/>
      <c r="C23" s="6" t="n"/>
      <c r="D23" s="6" t="n"/>
      <c r="E23" s="6" t="n">
        <v>-5399</v>
      </c>
      <c r="F23" s="6" t="n">
        <v>-61397</v>
      </c>
      <c r="G23" s="6" t="n">
        <v>-31818</v>
      </c>
    </row>
    <row r="24">
      <c r="A24" s="6" t="inlineStr">
        <is>
          <t>Net Increase in Customer Deposits</t>
        </is>
      </c>
      <c r="B24" s="6" t="n"/>
      <c r="C24" s="6" t="n"/>
      <c r="D24" s="6" t="n"/>
      <c r="E24" s="6" t="n">
        <v>1524407</v>
      </c>
      <c r="F24" s="6" t="n">
        <v>3199715</v>
      </c>
      <c r="G24" s="6" t="n">
        <v>4820298</v>
      </c>
    </row>
    <row r="25">
      <c r="A25" s="6" t="inlineStr">
        <is>
          <t>Net Increase in Central Bank Facilities (FY2021 presentation)</t>
        </is>
      </c>
      <c r="B25" s="6" t="n"/>
      <c r="C25" s="6" t="n"/>
      <c r="D25" s="6" t="n"/>
      <c r="E25" s="6" t="n"/>
      <c r="F25" s="6" t="n"/>
      <c r="G25" s="6" t="n">
        <v>1000000</v>
      </c>
    </row>
    <row r="26">
      <c r="A26" s="6" t="inlineStr">
        <is>
          <t>Net (Decrease)/Increase in Deposits from Banks</t>
        </is>
      </c>
      <c r="B26" s="6" t="n"/>
      <c r="C26" s="6" t="n"/>
      <c r="D26" s="6" t="n"/>
      <c r="E26" s="6" t="n">
        <v>-9515</v>
      </c>
      <c r="F26" s="6" t="n">
        <v>1281380</v>
      </c>
      <c r="G26" s="6" t="n"/>
    </row>
    <row r="27">
      <c r="A27" s="6" t="inlineStr">
        <is>
          <t>Net Increase/(Decrease) in Provisions for Liabilities and Charges</t>
        </is>
      </c>
      <c r="B27" s="6" t="n"/>
      <c r="C27" s="6" t="n"/>
      <c r="D27" s="6" t="n"/>
      <c r="E27" s="6" t="n">
        <v>232</v>
      </c>
      <c r="F27" s="6" t="n">
        <v>-758</v>
      </c>
      <c r="G27" s="6" t="n">
        <v>-680</v>
      </c>
    </row>
    <row r="28">
      <c r="A28" s="6" t="inlineStr">
        <is>
          <t>Net (Decrease)/Increase in Other Liabilities and Accruals</t>
        </is>
      </c>
      <c r="B28" s="6" t="n"/>
      <c r="C28" s="6" t="n"/>
      <c r="D28" s="6" t="n"/>
      <c r="E28" s="6" t="n">
        <v>-51253</v>
      </c>
      <c r="F28" s="6" t="n">
        <v>104310</v>
      </c>
      <c r="G28" s="6" t="n">
        <v>969</v>
      </c>
    </row>
    <row r="29">
      <c r="A29" s="6" t="inlineStr">
        <is>
          <t>Net Increase/(Decrease) in Deferred Income</t>
        </is>
      </c>
      <c r="B29" s="6" t="n"/>
      <c r="C29" s="6" t="n"/>
      <c r="D29" s="6" t="n"/>
      <c r="E29" s="6" t="n">
        <v>16202</v>
      </c>
      <c r="F29" s="6" t="n">
        <v>-3994</v>
      </c>
      <c r="G29" s="6" t="n">
        <v>-44894</v>
      </c>
    </row>
    <row r="30">
      <c r="A30" s="6" t="inlineStr">
        <is>
          <t>Taxation Paid (FY2022-FY2023 presentation)</t>
        </is>
      </c>
      <c r="B30" s="6" t="n"/>
      <c r="C30" s="6" t="n"/>
      <c r="D30" s="6" t="n"/>
      <c r="E30" s="6" t="n">
        <v>-26720</v>
      </c>
      <c r="F30" s="6" t="n">
        <v>-3321</v>
      </c>
      <c r="G30" s="6" t="n"/>
    </row>
    <row r="31">
      <c r="A31" s="5" t="inlineStr">
        <is>
          <t>Net Cash Flows from Operating Activities (FY2021-FY2023 presentation)</t>
        </is>
      </c>
      <c r="B31" s="5" t="n"/>
      <c r="C31" s="5" t="n"/>
      <c r="D31" s="5" t="n"/>
      <c r="E31" s="5" t="n">
        <v>80602</v>
      </c>
      <c r="F31" s="5" t="n">
        <v>3535459</v>
      </c>
      <c r="G31" s="5" t="n">
        <v>3530940</v>
      </c>
    </row>
    <row r="32">
      <c r="A32" s="5" t="inlineStr">
        <is>
          <t>Adjustments and net changes (FY2024-FY2026 presentation, summarised - see note for breakdown)</t>
        </is>
      </c>
      <c r="B32" s="6" t="n"/>
      <c r="C32" s="6" t="n"/>
      <c r="D32" s="6" t="n"/>
      <c r="E32" s="6" t="n"/>
      <c r="F32" s="6" t="n"/>
      <c r="G32" s="6" t="n"/>
    </row>
    <row r="33">
      <c r="A33" s="6" t="inlineStr">
        <is>
          <t>Profit for the period after taxation (FY2024-FY2026 presentation)</t>
        </is>
      </c>
      <c r="B33" s="6" t="n">
        <v>156043</v>
      </c>
      <c r="C33" s="6" t="n">
        <v>150722</v>
      </c>
      <c r="D33" s="6" t="n">
        <v>220001</v>
      </c>
      <c r="E33" s="6" t="n"/>
      <c r="F33" s="6" t="n"/>
      <c r="G33" s="6" t="n"/>
    </row>
    <row r="34">
      <c r="A34" s="6" t="inlineStr">
        <is>
          <t>Non-cash movements (as reported)</t>
        </is>
      </c>
      <c r="B34" s="6" t="n">
        <v>109080</v>
      </c>
      <c r="C34" s="6" t="n">
        <v>165605</v>
      </c>
      <c r="D34" s="6" t="n">
        <v>155782</v>
      </c>
      <c r="E34" s="6" t="n"/>
      <c r="F34" s="6" t="n"/>
      <c r="G34" s="6" t="n"/>
    </row>
    <row r="35">
      <c r="A35" s="6" t="inlineStr">
        <is>
          <t>Movement in operating assets (as reported)</t>
        </is>
      </c>
      <c r="B35" s="6" t="n">
        <v>-541473</v>
      </c>
      <c r="C35" s="6" t="n">
        <v>-30989</v>
      </c>
      <c r="D35" s="6" t="n">
        <v>194795</v>
      </c>
      <c r="E35" s="6" t="n"/>
      <c r="F35" s="6" t="n"/>
      <c r="G35" s="6" t="n"/>
    </row>
    <row r="36">
      <c r="A36" s="6" t="inlineStr">
        <is>
          <t>Movement in operating liabilities (as reported)</t>
        </is>
      </c>
      <c r="B36" s="6" t="n">
        <v>505769</v>
      </c>
      <c r="C36" s="6" t="n">
        <v>793034</v>
      </c>
      <c r="D36" s="6" t="n">
        <v>813947</v>
      </c>
      <c r="E36" s="6" t="n"/>
      <c r="F36" s="6" t="n"/>
      <c r="G36" s="6" t="n"/>
    </row>
    <row r="37">
      <c r="A37" s="6" t="inlineStr">
        <is>
          <t>Taxation paid (FY2024-FY2026 presentation)</t>
        </is>
      </c>
      <c r="B37" s="6" t="n">
        <v>-46085</v>
      </c>
      <c r="C37" s="6" t="n">
        <v>-61999</v>
      </c>
      <c r="D37" s="6" t="n">
        <v>-94266</v>
      </c>
      <c r="E37" s="6" t="n"/>
      <c r="F37" s="6" t="n"/>
      <c r="G37" s="6" t="n"/>
    </row>
    <row r="38">
      <c r="A38" s="5" t="inlineStr">
        <is>
          <t>Net cash flows from operating activities (FY2024-FY2026 presentation)</t>
        </is>
      </c>
      <c r="B38" s="5" t="n">
        <v>183334</v>
      </c>
      <c r="C38" s="5" t="n">
        <v>1016373</v>
      </c>
      <c r="D38" s="5" t="n">
        <v>1290259</v>
      </c>
      <c r="E38" s="5" t="n"/>
      <c r="F38" s="5" t="n"/>
      <c r="G38" s="5" t="n"/>
    </row>
    <row r="39">
      <c r="A39" s="5" t="inlineStr">
        <is>
          <t>Cash flows from investing activities</t>
        </is>
      </c>
      <c r="B39" s="6" t="n"/>
      <c r="C39" s="6" t="n"/>
      <c r="D39" s="6" t="n"/>
      <c r="E39" s="6" t="n"/>
      <c r="F39" s="6" t="n"/>
      <c r="G39" s="6" t="n"/>
    </row>
    <row r="40">
      <c r="A40" s="6" t="inlineStr">
        <is>
          <t>Purchase of Property, Plant and Equipment</t>
        </is>
      </c>
      <c r="B40" s="6" t="n"/>
      <c r="C40" s="6" t="n"/>
      <c r="D40" s="6" t="n"/>
      <c r="E40" s="6" t="n">
        <v>-2824</v>
      </c>
      <c r="F40" s="6" t="n">
        <v>-1279</v>
      </c>
      <c r="G40" s="6" t="n">
        <v>-1131</v>
      </c>
    </row>
    <row r="41">
      <c r="A41" s="6" t="inlineStr">
        <is>
          <t>Purchase of property, plant and equipment (FY2024-FY2026 presentation)</t>
        </is>
      </c>
      <c r="B41" s="6" t="n">
        <v>-6034</v>
      </c>
      <c r="C41" s="6" t="n">
        <v>-3167</v>
      </c>
      <c r="D41" s="6" t="n">
        <v>-4728</v>
      </c>
      <c r="E41" s="6" t="n"/>
      <c r="F41" s="6" t="n"/>
      <c r="G41" s="6" t="n"/>
    </row>
    <row r="42">
      <c r="A42" s="6" t="inlineStr">
        <is>
          <t>Net Purchases of Debt Securities (FY2022-FY2023 presentation)</t>
        </is>
      </c>
      <c r="B42" s="6" t="n"/>
      <c r="C42" s="6" t="n"/>
      <c r="D42" s="6" t="n"/>
      <c r="E42" s="6" t="n">
        <v>-161608</v>
      </c>
      <c r="F42" s="6" t="n">
        <v>-814284</v>
      </c>
      <c r="G42" s="6" t="n"/>
    </row>
    <row r="43">
      <c r="A43" s="6" t="inlineStr">
        <is>
          <t>Net Increase in Debt Securities (FY2021 presentation)</t>
        </is>
      </c>
      <c r="B43" s="6" t="n"/>
      <c r="C43" s="6" t="n"/>
      <c r="D43" s="6" t="n"/>
      <c r="E43" s="6" t="n"/>
      <c r="F43" s="6" t="n"/>
      <c r="G43" s="6" t="n">
        <v>-1184380</v>
      </c>
    </row>
    <row r="44">
      <c r="A44" s="6" t="inlineStr">
        <is>
          <t>Purchases of debt securities (FY2024-FY2026 presentation)</t>
        </is>
      </c>
      <c r="B44" s="6" t="n">
        <v>-4462187</v>
      </c>
      <c r="C44" s="6" t="n">
        <v>-1378404</v>
      </c>
      <c r="D44" s="6" t="n">
        <v>-1577646</v>
      </c>
      <c r="E44" s="6" t="n"/>
      <c r="F44" s="6" t="n"/>
      <c r="G44" s="6" t="n"/>
    </row>
    <row r="45">
      <c r="A45" s="6" t="inlineStr">
        <is>
          <t>Proceeds from maturity and sale of debt securities (FY2024-FY2026 presentation)</t>
        </is>
      </c>
      <c r="B45" s="6" t="n">
        <v>1575165</v>
      </c>
      <c r="C45" s="6" t="n">
        <v>735088</v>
      </c>
      <c r="D45" s="6" t="n">
        <v>748813</v>
      </c>
      <c r="E45" s="6" t="n"/>
      <c r="F45" s="6" t="n"/>
      <c r="G45" s="6" t="n"/>
    </row>
    <row r="46">
      <c r="A46" s="6" t="inlineStr">
        <is>
          <t>Acquisition of Subsidiary, Net of Cash Acquired</t>
        </is>
      </c>
      <c r="B46" s="6" t="n"/>
      <c r="C46" s="6" t="n"/>
      <c r="D46" s="6" t="n"/>
      <c r="E46" s="6" t="n"/>
      <c r="F46" s="6" t="n">
        <v>-36160</v>
      </c>
      <c r="G46" s="6" t="n"/>
    </row>
    <row r="47">
      <c r="A47" s="6" t="inlineStr">
        <is>
          <t>PPE and Intangibles on Acquisition of Subsidiary</t>
        </is>
      </c>
      <c r="B47" s="6" t="n"/>
      <c r="C47" s="6" t="n"/>
      <c r="D47" s="6" t="n"/>
      <c r="E47" s="6" t="n"/>
      <c r="F47" s="6" t="n">
        <v>-8377</v>
      </c>
      <c r="G47" s="6" t="n"/>
    </row>
    <row r="48">
      <c r="A48" s="6" t="inlineStr">
        <is>
          <t>Net cash on acquisition of subsidiary (FY2026 presentation)</t>
        </is>
      </c>
      <c r="B48" s="6" t="n">
        <v>-2205</v>
      </c>
      <c r="C48" s="6" t="n"/>
      <c r="D48" s="6" t="n"/>
      <c r="E48" s="6" t="n"/>
      <c r="F48" s="6" t="n"/>
      <c r="G48" s="6" t="n"/>
    </row>
    <row r="49">
      <c r="A49" s="6" t="inlineStr">
        <is>
          <t>Purchase and Development of Intangible Assets</t>
        </is>
      </c>
      <c r="B49" s="6" t="n"/>
      <c r="C49" s="6" t="n"/>
      <c r="D49" s="6" t="n"/>
      <c r="E49" s="6" t="n">
        <v>-27643</v>
      </c>
      <c r="F49" s="6" t="n">
        <v>-19170</v>
      </c>
      <c r="G49" s="6" t="n"/>
    </row>
    <row r="50">
      <c r="A50" s="6" t="inlineStr">
        <is>
          <t>Capitalisation of Intangible Assets (FY2021 presentation)</t>
        </is>
      </c>
      <c r="B50" s="6" t="n"/>
      <c r="C50" s="6" t="n"/>
      <c r="D50" s="6" t="n"/>
      <c r="E50" s="6" t="n"/>
      <c r="F50" s="6" t="n"/>
      <c r="G50" s="6" t="n">
        <v>-5623</v>
      </c>
    </row>
    <row r="51">
      <c r="A51" s="6" t="inlineStr">
        <is>
          <t>Purchase and development of intangible assets (FY2024-FY2026 presentation)</t>
        </is>
      </c>
      <c r="B51" s="6" t="n">
        <v>-75792</v>
      </c>
      <c r="C51" s="6" t="n">
        <v>-56997</v>
      </c>
      <c r="D51" s="6" t="n">
        <v>-43278</v>
      </c>
      <c r="E51" s="6" t="n"/>
      <c r="F51" s="6" t="n"/>
      <c r="G51" s="6" t="n"/>
    </row>
    <row r="52">
      <c r="A52" s="5" t="inlineStr">
        <is>
          <t>Net Cash Flows from Investing Activities</t>
        </is>
      </c>
      <c r="B52" s="5" t="n">
        <v>-2971053</v>
      </c>
      <c r="C52" s="5" t="n">
        <v>-703480</v>
      </c>
      <c r="D52" s="5" t="n">
        <v>-876839</v>
      </c>
      <c r="E52" s="5" t="n">
        <v>-192075</v>
      </c>
      <c r="F52" s="5" t="n">
        <v>-879270</v>
      </c>
      <c r="G52" s="5" t="n">
        <v>-1191134</v>
      </c>
    </row>
    <row r="53">
      <c r="A53" s="5" t="inlineStr">
        <is>
          <t>Cash flows from financing activities</t>
        </is>
      </c>
      <c r="B53" s="6" t="n"/>
      <c r="C53" s="6" t="n"/>
      <c r="D53" s="6" t="n"/>
      <c r="E53" s="6" t="n"/>
      <c r="F53" s="6" t="n"/>
      <c r="G53" s="6" t="n"/>
    </row>
    <row r="54">
      <c r="A54" s="6" t="inlineStr">
        <is>
          <t>Issuance of Ordinary Shares Less Cost of Issuance</t>
        </is>
      </c>
      <c r="B54" s="6" t="n"/>
      <c r="C54" s="6" t="n"/>
      <c r="D54" s="6" t="n"/>
      <c r="E54" s="6" t="n">
        <v>130500</v>
      </c>
      <c r="F54" s="6" t="n">
        <v>240000</v>
      </c>
      <c r="G54" s="6" t="n">
        <v>94012</v>
      </c>
    </row>
    <row r="55">
      <c r="A55" s="6" t="inlineStr">
        <is>
          <t>Purchase of own shares</t>
        </is>
      </c>
      <c r="B55" s="6" t="n"/>
      <c r="C55" s="6" t="n"/>
      <c r="D55" s="6" t="n">
        <v>-56362</v>
      </c>
      <c r="E55" s="6" t="n"/>
      <c r="F55" s="6" t="n"/>
      <c r="G55" s="6" t="n"/>
    </row>
    <row r="56">
      <c r="A56" s="6" t="inlineStr">
        <is>
          <t>Drawdown of funding from central banks</t>
        </is>
      </c>
      <c r="B56" s="6" t="n">
        <v>900000</v>
      </c>
      <c r="C56" s="6" t="n"/>
      <c r="D56" s="6" t="n"/>
      <c r="E56" s="6" t="n"/>
      <c r="F56" s="6" t="n"/>
      <c r="G56" s="6" t="n"/>
    </row>
    <row r="57">
      <c r="A57" s="6" t="inlineStr">
        <is>
          <t>Repayment of funding from central banks</t>
        </is>
      </c>
      <c r="B57" s="6" t="n">
        <v>-600000</v>
      </c>
      <c r="C57" s="6" t="n">
        <v>-50000</v>
      </c>
      <c r="D57" s="6" t="n"/>
      <c r="E57" s="6" t="n"/>
      <c r="F57" s="6" t="n"/>
      <c r="G57" s="6" t="n"/>
    </row>
    <row r="58">
      <c r="A58" s="6" t="inlineStr">
        <is>
          <t>Repayment of Lease Liabilities</t>
        </is>
      </c>
      <c r="B58" s="6" t="n"/>
      <c r="C58" s="6" t="n"/>
      <c r="D58" s="6" t="n"/>
      <c r="E58" s="6" t="n">
        <v>-68</v>
      </c>
      <c r="F58" s="6" t="n">
        <v>-1780</v>
      </c>
      <c r="G58" s="6" t="n">
        <v>-2174</v>
      </c>
    </row>
    <row r="59">
      <c r="A59" s="6" t="inlineStr">
        <is>
          <t>Repayment of lease liabilities (FY2024-FY2026 presentation)</t>
        </is>
      </c>
      <c r="B59" s="6" t="n">
        <v>-4120</v>
      </c>
      <c r="C59" s="6" t="n">
        <v>-2710</v>
      </c>
      <c r="D59" s="6" t="n">
        <v>-2154</v>
      </c>
      <c r="E59" s="6" t="n"/>
      <c r="F59" s="6" t="n"/>
      <c r="G59" s="6" t="n"/>
    </row>
    <row r="60">
      <c r="A60" s="5" t="inlineStr">
        <is>
          <t>Net Cash Flows from Financing Activities</t>
        </is>
      </c>
      <c r="B60" s="5" t="n">
        <v>295880</v>
      </c>
      <c r="C60" s="5" t="n">
        <v>-52710</v>
      </c>
      <c r="D60" s="5" t="n">
        <v>-58516</v>
      </c>
      <c r="E60" s="5" t="n">
        <v>130432</v>
      </c>
      <c r="F60" s="5" t="n">
        <v>238220</v>
      </c>
      <c r="G60" s="5" t="n">
        <v>91838</v>
      </c>
    </row>
    <row r="61">
      <c r="A61" s="5" t="inlineStr">
        <is>
          <t>Net Increase/(Decrease) in Cash and Cash Equivalents</t>
        </is>
      </c>
      <c r="B61" s="5" t="n">
        <v>-2491839</v>
      </c>
      <c r="C61" s="5" t="n">
        <v>260183</v>
      </c>
      <c r="D61" s="5" t="n">
        <v>354904</v>
      </c>
      <c r="E61" s="5" t="n">
        <v>18859</v>
      </c>
      <c r="F61" s="5" t="n">
        <v>2894409</v>
      </c>
      <c r="G61" s="5" t="n">
        <v>2431644</v>
      </c>
    </row>
    <row r="62">
      <c r="A62" s="6" t="inlineStr">
        <is>
          <t>Cash and Cash Equivalents at Beginning of Period/Year</t>
        </is>
      </c>
      <c r="B62" s="6" t="n">
        <v>6717177</v>
      </c>
      <c r="C62" s="6" t="n">
        <v>6456994</v>
      </c>
      <c r="D62" s="6" t="n">
        <v>6102090</v>
      </c>
      <c r="E62" s="6" t="n">
        <v>6083131</v>
      </c>
      <c r="F62" s="6" t="n">
        <v>3188722</v>
      </c>
      <c r="G62" s="6" t="n">
        <v>764705</v>
      </c>
    </row>
    <row r="63">
      <c r="A63" s="5" t="inlineStr">
        <is>
          <t>Cash and Cash Equivalents at End of Period/Year</t>
        </is>
      </c>
      <c r="B63" s="5" t="n">
        <v>4225338</v>
      </c>
      <c r="C63" s="5" t="n">
        <v>6717177</v>
      </c>
      <c r="D63" s="5" t="n">
        <v>6456994</v>
      </c>
      <c r="E63" s="5" t="n">
        <v>6102090</v>
      </c>
      <c r="F63" s="5" t="n">
        <v>6083131</v>
      </c>
      <c r="G63" s="5" t="n">
        <v>3196349</v>
      </c>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G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row>
    <row r="4">
      <c r="A4" s="5" t="inlineStr">
        <is>
          <t>Total exposure after guarantee, by IFRS 9 stage</t>
        </is>
      </c>
      <c r="B4" s="6" t="n"/>
      <c r="C4" s="6" t="n"/>
      <c r="D4" s="6" t="n"/>
      <c r="E4" s="6" t="n"/>
      <c r="F4" s="6" t="n"/>
    </row>
    <row r="5">
      <c r="A5" s="6" t="inlineStr">
        <is>
          <t>Stage 1</t>
        </is>
      </c>
      <c r="B5" s="6" t="n">
        <v>4862307</v>
      </c>
      <c r="C5" s="6" t="n">
        <v>4165490</v>
      </c>
      <c r="D5" s="6" t="n">
        <v>3725761</v>
      </c>
      <c r="E5" s="6" t="n">
        <v>3571338</v>
      </c>
      <c r="F5" s="6" t="n">
        <v>1633418</v>
      </c>
    </row>
    <row r="6">
      <c r="A6" s="6" t="inlineStr">
        <is>
          <t>Stage 2</t>
        </is>
      </c>
      <c r="B6" s="6" t="n">
        <v>252112</v>
      </c>
      <c r="C6" s="6" t="n">
        <v>228850</v>
      </c>
      <c r="D6" s="6" t="n">
        <v>266374</v>
      </c>
      <c r="E6" s="6" t="n">
        <v>144105</v>
      </c>
      <c r="F6" s="6" t="n">
        <v>43581</v>
      </c>
    </row>
    <row r="7">
      <c r="A7" s="6" t="inlineStr">
        <is>
          <t>Stage 3</t>
        </is>
      </c>
      <c r="B7" s="6" t="n">
        <v>163254</v>
      </c>
      <c r="C7" s="6" t="n">
        <v>159469</v>
      </c>
      <c r="D7" s="6" t="n">
        <v>160167</v>
      </c>
      <c r="E7" s="6" t="n">
        <v>103707</v>
      </c>
      <c r="F7" s="6" t="n">
        <v>55960</v>
      </c>
    </row>
    <row r="8">
      <c r="A8" s="5" t="inlineStr">
        <is>
          <t>Total exposure after guarantee</t>
        </is>
      </c>
      <c r="B8" s="5" t="n">
        <v>5277673</v>
      </c>
      <c r="C8" s="5" t="n">
        <v>4553809</v>
      </c>
      <c r="D8" s="5" t="n">
        <v>4152302</v>
      </c>
      <c r="E8" s="5" t="n">
        <v>3819150</v>
      </c>
      <c r="F8" s="5" t="n">
        <v>1732959</v>
      </c>
    </row>
    <row r="9">
      <c r="A9" s="5" t="inlineStr">
        <is>
          <t>Impairment provision, by IFRS 9 stage</t>
        </is>
      </c>
      <c r="B9" s="6" t="n"/>
      <c r="C9" s="6" t="n"/>
      <c r="D9" s="6" t="n"/>
      <c r="E9" s="6" t="n"/>
      <c r="F9" s="6" t="n"/>
    </row>
    <row r="10">
      <c r="A10" s="6" t="inlineStr">
        <is>
          <t>Stage 1</t>
        </is>
      </c>
      <c r="B10" s="6" t="n">
        <v>7767</v>
      </c>
      <c r="C10" s="6" t="n">
        <v>6344</v>
      </c>
      <c r="D10" s="6" t="n">
        <v>9174</v>
      </c>
      <c r="E10" s="6" t="n">
        <v>11462</v>
      </c>
      <c r="F10" s="6" t="n">
        <v>13637</v>
      </c>
    </row>
    <row r="11">
      <c r="A11" s="6" t="inlineStr">
        <is>
          <t>Stage 2</t>
        </is>
      </c>
      <c r="B11" s="6" t="n">
        <v>5471</v>
      </c>
      <c r="C11" s="6" t="n">
        <v>5166</v>
      </c>
      <c r="D11" s="6" t="n">
        <v>9974</v>
      </c>
      <c r="E11" s="6" t="n">
        <v>5779</v>
      </c>
      <c r="F11" s="6" t="n">
        <v>3663</v>
      </c>
    </row>
    <row r="12">
      <c r="A12" s="6" t="inlineStr">
        <is>
          <t>Stage 3</t>
        </is>
      </c>
      <c r="B12" s="6" t="n">
        <v>11239</v>
      </c>
      <c r="C12" s="6" t="n">
        <v>10403</v>
      </c>
      <c r="D12" s="6" t="n">
        <v>28722</v>
      </c>
      <c r="E12" s="6" t="n">
        <v>18381</v>
      </c>
      <c r="F12" s="6" t="n">
        <v>9772</v>
      </c>
    </row>
    <row r="13">
      <c r="A13" s="5" t="inlineStr">
        <is>
          <t>Total impairment provision</t>
        </is>
      </c>
      <c r="B13" s="5" t="n">
        <v>24477</v>
      </c>
      <c r="C13" s="5" t="n">
        <v>21913</v>
      </c>
      <c r="D13" s="5" t="n">
        <v>47870</v>
      </c>
      <c r="E13" s="5" t="n">
        <v>35622</v>
      </c>
      <c r="F13" s="5" t="n">
        <v>27072</v>
      </c>
    </row>
    <row r="14">
      <c r="A14" s="5" t="inlineStr">
        <is>
          <t>Net exposure, by IFRS 9 stage</t>
        </is>
      </c>
      <c r="B14" s="6" t="n"/>
      <c r="C14" s="6" t="n"/>
      <c r="D14" s="6" t="n"/>
      <c r="E14" s="6" t="n"/>
      <c r="F14" s="6" t="n"/>
    </row>
    <row r="15">
      <c r="A15" s="6" t="inlineStr">
        <is>
          <t>Stage 1</t>
        </is>
      </c>
      <c r="B15" s="6" t="n">
        <v>4854540</v>
      </c>
      <c r="C15" s="6" t="n">
        <v>4159146</v>
      </c>
      <c r="D15" s="6" t="n">
        <v>3716587</v>
      </c>
      <c r="E15" s="6" t="n">
        <v>3559876</v>
      </c>
      <c r="F15" s="6" t="n">
        <v>1619781</v>
      </c>
    </row>
    <row r="16">
      <c r="A16" s="6" t="inlineStr">
        <is>
          <t>Stage 2</t>
        </is>
      </c>
      <c r="B16" s="6" t="n">
        <v>246641</v>
      </c>
      <c r="C16" s="6" t="n">
        <v>223684</v>
      </c>
      <c r="D16" s="6" t="n">
        <v>256400</v>
      </c>
      <c r="E16" s="6" t="n">
        <v>138326</v>
      </c>
      <c r="F16" s="6" t="n">
        <v>39918</v>
      </c>
    </row>
    <row r="17">
      <c r="A17" s="6" t="inlineStr">
        <is>
          <t>Stage 3</t>
        </is>
      </c>
      <c r="B17" s="6" t="n">
        <v>152015</v>
      </c>
      <c r="C17" s="6" t="n">
        <v>149066</v>
      </c>
      <c r="D17" s="6" t="n">
        <v>131445</v>
      </c>
      <c r="E17" s="6" t="n">
        <v>85326</v>
      </c>
      <c r="F17" s="6" t="n">
        <v>46188</v>
      </c>
    </row>
    <row r="18">
      <c r="A18" s="5" t="inlineStr">
        <is>
          <t>Net exposure</t>
        </is>
      </c>
      <c r="B18" s="5" t="n">
        <v>5253196</v>
      </c>
      <c r="C18" s="5" t="n">
        <v>4531896</v>
      </c>
      <c r="D18" s="5" t="n">
        <v>4104432</v>
      </c>
      <c r="E18" s="5" t="n">
        <v>3783528</v>
      </c>
      <c r="F18" s="5" t="n">
        <v>1705887</v>
      </c>
    </row>
    <row r="19">
      <c r="A19" s="5" t="inlineStr">
        <is>
          <t>Derived ratios</t>
        </is>
      </c>
      <c r="B19" s="6" t="n"/>
      <c r="C19" s="6" t="n"/>
      <c r="D19" s="6" t="n"/>
      <c r="E19" s="6" t="n"/>
      <c r="F19" s="6" t="n"/>
    </row>
    <row r="20">
      <c r="A20" s="6" t="inlineStr">
        <is>
          <t>% Coverage - Stage 1</t>
        </is>
      </c>
      <c r="B20" s="6" t="inlineStr">
        <is>
          <t>0.2%</t>
        </is>
      </c>
      <c r="C20" s="6" t="inlineStr">
        <is>
          <t>0.2%</t>
        </is>
      </c>
      <c r="D20" s="6" t="inlineStr">
        <is>
          <t>0.2%</t>
        </is>
      </c>
      <c r="E20" s="6" t="inlineStr">
        <is>
          <t>0.3%</t>
        </is>
      </c>
      <c r="F20" s="6" t="inlineStr">
        <is>
          <t>0.8%</t>
        </is>
      </c>
    </row>
    <row r="21">
      <c r="A21" s="6" t="inlineStr">
        <is>
          <t>% Coverage - Stage 2</t>
        </is>
      </c>
      <c r="B21" s="6" t="inlineStr">
        <is>
          <t>2.2%</t>
        </is>
      </c>
      <c r="C21" s="6" t="inlineStr">
        <is>
          <t>2.3%</t>
        </is>
      </c>
      <c r="D21" s="6" t="inlineStr">
        <is>
          <t>3.7%</t>
        </is>
      </c>
      <c r="E21" s="6" t="inlineStr">
        <is>
          <t>4.0%</t>
        </is>
      </c>
      <c r="F21" s="6" t="inlineStr">
        <is>
          <t>8.4%</t>
        </is>
      </c>
    </row>
    <row r="22">
      <c r="A22" s="6" t="inlineStr">
        <is>
          <t>% Coverage - Stage 3</t>
        </is>
      </c>
      <c r="B22" s="6" t="inlineStr">
        <is>
          <t>6.9%</t>
        </is>
      </c>
      <c r="C22" s="6" t="inlineStr">
        <is>
          <t>6.5%</t>
        </is>
      </c>
      <c r="D22" s="6" t="inlineStr">
        <is>
          <t>17.9%</t>
        </is>
      </c>
      <c r="E22" s="6" t="inlineStr">
        <is>
          <t>17.7%</t>
        </is>
      </c>
      <c r="F22" s="6" t="inlineStr">
        <is>
          <t>17.5%</t>
        </is>
      </c>
    </row>
    <row r="23">
      <c r="A23" s="6" t="inlineStr">
        <is>
          <t>% Coverage - Total</t>
        </is>
      </c>
      <c r="B23" s="6" t="inlineStr">
        <is>
          <t>0.5%</t>
        </is>
      </c>
      <c r="C23" s="6" t="inlineStr">
        <is>
          <t>0.5%</t>
        </is>
      </c>
      <c r="D23" s="6" t="inlineStr">
        <is>
          <t>1.2%</t>
        </is>
      </c>
      <c r="E23" s="6" t="inlineStr">
        <is>
          <t>0.9%</t>
        </is>
      </c>
      <c r="F23" s="6" t="inlineStr">
        <is>
          <t>1.6%</t>
        </is>
      </c>
    </row>
    <row r="24">
      <c r="A24" s="6" t="inlineStr">
        <is>
          <t>NPL ratio (Stage 3 exposure / Total exposure after guarantee)</t>
        </is>
      </c>
      <c r="B24" s="6" t="inlineStr">
        <is>
          <t>3.09%</t>
        </is>
      </c>
      <c r="C24" s="6" t="inlineStr">
        <is>
          <t>3.50%</t>
        </is>
      </c>
      <c r="D24" s="6" t="inlineStr">
        <is>
          <t>3.86%</t>
        </is>
      </c>
      <c r="E24" s="6" t="inlineStr">
        <is>
          <t>2.72%</t>
        </is>
      </c>
      <c r="F24" s="6" t="inlineStr">
        <is>
          <t>3.23%</t>
        </is>
      </c>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KM1 Key Metrics</t>
        </is>
      </c>
    </row>
    <row r="2">
      <c r="A2" s="2" t="inlineStr">
        <is>
          <t>Starling's own published key-metrics template (its section 4.1), reproduced whole in the bank's row order, labels and printed precision. Starling prints the template UNNUMBERED and never uses the string 'KM1', so no row numbers have been added - it is the template on the row-set test. Amounts in £'000, ratios as printed. FY2026-FY2022 come from their own editions; FY2021 is the FY2022 edition's comparative column (that year's own report pre-dates the template). FY2026 is the SGHL Regulatory Group basis - see the source note. FY2020-FY2017 are not shown at all: Starling published no Pillar 3 report for those years, so those columns are omitted rather than printed empty.</t>
        </is>
      </c>
    </row>
    <row r="3">
      <c r="A3" s="4" t="inlineStr">
        <is>
          <t>Line item</t>
        </is>
      </c>
      <c r="B3" s="4" t="inlineStr">
        <is>
          <t>FY2026 (SGHL)‡</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Common Equity Tier 1 (CET1) capital (£'000)</t>
        </is>
      </c>
      <c r="B5" s="6" t="n">
        <v>1123255</v>
      </c>
      <c r="C5" s="6" t="n">
        <v>1000231</v>
      </c>
      <c r="D5" s="6" t="n">
        <v>870769</v>
      </c>
      <c r="E5" s="6" t="n">
        <v>710614</v>
      </c>
      <c r="F5" s="6" t="n">
        <v>397502</v>
      </c>
      <c r="G5" s="6" t="n">
        <v>136769</v>
      </c>
    </row>
    <row r="6">
      <c r="A6" s="6" t="inlineStr">
        <is>
          <t>Tier 1 capital (£'000)</t>
        </is>
      </c>
      <c r="B6" s="6" t="n">
        <v>1123255</v>
      </c>
      <c r="C6" s="6" t="n">
        <v>1000231</v>
      </c>
      <c r="D6" s="6" t="n">
        <v>870769</v>
      </c>
      <c r="E6" s="6" t="n">
        <v>710614</v>
      </c>
      <c r="F6" s="6" t="n">
        <v>397502</v>
      </c>
      <c r="G6" s="6" t="n">
        <v>136769</v>
      </c>
    </row>
    <row r="7">
      <c r="A7" s="6" t="inlineStr">
        <is>
          <t>Total capital (£'000)</t>
        </is>
      </c>
      <c r="B7" s="6" t="n">
        <v>1123255</v>
      </c>
      <c r="C7" s="6" t="n">
        <v>1000231</v>
      </c>
      <c r="D7" s="6" t="n">
        <v>870769</v>
      </c>
      <c r="E7" s="6" t="n">
        <v>710614</v>
      </c>
      <c r="F7" s="6" t="n">
        <v>397502</v>
      </c>
      <c r="G7" s="6" t="n">
        <v>136769</v>
      </c>
    </row>
    <row r="8">
      <c r="A8" s="5" t="inlineStr">
        <is>
          <t>Risk-weighted exposure amounts</t>
        </is>
      </c>
      <c r="B8" s="6" t="n"/>
      <c r="C8" s="6" t="n"/>
      <c r="D8" s="6" t="n"/>
      <c r="E8" s="6" t="n"/>
      <c r="F8" s="6" t="n"/>
      <c r="G8" s="6" t="n"/>
    </row>
    <row r="9">
      <c r="A9" s="6" t="inlineStr">
        <is>
          <t>Total risk-weighted exposure amount (£'000)</t>
        </is>
      </c>
      <c r="B9" s="6" t="n">
        <v>3930308</v>
      </c>
      <c r="C9" s="6" t="n">
        <v>3170032</v>
      </c>
      <c r="D9" s="6" t="n">
        <v>2675477</v>
      </c>
      <c r="E9" s="6" t="n">
        <v>1894758</v>
      </c>
      <c r="F9" s="6" t="n">
        <v>994828</v>
      </c>
      <c r="G9" s="6" t="n">
        <v>285689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28.58 %</t>
        </is>
      </c>
      <c r="C11" s="6" t="inlineStr">
        <is>
          <t>31.55%</t>
        </is>
      </c>
      <c r="D11" s="6" t="inlineStr">
        <is>
          <t>32.55%</t>
        </is>
      </c>
      <c r="E11" s="6" t="inlineStr">
        <is>
          <t>37.50%</t>
        </is>
      </c>
      <c r="F11" s="6" t="inlineStr">
        <is>
          <t>39.96%</t>
        </is>
      </c>
      <c r="G11" s="6" t="inlineStr">
        <is>
          <t>47.90%</t>
        </is>
      </c>
    </row>
    <row r="12">
      <c r="A12" s="6" t="inlineStr">
        <is>
          <t>Tier 1 ratio (%)</t>
        </is>
      </c>
      <c r="B12" s="6" t="inlineStr">
        <is>
          <t>28.58 %</t>
        </is>
      </c>
      <c r="C12" s="6" t="inlineStr">
        <is>
          <t>31.55%</t>
        </is>
      </c>
      <c r="D12" s="6" t="inlineStr">
        <is>
          <t>32.55%</t>
        </is>
      </c>
      <c r="E12" s="6" t="inlineStr">
        <is>
          <t>37.50%</t>
        </is>
      </c>
      <c r="F12" s="6" t="inlineStr">
        <is>
          <t>39.96%</t>
        </is>
      </c>
      <c r="G12" s="6" t="inlineStr">
        <is>
          <t>47.90%</t>
        </is>
      </c>
    </row>
    <row r="13">
      <c r="A13" s="6" t="inlineStr">
        <is>
          <t>Total capital ratio (%)</t>
        </is>
      </c>
      <c r="B13" s="6" t="inlineStr">
        <is>
          <t>28.58 %</t>
        </is>
      </c>
      <c r="C13" s="6" t="inlineStr">
        <is>
          <t>31.55%</t>
        </is>
      </c>
      <c r="D13" s="6" t="inlineStr">
        <is>
          <t>32.55%</t>
        </is>
      </c>
      <c r="E13" s="6" t="inlineStr">
        <is>
          <t>37.50%</t>
        </is>
      </c>
      <c r="F13" s="6" t="inlineStr">
        <is>
          <t>39.96%</t>
        </is>
      </c>
      <c r="G13" s="6" t="inlineStr">
        <is>
          <t>47.90%</t>
        </is>
      </c>
    </row>
    <row r="14">
      <c r="A14" s="5" t="inlineStr">
        <is>
          <t>Additional own funds requirements based on SREP (as a percentage of risk-weighted exposure amount)</t>
        </is>
      </c>
      <c r="B14" s="6" t="n"/>
      <c r="C14" s="6" t="n"/>
      <c r="D14" s="6" t="n"/>
      <c r="E14" s="6" t="n"/>
      <c r="F14" s="6" t="n"/>
      <c r="G14" s="6" t="n"/>
    </row>
    <row r="15">
      <c r="A15" s="6" t="inlineStr">
        <is>
          <t>Additional CET1 SREP requirements (%)</t>
        </is>
      </c>
      <c r="B15" s="6" t="inlineStr">
        <is>
          <t>1.40 %</t>
        </is>
      </c>
      <c r="C15" s="6" t="inlineStr">
        <is>
          <t>2.94%</t>
        </is>
      </c>
      <c r="D15" s="6" t="inlineStr">
        <is>
          <t>2.94%</t>
        </is>
      </c>
      <c r="E15" s="6" t="inlineStr">
        <is>
          <t>2.94%</t>
        </is>
      </c>
      <c r="F15" s="6" t="inlineStr">
        <is>
          <t>0%</t>
        </is>
      </c>
      <c r="G15" s="6" t="inlineStr">
        <is>
          <t>5.33%</t>
        </is>
      </c>
    </row>
    <row r="16">
      <c r="A16" s="6" t="inlineStr">
        <is>
          <t>Additional AT1 SREP requirements (%)</t>
        </is>
      </c>
      <c r="B16" s="6" t="inlineStr">
        <is>
          <t>0.46 %</t>
        </is>
      </c>
      <c r="C16" s="6" t="inlineStr">
        <is>
          <t>0.97%</t>
        </is>
      </c>
      <c r="D16" s="6" t="inlineStr">
        <is>
          <t>0.97%</t>
        </is>
      </c>
      <c r="E16" s="6" t="inlineStr">
        <is>
          <t>0.97%</t>
        </is>
      </c>
      <c r="F16" s="6" t="inlineStr">
        <is>
          <t>0%</t>
        </is>
      </c>
      <c r="G16" s="6" t="inlineStr">
        <is>
          <t>1.78%</t>
        </is>
      </c>
    </row>
    <row r="17">
      <c r="A17" s="6" t="inlineStr">
        <is>
          <t>Additional T2 SREP requirements (%)</t>
        </is>
      </c>
      <c r="B17" s="6" t="inlineStr">
        <is>
          <t>0.62 %</t>
        </is>
      </c>
      <c r="C17" s="6" t="inlineStr">
        <is>
          <t>1.31%</t>
        </is>
      </c>
      <c r="D17" s="6" t="inlineStr">
        <is>
          <t>1.31%</t>
        </is>
      </c>
      <c r="E17" s="6" t="inlineStr">
        <is>
          <t>1.31%</t>
        </is>
      </c>
      <c r="F17" s="6" t="inlineStr">
        <is>
          <t>0%</t>
        </is>
      </c>
      <c r="G17" s="6" t="inlineStr">
        <is>
          <t>2.37%</t>
        </is>
      </c>
    </row>
    <row r="18">
      <c r="A18" s="6" t="inlineStr">
        <is>
          <t>Total SREP own funds requirements (%)</t>
        </is>
      </c>
      <c r="B18" s="6" t="inlineStr">
        <is>
          <t>10.48 %</t>
        </is>
      </c>
      <c r="C18" s="6" t="inlineStr">
        <is>
          <t>13.22%</t>
        </is>
      </c>
      <c r="D18" s="6" t="inlineStr">
        <is>
          <t>13.22%</t>
        </is>
      </c>
      <c r="E18" s="6" t="inlineStr">
        <is>
          <t>13.22%</t>
        </is>
      </c>
      <c r="F18" s="6" t="inlineStr">
        <is>
          <t>8.00%</t>
        </is>
      </c>
      <c r="G18" s="6" t="inlineStr">
        <is>
          <t>17.47%</t>
        </is>
      </c>
    </row>
    <row r="19">
      <c r="A19" s="5" t="inlineStr">
        <is>
          <t>Combined buffer requirement (as a percentage of risk-weighted exposure amount)</t>
        </is>
      </c>
      <c r="B19" s="6" t="n"/>
      <c r="C19" s="6" t="n"/>
      <c r="D19" s="6" t="n"/>
      <c r="E19" s="6" t="n"/>
      <c r="F19" s="6" t="n"/>
      <c r="G19" s="6" t="n"/>
    </row>
    <row r="20">
      <c r="A20" s="6" t="inlineStr">
        <is>
          <t>Capital conservation buffer (%)</t>
        </is>
      </c>
      <c r="B20" s="6" t="inlineStr">
        <is>
          <t>2.50 %</t>
        </is>
      </c>
      <c r="C20" s="6" t="inlineStr">
        <is>
          <t>2.50%</t>
        </is>
      </c>
      <c r="D20" s="6" t="inlineStr">
        <is>
          <t>2.50%</t>
        </is>
      </c>
      <c r="E20" s="6" t="inlineStr">
        <is>
          <t>2.5%</t>
        </is>
      </c>
      <c r="F20" s="6" t="inlineStr">
        <is>
          <t>2.50%</t>
        </is>
      </c>
      <c r="G20" s="6" t="inlineStr">
        <is>
          <t>2.50%</t>
        </is>
      </c>
    </row>
    <row r="21">
      <c r="A21" s="6" t="inlineStr">
        <is>
          <t>Institution specific countercyclical capital buffer (%)</t>
        </is>
      </c>
      <c r="B21" s="6" t="inlineStr">
        <is>
          <t>2.00 %</t>
        </is>
      </c>
      <c r="C21" s="6" t="inlineStr">
        <is>
          <t>2.00%</t>
        </is>
      </c>
      <c r="D21" s="6" t="inlineStr">
        <is>
          <t>2.00%</t>
        </is>
      </c>
      <c r="E21" s="6" t="inlineStr">
        <is>
          <t>1%</t>
        </is>
      </c>
      <c r="F21" s="6" t="inlineStr">
        <is>
          <t>0%</t>
        </is>
      </c>
      <c r="G21" s="6" t="inlineStr">
        <is>
          <t>0%</t>
        </is>
      </c>
    </row>
    <row r="22">
      <c r="A22" s="6" t="inlineStr">
        <is>
          <t>Combined buffer requirement (%)</t>
        </is>
      </c>
      <c r="B22" s="6" t="inlineStr">
        <is>
          <t>4.50 %</t>
        </is>
      </c>
      <c r="C22" s="6" t="inlineStr">
        <is>
          <t>4.50%</t>
        </is>
      </c>
      <c r="D22" s="6" t="inlineStr">
        <is>
          <t>4.50%</t>
        </is>
      </c>
      <c r="E22" s="6" t="inlineStr">
        <is>
          <t>3.50%</t>
        </is>
      </c>
      <c r="F22" s="6" t="inlineStr">
        <is>
          <t>2.50%</t>
        </is>
      </c>
      <c r="G22" s="6" t="inlineStr">
        <is>
          <t>2.50%</t>
        </is>
      </c>
    </row>
    <row r="23">
      <c r="A23" s="6" t="inlineStr">
        <is>
          <t>Overall capital requirements (%)</t>
        </is>
      </c>
      <c r="B23" s="6" t="inlineStr">
        <is>
          <t>14.98 %</t>
        </is>
      </c>
      <c r="C23" s="6" t="inlineStr">
        <is>
          <t>17.72%</t>
        </is>
      </c>
      <c r="D23" s="6" t="inlineStr">
        <is>
          <t>17.72%</t>
        </is>
      </c>
      <c r="E23" s="6" t="inlineStr">
        <is>
          <t>16.72%</t>
        </is>
      </c>
      <c r="F23" s="6" t="inlineStr">
        <is>
          <t>10.50%</t>
        </is>
      </c>
      <c r="G23" s="6" t="inlineStr">
        <is>
          <t>19.97%</t>
        </is>
      </c>
    </row>
    <row r="24">
      <c r="A24" s="6" t="inlineStr">
        <is>
          <t>CET1 available after meeting the total SREP own funds requirements (%)</t>
        </is>
      </c>
      <c r="B24" s="6" t="inlineStr">
        <is>
          <t>22.68 %</t>
        </is>
      </c>
      <c r="C24" s="6" t="inlineStr">
        <is>
          <t>24.12%</t>
        </is>
      </c>
      <c r="D24" s="6" t="inlineStr">
        <is>
          <t>25.11%</t>
        </is>
      </c>
      <c r="E24" s="6" t="inlineStr">
        <is>
          <t>30.07%</t>
        </is>
      </c>
      <c r="F24" s="6" t="n">
        <v>293045</v>
      </c>
      <c r="G24" s="6" t="n">
        <v>79716</v>
      </c>
    </row>
    <row r="25">
      <c r="A25" s="5" t="inlineStr">
        <is>
          <t>Leverage ratio</t>
        </is>
      </c>
      <c r="B25" s="6" t="n"/>
      <c r="C25" s="6" t="n"/>
      <c r="D25" s="6" t="n"/>
      <c r="E25" s="6" t="n"/>
      <c r="F25" s="6" t="n"/>
      <c r="G25" s="6" t="n"/>
    </row>
    <row r="26">
      <c r="A26" s="6" t="inlineStr">
        <is>
          <t>Total exposure measure excluding claims on central banks (£'000)</t>
        </is>
      </c>
      <c r="B26" s="6" t="n">
        <v>12608384</v>
      </c>
      <c r="C26" s="6" t="n">
        <v>8976790</v>
      </c>
      <c r="D26" s="6" t="n">
        <v>8383435</v>
      </c>
      <c r="E26" s="6" t="n">
        <v>7641617</v>
      </c>
      <c r="F26" s="6" t="n">
        <v>5063481</v>
      </c>
      <c r="G26" s="6" t="n">
        <v>2546904</v>
      </c>
    </row>
    <row r="27">
      <c r="A27" s="6" t="inlineStr">
        <is>
          <t>Leverage ratio excluding claims on central banks (%)</t>
        </is>
      </c>
      <c r="B27" s="6" t="inlineStr">
        <is>
          <t>8.91 %</t>
        </is>
      </c>
      <c r="C27" s="6" t="inlineStr">
        <is>
          <t>11.14%</t>
        </is>
      </c>
      <c r="D27" s="6" t="inlineStr">
        <is>
          <t>10.39%</t>
        </is>
      </c>
      <c r="E27" s="6" t="inlineStr">
        <is>
          <t>9.30%</t>
        </is>
      </c>
      <c r="F27" s="6" t="inlineStr">
        <is>
          <t>7.85%</t>
        </is>
      </c>
      <c r="G27" s="6" t="inlineStr">
        <is>
          <t>5.37%</t>
        </is>
      </c>
    </row>
    <row r="28">
      <c r="A28" s="5" t="inlineStr">
        <is>
          <t>Liquidity Coverage Ratio</t>
        </is>
      </c>
      <c r="B28" s="6" t="n"/>
      <c r="C28" s="6" t="n"/>
      <c r="D28" s="6" t="n"/>
      <c r="E28" s="6" t="n"/>
      <c r="F28" s="6" t="n"/>
      <c r="G28" s="6" t="n"/>
    </row>
    <row r="29">
      <c r="A29" s="6" t="inlineStr">
        <is>
          <t>Total HQLA (average weighted value) (£'000)</t>
        </is>
      </c>
      <c r="B29" s="6" t="n">
        <v>7038393</v>
      </c>
      <c r="C29" s="6" t="n">
        <v>6812037</v>
      </c>
      <c r="D29" s="6" t="n">
        <v>6510731</v>
      </c>
      <c r="E29" s="6" t="n">
        <v>6413925</v>
      </c>
      <c r="F29" s="6" t="n">
        <v>5128346</v>
      </c>
      <c r="G29" s="6" t="n">
        <v>2402238</v>
      </c>
    </row>
    <row r="30">
      <c r="A30" s="6" t="inlineStr">
        <is>
          <t>Cash outflows (total weighted value) (£'000)</t>
        </is>
      </c>
      <c r="B30" s="6" t="n">
        <v>1326072</v>
      </c>
      <c r="C30" s="6" t="n">
        <v>1477094</v>
      </c>
      <c r="D30" s="6" t="n">
        <v>1891560</v>
      </c>
      <c r="E30" s="6" t="n">
        <v>1711200</v>
      </c>
      <c r="F30" s="6" t="n">
        <v>1211430</v>
      </c>
      <c r="G30" s="6" t="n">
        <v>531222</v>
      </c>
    </row>
    <row r="31">
      <c r="A31" s="6" t="inlineStr">
        <is>
          <t>Cash inflows (total weighted value) (£'000)</t>
        </is>
      </c>
      <c r="B31" s="6" t="n">
        <v>89112</v>
      </c>
      <c r="C31" s="6" t="n">
        <v>156237</v>
      </c>
      <c r="D31" s="6" t="n">
        <v>446533</v>
      </c>
      <c r="E31" s="6" t="n">
        <v>311926</v>
      </c>
      <c r="F31" s="6" t="n">
        <v>209396</v>
      </c>
      <c r="G31" s="6" t="n">
        <v>41655</v>
      </c>
    </row>
    <row r="32">
      <c r="A32" s="6" t="inlineStr">
        <is>
          <t>Total net cash outflows (adjusted value) (£'000)</t>
        </is>
      </c>
      <c r="B32" s="6" t="n">
        <v>1236960</v>
      </c>
      <c r="C32" s="6" t="n">
        <v>1320857</v>
      </c>
      <c r="D32" s="6" t="n">
        <v>1445027</v>
      </c>
      <c r="E32" s="6" t="n">
        <v>1399274</v>
      </c>
      <c r="F32" s="6" t="n">
        <v>1002034</v>
      </c>
      <c r="G32" s="6" t="n">
        <v>489567</v>
      </c>
    </row>
    <row r="33">
      <c r="A33" s="6" t="inlineStr">
        <is>
          <t>Liquidity Coverage Ratio (%)</t>
        </is>
      </c>
      <c r="B33" s="6" t="inlineStr">
        <is>
          <t>569.01 %</t>
        </is>
      </c>
      <c r="C33" s="6" t="inlineStr">
        <is>
          <t>515.73%</t>
        </is>
      </c>
      <c r="D33" s="6" t="inlineStr">
        <is>
          <t>450.56%</t>
        </is>
      </c>
      <c r="E33" s="6" t="inlineStr">
        <is>
          <t>460%</t>
        </is>
      </c>
      <c r="F33" s="6" t="inlineStr">
        <is>
          <t>515%</t>
        </is>
      </c>
      <c r="G33" s="6" t="inlineStr">
        <is>
          <t>522%</t>
        </is>
      </c>
    </row>
    <row r="34">
      <c r="A34" s="5" t="inlineStr">
        <is>
          <t>Net Stable Funding Ratio</t>
        </is>
      </c>
      <c r="B34" s="6" t="n"/>
      <c r="C34" s="6" t="n"/>
      <c r="D34" s="6" t="n"/>
      <c r="E34" s="6" t="n"/>
      <c r="F34" s="6" t="n"/>
      <c r="G34" s="6" t="n"/>
    </row>
    <row r="35">
      <c r="A35" s="6" t="inlineStr">
        <is>
          <t>Total available stable funding (£'000)</t>
        </is>
      </c>
      <c r="B35" s="6" t="n">
        <v>14206855</v>
      </c>
      <c r="C35" s="6" t="n">
        <v>13448876</v>
      </c>
      <c r="D35" s="6" t="n">
        <v>12578157</v>
      </c>
      <c r="E35" s="6" t="n">
        <v>11944952</v>
      </c>
      <c r="F35" s="6" t="n">
        <v>10660584</v>
      </c>
      <c r="G35" s="6" t="n"/>
    </row>
    <row r="36">
      <c r="A36" s="6" t="inlineStr">
        <is>
          <t>Total required stable funding (£'000)</t>
        </is>
      </c>
      <c r="B36" s="6" t="n">
        <v>5754691</v>
      </c>
      <c r="C36" s="6" t="n">
        <v>5555204</v>
      </c>
      <c r="D36" s="6" t="n">
        <v>5646537</v>
      </c>
      <c r="E36" s="6" t="n">
        <v>4870012</v>
      </c>
      <c r="F36" s="6" t="n">
        <v>4088546</v>
      </c>
      <c r="G36" s="6" t="n"/>
    </row>
    <row r="37">
      <c r="A37" s="6" t="inlineStr">
        <is>
          <t>Net stable funding ratio (%)</t>
        </is>
      </c>
      <c r="B37" s="6" t="inlineStr">
        <is>
          <t>246.87 %</t>
        </is>
      </c>
      <c r="C37" s="6" t="inlineStr">
        <is>
          <t>242.10%</t>
        </is>
      </c>
      <c r="D37" s="6" t="inlineStr">
        <is>
          <t>222.76%</t>
        </is>
      </c>
      <c r="E37" s="6" t="inlineStr">
        <is>
          <t>245%</t>
        </is>
      </c>
      <c r="F37" s="6" t="inlineStr">
        <is>
          <t>261%</t>
        </is>
      </c>
      <c r="G37" s="6" t="n"/>
    </row>
    <row r="39" ht="520" customHeight="1">
      <c r="A39" s="8" t="inlineStr">
        <is>
          <t>Sources - Starling's own key-metrics template (section 4.1 Key metrics), £'000 and % as printed:
FY2026: Starling Group Pillar 3 report 2026, as at 31 March 2026, p.22-23 - https://www.starlingbank.com/docs/annual-reports/Pillar3-2026.pdf
FY2025: Starling Bank Limited Pillar 3 report 2025, as at 31 March 2025, p.22-23 - https://www.starlingbank.com/docs/annual-reports/Pillar3-2025.pdf
FY2024: Starling Bank Limited Pillar 3 report 2024, as at 31 March 2024, p.23-24 - https://www.starlingbank.com/docs/annual-reports/Pillar3-2024.pdf
FY2023: Starling Bank Limited Pillar 3 Report 2023, as at 31 March 2023, p.21 - https://www.starlingbank.com/docs/annual-reports/Pillar3-2023.pdf
FY2022: Starling Bank Ltd Pillar 3 Report 2022, as at 31 March 2022, p.19 - https://www.starlingbank.com/docs/annual-reports/Pillar3-2022.pdf
FY2021: the FY2022 report's 31 March 2021 comparative column, p.19 - https://www.starlingbank.com/docs/annual-reports/Pillar3-2022.pdf
LATEST-EDITION CHECK, 2026-09-17: starlingbank.com's investor page refuses this project's automated fetcher (HTTP 403 with a bot-protection HTML body) - that is a statement about our reach, NOT about what Starling has published, so it is recorded as blocked rather than as an absence. The documents themselves fetch normally with a browser user-agent, and were probed directly: Pillar3-2026.pdf returns a 12MB file with %PDF magic bytes (year ended 31 March 2026, the newest edition and already held here); Pillar3-2027.pdf does not exist, and is not due. Checked, none newer.
WHY THIS IS THE KM1 TEMPLATE EVEN THOUGH IT SAYS 'KEY METRICS'. Starling never writes 'KM1' and never prints the template's row numbers. The test applied here is the ROW SET, not the title or the numbering: the table carries own funds, risk-weighted exposure amounts, the three capital ratios, the four SREP rows, the combined-buffer block, the leverage block and the full LCR and NSFR blocks, in template order. Row numbers have deliberately NOT been added, because the bank did not print them.
ENTITY: FY2026 is Starling Group Holdings Limited's Regulatory Group (SGHL, SIHL, SBL, SFSSL and Ember), the basis on which prudential figures are now published following the June 2025 group restructuring - the same basis as this workbook's other FY2026 Pillar 3 columns, and the reason the FY2026 header carries the SGHL marker. FY2025-FY2021 are Starling Bank Limited. See the entity note on the Cash Flow Statement sheet; Starling's own cross-check confirmed the restructuring made no difference to the FY2025 capital figures, so the series is continuous.
WHY FY2021 IS FILLED FROM THE FY2022 EDITION: the Pillar 3 Disclosures for 31 March 2021 pre-date the template and print no key-metrics table at all - capital resources, leverage and liquidity appear in three separate bespoke sections (5, 5.2 and 12). The FY2022 report prints a full 31 March 2021 comparative column, which is the only place this table exists for that date, so the FY2021 column here is that comparative and is labelled as such.
SOURCE DEFECT, REPRODUCED NOT CORRECTED: in the FY2022 edition the row 'CET1 available after meeting the total SREP own funds requirements (%)' is captioned as a percentage but printed as a £'000 AMOUNT - 293,045 for 2022 and 79,716 for 2021. The FY2023 edition prints the same two dates as 30.07% and 29.46%. Both columns here are the FY2022 edition's own figures, as published; the later edition's percentages have not been substituted, and the amounts have not been converted into percentages.
CROSS-EDITION DIFFERENCES WORTH KNOWING (each year is its own edition's figure):
- FY2023 CET1/Tier 1/Total capital read 710,614 in the FY2023 edition and 710,616 in the FY2024 edition's comparative. The FY2023 edition's own figure is used, as it is on the metric sheets.
- FY2021's LCR reads 522% in the FY2022 edition's comparative (used here) against 506% in the FY2021 edition's own liquidity section (used on the LCR metric sheet, since that is the figure Starling published for the year at the time). The same pair of editions differ on the FY2021 HQLA and net-outflow amounts (2,402,238 / 489,567 here against 3,410,070 / 674,460 on the metric sheet). This is a genuine restatement between two Starling documents, not a transcription difference, and neither figure has been altered to match the other.
- FY2023's LCR and NSFR are printed to whole percents in their own edition ('460%', '245%') and to two decimals in the FY2024 edition's comparative. The bank's own precision for the year is kept.
PRINTED-FORM NOTE: the FY2026 edition puts a space before the per-cent sign ('28.58 %') where earlier editions do not ('31.55%'). Reproduced as published.
ROWS 1, 2 AND 3 ARE EQUAL IN EVERY YEAR, AND THAT IS WHAT STARLING PRINTS. CET1 capital, Tier 1 capital and Total capital carry the same figure in all six columns because Starling has no Additional Tier 1 and no Tier 2 instruments in issue, so CET1 = Tier 1 = Total capital by construction. Confirmed against the FY2026 report twice over on 18 September 2026: section 4.1 prints all three rows as 1,123,255 (2026) and 1,000,231 (2025), and the same document's UK CC1 composition-of-own-funds table independently prints 'Tier 1 capital (T1 = CET1 + AT1)' and 'Total capital (TC = T1 + T2)' at 1,123,255 as well. The bank's own ratio rows agree: 1,123,255 / 3,930,308 = 28.58%, which is what rows 5, 6 and 7 all print. This is recorded because an identical triple otherwise looks like one value copied into three slots.
YEAR COLUMNS SHOWN: this sheet carries FY2026-FY2021 only. FY2020, FY2019, FY2018 and FY2017 are omitted from the header rather than shown as empty columns, because Starling published no Pillar 3 report at all for those years and so has no key-metrics table on any basis - there is nothing for a column to be empty OF. The other sheets in this workbook still carry those years.
ROWS LEFT BLANK: FY2021's three NSFR rows are printed as 'n/a' in the FY2022 edition, with its own footnote explaining that 'NSFR is a new requirement introduced in 2022 as part of CRR 2, thus the Bank does not provide comparative information for the prior period'. FY2020-FY2017 are blank because Starling published no Pillar 3 report for those years at all - its series begins with the 31 March 2021 document.</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2026-09-18T18:45:30Z</dcterms:created>
  <dcterms:modified xmlns:dcterms="http://purl.org/dc/terms/" xmlns:xsi="http://www.w3.org/2001/XMLSchema-instance" xsi:type="dcterms:W3CDTF">2026-09-18T18:45:30Z</dcterms:modified>
</cp:coreProperties>
</file>