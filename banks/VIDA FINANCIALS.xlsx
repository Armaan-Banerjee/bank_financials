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E2C00"/>
        <bgColor rgb="006E2C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Vida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Vida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Vida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Vida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'Overview'!$AT$25:$BA$25</f>
            </numRef>
          </cat>
          <val>
            <numRef>
              <f>'Overview'!$AT$26:$BA$26</f>
            </numRef>
          </val>
        </ser>
        <ser>
          <idx val="1"/>
          <order val="1"/>
          <tx>
            <strRef>
              <f>'Overview'!AS27</f>
            </strRef>
          </tx>
          <spPr>
            <a:ln xmlns:a="http://schemas.openxmlformats.org/drawingml/2006/main">
              <a:prstDash val="solid"/>
            </a:ln>
          </spPr>
          <cat>
            <numRef>
              <f>'Overview'!$AT$25:$BA$25</f>
            </numRef>
          </cat>
          <val>
            <numRef>
              <f>'Overview'!$AT$27:$BA$27</f>
            </numRef>
          </val>
        </ser>
        <ser>
          <idx val="2"/>
          <order val="2"/>
          <tx>
            <strRef>
              <f>'Overview'!AS28</f>
            </strRef>
          </tx>
          <spPr>
            <a:ln xmlns:a="http://schemas.openxmlformats.org/drawingml/2006/main">
              <a:prstDash val="solid"/>
            </a:ln>
          </spPr>
          <cat>
            <numRef>
              <f>'Overview'!$AT$25:$BA$25</f>
            </numRef>
          </cat>
          <val>
            <numRef>
              <f>'Overview'!$AT$28:$BA$28</f>
            </numRef>
          </val>
        </ser>
        <ser>
          <idx val="3"/>
          <order val="3"/>
          <tx>
            <strRef>
              <f>'Overview'!AS29</f>
            </strRef>
          </tx>
          <spPr>
            <a:ln xmlns:a="http://schemas.openxmlformats.org/drawingml/2006/main">
              <a:prstDash val="solid"/>
            </a:ln>
          </spPr>
          <cat>
            <numRef>
              <f>'Overview'!$AT$25:$BA$25</f>
            </numRef>
          </cat>
          <val>
            <numRef>
              <f>'Overview'!$AT$29:$BA$29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Vida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'Overview'!$BE$5:$BF$5</f>
            </numRef>
          </cat>
          <val>
            <numRef>
              <f>'Overview'!$BE$6:$BF$6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'Overview'!$BE$5:$BF$5</f>
            </numRef>
          </cat>
          <val>
            <numRef>
              <f>'Overview'!$BE$7:$BF$7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'Overview'!$BE$5:$BF$5</f>
            </numRef>
          </cat>
          <val>
            <numRef>
              <f>'Overview'!$BE$8:$BF$8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'Overview'!$BE$5:$BF$5</f>
            </numRef>
          </cat>
          <val>
            <numRef>
              <f>'Overview'!$BE$9:$BF$9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'Overview'!$BE$5:$BF$5</f>
            </numRef>
          </cat>
          <val>
            <numRef>
              <f>'Overview'!$BE$10:$BF$10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'Overview'!$BE$5:$BF$5</f>
            </numRef>
          </cat>
          <val>
            <numRef>
              <f>'Overview'!$BE$11:$BF$11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F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c r="A1" s="1" t="inlineStr">
        <is>
          <t>Vida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FY2024</t>
        </is>
      </c>
      <c r="BF5" t="inlineStr">
        <is>
          <t>FY2025</t>
        </is>
      </c>
    </row>
    <row r="6">
      <c r="A6" s="5" t="inlineStr">
        <is>
          <t>Total assets</t>
        </is>
      </c>
      <c r="B6" s="5" t="n">
        <v>3476346</v>
      </c>
      <c r="C6" s="5" t="n">
        <v>2079467</v>
      </c>
      <c r="D6" s="5" t="n">
        <v>1780102</v>
      </c>
      <c r="E6" s="5" t="n">
        <v>1809020</v>
      </c>
      <c r="F6" s="5" t="n">
        <v>1854266</v>
      </c>
      <c r="G6" s="5" t="n">
        <v>1694401</v>
      </c>
      <c r="H6" s="5" t="n">
        <v>1650714</v>
      </c>
      <c r="I6" s="5" t="n">
        <v>1245872</v>
      </c>
      <c r="L6" t="inlineStr">
        <is>
          <t>Total assets</t>
        </is>
      </c>
      <c r="M6" t="n">
        <v>1245872</v>
      </c>
      <c r="N6" t="n">
        <v>1650714</v>
      </c>
      <c r="O6" t="n">
        <v>1694401</v>
      </c>
      <c r="P6" t="n">
        <v>1854266</v>
      </c>
      <c r="Q6" t="n">
        <v>1809020</v>
      </c>
      <c r="R6" t="n">
        <v>1780102</v>
      </c>
      <c r="S6" t="n">
        <v>2079467</v>
      </c>
      <c r="T6" t="n">
        <v>3476346</v>
      </c>
      <c r="BD6" t="inlineStr">
        <is>
          <t>CET1 Ratio</t>
        </is>
      </c>
      <c r="BE6" t="n">
        <v>16.2</v>
      </c>
      <c r="BF6" t="n">
        <v>15.2</v>
      </c>
    </row>
    <row r="7">
      <c r="A7" s="5" t="inlineStr">
        <is>
          <t>Loans to customers</t>
        </is>
      </c>
      <c r="B7" s="5" t="n">
        <v>2301831</v>
      </c>
      <c r="C7" s="5" t="n">
        <v>1866006</v>
      </c>
      <c r="D7" s="5" t="n">
        <v>1712271</v>
      </c>
      <c r="E7" s="5" t="n">
        <v>1761996</v>
      </c>
      <c r="F7" s="5" t="n">
        <v>1811577</v>
      </c>
      <c r="G7" s="5" t="n">
        <v>1635572</v>
      </c>
      <c r="H7" s="5" t="n">
        <v>1599800</v>
      </c>
      <c r="I7" s="5" t="n">
        <v>1197862</v>
      </c>
      <c r="L7" t="inlineStr">
        <is>
          <t>Loans to customers</t>
        </is>
      </c>
      <c r="M7" t="n">
        <v>1197862</v>
      </c>
      <c r="N7" t="n">
        <v>1599800</v>
      </c>
      <c r="O7" t="n">
        <v>1635572</v>
      </c>
      <c r="P7" t="n">
        <v>1811577</v>
      </c>
      <c r="Q7" t="n">
        <v>1761996</v>
      </c>
      <c r="R7" t="n">
        <v>1712271</v>
      </c>
      <c r="S7" t="n">
        <v>1866006</v>
      </c>
      <c r="T7" t="n">
        <v>2301831</v>
      </c>
      <c r="BD7" t="inlineStr">
        <is>
          <t>Tier 1 Ratio</t>
        </is>
      </c>
      <c r="BE7" t="n">
        <v>16.2</v>
      </c>
      <c r="BF7" t="n">
        <v>15.2</v>
      </c>
    </row>
    <row r="8">
      <c r="A8" s="5" t="inlineStr">
        <is>
          <t>Retail deposits</t>
        </is>
      </c>
      <c r="B8" s="5" t="n">
        <v>2425702</v>
      </c>
      <c r="C8" s="5" t="n">
        <v>173113</v>
      </c>
      <c r="D8" s="5" t="n"/>
      <c r="E8" s="5" t="n"/>
      <c r="F8" s="5" t="n"/>
      <c r="G8" s="5" t="n"/>
      <c r="H8" s="5" t="n"/>
      <c r="I8" s="5" t="n"/>
      <c r="L8" t="inlineStr">
        <is>
          <t>Retail deposits</t>
        </is>
      </c>
      <c r="S8" t="n">
        <v>173113</v>
      </c>
      <c r="T8" t="n">
        <v>2425702</v>
      </c>
      <c r="BD8" t="inlineStr">
        <is>
          <t>Total Capital Ratio</t>
        </is>
      </c>
      <c r="BE8" t="n">
        <v>16.2</v>
      </c>
      <c r="BF8" t="n">
        <v>18.3</v>
      </c>
    </row>
    <row r="9">
      <c r="A9" s="5" t="inlineStr">
        <is>
          <t>Total shareholders' equity</t>
        </is>
      </c>
      <c r="B9" s="5" t="n">
        <v>177779</v>
      </c>
      <c r="C9" s="5" t="n">
        <v>165080</v>
      </c>
      <c r="D9" s="5" t="n">
        <v>122069</v>
      </c>
      <c r="E9" s="5" t="n">
        <v>131006</v>
      </c>
      <c r="F9" s="5" t="n">
        <v>126641</v>
      </c>
      <c r="G9" s="5" t="n">
        <v>124246</v>
      </c>
      <c r="H9" s="5" t="n">
        <v>115073</v>
      </c>
      <c r="I9" s="5" t="n">
        <v>100178</v>
      </c>
      <c r="L9" t="inlineStr">
        <is>
          <t>Total shareholders' equity</t>
        </is>
      </c>
      <c r="M9" t="n">
        <v>100178</v>
      </c>
      <c r="N9" t="n">
        <v>115073</v>
      </c>
      <c r="O9" t="n">
        <v>124246</v>
      </c>
      <c r="P9" t="n">
        <v>126641</v>
      </c>
      <c r="Q9" t="n">
        <v>131006</v>
      </c>
      <c r="R9" t="n">
        <v>122069</v>
      </c>
      <c r="S9" t="n">
        <v>165080</v>
      </c>
      <c r="T9" t="n">
        <v>177779</v>
      </c>
      <c r="BD9" t="inlineStr">
        <is>
          <t>Leverage Ratio</t>
        </is>
      </c>
      <c r="BE9" t="n">
        <v>6.9</v>
      </c>
      <c r="BF9" t="n">
        <v>4.9</v>
      </c>
    </row>
    <row r="10">
      <c r="BD10" t="inlineStr">
        <is>
          <t>LCR</t>
        </is>
      </c>
      <c r="BE10" t="n">
        <v>1045</v>
      </c>
      <c r="BF10" t="n">
        <v>163</v>
      </c>
    </row>
    <row r="11">
      <c r="A11" s="3" t="inlineStr">
        <is>
          <t>Profit &amp; Loss Summary (£'000)</t>
        </is>
      </c>
      <c r="BD11" t="inlineStr">
        <is>
          <t>NSFR</t>
        </is>
      </c>
      <c r="BE11" t="n">
        <v>110</v>
      </c>
      <c r="BF11" t="n">
        <v>138</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Net operating income</t>
        </is>
      </c>
      <c r="B13" s="5" t="n">
        <v>57655</v>
      </c>
      <c r="C13" s="5" t="n">
        <v>41023</v>
      </c>
      <c r="D13" s="5" t="n">
        <v>38536</v>
      </c>
      <c r="E13" s="5" t="n">
        <v>36024</v>
      </c>
      <c r="F13" s="5" t="n">
        <v>34088</v>
      </c>
      <c r="G13" s="5" t="n">
        <v>24666</v>
      </c>
      <c r="H13" s="5" t="n">
        <v>-1281</v>
      </c>
      <c r="I13" s="5" t="n">
        <v>16996</v>
      </c>
      <c r="W13" t="inlineStr">
        <is>
          <t>Net operating income</t>
        </is>
      </c>
      <c r="X13" t="n">
        <v>16996</v>
      </c>
      <c r="Y13" t="n">
        <v>-1281</v>
      </c>
      <c r="Z13" t="n">
        <v>24666</v>
      </c>
      <c r="AA13" t="n">
        <v>34088</v>
      </c>
      <c r="AB13" t="n">
        <v>36024</v>
      </c>
      <c r="AC13" t="n">
        <v>38536</v>
      </c>
      <c r="AD13" t="n">
        <v>41023</v>
      </c>
      <c r="AE13" t="n">
        <v>57655</v>
      </c>
    </row>
    <row r="14">
      <c r="A14" s="5" t="inlineStr">
        <is>
          <t>Administrative expenses</t>
        </is>
      </c>
      <c r="B14" s="5" t="n">
        <v>-42450</v>
      </c>
      <c r="C14" s="5" t="n">
        <v>-34231</v>
      </c>
      <c r="D14" s="5" t="n">
        <v>-32438</v>
      </c>
      <c r="E14" s="5" t="n">
        <v>-35502</v>
      </c>
      <c r="F14" s="5" t="n">
        <v>-30932</v>
      </c>
      <c r="G14" s="5" t="n">
        <v>-28043</v>
      </c>
      <c r="H14" s="5" t="n">
        <v>-31642</v>
      </c>
      <c r="I14" s="5" t="n">
        <v>-25132</v>
      </c>
      <c r="W14" t="inlineStr">
        <is>
          <t>Administrative expenses</t>
        </is>
      </c>
      <c r="X14" t="n">
        <v>-25132</v>
      </c>
      <c r="Y14" t="n">
        <v>-31642</v>
      </c>
      <c r="Z14" t="n">
        <v>-28043</v>
      </c>
      <c r="AA14" t="n">
        <v>-30932</v>
      </c>
      <c r="AB14" t="n">
        <v>-35502</v>
      </c>
      <c r="AC14" t="n">
        <v>-32438</v>
      </c>
      <c r="AD14" t="n">
        <v>-34231</v>
      </c>
      <c r="AE14" t="n">
        <v>-42450</v>
      </c>
    </row>
    <row r="15">
      <c r="A15" s="5" t="inlineStr">
        <is>
          <t>Profit for the year</t>
        </is>
      </c>
      <c r="B15" s="5" t="n">
        <v>13097</v>
      </c>
      <c r="C15" s="5" t="n">
        <v>6434</v>
      </c>
      <c r="D15" s="5" t="n">
        <v>6068</v>
      </c>
      <c r="E15" s="5" t="n">
        <v>1984</v>
      </c>
      <c r="F15" s="5" t="n">
        <v>4659</v>
      </c>
      <c r="G15" s="5" t="n">
        <v>-6336</v>
      </c>
      <c r="H15" s="5" t="n">
        <v>-31164</v>
      </c>
      <c r="I15" s="5" t="n">
        <v>-9019</v>
      </c>
      <c r="W15" t="inlineStr">
        <is>
          <t>Profit for the year</t>
        </is>
      </c>
      <c r="X15" t="n">
        <v>-9019</v>
      </c>
      <c r="Y15" t="n">
        <v>-31164</v>
      </c>
      <c r="Z15" t="n">
        <v>-6336</v>
      </c>
      <c r="AA15" t="n">
        <v>4659</v>
      </c>
      <c r="AB15" t="n">
        <v>1984</v>
      </c>
      <c r="AC15" t="n">
        <v>6068</v>
      </c>
      <c r="AD15" t="n">
        <v>6434</v>
      </c>
      <c r="AE15" t="n">
        <v>13097</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Opening equity</t>
        </is>
      </c>
      <c r="B19" s="5" t="n">
        <v>165080</v>
      </c>
      <c r="C19" s="5" t="n">
        <v>122070</v>
      </c>
      <c r="D19" s="5" t="n">
        <v>131006</v>
      </c>
      <c r="E19" s="5" t="n">
        <v>126641</v>
      </c>
      <c r="F19" s="5" t="n">
        <v>124246</v>
      </c>
      <c r="G19" s="5" t="n">
        <v>115072</v>
      </c>
      <c r="H19" s="5" t="n">
        <v>100015</v>
      </c>
      <c r="I19" s="5" t="n">
        <v>56846</v>
      </c>
      <c r="AH19" t="inlineStr">
        <is>
          <t>Opening equity</t>
        </is>
      </c>
      <c r="AI19" t="n">
        <v>56846</v>
      </c>
      <c r="AJ19" t="n">
        <v>100015</v>
      </c>
      <c r="AK19" t="n">
        <v>115072</v>
      </c>
      <c r="AL19" t="n">
        <v>124246</v>
      </c>
      <c r="AM19" t="n">
        <v>126641</v>
      </c>
      <c r="AN19" t="n">
        <v>131006</v>
      </c>
      <c r="AO19" t="n">
        <v>122070</v>
      </c>
      <c r="AP19" t="n">
        <v>165080</v>
      </c>
    </row>
    <row r="20">
      <c r="A20" s="5" t="inlineStr">
        <is>
          <t>Total comprehensive income/(loss) for the year</t>
        </is>
      </c>
      <c r="B20" s="5" t="n">
        <v>12699</v>
      </c>
      <c r="C20" s="5" t="n">
        <v>6434</v>
      </c>
      <c r="D20" s="5" t="n">
        <v>-8937</v>
      </c>
      <c r="E20" s="5" t="n">
        <v>4365</v>
      </c>
      <c r="F20" s="5" t="n">
        <v>-5905</v>
      </c>
      <c r="G20" s="5" t="n">
        <v>-18676</v>
      </c>
      <c r="H20" s="5" t="n">
        <v>-23693</v>
      </c>
      <c r="I20" s="5" t="n">
        <v>-1451</v>
      </c>
      <c r="AH20" t="inlineStr">
        <is>
          <t>Total comprehensive income/(loss) for the year</t>
        </is>
      </c>
      <c r="AI20" t="n">
        <v>-1451</v>
      </c>
      <c r="AJ20" t="n">
        <v>-23693</v>
      </c>
      <c r="AK20" t="n">
        <v>-18676</v>
      </c>
      <c r="AL20" t="n">
        <v>-5905</v>
      </c>
      <c r="AM20" t="n">
        <v>4365</v>
      </c>
      <c r="AN20" t="n">
        <v>-8937</v>
      </c>
      <c r="AO20" t="n">
        <v>6434</v>
      </c>
      <c r="AP20" t="n">
        <v>12699</v>
      </c>
    </row>
    <row r="21">
      <c r="A21" s="5" t="inlineStr">
        <is>
          <t>Other equity movements, net</t>
        </is>
      </c>
      <c r="B21" s="5" t="n">
        <v>0</v>
      </c>
      <c r="C21" s="5" t="n">
        <v>36576</v>
      </c>
      <c r="D21" s="5" t="n">
        <v>0</v>
      </c>
      <c r="E21" s="5" t="n">
        <v>0</v>
      </c>
      <c r="F21" s="5" t="n">
        <v>8300</v>
      </c>
      <c r="G21" s="5" t="n">
        <v>27850</v>
      </c>
      <c r="H21" s="5" t="n">
        <v>38671</v>
      </c>
      <c r="I21" s="5" t="n">
        <v>44782</v>
      </c>
      <c r="AH21" t="inlineStr">
        <is>
          <t>Other equity movements, net</t>
        </is>
      </c>
      <c r="AI21" t="n">
        <v>44782</v>
      </c>
      <c r="AJ21" t="n">
        <v>38671</v>
      </c>
      <c r="AK21" t="n">
        <v>27850</v>
      </c>
      <c r="AL21" t="n">
        <v>8300</v>
      </c>
      <c r="AM21" t="n">
        <v>0</v>
      </c>
      <c r="AN21" t="n">
        <v>0</v>
      </c>
      <c r="AO21" t="n">
        <v>36576</v>
      </c>
      <c r="AP21" t="n">
        <v>0</v>
      </c>
    </row>
    <row r="22">
      <c r="A22" s="5" t="inlineStr">
        <is>
          <t>Closing equity</t>
        </is>
      </c>
      <c r="B22" s="5" t="n">
        <v>177779</v>
      </c>
      <c r="C22" s="5" t="n">
        <v>165080</v>
      </c>
      <c r="D22" s="5" t="n">
        <v>122069</v>
      </c>
      <c r="E22" s="5" t="n">
        <v>131006</v>
      </c>
      <c r="F22" s="5" t="n">
        <v>126641</v>
      </c>
      <c r="G22" s="5" t="n">
        <v>124246</v>
      </c>
      <c r="H22" s="5" t="n">
        <v>114993</v>
      </c>
      <c r="I22" s="5" t="n">
        <v>100177</v>
      </c>
      <c r="AH22" t="inlineStr">
        <is>
          <t>Closing equity</t>
        </is>
      </c>
      <c r="AI22" t="n">
        <v>100177</v>
      </c>
      <c r="AJ22" t="n">
        <v>114993</v>
      </c>
      <c r="AK22" t="n">
        <v>124246</v>
      </c>
      <c r="AL22" t="n">
        <v>126641</v>
      </c>
      <c r="AM22" t="n">
        <v>131006</v>
      </c>
      <c r="AN22" t="n">
        <v>122069</v>
      </c>
      <c r="AO22" t="n">
        <v>165080</v>
      </c>
      <c r="AP22" t="n">
        <v>177779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T25" t="inlineStr">
        <is>
          <t>FY2018</t>
        </is>
      </c>
      <c r="AU25" t="inlineStr">
        <is>
          <t>FY2019</t>
        </is>
      </c>
      <c r="AV25" t="inlineStr">
        <is>
          <t>FY2020</t>
        </is>
      </c>
      <c r="AW25" t="inlineStr">
        <is>
          <t>FY2021</t>
        </is>
      </c>
      <c r="AX25" t="inlineStr">
        <is>
          <t>FY2022</t>
        </is>
      </c>
      <c r="AY25" t="inlineStr">
        <is>
          <t>FY2023</t>
        </is>
      </c>
      <c r="AZ25" t="inlineStr">
        <is>
          <t>FY2024</t>
        </is>
      </c>
      <c r="BA25" t="inlineStr">
        <is>
          <t>FY2025</t>
        </is>
      </c>
    </row>
    <row r="26">
      <c r="A26" s="5" t="inlineStr">
        <is>
          <t>Net cash from/(used in) operating activities</t>
        </is>
      </c>
      <c r="B26" s="5" t="n">
        <v>1766849</v>
      </c>
      <c r="C26" s="5" t="n">
        <v>70662</v>
      </c>
      <c r="D26" s="5" t="n">
        <v>65493</v>
      </c>
      <c r="E26" s="5" t="n">
        <v>35347</v>
      </c>
      <c r="F26" s="5" t="n">
        <v>-179449</v>
      </c>
      <c r="G26" s="5" t="n">
        <v>-47723</v>
      </c>
      <c r="H26" s="5" t="n">
        <v>-423882</v>
      </c>
      <c r="I26" s="5" t="n">
        <v>-763195</v>
      </c>
      <c r="AS26" t="inlineStr">
        <is>
          <t>Net cash from/(used in) operating activities</t>
        </is>
      </c>
      <c r="AT26" t="n">
        <v>-763195</v>
      </c>
      <c r="AU26" t="n">
        <v>-423882</v>
      </c>
      <c r="AV26" t="n">
        <v>-47723</v>
      </c>
      <c r="AW26" t="n">
        <v>-179449</v>
      </c>
      <c r="AX26" t="n">
        <v>35347</v>
      </c>
      <c r="AY26" t="n">
        <v>65493</v>
      </c>
      <c r="AZ26" t="n">
        <v>70662</v>
      </c>
      <c r="BA26" t="n">
        <v>1766849</v>
      </c>
    </row>
    <row r="27">
      <c r="A27" s="5" t="inlineStr">
        <is>
          <t>Net cash from/(used in) investing activities</t>
        </is>
      </c>
      <c r="B27" s="5" t="n">
        <v>-104</v>
      </c>
      <c r="C27" s="5" t="n">
        <v>-408</v>
      </c>
      <c r="D27" s="5" t="n">
        <v>-698</v>
      </c>
      <c r="E27" s="5" t="n">
        <v>-1171</v>
      </c>
      <c r="F27" s="5" t="n">
        <v>-1757</v>
      </c>
      <c r="G27" s="5" t="n">
        <v>-1113</v>
      </c>
      <c r="H27" s="5" t="n">
        <v>-4848</v>
      </c>
      <c r="I27" s="5" t="n">
        <v>-1319</v>
      </c>
      <c r="AS27" t="inlineStr">
        <is>
          <t>Net cash from/(used in) investing activities</t>
        </is>
      </c>
      <c r="AT27" t="n">
        <v>-1319</v>
      </c>
      <c r="AU27" t="n">
        <v>-4848</v>
      </c>
      <c r="AV27" t="n">
        <v>-1113</v>
      </c>
      <c r="AW27" t="n">
        <v>-1757</v>
      </c>
      <c r="AX27" t="n">
        <v>-1171</v>
      </c>
      <c r="AY27" t="n">
        <v>-698</v>
      </c>
      <c r="AZ27" t="n">
        <v>-408</v>
      </c>
      <c r="BA27" t="n">
        <v>-104</v>
      </c>
    </row>
    <row r="28">
      <c r="A28" s="5" t="inlineStr">
        <is>
          <t>Net cash from/(used in) financing activities</t>
        </is>
      </c>
      <c r="B28" s="5" t="n">
        <v>-1655356</v>
      </c>
      <c r="C28" s="5" t="n">
        <v>56070</v>
      </c>
      <c r="D28" s="5" t="n">
        <v>-62554</v>
      </c>
      <c r="E28" s="5" t="n">
        <v>-32755</v>
      </c>
      <c r="F28" s="5" t="n">
        <v>176598</v>
      </c>
      <c r="G28" s="5" t="n">
        <v>62865</v>
      </c>
      <c r="H28" s="5" t="n">
        <v>427129</v>
      </c>
      <c r="I28" s="5" t="n">
        <v>762126</v>
      </c>
      <c r="AS28" t="inlineStr">
        <is>
          <t>Net cash from/(used in) financing activities</t>
        </is>
      </c>
      <c r="AT28" t="n">
        <v>762126</v>
      </c>
      <c r="AU28" t="n">
        <v>427129</v>
      </c>
      <c r="AV28" t="n">
        <v>62865</v>
      </c>
      <c r="AW28" t="n">
        <v>176598</v>
      </c>
      <c r="AX28" t="n">
        <v>-32755</v>
      </c>
      <c r="AY28" t="n">
        <v>-62554</v>
      </c>
      <c r="AZ28" t="n">
        <v>56070</v>
      </c>
      <c r="BA28" t="n">
        <v>-1655356</v>
      </c>
    </row>
    <row r="29">
      <c r="A29" s="5" t="inlineStr">
        <is>
          <t>Cash and cash equivalents at end of year</t>
        </is>
      </c>
      <c r="B29" s="5" t="n">
        <v>254874</v>
      </c>
      <c r="C29" s="5" t="n">
        <v>143485</v>
      </c>
      <c r="D29" s="5" t="n">
        <v>17161</v>
      </c>
      <c r="E29" s="5" t="n">
        <v>14919</v>
      </c>
      <c r="F29" s="5" t="n">
        <v>13500</v>
      </c>
      <c r="G29" s="5" t="n">
        <v>18108</v>
      </c>
      <c r="H29" s="5" t="n">
        <v>4079</v>
      </c>
      <c r="I29" s="5" t="n">
        <v>5680</v>
      </c>
      <c r="AS29" t="inlineStr">
        <is>
          <t>Cash and cash equivalents at end of year</t>
        </is>
      </c>
      <c r="AT29" t="n">
        <v>5680</v>
      </c>
      <c r="AU29" t="n">
        <v>4079</v>
      </c>
      <c r="AV29" t="n">
        <v>18108</v>
      </c>
      <c r="AW29" t="n">
        <v>13500</v>
      </c>
      <c r="AX29" t="n">
        <v>14919</v>
      </c>
      <c r="AY29" t="n">
        <v>17161</v>
      </c>
      <c r="AZ29" t="n">
        <v>143485</v>
      </c>
      <c r="BA29" t="n">
        <v>254874</v>
      </c>
    </row>
    <row r="31">
      <c r="A31" s="3" t="inlineStr">
        <is>
          <t>Pillar 3 Key Metrics</t>
        </is>
      </c>
    </row>
    <row r="32">
      <c r="A32" s="4" t="inlineStr">
        <is>
          <t>Line item</t>
        </is>
      </c>
      <c r="B32" s="4" t="inlineStr">
        <is>
          <t>FY2025</t>
        </is>
      </c>
      <c r="C32" s="4" t="inlineStr">
        <is>
          <t>FY2024</t>
        </is>
      </c>
    </row>
    <row r="33">
      <c r="A33" s="6" t="inlineStr">
        <is>
          <t>CET1 Ratio</t>
        </is>
      </c>
      <c r="B33" s="6" t="inlineStr">
        <is>
          <t>15.2%</t>
        </is>
      </c>
      <c r="C33" s="6" t="inlineStr">
        <is>
          <t>16.2%</t>
        </is>
      </c>
    </row>
    <row r="34">
      <c r="A34" s="6" t="inlineStr">
        <is>
          <t>Tier 1 Ratio</t>
        </is>
      </c>
      <c r="B34" s="6" t="inlineStr">
        <is>
          <t>15.2%</t>
        </is>
      </c>
      <c r="C34" s="6" t="inlineStr">
        <is>
          <t>16.2%</t>
        </is>
      </c>
    </row>
    <row r="35">
      <c r="A35" s="6" t="inlineStr">
        <is>
          <t>Total Capital Ratio</t>
        </is>
      </c>
      <c r="B35" s="6" t="inlineStr">
        <is>
          <t>18.3%</t>
        </is>
      </c>
      <c r="C35" s="6" t="inlineStr">
        <is>
          <t>16.2%</t>
        </is>
      </c>
    </row>
    <row r="36">
      <c r="A36" s="6" t="inlineStr">
        <is>
          <t>Leverage Ratio</t>
        </is>
      </c>
      <c r="B36" s="6" t="inlineStr">
        <is>
          <t>4.9%</t>
        </is>
      </c>
      <c r="C36" s="6" t="inlineStr">
        <is>
          <t>6.9%</t>
        </is>
      </c>
    </row>
    <row r="37">
      <c r="A37" s="6" t="inlineStr">
        <is>
          <t>LCR</t>
        </is>
      </c>
      <c r="B37" s="6" t="inlineStr">
        <is>
          <t>163%</t>
        </is>
      </c>
      <c r="C37" s="6" t="inlineStr">
        <is>
          <t>1,045%</t>
        </is>
      </c>
    </row>
    <row r="38">
      <c r="A38" s="6" t="inlineStr">
        <is>
          <t>NSFR</t>
        </is>
      </c>
      <c r="B38" s="6" t="inlineStr">
        <is>
          <t>138%</t>
        </is>
      </c>
      <c r="C38" s="6" t="inlineStr">
        <is>
          <t>110%</t>
        </is>
      </c>
    </row>
    <row r="40" ht="52" customHeight="1">
      <c r="A40" s="7" t="inlineStr">
        <is>
          <t>Note: Figures are duplicated from the detail sheets for at-a-glance trend viewing; see each sheet's own source citation for the underlying document/page. FY2022 cash flow and FY2018-FY2023 Pillar 3 are blank - Vida only became a PRA-authorised bank on 19 November 2024 (no Pillar 3 exists before then; FY2018-FY2020 the entity was regulated only by the FCA, with no banking licence application even complete until later), and FY2022's own Annual Report doesn't present a full cash flow statement on a basis comparable to other years - see the Cash Flow Statement sheet's source note for details. The Balance Sheet/Equity/Cash Flow sheets and the Income Statement/Asset Quality sheets are on different bases (Company vs Group) in most pre-2024 years - see each sheet's own source note.</t>
        </is>
      </c>
    </row>
  </sheetData>
  <mergeCells count="1">
    <mergeCell ref="A40:I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Company Statement of Financial Position</t>
        </is>
      </c>
    </row>
    <row r="2">
      <c r="A2" s="2" t="inlineStr">
        <is>
          <t>Company (non-consolidated)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Assets</t>
        </is>
      </c>
      <c r="B4" s="6" t="n"/>
      <c r="C4" s="6" t="n"/>
      <c r="D4" s="6" t="n"/>
      <c r="E4" s="6" t="n"/>
      <c r="F4" s="6" t="n"/>
      <c r="G4" s="6" t="n"/>
      <c r="H4" s="6" t="n"/>
      <c r="I4" s="6" t="n"/>
    </row>
    <row r="5">
      <c r="A5" s="6" t="inlineStr">
        <is>
          <t>Cash and cash equivalents</t>
        </is>
      </c>
      <c r="B5" s="6" t="n">
        <v>254874</v>
      </c>
      <c r="C5" s="6" t="n">
        <v>143485</v>
      </c>
      <c r="D5" s="6" t="n">
        <v>17161</v>
      </c>
      <c r="E5" s="6" t="n">
        <v>14919</v>
      </c>
      <c r="F5" s="6" t="n">
        <v>13500</v>
      </c>
      <c r="G5" s="6" t="n">
        <v>18109</v>
      </c>
      <c r="H5" s="6" t="n">
        <v>4079</v>
      </c>
      <c r="I5" s="6" t="n">
        <v>5680</v>
      </c>
    </row>
    <row r="6">
      <c r="A6" s="6" t="inlineStr">
        <is>
          <t>Total debt securities</t>
        </is>
      </c>
      <c r="B6" s="6" t="n">
        <v>819770</v>
      </c>
      <c r="C6" s="6" t="n">
        <v>34135</v>
      </c>
      <c r="D6" s="6" t="n"/>
      <c r="E6" s="6" t="n"/>
      <c r="F6" s="6" t="n"/>
      <c r="G6" s="6" t="n"/>
      <c r="H6" s="6" t="n"/>
      <c r="I6" s="6" t="n"/>
    </row>
    <row r="7">
      <c r="A7" s="6" t="inlineStr">
        <is>
          <t>Debt securities - UK Government securities (FVOCI)</t>
        </is>
      </c>
      <c r="B7" s="6" t="n">
        <v>537441</v>
      </c>
      <c r="C7" s="6" t="n">
        <v>34135</v>
      </c>
      <c r="D7" s="6" t="n"/>
      <c r="E7" s="6" t="n"/>
      <c r="F7" s="6" t="n"/>
      <c r="G7" s="6" t="n"/>
      <c r="H7" s="6" t="n"/>
      <c r="I7" s="6" t="n"/>
    </row>
    <row r="8">
      <c r="A8" s="6" t="inlineStr">
        <is>
          <t>Debt securities - Supranational bonds (FVOCI)</t>
        </is>
      </c>
      <c r="B8" s="6" t="n">
        <v>167080</v>
      </c>
      <c r="C8" s="6" t="n"/>
      <c r="D8" s="6" t="n"/>
      <c r="E8" s="6" t="n"/>
      <c r="F8" s="6" t="n"/>
      <c r="G8" s="6" t="n"/>
      <c r="H8" s="6" t="n"/>
      <c r="I8" s="6" t="n"/>
    </row>
    <row r="9">
      <c r="A9" s="6" t="inlineStr">
        <is>
          <t>Debt securities - Covered bonds (FVOCI)</t>
        </is>
      </c>
      <c r="B9" s="6" t="n">
        <v>115248</v>
      </c>
      <c r="C9" s="6" t="n"/>
      <c r="D9" s="6" t="n"/>
      <c r="E9" s="6" t="n"/>
      <c r="F9" s="6" t="n"/>
      <c r="G9" s="6" t="n"/>
      <c r="H9" s="6" t="n"/>
      <c r="I9" s="6" t="n"/>
    </row>
    <row r="10">
      <c r="A10" s="6" t="inlineStr">
        <is>
          <t>Loans to customers</t>
        </is>
      </c>
      <c r="B10" s="6" t="n">
        <v>2301831</v>
      </c>
      <c r="C10" s="6" t="n">
        <v>1866006</v>
      </c>
      <c r="D10" s="6" t="n">
        <v>1712271</v>
      </c>
      <c r="E10" s="6" t="n">
        <v>1761996</v>
      </c>
      <c r="F10" s="6" t="n">
        <v>1811577</v>
      </c>
      <c r="G10" s="6" t="n">
        <v>1635572</v>
      </c>
      <c r="H10" s="6" t="n">
        <v>1599800</v>
      </c>
      <c r="I10" s="6" t="n">
        <v>1197862</v>
      </c>
    </row>
    <row r="11">
      <c r="A11" s="6" t="inlineStr">
        <is>
          <t>Derivative financial instruments</t>
        </is>
      </c>
      <c r="B11" s="6" t="n">
        <v>10198</v>
      </c>
      <c r="C11" s="6" t="n">
        <v>2123</v>
      </c>
      <c r="D11" s="6" t="n"/>
      <c r="E11" s="6" t="n">
        <v>731</v>
      </c>
      <c r="F11" s="6" t="n"/>
      <c r="G11" s="6" t="n"/>
      <c r="H11" s="6" t="n"/>
      <c r="I11" s="6" t="n"/>
    </row>
    <row r="12">
      <c r="A12" s="6" t="inlineStr">
        <is>
          <t>Other receivables</t>
        </is>
      </c>
      <c r="B12" s="6" t="n">
        <v>71715</v>
      </c>
      <c r="C12" s="6" t="n">
        <v>16412</v>
      </c>
      <c r="D12" s="6" t="n">
        <v>34000</v>
      </c>
      <c r="E12" s="6" t="n">
        <v>13982</v>
      </c>
      <c r="F12" s="6" t="n">
        <v>11399</v>
      </c>
      <c r="G12" s="6" t="n">
        <v>15207</v>
      </c>
      <c r="H12" s="6" t="n">
        <v>21901</v>
      </c>
      <c r="I12" s="6" t="n">
        <v>25813</v>
      </c>
    </row>
    <row r="13">
      <c r="A13" s="6" t="inlineStr">
        <is>
          <t>Deferred taxation asset</t>
        </is>
      </c>
      <c r="B13" s="6" t="n">
        <v>15299</v>
      </c>
      <c r="C13" s="6" t="n">
        <v>13565</v>
      </c>
      <c r="D13" s="6" t="n">
        <v>13565</v>
      </c>
      <c r="E13" s="6" t="n">
        <v>13565</v>
      </c>
      <c r="F13" s="6" t="n">
        <v>12975</v>
      </c>
      <c r="G13" s="6" t="n">
        <v>11602</v>
      </c>
      <c r="H13" s="6" t="n">
        <v>10283</v>
      </c>
      <c r="I13" s="6" t="n">
        <v>6007</v>
      </c>
    </row>
    <row r="14">
      <c r="A14" s="6" t="inlineStr">
        <is>
          <t>Investment in subsidiaries</t>
        </is>
      </c>
      <c r="B14" s="6" t="n"/>
      <c r="C14" s="6" t="n"/>
      <c r="D14" s="6" t="n"/>
      <c r="E14" s="6" t="n"/>
      <c r="F14" s="6" t="n"/>
      <c r="G14" s="6" t="n">
        <v>9000</v>
      </c>
      <c r="H14" s="6" t="n">
        <v>9000</v>
      </c>
      <c r="I14" s="6" t="n">
        <v>9000</v>
      </c>
    </row>
    <row r="15">
      <c r="A15" s="6" t="inlineStr">
        <is>
          <t>Property, plant and equipment</t>
        </is>
      </c>
      <c r="B15" s="6" t="n">
        <v>1343</v>
      </c>
      <c r="C15" s="6" t="n">
        <v>1551</v>
      </c>
      <c r="D15" s="6" t="n">
        <v>401</v>
      </c>
      <c r="E15" s="6" t="n">
        <v>965</v>
      </c>
      <c r="F15" s="6" t="n">
        <v>2407</v>
      </c>
      <c r="G15" s="6" t="n">
        <v>3795</v>
      </c>
      <c r="H15" s="6" t="n">
        <v>5334</v>
      </c>
      <c r="I15" s="6" t="n">
        <v>1249</v>
      </c>
    </row>
    <row r="16">
      <c r="A16" s="6" t="inlineStr">
        <is>
          <t>Intangible assets</t>
        </is>
      </c>
      <c r="B16" s="6" t="n">
        <v>1316</v>
      </c>
      <c r="C16" s="6" t="n">
        <v>2190</v>
      </c>
      <c r="D16" s="6" t="n">
        <v>2704</v>
      </c>
      <c r="E16" s="6" t="n">
        <v>2837</v>
      </c>
      <c r="F16" s="6" t="n">
        <v>2408</v>
      </c>
      <c r="G16" s="6" t="n">
        <v>1117</v>
      </c>
      <c r="H16" s="6" t="n">
        <v>317</v>
      </c>
      <c r="I16" s="6" t="n">
        <v>261</v>
      </c>
    </row>
    <row r="17">
      <c r="A17" s="6" t="inlineStr">
        <is>
          <t>Corporation tax</t>
        </is>
      </c>
      <c r="B17" s="6" t="n"/>
      <c r="C17" s="6" t="n"/>
      <c r="D17" s="6" t="n"/>
      <c r="E17" s="6" t="n">
        <v>25</v>
      </c>
      <c r="F17" s="6" t="n"/>
      <c r="G17" s="6" t="n"/>
      <c r="H17" s="6" t="n"/>
      <c r="I17" s="6" t="n"/>
    </row>
    <row r="18">
      <c r="A18" s="5" t="inlineStr">
        <is>
          <t>Total assets</t>
        </is>
      </c>
      <c r="B18" s="5" t="n">
        <v>3476346</v>
      </c>
      <c r="C18" s="5" t="n">
        <v>2079467</v>
      </c>
      <c r="D18" s="5" t="n">
        <v>1780102</v>
      </c>
      <c r="E18" s="5" t="n">
        <v>1809020</v>
      </c>
      <c r="F18" s="5" t="n">
        <v>1854266</v>
      </c>
      <c r="G18" s="5" t="n">
        <v>1694401</v>
      </c>
      <c r="H18" s="5" t="n">
        <v>1650714</v>
      </c>
      <c r="I18" s="5" t="n">
        <v>1245872</v>
      </c>
    </row>
    <row r="19">
      <c r="A19" s="5" t="inlineStr">
        <is>
          <t>Liabilities</t>
        </is>
      </c>
      <c r="B19" s="6" t="n"/>
      <c r="C19" s="6" t="n"/>
      <c r="D19" s="6" t="n"/>
      <c r="E19" s="6" t="n"/>
      <c r="F19" s="6" t="n"/>
      <c r="G19" s="6" t="n"/>
      <c r="H19" s="6" t="n"/>
      <c r="I19" s="6" t="n"/>
    </row>
    <row r="20">
      <c r="A20" s="6" t="inlineStr">
        <is>
          <t>Retail deposits</t>
        </is>
      </c>
      <c r="B20" s="6" t="n">
        <v>2425702</v>
      </c>
      <c r="C20" s="6" t="n">
        <v>173113</v>
      </c>
      <c r="D20" s="6" t="n"/>
      <c r="E20" s="6" t="n"/>
      <c r="F20" s="6" t="n"/>
      <c r="G20" s="6" t="n"/>
      <c r="H20" s="6" t="n"/>
      <c r="I20" s="6" t="n"/>
    </row>
    <row r="21">
      <c r="A21" s="6" t="inlineStr">
        <is>
          <t>Amounts owed to credit institutions</t>
        </is>
      </c>
      <c r="B21" s="6" t="n">
        <v>40345</v>
      </c>
      <c r="C21" s="6" t="n">
        <v>74254</v>
      </c>
      <c r="D21" s="6" t="n">
        <v>44437</v>
      </c>
      <c r="E21" s="6" t="n">
        <v>15188</v>
      </c>
      <c r="F21" s="6" t="n">
        <v>15336</v>
      </c>
      <c r="G21" s="6" t="n"/>
      <c r="H21" s="6" t="n"/>
      <c r="I21" s="6" t="n"/>
    </row>
    <row r="22">
      <c r="A22" s="6" t="inlineStr">
        <is>
          <t>Deemed loan due to Group undertakings</t>
        </is>
      </c>
      <c r="B22" s="6" t="n">
        <v>767720</v>
      </c>
      <c r="C22" s="6" t="n">
        <v>1659540</v>
      </c>
      <c r="D22" s="6" t="n">
        <v>1544083</v>
      </c>
      <c r="E22" s="6" t="n">
        <v>1606178</v>
      </c>
      <c r="F22" s="6" t="n">
        <v>1690865</v>
      </c>
      <c r="G22" s="6" t="n">
        <v>1521161</v>
      </c>
      <c r="H22" s="6" t="n">
        <v>1484952</v>
      </c>
      <c r="I22" s="6" t="n">
        <v>1108999</v>
      </c>
    </row>
    <row r="23">
      <c r="A23" s="6" t="inlineStr">
        <is>
          <t>Derivative financial liabilities</t>
        </is>
      </c>
      <c r="B23" s="6" t="n">
        <v>19403</v>
      </c>
      <c r="C23" s="6" t="n">
        <v>184</v>
      </c>
      <c r="D23" s="6" t="n">
        <v>4727</v>
      </c>
      <c r="E23" s="6" t="n"/>
      <c r="F23" s="6" t="n"/>
      <c r="G23" s="6" t="n"/>
      <c r="H23" s="6" t="n"/>
      <c r="I23" s="6" t="n"/>
    </row>
    <row r="24">
      <c r="A24" s="6" t="inlineStr">
        <is>
          <t>Other liabilities</t>
        </is>
      </c>
      <c r="B24" s="6" t="n">
        <v>44269</v>
      </c>
      <c r="C24" s="6" t="n">
        <v>7067</v>
      </c>
      <c r="D24" s="6" t="n">
        <v>64722</v>
      </c>
      <c r="E24" s="6" t="n">
        <v>56584</v>
      </c>
      <c r="F24" s="6" t="n">
        <v>21050</v>
      </c>
      <c r="G24" s="6" t="n">
        <v>48390</v>
      </c>
      <c r="H24" s="6" t="n">
        <v>50689</v>
      </c>
      <c r="I24" s="6" t="n">
        <v>36696</v>
      </c>
    </row>
    <row r="25">
      <c r="A25" s="6" t="inlineStr">
        <is>
          <t>Provisions</t>
        </is>
      </c>
      <c r="B25" s="6" t="n"/>
      <c r="C25" s="6" t="n"/>
      <c r="D25" s="6" t="n">
        <v>64</v>
      </c>
      <c r="E25" s="6" t="n">
        <v>64</v>
      </c>
      <c r="F25" s="6" t="n">
        <v>374</v>
      </c>
      <c r="G25" s="6" t="n">
        <v>604</v>
      </c>
      <c r="H25" s="6" t="n"/>
      <c r="I25" s="6" t="n"/>
    </row>
    <row r="26">
      <c r="A26" s="6" t="inlineStr">
        <is>
          <t>Corporation tax</t>
        </is>
      </c>
      <c r="B26" s="6" t="n">
        <v>1128</v>
      </c>
      <c r="C26" s="6" t="n">
        <v>229</v>
      </c>
      <c r="D26" s="6" t="n"/>
      <c r="E26" s="6" t="n"/>
      <c r="F26" s="6" t="n"/>
      <c r="G26" s="6" t="n"/>
      <c r="H26" s="6" t="n"/>
      <c r="I26" s="6" t="n"/>
    </row>
    <row r="27">
      <c r="A27" s="5" t="inlineStr">
        <is>
          <t>Total liabilities</t>
        </is>
      </c>
      <c r="B27" s="5" t="n">
        <v>3298567</v>
      </c>
      <c r="C27" s="5" t="n">
        <v>1914387</v>
      </c>
      <c r="D27" s="5" t="n">
        <v>1658033</v>
      </c>
      <c r="E27" s="5" t="n">
        <v>1678014</v>
      </c>
      <c r="F27" s="5" t="n">
        <v>1727625</v>
      </c>
      <c r="G27" s="5" t="n">
        <v>1570155</v>
      </c>
      <c r="H27" s="5" t="n">
        <v>1535641</v>
      </c>
      <c r="I27" s="5" t="n">
        <v>1145695</v>
      </c>
    </row>
    <row r="28">
      <c r="A28" s="5" t="inlineStr">
        <is>
          <t>Shareholders' equity</t>
        </is>
      </c>
      <c r="B28" s="6" t="n"/>
      <c r="C28" s="6" t="n"/>
      <c r="D28" s="6" t="n"/>
      <c r="E28" s="6" t="n"/>
      <c r="F28" s="6" t="n"/>
      <c r="G28" s="6" t="n"/>
      <c r="H28" s="6" t="n"/>
      <c r="I28" s="6" t="n"/>
    </row>
    <row r="29">
      <c r="A29" s="6" t="inlineStr">
        <is>
          <t>Called up share capital</t>
        </is>
      </c>
      <c r="B29" s="6" t="n">
        <v>36156</v>
      </c>
      <c r="C29" s="6" t="n">
        <v>241039</v>
      </c>
      <c r="D29" s="6" t="n">
        <v>204462</v>
      </c>
      <c r="E29" s="6" t="n">
        <v>204462</v>
      </c>
      <c r="F29" s="6" t="n">
        <v>204462</v>
      </c>
      <c r="G29" s="6" t="n">
        <v>196162</v>
      </c>
      <c r="H29" s="6" t="n">
        <v>168313</v>
      </c>
      <c r="I29" s="6" t="n">
        <v>129642</v>
      </c>
    </row>
    <row r="30">
      <c r="A30" s="6" t="inlineStr">
        <is>
          <t>Other reserves</t>
        </is>
      </c>
      <c r="B30" s="6" t="n">
        <v>-398</v>
      </c>
      <c r="C30" s="6" t="n"/>
      <c r="D30" s="6" t="n"/>
      <c r="E30" s="6" t="n"/>
      <c r="F30" s="6" t="n"/>
      <c r="G30" s="6" t="n"/>
      <c r="H30" s="6" t="n"/>
      <c r="I30" s="6" t="n"/>
    </row>
    <row r="31">
      <c r="A31" s="6" t="inlineStr">
        <is>
          <t>Retained profit/(losses)</t>
        </is>
      </c>
      <c r="B31" s="6" t="n">
        <v>142021</v>
      </c>
      <c r="C31" s="6" t="n">
        <v>-75959</v>
      </c>
      <c r="D31" s="6" t="n">
        <v>-82393</v>
      </c>
      <c r="E31" s="6" t="n">
        <v>-73456</v>
      </c>
      <c r="F31" s="6" t="n">
        <v>-77821</v>
      </c>
      <c r="G31" s="6" t="n">
        <v>-71916</v>
      </c>
      <c r="H31" s="6" t="n">
        <v>-53240</v>
      </c>
      <c r="I31" s="6" t="n">
        <v>-29464</v>
      </c>
    </row>
    <row r="32">
      <c r="A32" s="5" t="inlineStr">
        <is>
          <t>Total shareholders' equity</t>
        </is>
      </c>
      <c r="B32" s="5" t="n">
        <v>177779</v>
      </c>
      <c r="C32" s="5" t="n">
        <v>165080</v>
      </c>
      <c r="D32" s="5" t="n">
        <v>122069</v>
      </c>
      <c r="E32" s="5" t="n">
        <v>131006</v>
      </c>
      <c r="F32" s="5" t="n">
        <v>126641</v>
      </c>
      <c r="G32" s="5" t="n">
        <v>124246</v>
      </c>
      <c r="H32" s="5" t="n">
        <v>115073</v>
      </c>
      <c r="I32" s="5" t="n">
        <v>100178</v>
      </c>
    </row>
    <row r="33">
      <c r="A33" s="5" t="inlineStr">
        <is>
          <t>Total liabilities and equity</t>
        </is>
      </c>
      <c r="B33" s="5" t="n">
        <v>3476346</v>
      </c>
      <c r="C33" s="5" t="n">
        <v>2079467</v>
      </c>
      <c r="D33" s="5" t="n">
        <v>1780102</v>
      </c>
      <c r="E33" s="5" t="n">
        <v>1809020</v>
      </c>
      <c r="F33" s="5" t="n">
        <v>1854266</v>
      </c>
      <c r="G33" s="5" t="n">
        <v>1694401</v>
      </c>
      <c r="H33" s="5" t="n">
        <v>1650714</v>
      </c>
      <c r="I33" s="5" t="n">
        <v>1245872</v>
      </c>
    </row>
    <row r="35" ht="351" customHeight="1">
      <c r="A35" s="8" t="inlineStr">
        <is>
          <t>Sources - Vida Bank Limited's own Company (non-consolidated) Statement of Financial Position, £'000:
FY2025: Vida Bank Limited Annual Report and Accounts 2025 (Company), p.53 - https://www.vidabank.co.uk/media/pkmnxlqg/annual-report-and-accounts-2025-company.pdf
FY2024: Vida Bank Limited Annual Report and Accounts 2024 (Company), p.71 - https://www.vidabank.co.uk/media/emghy4z2/annual-report-and-accounts-2024-company.pdf
FY2023: Belmont Green Finance Limited Annual Report and Accounts 2023, p.185 (Company Statement of Financial Position) - https://www.vidabank.co.uk/media/zhoj0swe/annual-report-and-accounts-2023.pdf
FY2022: taken from the FY2023 Annual Report's own restated FY2022 comparative column (same document/page as above). Belmont Green's own FY2022 Annual Report has since been located and read (2026-09-18, see the Cash Flow Statement sheet's FY2022_FOUND_NOTE); its own Company Statement of Financial Position is on printed p.159 and its figures were superseded by the FY2023 report's restatement, so the restated comparative is retained here deliberately rather than for want of the original.
FY2021: Belmont Green Finance Limited Annual Report and Accounts 2021, p.149 (Company Statement of Financial Position) - https://www.vidabank.co.uk/media/p3wau0ms/annual-report-and-accounts-2021.pdf
FY2020: Belmont Green Finance Limited Annual Report and Accounts 2020, Company Statement of Financial Position - https://find-and-update.company-information.service.gov.uk/company/09837692/filing-history/MzMwNjUyMjA5MmFkaXF6a2N4/document?format=pdf&amp;download=0
FY2019: Belmont Green Finance Limited Annual Report and Accounts 2019, Company Statement of Financial Position - https://find-and-update.company-information.service.gov.uk/company/09837692/filing-history/MzI4NjAzOTYwNWFkaXF6a2N4/document?format=pdf&amp;download=0
FY2018: taken from the FY2019 Annual Report's own restated FY2018 comparative column (same document as above) - see FY2018_RESTATEMENT_NOTE (on the Cash Flow Statement sheet's source note) for why the restated figures are used in place of Belmont Green's originally-filed FY2018 Annual Report (https://find-and-update.company-information.service.gov.uk/company/09837692/filing-history/MzIzMzYzMjc1OWFkaXF6a2N4/document?format=pdf&amp;download=0).
DEBT SECURITIES BREAKDOWN: the 'Debt securities - ...' sub-rows below the headline 'Total debt securities' line are transcribed from each year's own Note 15 'Debt securities'. All debt securities are held at fair value through other comprehensive income (FVOCI) in both years - Note 11 'Financial instruments' (FY2025 AR, pp.75-76) shows the full £819,770k FY2025 balance and £34,135k FY2024 balance classified entirely as FVOCI, with nothing at amortised cost or FVTPL - so no measurement-basis split applies. Note 15 does split by issuer type:
FY2025: UK Government securities £537,441k, Supranational bonds £167,080k, Covered bonds £115,248k - Note 15, p.81 - https://www.vidabank.co.uk/media/pkmnxlqg/annual-report-and-accounts-2025-company.pdf. These three lines sum to £819,769k against the note's own stated total of £819,770k - a £1k rounding difference present in the source document itself, not a transcription error (the UK Government securities sub-row above is left at the source's own £537,441k rather than plugged to force an exact tie-out).
FY2024: 100% UK Government securities (labelled 'Gilts' in this year's own note) - Note 15, p.102 - https://www.vidabank.co.uk/media/emghy4z2/annual-report-and-accounts-2024-company.pdf. No issuer-type split applies for FY2024 since the full £34,135k balance is one category.
Balance Sheet / Statement of Changes in Equity are on Vida Bank Limited's own Company (non-consolidated) basis in every year, matching the Cash Flow Statement sheet's basis (see its own ENTITY_NOTE). Profit &amp; Loss is on the Company basis for FY2025/FY2024 only (Vida's own Company Statement of Comprehensive Income exists for those two years); for FY2023/FY2022/FY2021/FY2020/FY2019, the Company took the section 408 Companies Act 2006 exemption and published no separate Company income statement (only a one-line narrative profit/loss-after-tax figure, which ties to the equity ladder's own movement for that year), so the Group/Consolidated income statement is shown instead for those years. FY2018's own Annual Report did present a Company income statement, but it is not used here either, for consistency with every other pre-2024 year's Group-basis figures (see INCOME_STATEMENT_SOURCES for detail) - a genuine basis difference, not forced to a single basis.</t>
        </is>
      </c>
    </row>
  </sheetData>
  <mergeCells count="1">
    <mergeCell ref="A35:I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Statement of Comprehensive Income</t>
        </is>
      </c>
    </row>
    <row r="2">
      <c r="A2" s="2" t="inlineStr">
        <is>
          <t>FY2025/FY2024: Company basis. FY2023-FY2018: Group/Consolidated basis (Company P&amp;L exempted under s.408 in every year except FY2018's own Annual Report, not used here for consistency - see source note).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Income</t>
        </is>
      </c>
      <c r="B4" s="6" t="n"/>
      <c r="C4" s="6" t="n"/>
      <c r="D4" s="6" t="n"/>
      <c r="E4" s="6" t="n"/>
      <c r="F4" s="6" t="n"/>
      <c r="G4" s="6" t="n"/>
      <c r="H4" s="6" t="n"/>
      <c r="I4" s="6" t="n"/>
    </row>
    <row r="5">
      <c r="A5" s="6" t="inlineStr">
        <is>
          <t>Interest income and similar income</t>
        </is>
      </c>
      <c r="B5" s="6" t="n">
        <v>171518</v>
      </c>
      <c r="C5" s="6" t="n">
        <v>121718</v>
      </c>
      <c r="D5" s="6" t="n">
        <v>144373</v>
      </c>
      <c r="E5" s="6" t="n">
        <v>99941</v>
      </c>
      <c r="F5" s="6" t="n">
        <v>68551</v>
      </c>
      <c r="G5" s="6" t="n">
        <v>61142</v>
      </c>
      <c r="H5" s="6" t="n">
        <v>49649</v>
      </c>
      <c r="I5" s="6" t="n">
        <v>42042</v>
      </c>
    </row>
    <row r="6">
      <c r="A6" s="6" t="inlineStr">
        <is>
          <t>Interest expense and similar charges</t>
        </is>
      </c>
      <c r="B6" s="6" t="n">
        <v>-124229</v>
      </c>
      <c r="C6" s="6" t="n">
        <v>-87898</v>
      </c>
      <c r="D6" s="6" t="n">
        <v>-110660</v>
      </c>
      <c r="E6" s="6" t="n">
        <v>-57037</v>
      </c>
      <c r="F6" s="6" t="n">
        <v>-34046</v>
      </c>
      <c r="G6" s="6" t="n">
        <v>-37205</v>
      </c>
      <c r="H6" s="6" t="n">
        <v>-47030</v>
      </c>
      <c r="I6" s="6" t="n">
        <v>-24573</v>
      </c>
    </row>
    <row r="7">
      <c r="A7" s="5" t="inlineStr">
        <is>
          <t>Net interest income</t>
        </is>
      </c>
      <c r="B7" s="5" t="n">
        <v>47289</v>
      </c>
      <c r="C7" s="5" t="n">
        <v>33820</v>
      </c>
      <c r="D7" s="5" t="n">
        <v>33713</v>
      </c>
      <c r="E7" s="5" t="n">
        <v>42904</v>
      </c>
      <c r="F7" s="5" t="n">
        <v>34505</v>
      </c>
      <c r="G7" s="5" t="n">
        <v>23937</v>
      </c>
      <c r="H7" s="5" t="n">
        <v>2619</v>
      </c>
      <c r="I7" s="5" t="n">
        <v>17469</v>
      </c>
    </row>
    <row r="8">
      <c r="A8" s="6" t="inlineStr">
        <is>
          <t>Other operating income/(expense)</t>
        </is>
      </c>
      <c r="B8" s="6" t="n">
        <v>7035</v>
      </c>
      <c r="C8" s="6" t="n">
        <v>1158</v>
      </c>
      <c r="D8" s="6" t="n">
        <v>920</v>
      </c>
      <c r="E8" s="6" t="n">
        <v>-6174</v>
      </c>
      <c r="F8" s="6" t="n">
        <v>987</v>
      </c>
      <c r="G8" s="6" t="n">
        <v>779</v>
      </c>
      <c r="H8" s="6" t="n"/>
      <c r="I8" s="6" t="n"/>
    </row>
    <row r="9">
      <c r="A9" s="6" t="inlineStr">
        <is>
          <t>Net fair value gain/(loss) on financial instruments</t>
        </is>
      </c>
      <c r="B9" s="6" t="n">
        <v>3331</v>
      </c>
      <c r="C9" s="6" t="n">
        <v>6045</v>
      </c>
      <c r="D9" s="6" t="n">
        <v>3903</v>
      </c>
      <c r="E9" s="6" t="n">
        <v>-706</v>
      </c>
      <c r="F9" s="6" t="n">
        <v>-1404</v>
      </c>
      <c r="G9" s="6" t="n">
        <v>-50</v>
      </c>
      <c r="H9" s="6" t="n">
        <v>-3900</v>
      </c>
      <c r="I9" s="6" t="n">
        <v>-473</v>
      </c>
    </row>
    <row r="10">
      <c r="A10" s="5" t="inlineStr">
        <is>
          <t>Net operating income</t>
        </is>
      </c>
      <c r="B10" s="5" t="n">
        <v>57655</v>
      </c>
      <c r="C10" s="5" t="n">
        <v>41023</v>
      </c>
      <c r="D10" s="5" t="n">
        <v>38536</v>
      </c>
      <c r="E10" s="5" t="n">
        <v>36024</v>
      </c>
      <c r="F10" s="5" t="n">
        <v>34088</v>
      </c>
      <c r="G10" s="5" t="n">
        <v>24666</v>
      </c>
      <c r="H10" s="5" t="n">
        <v>-1281</v>
      </c>
      <c r="I10" s="5" t="n">
        <v>16996</v>
      </c>
    </row>
    <row r="11">
      <c r="A11" s="5" t="inlineStr">
        <is>
          <t>Administrative expenses</t>
        </is>
      </c>
      <c r="B11" s="5" t="n">
        <v>-42450</v>
      </c>
      <c r="C11" s="5" t="n">
        <v>-34231</v>
      </c>
      <c r="D11" s="5" t="n">
        <v>-32438</v>
      </c>
      <c r="E11" s="5" t="n">
        <v>-35502</v>
      </c>
      <c r="F11" s="5" t="n">
        <v>-30932</v>
      </c>
      <c r="G11" s="5" t="n">
        <v>-28043</v>
      </c>
      <c r="H11" s="5" t="n">
        <v>-31642</v>
      </c>
      <c r="I11" s="5" t="n">
        <v>-25132</v>
      </c>
    </row>
    <row r="12">
      <c r="A12" s="5" t="inlineStr">
        <is>
          <t>Operating profit before impairment</t>
        </is>
      </c>
      <c r="B12" s="5" t="n">
        <v>15205</v>
      </c>
      <c r="C12" s="5" t="n">
        <v>6792</v>
      </c>
      <c r="D12" s="5" t="n">
        <v>6098</v>
      </c>
      <c r="E12" s="5" t="n">
        <v>522</v>
      </c>
      <c r="F12" s="5" t="n">
        <v>3156</v>
      </c>
      <c r="G12" s="5" t="n">
        <v>-3377</v>
      </c>
      <c r="H12" s="5" t="n">
        <v>-32923</v>
      </c>
      <c r="I12" s="5" t="n">
        <v>-8136</v>
      </c>
    </row>
    <row r="13">
      <c r="A13" s="6" t="inlineStr">
        <is>
          <t>Provisions</t>
        </is>
      </c>
      <c r="B13" s="6" t="n"/>
      <c r="C13" s="6" t="n"/>
      <c r="D13" s="6" t="n">
        <v>0</v>
      </c>
      <c r="E13" s="6" t="n">
        <v>310</v>
      </c>
      <c r="F13" s="6" t="n">
        <v>223</v>
      </c>
      <c r="G13" s="6" t="n">
        <v>-350</v>
      </c>
      <c r="H13" s="6" t="n"/>
      <c r="I13" s="6" t="n"/>
    </row>
    <row r="14">
      <c r="A14" s="6" t="inlineStr">
        <is>
          <t>Impairment (losses)/releases</t>
        </is>
      </c>
      <c r="B14" s="6" t="n">
        <v>-2736</v>
      </c>
      <c r="C14" s="6" t="n">
        <v>-128</v>
      </c>
      <c r="D14" s="6" t="n">
        <v>-55</v>
      </c>
      <c r="E14" s="6" t="n">
        <v>543</v>
      </c>
      <c r="F14" s="6" t="n">
        <v>-725</v>
      </c>
      <c r="G14" s="6" t="n">
        <v>-3371</v>
      </c>
      <c r="H14" s="6" t="n">
        <v>-2402</v>
      </c>
      <c r="I14" s="6" t="n">
        <v>-1105</v>
      </c>
    </row>
    <row r="15">
      <c r="A15" s="5" t="inlineStr">
        <is>
          <t>Profit before taxation</t>
        </is>
      </c>
      <c r="B15" s="5" t="n">
        <v>12469</v>
      </c>
      <c r="C15" s="5" t="n">
        <v>6664</v>
      </c>
      <c r="D15" s="5" t="n">
        <v>6043</v>
      </c>
      <c r="E15" s="5" t="n">
        <v>1375</v>
      </c>
      <c r="F15" s="5" t="n">
        <v>2654</v>
      </c>
      <c r="G15" s="5" t="n">
        <v>-7098</v>
      </c>
      <c r="H15" s="5" t="n">
        <v>-35325</v>
      </c>
      <c r="I15" s="5" t="n">
        <v>-9241</v>
      </c>
    </row>
    <row r="16">
      <c r="A16" s="6" t="inlineStr">
        <is>
          <t>Tax credit/(charge) for the year</t>
        </is>
      </c>
      <c r="B16" s="6" t="n">
        <v>628</v>
      </c>
      <c r="C16" s="6" t="n">
        <v>-230</v>
      </c>
      <c r="D16" s="6" t="n">
        <v>25</v>
      </c>
      <c r="E16" s="6" t="n">
        <v>609</v>
      </c>
      <c r="F16" s="6" t="n">
        <v>2005</v>
      </c>
      <c r="G16" s="6" t="n">
        <v>762</v>
      </c>
      <c r="H16" s="6" t="n">
        <v>4161</v>
      </c>
      <c r="I16" s="6" t="n">
        <v>222</v>
      </c>
    </row>
    <row r="17">
      <c r="A17" s="5" t="inlineStr">
        <is>
          <t>Profit for the year</t>
        </is>
      </c>
      <c r="B17" s="5" t="n">
        <v>13097</v>
      </c>
      <c r="C17" s="5" t="n">
        <v>6434</v>
      </c>
      <c r="D17" s="5" t="n">
        <v>6068</v>
      </c>
      <c r="E17" s="5" t="n">
        <v>1984</v>
      </c>
      <c r="F17" s="5" t="n">
        <v>4659</v>
      </c>
      <c r="G17" s="5" t="n">
        <v>-6336</v>
      </c>
      <c r="H17" s="5" t="n">
        <v>-31164</v>
      </c>
      <c r="I17" s="5" t="n">
        <v>-9019</v>
      </c>
    </row>
    <row r="18">
      <c r="A18" s="5" t="inlineStr">
        <is>
          <t>Other comprehensive income</t>
        </is>
      </c>
      <c r="B18" s="6" t="n"/>
      <c r="C18" s="6" t="n"/>
      <c r="D18" s="6" t="n"/>
      <c r="E18" s="6" t="n"/>
      <c r="F18" s="6" t="n"/>
      <c r="G18" s="6" t="n"/>
      <c r="H18" s="6" t="n"/>
      <c r="I18" s="6" t="n"/>
    </row>
    <row r="19">
      <c r="A19" s="6" t="inlineStr">
        <is>
          <t>Cash flow hedge reserve (losses)/gains</t>
        </is>
      </c>
      <c r="B19" s="6" t="n">
        <v>-21</v>
      </c>
      <c r="C19" s="6" t="n">
        <v>0</v>
      </c>
      <c r="D19" s="6" t="n">
        <v>-10468</v>
      </c>
      <c r="E19" s="6" t="n">
        <v>16864</v>
      </c>
      <c r="F19" s="6" t="n">
        <v>0</v>
      </c>
      <c r="G19" s="6" t="n"/>
      <c r="H19" s="6" t="n"/>
      <c r="I19" s="6" t="n"/>
    </row>
    <row r="20">
      <c r="A20" s="6" t="inlineStr">
        <is>
          <t>Tax on items in other comprehensive income</t>
        </is>
      </c>
      <c r="B20" s="6" t="n">
        <v>-98</v>
      </c>
      <c r="C20" s="6" t="n"/>
      <c r="D20" s="6" t="n"/>
      <c r="E20" s="6" t="n"/>
      <c r="F20" s="6" t="n"/>
      <c r="G20" s="6" t="n"/>
      <c r="H20" s="6" t="n"/>
      <c r="I20" s="6" t="n"/>
    </row>
    <row r="21">
      <c r="A21" s="6" t="inlineStr">
        <is>
          <t>Fair value through OCI reserve</t>
        </is>
      </c>
      <c r="B21" s="6" t="n">
        <v>-279</v>
      </c>
      <c r="C21" s="6" t="n"/>
      <c r="D21" s="6" t="n"/>
      <c r="E21" s="6" t="n"/>
      <c r="F21" s="6" t="n"/>
      <c r="G21" s="6" t="n"/>
      <c r="H21" s="6" t="n"/>
      <c r="I21" s="6" t="n"/>
    </row>
    <row r="22">
      <c r="A22" s="5" t="inlineStr">
        <is>
          <t>Total comprehensive income/(loss) for the year, net of tax</t>
        </is>
      </c>
      <c r="B22" s="5" t="n">
        <v>12699</v>
      </c>
      <c r="C22" s="5" t="n">
        <v>6434</v>
      </c>
      <c r="D22" s="5" t="n">
        <v>-4400</v>
      </c>
      <c r="E22" s="5" t="n">
        <v>18848</v>
      </c>
      <c r="F22" s="5" t="n">
        <v>4659</v>
      </c>
      <c r="G22" s="5" t="n">
        <v>-6336</v>
      </c>
      <c r="H22" s="5" t="n">
        <v>-31164</v>
      </c>
      <c r="I22" s="5" t="n">
        <v>-9019</v>
      </c>
    </row>
    <row r="24" ht="338" customHeight="1">
      <c r="A24" s="8" t="inlineStr">
        <is>
          <t>Sources - £'000. FY2025/FY2024: Vida Bank Limited's own Company Statement of Comprehensive Income. FY2023-FY2018: Group/Consolidated Statement of Profit and Loss and Other Comprehensive Income (Company P&amp;L exempted under s.408 in every one of these years - FY2018's own Annual Report is the sole exception, which did present a Company income statement, but it is not used here for consistency with every other year's Group-basis figures; see ENTITY_NOTE below):
FY2025: Vida Bank Limited Annual Report and Accounts 2025 (Company), p.52 - https://www.vidabank.co.uk/media/pkmnxlqg/annual-report-and-accounts-2025-company.pdf
FY2024: Vida Bank Limited Annual Report and Accounts 2025 (Company), p.52, FY2024 comparative column - https://www.vidabank.co.uk/media/pkmnxlqg/annual-report-and-accounts-2025-company.pdf
FY2023: Belmont Green Finance Limited Annual Report and Accounts 2023, p.143 (Consolidated Statement of Profit and Loss and Other Comprehensive Income) - https://www.vidabank.co.uk/media/zhoj0swe/annual-report-and-accounts-2023.pdf
FY2022: taken from the FY2023 Annual Report's own FY2022 comparative column (same document/page as above).
FY2021: Belmont Green Finance Limited Annual Report and Accounts 2021, p.109 (Consolidated Statement of Comprehensive Income) - https://www.vidabank.co.uk/media/p3wau0ms/annual-report-and-accounts-2021.pdf
FY2020: Belmont Green Finance Limited Annual Report and Accounts 2020, Consolidated Statement of Comprehensive Income - https://find-and-update.company-information.service.gov.uk/company/09837692/filing-history/MzMwNjUyMjA5MmFkaXF6a2N4/document?format=pdf&amp;download=0
FY2019: Belmont Green Finance Limited Annual Report and Accounts 2019, Consolidated Statement of Comprehensive Income - https://find-and-update.company-information.service.gov.uk/company/09837692/filing-history/MzI4NjAzOTYwNWFkaXF6a2N4/document?format=pdf&amp;download=0
FY2018: taken from the FY2019 Annual Report's own FY2018 comparative column (same document as above) - Belmont Green's originally-filed FY2018 Annual Report did present a Company-basis income statement, but it is not used here (see basis note above).
FY2019's own Annual Report has an internal, unreconciled ~£80k discrepancy between the Loss for the year it reports on this Consolidated Statement of Comprehensive Income (£(31,164)k) and the Loss for the year used on this workbook's own Statement of Changes in Equity and Cash Flow Statement sheets (£(31,084)k, per the same Annual Report's own Statement of Changes in Equity and cash flow note) - both figures are reproduced exactly as printed on their respective source statements rather than forced to agree.
Presentation notes (not silently reconciled): FY2021's Group statement labels its operating-income subtotal "Total income" rather than FY2022-25's "Net operating income" - same position in the statement, different label, reproduced as printed. FY2025's own Statement of Comprehensive Income prints its final row as "Total other comprehensive profit" with a value of 12,699 - this is actually the year's Total comprehensive income (Profit after tax 13,097 less the 3 OCI items above it, -21-98-279=-398, gives exactly 12,699); the source's own row label is internally inconsistent (a subtotal, not "other" comprehensive income), so this row is relabelled "Total comprehensive income for the year, net of tax" here to match the other 4 years' own correctly-labelled totals - the £'000 value itself is reproduced exactly as printed, unchanged.
Balance Sheet / Statement of Changes in Equity are on Vida Bank Limited's own Company (non-consolidated) basis in every year, matching the Cash Flow Statement sheet's basis (see its own ENTITY_NOTE). Profit &amp; Loss is on the Company basis for FY2025/FY2024 only (Vida's own Company Statement of Comprehensive Income exists for those two years); for FY2023/FY2022/FY2021/FY2020/FY2019, the Company took the section 408 Companies Act 2006 exemption and published no separate Company income statement (only a one-line narrative profit/loss-after-tax figure, which ties to the equity ladder's own movement for that year), so the Group/Consolidated income statement is shown instead for those years. FY2018's own Annual Report did present a Company income statement, but it is not used here either, for consistency with every other pre-2024 year's Group-basis figures (see INCOME_STATEMENT_SOURCES for detail) - a genuine basis difference, not forced to a single basis.</t>
        </is>
      </c>
    </row>
  </sheetData>
  <mergeCells count="1">
    <mergeCell ref="A24:I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s>
  <sheetData>
    <row r="1">
      <c r="A1" s="1" t="inlineStr">
        <is>
          <t>Vida Bank Limited — Company Statement of Changes in Equity</t>
        </is>
      </c>
    </row>
    <row r="2">
      <c r="A2" s="2" t="inlineStr">
        <is>
          <t>Company (non-consolidated) basis, £'000. Chronological, oldest to newest.</t>
        </is>
      </c>
    </row>
    <row r="3">
      <c r="A3" s="4" t="inlineStr">
        <is>
          <t>Movement</t>
        </is>
      </c>
      <c r="B3" s="4" t="inlineStr">
        <is>
          <t>Called up share capital</t>
        </is>
      </c>
      <c r="C3" s="4" t="inlineStr">
        <is>
          <t>Retained earnings</t>
        </is>
      </c>
      <c r="D3" s="4" t="inlineStr">
        <is>
          <t>Other reserves</t>
        </is>
      </c>
      <c r="E3" s="4" t="inlineStr">
        <is>
          <t>Total</t>
        </is>
      </c>
    </row>
    <row r="4">
      <c r="A4" s="5" t="inlineStr">
        <is>
          <t>Balance at 1 January 2018</t>
        </is>
      </c>
      <c r="B4" s="5" t="n">
        <v>84860</v>
      </c>
      <c r="C4" s="5" t="n">
        <v>-28014</v>
      </c>
      <c r="D4" s="5" t="n"/>
      <c r="E4" s="5" t="n">
        <v>56846</v>
      </c>
    </row>
    <row r="5">
      <c r="A5" s="6" t="inlineStr">
        <is>
          <t>Share issuance</t>
        </is>
      </c>
      <c r="B5" s="6" t="n">
        <v>44782</v>
      </c>
      <c r="C5" s="6" t="n"/>
      <c r="D5" s="6" t="n"/>
      <c r="E5" s="6" t="n">
        <v>44782</v>
      </c>
    </row>
    <row r="6">
      <c r="A6" s="6" t="inlineStr">
        <is>
          <t>Loss for the year (restated)</t>
        </is>
      </c>
      <c r="B6" s="6" t="n"/>
      <c r="C6" s="6" t="n">
        <v>-1451</v>
      </c>
      <c r="D6" s="6" t="n"/>
      <c r="E6" s="6" t="n">
        <v>-1451</v>
      </c>
    </row>
    <row r="7">
      <c r="A7" s="5" t="inlineStr">
        <is>
          <t>Balance at 31 December 2018</t>
        </is>
      </c>
      <c r="B7" s="5" t="n">
        <v>129642</v>
      </c>
      <c r="C7" s="5" t="n">
        <v>-29464</v>
      </c>
      <c r="D7" s="5" t="n"/>
      <c r="E7" s="5" t="n">
        <v>100177</v>
      </c>
    </row>
    <row r="8">
      <c r="A8" s="6" t="inlineStr">
        <is>
          <t>Adjustment on initial application of IFRS 16</t>
        </is>
      </c>
      <c r="B8" s="6" t="n"/>
      <c r="C8" s="6" t="n">
        <v>-162</v>
      </c>
      <c r="D8" s="6" t="n"/>
      <c r="E8" s="6" t="n">
        <v>-162</v>
      </c>
    </row>
    <row r="9">
      <c r="A9" s="5" t="inlineStr">
        <is>
          <t>Balance at 1 January 2019 (per FY2019 Annual Report - see source note)</t>
        </is>
      </c>
      <c r="B9" s="5" t="n">
        <v>129641</v>
      </c>
      <c r="C9" s="5" t="n">
        <v>-29547</v>
      </c>
      <c r="D9" s="5" t="n"/>
      <c r="E9" s="5" t="n">
        <v>100015</v>
      </c>
    </row>
    <row r="10">
      <c r="A10" s="6" t="inlineStr">
        <is>
          <t>Share issuance</t>
        </is>
      </c>
      <c r="B10" s="6" t="n">
        <v>38671</v>
      </c>
      <c r="C10" s="6" t="n"/>
      <c r="D10" s="6" t="n"/>
      <c r="E10" s="6" t="n">
        <v>38671</v>
      </c>
    </row>
    <row r="11">
      <c r="A11" s="6" t="inlineStr">
        <is>
          <t>Loss for the year</t>
        </is>
      </c>
      <c r="B11" s="6" t="n"/>
      <c r="C11" s="6" t="n">
        <v>-23693</v>
      </c>
      <c r="D11" s="6" t="n"/>
      <c r="E11" s="6" t="n">
        <v>-23693</v>
      </c>
    </row>
    <row r="12">
      <c r="A12" s="5" t="inlineStr">
        <is>
          <t>Balance at 31 December 2019 (per FY2019 Annual Report - see source note)</t>
        </is>
      </c>
      <c r="B12" s="5" t="n">
        <v>168313</v>
      </c>
      <c r="C12" s="5" t="n">
        <v>-53240</v>
      </c>
      <c r="D12" s="5" t="n"/>
      <c r="E12" s="5" t="n">
        <v>114993</v>
      </c>
    </row>
    <row r="13">
      <c r="A13" s="5" t="inlineStr">
        <is>
          <t>Balance at 1 January 2020 (per FY2020 Annual Report - see source note)</t>
        </is>
      </c>
      <c r="B13" s="5" t="n">
        <v>168312</v>
      </c>
      <c r="C13" s="5" t="n">
        <v>-53240</v>
      </c>
      <c r="D13" s="5" t="n"/>
      <c r="E13" s="5" t="n">
        <v>115072</v>
      </c>
    </row>
    <row r="14">
      <c r="A14" s="6" t="inlineStr">
        <is>
          <t>Share issuance</t>
        </is>
      </c>
      <c r="B14" s="6" t="n">
        <v>27850</v>
      </c>
      <c r="C14" s="6" t="n"/>
      <c r="D14" s="6" t="n"/>
      <c r="E14" s="6" t="n">
        <v>27850</v>
      </c>
    </row>
    <row r="15">
      <c r="A15" s="6" t="inlineStr">
        <is>
          <t>Loss for the year</t>
        </is>
      </c>
      <c r="B15" s="6" t="n"/>
      <c r="C15" s="6" t="n">
        <v>-18676</v>
      </c>
      <c r="D15" s="6" t="n"/>
      <c r="E15" s="6" t="n">
        <v>-18676</v>
      </c>
    </row>
    <row r="16">
      <c r="A16" s="5" t="inlineStr">
        <is>
          <t>Balance at 31 December 2020</t>
        </is>
      </c>
      <c r="B16" s="5" t="n">
        <v>196162</v>
      </c>
      <c r="C16" s="5" t="n">
        <v>-71916</v>
      </c>
      <c r="D16" s="5" t="n"/>
      <c r="E16" s="5" t="n">
        <v>124246</v>
      </c>
    </row>
    <row r="17">
      <c r="A17" s="5" t="inlineStr">
        <is>
          <t>Balance at 1 January 2021</t>
        </is>
      </c>
      <c r="B17" s="5" t="n">
        <v>196162</v>
      </c>
      <c r="C17" s="5" t="n">
        <v>-71916</v>
      </c>
      <c r="D17" s="5" t="n"/>
      <c r="E17" s="5" t="n">
        <v>124246</v>
      </c>
    </row>
    <row r="18">
      <c r="A18" s="6" t="inlineStr">
        <is>
          <t>Share issuance</t>
        </is>
      </c>
      <c r="B18" s="6" t="n">
        <v>8300</v>
      </c>
      <c r="C18" s="6" t="n"/>
      <c r="D18" s="6" t="n"/>
      <c r="E18" s="6" t="n">
        <v>8300</v>
      </c>
    </row>
    <row r="19">
      <c r="A19" s="6" t="inlineStr">
        <is>
          <t>Loss for the year</t>
        </is>
      </c>
      <c r="B19" s="6" t="n"/>
      <c r="C19" s="6" t="n">
        <v>-5905</v>
      </c>
      <c r="D19" s="6" t="n"/>
      <c r="E19" s="6" t="n">
        <v>-5905</v>
      </c>
    </row>
    <row r="20">
      <c r="A20" s="5" t="inlineStr">
        <is>
          <t>Balance at 31 December 2021</t>
        </is>
      </c>
      <c r="B20" s="5" t="n">
        <v>204462</v>
      </c>
      <c r="C20" s="5" t="n">
        <v>-77821</v>
      </c>
      <c r="D20" s="5" t="n"/>
      <c r="E20" s="5" t="n">
        <v>126641</v>
      </c>
    </row>
    <row r="21">
      <c r="A21" s="6" t="inlineStr">
        <is>
          <t>Profit for the year</t>
        </is>
      </c>
      <c r="B21" s="6" t="n"/>
      <c r="C21" s="6" t="n">
        <v>4365</v>
      </c>
      <c r="D21" s="6" t="n"/>
      <c r="E21" s="6" t="n">
        <v>4365</v>
      </c>
    </row>
    <row r="22">
      <c r="A22" s="5" t="inlineStr">
        <is>
          <t>Balance at 31 December 2022</t>
        </is>
      </c>
      <c r="B22" s="5" t="n">
        <v>204462</v>
      </c>
      <c r="C22" s="5" t="n">
        <v>-73456</v>
      </c>
      <c r="D22" s="5" t="n"/>
      <c r="E22" s="5" t="n">
        <v>131006</v>
      </c>
    </row>
    <row r="23">
      <c r="A23" s="6" t="inlineStr">
        <is>
          <t>Loss for the year</t>
        </is>
      </c>
      <c r="B23" s="6" t="n"/>
      <c r="C23" s="6" t="n">
        <v>-8937</v>
      </c>
      <c r="D23" s="6" t="n"/>
      <c r="E23" s="6" t="n">
        <v>-8937</v>
      </c>
    </row>
    <row r="24">
      <c r="A24" s="5" t="inlineStr">
        <is>
          <t>Balance at 31 December 2023</t>
        </is>
      </c>
      <c r="B24" s="5" t="n">
        <v>204462</v>
      </c>
      <c r="C24" s="5" t="n">
        <v>-82393</v>
      </c>
      <c r="D24" s="5" t="n"/>
      <c r="E24" s="5" t="n">
        <v>122069</v>
      </c>
    </row>
    <row r="25">
      <c r="A25" s="5" t="inlineStr">
        <is>
          <t>Balance at 1 January 2024 (per FY2024 Annual Report - see source note)</t>
        </is>
      </c>
      <c r="B25" s="5" t="n">
        <v>204463</v>
      </c>
      <c r="C25" s="5" t="n">
        <v>-82393</v>
      </c>
      <c r="D25" s="5" t="n"/>
      <c r="E25" s="5" t="n">
        <v>122070</v>
      </c>
    </row>
    <row r="26">
      <c r="A26" s="6" t="inlineStr">
        <is>
          <t>Profit for the year</t>
        </is>
      </c>
      <c r="B26" s="6" t="n"/>
      <c r="C26" s="6" t="n">
        <v>6434</v>
      </c>
      <c r="D26" s="6" t="n"/>
      <c r="E26" s="6" t="n">
        <v>6434</v>
      </c>
    </row>
    <row r="27">
      <c r="A27" s="6" t="inlineStr">
        <is>
          <t>Share issuance</t>
        </is>
      </c>
      <c r="B27" s="6" t="n">
        <v>36576</v>
      </c>
      <c r="C27" s="6" t="n"/>
      <c r="D27" s="6" t="n"/>
      <c r="E27" s="6" t="n">
        <v>36576</v>
      </c>
    </row>
    <row r="28">
      <c r="A28" s="5" t="inlineStr">
        <is>
          <t>Balance at 31 December 2024</t>
        </is>
      </c>
      <c r="B28" s="5" t="n">
        <v>241039</v>
      </c>
      <c r="C28" s="5" t="n">
        <v>-75959</v>
      </c>
      <c r="D28" s="5" t="n"/>
      <c r="E28" s="5" t="n">
        <v>165080</v>
      </c>
    </row>
    <row r="29">
      <c r="A29" s="6" t="inlineStr">
        <is>
          <t>Profit for the year</t>
        </is>
      </c>
      <c r="B29" s="6" t="n"/>
      <c r="C29" s="6" t="n">
        <v>13097</v>
      </c>
      <c r="D29" s="6" t="n"/>
      <c r="E29" s="6" t="n">
        <v>13097</v>
      </c>
    </row>
    <row r="30">
      <c r="A30" s="6" t="inlineStr">
        <is>
          <t>Deferred tax on Gilts</t>
        </is>
      </c>
      <c r="B30" s="6" t="n"/>
      <c r="C30" s="6" t="n"/>
      <c r="D30" s="6" t="n">
        <v>-98</v>
      </c>
      <c r="E30" s="6" t="n">
        <v>-98</v>
      </c>
    </row>
    <row r="31">
      <c r="A31" s="6" t="inlineStr">
        <is>
          <t>Fair value through OCI reserve</t>
        </is>
      </c>
      <c r="B31" s="6" t="n"/>
      <c r="C31" s="6" t="n"/>
      <c r="D31" s="6" t="n">
        <v>-279</v>
      </c>
      <c r="E31" s="6" t="n">
        <v>-279</v>
      </c>
    </row>
    <row r="32">
      <c r="A32" s="6" t="inlineStr">
        <is>
          <t>Amounts deferred to cash flow hedge reserve, net of tax</t>
        </is>
      </c>
      <c r="B32" s="6" t="n"/>
      <c r="C32" s="6" t="n"/>
      <c r="D32" s="6" t="n">
        <v>-21</v>
      </c>
      <c r="E32" s="6" t="n">
        <v>-21</v>
      </c>
    </row>
    <row r="33">
      <c r="A33" s="6" t="inlineStr">
        <is>
          <t>Share capital reallocation</t>
        </is>
      </c>
      <c r="B33" s="6" t="n">
        <v>-204883</v>
      </c>
      <c r="C33" s="6" t="n">
        <v>204883</v>
      </c>
      <c r="D33" s="6" t="n"/>
      <c r="E33" s="6" t="n">
        <v>0</v>
      </c>
    </row>
    <row r="34">
      <c r="A34" s="5" t="inlineStr">
        <is>
          <t>Balance at 31 December 2025</t>
        </is>
      </c>
      <c r="B34" s="5" t="n">
        <v>36156</v>
      </c>
      <c r="C34" s="5" t="n">
        <v>142021</v>
      </c>
      <c r="D34" s="5" t="n">
        <v>-398</v>
      </c>
      <c r="E34" s="5" t="n">
        <v>177779</v>
      </c>
    </row>
    <row r="36" ht="351" customHeight="1">
      <c r="A36" s="8" t="inlineStr">
        <is>
          <t>Sources - Vida Bank Limited's own Company (non-consolidated) Statement of Changes in Equity, £'000:
FY2021 boundary (1 Jan 2021 opening, FY2021 movements, 31 Dec 2021 closing): Belmont Green Finance Limited Annual Report and Accounts 2021, p.150 - https://www.vidabank.co.uk/media/p3wau0ms/annual-report-and-accounts-2021.pdf
FY2022 boundary: Belmont Green Finance Limited Annual Report and Accounts 2023, p.184 (FY2022 comparative rows) - https://www.vidabank.co.uk/media/zhoj0swe/annual-report-and-accounts-2023.pdf
FY2023 boundary: same document, p.184 - https://www.vidabank.co.uk/media/zhoj0swe/annual-report-and-accounts-2023.pdf
FY2024 boundary: Vida Bank Limited Annual Report and Accounts 2024, p.72 - https://www.vidabank.co.uk/media/emghy4z2/annual-report-and-accounts-2024-company.pdf
FY2025 boundary: Vida Bank Limited Annual Report and Accounts 2025 (Company), p.54 - https://www.vidabank.co.uk/media/pkmnxlqg/annual-report-and-accounts-2025-company.pdf
FY2018 boundary (1 Jan 2018 opening, FY2018 movements, 31 Dec 2018 closing): taken from the FY2019 Annual Report's own restated FY2018 comparative rows (Company Statement of Changes in Equity) - https://find-and-update.company-information.service.gov.uk/company/09837692/filing-history/MzI4NjAzOTYwNWFkaXF6a2N4/document?format=pdf&amp;download=0
FY2019 boundary: same FY2019 Annual Report, Company Statement of Changes in Equity - https://find-and-update.company-information.service.gov.uk/company/09837692/filing-history/MzI4NjAzOTYwNWFkaXF6a2N4/document?format=pdf&amp;download=0
FY2020 boundary: Belmont Green Finance Limited Annual Report and Accounts 2020, Company Statement of Changes in Equity - https://find-and-update.company-information.service.gov.uk/company/09837692/filing-history/MzMwNjUyMjA5MmFkaXF6a2N4/document?format=pdf&amp;download=0
Discrepancy flagged, not forced to tie: the FY2024 Annual Report's own opening balance at 1 January 2024 (share capital 204,463 / total equity 122,070) differs by £1k from the FY2023 Annual Report's own closing balance at 31 December 2023 (share capital 204,462 / total equity 122,069) - a genuine £1k rounding artefact between the two source documents, each reproduced exactly as its own report states. A similar £1k share-capital rounding artefact exists between the FY2020 Annual Report's own opening 1 January 2020 row (share capital 168,312) and the FY2019 Annual Report's own closing 31 December 2019 row (share capital 168,313), again reproduced exactly as each report states.
Larger, unreconciled discrepancy flagged (not forced to tie): the FY2019 Annual Report's own 'Balance as at 1 January 2019' row (129,641 / (29,547) / 100,015) does not internally sum (129,641 - 29,547 = 100,094, not 100,015 as printed) and its own 'At 31 December 2019' row (168,313 / (53,240) / 114,993) likewise differs by £80k from this workbook's own Balance Sheet sheet, which uses the same Annual Report's Company Statement of Financial Position total shareholders' equity of £115,073k for 31 December 2019 - both sets of figures are reproduced exactly as printed on their own source statement rather than corrected or blended.</t>
        </is>
      </c>
    </row>
    <row r="38" ht="260" customHeight="1">
      <c r="A38" s="8" t="inlineStr">
        <is>
          <t>(continued)
The FY2025 Statement of Changes in Equity's own "Total comprehensive income" subtotal row is omitted from this ladder: it prints running balances (not that year's movement) in its Retained earnings and Total columns - see the Profit &amp; Loss sheet's own source note for the same issue on that sheet. Every individual movement row above it (Profit for the year, Deferred tax on Gilts, Fair value through OCI reserve, Amounts deferred to cash flow hedge reserve) is reproduced in full and the ladder ties exactly without it.
Balance Sheet / Statement of Changes in Equity are on Vida Bank Limited's own Company (non-consolidated) basis in every year, matching the Cash Flow Statement sheet's basis (see its own ENTITY_NOTE). Profit &amp; Loss is on the Company basis for FY2025/FY2024 only (Vida's own Company Statement of Comprehensive Income exists for those two years); for FY2023/FY2022/FY2021/FY2020/FY2019, the Company took the section 408 Companies Act 2006 exemption and published no separate Company income statement (only a one-line narrative profit/loss-after-tax figure, which ties to the equity ladder's own movement for that year), so the Group/Consolidated income statement is shown instead for those years. FY2018's own Annual Report did present a Company income statement, but it is not used here either, for consistency with every other pre-2024 year's Group-basis figures (see INCOME_STATEMENT_SOURCES for detail) - a genuine basis difference, not forced to a single basis.</t>
        </is>
      </c>
    </row>
  </sheetData>
  <mergeCells count="2">
    <mergeCell ref="A36:E36"/>
    <mergeCell ref="A38:E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Company Cash Flow Statement</t>
        </is>
      </c>
    </row>
    <row r="2">
      <c r="A2" s="2" t="inlineStr">
        <is>
          <t>Company (non-consolidated) basis, £'000. Every year FY2018-FY2025 is populated; see the source note for FY2022's own two documented divergences and the FY2018 restatement.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Operating activities</t>
        </is>
      </c>
      <c r="B4" s="6" t="n"/>
      <c r="C4" s="6" t="n"/>
      <c r="D4" s="6" t="n"/>
      <c r="E4" s="6" t="n"/>
      <c r="F4" s="6" t="n"/>
      <c r="G4" s="6" t="n"/>
      <c r="H4" s="6" t="n"/>
      <c r="I4" s="6" t="n"/>
    </row>
    <row r="5">
      <c r="A5" s="5" t="inlineStr">
        <is>
          <t>Net cash flows from/(used in) operating activities</t>
        </is>
      </c>
      <c r="B5" s="5" t="n">
        <v>1766849</v>
      </c>
      <c r="C5" s="5" t="n">
        <v>70662</v>
      </c>
      <c r="D5" s="5" t="n">
        <v>65493</v>
      </c>
      <c r="E5" s="5" t="n">
        <v>35347</v>
      </c>
      <c r="F5" s="5" t="n">
        <v>-179449</v>
      </c>
      <c r="G5" s="5" t="n">
        <v>-47723</v>
      </c>
      <c r="H5" s="5" t="n">
        <v>-423882</v>
      </c>
      <c r="I5" s="5" t="n">
        <v>-763195</v>
      </c>
    </row>
    <row r="6">
      <c r="A6" s="5" t="inlineStr">
        <is>
          <t>Investing activities</t>
        </is>
      </c>
      <c r="B6" s="6" t="n"/>
      <c r="C6" s="6" t="n"/>
      <c r="D6" s="6" t="n"/>
      <c r="E6" s="6" t="n"/>
      <c r="F6" s="6" t="n"/>
      <c r="G6" s="6" t="n"/>
      <c r="H6" s="6" t="n"/>
      <c r="I6" s="6" t="n"/>
    </row>
    <row r="7">
      <c r="A7" s="6" t="inlineStr">
        <is>
          <t>Purchase of property, plant and equipment</t>
        </is>
      </c>
      <c r="B7" s="6" t="n">
        <v>-92</v>
      </c>
      <c r="C7" s="6" t="n">
        <v>-57</v>
      </c>
      <c r="D7" s="6" t="n">
        <v>-24</v>
      </c>
      <c r="E7" s="6" t="n">
        <v>-131</v>
      </c>
      <c r="F7" s="6" t="n">
        <v>-190</v>
      </c>
      <c r="G7" s="6" t="n">
        <v>-119</v>
      </c>
      <c r="H7" s="6" t="n">
        <v>-4537</v>
      </c>
      <c r="I7" s="6" t="n">
        <v>-1319</v>
      </c>
    </row>
    <row r="8">
      <c r="A8" s="6" t="inlineStr">
        <is>
          <t>Expenditure on software development</t>
        </is>
      </c>
      <c r="B8" s="6" t="n">
        <v>-12</v>
      </c>
      <c r="C8" s="6" t="n">
        <v>-351</v>
      </c>
      <c r="D8" s="6" t="n">
        <v>-674</v>
      </c>
      <c r="E8" s="6" t="n">
        <v>-1040</v>
      </c>
      <c r="F8" s="6" t="n">
        <v>-1567</v>
      </c>
      <c r="G8" s="6" t="n">
        <v>-994</v>
      </c>
      <c r="H8" s="6" t="n">
        <v>-311</v>
      </c>
      <c r="I8" s="6" t="n">
        <v>0</v>
      </c>
    </row>
    <row r="9">
      <c r="A9" s="5" t="inlineStr">
        <is>
          <t>Net cash flows from/(used in) investing activities</t>
        </is>
      </c>
      <c r="B9" s="5" t="n">
        <v>-104</v>
      </c>
      <c r="C9" s="5" t="n">
        <v>-408</v>
      </c>
      <c r="D9" s="5" t="n">
        <v>-698</v>
      </c>
      <c r="E9" s="5" t="n">
        <v>-1171</v>
      </c>
      <c r="F9" s="5" t="n">
        <v>-1757</v>
      </c>
      <c r="G9" s="5" t="n">
        <v>-1113</v>
      </c>
      <c r="H9" s="5" t="n">
        <v>-4848</v>
      </c>
      <c r="I9" s="5" t="n">
        <v>-1319</v>
      </c>
    </row>
    <row r="10">
      <c r="A10" s="5" t="inlineStr">
        <is>
          <t>Financing activities</t>
        </is>
      </c>
      <c r="B10" s="6" t="n"/>
      <c r="C10" s="6" t="n"/>
      <c r="D10" s="6" t="n"/>
      <c r="E10" s="6" t="n"/>
      <c r="F10" s="6" t="n"/>
      <c r="G10" s="6" t="n"/>
      <c r="H10" s="6" t="n"/>
      <c r="I10" s="6" t="n"/>
    </row>
    <row r="11">
      <c r="A11" s="6" t="inlineStr">
        <is>
          <t>Proceeds from shares issued</t>
        </is>
      </c>
      <c r="B11" s="6" t="n"/>
      <c r="C11" s="6" t="n"/>
      <c r="D11" s="6" t="n"/>
      <c r="E11" s="6" t="inlineStr">
        <is>
          <t>-</t>
        </is>
      </c>
      <c r="F11" s="6" t="n">
        <v>8300</v>
      </c>
      <c r="G11" s="6" t="n">
        <v>27850</v>
      </c>
      <c r="H11" s="6" t="n">
        <v>38671</v>
      </c>
      <c r="I11" s="6" t="n">
        <v>44782</v>
      </c>
    </row>
    <row r="12">
      <c r="A12" s="6" t="inlineStr">
        <is>
          <t>Movement of deemed loans due to Group undertakings</t>
        </is>
      </c>
      <c r="B12" s="6" t="n">
        <v>-904243</v>
      </c>
      <c r="C12" s="6" t="n">
        <v>115457</v>
      </c>
      <c r="D12" s="6" t="n">
        <v>-62096</v>
      </c>
      <c r="E12" s="6" t="n">
        <v>-31392</v>
      </c>
      <c r="F12" s="6" t="n">
        <v>169705</v>
      </c>
      <c r="G12" s="6" t="n">
        <v>36209</v>
      </c>
      <c r="H12" s="6" t="n">
        <v>392814</v>
      </c>
      <c r="I12" s="6" t="n">
        <v>723148</v>
      </c>
    </row>
    <row r="13">
      <c r="A13" s="6" t="inlineStr">
        <is>
          <t>Loan to/from subsidiary undertakings</t>
        </is>
      </c>
      <c r="B13" s="6" t="n"/>
      <c r="C13" s="6" t="n"/>
      <c r="D13" s="6" t="n"/>
      <c r="E13" s="6" t="n"/>
      <c r="F13" s="6" t="n"/>
      <c r="G13" s="6" t="n"/>
      <c r="H13" s="6" t="n">
        <v>-4356</v>
      </c>
      <c r="I13" s="6" t="n">
        <v>-5804</v>
      </c>
    </row>
    <row r="14">
      <c r="A14" s="6" t="inlineStr">
        <is>
          <t>Repayment of loans</t>
        </is>
      </c>
      <c r="B14" s="6" t="n"/>
      <c r="C14" s="6" t="n">
        <v>-25000</v>
      </c>
      <c r="D14" s="6" t="n"/>
      <c r="E14" s="6" t="n"/>
      <c r="F14" s="6" t="n"/>
      <c r="G14" s="6" t="n"/>
      <c r="H14" s="6" t="n"/>
      <c r="I14" s="6" t="n"/>
    </row>
    <row r="15">
      <c r="A15" s="6" t="inlineStr">
        <is>
          <t>Issuance of Tier 2 subordinated liabilities</t>
        </is>
      </c>
      <c r="B15" s="6" t="n">
        <v>35000</v>
      </c>
      <c r="C15" s="6" t="n"/>
      <c r="D15" s="6" t="n"/>
      <c r="E15" s="6" t="n"/>
      <c r="F15" s="6" t="n"/>
      <c r="G15" s="6" t="n"/>
      <c r="H15" s="6" t="n"/>
      <c r="I15" s="6" t="n"/>
    </row>
    <row r="16">
      <c r="A16" s="6" t="inlineStr">
        <is>
          <t>Repayment of lease liabilities</t>
        </is>
      </c>
      <c r="B16" s="6" t="n">
        <v>-479</v>
      </c>
      <c r="C16" s="6" t="n">
        <v>-225</v>
      </c>
      <c r="D16" s="6" t="n">
        <v>-446</v>
      </c>
      <c r="E16" s="6" t="n">
        <v>-1365</v>
      </c>
      <c r="F16" s="6" t="n">
        <v>-1407</v>
      </c>
      <c r="G16" s="6" t="n">
        <v>-1194</v>
      </c>
      <c r="H16" s="6" t="n"/>
      <c r="I16" s="6" t="n"/>
    </row>
    <row r="17">
      <c r="A17" s="6" t="inlineStr">
        <is>
          <t>Movement in debt securities</t>
        </is>
      </c>
      <c r="B17" s="6" t="n">
        <v>-785634</v>
      </c>
      <c r="C17" s="6" t="n">
        <v>-34135</v>
      </c>
      <c r="D17" s="6" t="n"/>
      <c r="E17" s="6" t="n"/>
      <c r="F17" s="6" t="n"/>
      <c r="G17" s="6" t="n"/>
      <c r="H17" s="6" t="n"/>
      <c r="I17" s="6" t="n"/>
    </row>
    <row r="18">
      <c r="A18" s="6" t="inlineStr">
        <is>
          <t>Other movements</t>
        </is>
      </c>
      <c r="B18" s="6" t="n">
        <v>0</v>
      </c>
      <c r="C18" s="6" t="n">
        <v>-27</v>
      </c>
      <c r="D18" s="6" t="n">
        <v>-12</v>
      </c>
      <c r="E18" s="6" t="n"/>
      <c r="F18" s="6" t="n"/>
      <c r="G18" s="6" t="n"/>
      <c r="H18" s="6" t="n"/>
      <c r="I18" s="6" t="n"/>
    </row>
    <row r="19">
      <c r="A19" s="5" t="inlineStr">
        <is>
          <t>Net cash flows (used in)/generated from financing activities</t>
        </is>
      </c>
      <c r="B19" s="5" t="n">
        <v>-1655356</v>
      </c>
      <c r="C19" s="5" t="n">
        <v>56070</v>
      </c>
      <c r="D19" s="5" t="n">
        <v>-62554</v>
      </c>
      <c r="E19" s="5" t="n">
        <v>-32755</v>
      </c>
      <c r="F19" s="5" t="n">
        <v>176598</v>
      </c>
      <c r="G19" s="5" t="n">
        <v>62865</v>
      </c>
      <c r="H19" s="5" t="n">
        <v>427129</v>
      </c>
      <c r="I19" s="5" t="n">
        <v>762126</v>
      </c>
    </row>
    <row r="20">
      <c r="A20" s="5" t="inlineStr">
        <is>
          <t>Net increase/(decrease) in cash and cash equivalents</t>
        </is>
      </c>
      <c r="B20" s="5" t="n">
        <v>111389</v>
      </c>
      <c r="C20" s="5" t="n">
        <v>126324</v>
      </c>
      <c r="D20" s="5" t="n">
        <v>2241</v>
      </c>
      <c r="E20" s="5" t="n">
        <v>1419</v>
      </c>
      <c r="F20" s="5" t="n">
        <v>-4608</v>
      </c>
      <c r="G20" s="5" t="n">
        <v>14029</v>
      </c>
      <c r="H20" s="5" t="n">
        <v>-1601</v>
      </c>
      <c r="I20" s="5" t="n">
        <v>-2389</v>
      </c>
    </row>
    <row r="21">
      <c r="A21" s="6" t="inlineStr">
        <is>
          <t>Cash and cash equivalents at the beginning of the year</t>
        </is>
      </c>
      <c r="B21" s="6" t="n">
        <v>143485</v>
      </c>
      <c r="C21" s="6" t="n">
        <v>17161</v>
      </c>
      <c r="D21" s="6" t="n">
        <v>14920</v>
      </c>
      <c r="E21" s="6" t="n">
        <v>13500</v>
      </c>
      <c r="F21" s="6" t="n">
        <v>18108</v>
      </c>
      <c r="G21" s="6" t="n">
        <v>4079</v>
      </c>
      <c r="H21" s="6" t="n">
        <v>5680</v>
      </c>
      <c r="I21" s="6" t="n">
        <v>8069</v>
      </c>
    </row>
    <row r="22">
      <c r="A22" s="5" t="inlineStr">
        <is>
          <t>Cash and cash equivalents at the end of the year</t>
        </is>
      </c>
      <c r="B22" s="5" t="n">
        <v>254874</v>
      </c>
      <c r="C22" s="5" t="n">
        <v>143485</v>
      </c>
      <c r="D22" s="5" t="n">
        <v>17161</v>
      </c>
      <c r="E22" s="5" t="n">
        <v>14919</v>
      </c>
      <c r="F22" s="5" t="n">
        <v>13500</v>
      </c>
      <c r="G22" s="5" t="n">
        <v>18108</v>
      </c>
      <c r="H22" s="5" t="n">
        <v>4079</v>
      </c>
      <c r="I22" s="5" t="n">
        <v>5680</v>
      </c>
    </row>
    <row r="24" ht="325" customHeight="1">
      <c r="A24" s="8" t="inlineStr">
        <is>
          <t>Sources - all figures are Vida Bank Limited's own Company (non-consolidated) cash flow statement, £'000:
FY2025: Vida Bank Limited Annual Report and Accounts 2025 (Company), p.55 (Statement of Cash Flows) - https://www.vidabank.co.uk/media/pkmnxlqg/annual-report-and-accounts-2025-company.pdf
FY2024: Vida Bank Limited Annual Report and Accounts 2024 (Company), p.73 (Statement of Cash Flows) - https://www.vidabank.co.uk/media/emghy4z2/annual-report-and-accounts-2024-company.pdf
FY2023: taken from Vida Bank Limited's FY2024 Annual Report's own FY2023 comparative column (p.73, same document as above) - Belmont Green Finance Limited's own FY2023 Annual Report does not present a comparable Company-basis statement (see ENTITY_NOTE/FY2022_FOUND_NOTE).
FY2022: Belmont Green Finance Limited Annual Report and Accounts 2022, printed p.161 / PDF p.161 (the Company cash flow statement, printed under the running head 'Notes to the Company Financial Statements (continued)'; the operating-activities reconciliation behind it is Note 34 on printed p.164) - https://find-and-update.company-information.service.gov.uk/company/09837692/filing-history/MzM4Nzk2MDY5OWFkaXF6a2N4/document?format=pdf&amp;download=0 (Companies House copy, image-only scan, read by OCR and confirmed against a 300 dpi page render - see FY2022_FOUND_NOTE).
FY2021: Belmont Green Finance Limited (Vida) Annual Report and Accounts 2021, p.150 (Company Statement of Cash Flows) - https://www.vidabank.co.uk/media/p3wau0ms/annual-report-and-accounts-2021.pdf
FY2020: Belmont Green Finance Limited Annual Report and Accounts 2020 (Company Statement of Cash Flows) - https://find-and-update.company-information.service.gov.uk/company/09837692/filing-history/MzMwNjUyMjA5MmFkaXF6a2N4/document?format=pdf&amp;download=0
FY2019: Belmont Green Finance Limited Annual Report and Accounts 2019 (Company Statement of Cash Flows, Note 35-37 breakdown) - https://find-and-update.company-information.service.gov.uk/company/09837692/filing-history/MzI4NjAzOTYwNWFkaXF6a2N4/document?format=pdf&amp;download=0
FY2018: taken from the FY2019 Annual Report's own restated FY2018 comparative column (same document/notes as above) - see FY2018_RESTATEMENT_NOTE for why the restated figures are used in place of Belmont Green's originally-filed FY2018 Annual Report (https://find-and-update.company-information.service.gov.uk/company/09837692/filing-history/MzIzMzYzMjc1OWFkaXF6a2N4/document?format=pdf&amp;download=0).
ENTITY NOTE: the company (FRN 738741, Companies House 09837692) was named 'Belmont Green Finance Limited' (trading as Vida / Vida Homeloans) through its FY2023 Annual Report, and was renamed 'Vida Bank Limited' after receiving its PRA banking licence on 19 November 2024. This workbook uses 'Vida Bank Limited' throughout since that is its current name. Pre-authorisation (FY2018-FY2023), the business was funded mainly through mortgage securitisation (numerous 'Tower Bridge Funding' special-purpose vehicles) and warehouse facilities rather than retail deposits; the FY2023 Annual Report's own commentary describes the business as still 'preparing for the banking licence'. FY2018-FY2020 the company was regulated only by the FCA (mortgage lending/administration permissions) - not the PRA - and had no banking licence and no deposit-taking business at all; its own FY2019 and FY2020 Annual Reports both still describe the banking licence application as in progress/delayed. Cash flow figures below are on the Company's own (non-consolidated/solo) basis in every populated year - this is the only basis for which a full three-part cash flow statement (operating/investing/financing) could be found in every report; the Consolidated (Group) statement of financial position was reported each year from FY2019 onwards. (CORRECTED 2026-09-18: this note previously said the FY2022 AND FY2023 Annual Reports print only a partial Group operating-activities reconciliation and no full Group cash flow statement. That is true of the FY2023 report; it is NOT true of the FY2022 report, which prints a full three-part CONSOLIDATED Statement of Cash Flows on printed p.117 AND a full three-part COMPANY statement on printed p.161. The claim had been generalised from the one report that was actually opened - see FY2022_FOUND_NOTE.) FY2018's own Annual Report only presented Company-only financial statements (no Group/consolidated accounts were filed for FY2018); Group consolidated accounts for Belmont Green Finance Limited first appear in the FY2019 Annual Report, which also restates FY2018's Company-basis Balance Sheet, Cash Flow Statement and Statement of Changes in Equity figures - see FY2018_RESTATEMENT_NOTE below for why this workbook uses those restated figures rather than the originally-filed FY2018 Annual Report's own (much smaller) figures.</t>
        </is>
      </c>
    </row>
    <row r="26" ht="325" customHeight="1">
      <c r="A26" s="8" t="inlineStr">
        <is>
          <t>(continued)
FY2022 (FILLED 2026-09-18 - IT WAS NEVER A GAP IN THE DISCLOSURE, ONLY IN OUR READING). This sheet previously carried a note saying 'neither the FY2022 nor FY2023 Annual Report presents a full three-part Company cash flow statement for FY2022', with the FY2023 report cited as the document checked. Only the FY2023 report had in fact been checked. Belmont Green Finance Limited's OWN FY2022 Annual Report prints a complete three-part Company cash flow statement - operating, investing and financing, with opening and closing cash - on printed p.161, presented under the running head 'Notes to the Company Financial Statements (continued)' rather than under a title of its own, which is why a heading search for 'Company Statement of Cash Flows' finds nothing in it. (The same report also prints a full CONSOLIDATED Statement of Cash Flows on printed p.117, so the Group-basis claim was wrong for FY2022 too.) The reason it had not been read is a sourcing one, not a disclosure one: vidabank.co.uk's media library carries the 2021, 2023, 2024 and 2025 reports but not 2022, and the Companies House copy (https://find-and-update.company-information.service.gov.uk/company/09837692/filing-history/MzM4Nzk2MDY5OWFkaXF6a2N4/document?format=pdf&amp;download=0) is an image-only scan with a zero-character text layer, so any text search of it returns nothing regardless of content. It was read by OCRing all 164 pages and then confirming the figures against a 300 dpi render of p.161 itself.
BASIS: Company (non-consolidated), identical to every other populated year here. The same page's 2021 comparative column reproduces this workbook's existing FY2021 column cell for cell (operating (179,449); PPE (190); software (1,567); investing (1,757); shares issued 8,300; deemed loans 169,705; leases (1,407); financing 176,598; net (4,608); opening 18,108; closing 13,500), which confirms both the basis and the transcription.
TWO DIVERGENCES ARE REPRODUCED RATHER THAN RECONCILED, both verified on the page image:
(1) The Bank's own FY2022 financing subtotal does not foot. Its three financing lines are nil, (31,392) and (1,365), which sum to (32,757), but the printed 'Net cash (utilised)/generated by financing activities' reads (32,755) - a £2k break in the BANK's own arithmetic. The printed (32,755) is the odd figure out: the printed net increase of 1,419 equals 35,347 - 1,171 - 32,757 and ties exactly to the printed cash balances (13,500 -&gt; 14,919), whereas the printed subtotal would give 1,421. Both the components and the subtotal are transcribed exactly as printed; nothing has been adjusted to make the column foot.
(2) 'Proceeds from shares issued' is printed as a DASH for FY2022 and is carried here as a literal '-'. A dash is the Bank stating nil, which is a different statement from a blank cell (no such line) and from a typed zero; it is kept as printed. The workbook's block-reconciliation check still reads the column and reports divergence (1) as a financing-block break of exactly £2k (-32,757 summed vs -32,755 printed), which is the intended outcome: the disagreement is the Bank's, and it stays visible.
FY2022/FY2023 BOUNDARY: FY2022's own report closes cash at 14,919 while the FY2023 column (taken from the FY2024 report's comparative) opens at 14,920 - a £1k cross-edition difference, left as each edition printed it. The FY2022 Annual Report's own Company loss of £(25,453)k was also later restated; this workbook's Statement of Changes in Equity already carries the restated FY2022 figures from the FY2023 report and documents that boundary separately. The cash flow column here is FY2022's own edition throughout.
FY2018 RESTATEMENT NOTE: Belmont Green Finance Limited's own, originally-filed FY2018 Annual Report (https://find-and-update.company-information.service.gov.uk/company/09837692/filing-history/MzIzMzYzMjc1OWFkaXF6a2N4/document?format=pdf&amp;download=0) reported total Company assets of only £132,973k, Loans to customers of just £450k (almost all mortgage exposure sat in warehouse/securitisation special-purpose vehicles, recognised via 'Other receivables' subordinated loan notes rather than on the Company's own balance sheet), and a full three-part Company cash flow statement with operating activities of £(45,851)k / financing activities of £44,782k. The subsequent FY2019 Annual Report's Note 28(d) explains that this presentation was reassessed: 'following a thorough analysis and in accordance with IFRS9, it has been established that BGFL retains substantial risks and rewards' of the securitised mortgage assets, so the FY2019 Annual Report's own restated FY2018 comparative brings the securitised loan book onto the Company's balance sheet (Loans to customers restated to £1,197,862k) with an offsetting 'Deemed loan due to Group undertakings' liability, and correspondingly grosses up the FY2018 Company cash flow statement's operating and financing activities (to £(763,195)k and £762,125k respectively) with no change to the net cash movement or cash balances. This workbook uses the FY2019 Annual Report's restated FY2018 figures throughout the Balance Sheet, Cash Flow Statement and Statement of Changes in Equity sheets, for consistency with FY2019 onwards' presentation (which uses the same 'Deemed loan due to Group undertakings' convention) - not the originally-filed FY2018 Annual Report's figures, which are noted here for transparency rather than blended in.</t>
        </is>
      </c>
    </row>
  </sheetData>
  <mergeCells count="2">
    <mergeCell ref="A26:I26"/>
    <mergeCell ref="A24:I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Asset Quality</t>
        </is>
      </c>
    </row>
    <row r="2">
      <c r="A2" s="2" t="inlineStr">
        <is>
          <t>Group/Consolidated basis (see source note),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Gross loans to customers by IFRS 9 stage</t>
        </is>
      </c>
      <c r="B4" s="6" t="n"/>
      <c r="C4" s="6" t="n"/>
      <c r="D4" s="6" t="n"/>
      <c r="E4" s="6" t="n"/>
      <c r="F4" s="6" t="n"/>
      <c r="G4" s="6" t="n"/>
      <c r="H4" s="6" t="n"/>
      <c r="I4" s="6" t="n"/>
    </row>
    <row r="5">
      <c r="A5" s="6" t="inlineStr">
        <is>
          <t>Stage 1 (performing)</t>
        </is>
      </c>
      <c r="B5" s="6" t="n">
        <v>1915462</v>
      </c>
      <c r="C5" s="6" t="n">
        <v>1463371</v>
      </c>
      <c r="D5" s="6" t="n">
        <v>1254493</v>
      </c>
      <c r="E5" s="6" t="n">
        <v>1041635</v>
      </c>
      <c r="F5" s="6" t="n">
        <v>1124656</v>
      </c>
      <c r="G5" s="6" t="n">
        <v>1150485</v>
      </c>
      <c r="H5" s="6" t="n">
        <v>1411656</v>
      </c>
      <c r="I5" s="6" t="n">
        <v>1080264</v>
      </c>
    </row>
    <row r="6">
      <c r="A6" s="6" t="inlineStr">
        <is>
          <t>Stage 2 (underperforming)</t>
        </is>
      </c>
      <c r="B6" s="6" t="n">
        <v>321347</v>
      </c>
      <c r="C6" s="6" t="n">
        <v>330053</v>
      </c>
      <c r="D6" s="6" t="n">
        <v>392712</v>
      </c>
      <c r="E6" s="6" t="n">
        <v>662983</v>
      </c>
      <c r="F6" s="6" t="n">
        <v>643597</v>
      </c>
      <c r="G6" s="6" t="n">
        <v>455349</v>
      </c>
      <c r="H6" s="6" t="n">
        <v>184957</v>
      </c>
      <c r="I6" s="6" t="n">
        <v>109901</v>
      </c>
    </row>
    <row r="7">
      <c r="A7" s="6" t="inlineStr">
        <is>
          <t>Stage 3 (non-performing)</t>
        </is>
      </c>
      <c r="B7" s="6" t="n">
        <v>65403</v>
      </c>
      <c r="C7" s="6" t="n">
        <v>63782</v>
      </c>
      <c r="D7" s="6" t="n">
        <v>51849</v>
      </c>
      <c r="E7" s="6" t="n">
        <v>45129</v>
      </c>
      <c r="F7" s="6" t="n">
        <v>44090</v>
      </c>
      <c r="G7" s="6" t="n">
        <v>35694</v>
      </c>
      <c r="H7" s="6" t="n">
        <v>7654</v>
      </c>
      <c r="I7" s="6" t="n">
        <v>2354</v>
      </c>
    </row>
    <row r="8">
      <c r="A8" s="5" t="inlineStr">
        <is>
          <t>Total gross loans to customers</t>
        </is>
      </c>
      <c r="B8" s="5" t="n">
        <v>2302212</v>
      </c>
      <c r="C8" s="5" t="n">
        <v>1857206</v>
      </c>
      <c r="D8" s="5" t="n">
        <v>1699054</v>
      </c>
      <c r="E8" s="5" t="n">
        <v>1749747</v>
      </c>
      <c r="F8" s="5" t="n">
        <v>1812343</v>
      </c>
      <c r="G8" s="5" t="n">
        <v>1641528</v>
      </c>
      <c r="H8" s="5" t="n">
        <v>1604267</v>
      </c>
      <c r="I8" s="5" t="n">
        <v>1192519</v>
      </c>
    </row>
    <row r="9">
      <c r="A9" s="5" t="inlineStr">
        <is>
          <t>Impairment provision (ECL) by IFRS 9 stage</t>
        </is>
      </c>
      <c r="B9" s="6" t="n"/>
      <c r="C9" s="6" t="n"/>
      <c r="D9" s="6" t="n"/>
      <c r="E9" s="6" t="n"/>
      <c r="F9" s="6" t="n"/>
      <c r="G9" s="6" t="n"/>
      <c r="H9" s="6" t="n"/>
      <c r="I9" s="6" t="n"/>
    </row>
    <row r="10">
      <c r="A10" s="6" t="inlineStr">
        <is>
          <t>Stage 1 provision</t>
        </is>
      </c>
      <c r="B10" s="6" t="n">
        <v>1671</v>
      </c>
      <c r="C10" s="6" t="n">
        <v>1053</v>
      </c>
      <c r="D10" s="6" t="n">
        <v>1105</v>
      </c>
      <c r="E10" s="6" t="n">
        <v>647</v>
      </c>
      <c r="F10" s="6" t="n">
        <v>1217</v>
      </c>
      <c r="G10" s="6" t="n">
        <v>898</v>
      </c>
      <c r="H10" s="6" t="n">
        <v>661</v>
      </c>
      <c r="I10" s="6" t="n">
        <v>549</v>
      </c>
    </row>
    <row r="11">
      <c r="A11" s="6" t="inlineStr">
        <is>
          <t>Stage 2 provision</t>
        </is>
      </c>
      <c r="B11" s="6" t="n">
        <v>1555</v>
      </c>
      <c r="C11" s="6" t="n">
        <v>1341</v>
      </c>
      <c r="D11" s="6" t="n">
        <v>1885</v>
      </c>
      <c r="E11" s="6" t="n">
        <v>3443</v>
      </c>
      <c r="F11" s="6" t="n">
        <v>3889</v>
      </c>
      <c r="G11" s="6" t="n">
        <v>3834</v>
      </c>
      <c r="H11" s="6" t="n">
        <v>1550</v>
      </c>
      <c r="I11" s="6" t="n">
        <v>966</v>
      </c>
    </row>
    <row r="12">
      <c r="A12" s="6" t="inlineStr">
        <is>
          <t>Stage 3 provision</t>
        </is>
      </c>
      <c r="B12" s="6" t="n">
        <v>3865</v>
      </c>
      <c r="C12" s="6" t="n">
        <v>2480</v>
      </c>
      <c r="D12" s="6" t="n">
        <v>2599</v>
      </c>
      <c r="E12" s="6" t="n">
        <v>1835</v>
      </c>
      <c r="F12" s="6" t="n">
        <v>2541</v>
      </c>
      <c r="G12" s="6" t="n">
        <v>2739</v>
      </c>
      <c r="H12" s="6" t="n">
        <v>1889</v>
      </c>
      <c r="I12" s="6" t="n">
        <v>183</v>
      </c>
    </row>
    <row r="13">
      <c r="A13" s="5" t="inlineStr">
        <is>
          <t>Total impairment provision</t>
        </is>
      </c>
      <c r="B13" s="5" t="n">
        <v>7091</v>
      </c>
      <c r="C13" s="5" t="n">
        <v>4874</v>
      </c>
      <c r="D13" s="5" t="n">
        <v>5589</v>
      </c>
      <c r="E13" s="5" t="n">
        <v>5925</v>
      </c>
      <c r="F13" s="5" t="n">
        <v>7647</v>
      </c>
      <c r="G13" s="5" t="n">
        <v>7471</v>
      </c>
      <c r="H13" s="5" t="n">
        <v>4100</v>
      </c>
      <c r="I13" s="5" t="n">
        <v>1698</v>
      </c>
    </row>
    <row r="14">
      <c r="A14" s="5" t="inlineStr">
        <is>
          <t>Derived ratios</t>
        </is>
      </c>
      <c r="B14" s="6" t="n"/>
      <c r="C14" s="6" t="n"/>
      <c r="D14" s="6" t="n"/>
      <c r="E14" s="6" t="n"/>
      <c r="F14" s="6" t="n"/>
      <c r="G14" s="6" t="n"/>
      <c r="H14" s="6" t="n"/>
      <c r="I14" s="6" t="n"/>
    </row>
    <row r="15">
      <c r="A15" s="6" t="inlineStr">
        <is>
          <t>NPL ratio (Stage 3 / Total gross loans)</t>
        </is>
      </c>
      <c r="B15" s="6" t="inlineStr">
        <is>
          <t>2.84%</t>
        </is>
      </c>
      <c r="C15" s="6" t="inlineStr">
        <is>
          <t>3.43%</t>
        </is>
      </c>
      <c r="D15" s="6" t="inlineStr">
        <is>
          <t>3.05%</t>
        </is>
      </c>
      <c r="E15" s="6" t="inlineStr">
        <is>
          <t>2.58%</t>
        </is>
      </c>
      <c r="F15" s="6" t="inlineStr">
        <is>
          <t>2.43%</t>
        </is>
      </c>
      <c r="G15" s="6" t="inlineStr">
        <is>
          <t>2.17%</t>
        </is>
      </c>
      <c r="H15" s="6" t="inlineStr">
        <is>
          <t>0.48%</t>
        </is>
      </c>
      <c r="I15" s="6" t="inlineStr">
        <is>
          <t>0.20%</t>
        </is>
      </c>
    </row>
    <row r="16">
      <c r="A16" s="6" t="inlineStr">
        <is>
          <t>Stage 3 coverage ratio (Stage 3 provision / Stage 3 gross)</t>
        </is>
      </c>
      <c r="B16" s="6" t="inlineStr">
        <is>
          <t>5.91%</t>
        </is>
      </c>
      <c r="C16" s="6" t="inlineStr">
        <is>
          <t>3.89%</t>
        </is>
      </c>
      <c r="D16" s="6" t="inlineStr">
        <is>
          <t>5.01%</t>
        </is>
      </c>
      <c r="E16" s="6" t="inlineStr">
        <is>
          <t>4.07%</t>
        </is>
      </c>
      <c r="F16" s="6" t="inlineStr">
        <is>
          <t>5.77%</t>
        </is>
      </c>
      <c r="G16" s="6" t="inlineStr">
        <is>
          <t>7.67%</t>
        </is>
      </c>
      <c r="H16" s="6" t="inlineStr">
        <is>
          <t>24.68%</t>
        </is>
      </c>
      <c r="I16" s="6" t="inlineStr">
        <is>
          <t>7.77%</t>
        </is>
      </c>
    </row>
    <row r="18" ht="200" customHeight="1">
      <c r="A18" s="8" t="inlineStr">
        <is>
          <t>Sources - Vida Bank Limited's own IFRS 9 stage disclosure (Note 13/14, "Expected credit losses"), £'000, on a Group/Consolidated basis (the only basis at which this note is disclosed in every source document; gross/net loan totals below therefore don't tie exactly to the Balance Sheet sheet's Company-basis "Loans to customers" line - a genuine basis difference, documented not blended):
FY2025/FY2024: Vida Bank Limited Annual Report and Accounts 2025, p.79-81 (Note 14, Expected credit losses) - https://www.vidabank.co.uk/media/pkmnxlqg/annual-report-and-accounts-2025-company.pdf
FY2023/FY2022: Belmont Green Finance Limited Annual Report and Accounts 2023, p.168-169 (Note 14, Expected credit losses) - https://www.vidabank.co.uk/media/zhoj0swe/annual-report-and-accounts-2023.pdf
FY2021: Belmont Green Finance Limited Annual Report and Accounts 2021, p.132-133 (Note 13, Expected credit losses) - https://www.vidabank.co.uk/media/p3wau0ms/annual-report-and-accounts-2021.pdf
FY2020/FY2019: Belmont Green Finance Limited Annual Report and Accounts 2020, Note 13 (Expected credit losses) and Note 23 (Risk management - loans to customers by IFRS 9 stage, Low/High risk sub-bucketed within Stage 1/Stage 2, summed here into the single Stage 1/Stage 2 rows used throughout this sheet) - https://find-and-update.company-information.service.gov.uk/company/09837692/filing-history/MzMwNjUyMjA5MmFkaXF6a2N4/document?format=pdf&amp;download=0
FY2018: Belmont Green Finance Limited Annual Report and Accounts 2019, FY2018 comparative column of the same Note 23-equivalent risk management table (Low/High risk sub-buckets summed the same way) - https://find-and-update.company-information.service.gov.uk/company/09837692/filing-history/MzI4NjAzOTYwNWFkaXF6a2N4/document?format=pdf&amp;download=0. Belmont Green's own originally-filed FY2018 Annual Report does not disclose an IFRS 9 stage split at all (only £450k of loans sat on the Company balance sheet that year - see FY2018_RESTATEMENT_NOTE on the Cash Flow Statement sheet), so the FY2019 Annual Report's restated comparative is the only source for FY2018 on this sheet.
NPL ratio = Stage 3 gross balance / Total gross balance. Coverage ratio = Stage 3 impairment provision / Stage 3 gross balance. Both derived, not separately disclosed by the Bank.</t>
        </is>
      </c>
    </row>
  </sheetData>
  <mergeCells count="1">
    <mergeCell ref="A18:I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Return on equity - average equity basis</t>
        </is>
      </c>
      <c r="B4" s="6" t="inlineStr">
        <is>
          <t>7.64%</t>
        </is>
      </c>
      <c r="C4" s="6" t="inlineStr">
        <is>
          <t>4.48%</t>
        </is>
      </c>
      <c r="D4" s="6" t="inlineStr">
        <is>
          <t>4.80%</t>
        </is>
      </c>
      <c r="E4" s="6" t="inlineStr">
        <is>
          <t>1.54%</t>
        </is>
      </c>
      <c r="F4" s="6" t="inlineStr">
        <is>
          <t>3.71%</t>
        </is>
      </c>
      <c r="G4" s="6" t="inlineStr">
        <is>
          <t>-5.30%</t>
        </is>
      </c>
      <c r="H4" s="6" t="inlineStr">
        <is>
          <t>-28.96%</t>
        </is>
      </c>
      <c r="I4" s="6" t="n"/>
    </row>
    <row r="5">
      <c r="A5" s="6" t="inlineStr">
        <is>
          <t>Return on equity - year-end equity basis</t>
        </is>
      </c>
      <c r="B5" s="6" t="inlineStr">
        <is>
          <t>7.37%</t>
        </is>
      </c>
      <c r="C5" s="6" t="inlineStr">
        <is>
          <t>3.90%</t>
        </is>
      </c>
      <c r="D5" s="6" t="inlineStr">
        <is>
          <t>4.97%</t>
        </is>
      </c>
      <c r="E5" s="6" t="inlineStr">
        <is>
          <t>1.51%</t>
        </is>
      </c>
      <c r="F5" s="6" t="inlineStr">
        <is>
          <t>3.68%</t>
        </is>
      </c>
      <c r="G5" s="6" t="inlineStr">
        <is>
          <t>-5.10%</t>
        </is>
      </c>
      <c r="H5" s="6" t="inlineStr">
        <is>
          <t>-27.08%</t>
        </is>
      </c>
      <c r="I5" s="6" t="inlineStr">
        <is>
          <t>-9.00%</t>
        </is>
      </c>
    </row>
    <row r="6">
      <c r="A6" s="6" t="inlineStr">
        <is>
          <t>Return on assets - average assets basis</t>
        </is>
      </c>
      <c r="B6" s="6" t="inlineStr">
        <is>
          <t>0.47%</t>
        </is>
      </c>
      <c r="C6" s="6" t="inlineStr">
        <is>
          <t>0.33%</t>
        </is>
      </c>
      <c r="D6" s="6" t="inlineStr">
        <is>
          <t>0.34%</t>
        </is>
      </c>
      <c r="E6" s="6" t="inlineStr">
        <is>
          <t>0.11%</t>
        </is>
      </c>
      <c r="F6" s="6" t="inlineStr">
        <is>
          <t>0.26%</t>
        </is>
      </c>
      <c r="G6" s="6" t="inlineStr">
        <is>
          <t>-0.38%</t>
        </is>
      </c>
      <c r="H6" s="6" t="inlineStr">
        <is>
          <t>-2.15%</t>
        </is>
      </c>
      <c r="I6" s="6" t="n"/>
    </row>
    <row r="7">
      <c r="A7" s="6" t="inlineStr">
        <is>
          <t>Return on assets - year-end assets basis</t>
        </is>
      </c>
      <c r="B7" s="6" t="inlineStr">
        <is>
          <t>0.38%</t>
        </is>
      </c>
      <c r="C7" s="6" t="inlineStr">
        <is>
          <t>0.31%</t>
        </is>
      </c>
      <c r="D7" s="6" t="inlineStr">
        <is>
          <t>0.34%</t>
        </is>
      </c>
      <c r="E7" s="6" t="inlineStr">
        <is>
          <t>0.11%</t>
        </is>
      </c>
      <c r="F7" s="6" t="inlineStr">
        <is>
          <t>0.25%</t>
        </is>
      </c>
      <c r="G7" s="6" t="inlineStr">
        <is>
          <t>-0.37%</t>
        </is>
      </c>
      <c r="H7" s="6" t="inlineStr">
        <is>
          <t>-1.89%</t>
        </is>
      </c>
      <c r="I7" s="6" t="inlineStr">
        <is>
          <t>-0.72%</t>
        </is>
      </c>
    </row>
    <row r="8">
      <c r="A8" s="6" t="inlineStr">
        <is>
          <t>Vida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row>
    <row r="9" ht="143" customHeight="1">
      <c r="A9" s="7" t="inlineStr">
        <is>
          <t>Note: COMPUTED, NOT PUBLISHED. Vida Bank Limited publishes no actual ROE, ROA or RoTE figure in its Annual Report and Accounts 2025 (94 pages, born-digital). Whole-report searches for RoTE, standalone ROE and standalone ROA returned no matches. 'Return on' hits are narrative only: the outlook says Vida will 'drive a higher return on equity' in 2026 and the financial review refers to 'stronger core equity returns'; neither reports a value. The report instead gives PBT GBP12.5m, total income GBP54m and cost:income 74%.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FY2019, where return on equity is -28.96% on an average basis and -27.08% on a year-end basis.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“total shareholders' equity” and “total assets”, resolved BY LABEL at build time through the shared resolver scripts/profitability_rows.py, so this sheet cannot drift from the statements it summarises. Those rows are themselves transcribed from Vida Bank Limited's Annual Report and Accounts for each year; see the source cells on the Balance Sheet and Profit &amp; Loss sheets for the exact document, page and table behind every input to every percentage above.
The finding that Vida Bank Limited publishes no return of its own is recorded in research/profitability/published_returns.jsonl under ‘VIDA’, verified against the bank's own annual report rendered at 300 dpi.</t>
        </is>
      </c>
    </row>
  </sheetData>
  <mergeCells count="2">
    <mergeCell ref="A9:I9"/>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s>
  <sheetData>
    <row r="1">
      <c r="A1" s="1" t="inlineStr">
        <is>
          <t>Vida Bank Limited — KM1 Key Metrics</t>
        </is>
      </c>
    </row>
    <row r="2">
      <c r="A2" s="2" t="inlineStr">
        <is>
          <t>Vida Group Holdings (CRR consolidation entity) basis - the bank's own published UK KM1 table, reproduced whole in its own row order, labels and precision. The bank prints no template row numbers; amounts £'000, ratios as printed. FY2018-FY2023 are blank because no Pillar 3 disclosure of any kind exists for them (pre-authorisation) - see source note.</t>
        </is>
      </c>
    </row>
    <row r="3">
      <c r="A3" s="4" t="inlineStr">
        <is>
          <t>Line item</t>
        </is>
      </c>
      <c r="B3" s="4" t="inlineStr">
        <is>
          <t>FY2025</t>
        </is>
      </c>
      <c r="C3" s="4" t="inlineStr">
        <is>
          <t>FY2024</t>
        </is>
      </c>
    </row>
    <row r="4">
      <c r="A4" s="5" t="inlineStr">
        <is>
          <t>Available own funds (£'000)</t>
        </is>
      </c>
      <c r="B4" s="6" t="n"/>
      <c r="C4" s="6" t="n"/>
    </row>
    <row r="5">
      <c r="A5" s="6" t="inlineStr">
        <is>
          <t>Common Equity Tier 1 (CET1) capital (£'000)</t>
        </is>
      </c>
      <c r="B5" s="6" t="n">
        <v>168319</v>
      </c>
      <c r="C5" s="6" t="n">
        <v>160316</v>
      </c>
    </row>
    <row r="6">
      <c r="A6" s="6" t="inlineStr">
        <is>
          <t>Tier 1 capital (£'000)</t>
        </is>
      </c>
      <c r="B6" s="6" t="n">
        <v>168319</v>
      </c>
      <c r="C6" s="6" t="n">
        <v>160316</v>
      </c>
    </row>
    <row r="7">
      <c r="A7" s="6" t="inlineStr">
        <is>
          <t>Total capital (£'000)</t>
        </is>
      </c>
      <c r="B7" s="6" t="n">
        <v>202429</v>
      </c>
      <c r="C7" s="6" t="n">
        <v>160316</v>
      </c>
    </row>
    <row r="8">
      <c r="A8" s="5" t="inlineStr">
        <is>
          <t>Risk-weighted exposure (£'000)</t>
        </is>
      </c>
      <c r="B8" s="6" t="n"/>
      <c r="C8" s="6" t="n"/>
    </row>
    <row r="9">
      <c r="A9" s="6" t="inlineStr">
        <is>
          <t>Total risk-weighted exposure amount (£'000)</t>
        </is>
      </c>
      <c r="B9" s="6" t="n">
        <v>1105780</v>
      </c>
      <c r="C9" s="6" t="n">
        <v>986809</v>
      </c>
    </row>
    <row r="10">
      <c r="A10" s="5" t="inlineStr">
        <is>
          <t>Capital ratios</t>
        </is>
      </c>
      <c r="B10" s="6" t="n"/>
      <c r="C10" s="6" t="n"/>
    </row>
    <row r="11">
      <c r="A11" s="6" t="inlineStr">
        <is>
          <t>Common Equity Tier 1 ratio (%)</t>
        </is>
      </c>
      <c r="B11" s="6" t="inlineStr">
        <is>
          <t>15.2%</t>
        </is>
      </c>
      <c r="C11" s="6" t="inlineStr">
        <is>
          <t>16.2%</t>
        </is>
      </c>
    </row>
    <row r="12">
      <c r="A12" s="6" t="inlineStr">
        <is>
          <t>Tier 1 ratio (%)</t>
        </is>
      </c>
      <c r="B12" s="6" t="inlineStr">
        <is>
          <t>15.2%</t>
        </is>
      </c>
      <c r="C12" s="6" t="inlineStr">
        <is>
          <t>16.2%</t>
        </is>
      </c>
    </row>
    <row r="13">
      <c r="A13" s="6" t="inlineStr">
        <is>
          <t>Total capital ratio (%)</t>
        </is>
      </c>
      <c r="B13" s="6" t="inlineStr">
        <is>
          <t>18.3%</t>
        </is>
      </c>
      <c r="C13" s="6" t="inlineStr">
        <is>
          <t>16.2%</t>
        </is>
      </c>
    </row>
    <row r="14">
      <c r="A14" s="5" t="inlineStr">
        <is>
          <t>Additional own funds requirements</t>
        </is>
      </c>
      <c r="B14" s="6" t="n"/>
      <c r="C14" s="6" t="n"/>
    </row>
    <row r="15">
      <c r="A15" s="6" t="inlineStr">
        <is>
          <t>Additional own funds requirements (%)</t>
        </is>
      </c>
      <c r="B15" s="6" t="inlineStr">
        <is>
          <t>1.2%</t>
        </is>
      </c>
      <c r="C15" s="6" t="inlineStr">
        <is>
          <t>1.2%</t>
        </is>
      </c>
    </row>
    <row r="16">
      <c r="A16" s="6" t="inlineStr">
        <is>
          <t>Total own funds requirements (%)</t>
        </is>
      </c>
      <c r="B16" s="6" t="inlineStr">
        <is>
          <t>9.2%</t>
        </is>
      </c>
      <c r="C16" s="6" t="inlineStr">
        <is>
          <t>9.2%</t>
        </is>
      </c>
    </row>
    <row r="17">
      <c r="A17" s="5" t="inlineStr">
        <is>
          <t>Combined buffer requirement</t>
        </is>
      </c>
      <c r="B17" s="6" t="n"/>
      <c r="C17" s="6" t="n"/>
    </row>
    <row r="18">
      <c r="A18" s="6" t="inlineStr">
        <is>
          <t>Capital conservation buffer (%)</t>
        </is>
      </c>
      <c r="B18" s="6" t="inlineStr">
        <is>
          <t>2.5%</t>
        </is>
      </c>
      <c r="C18" s="6" t="inlineStr">
        <is>
          <t>2.5%</t>
        </is>
      </c>
    </row>
    <row r="19">
      <c r="A19" s="6" t="inlineStr">
        <is>
          <t>Institution specific countercyclical capital buffer (%)</t>
        </is>
      </c>
      <c r="B19" s="6" t="inlineStr">
        <is>
          <t>1.9%</t>
        </is>
      </c>
      <c r="C19" s="6" t="inlineStr">
        <is>
          <t>1.9%</t>
        </is>
      </c>
    </row>
    <row r="20">
      <c r="A20" s="6" t="inlineStr">
        <is>
          <t>Combined buffer requirement (%)</t>
        </is>
      </c>
      <c r="B20" s="6" t="inlineStr">
        <is>
          <t>4.4%</t>
        </is>
      </c>
      <c r="C20" s="6" t="inlineStr">
        <is>
          <t>4.4%</t>
        </is>
      </c>
    </row>
    <row r="21">
      <c r="A21" s="6" t="inlineStr">
        <is>
          <t>Overall capital requirements (%)</t>
        </is>
      </c>
      <c r="B21" s="6" t="inlineStr">
        <is>
          <t>13.6%</t>
        </is>
      </c>
      <c r="C21" s="6" t="inlineStr">
        <is>
          <t>13.6%</t>
        </is>
      </c>
    </row>
    <row r="22">
      <c r="A22" s="5" t="inlineStr">
        <is>
          <t>Leverage ratio</t>
        </is>
      </c>
      <c r="B22" s="6" t="n"/>
      <c r="C22" s="6" t="n"/>
    </row>
    <row r="23">
      <c r="A23" s="6" t="inlineStr">
        <is>
          <t>Total exposure measure excluding claims on central banks (£'000)</t>
        </is>
      </c>
      <c r="B23" s="6" t="n">
        <v>3440332</v>
      </c>
      <c r="C23" s="6" t="n">
        <v>2331835</v>
      </c>
    </row>
    <row r="24">
      <c r="A24" s="6" t="inlineStr">
        <is>
          <t>Leverage ratio excluding claims on central banks (%)</t>
        </is>
      </c>
      <c r="B24" s="6" t="inlineStr">
        <is>
          <t>4.9%</t>
        </is>
      </c>
      <c r="C24" s="6" t="inlineStr">
        <is>
          <t>6.9%</t>
        </is>
      </c>
    </row>
    <row r="25">
      <c r="A25" s="5" t="inlineStr">
        <is>
          <t>Liquidity coverage ratio</t>
        </is>
      </c>
      <c r="B25" s="6" t="n"/>
      <c r="C25" s="6" t="n"/>
    </row>
    <row r="26">
      <c r="A26" s="6" t="inlineStr">
        <is>
          <t>Total high-quality liquid assets (HQLA) (weighted value - average) (£'000)</t>
        </is>
      </c>
      <c r="B26" s="6" t="n">
        <v>1073005</v>
      </c>
      <c r="C26" s="6" t="n">
        <v>167705</v>
      </c>
    </row>
    <row r="27">
      <c r="A27" s="6" t="inlineStr">
        <is>
          <t>Cash outflows - total weighted value (£'000)</t>
        </is>
      </c>
      <c r="B27" s="6" t="n">
        <v>747252</v>
      </c>
      <c r="C27" s="6" t="n">
        <v>64182</v>
      </c>
    </row>
    <row r="28">
      <c r="A28" s="6" t="inlineStr">
        <is>
          <t>Cash inflows - total weighted value (£'000)</t>
        </is>
      </c>
      <c r="B28" s="6" t="n">
        <v>77815</v>
      </c>
      <c r="C28" s="6" t="n">
        <v>205580</v>
      </c>
    </row>
    <row r="29">
      <c r="A29" s="6" t="inlineStr">
        <is>
          <t>Total net cash outflows (adjusted value) (£'000)</t>
        </is>
      </c>
      <c r="B29" s="6" t="n">
        <v>669438</v>
      </c>
      <c r="C29" s="6" t="n">
        <v>16046</v>
      </c>
    </row>
    <row r="30">
      <c r="A30" s="6" t="inlineStr">
        <is>
          <t>Liquidity coverage ratio (%)</t>
        </is>
      </c>
      <c r="B30" s="6" t="inlineStr">
        <is>
          <t>163%</t>
        </is>
      </c>
      <c r="C30" s="6" t="inlineStr">
        <is>
          <t>1,045%</t>
        </is>
      </c>
    </row>
    <row r="31">
      <c r="A31" s="5" t="inlineStr">
        <is>
          <t>Net stable funding ratio</t>
        </is>
      </c>
      <c r="B31" s="6" t="n"/>
      <c r="C31" s="6" t="n"/>
    </row>
    <row r="32">
      <c r="A32" s="6" t="inlineStr">
        <is>
          <t>Total available stable funding (£'000)</t>
        </is>
      </c>
      <c r="B32" s="6" t="n">
        <v>2377496</v>
      </c>
      <c r="C32" s="6" t="n">
        <v>2016146</v>
      </c>
    </row>
    <row r="33">
      <c r="A33" s="6" t="inlineStr">
        <is>
          <t>Total required stable funding (£'000)</t>
        </is>
      </c>
      <c r="B33" s="6" t="n">
        <v>1719626</v>
      </c>
      <c r="C33" s="6" t="n">
        <v>1830180</v>
      </c>
    </row>
    <row r="34">
      <c r="A34" s="6" t="inlineStr">
        <is>
          <t>Net stable funding ratio (%)</t>
        </is>
      </c>
      <c r="B34" s="6" t="inlineStr">
        <is>
          <t>138%</t>
        </is>
      </c>
      <c r="C34" s="6" t="inlineStr">
        <is>
          <t>110%</t>
        </is>
      </c>
    </row>
    <row r="36" ht="409" customHeight="1">
      <c r="A36" s="8" t="inlineStr">
        <is>
          <t>Sources - Vida's own published UK KM1 'Key metrics' table, reproduced whole in the bank's own row order, row labels and printed precision. Entity/basis: Vida Group Holdings Limited (FY2024 edition) / Vida Group Holdings plc (FY2025 edition) CONSOLIDATED - the CRR consolidation entity, with Vida Bank Limited as its principal regulated subsidiary. Both editions state 'Regulatory ratios are presented on a Group-basis only', so no Vida-Bank-Limited-solo KM1 exists to prefer; this is the same basis every other Pillar 3 sheet in this workbook uses (see the metric sheets' own BASIS DETERMINATION note).
FY2025: Vida Group Holdings Limited Pillar 3 Disclosures 31 December 2025, section 3.1 'Key Metrics', PRINTED PAGE 5 (the page's own footer reads '5|Page') - https://www.vidabank.co.uk/media/od2lpxc0/vghl-pillar-3-report-2025-final.pdf
FY2024: Vida Group Holdings Limited Pillar 3 Disclosures 31 December 2024, section 3.1 'Key Metrics', PRINTED PAGE 5 (footer '5|Page') - https://www.vidabank.co.uk/media/mucbqgwi/vghl-pillar-3-report-2024-final.pdf
Each year is taken from its OWN edition. The FY2025 edition also prints a 31 Dec 2024 comparative column and it agrees with the FY2024 edition digit-for-digit on every one of the 23 rows, so nothing here depends on which edition a FY2024 figure came from.
COLUMN ORDER: both editions print the OLDER year on the LEFT (the FY2025 edition's header block reads '31 Dec 2024   31 Dec 2025'). This sheet keeps the workbook's standard most-recent-first column order, which reorders columns but not rows - no row, label, figure or precision is altered.
THE TABLE IS UNNUMBERED, AND IT IS STILL THE TEMPLATE. Vida prints no template row numbers at all (no '1', no 'UK 7a'), but the table carries the UK KM1 row set in template order - available own funds, risk-weighted exposure amount, the three capital ratios, the additional own-funds (SREP) requirement, the combined buffer build-up, leverage, LCR and NSFR - and the bank's own sentence above it names it: 'The key metrics table (KM1) covering capital, leverage and liquidity is set out below.' Both editions are reduced-scope Article 433b disclosures ('small and non-complex institution', UK CRR Article 4(145)), and both say 'Specific rows and columns in the tables prescribed by the PRA have been omitted where these are not applicable to the Group' - so the shorter row set is a permitted reduction of the prescribed template, not a different table and not an omission.
NO MISSING-VALUE GLYPHS: neither edition prints a dash, an 'n/a' or a zero anywhere in this table. Every row the bank printed carries a figure in every column it printed.</t>
        </is>
      </c>
    </row>
    <row r="38" ht="409" customHeight="1">
      <c r="A38" s="8" t="inlineStr">
        <is>
          <t>(continued)
UNITS: the bank declares £'000 on its own block captions ('Available own funds (£’000)', 'Risk-weighted exposure (£’000)') and again on most individual rows. Each amount row below carries its own '(£'000)' so the unit never has to be inferred from how far a lookup walks. The bank's own table mixes a typewriter apostrophe and a typographic one for the same unit within a single page; the typewriter form is used throughout here, which is a glyph choice in an annotation and changes no wording and no figure.
FY2018-FY2023 ARE BLANK BECAUSE NO PILLAR 3 DISCLOSURE OF ANY KIND EXISTS FOR THEM, on any basis, in any edition. The entity was not PRA-authorised as a deposit-taker until 19 November 2024, so no Pillar 3 obligation could attach to any earlier year; FY2018-FY2020 it was FCA-regulated only. FY2024 is the first year for which any Pillar 3 document exists, and no later edition prints a pre-FY2024 comparative that could fill those columns. This is a structural pre-authorisation absence, not an exemption - see the ENTITY_NOTE on the Cash Flow Statement sheet and the SDDT date-fit note on the metric sheets, which records that Vida's Rule 3.1 SDDT modification began 3 April 2026 and therefore explains none of these blanks.
LATEST-EDITION CHECK, 2026-09-17: checked Vida's own site (www.vidabank.co.uk -&gt; About Vida Bank -&gt; Investors -&gt; Debt Investors), not a cached citation list. The newest ANNUAL Pillar 3 is the 31 December 2025 edition used above, and the newest Annual Report is the 2025 Annual Report and Accounts already used throughout this workbook - so no year is missing. The site additionally carries an INTERIM Pillar 3 as at 30 June 2026 (https://www.vidabank.co.uk/media/g1vnsxxu/pillar-3-disclosures-30-june-2026.pdf), published alongside a 30 June 2026 Interim Report. It falls outside this workbook's financial years (Vida's year-end is 31 December) and so adds no column, but its 31 Dec 2025 comparative was read as an independent second transcription of the whole FY2025 column.
WHAT THAT SECOND OPINION FOUND - RECORDED, NOT RECONCILED. The interim edition reproduces the FY2025 capital and leverage block exactly: CET1 168,319, Tier 1 168,319, Total capital 202,429, RWEA 1,105,780, ratios 15.2% / 15.2% / 18.3%, leverage exposure 3,440,332 and leverage ratio 4.9%. It differs in two places, both of which are the interim edition changing how it MEASURES a row rather than correcting a figure, so the FY2025 column below stays exactly as Vida's own FY2025 edition printed it. (1) The SREP block is presented differently: the FY2025 edition prints one combined 'Additional own funds requirements (%)' of 1.2% and a 9.2% total, while the interim edition splits the same requirement into 'Additional CET1 SREP requirements 0.66% / Additional AT1 SREP requirements 0.22% / Additional T2 SREP requirements 0.30%' with a 9.18% total - the components sum to 1.18%, i.e. the same requirement shown to two decimals instead of one. (2) The LIQUIDITY rows are on a different averaging window. The interim edition footnotes its LCR as 'the simple average of month end observations over the preceding 12 months' and its NSFR as 'the simple average of quarter end observations over the preceding 4 quarter ends', and on that basis restates 31 Dec 2025 to HQLA 612,552 / outflows 330,304 / inflows 101,370 / net outflows 252,077 / LCR 528%, and NSFR 2,327,088 / 1,646,865 / 142%, against the 1,073,005 / 747,252 / 77,815 / 669,438 / 163% and 2,377,496 / 1,719,626 / 138% that the FY2025 annual edition printed for the same date. Two printings of one date on two bases is a documented divergence, not a transcription error in either; each year's own edition governs its own column.</t>
        </is>
      </c>
    </row>
  </sheetData>
  <mergeCells count="2">
    <mergeCell ref="A38:C38"/>
    <mergeCell ref="A36:C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CET1 Capital</t>
        </is>
      </c>
    </row>
    <row r="2">
      <c r="A2" s="2" t="inlineStr">
        <is>
          <t>Vida Group Holdings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n">
        <v>168319</v>
      </c>
      <c r="C4" s="6" t="n">
        <v>160316</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6" ht="403" customHeight="1">
      <c r="A6"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1">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CET1 Ratio</t>
        </is>
      </c>
    </row>
    <row r="2">
      <c r="A2" s="2" t="inlineStr">
        <is>
          <t>Vida Group Holdings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ratio</t>
        </is>
      </c>
      <c r="B4" s="6" t="inlineStr">
        <is>
          <t>15.2%</t>
        </is>
      </c>
      <c r="C4" s="6" t="inlineStr">
        <is>
          <t>16.2%</t>
        </is>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6" ht="403" customHeight="1">
      <c r="A6"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1">
    <mergeCell ref="A6:I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Tier 1 Capital</t>
        </is>
      </c>
    </row>
    <row r="2">
      <c r="A2" s="2" t="inlineStr">
        <is>
          <t>Vida Group Holdings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168319</v>
      </c>
      <c r="C4" s="6" t="n">
        <v>160316</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5" ht="30" customHeight="1">
      <c r="A5" s="7" t="inlineStr">
        <is>
          <t>Note: Equal to CET1 capital in both years - Vida has no Additional Tier 1 (AT1) instruments.</t>
        </is>
      </c>
    </row>
    <row r="7" ht="403" customHeight="1">
      <c r="A7"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2">
    <mergeCell ref="A5:I5"/>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Tier 1 Ratio</t>
        </is>
      </c>
    </row>
    <row r="2">
      <c r="A2" s="2" t="inlineStr">
        <is>
          <t>Vida Group Holdings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15.2%</t>
        </is>
      </c>
      <c r="C4" s="6" t="inlineStr">
        <is>
          <t>16.2%</t>
        </is>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6" ht="403" customHeight="1">
      <c r="A6"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1">
    <mergeCell ref="A6:I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Total Capital</t>
        </is>
      </c>
    </row>
    <row r="2">
      <c r="A2" s="2" t="inlineStr">
        <is>
          <t>Vida Group Holdings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202429</v>
      </c>
      <c r="C4" s="6" t="n">
        <v>160316</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5" ht="30" customHeight="1">
      <c r="A5" s="7" t="inlineStr">
        <is>
          <t>Note: FY2025 total capital exceeds Tier 1 capital because the Group issued £35m of qualifying Tier 2 capital during the year to support planned balance sheet expansion; FY2024 had no Tier 2 capital.</t>
        </is>
      </c>
    </row>
    <row r="7" ht="403" customHeight="1">
      <c r="A7"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2">
    <mergeCell ref="A5:I5"/>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Total Capital Ratio</t>
        </is>
      </c>
    </row>
    <row r="2">
      <c r="A2" s="2" t="inlineStr">
        <is>
          <t>Vida Group Holdings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18.3%</t>
        </is>
      </c>
      <c r="C4" s="6" t="inlineStr">
        <is>
          <t>16.2%</t>
        </is>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6" ht="403" customHeight="1">
      <c r="A6"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1">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Total RWAs</t>
        </is>
      </c>
    </row>
    <row r="2">
      <c r="A2" s="2" t="inlineStr">
        <is>
          <t>Vida Group Holdings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exposure amount</t>
        </is>
      </c>
      <c r="B4" s="6" t="n">
        <v>1105780</v>
      </c>
      <c r="C4" s="6" t="n">
        <v>986809</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6" ht="403" customHeight="1">
      <c r="A6"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1">
    <mergeCell ref="A6:I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RWA Breakdown</t>
        </is>
      </c>
    </row>
    <row r="2">
      <c r="A2" s="2" t="inlineStr">
        <is>
          <t>Vida Group Holdings (Group/consolidated) basis, £'000. Table (OV1) - RWEAs by risk type, as disclosed. FY2018-FY2023: no Pillar 3 disclosure exists at all (see ENTITY_NOTE).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6" t="inlineStr">
        <is>
          <t>Credit risk (excluding CCR)</t>
        </is>
      </c>
      <c r="B4" s="6" t="n">
        <v>936924</v>
      </c>
      <c r="C4" s="6" t="n">
        <v>766886</v>
      </c>
      <c r="D4" s="6" t="n"/>
      <c r="E4" s="6" t="n"/>
      <c r="F4" s="6" t="n"/>
      <c r="G4" s="6" t="n"/>
      <c r="H4" s="6" t="n"/>
      <c r="I4" s="6" t="n"/>
    </row>
    <row r="5">
      <c r="A5" s="6" t="inlineStr">
        <is>
          <t>Counterparty credit risk (CCR), of which credit valuation adjustment (CVA)</t>
        </is>
      </c>
      <c r="B5" s="6" t="n">
        <v>83044</v>
      </c>
      <c r="C5" s="6" t="n">
        <v>155027</v>
      </c>
      <c r="D5" s="6" t="n"/>
      <c r="E5" s="6" t="n"/>
      <c r="F5" s="6" t="n"/>
      <c r="G5" s="6" t="n"/>
      <c r="H5" s="6" t="n"/>
      <c r="I5" s="6" t="n"/>
    </row>
    <row r="6">
      <c r="A6" s="6" t="inlineStr">
        <is>
          <t>Securitisation exposures in the non-trading book (after the cap)</t>
        </is>
      </c>
      <c r="B6" s="6" t="n">
        <v>6391</v>
      </c>
      <c r="C6" s="6" t="n">
        <v>0</v>
      </c>
      <c r="D6" s="6" t="n"/>
      <c r="E6" s="6" t="n"/>
      <c r="F6" s="6" t="n"/>
      <c r="G6" s="6" t="n"/>
      <c r="H6" s="6" t="n"/>
      <c r="I6" s="6" t="n"/>
    </row>
    <row r="7">
      <c r="A7" s="6" t="inlineStr">
        <is>
          <t>Operational risk</t>
        </is>
      </c>
      <c r="B7" s="6" t="n">
        <v>79420</v>
      </c>
      <c r="C7" s="6" t="n">
        <v>64896</v>
      </c>
      <c r="D7" s="6" t="n"/>
      <c r="E7" s="6" t="n"/>
      <c r="F7" s="6" t="n"/>
      <c r="G7" s="6" t="n"/>
      <c r="H7" s="6" t="n"/>
      <c r="I7" s="6" t="n"/>
    </row>
    <row r="8">
      <c r="A8" s="5" t="inlineStr">
        <is>
          <t>Total risk weighted exposure amount (Table OV1)</t>
        </is>
      </c>
      <c r="B8" s="5" t="n">
        <v>1105779</v>
      </c>
      <c r="C8" s="5" t="n">
        <v>986809</v>
      </c>
      <c r="D8" s="5" t="n"/>
      <c r="E8" s="5" t="n"/>
      <c r="F8" s="5" t="n"/>
      <c r="G8" s="5" t="n"/>
      <c r="H8" s="5" t="n"/>
      <c r="I8" s="5" t="n"/>
    </row>
    <row r="9">
      <c r="A9" s="5" t="inlineStr">
        <is>
          <t>Not applicable - entity was not a PRA-authorised bank</t>
        </is>
      </c>
      <c r="B9" s="6" t="n"/>
      <c r="C9" s="6" t="n"/>
      <c r="D9" s="6" t="n"/>
      <c r="E9" s="6" t="n"/>
      <c r="F9" s="6" t="n"/>
      <c r="G9" s="6" t="n"/>
      <c r="H9" s="6" t="n"/>
      <c r="I9" s="6" t="n"/>
    </row>
    <row r="10">
      <c r="A10" s="6" t="inlineStr">
        <is>
          <t>Not applicable (no banking licence held in these years)</t>
        </is>
      </c>
      <c r="B10" s="6" t="n"/>
      <c r="C10" s="6" t="n"/>
      <c r="D10" s="6" t="inlineStr">
        <is>
          <t>Not applicable – not a PRA-authorised bank until 19 Nov 2024, so no CRR Pillar 3 duty; FY2019/FY2020 ARs (Companies House 09837692) show the licence application still pending</t>
        </is>
      </c>
      <c r="E10" s="6" t="inlineStr">
        <is>
          <t>Not applicable – not a PRA-authorised bank until 19 Nov 2024, so no CRR Pillar 3 duty; FY2019/FY2020 ARs (Companies House 09837692) show the licence application still pending</t>
        </is>
      </c>
      <c r="F10" s="6" t="inlineStr">
        <is>
          <t>Not applicable – not a PRA-authorised bank until 19 Nov 2024, so no CRR Pillar 3 duty; FY2019/FY2020 ARs (Companies House 09837692) show the licence application still pending</t>
        </is>
      </c>
      <c r="G10" s="6" t="inlineStr">
        <is>
          <t>Not applicable – not a PRA-authorised bank until 19 Nov 2024, so no CRR Pillar 3 duty; FY2019/FY2020 ARs (Companies House 09837692) show the licence application still pending</t>
        </is>
      </c>
      <c r="H10" s="6" t="inlineStr">
        <is>
          <t>Not applicable – not a PRA-authorised bank until 19 Nov 2024, so no CRR Pillar 3 duty; FY2019/FY2020 ARs (Companies House 09837692) show the licence application still pending</t>
        </is>
      </c>
      <c r="I10" s="6" t="inlineStr">
        <is>
          <t>Not applicable – not a PRA-authorised bank until 19 Nov 2024, so no CRR Pillar 3 duty; FY2019/FY2020 ARs (Companies House 09837692) show the licence application still pending</t>
        </is>
      </c>
    </row>
    <row r="12" ht="200" customHeight="1">
      <c r="A12" s="8" t="inlineStr">
        <is>
          <t>Sources - Vida Group Holdings Limited/plc Pillar 3 disclosures, Table (OV1) 'RWEAs and total own funds requirements by risk type', £'000, as disclosed (DIRECTLY DISCLOSED, not derived):
FY2025 &amp; FY2024: Vida Group Holdings plc Pillar 3 Disclosures 2025, section 3.2 'Risk-Weighted Exposures', Table (OV1), p.6 - https://www.vidabank.co.uk/media/od2lpxc0/vghl-pillar-3-report-2025-final.pdf. FY2024's category rows sum exactly to that table's own stated Total (986,809), matching the Total RWAs sheet's FY2024 figure exactly. FY2025's category rows sum to 1,105,779 - £1k below the table's own stated Total (1,105,780) and the Total RWAs sheet's own FY2025 figure - a one £'000 rounding artifact in the source table itself (each row independently rounded to the nearest £'000 before summing), not a transcription error here; the TOTAL row above shows the reconciling sum of the category rows, not the source's stated Total, per this project's convention of the category breakdown always ticking to its own components.
This table was not identified in an earlier review of these documents (which found only the KM1 Key Metrics table used on the other Pillar 3 sheets) - a 2026-09-08 re-check located it in section 3.2 of the FY2025 report (which also carries the FY2024 comparative column, so the standalone FY2024 report did not need separately re-checking for this sheet).
FY2018-FY2023: no Pillar 3 disclosure exists at all for any year before FY2024 (Pillar 3 only applies once the entity holds a banking licence, obtained 19 November 2024) - see ENTITY_NOTE on the Cash Flow Statement sheet.
2026-09-15: those pre-licence years are now marked explicitly as 'Not applicable' in the rows above, rather than being left as empty cells. They were previously blank, which made them indistinguishable from a bank that simply has not been researched yet - an audit of RWA Breakdown coverage counted them as open, chaseable gaps when in fact no document can ever exist for them. This follows the same convention already used in build_afin_bank.py for the identical situation. Corroborating evidence for the licence date: Companies House (company 09837692) shows the entity's first full bank accounts made up to 31 December 2024, and FY2024 is the first year for which any Pillar 3 disclosure of any kind exists.</t>
        </is>
      </c>
    </row>
  </sheetData>
  <mergeCells count="1">
    <mergeCell ref="A12:I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Leverage Ratio</t>
        </is>
      </c>
    </row>
    <row r="2">
      <c r="A2" s="2" t="inlineStr">
        <is>
          <t>Vida Group Holdings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exposure measure excluding claims on central banks</t>
        </is>
      </c>
      <c r="B4" s="6" t="n">
        <v>3440332</v>
      </c>
      <c r="C4" s="6" t="n">
        <v>2331835</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5">
      <c r="A5" s="6" t="inlineStr">
        <is>
          <t>Leverage ratio excluding claims on central banks (%)</t>
        </is>
      </c>
      <c r="B5" s="6" t="inlineStr">
        <is>
          <t>4.9%</t>
        </is>
      </c>
      <c r="C5" s="6" t="inlineStr">
        <is>
          <t>6.9%</t>
        </is>
      </c>
      <c r="D5" s="6" t="inlineStr">
        <is>
          <t>Not applicable – not a PRA-authorised bank until 19 Nov 2024, so no CRR Pillar 3 duty; FY2019/FY2020 ARs (Companies House 09837692) show the licence application still pending</t>
        </is>
      </c>
      <c r="E5" s="6" t="inlineStr">
        <is>
          <t>Not applicable – not a PRA-authorised bank until 19 Nov 2024, so no CRR Pillar 3 duty; FY2019/FY2020 ARs (Companies House 09837692) show the licence application still pending</t>
        </is>
      </c>
      <c r="F5" s="6" t="inlineStr">
        <is>
          <t>Not applicable – not a PRA-authorised bank until 19 Nov 2024, so no CRR Pillar 3 duty; FY2019/FY2020 ARs (Companies House 09837692) show the licence application still pending</t>
        </is>
      </c>
      <c r="G5" s="6" t="inlineStr">
        <is>
          <t>Not applicable – not a PRA-authorised bank until 19 Nov 2024, so no CRR Pillar 3 duty; FY2019/FY2020 ARs (Companies House 09837692) show the licence application still pending</t>
        </is>
      </c>
      <c r="H5" s="6" t="inlineStr">
        <is>
          <t>Not applicable – not a PRA-authorised bank until 19 Nov 2024, so no CRR Pillar 3 duty; FY2019/FY2020 ARs (Companies House 09837692) show the licence application still pending</t>
        </is>
      </c>
      <c r="I5" s="6" t="inlineStr">
        <is>
          <t>Not applicable – not a PRA-authorised bank until 19 Nov 2024, so no CRR Pillar 3 duty; FY2019/FY2020 ARs (Companies House 09837692) show the licence application still pending</t>
        </is>
      </c>
    </row>
    <row r="6" ht="117" customHeight="1">
      <c r="A6" s="7" t="inlineStr">
        <is>
          <t xml:space="preserve">Note: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4 source URLs cited on this sheet and its KM1 sheet were re-fetched on 2026-10-09 (3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403" customHeight="1">
      <c r="A8"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2">
    <mergeCell ref="A8:I8"/>
    <mergeCell ref="A6:I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LCR</t>
        </is>
      </c>
    </row>
    <row r="2">
      <c r="A2" s="2" t="inlineStr">
        <is>
          <t>Vida Group Holdings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high-quality liquid assets (HQLA), weighted value (average)</t>
        </is>
      </c>
      <c r="B4" s="6" t="n">
        <v>1073005</v>
      </c>
      <c r="C4" s="6" t="n">
        <v>167705</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5">
      <c r="A5" s="6" t="inlineStr">
        <is>
          <t>Total net cash outflows, adjusted value</t>
        </is>
      </c>
      <c r="B5" s="6" t="n">
        <v>669438</v>
      </c>
      <c r="C5" s="6" t="n">
        <v>16046</v>
      </c>
      <c r="D5" s="6" t="inlineStr">
        <is>
          <t>Not applicable – not a PRA-authorised bank until 19 Nov 2024, so no CRR Pillar 3 duty; FY2019/FY2020 ARs (Companies House 09837692) show the licence application still pending</t>
        </is>
      </c>
      <c r="E5" s="6" t="inlineStr">
        <is>
          <t>Not applicable – not a PRA-authorised bank until 19 Nov 2024, so no CRR Pillar 3 duty; FY2019/FY2020 ARs (Companies House 09837692) show the licence application still pending</t>
        </is>
      </c>
      <c r="F5" s="6" t="inlineStr">
        <is>
          <t>Not applicable – not a PRA-authorised bank until 19 Nov 2024, so no CRR Pillar 3 duty; FY2019/FY2020 ARs (Companies House 09837692) show the licence application still pending</t>
        </is>
      </c>
      <c r="G5" s="6" t="inlineStr">
        <is>
          <t>Not applicable – not a PRA-authorised bank until 19 Nov 2024, so no CRR Pillar 3 duty; FY2019/FY2020 ARs (Companies House 09837692) show the licence application still pending</t>
        </is>
      </c>
      <c r="H5" s="6" t="inlineStr">
        <is>
          <t>Not applicable – not a PRA-authorised bank until 19 Nov 2024, so no CRR Pillar 3 duty; FY2019/FY2020 ARs (Companies House 09837692) show the licence application still pending</t>
        </is>
      </c>
      <c r="I5" s="6" t="inlineStr">
        <is>
          <t>Not applicable – not a PRA-authorised bank until 19 Nov 2024, so no CRR Pillar 3 duty; FY2019/FY2020 ARs (Companies House 09837692) show the licence application still pending</t>
        </is>
      </c>
    </row>
    <row r="6">
      <c r="A6" s="6" t="inlineStr">
        <is>
          <t>Liquidity Coverage Ratio (%)</t>
        </is>
      </c>
      <c r="B6" s="6" t="inlineStr">
        <is>
          <t>163%</t>
        </is>
      </c>
      <c r="C6" s="6" t="inlineStr">
        <is>
          <t>1,045%</t>
        </is>
      </c>
      <c r="D6" s="6" t="inlineStr">
        <is>
          <t>Not applicable – not a PRA-authorised bank until 19 Nov 2024, so no CRR Pillar 3 duty; FY2019/FY2020 ARs (Companies House 09837692) show the licence application still pending</t>
        </is>
      </c>
      <c r="E6" s="6" t="inlineStr">
        <is>
          <t>Not applicable – not a PRA-authorised bank until 19 Nov 2024, so no CRR Pillar 3 duty; FY2019/FY2020 ARs (Companies House 09837692) show the licence application still pending</t>
        </is>
      </c>
      <c r="F6" s="6" t="inlineStr">
        <is>
          <t>Not applicable – not a PRA-authorised bank until 19 Nov 2024, so no CRR Pillar 3 duty; FY2019/FY2020 ARs (Companies House 09837692) show the licence application still pending</t>
        </is>
      </c>
      <c r="G6" s="6" t="inlineStr">
        <is>
          <t>Not applicable – not a PRA-authorised bank until 19 Nov 2024, so no CRR Pillar 3 duty; FY2019/FY2020 ARs (Companies House 09837692) show the licence application still pending</t>
        </is>
      </c>
      <c r="H6" s="6" t="inlineStr">
        <is>
          <t>Not applicable – not a PRA-authorised bank until 19 Nov 2024, so no CRR Pillar 3 duty; FY2019/FY2020 ARs (Companies House 09837692) show the licence application still pending</t>
        </is>
      </c>
      <c r="I6" s="6" t="inlineStr">
        <is>
          <t>Not applicable – not a PRA-authorised bank until 19 Nov 2024, so no CRR Pillar 3 duty; FY2019/FY2020 ARs (Companies House 09837692) show the licence application still pending</t>
        </is>
      </c>
    </row>
    <row r="7" ht="30" customHeight="1">
      <c r="A7" s="7" t="inlineStr">
        <is>
          <t>Note: FY2024's very high LCR (1,045%) reflects a build-up of liquid assets immediately following PRA authorisation on 19 November 2024, per the Group's own Pillar 3 commentary.</t>
        </is>
      </c>
    </row>
    <row r="9" ht="403" customHeight="1">
      <c r="A9"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2">
    <mergeCell ref="A7:I7"/>
    <mergeCell ref="A9:I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NSFR</t>
        </is>
      </c>
    </row>
    <row r="2">
      <c r="A2" s="2" t="inlineStr">
        <is>
          <t>Vida Group Holdings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available stable funding</t>
        </is>
      </c>
      <c r="B4" s="6" t="n">
        <v>2377496</v>
      </c>
      <c r="C4" s="6" t="n">
        <v>2016146</v>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5">
      <c r="A5" s="6" t="inlineStr">
        <is>
          <t>Total required stable funding</t>
        </is>
      </c>
      <c r="B5" s="6" t="n">
        <v>1719626</v>
      </c>
      <c r="C5" s="6" t="n">
        <v>1830180</v>
      </c>
      <c r="D5" s="6" t="inlineStr">
        <is>
          <t>Not applicable – not a PRA-authorised bank until 19 Nov 2024, so no CRR Pillar 3 duty; FY2019/FY2020 ARs (Companies House 09837692) show the licence application still pending</t>
        </is>
      </c>
      <c r="E5" s="6" t="inlineStr">
        <is>
          <t>Not applicable – not a PRA-authorised bank until 19 Nov 2024, so no CRR Pillar 3 duty; FY2019/FY2020 ARs (Companies House 09837692) show the licence application still pending</t>
        </is>
      </c>
      <c r="F5" s="6" t="inlineStr">
        <is>
          <t>Not applicable – not a PRA-authorised bank until 19 Nov 2024, so no CRR Pillar 3 duty; FY2019/FY2020 ARs (Companies House 09837692) show the licence application still pending</t>
        </is>
      </c>
      <c r="G5" s="6" t="inlineStr">
        <is>
          <t>Not applicable – not a PRA-authorised bank until 19 Nov 2024, so no CRR Pillar 3 duty; FY2019/FY2020 ARs (Companies House 09837692) show the licence application still pending</t>
        </is>
      </c>
      <c r="H5" s="6" t="inlineStr">
        <is>
          <t>Not applicable – not a PRA-authorised bank until 19 Nov 2024, so no CRR Pillar 3 duty; FY2019/FY2020 ARs (Companies House 09837692) show the licence application still pending</t>
        </is>
      </c>
      <c r="I5" s="6" t="inlineStr">
        <is>
          <t>Not applicable – not a PRA-authorised bank until 19 Nov 2024, so no CRR Pillar 3 duty; FY2019/FY2020 ARs (Companies House 09837692) show the licence application still pending</t>
        </is>
      </c>
    </row>
    <row r="6">
      <c r="A6" s="6" t="inlineStr">
        <is>
          <t>Net Stable Funding Ratio (%)</t>
        </is>
      </c>
      <c r="B6" s="6" t="inlineStr">
        <is>
          <t>138%</t>
        </is>
      </c>
      <c r="C6" s="6" t="inlineStr">
        <is>
          <t>110%</t>
        </is>
      </c>
      <c r="D6" s="6" t="inlineStr">
        <is>
          <t>Not applicable – not a PRA-authorised bank until 19 Nov 2024, so no CRR Pillar 3 duty; FY2019/FY2020 ARs (Companies House 09837692) show the licence application still pending</t>
        </is>
      </c>
      <c r="E6" s="6" t="inlineStr">
        <is>
          <t>Not applicable – not a PRA-authorised bank until 19 Nov 2024, so no CRR Pillar 3 duty; FY2019/FY2020 ARs (Companies House 09837692) show the licence application still pending</t>
        </is>
      </c>
      <c r="F6" s="6" t="inlineStr">
        <is>
          <t>Not applicable – not a PRA-authorised bank until 19 Nov 2024, so no CRR Pillar 3 duty; FY2019/FY2020 ARs (Companies House 09837692) show the licence application still pending</t>
        </is>
      </c>
      <c r="G6" s="6" t="inlineStr">
        <is>
          <t>Not applicable – not a PRA-authorised bank until 19 Nov 2024, so no CRR Pillar 3 duty; FY2019/FY2020 ARs (Companies House 09837692) show the licence application still pending</t>
        </is>
      </c>
      <c r="H6" s="6" t="inlineStr">
        <is>
          <t>Not applicable – not a PRA-authorised bank until 19 Nov 2024, so no CRR Pillar 3 duty; FY2019/FY2020 ARs (Companies House 09837692) show the licence application still pending</t>
        </is>
      </c>
      <c r="I6" s="6" t="inlineStr">
        <is>
          <t>Not applicable – not a PRA-authorised bank until 19 Nov 2024, so no CRR Pillar 3 duty; FY2019/FY2020 ARs (Companies House 09837692) show the licence application still pending</t>
        </is>
      </c>
    </row>
    <row r="8" ht="403" customHeight="1">
      <c r="A8"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1">
    <mergeCell ref="A8:I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Vida Bank Limited — MREL Ratio</t>
        </is>
      </c>
    </row>
    <row r="2">
      <c r="A2" s="2" t="inlineStr">
        <is>
          <t>Vida Group Holdings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ratio</t>
        </is>
      </c>
      <c r="B4" s="6" t="inlineStr">
        <is>
          <t>Not published – Vida Group Holdings Pillar 3 report 2025 and 2024 (9pp each, re-read 2026-09-19) contain no MREL figure or mention</t>
        </is>
      </c>
      <c r="C4" s="6" t="inlineStr">
        <is>
          <t>Not published – Vida Group Holdings Pillar 3 report 2025 and 2024 (9pp each, re-read 2026-09-19) contain no MREL figure or mention</t>
        </is>
      </c>
      <c r="D4" s="6" t="inlineStr">
        <is>
          <t>Not applicable – not a PRA-authorised bank until 19 Nov 2024, so no CRR Pillar 3 duty; FY2019/FY2020 ARs (Companies House 09837692) show the licence application still pending</t>
        </is>
      </c>
      <c r="E4" s="6" t="inlineStr">
        <is>
          <t>Not applicable – not a PRA-authorised bank until 19 Nov 2024, so no CRR Pillar 3 duty; FY2019/FY2020 ARs (Companies House 09837692) show the licence application still pending</t>
        </is>
      </c>
      <c r="F4" s="6" t="inlineStr">
        <is>
          <t>Not applicable – not a PRA-authorised bank until 19 Nov 2024, so no CRR Pillar 3 duty; FY2019/FY2020 ARs (Companies House 09837692) show the licence application still pending</t>
        </is>
      </c>
      <c r="G4" s="6" t="inlineStr">
        <is>
          <t>Not applicable – not a PRA-authorised bank until 19 Nov 2024, so no CRR Pillar 3 duty; FY2019/FY2020 ARs (Companies House 09837692) show the licence application still pending</t>
        </is>
      </c>
      <c r="H4" s="6" t="inlineStr">
        <is>
          <t>Not applicable – not a PRA-authorised bank until 19 Nov 2024, so no CRR Pillar 3 duty; FY2019/FY2020 ARs (Companies House 09837692) show the licence application still pending</t>
        </is>
      </c>
      <c r="I4" s="6" t="inlineStr">
        <is>
          <t>Not applicable – not a PRA-authorised bank until 19 Nov 2024, so no CRR Pillar 3 duty; FY2019/FY2020 ARs (Companies House 09837692) show the licence application still pending</t>
        </is>
      </c>
    </row>
    <row r="5" ht="39" customHeight="1">
      <c r="A5" s="7" t="inlineStr">
        <is>
          <t>Note: FY2025/FY2024: no MREL disclosure (numeric or qualitative) found in either Pillar 3 report - Vida is a small, recently-authorised bank and does not appear to be within scope of an MREL-above-minimum-capital requirement based on its own disclosures. FY2018-FY2023 read 'Not applicable' rather than 'Not disclosed' because the entity held no banking licence in those years, so no MREL requirement could attach to it in the first place - the two are different findings and were previously conflated here.</t>
        </is>
      </c>
    </row>
    <row r="7" ht="403" customHeight="1">
      <c r="A7" s="8" t="inlineStr">
        <is>
          <t>Sources - Vida Group Holdings Limited/plc Pillar 3 disclosures (Table 3.1 KM1 - Key Metrics; the smallest regulatory group Vida Bank Limited is consolidated into - no Vida-Bank-Limited-only Pillar 3 disclosure is separately published):
FY2025: Vida Group Holdings plc Pillar 3 Disclosures 2025, p.5 (3.1 Key Metrics / Table KM1) - https://www.vidabank.co.uk/media/od2lpxc0/vghl-pillar-3-report-2025-final.pdf
FY2024: Vida Group Holdings Limited Pillar 3 Disclosures 2024, p.5 (3.1 Key Metrics / Table KM1) - https://www.vidabank.co.uk/media/mucbqgwi/vghl-pillar-3-report-2024-final.pdf
BASIS DETERMINATION, made 2026-09-15 by reading section 1.3 'Scope' of both reports directly (they are word-for-word identical on this point). Verbatim: 'VGHL is a financial holding company and it is a CRR consolidation entity. This Pillar 3 report is prepared on a consolidated basis. Vida Bank Limited ("VBL") is the principal regulated subsidiary of the Group. The same basis of consolidation is used for the preparation of the Group's Annual Report and Accounts as is used for regulatory reporting.' Section 1.2 'Basis of Disclosure' adds, equally verbatim: 'Regulatory ratios are presented on a Group-basis only.' Three consequences follow, and they are why the figures above are kept rather than demoted to memo rows. (1) VGHL is not an incidental parent that merely happens to contain the bank - it is the CRR CONSOLIDATION ENTITY, i.e. the level at which the PRA actually sets and measures Vida's regulatory capital requirement, with VBL as the principal regulated subsidiary. This is the smallest regulatory group VBL belongs to. (2) No VBL-solo ratio exists to prefer over it: 'Group-basis only' is the publisher's own statement that the solo figures are not disclosed anywhere, so the choice is between the consolidated figure and nothing at all - not between a group figure and a suppressed entity figure. (3) The Group and the Annual Report use the same basis of consolidation, so these ratios are reconcilable to the accounts in this workbook rather than sitting on an unrelated perimeter. Accordingly every Pillar 3 sheet in this workbook carries the subtitle 'Vida Group Holdings basis' so the reader is never shown a consolidated ratio labelled as an entity one - the project rule this workbook observes is that group figures are never SUBSTITUTED for entity figures unlabelled, which is a different thing from refusing to report the only regulatory ratio that exists. Note also that both reports are reduced-scope Article 433b disclosures ('small and non-complex institution', UK CRR Article 4(145)), which is why the metric set here is narrower than a large bank's - it is a permitted reduction, not an omission.
No Pillar 3 disclosure exists for FY2018-FY2023: Pillar 3 only applies once PRA-authorised as a deposit-taker, which happened 19 November 2024 (see ENTITY_NOTE on the Cash Flow Statement sheet). FY2018-FY2020 the company was FCA-regulated only (not PRA-authorised at all, no banking licence); its FY2019 and FY2020 Annual Reports confirm the banking licence application was still in progress/delayed those years.
RE-VERIFIED 2026-09-12 (disclosure audit): the pre-authorisation gap is STRUCTURAL, independently confirmed against the Companies House register rather than the workbook's own prior claim. Company 09837692 was incorporated 22 October 2015 and traded as 'Belmont Green Finance Ltd' (22 Oct 2015 - 10 Jun 2019) and then 'Belmont Green Finance Limited' (10 Jun 2019 - 25 Nov 2024), only taking the name 'Vida Bank Limited' on 25 November 2024 - six days after the 19 November 2024 PRA authorisation. No Pillar 3 obligation can therefore exist for FY2018-FY2023, so those years are blank by regulation, not by omission.
SDDT - EXPLICIT NEGATIVE, recorded 2026-09-15 (cross-bank SDDT date-fit pass) so that a future pass does not wrongly apply the Small Domestic Deposit Taker exemption to this workbook's gap years. Vida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738741, 'Vida Bank Limited': (a) 'Modification by Consent - PRA Rulebook - CRR Firms - Rule 3.1 of the SDDT Regime - General Application Part', sub rule 'Ru 3.1', waiver ref 'A00011924P.pdf', START DATE 03/04/2026, no end date; plus two eligibility-criteria modifications under sub rules 'Ru 1.2' and 'Ru 2.1(9)', both ref 'A00010069P.pdf', start 25/03/2026, end 25/03/2029. Only row (a) matters: Rule 3.1 is the actual opt-in that removes the Pillar 3 disclosure obligation, whereas rules 1.2 and 2.1(9) merely modify eligibility CRITERIA (2.1(9) waives the 'any parent undertaking of the firm is a UK undertaking' test) and are not themselves evidence of any disclosure exemption.
DATE FIT - IT DOES NOT FIT. Vida's accounting reference date is 31 DECEMBER, confirmed at Companies House (company 09837692, an unbroken run of accounts to 31 December from 2019 to 2025). The outstanding Pillar 3 gap years are FY2021, FY2022 and FY2023, which ended 31 December 2021, 2022 and 2023 respectively. The Rule 3.1 modification began 3 APRIL 2026 - between two and four and a half years AFTER every one of those year-ends, and after the FY2025 year-end too. A modification cannot explain a gap that predates it, so the SDDT regime explains NONE of the FY2021-FY2023 blanks.
Those gaps already have a different and fully sufficient explanation, set out immediately above, and it is left exactly as it stands: the entity was not PRA-authorised as a deposit-taker until 19 November 2024, so no Pillar 3 obligation existed in any of those years. That is a structural pre-authorisation absence, not an exemption. The register finding changes no cell in this workbook. Its only forward-looking value is that from 3 April 2026 Vida is an SDDT, so Pillar 3 documents of the kind used for FY2024 and FY2025 should not be expected for FY2026 onward. Note finally that this is the SDDT DISCLOSURE exemption, which is in force now - not the separate SDDT CAPITAL regime that begins 1 January 2027; the two are easy to conflate and must not be.</t>
        </is>
      </c>
    </row>
  </sheetData>
  <mergeCells count="2">
    <mergeCell ref="A5:I5"/>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2026-10-26T09:36:20Z</dcterms:created>
  <dcterms:modified xmlns:dcterms="http://purl.org/dc/terms/" xmlns:xsi="http://www.w3.org/2001/XMLSchema-instance" xsi:type="dcterms:W3CDTF">2026-10-26T09:36:20Z</dcterms:modified>
</cp:coreProperties>
</file>