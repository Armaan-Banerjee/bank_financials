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2C00"/>
        <bgColor rgb="006E2C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Vida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Vida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Vida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Vida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Vida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Vida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3476346</v>
      </c>
      <c r="C6" s="5" t="n">
        <v>2079467</v>
      </c>
      <c r="D6" s="5" t="n">
        <v>1780102</v>
      </c>
      <c r="E6" s="5" t="n">
        <v>1809020</v>
      </c>
      <c r="F6" s="5" t="n">
        <v>1854266</v>
      </c>
      <c r="G6" s="5" t="n">
        <v>1694401</v>
      </c>
      <c r="H6" s="5" t="n">
        <v>1650714</v>
      </c>
      <c r="I6" s="5" t="n">
        <v>1245872</v>
      </c>
      <c r="L6" t="inlineStr">
        <is>
          <t>Total assets</t>
        </is>
      </c>
      <c r="M6" t="n">
        <v>1245872</v>
      </c>
      <c r="N6" t="n">
        <v>1650714</v>
      </c>
      <c r="O6" t="n">
        <v>1694401</v>
      </c>
      <c r="P6" t="n">
        <v>1854266</v>
      </c>
      <c r="Q6" t="n">
        <v>1809020</v>
      </c>
      <c r="R6" t="n">
        <v>1780102</v>
      </c>
      <c r="S6" t="n">
        <v>2079467</v>
      </c>
      <c r="T6" t="n">
        <v>3476346</v>
      </c>
      <c r="BD6" t="inlineStr">
        <is>
          <t>CET1 Ratio</t>
        </is>
      </c>
      <c r="BK6" t="n">
        <v>16.2</v>
      </c>
      <c r="BL6" t="n">
        <v>15.2</v>
      </c>
    </row>
    <row r="7">
      <c r="A7" s="5" t="inlineStr">
        <is>
          <t>Loans to customers</t>
        </is>
      </c>
      <c r="B7" s="5" t="n">
        <v>2301831</v>
      </c>
      <c r="C7" s="5" t="n">
        <v>1866006</v>
      </c>
      <c r="D7" s="5" t="n">
        <v>1712271</v>
      </c>
      <c r="E7" s="5" t="n">
        <v>1761996</v>
      </c>
      <c r="F7" s="5" t="n">
        <v>1811577</v>
      </c>
      <c r="G7" s="5" t="n">
        <v>1635572</v>
      </c>
      <c r="H7" s="5" t="n">
        <v>1599800</v>
      </c>
      <c r="I7" s="5" t="n">
        <v>1197862</v>
      </c>
      <c r="L7" t="inlineStr">
        <is>
          <t>Loans to customers</t>
        </is>
      </c>
      <c r="M7" t="n">
        <v>1197862</v>
      </c>
      <c r="N7" t="n">
        <v>1599800</v>
      </c>
      <c r="O7" t="n">
        <v>1635572</v>
      </c>
      <c r="P7" t="n">
        <v>1811577</v>
      </c>
      <c r="Q7" t="n">
        <v>1761996</v>
      </c>
      <c r="R7" t="n">
        <v>1712271</v>
      </c>
      <c r="S7" t="n">
        <v>1866006</v>
      </c>
      <c r="T7" t="n">
        <v>2301831</v>
      </c>
      <c r="BD7" t="inlineStr">
        <is>
          <t>Tier 1 Ratio</t>
        </is>
      </c>
      <c r="BK7" t="n">
        <v>16.2</v>
      </c>
      <c r="BL7" t="n">
        <v>15.2</v>
      </c>
    </row>
    <row r="8">
      <c r="A8" s="5" t="inlineStr">
        <is>
          <t>Retail deposits</t>
        </is>
      </c>
      <c r="B8" s="5" t="n">
        <v>2425702</v>
      </c>
      <c r="C8" s="5" t="n">
        <v>173113</v>
      </c>
      <c r="D8" s="5" t="n"/>
      <c r="E8" s="5" t="n"/>
      <c r="F8" s="5" t="n"/>
      <c r="G8" s="5" t="n"/>
      <c r="H8" s="5" t="n"/>
      <c r="I8" s="5" t="n"/>
      <c r="L8" t="inlineStr">
        <is>
          <t>Retail deposits</t>
        </is>
      </c>
      <c r="S8" t="n">
        <v>173113</v>
      </c>
      <c r="T8" t="n">
        <v>2425702</v>
      </c>
      <c r="BD8" t="inlineStr">
        <is>
          <t>Total Capital Ratio</t>
        </is>
      </c>
      <c r="BK8" t="n">
        <v>16.2</v>
      </c>
      <c r="BL8" t="n">
        <v>18.3</v>
      </c>
    </row>
    <row r="9">
      <c r="A9" s="5" t="inlineStr">
        <is>
          <t>Total shareholders' equity</t>
        </is>
      </c>
      <c r="B9" s="5" t="n">
        <v>177779</v>
      </c>
      <c r="C9" s="5" t="n">
        <v>165080</v>
      </c>
      <c r="D9" s="5" t="n">
        <v>122069</v>
      </c>
      <c r="E9" s="5" t="n">
        <v>131006</v>
      </c>
      <c r="F9" s="5" t="n">
        <v>126641</v>
      </c>
      <c r="G9" s="5" t="n">
        <v>124246</v>
      </c>
      <c r="H9" s="5" t="n">
        <v>115073</v>
      </c>
      <c r="I9" s="5" t="n">
        <v>100178</v>
      </c>
      <c r="L9" t="inlineStr">
        <is>
          <t>Total shareholders' equity</t>
        </is>
      </c>
      <c r="M9" t="n">
        <v>100178</v>
      </c>
      <c r="N9" t="n">
        <v>115073</v>
      </c>
      <c r="O9" t="n">
        <v>124246</v>
      </c>
      <c r="P9" t="n">
        <v>126641</v>
      </c>
      <c r="Q9" t="n">
        <v>131006</v>
      </c>
      <c r="R9" t="n">
        <v>122069</v>
      </c>
      <c r="S9" t="n">
        <v>165080</v>
      </c>
      <c r="T9" t="n">
        <v>177779</v>
      </c>
      <c r="BD9" t="inlineStr">
        <is>
          <t>Leverage Ratio</t>
        </is>
      </c>
      <c r="BK9" t="n">
        <v>6.9</v>
      </c>
      <c r="BL9" t="n">
        <v>4.9</v>
      </c>
    </row>
    <row r="10">
      <c r="BD10" t="inlineStr">
        <is>
          <t>LCR</t>
        </is>
      </c>
      <c r="BK10" t="n">
        <v>1045</v>
      </c>
      <c r="BL10" t="n">
        <v>163</v>
      </c>
    </row>
    <row r="11">
      <c r="A11" s="3" t="inlineStr">
        <is>
          <t>Profit &amp; Loss Summary (£'000)</t>
        </is>
      </c>
      <c r="BD11" t="inlineStr">
        <is>
          <t>NSFR</t>
        </is>
      </c>
      <c r="BK11" t="n">
        <v>110</v>
      </c>
      <c r="BL11" t="n">
        <v>138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57655</v>
      </c>
      <c r="C13" s="5" t="n">
        <v>41023</v>
      </c>
      <c r="D13" s="5" t="n">
        <v>38536</v>
      </c>
      <c r="E13" s="5" t="n">
        <v>36024</v>
      </c>
      <c r="F13" s="5" t="n">
        <v>34088</v>
      </c>
      <c r="G13" s="5" t="n">
        <v>24666</v>
      </c>
      <c r="H13" s="5" t="n">
        <v>-1281</v>
      </c>
      <c r="I13" s="5" t="n">
        <v>16996</v>
      </c>
      <c r="W13" t="inlineStr">
        <is>
          <t>Net operating income</t>
        </is>
      </c>
      <c r="X13" t="n">
        <v>16996</v>
      </c>
      <c r="Y13" t="n">
        <v>-1281</v>
      </c>
      <c r="Z13" t="n">
        <v>24666</v>
      </c>
      <c r="AA13" t="n">
        <v>34088</v>
      </c>
      <c r="AB13" t="n">
        <v>36024</v>
      </c>
      <c r="AC13" t="n">
        <v>38536</v>
      </c>
      <c r="AD13" t="n">
        <v>41023</v>
      </c>
      <c r="AE13" t="n">
        <v>57655</v>
      </c>
    </row>
    <row r="14">
      <c r="A14" s="5" t="inlineStr">
        <is>
          <t>Administrative expenses</t>
        </is>
      </c>
      <c r="B14" s="5" t="n">
        <v>-42450</v>
      </c>
      <c r="C14" s="5" t="n">
        <v>-34231</v>
      </c>
      <c r="D14" s="5" t="n">
        <v>-32438</v>
      </c>
      <c r="E14" s="5" t="n">
        <v>-35502</v>
      </c>
      <c r="F14" s="5" t="n">
        <v>-30932</v>
      </c>
      <c r="G14" s="5" t="n">
        <v>-28043</v>
      </c>
      <c r="H14" s="5" t="n">
        <v>-31642</v>
      </c>
      <c r="I14" s="5" t="n">
        <v>-25132</v>
      </c>
      <c r="W14" t="inlineStr">
        <is>
          <t>Administrative expenses</t>
        </is>
      </c>
      <c r="X14" t="n">
        <v>-25132</v>
      </c>
      <c r="Y14" t="n">
        <v>-31642</v>
      </c>
      <c r="Z14" t="n">
        <v>-28043</v>
      </c>
      <c r="AA14" t="n">
        <v>-30932</v>
      </c>
      <c r="AB14" t="n">
        <v>-35502</v>
      </c>
      <c r="AC14" t="n">
        <v>-32438</v>
      </c>
      <c r="AD14" t="n">
        <v>-34231</v>
      </c>
      <c r="AE14" t="n">
        <v>-42450</v>
      </c>
    </row>
    <row r="15">
      <c r="A15" s="5" t="inlineStr">
        <is>
          <t>Profit for the year</t>
        </is>
      </c>
      <c r="B15" s="5" t="n">
        <v>13097</v>
      </c>
      <c r="C15" s="5" t="n">
        <v>6434</v>
      </c>
      <c r="D15" s="5" t="n">
        <v>6068</v>
      </c>
      <c r="E15" s="5" t="n">
        <v>1984</v>
      </c>
      <c r="F15" s="5" t="n">
        <v>4659</v>
      </c>
      <c r="G15" s="5" t="n">
        <v>-6336</v>
      </c>
      <c r="H15" s="5" t="n">
        <v>-31164</v>
      </c>
      <c r="I15" s="5" t="n">
        <v>-9019</v>
      </c>
      <c r="W15" t="inlineStr">
        <is>
          <t>Profit for the year</t>
        </is>
      </c>
      <c r="X15" t="n">
        <v>-9019</v>
      </c>
      <c r="Y15" t="n">
        <v>-31164</v>
      </c>
      <c r="Z15" t="n">
        <v>-6336</v>
      </c>
      <c r="AA15" t="n">
        <v>4659</v>
      </c>
      <c r="AB15" t="n">
        <v>1984</v>
      </c>
      <c r="AC15" t="n">
        <v>6068</v>
      </c>
      <c r="AD15" t="n">
        <v>6434</v>
      </c>
      <c r="AE15" t="n">
        <v>13097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165080</v>
      </c>
      <c r="C19" s="5" t="n">
        <v>122070</v>
      </c>
      <c r="D19" s="5" t="n">
        <v>131006</v>
      </c>
      <c r="E19" s="5" t="n">
        <v>126641</v>
      </c>
      <c r="F19" s="5" t="n">
        <v>124246</v>
      </c>
      <c r="G19" s="5" t="n">
        <v>115072</v>
      </c>
      <c r="H19" s="5" t="n">
        <v>100015</v>
      </c>
      <c r="I19" s="5" t="n">
        <v>56846</v>
      </c>
      <c r="AH19" t="inlineStr">
        <is>
          <t>Opening equity</t>
        </is>
      </c>
      <c r="AI19" t="n">
        <v>56846</v>
      </c>
      <c r="AJ19" t="n">
        <v>100015</v>
      </c>
      <c r="AK19" t="n">
        <v>115072</v>
      </c>
      <c r="AL19" t="n">
        <v>124246</v>
      </c>
      <c r="AM19" t="n">
        <v>126641</v>
      </c>
      <c r="AN19" t="n">
        <v>131006</v>
      </c>
      <c r="AO19" t="n">
        <v>122070</v>
      </c>
      <c r="AP19" t="n">
        <v>165080</v>
      </c>
    </row>
    <row r="20">
      <c r="A20" s="5" t="inlineStr">
        <is>
          <t>Total comprehensive income/(loss) for the year</t>
        </is>
      </c>
      <c r="B20" s="5" t="n">
        <v>12699</v>
      </c>
      <c r="C20" s="5" t="n">
        <v>6434</v>
      </c>
      <c r="D20" s="5" t="n">
        <v>-8937</v>
      </c>
      <c r="E20" s="5" t="n">
        <v>4365</v>
      </c>
      <c r="F20" s="5" t="n">
        <v>-5905</v>
      </c>
      <c r="G20" s="5" t="n">
        <v>-18676</v>
      </c>
      <c r="H20" s="5" t="n">
        <v>-23693</v>
      </c>
      <c r="I20" s="5" t="n">
        <v>-1451</v>
      </c>
      <c r="AH20" t="inlineStr">
        <is>
          <t>Total comprehensive income/(loss) for the year</t>
        </is>
      </c>
      <c r="AI20" t="n">
        <v>-1451</v>
      </c>
      <c r="AJ20" t="n">
        <v>-23693</v>
      </c>
      <c r="AK20" t="n">
        <v>-18676</v>
      </c>
      <c r="AL20" t="n">
        <v>-5905</v>
      </c>
      <c r="AM20" t="n">
        <v>4365</v>
      </c>
      <c r="AN20" t="n">
        <v>-8937</v>
      </c>
      <c r="AO20" t="n">
        <v>6434</v>
      </c>
      <c r="AP20" t="n">
        <v>12699</v>
      </c>
    </row>
    <row r="21">
      <c r="A21" s="5" t="inlineStr">
        <is>
          <t>Other equity movements, net</t>
        </is>
      </c>
      <c r="B21" s="5" t="n">
        <v>0</v>
      </c>
      <c r="C21" s="5" t="n">
        <v>36576</v>
      </c>
      <c r="D21" s="5" t="n">
        <v>0</v>
      </c>
      <c r="E21" s="5" t="n">
        <v>0</v>
      </c>
      <c r="F21" s="5" t="n">
        <v>8300</v>
      </c>
      <c r="G21" s="5" t="n">
        <v>27850</v>
      </c>
      <c r="H21" s="5" t="n">
        <v>38671</v>
      </c>
      <c r="I21" s="5" t="n">
        <v>44782</v>
      </c>
      <c r="AH21" t="inlineStr">
        <is>
          <t>Other equity movements, net</t>
        </is>
      </c>
      <c r="AI21" t="n">
        <v>44782</v>
      </c>
      <c r="AJ21" t="n">
        <v>38671</v>
      </c>
      <c r="AK21" t="n">
        <v>27850</v>
      </c>
      <c r="AL21" t="n">
        <v>8300</v>
      </c>
      <c r="AM21" t="n">
        <v>0</v>
      </c>
      <c r="AN21" t="n">
        <v>0</v>
      </c>
      <c r="AO21" t="n">
        <v>36576</v>
      </c>
      <c r="AP21" t="n">
        <v>0</v>
      </c>
    </row>
    <row r="22">
      <c r="A22" s="5" t="inlineStr">
        <is>
          <t>Closing equity</t>
        </is>
      </c>
      <c r="B22" s="5" t="n">
        <v>177779</v>
      </c>
      <c r="C22" s="5" t="n">
        <v>165080</v>
      </c>
      <c r="D22" s="5" t="n">
        <v>122069</v>
      </c>
      <c r="E22" s="5" t="n">
        <v>131006</v>
      </c>
      <c r="F22" s="5" t="n">
        <v>126641</v>
      </c>
      <c r="G22" s="5" t="n">
        <v>124246</v>
      </c>
      <c r="H22" s="5" t="n">
        <v>114993</v>
      </c>
      <c r="I22" s="5" t="n">
        <v>100177</v>
      </c>
      <c r="AH22" t="inlineStr">
        <is>
          <t>Closing equity</t>
        </is>
      </c>
      <c r="AI22" t="n">
        <v>100177</v>
      </c>
      <c r="AJ22" t="n">
        <v>114993</v>
      </c>
      <c r="AK22" t="n">
        <v>124246</v>
      </c>
      <c r="AL22" t="n">
        <v>126641</v>
      </c>
      <c r="AM22" t="n">
        <v>131006</v>
      </c>
      <c r="AN22" t="n">
        <v>122069</v>
      </c>
      <c r="AO22" t="n">
        <v>165080</v>
      </c>
      <c r="AP22" t="n">
        <v>177779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1766849</v>
      </c>
      <c r="C26" s="5" t="n">
        <v>70662</v>
      </c>
      <c r="D26" s="5" t="n">
        <v>65493</v>
      </c>
      <c r="E26" s="5" t="n"/>
      <c r="F26" s="5" t="n">
        <v>-179449</v>
      </c>
      <c r="G26" s="5" t="n">
        <v>-47723</v>
      </c>
      <c r="H26" s="5" t="n">
        <v>-423882</v>
      </c>
      <c r="I26" s="5" t="n">
        <v>-763195</v>
      </c>
      <c r="AS26" t="inlineStr">
        <is>
          <t>Net cash from/(used in) operating activities</t>
        </is>
      </c>
      <c r="AT26" t="n">
        <v>-763195</v>
      </c>
      <c r="AU26" t="n">
        <v>-423882</v>
      </c>
      <c r="AV26" t="n">
        <v>-47723</v>
      </c>
      <c r="AW26" t="n">
        <v>-179449</v>
      </c>
      <c r="AY26" t="n">
        <v>65493</v>
      </c>
      <c r="AZ26" t="n">
        <v>70662</v>
      </c>
      <c r="BA26" t="n">
        <v>1766849</v>
      </c>
    </row>
    <row r="27">
      <c r="A27" s="5" t="inlineStr">
        <is>
          <t>Net cash from/(used in) investing activities</t>
        </is>
      </c>
      <c r="B27" s="5" t="n">
        <v>-104</v>
      </c>
      <c r="C27" s="5" t="n">
        <v>-408</v>
      </c>
      <c r="D27" s="5" t="n">
        <v>-698</v>
      </c>
      <c r="E27" s="5" t="n"/>
      <c r="F27" s="5" t="n">
        <v>-1757</v>
      </c>
      <c r="G27" s="5" t="n">
        <v>-1113</v>
      </c>
      <c r="H27" s="5" t="n">
        <v>-4848</v>
      </c>
      <c r="I27" s="5" t="n">
        <v>-1319</v>
      </c>
      <c r="AS27" t="inlineStr">
        <is>
          <t>Net cash from/(used in) investing activities</t>
        </is>
      </c>
      <c r="AT27" t="n">
        <v>-1319</v>
      </c>
      <c r="AU27" t="n">
        <v>-4848</v>
      </c>
      <c r="AV27" t="n">
        <v>-1113</v>
      </c>
      <c r="AW27" t="n">
        <v>-1757</v>
      </c>
      <c r="AY27" t="n">
        <v>-698</v>
      </c>
      <c r="AZ27" t="n">
        <v>-408</v>
      </c>
      <c r="BA27" t="n">
        <v>-104</v>
      </c>
    </row>
    <row r="28">
      <c r="A28" s="5" t="inlineStr">
        <is>
          <t>Net cash from/(used in) financing activities</t>
        </is>
      </c>
      <c r="B28" s="5" t="n">
        <v>-1655356</v>
      </c>
      <c r="C28" s="5" t="n">
        <v>56070</v>
      </c>
      <c r="D28" s="5" t="n">
        <v>-62554</v>
      </c>
      <c r="E28" s="5" t="n"/>
      <c r="F28" s="5" t="n">
        <v>176598</v>
      </c>
      <c r="G28" s="5" t="n">
        <v>62865</v>
      </c>
      <c r="H28" s="5" t="n">
        <v>427129</v>
      </c>
      <c r="I28" s="5" t="n">
        <v>762126</v>
      </c>
      <c r="AS28" t="inlineStr">
        <is>
          <t>Net cash from/(used in) financing activities</t>
        </is>
      </c>
      <c r="AT28" t="n">
        <v>762126</v>
      </c>
      <c r="AU28" t="n">
        <v>427129</v>
      </c>
      <c r="AV28" t="n">
        <v>62865</v>
      </c>
      <c r="AW28" t="n">
        <v>176598</v>
      </c>
      <c r="AY28" t="n">
        <v>-62554</v>
      </c>
      <c r="AZ28" t="n">
        <v>56070</v>
      </c>
      <c r="BA28" t="n">
        <v>-1655356</v>
      </c>
    </row>
    <row r="29">
      <c r="A29" s="5" t="inlineStr">
        <is>
          <t>Cash and cash equivalents at end of year</t>
        </is>
      </c>
      <c r="B29" s="5" t="n">
        <v>254874</v>
      </c>
      <c r="C29" s="5" t="n">
        <v>143485</v>
      </c>
      <c r="D29" s="5" t="n">
        <v>17161</v>
      </c>
      <c r="E29" s="5" t="n"/>
      <c r="F29" s="5" t="n">
        <v>13500</v>
      </c>
      <c r="G29" s="5" t="n">
        <v>18108</v>
      </c>
      <c r="H29" s="5" t="n">
        <v>4079</v>
      </c>
      <c r="I29" s="5" t="n">
        <v>5680</v>
      </c>
      <c r="AS29" t="inlineStr">
        <is>
          <t>Cash and cash equivalents at end of year</t>
        </is>
      </c>
      <c r="AT29" t="n">
        <v>5680</v>
      </c>
      <c r="AU29" t="n">
        <v>4079</v>
      </c>
      <c r="AV29" t="n">
        <v>18108</v>
      </c>
      <c r="AW29" t="n">
        <v>13500</v>
      </c>
      <c r="AY29" t="n">
        <v>17161</v>
      </c>
      <c r="AZ29" t="n">
        <v>143485</v>
      </c>
      <c r="BA29" t="n">
        <v>254874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15.2%</t>
        </is>
      </c>
      <c r="C33" s="6" t="inlineStr">
        <is>
          <t>16.2%</t>
        </is>
      </c>
      <c r="D33" s="6" t="n"/>
      <c r="E33" s="6" t="n"/>
      <c r="F33" s="6" t="n"/>
      <c r="G33" s="6" t="n"/>
      <c r="H33" s="6" t="n"/>
      <c r="I33" s="6" t="n"/>
    </row>
    <row r="34">
      <c r="A34" s="6" t="inlineStr">
        <is>
          <t>Tier 1 Ratio</t>
        </is>
      </c>
      <c r="B34" s="6" t="inlineStr">
        <is>
          <t>15.2%</t>
        </is>
      </c>
      <c r="C34" s="6" t="inlineStr">
        <is>
          <t>16.2%</t>
        </is>
      </c>
      <c r="D34" s="6" t="n"/>
      <c r="E34" s="6" t="n"/>
      <c r="F34" s="6" t="n"/>
      <c r="G34" s="6" t="n"/>
      <c r="H34" s="6" t="n"/>
      <c r="I34" s="6" t="n"/>
    </row>
    <row r="35">
      <c r="A35" s="6" t="inlineStr">
        <is>
          <t>Total Capital Ratio</t>
        </is>
      </c>
      <c r="B35" s="6" t="inlineStr">
        <is>
          <t>18.3%</t>
        </is>
      </c>
      <c r="C35" s="6" t="inlineStr">
        <is>
          <t>16.2%</t>
        </is>
      </c>
      <c r="D35" s="6" t="n"/>
      <c r="E35" s="6" t="n"/>
      <c r="F35" s="6" t="n"/>
      <c r="G35" s="6" t="n"/>
      <c r="H35" s="6" t="n"/>
      <c r="I35" s="6" t="n"/>
    </row>
    <row r="36">
      <c r="A36" s="6" t="inlineStr">
        <is>
          <t>Leverage Ratio</t>
        </is>
      </c>
      <c r="B36" s="6" t="inlineStr">
        <is>
          <t>4.9%</t>
        </is>
      </c>
      <c r="C36" s="6" t="inlineStr">
        <is>
          <t>6.9%</t>
        </is>
      </c>
      <c r="D36" s="6" t="n"/>
      <c r="E36" s="6" t="n"/>
      <c r="F36" s="6" t="n"/>
      <c r="G36" s="6" t="n"/>
      <c r="H36" s="6" t="n"/>
      <c r="I36" s="6" t="n"/>
    </row>
    <row r="37">
      <c r="A37" s="6" t="inlineStr">
        <is>
          <t>LCR</t>
        </is>
      </c>
      <c r="B37" s="6" t="inlineStr">
        <is>
          <t>163%</t>
        </is>
      </c>
      <c r="C37" s="6" t="inlineStr">
        <is>
          <t>1,045%</t>
        </is>
      </c>
      <c r="D37" s="6" t="n"/>
      <c r="E37" s="6" t="n"/>
      <c r="F37" s="6" t="n"/>
      <c r="G37" s="6" t="n"/>
      <c r="H37" s="6" t="n"/>
      <c r="I37" s="6" t="n"/>
    </row>
    <row r="38">
      <c r="A38" s="6" t="inlineStr">
        <is>
          <t>NSFR</t>
        </is>
      </c>
      <c r="B38" s="6" t="inlineStr">
        <is>
          <t>138%</t>
        </is>
      </c>
      <c r="C38" s="6" t="inlineStr">
        <is>
          <t>110%</t>
        </is>
      </c>
      <c r="D38" s="6" t="n"/>
      <c r="E38" s="6" t="n"/>
      <c r="F38" s="6" t="n"/>
      <c r="G38" s="6" t="n"/>
      <c r="H38" s="6" t="n"/>
      <c r="I38" s="6" t="n"/>
    </row>
    <row r="40" ht="45" customHeight="1">
      <c r="A40" s="7" t="inlineStr">
        <is>
          <t>Note: Figures are duplicated from the detail sheets for at-a-glance trend viewing; see each sheet's own source citation for the underlying document/page. FY2022 cash flow and FY2018-FY2023 Pillar 3 are blank - Vida only became a PRA-authorised bank on 19 November 2024 (no Pillar 3 exists before then; FY2018-FY2020 the entity was regulated only by the FCA, with no banking licence application even complete until later), and FY2022's own Annual Report doesn't present a full cash flow statement on a basis comparable to other years - see the Cash Flow Statement sheet's source note for details. The Balance Sheet/Equity/Cash Flow sheets and the Income Statement/Asset Quality sheets are on different bases (Company vs Group) in most pre-2024 years - see each sheet's own source note.</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Company Statement of Financial Position</t>
        </is>
      </c>
    </row>
    <row r="2">
      <c r="A2" s="2" t="inlineStr">
        <is>
          <t>Company (non-consolidated)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t>
        </is>
      </c>
      <c r="B5" s="6" t="n">
        <v>254874</v>
      </c>
      <c r="C5" s="6" t="n">
        <v>143485</v>
      </c>
      <c r="D5" s="6" t="n">
        <v>17161</v>
      </c>
      <c r="E5" s="6" t="n">
        <v>14919</v>
      </c>
      <c r="F5" s="6" t="n">
        <v>13500</v>
      </c>
      <c r="G5" s="6" t="n">
        <v>18109</v>
      </c>
      <c r="H5" s="6" t="n">
        <v>4079</v>
      </c>
      <c r="I5" s="6" t="n">
        <v>5680</v>
      </c>
    </row>
    <row r="6">
      <c r="A6" s="6" t="inlineStr">
        <is>
          <t>Total debt securities</t>
        </is>
      </c>
      <c r="B6" s="6" t="n">
        <v>819770</v>
      </c>
      <c r="C6" s="6" t="n">
        <v>34135</v>
      </c>
      <c r="D6" s="6" t="n"/>
      <c r="E6" s="6" t="n"/>
      <c r="F6" s="6" t="n"/>
      <c r="G6" s="6" t="n"/>
      <c r="H6" s="6" t="n"/>
      <c r="I6" s="6" t="n"/>
    </row>
    <row r="7">
      <c r="A7" s="6" t="inlineStr">
        <is>
          <t>Debt securities - UK Government securities (FVOCI)</t>
        </is>
      </c>
      <c r="B7" s="6" t="n">
        <v>537441</v>
      </c>
      <c r="C7" s="6" t="n">
        <v>34135</v>
      </c>
      <c r="D7" s="6" t="n"/>
      <c r="E7" s="6" t="n"/>
      <c r="F7" s="6" t="n"/>
      <c r="G7" s="6" t="n"/>
      <c r="H7" s="6" t="n"/>
      <c r="I7" s="6" t="n"/>
    </row>
    <row r="8">
      <c r="A8" s="6" t="inlineStr">
        <is>
          <t>Debt securities - Supranational bonds (FVOCI)</t>
        </is>
      </c>
      <c r="B8" s="6" t="n">
        <v>167080</v>
      </c>
      <c r="C8" s="6" t="n"/>
      <c r="D8" s="6" t="n"/>
      <c r="E8" s="6" t="n"/>
      <c r="F8" s="6" t="n"/>
      <c r="G8" s="6" t="n"/>
      <c r="H8" s="6" t="n"/>
      <c r="I8" s="6" t="n"/>
    </row>
    <row r="9">
      <c r="A9" s="6" t="inlineStr">
        <is>
          <t>Debt securities - Covered bonds (FVOCI)</t>
        </is>
      </c>
      <c r="B9" s="6" t="n">
        <v>115248</v>
      </c>
      <c r="C9" s="6" t="n"/>
      <c r="D9" s="6" t="n"/>
      <c r="E9" s="6" t="n"/>
      <c r="F9" s="6" t="n"/>
      <c r="G9" s="6" t="n"/>
      <c r="H9" s="6" t="n"/>
      <c r="I9" s="6" t="n"/>
    </row>
    <row r="10">
      <c r="A10" s="6" t="inlineStr">
        <is>
          <t>Loans to customers</t>
        </is>
      </c>
      <c r="B10" s="6" t="n">
        <v>2301831</v>
      </c>
      <c r="C10" s="6" t="n">
        <v>1866006</v>
      </c>
      <c r="D10" s="6" t="n">
        <v>1712271</v>
      </c>
      <c r="E10" s="6" t="n">
        <v>1761996</v>
      </c>
      <c r="F10" s="6" t="n">
        <v>1811577</v>
      </c>
      <c r="G10" s="6" t="n">
        <v>1635572</v>
      </c>
      <c r="H10" s="6" t="n">
        <v>1599800</v>
      </c>
      <c r="I10" s="6" t="n">
        <v>1197862</v>
      </c>
    </row>
    <row r="11">
      <c r="A11" s="6" t="inlineStr">
        <is>
          <t>Derivative financial instruments</t>
        </is>
      </c>
      <c r="B11" s="6" t="n">
        <v>10198</v>
      </c>
      <c r="C11" s="6" t="n">
        <v>2123</v>
      </c>
      <c r="D11" s="6" t="n"/>
      <c r="E11" s="6" t="n">
        <v>731</v>
      </c>
      <c r="F11" s="6" t="n"/>
      <c r="G11" s="6" t="n"/>
      <c r="H11" s="6" t="n"/>
      <c r="I11" s="6" t="n"/>
    </row>
    <row r="12">
      <c r="A12" s="6" t="inlineStr">
        <is>
          <t>Other receivables</t>
        </is>
      </c>
      <c r="B12" s="6" t="n">
        <v>71715</v>
      </c>
      <c r="C12" s="6" t="n">
        <v>16412</v>
      </c>
      <c r="D12" s="6" t="n">
        <v>34000</v>
      </c>
      <c r="E12" s="6" t="n">
        <v>13982</v>
      </c>
      <c r="F12" s="6" t="n">
        <v>11399</v>
      </c>
      <c r="G12" s="6" t="n">
        <v>15207</v>
      </c>
      <c r="H12" s="6" t="n">
        <v>21901</v>
      </c>
      <c r="I12" s="6" t="n">
        <v>25813</v>
      </c>
    </row>
    <row r="13">
      <c r="A13" s="6" t="inlineStr">
        <is>
          <t>Deferred taxation asset</t>
        </is>
      </c>
      <c r="B13" s="6" t="n">
        <v>15299</v>
      </c>
      <c r="C13" s="6" t="n">
        <v>13565</v>
      </c>
      <c r="D13" s="6" t="n">
        <v>13565</v>
      </c>
      <c r="E13" s="6" t="n">
        <v>13565</v>
      </c>
      <c r="F13" s="6" t="n">
        <v>12975</v>
      </c>
      <c r="G13" s="6" t="n">
        <v>11602</v>
      </c>
      <c r="H13" s="6" t="n">
        <v>10283</v>
      </c>
      <c r="I13" s="6" t="n">
        <v>6007</v>
      </c>
    </row>
    <row r="14">
      <c r="A14" s="6" t="inlineStr">
        <is>
          <t>Investment in subsidiaries</t>
        </is>
      </c>
      <c r="B14" s="6" t="n"/>
      <c r="C14" s="6" t="n"/>
      <c r="D14" s="6" t="n"/>
      <c r="E14" s="6" t="n"/>
      <c r="F14" s="6" t="n"/>
      <c r="G14" s="6" t="n">
        <v>9000</v>
      </c>
      <c r="H14" s="6" t="n">
        <v>9000</v>
      </c>
      <c r="I14" s="6" t="n">
        <v>9000</v>
      </c>
    </row>
    <row r="15">
      <c r="A15" s="6" t="inlineStr">
        <is>
          <t>Property, plant and equipment</t>
        </is>
      </c>
      <c r="B15" s="6" t="n">
        <v>1343</v>
      </c>
      <c r="C15" s="6" t="n">
        <v>1551</v>
      </c>
      <c r="D15" s="6" t="n">
        <v>401</v>
      </c>
      <c r="E15" s="6" t="n">
        <v>965</v>
      </c>
      <c r="F15" s="6" t="n">
        <v>2407</v>
      </c>
      <c r="G15" s="6" t="n">
        <v>3795</v>
      </c>
      <c r="H15" s="6" t="n">
        <v>5334</v>
      </c>
      <c r="I15" s="6" t="n">
        <v>1249</v>
      </c>
    </row>
    <row r="16">
      <c r="A16" s="6" t="inlineStr">
        <is>
          <t>Intangible assets</t>
        </is>
      </c>
      <c r="B16" s="6" t="n">
        <v>1316</v>
      </c>
      <c r="C16" s="6" t="n">
        <v>2190</v>
      </c>
      <c r="D16" s="6" t="n">
        <v>2704</v>
      </c>
      <c r="E16" s="6" t="n">
        <v>2837</v>
      </c>
      <c r="F16" s="6" t="n">
        <v>2408</v>
      </c>
      <c r="G16" s="6" t="n">
        <v>1117</v>
      </c>
      <c r="H16" s="6" t="n">
        <v>317</v>
      </c>
      <c r="I16" s="6" t="n">
        <v>261</v>
      </c>
    </row>
    <row r="17">
      <c r="A17" s="6" t="inlineStr">
        <is>
          <t>Corporation tax</t>
        </is>
      </c>
      <c r="B17" s="6" t="n"/>
      <c r="C17" s="6" t="n"/>
      <c r="D17" s="6" t="n"/>
      <c r="E17" s="6" t="n">
        <v>25</v>
      </c>
      <c r="F17" s="6" t="n"/>
      <c r="G17" s="6" t="n"/>
      <c r="H17" s="6" t="n"/>
      <c r="I17" s="6" t="n"/>
    </row>
    <row r="18">
      <c r="A18" s="5" t="inlineStr">
        <is>
          <t>Total assets</t>
        </is>
      </c>
      <c r="B18" s="5" t="n">
        <v>3476346</v>
      </c>
      <c r="C18" s="5" t="n">
        <v>2079467</v>
      </c>
      <c r="D18" s="5" t="n">
        <v>1780102</v>
      </c>
      <c r="E18" s="5" t="n">
        <v>1809020</v>
      </c>
      <c r="F18" s="5" t="n">
        <v>1854266</v>
      </c>
      <c r="G18" s="5" t="n">
        <v>1694401</v>
      </c>
      <c r="H18" s="5" t="n">
        <v>1650714</v>
      </c>
      <c r="I18" s="5" t="n">
        <v>1245872</v>
      </c>
    </row>
    <row r="19">
      <c r="A19" s="5" t="inlineStr">
        <is>
          <t>Liabilities</t>
        </is>
      </c>
      <c r="B19" s="6" t="n"/>
      <c r="C19" s="6" t="n"/>
      <c r="D19" s="6" t="n"/>
      <c r="E19" s="6" t="n"/>
      <c r="F19" s="6" t="n"/>
      <c r="G19" s="6" t="n"/>
      <c r="H19" s="6" t="n"/>
      <c r="I19" s="6" t="n"/>
    </row>
    <row r="20">
      <c r="A20" s="6" t="inlineStr">
        <is>
          <t>Retail deposits</t>
        </is>
      </c>
      <c r="B20" s="6" t="n">
        <v>2425702</v>
      </c>
      <c r="C20" s="6" t="n">
        <v>173113</v>
      </c>
      <c r="D20" s="6" t="n"/>
      <c r="E20" s="6" t="n"/>
      <c r="F20" s="6" t="n"/>
      <c r="G20" s="6" t="n"/>
      <c r="H20" s="6" t="n"/>
      <c r="I20" s="6" t="n"/>
    </row>
    <row r="21">
      <c r="A21" s="6" t="inlineStr">
        <is>
          <t>Amounts owed to credit institutions</t>
        </is>
      </c>
      <c r="B21" s="6" t="n">
        <v>40345</v>
      </c>
      <c r="C21" s="6" t="n">
        <v>74254</v>
      </c>
      <c r="D21" s="6" t="n">
        <v>44437</v>
      </c>
      <c r="E21" s="6" t="n">
        <v>15188</v>
      </c>
      <c r="F21" s="6" t="n">
        <v>15336</v>
      </c>
      <c r="G21" s="6" t="n"/>
      <c r="H21" s="6" t="n"/>
      <c r="I21" s="6" t="n"/>
    </row>
    <row r="22">
      <c r="A22" s="6" t="inlineStr">
        <is>
          <t>Deemed loan due to Group undertakings</t>
        </is>
      </c>
      <c r="B22" s="6" t="n">
        <v>767720</v>
      </c>
      <c r="C22" s="6" t="n">
        <v>1659540</v>
      </c>
      <c r="D22" s="6" t="n">
        <v>1544083</v>
      </c>
      <c r="E22" s="6" t="n">
        <v>1606178</v>
      </c>
      <c r="F22" s="6" t="n">
        <v>1690865</v>
      </c>
      <c r="G22" s="6" t="n">
        <v>1521161</v>
      </c>
      <c r="H22" s="6" t="n">
        <v>1484952</v>
      </c>
      <c r="I22" s="6" t="n">
        <v>1108999</v>
      </c>
    </row>
    <row r="23">
      <c r="A23" s="6" t="inlineStr">
        <is>
          <t>Derivative financial liabilities</t>
        </is>
      </c>
      <c r="B23" s="6" t="n">
        <v>19403</v>
      </c>
      <c r="C23" s="6" t="n">
        <v>184</v>
      </c>
      <c r="D23" s="6" t="n">
        <v>4727</v>
      </c>
      <c r="E23" s="6" t="n"/>
      <c r="F23" s="6" t="n"/>
      <c r="G23" s="6" t="n"/>
      <c r="H23" s="6" t="n"/>
      <c r="I23" s="6" t="n"/>
    </row>
    <row r="24">
      <c r="A24" s="6" t="inlineStr">
        <is>
          <t>Other liabilities</t>
        </is>
      </c>
      <c r="B24" s="6" t="n">
        <v>44269</v>
      </c>
      <c r="C24" s="6" t="n">
        <v>7067</v>
      </c>
      <c r="D24" s="6" t="n">
        <v>64722</v>
      </c>
      <c r="E24" s="6" t="n">
        <v>56584</v>
      </c>
      <c r="F24" s="6" t="n">
        <v>21050</v>
      </c>
      <c r="G24" s="6" t="n">
        <v>48390</v>
      </c>
      <c r="H24" s="6" t="n">
        <v>50689</v>
      </c>
      <c r="I24" s="6" t="n">
        <v>36696</v>
      </c>
    </row>
    <row r="25">
      <c r="A25" s="6" t="inlineStr">
        <is>
          <t>Provisions</t>
        </is>
      </c>
      <c r="B25" s="6" t="n"/>
      <c r="C25" s="6" t="n"/>
      <c r="D25" s="6" t="n">
        <v>64</v>
      </c>
      <c r="E25" s="6" t="n">
        <v>64</v>
      </c>
      <c r="F25" s="6" t="n">
        <v>374</v>
      </c>
      <c r="G25" s="6" t="n">
        <v>604</v>
      </c>
      <c r="H25" s="6" t="n"/>
      <c r="I25" s="6" t="n"/>
    </row>
    <row r="26">
      <c r="A26" s="6" t="inlineStr">
        <is>
          <t>Corporation tax</t>
        </is>
      </c>
      <c r="B26" s="6" t="n">
        <v>1128</v>
      </c>
      <c r="C26" s="6" t="n">
        <v>229</v>
      </c>
      <c r="D26" s="6" t="n"/>
      <c r="E26" s="6" t="n"/>
      <c r="F26" s="6" t="n"/>
      <c r="G26" s="6" t="n"/>
      <c r="H26" s="6" t="n"/>
      <c r="I26" s="6" t="n"/>
    </row>
    <row r="27">
      <c r="A27" s="5" t="inlineStr">
        <is>
          <t>Total liabilities</t>
        </is>
      </c>
      <c r="B27" s="5" t="n">
        <v>3298567</v>
      </c>
      <c r="C27" s="5" t="n">
        <v>1914387</v>
      </c>
      <c r="D27" s="5" t="n">
        <v>1658033</v>
      </c>
      <c r="E27" s="5" t="n">
        <v>1678014</v>
      </c>
      <c r="F27" s="5" t="n">
        <v>1727625</v>
      </c>
      <c r="G27" s="5" t="n">
        <v>1570155</v>
      </c>
      <c r="H27" s="5" t="n">
        <v>1535641</v>
      </c>
      <c r="I27" s="5" t="n">
        <v>1145695</v>
      </c>
    </row>
    <row r="28">
      <c r="A28" s="5" t="inlineStr">
        <is>
          <t>Shareholders' equity</t>
        </is>
      </c>
      <c r="B28" s="6" t="n"/>
      <c r="C28" s="6" t="n"/>
      <c r="D28" s="6" t="n"/>
      <c r="E28" s="6" t="n"/>
      <c r="F28" s="6" t="n"/>
      <c r="G28" s="6" t="n"/>
      <c r="H28" s="6" t="n"/>
      <c r="I28" s="6" t="n"/>
    </row>
    <row r="29">
      <c r="A29" s="6" t="inlineStr">
        <is>
          <t>Called up share capital</t>
        </is>
      </c>
      <c r="B29" s="6" t="n">
        <v>36156</v>
      </c>
      <c r="C29" s="6" t="n">
        <v>241039</v>
      </c>
      <c r="D29" s="6" t="n">
        <v>204462</v>
      </c>
      <c r="E29" s="6" t="n">
        <v>204462</v>
      </c>
      <c r="F29" s="6" t="n">
        <v>204462</v>
      </c>
      <c r="G29" s="6" t="n">
        <v>196162</v>
      </c>
      <c r="H29" s="6" t="n">
        <v>168313</v>
      </c>
      <c r="I29" s="6" t="n">
        <v>129642</v>
      </c>
    </row>
    <row r="30">
      <c r="A30" s="6" t="inlineStr">
        <is>
          <t>Other reserves</t>
        </is>
      </c>
      <c r="B30" s="6" t="n">
        <v>-398</v>
      </c>
      <c r="C30" s="6" t="n"/>
      <c r="D30" s="6" t="n"/>
      <c r="E30" s="6" t="n"/>
      <c r="F30" s="6" t="n"/>
      <c r="G30" s="6" t="n"/>
      <c r="H30" s="6" t="n"/>
      <c r="I30" s="6" t="n"/>
    </row>
    <row r="31">
      <c r="A31" s="6" t="inlineStr">
        <is>
          <t>Retained profit/(losses)</t>
        </is>
      </c>
      <c r="B31" s="6" t="n">
        <v>142021</v>
      </c>
      <c r="C31" s="6" t="n">
        <v>-75959</v>
      </c>
      <c r="D31" s="6" t="n">
        <v>-82393</v>
      </c>
      <c r="E31" s="6" t="n">
        <v>-73456</v>
      </c>
      <c r="F31" s="6" t="n">
        <v>-77821</v>
      </c>
      <c r="G31" s="6" t="n">
        <v>-71916</v>
      </c>
      <c r="H31" s="6" t="n">
        <v>-53240</v>
      </c>
      <c r="I31" s="6" t="n">
        <v>-29464</v>
      </c>
    </row>
    <row r="32">
      <c r="A32" s="5" t="inlineStr">
        <is>
          <t>Total shareholders' equity</t>
        </is>
      </c>
      <c r="B32" s="5" t="n">
        <v>177779</v>
      </c>
      <c r="C32" s="5" t="n">
        <v>165080</v>
      </c>
      <c r="D32" s="5" t="n">
        <v>122069</v>
      </c>
      <c r="E32" s="5" t="n">
        <v>131006</v>
      </c>
      <c r="F32" s="5" t="n">
        <v>126641</v>
      </c>
      <c r="G32" s="5" t="n">
        <v>124246</v>
      </c>
      <c r="H32" s="5" t="n">
        <v>115073</v>
      </c>
      <c r="I32" s="5" t="n">
        <v>100178</v>
      </c>
    </row>
    <row r="33">
      <c r="A33" s="5" t="inlineStr">
        <is>
          <t>Total liabilities and equity</t>
        </is>
      </c>
      <c r="B33" s="5" t="n">
        <v>3476346</v>
      </c>
      <c r="C33" s="5" t="n">
        <v>2079467</v>
      </c>
      <c r="D33" s="5" t="n">
        <v>1780102</v>
      </c>
      <c r="E33" s="5" t="n">
        <v>1809020</v>
      </c>
      <c r="F33" s="5" t="n">
        <v>1854266</v>
      </c>
      <c r="G33" s="5" t="n">
        <v>1694401</v>
      </c>
      <c r="H33" s="5" t="n">
        <v>1650714</v>
      </c>
      <c r="I33" s="5" t="n">
        <v>1245872</v>
      </c>
    </row>
    <row r="35" ht="180" customHeight="1">
      <c r="A35" s="8" t="inlineStr">
        <is>
          <t>Sources - Vida Bank Limited's own Company (non-consolidated) Statement of Financial Position, £'000:
FY2025: Vida Bank Limited Annual Report and Accounts 2025 (Company), p.53 - https://www.vidabank.co.uk/media/pkmnxlqg/annual-report-and-accounts-2025-company.pdf
FY2024: Vida Bank Limited Annual Report and Accounts 2024 (Company), p.71 - https://www.vidabank.co.uk/media/emghy4z2/annual-report-and-accounts-2024-company.pdf
FY2023: Belmont Green Finance Limited Annual Report and Accounts 2023, p.185 (Company Statement of Financial Position) - https://www.vidabank.co.uk/media/zhoj0swe/annual-report-and-accounts-2023.pdf
FY2022: taken from the FY2023 Annual Report's own restated FY2022 comparative column (same document/page as above) - Belmont Green's own FY2022 Annual Report was not fetched this session.
FY2021: Belmont Green Finance Limited Annual Report and Accounts 2021, p.149 (Company Statement of Financial Position) - https://www.vidabank.co.uk/media/p3wau0ms/annual-report-and-accounts-2021.pdf
FY2020: Belmont Green Finance Limited Annual Report and Accounts 2020, Company Statement of Financial Position - https://find-and-update.company-information.service.gov.uk/company/09837692/filing-history/MzMwNjUyMjA5MmFkaXF6a2N4/document?format=pdf&amp;download=0
FY2019: Belmont Green Finance Limited Annual Report and Accounts 2019, Company Statement of Financial Position - https://find-and-update.company-information.service.gov.uk/company/09837692/filing-history/MzI4NjAzOTYwNWFkaXF6a2N4/document?format=pdf&amp;download=0
FY2018: taken from the FY2019 Annual Report's own restated FY2018 comparative column (same document as above) - see FY2018_RESTATEMENT_NOTE (on the Cash Flow Statement sheet's source note) for why the restated figures are used in place of Belmont Green's originally-filed FY2018 Annual Report (https://find-and-update.company-information.service.gov.uk/company/09837692/filing-history/MzIzMzYzMjc1OWFkaXF6a2N4/document?format=pdf&amp;download=0).
DEBT SECURITIES BREAKDOWN: the 'Debt securities - ...' sub-rows below the headline 'Total debt securities' line are transcribed from each year's own Note 15 'Debt securities'. All debt securities are held at fair value through other comprehensive income (FVOCI) in both years - Note 11 'Financial instruments' (FY2025 AR, pp.75-76) shows the full £819,770k FY2025 balance and £34,135k FY2024 balance classified entirely as FVOCI, with nothing at amortised cost or FVTPL - so no measurement-basis split applies. Note 15 does split by issuer type:
FY2025: UK Government securities £537,441k, Supranational bonds £167,080k, Covered bonds £115,248k - Note 15, p.81 - https://www.vidabank.co.uk/media/pkmnxlqg/annual-report-and-accounts-2025-company.pdf. These three lines sum to £819,769k against the note's own stated total of £819,770k - a £1k rounding difference present in the source document itself, not a transcription error (the UK Government securities sub-row above is left at the source's own £537,441k rather than plugged to force an exact tie-out).
FY2024: 100% UK Government securities (labelled 'Gilts' in this year's own note) - Note 15, p.102 - https://www.vidabank.co.uk/media/emghy4z2/annual-report-and-accounts-2024-company.pdf. No issuer-type split applies for FY2024 since the full £34,135k balance is one category.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35:I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Statement of Comprehensive Income</t>
        </is>
      </c>
    </row>
    <row r="2">
      <c r="A2" s="2" t="inlineStr">
        <is>
          <t>FY2025/FY2024: Company basis. FY2023-FY2018: Group/Consolidated basis (Company P&amp;L exempted under s.408 in every year except FY2018's own Annual Report, not used here for consistency -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 and similar income</t>
        </is>
      </c>
      <c r="B5" s="6" t="n">
        <v>171518</v>
      </c>
      <c r="C5" s="6" t="n">
        <v>121718</v>
      </c>
      <c r="D5" s="6" t="n">
        <v>144373</v>
      </c>
      <c r="E5" s="6" t="n">
        <v>99941</v>
      </c>
      <c r="F5" s="6" t="n">
        <v>68551</v>
      </c>
      <c r="G5" s="6" t="n">
        <v>61142</v>
      </c>
      <c r="H5" s="6" t="n">
        <v>49649</v>
      </c>
      <c r="I5" s="6" t="n">
        <v>42042</v>
      </c>
    </row>
    <row r="6">
      <c r="A6" s="6" t="inlineStr">
        <is>
          <t>Interest expense and similar charges</t>
        </is>
      </c>
      <c r="B6" s="6" t="n">
        <v>-124229</v>
      </c>
      <c r="C6" s="6" t="n">
        <v>-87898</v>
      </c>
      <c r="D6" s="6" t="n">
        <v>-110660</v>
      </c>
      <c r="E6" s="6" t="n">
        <v>-57037</v>
      </c>
      <c r="F6" s="6" t="n">
        <v>-34046</v>
      </c>
      <c r="G6" s="6" t="n">
        <v>-37205</v>
      </c>
      <c r="H6" s="6" t="n">
        <v>-47030</v>
      </c>
      <c r="I6" s="6" t="n">
        <v>-24573</v>
      </c>
    </row>
    <row r="7">
      <c r="A7" s="5" t="inlineStr">
        <is>
          <t>Net interest income</t>
        </is>
      </c>
      <c r="B7" s="5" t="n">
        <v>47289</v>
      </c>
      <c r="C7" s="5" t="n">
        <v>33820</v>
      </c>
      <c r="D7" s="5" t="n">
        <v>33713</v>
      </c>
      <c r="E7" s="5" t="n">
        <v>42904</v>
      </c>
      <c r="F7" s="5" t="n">
        <v>34505</v>
      </c>
      <c r="G7" s="5" t="n">
        <v>23937</v>
      </c>
      <c r="H7" s="5" t="n">
        <v>2619</v>
      </c>
      <c r="I7" s="5" t="n">
        <v>17469</v>
      </c>
    </row>
    <row r="8">
      <c r="A8" s="6" t="inlineStr">
        <is>
          <t>Other operating income/(expense)</t>
        </is>
      </c>
      <c r="B8" s="6" t="n">
        <v>7035</v>
      </c>
      <c r="C8" s="6" t="n">
        <v>1158</v>
      </c>
      <c r="D8" s="6" t="n">
        <v>920</v>
      </c>
      <c r="E8" s="6" t="n">
        <v>-6174</v>
      </c>
      <c r="F8" s="6" t="n">
        <v>987</v>
      </c>
      <c r="G8" s="6" t="n">
        <v>779</v>
      </c>
      <c r="H8" s="6" t="n"/>
      <c r="I8" s="6" t="n"/>
    </row>
    <row r="9">
      <c r="A9" s="6" t="inlineStr">
        <is>
          <t>Net fair value gain/(loss) on financial instruments</t>
        </is>
      </c>
      <c r="B9" s="6" t="n">
        <v>3331</v>
      </c>
      <c r="C9" s="6" t="n">
        <v>6045</v>
      </c>
      <c r="D9" s="6" t="n">
        <v>3903</v>
      </c>
      <c r="E9" s="6" t="n">
        <v>-706</v>
      </c>
      <c r="F9" s="6" t="n">
        <v>-1404</v>
      </c>
      <c r="G9" s="6" t="n">
        <v>-50</v>
      </c>
      <c r="H9" s="6" t="n">
        <v>-3900</v>
      </c>
      <c r="I9" s="6" t="n">
        <v>-473</v>
      </c>
    </row>
    <row r="10">
      <c r="A10" s="5" t="inlineStr">
        <is>
          <t>Net operating income</t>
        </is>
      </c>
      <c r="B10" s="5" t="n">
        <v>57655</v>
      </c>
      <c r="C10" s="5" t="n">
        <v>41023</v>
      </c>
      <c r="D10" s="5" t="n">
        <v>38536</v>
      </c>
      <c r="E10" s="5" t="n">
        <v>36024</v>
      </c>
      <c r="F10" s="5" t="n">
        <v>34088</v>
      </c>
      <c r="G10" s="5" t="n">
        <v>24666</v>
      </c>
      <c r="H10" s="5" t="n">
        <v>-1281</v>
      </c>
      <c r="I10" s="5" t="n">
        <v>16996</v>
      </c>
    </row>
    <row r="11">
      <c r="A11" s="5" t="inlineStr">
        <is>
          <t>Administrative expenses</t>
        </is>
      </c>
      <c r="B11" s="5" t="n">
        <v>-42450</v>
      </c>
      <c r="C11" s="5" t="n">
        <v>-34231</v>
      </c>
      <c r="D11" s="5" t="n">
        <v>-32438</v>
      </c>
      <c r="E11" s="5" t="n">
        <v>-35502</v>
      </c>
      <c r="F11" s="5" t="n">
        <v>-30932</v>
      </c>
      <c r="G11" s="5" t="n">
        <v>-28043</v>
      </c>
      <c r="H11" s="5" t="n">
        <v>-31642</v>
      </c>
      <c r="I11" s="5" t="n">
        <v>-25132</v>
      </c>
    </row>
    <row r="12">
      <c r="A12" s="5" t="inlineStr">
        <is>
          <t>Operating profit before impairment</t>
        </is>
      </c>
      <c r="B12" s="5" t="n">
        <v>15205</v>
      </c>
      <c r="C12" s="5" t="n">
        <v>6792</v>
      </c>
      <c r="D12" s="5" t="n">
        <v>6098</v>
      </c>
      <c r="E12" s="5" t="n">
        <v>522</v>
      </c>
      <c r="F12" s="5" t="n">
        <v>3156</v>
      </c>
      <c r="G12" s="5" t="n">
        <v>-3377</v>
      </c>
      <c r="H12" s="5" t="n">
        <v>-32923</v>
      </c>
      <c r="I12" s="5" t="n">
        <v>-8136</v>
      </c>
    </row>
    <row r="13">
      <c r="A13" s="6" t="inlineStr">
        <is>
          <t>Provisions</t>
        </is>
      </c>
      <c r="B13" s="6" t="n"/>
      <c r="C13" s="6" t="n"/>
      <c r="D13" s="6" t="n">
        <v>0</v>
      </c>
      <c r="E13" s="6" t="n">
        <v>310</v>
      </c>
      <c r="F13" s="6" t="n">
        <v>223</v>
      </c>
      <c r="G13" s="6" t="n">
        <v>-350</v>
      </c>
      <c r="H13" s="6" t="n"/>
      <c r="I13" s="6" t="n"/>
    </row>
    <row r="14">
      <c r="A14" s="6" t="inlineStr">
        <is>
          <t>Impairment (losses)/releases</t>
        </is>
      </c>
      <c r="B14" s="6" t="n">
        <v>-2736</v>
      </c>
      <c r="C14" s="6" t="n">
        <v>-128</v>
      </c>
      <c r="D14" s="6" t="n">
        <v>-55</v>
      </c>
      <c r="E14" s="6" t="n">
        <v>543</v>
      </c>
      <c r="F14" s="6" t="n">
        <v>-725</v>
      </c>
      <c r="G14" s="6" t="n">
        <v>-3371</v>
      </c>
      <c r="H14" s="6" t="n">
        <v>-2402</v>
      </c>
      <c r="I14" s="6" t="n">
        <v>-1105</v>
      </c>
    </row>
    <row r="15">
      <c r="A15" s="5" t="inlineStr">
        <is>
          <t>Profit before taxation</t>
        </is>
      </c>
      <c r="B15" s="5" t="n">
        <v>12469</v>
      </c>
      <c r="C15" s="5" t="n">
        <v>6664</v>
      </c>
      <c r="D15" s="5" t="n">
        <v>6043</v>
      </c>
      <c r="E15" s="5" t="n">
        <v>1375</v>
      </c>
      <c r="F15" s="5" t="n">
        <v>2654</v>
      </c>
      <c r="G15" s="5" t="n">
        <v>-7098</v>
      </c>
      <c r="H15" s="5" t="n">
        <v>-35325</v>
      </c>
      <c r="I15" s="5" t="n">
        <v>-9241</v>
      </c>
    </row>
    <row r="16">
      <c r="A16" s="6" t="inlineStr">
        <is>
          <t>Tax credit/(charge) for the year</t>
        </is>
      </c>
      <c r="B16" s="6" t="n">
        <v>628</v>
      </c>
      <c r="C16" s="6" t="n">
        <v>-230</v>
      </c>
      <c r="D16" s="6" t="n">
        <v>25</v>
      </c>
      <c r="E16" s="6" t="n">
        <v>609</v>
      </c>
      <c r="F16" s="6" t="n">
        <v>2005</v>
      </c>
      <c r="G16" s="6" t="n">
        <v>762</v>
      </c>
      <c r="H16" s="6" t="n">
        <v>4161</v>
      </c>
      <c r="I16" s="6" t="n">
        <v>222</v>
      </c>
    </row>
    <row r="17">
      <c r="A17" s="5" t="inlineStr">
        <is>
          <t>Profit for the year</t>
        </is>
      </c>
      <c r="B17" s="5" t="n">
        <v>13097</v>
      </c>
      <c r="C17" s="5" t="n">
        <v>6434</v>
      </c>
      <c r="D17" s="5" t="n">
        <v>6068</v>
      </c>
      <c r="E17" s="5" t="n">
        <v>1984</v>
      </c>
      <c r="F17" s="5" t="n">
        <v>4659</v>
      </c>
      <c r="G17" s="5" t="n">
        <v>-6336</v>
      </c>
      <c r="H17" s="5" t="n">
        <v>-31164</v>
      </c>
      <c r="I17" s="5" t="n">
        <v>-9019</v>
      </c>
    </row>
    <row r="18">
      <c r="A18" s="5" t="inlineStr">
        <is>
          <t>Other comprehensive income</t>
        </is>
      </c>
      <c r="B18" s="6" t="n"/>
      <c r="C18" s="6" t="n"/>
      <c r="D18" s="6" t="n"/>
      <c r="E18" s="6" t="n"/>
      <c r="F18" s="6" t="n"/>
      <c r="G18" s="6" t="n"/>
      <c r="H18" s="6" t="n"/>
      <c r="I18" s="6" t="n"/>
    </row>
    <row r="19">
      <c r="A19" s="6" t="inlineStr">
        <is>
          <t>Cash flow hedge reserve (losses)/gains</t>
        </is>
      </c>
      <c r="B19" s="6" t="n">
        <v>-21</v>
      </c>
      <c r="C19" s="6" t="n">
        <v>0</v>
      </c>
      <c r="D19" s="6" t="n">
        <v>-10468</v>
      </c>
      <c r="E19" s="6" t="n">
        <v>16864</v>
      </c>
      <c r="F19" s="6" t="n">
        <v>0</v>
      </c>
      <c r="G19" s="6" t="n"/>
      <c r="H19" s="6" t="n"/>
      <c r="I19" s="6" t="n"/>
    </row>
    <row r="20">
      <c r="A20" s="6" t="inlineStr">
        <is>
          <t>Tax on items in other comprehensive income</t>
        </is>
      </c>
      <c r="B20" s="6" t="n">
        <v>-98</v>
      </c>
      <c r="C20" s="6" t="n"/>
      <c r="D20" s="6" t="n"/>
      <c r="E20" s="6" t="n"/>
      <c r="F20" s="6" t="n"/>
      <c r="G20" s="6" t="n"/>
      <c r="H20" s="6" t="n"/>
      <c r="I20" s="6" t="n"/>
    </row>
    <row r="21">
      <c r="A21" s="6" t="inlineStr">
        <is>
          <t>Fair value through OCI reserve</t>
        </is>
      </c>
      <c r="B21" s="6" t="n">
        <v>-279</v>
      </c>
      <c r="C21" s="6" t="n"/>
      <c r="D21" s="6" t="n"/>
      <c r="E21" s="6" t="n"/>
      <c r="F21" s="6" t="n"/>
      <c r="G21" s="6" t="n"/>
      <c r="H21" s="6" t="n"/>
      <c r="I21" s="6" t="n"/>
    </row>
    <row r="22">
      <c r="A22" s="5" t="inlineStr">
        <is>
          <t>Total comprehensive income/(loss) for the year, net of tax</t>
        </is>
      </c>
      <c r="B22" s="5" t="n">
        <v>12699</v>
      </c>
      <c r="C22" s="5" t="n">
        <v>6434</v>
      </c>
      <c r="D22" s="5" t="n">
        <v>-4400</v>
      </c>
      <c r="E22" s="5" t="n">
        <v>18848</v>
      </c>
      <c r="F22" s="5" t="n">
        <v>4659</v>
      </c>
      <c r="G22" s="5" t="n">
        <v>-6336</v>
      </c>
      <c r="H22" s="5" t="n">
        <v>-31164</v>
      </c>
      <c r="I22" s="5" t="n">
        <v>-9019</v>
      </c>
    </row>
    <row r="24" ht="260" customHeight="1">
      <c r="A24" s="8" t="inlineStr">
        <is>
          <t>Sources - £'000. FY2025/FY2024: Vida Bank Limited's own Company Statement of Comprehensive Income. FY2023-FY2018: Group/Consolidated Statement of Profit and Loss and Other Comprehensive Income (Company P&amp;L exempted under s.408 in every one of these years - FY2018's own Annual Report is the sole exception, which did present a Company income statement, but it is not used here for consistency with every other year's Group-basis figures; see ENTITY_NOTE below):
FY2025: Vida Bank Limited Annual Report and Accounts 2025 (Company), p.52 - https://www.vidabank.co.uk/media/pkmnxlqg/annual-report-and-accounts-2025-company.pdf
FY2024: Vida Bank Limited Annual Report and Accounts 2025 (Company), p.52, FY2024 comparative column - https://www.vidabank.co.uk/media/pkmnxlqg/annual-report-and-accounts-2025-company.pdf
FY2023: Belmont Green Finance Limited Annual Report and Accounts 2023, p.143 (Consolidated Statement of Profit and Loss and Other Comprehensive Income) - https://www.vidabank.co.uk/media/zhoj0swe/annual-report-and-accounts-2023.pdf
FY2022: taken from the FY2023 Annual Report's own FY2022 comparative column (same document/page as above).
FY2021: Belmont Green Finance Limited Annual Report and Accounts 2021, p.109 (Consolidated Statement of Comprehensive Income) - https://www.vidabank.co.uk/media/p3wau0ms/annual-report-and-accounts-2021.pdf
FY2020: Belmont Green Finance Limited Annual Report and Accounts 2020, Consolidated Statement of Comprehensive Income - https://find-and-update.company-information.service.gov.uk/company/09837692/filing-history/MzMwNjUyMjA5MmFkaXF6a2N4/document?format=pdf&amp;download=0
FY2019: Belmont Green Finance Limited Annual Report and Accounts 2019, Consolidated Statement of Comprehensive Income - https://find-and-update.company-information.service.gov.uk/company/09837692/filing-history/MzI4NjAzOTYwNWFkaXF6a2N4/document?format=pdf&amp;download=0
FY2018: taken from the FY2019 Annual Report's own FY2018 comparative column (same document as above) - Belmont Green's originally-filed FY2018 Annual Report did present a Company-basis income statement, but it is not used here (see basis note above).
FY2019's own Annual Report has an internal, unreconciled ~£80k discrepancy between the Loss for the year it reports on this Consolidated Statement of Comprehensive Income (£(31,164)k) and the Loss for the year used on this workbook's own Statement of Changes in Equity and Cash Flow Statement sheets (£(31,084)k, per the same Annual Report's own Statement of Changes in Equity and cash flow note) - both figures are reproduced exactly as printed on their respective source statements rather than forced to agree.
Presentation notes (not silently reconciled): FY2021's Group statement labels its operating-income subtotal "Total income" rather than FY2022-25's "Net operating income" - same position in the statement, different label, reproduced as printed. FY2025's own Statement of Comprehensive Income prints its final row as "Total other comprehensive profit" with a value of 12,699 - this is actually the year's Total comprehensive income (Profit after tax 13,097 less the 3 OCI items above it, -21-98-279=-398, gives exactly 12,699); the source's own row label is internally inconsistent (a subtotal, not "other" comprehensive income), so this row is relabelled "Total comprehensive income for the year, net of tax" here to match the other 4 years' own correctly-labelled totals - the £'000 value itself is reproduced exactly as printed, unchanged.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24:I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Vida Bank Limited — Company Statement of Changes in Equity</t>
        </is>
      </c>
    </row>
    <row r="2">
      <c r="A2" s="2" t="inlineStr">
        <is>
          <t>Company (non-consolidated) basis, £'000. Chronological, oldest to newest.</t>
        </is>
      </c>
    </row>
    <row r="3">
      <c r="A3" s="4" t="inlineStr">
        <is>
          <t>Movement</t>
        </is>
      </c>
      <c r="B3" s="4" t="inlineStr">
        <is>
          <t>Called up share capital</t>
        </is>
      </c>
      <c r="C3" s="4" t="inlineStr">
        <is>
          <t>Retained earnings</t>
        </is>
      </c>
      <c r="D3" s="4" t="inlineStr">
        <is>
          <t>Other reserves</t>
        </is>
      </c>
      <c r="E3" s="4" t="inlineStr">
        <is>
          <t>Total</t>
        </is>
      </c>
    </row>
    <row r="4">
      <c r="A4" s="5" t="inlineStr">
        <is>
          <t>Balance at 1 January 2018</t>
        </is>
      </c>
      <c r="B4" s="5" t="n">
        <v>84860</v>
      </c>
      <c r="C4" s="5" t="n">
        <v>-28014</v>
      </c>
      <c r="D4" s="5" t="n"/>
      <c r="E4" s="5" t="n">
        <v>56846</v>
      </c>
    </row>
    <row r="5">
      <c r="A5" s="6" t="inlineStr">
        <is>
          <t>Share issuance</t>
        </is>
      </c>
      <c r="B5" s="6" t="n">
        <v>44782</v>
      </c>
      <c r="C5" s="6" t="n"/>
      <c r="D5" s="6" t="n"/>
      <c r="E5" s="6" t="n">
        <v>44782</v>
      </c>
    </row>
    <row r="6">
      <c r="A6" s="6" t="inlineStr">
        <is>
          <t>Loss for the year (restated)</t>
        </is>
      </c>
      <c r="B6" s="6" t="n"/>
      <c r="C6" s="6" t="n">
        <v>-1451</v>
      </c>
      <c r="D6" s="6" t="n"/>
      <c r="E6" s="6" t="n">
        <v>-1451</v>
      </c>
    </row>
    <row r="7">
      <c r="A7" s="5" t="inlineStr">
        <is>
          <t>Balance at 31 December 2018</t>
        </is>
      </c>
      <c r="B7" s="5" t="n">
        <v>129642</v>
      </c>
      <c r="C7" s="5" t="n">
        <v>-29464</v>
      </c>
      <c r="D7" s="5" t="n"/>
      <c r="E7" s="5" t="n">
        <v>100177</v>
      </c>
    </row>
    <row r="8">
      <c r="A8" s="6" t="inlineStr">
        <is>
          <t>Adjustment on initial application of IFRS 16</t>
        </is>
      </c>
      <c r="B8" s="6" t="n"/>
      <c r="C8" s="6" t="n">
        <v>-162</v>
      </c>
      <c r="D8" s="6" t="n"/>
      <c r="E8" s="6" t="n">
        <v>-162</v>
      </c>
    </row>
    <row r="9">
      <c r="A9" s="5" t="inlineStr">
        <is>
          <t>Balance at 1 January 2019 (per FY2019 Annual Report - see source note)</t>
        </is>
      </c>
      <c r="B9" s="5" t="n">
        <v>129641</v>
      </c>
      <c r="C9" s="5" t="n">
        <v>-29547</v>
      </c>
      <c r="D9" s="5" t="n"/>
      <c r="E9" s="5" t="n">
        <v>100015</v>
      </c>
    </row>
    <row r="10">
      <c r="A10" s="6" t="inlineStr">
        <is>
          <t>Share issuance</t>
        </is>
      </c>
      <c r="B10" s="6" t="n">
        <v>38671</v>
      </c>
      <c r="C10" s="6" t="n"/>
      <c r="D10" s="6" t="n"/>
      <c r="E10" s="6" t="n">
        <v>38671</v>
      </c>
    </row>
    <row r="11">
      <c r="A11" s="6" t="inlineStr">
        <is>
          <t>Loss for the year</t>
        </is>
      </c>
      <c r="B11" s="6" t="n"/>
      <c r="C11" s="6" t="n">
        <v>-23693</v>
      </c>
      <c r="D11" s="6" t="n"/>
      <c r="E11" s="6" t="n">
        <v>-23693</v>
      </c>
    </row>
    <row r="12">
      <c r="A12" s="5" t="inlineStr">
        <is>
          <t>Balance at 31 December 2019 (per FY2019 Annual Report - see source note)</t>
        </is>
      </c>
      <c r="B12" s="5" t="n">
        <v>168313</v>
      </c>
      <c r="C12" s="5" t="n">
        <v>-53240</v>
      </c>
      <c r="D12" s="5" t="n"/>
      <c r="E12" s="5" t="n">
        <v>114993</v>
      </c>
    </row>
    <row r="13">
      <c r="A13" s="5" t="inlineStr">
        <is>
          <t>Balance at 1 January 2020 (per FY2020 Annual Report - see source note)</t>
        </is>
      </c>
      <c r="B13" s="5" t="n">
        <v>168312</v>
      </c>
      <c r="C13" s="5" t="n">
        <v>-53240</v>
      </c>
      <c r="D13" s="5" t="n"/>
      <c r="E13" s="5" t="n">
        <v>115072</v>
      </c>
    </row>
    <row r="14">
      <c r="A14" s="6" t="inlineStr">
        <is>
          <t>Share issuance</t>
        </is>
      </c>
      <c r="B14" s="6" t="n">
        <v>27850</v>
      </c>
      <c r="C14" s="6" t="n"/>
      <c r="D14" s="6" t="n"/>
      <c r="E14" s="6" t="n">
        <v>27850</v>
      </c>
    </row>
    <row r="15">
      <c r="A15" s="6" t="inlineStr">
        <is>
          <t>Loss for the year</t>
        </is>
      </c>
      <c r="B15" s="6" t="n"/>
      <c r="C15" s="6" t="n">
        <v>-18676</v>
      </c>
      <c r="D15" s="6" t="n"/>
      <c r="E15" s="6" t="n">
        <v>-18676</v>
      </c>
    </row>
    <row r="16">
      <c r="A16" s="5" t="inlineStr">
        <is>
          <t>Balance at 31 December 2020</t>
        </is>
      </c>
      <c r="B16" s="5" t="n">
        <v>196162</v>
      </c>
      <c r="C16" s="5" t="n">
        <v>-71916</v>
      </c>
      <c r="D16" s="5" t="n"/>
      <c r="E16" s="5" t="n">
        <v>124246</v>
      </c>
    </row>
    <row r="17">
      <c r="A17" s="5" t="inlineStr">
        <is>
          <t>Balance at 1 January 2021</t>
        </is>
      </c>
      <c r="B17" s="5" t="n">
        <v>196162</v>
      </c>
      <c r="C17" s="5" t="n">
        <v>-71916</v>
      </c>
      <c r="D17" s="5" t="n"/>
      <c r="E17" s="5" t="n">
        <v>124246</v>
      </c>
    </row>
    <row r="18">
      <c r="A18" s="6" t="inlineStr">
        <is>
          <t>Share issuance</t>
        </is>
      </c>
      <c r="B18" s="6" t="n">
        <v>8300</v>
      </c>
      <c r="C18" s="6" t="n"/>
      <c r="D18" s="6" t="n"/>
      <c r="E18" s="6" t="n">
        <v>8300</v>
      </c>
    </row>
    <row r="19">
      <c r="A19" s="6" t="inlineStr">
        <is>
          <t>Loss for the year</t>
        </is>
      </c>
      <c r="B19" s="6" t="n"/>
      <c r="C19" s="6" t="n">
        <v>-5905</v>
      </c>
      <c r="D19" s="6" t="n"/>
      <c r="E19" s="6" t="n">
        <v>-5905</v>
      </c>
    </row>
    <row r="20">
      <c r="A20" s="5" t="inlineStr">
        <is>
          <t>Balance at 31 December 2021</t>
        </is>
      </c>
      <c r="B20" s="5" t="n">
        <v>204462</v>
      </c>
      <c r="C20" s="5" t="n">
        <v>-77821</v>
      </c>
      <c r="D20" s="5" t="n"/>
      <c r="E20" s="5" t="n">
        <v>126641</v>
      </c>
    </row>
    <row r="21">
      <c r="A21" s="6" t="inlineStr">
        <is>
          <t>Profit for the year</t>
        </is>
      </c>
      <c r="B21" s="6" t="n"/>
      <c r="C21" s="6" t="n">
        <v>4365</v>
      </c>
      <c r="D21" s="6" t="n"/>
      <c r="E21" s="6" t="n">
        <v>4365</v>
      </c>
    </row>
    <row r="22">
      <c r="A22" s="5" t="inlineStr">
        <is>
          <t>Balance at 31 December 2022</t>
        </is>
      </c>
      <c r="B22" s="5" t="n">
        <v>204462</v>
      </c>
      <c r="C22" s="5" t="n">
        <v>-73456</v>
      </c>
      <c r="D22" s="5" t="n"/>
      <c r="E22" s="5" t="n">
        <v>131006</v>
      </c>
    </row>
    <row r="23">
      <c r="A23" s="6" t="inlineStr">
        <is>
          <t>Loss for the year</t>
        </is>
      </c>
      <c r="B23" s="6" t="n"/>
      <c r="C23" s="6" t="n">
        <v>-8937</v>
      </c>
      <c r="D23" s="6" t="n"/>
      <c r="E23" s="6" t="n">
        <v>-8937</v>
      </c>
    </row>
    <row r="24">
      <c r="A24" s="5" t="inlineStr">
        <is>
          <t>Balance at 31 December 2023</t>
        </is>
      </c>
      <c r="B24" s="5" t="n">
        <v>204462</v>
      </c>
      <c r="C24" s="5" t="n">
        <v>-82393</v>
      </c>
      <c r="D24" s="5" t="n"/>
      <c r="E24" s="5" t="n">
        <v>122069</v>
      </c>
    </row>
    <row r="25">
      <c r="A25" s="5" t="inlineStr">
        <is>
          <t>Balance at 1 January 2024 (per FY2024 Annual Report - see source note)</t>
        </is>
      </c>
      <c r="B25" s="5" t="n">
        <v>204463</v>
      </c>
      <c r="C25" s="5" t="n">
        <v>-82393</v>
      </c>
      <c r="D25" s="5" t="n"/>
      <c r="E25" s="5" t="n">
        <v>122070</v>
      </c>
    </row>
    <row r="26">
      <c r="A26" s="6" t="inlineStr">
        <is>
          <t>Profit for the year</t>
        </is>
      </c>
      <c r="B26" s="6" t="n"/>
      <c r="C26" s="6" t="n">
        <v>6434</v>
      </c>
      <c r="D26" s="6" t="n"/>
      <c r="E26" s="6" t="n">
        <v>6434</v>
      </c>
    </row>
    <row r="27">
      <c r="A27" s="6" t="inlineStr">
        <is>
          <t>Share issuance</t>
        </is>
      </c>
      <c r="B27" s="6" t="n">
        <v>36576</v>
      </c>
      <c r="C27" s="6" t="n"/>
      <c r="D27" s="6" t="n"/>
      <c r="E27" s="6" t="n">
        <v>36576</v>
      </c>
    </row>
    <row r="28">
      <c r="A28" s="5" t="inlineStr">
        <is>
          <t>Balance at 31 December 2024</t>
        </is>
      </c>
      <c r="B28" s="5" t="n">
        <v>241039</v>
      </c>
      <c r="C28" s="5" t="n">
        <v>-75959</v>
      </c>
      <c r="D28" s="5" t="n"/>
      <c r="E28" s="5" t="n">
        <v>165080</v>
      </c>
    </row>
    <row r="29">
      <c r="A29" s="6" t="inlineStr">
        <is>
          <t>Profit for the year</t>
        </is>
      </c>
      <c r="B29" s="6" t="n"/>
      <c r="C29" s="6" t="n">
        <v>13097</v>
      </c>
      <c r="D29" s="6" t="n"/>
      <c r="E29" s="6" t="n">
        <v>13097</v>
      </c>
    </row>
    <row r="30">
      <c r="A30" s="6" t="inlineStr">
        <is>
          <t>Deferred tax on Gilts</t>
        </is>
      </c>
      <c r="B30" s="6" t="n"/>
      <c r="C30" s="6" t="n"/>
      <c r="D30" s="6" t="n">
        <v>-98</v>
      </c>
      <c r="E30" s="6" t="n">
        <v>-98</v>
      </c>
    </row>
    <row r="31">
      <c r="A31" s="6" t="inlineStr">
        <is>
          <t>Fair value through OCI reserve</t>
        </is>
      </c>
      <c r="B31" s="6" t="n"/>
      <c r="C31" s="6" t="n"/>
      <c r="D31" s="6" t="n">
        <v>-279</v>
      </c>
      <c r="E31" s="6" t="n">
        <v>-279</v>
      </c>
    </row>
    <row r="32">
      <c r="A32" s="6" t="inlineStr">
        <is>
          <t>Amounts deferred to cash flow hedge reserve, net of tax</t>
        </is>
      </c>
      <c r="B32" s="6" t="n"/>
      <c r="C32" s="6" t="n"/>
      <c r="D32" s="6" t="n">
        <v>-21</v>
      </c>
      <c r="E32" s="6" t="n">
        <v>-21</v>
      </c>
    </row>
    <row r="33">
      <c r="A33" s="6" t="inlineStr">
        <is>
          <t>Share capital reallocation</t>
        </is>
      </c>
      <c r="B33" s="6" t="n">
        <v>-204883</v>
      </c>
      <c r="C33" s="6" t="n">
        <v>204883</v>
      </c>
      <c r="D33" s="6" t="n"/>
      <c r="E33" s="6" t="n">
        <v>0</v>
      </c>
    </row>
    <row r="34">
      <c r="A34" s="5" t="inlineStr">
        <is>
          <t>Balance at 31 December 2025</t>
        </is>
      </c>
      <c r="B34" s="5" t="n">
        <v>36156</v>
      </c>
      <c r="C34" s="5" t="n">
        <v>142021</v>
      </c>
      <c r="D34" s="5" t="n">
        <v>-398</v>
      </c>
      <c r="E34" s="5" t="n">
        <v>177779</v>
      </c>
    </row>
    <row r="36" ht="260" customHeight="1">
      <c r="A36" s="8" t="inlineStr">
        <is>
          <t>Sources - Vida Bank Limited's own Company (non-consolidated) Statement of Changes in Equity, £'000:
FY2021 boundary (1 Jan 2021 opening, FY2021 movements, 31 Dec 2021 closing): Belmont Green Finance Limited Annual Report and Accounts 2021, p.150 - https://www.vidabank.co.uk/media/p3wau0ms/annual-report-and-accounts-2021.pdf
FY2022 boundary: Belmont Green Finance Limited Annual Report and Accounts 2023, p.184 (FY2022 comparative rows) - https://www.vidabank.co.uk/media/zhoj0swe/annual-report-and-accounts-2023.pdf
FY2023 boundary: same document, p.184 - https://www.vidabank.co.uk/media/zhoj0swe/annual-report-and-accounts-2023.pdf
FY2024 boundary: Vida Bank Limited Annual Report and Accounts 2024, p.72 - https://www.vidabank.co.uk/media/emghy4z2/annual-report-and-accounts-2024-company.pdf
FY2025 boundary: Vida Bank Limited Annual Report and Accounts 2025 (Company), p.54 - https://www.vidabank.co.uk/media/pkmnxlqg/annual-report-and-accounts-2025-company.pdf
FY2018 boundary (1 Jan 2018 opening, FY2018 movements, 31 Dec 2018 closing): taken from the FY2019 Annual Report's own restated FY2018 comparative rows (Company Statement of Changes in Equity) - https://find-and-update.company-information.service.gov.uk/company/09837692/filing-history/MzI4NjAzOTYwNWFkaXF6a2N4/document?format=pdf&amp;download=0
FY2019 boundary: same FY2019 Annual Report, Company Statement of Changes in Equity - https://find-and-update.company-information.service.gov.uk/company/09837692/filing-history/MzI4NjAzOTYwNWFkaXF6a2N4/document?format=pdf&amp;download=0
FY2020 boundary: Belmont Green Finance Limited Annual Report and Accounts 2020, Company Statement of Changes in Equity - https://find-and-update.company-information.service.gov.uk/company/09837692/filing-history/MzMwNjUyMjA5MmFkaXF6a2N4/document?format=pdf&amp;download=0
Discrepancy flagged, not forced to tie: the FY2024 Annual Report's own opening balance at 1 January 2024 (share capital 204,463 / total equity 122,070) differs by £1k from the FY2023 Annual Report's own closing balance at 31 December 2023 (share capital 204,462 / total equity 122,069) - a genuine £1k rounding artefact between the two source documents, each reproduced exactly as its own report states. A similar £1k share-capital rounding artefact exists between the FY2020 Annual Report's own opening 1 January 2020 row (share capital 168,312) and the FY2019 Annual Report's own closing 31 December 2019 row (share capital 168,313), again reproduced exactly as each report states.
Larger, unreconciled discrepancy flagged (not forced to tie): the FY2019 Annual Report's own 'Balance as at 1 January 2019' row (129,641 / (29,547) / 100,015) does not internally sum (129,641 - 29,547 = 100,094, not 100,015 as printed) and its own 'At 31 December 2019' row (168,313 / (53,240) / 114,993) likewise differs by £80k from this workbook's own Balance Sheet sheet, which uses the same Annual Report's Company Statement of Financial Position total shareholders' equity of £115,073k for 31 December 2019 - both sets of figures are reproduced exactly as printed on their own source statement rather than corrected or blended.
The FY2025 Statement of Changes in Equity's own "Total comprehensive income" subtotal row is omitted from this ladder: it prints running balances (not that year's movement) in its Retained earnings and Total columns - see the Profit &amp; Loss sheet's own source note for the same issue on that sheet. Every individual movement row above it (Profit for the year, Deferred tax on Gilts, Fair value through OCI reserve, Amounts deferred to cash flow hedge reserve) is reproduced in full and the ladder ties exactly without it.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36:E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Company Cash Flow Statement</t>
        </is>
      </c>
    </row>
    <row r="2">
      <c r="A2" s="2" t="inlineStr">
        <is>
          <t>Company (non-consolidated) basis, £'000. FY2022 blank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5" t="inlineStr">
        <is>
          <t>Net cash flows from/(used in) operating activities</t>
        </is>
      </c>
      <c r="B5" s="5" t="n">
        <v>1766849</v>
      </c>
      <c r="C5" s="5" t="n">
        <v>70662</v>
      </c>
      <c r="D5" s="5" t="n">
        <v>65493</v>
      </c>
      <c r="E5" s="5" t="n"/>
      <c r="F5" s="5" t="n">
        <v>-179449</v>
      </c>
      <c r="G5" s="5" t="n">
        <v>-47723</v>
      </c>
      <c r="H5" s="5" t="n">
        <v>-423882</v>
      </c>
      <c r="I5" s="5" t="n">
        <v>-763195</v>
      </c>
    </row>
    <row r="6">
      <c r="A6" s="5" t="inlineStr">
        <is>
          <t>Investing activities</t>
        </is>
      </c>
      <c r="B6" s="6" t="n"/>
      <c r="C6" s="6" t="n"/>
      <c r="D6" s="6" t="n"/>
      <c r="E6" s="6" t="n"/>
      <c r="F6" s="6" t="n"/>
      <c r="G6" s="6" t="n"/>
      <c r="H6" s="6" t="n"/>
      <c r="I6" s="6" t="n"/>
    </row>
    <row r="7">
      <c r="A7" s="6" t="inlineStr">
        <is>
          <t>Purchase of property, plant and equipment</t>
        </is>
      </c>
      <c r="B7" s="6" t="n">
        <v>-92</v>
      </c>
      <c r="C7" s="6" t="n">
        <v>-57</v>
      </c>
      <c r="D7" s="6" t="n">
        <v>-24</v>
      </c>
      <c r="E7" s="6" t="n"/>
      <c r="F7" s="6" t="n">
        <v>-190</v>
      </c>
      <c r="G7" s="6" t="n">
        <v>-119</v>
      </c>
      <c r="H7" s="6" t="n">
        <v>-4537</v>
      </c>
      <c r="I7" s="6" t="n">
        <v>-1319</v>
      </c>
    </row>
    <row r="8">
      <c r="A8" s="6" t="inlineStr">
        <is>
          <t>Expenditure on software development</t>
        </is>
      </c>
      <c r="B8" s="6" t="n">
        <v>-12</v>
      </c>
      <c r="C8" s="6" t="n">
        <v>-351</v>
      </c>
      <c r="D8" s="6" t="n">
        <v>-674</v>
      </c>
      <c r="E8" s="6" t="n"/>
      <c r="F8" s="6" t="n">
        <v>-1567</v>
      </c>
      <c r="G8" s="6" t="n">
        <v>-994</v>
      </c>
      <c r="H8" s="6" t="n">
        <v>-311</v>
      </c>
      <c r="I8" s="6" t="n">
        <v>0</v>
      </c>
    </row>
    <row r="9">
      <c r="A9" s="5" t="inlineStr">
        <is>
          <t>Net cash flows from/(used in) investing activities</t>
        </is>
      </c>
      <c r="B9" s="5" t="n">
        <v>-104</v>
      </c>
      <c r="C9" s="5" t="n">
        <v>-408</v>
      </c>
      <c r="D9" s="5" t="n">
        <v>-698</v>
      </c>
      <c r="E9" s="5" t="n"/>
      <c r="F9" s="5" t="n">
        <v>-1757</v>
      </c>
      <c r="G9" s="5" t="n">
        <v>-1113</v>
      </c>
      <c r="H9" s="5" t="n">
        <v>-4848</v>
      </c>
      <c r="I9" s="5" t="n">
        <v>-1319</v>
      </c>
    </row>
    <row r="10">
      <c r="A10" s="5" t="inlineStr">
        <is>
          <t>Financing activities</t>
        </is>
      </c>
      <c r="B10" s="6" t="n"/>
      <c r="C10" s="6" t="n"/>
      <c r="D10" s="6" t="n"/>
      <c r="E10" s="6" t="n"/>
      <c r="F10" s="6" t="n"/>
      <c r="G10" s="6" t="n"/>
      <c r="H10" s="6" t="n"/>
      <c r="I10" s="6" t="n"/>
    </row>
    <row r="11">
      <c r="A11" s="6" t="inlineStr">
        <is>
          <t>Proceeds from shares issued</t>
        </is>
      </c>
      <c r="B11" s="6" t="n"/>
      <c r="C11" s="6" t="n"/>
      <c r="D11" s="6" t="n"/>
      <c r="E11" s="6" t="n"/>
      <c r="F11" s="6" t="n">
        <v>8300</v>
      </c>
      <c r="G11" s="6" t="n">
        <v>27850</v>
      </c>
      <c r="H11" s="6" t="n">
        <v>38671</v>
      </c>
      <c r="I11" s="6" t="n">
        <v>44782</v>
      </c>
    </row>
    <row r="12">
      <c r="A12" s="6" t="inlineStr">
        <is>
          <t>Movement of deemed loans due to Group undertakings</t>
        </is>
      </c>
      <c r="B12" s="6" t="n">
        <v>-904243</v>
      </c>
      <c r="C12" s="6" t="n">
        <v>115457</v>
      </c>
      <c r="D12" s="6" t="n">
        <v>-62096</v>
      </c>
      <c r="E12" s="6" t="n"/>
      <c r="F12" s="6" t="n">
        <v>169705</v>
      </c>
      <c r="G12" s="6" t="n">
        <v>36209</v>
      </c>
      <c r="H12" s="6" t="n">
        <v>392814</v>
      </c>
      <c r="I12" s="6" t="n">
        <v>723148</v>
      </c>
    </row>
    <row r="13">
      <c r="A13" s="6" t="inlineStr">
        <is>
          <t>Loan to/from subsidiary undertakings</t>
        </is>
      </c>
      <c r="B13" s="6" t="n"/>
      <c r="C13" s="6" t="n"/>
      <c r="D13" s="6" t="n"/>
      <c r="E13" s="6" t="n"/>
      <c r="F13" s="6" t="n"/>
      <c r="G13" s="6" t="n"/>
      <c r="H13" s="6" t="n">
        <v>-4356</v>
      </c>
      <c r="I13" s="6" t="n">
        <v>-5804</v>
      </c>
    </row>
    <row r="14">
      <c r="A14" s="6" t="inlineStr">
        <is>
          <t>Repayment of loans</t>
        </is>
      </c>
      <c r="B14" s="6" t="n"/>
      <c r="C14" s="6" t="n">
        <v>-25000</v>
      </c>
      <c r="D14" s="6" t="n"/>
      <c r="E14" s="6" t="n"/>
      <c r="F14" s="6" t="n"/>
      <c r="G14" s="6" t="n"/>
      <c r="H14" s="6" t="n"/>
      <c r="I14" s="6" t="n"/>
    </row>
    <row r="15">
      <c r="A15" s="6" t="inlineStr">
        <is>
          <t>Issuance of Tier 2 subordinated liabilities</t>
        </is>
      </c>
      <c r="B15" s="6" t="n">
        <v>35000</v>
      </c>
      <c r="C15" s="6" t="n"/>
      <c r="D15" s="6" t="n"/>
      <c r="E15" s="6" t="n"/>
      <c r="F15" s="6" t="n"/>
      <c r="G15" s="6" t="n"/>
      <c r="H15" s="6" t="n"/>
      <c r="I15" s="6" t="n"/>
    </row>
    <row r="16">
      <c r="A16" s="6" t="inlineStr">
        <is>
          <t>Repayment of lease liabilities</t>
        </is>
      </c>
      <c r="B16" s="6" t="n">
        <v>-479</v>
      </c>
      <c r="C16" s="6" t="n">
        <v>-225</v>
      </c>
      <c r="D16" s="6" t="n">
        <v>-446</v>
      </c>
      <c r="E16" s="6" t="n"/>
      <c r="F16" s="6" t="n">
        <v>-1407</v>
      </c>
      <c r="G16" s="6" t="n">
        <v>-1194</v>
      </c>
      <c r="H16" s="6" t="n"/>
      <c r="I16" s="6" t="n"/>
    </row>
    <row r="17">
      <c r="A17" s="6" t="inlineStr">
        <is>
          <t>Movement in debt securities</t>
        </is>
      </c>
      <c r="B17" s="6" t="n">
        <v>-785634</v>
      </c>
      <c r="C17" s="6" t="n">
        <v>-34135</v>
      </c>
      <c r="D17" s="6" t="n"/>
      <c r="E17" s="6" t="n"/>
      <c r="F17" s="6" t="n"/>
      <c r="G17" s="6" t="n"/>
      <c r="H17" s="6" t="n"/>
      <c r="I17" s="6" t="n"/>
    </row>
    <row r="18">
      <c r="A18" s="6" t="inlineStr">
        <is>
          <t>Other movements</t>
        </is>
      </c>
      <c r="B18" s="6" t="n">
        <v>0</v>
      </c>
      <c r="C18" s="6" t="n">
        <v>-27</v>
      </c>
      <c r="D18" s="6" t="n">
        <v>-12</v>
      </c>
      <c r="E18" s="6" t="n"/>
      <c r="F18" s="6" t="n"/>
      <c r="G18" s="6" t="n"/>
      <c r="H18" s="6" t="n"/>
      <c r="I18" s="6" t="n"/>
    </row>
    <row r="19">
      <c r="A19" s="5" t="inlineStr">
        <is>
          <t>Net cash flows (used in)/generated from financing activities</t>
        </is>
      </c>
      <c r="B19" s="5" t="n">
        <v>-1655356</v>
      </c>
      <c r="C19" s="5" t="n">
        <v>56070</v>
      </c>
      <c r="D19" s="5" t="n">
        <v>-62554</v>
      </c>
      <c r="E19" s="5" t="n"/>
      <c r="F19" s="5" t="n">
        <v>176598</v>
      </c>
      <c r="G19" s="5" t="n">
        <v>62865</v>
      </c>
      <c r="H19" s="5" t="n">
        <v>427129</v>
      </c>
      <c r="I19" s="5" t="n">
        <v>762126</v>
      </c>
    </row>
    <row r="20">
      <c r="A20" s="5" t="inlineStr">
        <is>
          <t>Net increase/(decrease) in cash and cash equivalents</t>
        </is>
      </c>
      <c r="B20" s="5" t="n">
        <v>111389</v>
      </c>
      <c r="C20" s="5" t="n">
        <v>126324</v>
      </c>
      <c r="D20" s="5" t="n">
        <v>2241</v>
      </c>
      <c r="E20" s="5" t="n"/>
      <c r="F20" s="5" t="n">
        <v>-4608</v>
      </c>
      <c r="G20" s="5" t="n">
        <v>14029</v>
      </c>
      <c r="H20" s="5" t="n">
        <v>-1601</v>
      </c>
      <c r="I20" s="5" t="n">
        <v>-2389</v>
      </c>
    </row>
    <row r="21">
      <c r="A21" s="6" t="inlineStr">
        <is>
          <t>Cash and cash equivalents at the beginning of the year</t>
        </is>
      </c>
      <c r="B21" s="6" t="n">
        <v>143485</v>
      </c>
      <c r="C21" s="6" t="n">
        <v>17161</v>
      </c>
      <c r="D21" s="6" t="n">
        <v>14920</v>
      </c>
      <c r="E21" s="6" t="n"/>
      <c r="F21" s="6" t="n">
        <v>18108</v>
      </c>
      <c r="G21" s="6" t="n">
        <v>4079</v>
      </c>
      <c r="H21" s="6" t="n">
        <v>5680</v>
      </c>
      <c r="I21" s="6" t="n">
        <v>8069</v>
      </c>
    </row>
    <row r="22">
      <c r="A22" s="5" t="inlineStr">
        <is>
          <t>Cash and cash equivalents at the end of the year</t>
        </is>
      </c>
      <c r="B22" s="5" t="n">
        <v>254874</v>
      </c>
      <c r="C22" s="5" t="n">
        <v>143485</v>
      </c>
      <c r="D22" s="5" t="n">
        <v>17161</v>
      </c>
      <c r="E22" s="5" t="n"/>
      <c r="F22" s="5" t="n">
        <v>13500</v>
      </c>
      <c r="G22" s="5" t="n">
        <v>18108</v>
      </c>
      <c r="H22" s="5" t="n">
        <v>4079</v>
      </c>
      <c r="I22" s="5" t="n">
        <v>5680</v>
      </c>
    </row>
    <row r="24" ht="280" customHeight="1">
      <c r="A24" s="8" t="inlineStr">
        <is>
          <t>Sources - all figures are Vida Bank Limited's own Company (non-consolidated) cash flow statement, £'000:
FY2025: Vida Bank Limited Annual Report and Accounts 2025 (Company), p.55 (Statement of Cash Flows) - https://www.vidabank.co.uk/media/pkmnxlqg/annual-report-and-accounts-2025-company.pdf
FY2024: Vida Bank Limited Annual Report and Accounts 2024 (Company), p.73 (Statement of Cash Flows) - https://www.vidabank.co.uk/media/emghy4z2/annual-report-and-accounts-2024-company.pdf
FY2023: taken from Vida Bank Limited's FY2024 Annual Report's own FY2023 comparative column (p.73, same document as above) - Belmont Green Finance Limited's own FY2023 Annual Report does not present a comparable Company-basis statement (see ENTITY_NOTE/FY2022_GAP_NOTE).
FY2021: Belmont Green Finance Limited (Vida) Annual Report and Accounts 2021, p.150 (Company Statement of Cash Flows) - https://www.vidabank.co.uk/media/p3wau0ms/annual-report-and-accounts-2021.pdf
FY2020: Belmont Green Finance Limited Annual Report and Accounts 2020 (Company Statement of Cash Flows) - https://find-and-update.company-information.service.gov.uk/company/09837692/filing-history/MzMwNjUyMjA5MmFkaXF6a2N4/document?format=pdf&amp;download=0
FY2019: Belmont Green Finance Limited Annual Report and Accounts 2019 (Company Statement of Cash Flows, Note 35-37 breakdown) - https://find-and-update.company-information.service.gov.uk/company/09837692/filing-history/MzI4NjAzOTYwNWFkaXF6a2N4/document?format=pdf&amp;download=0
FY2018: taken from the FY2019 Annual Report's own restated FY2018 comparative column (same document/notes as above) - see FY2018_RESTATEMENT_NOTE for why the restated figures are used in place of Belmont Green's originally-filed FY2018 Annual Report (https://find-and-update.company-information.service.gov.uk/company/09837692/filing-history/MzIzMzYzMjc1OWFkaXF6a2N4/document?format=pdf&amp;download=0).
ENTITY NOTE: the company (FRN 738741, Companies House 09837692) was named 'Belmont Green Finance Limited' (trading as Vida / Vida Homeloans) through its FY2023 Annual Report, and was renamed 'Vida Bank Limited' after receiving its PRA banking licence on 19 November 2024. This workbook uses 'Vida Bank Limited' throughout since that is its current name. Pre-authorisation (FY2018-FY2023), the business was funded mainly through mortgage securitisation (numerous 'Tower Bridge Funding' special-purpose vehicles) and warehouse facilities rather than retail deposits; the FY2023 Annual Report's own commentary describes the business as still 'preparing for the banking licence'. FY2018-FY2020 the company was regulated only by the FCA (mortgage lending/administration permissions) - not the PRA - and had no banking licence and no deposit-taking business at all; its own FY2019 and FY2020 Annual Reports both still describe the banking licence application as in progress/delayed. Cash flow figures below are on the Company's own (non-consolidated/solo) basis in every populated year - this is the only basis for which a full three-part cash flow statement (operating/investing/financing) could be found in every report; the Consolidated (Group) statement of financial position was reported each year from FY2019 onwards, but the FY2022 and FY2023 Annual Reports' own primary financial statements do not include a full Group cash flow statement, only a partial 'Net cash flow from operating activities' reconciliation note (Note 25) on the Group basis - see FY2022_GAP_NOTE below. FY2018's own Annual Report only presented Company-only financial statements (no Group/consolidated accounts were filed for FY2018); Group consolidated accounts for Belmont Green Finance Limited first appear in the FY2019 Annual Report, which also restates FY2018's Company-basis Balance Sheet, Cash Flow Statement and Statement of Changes in Equity figures - see FY2018_RESTATEMENT_NOTE below for why this workbook uses those restated figures rather than the originally-filed FY2018 Annual Report's own (much smaller) figures.
FY2022 is blank on this sheet: neither the FY2022 nor FY2023 Annual Report presents a full three-part Company cash flow statement for FY2022 (checked both directly - https://www.vidabank.co.uk/media/zhoj0swe/annual-report-and-accounts-2023.pdf - and via the FY2023 report's own prior-year comparative column, which is likewise not present.) The FY2023 Annual Report's Note 25 gives only a partial Group-basis operating reconciliation ending at 'Net cash flows from operating activities: £68,297k' for FY2022 - not on the same (Company) basis as every other populated year here and with no investing/financing breakdown at all, so it is not shown rather than presented as a misleadingly partial column.
FY2018 RESTATEMENT NOTE: Belmont Green Finance Limited's own, originally-filed FY2018 Annual Report (https://find-and-update.company-information.service.gov.uk/company/09837692/filing-history/MzIzMzYzMjc1OWFkaXF6a2N4/document?format=pdf&amp;download=0) reported total Company assets of only £132,973k, Loans to customers of just £450k (almost all mortgage exposure sat in warehouse/securitisation special-purpose vehicles, recognised via 'Other receivables' subordinated loan notes rather than on the Company's own balance sheet), and a full three-part Company cash flow statement with operating activities of £(45,851)k / financing activities of £44,782k. The subsequent FY2019 Annual Report's Note 28(d) explains that this presentation was reassessed: 'following a thorough analysis and in accordance with IFRS9, it has been established that BGFL retains substantial risks and rewards' of the securitised mortgage assets, so the FY2019 Annual Report's own restated FY2018 comparative brings the securitised loan book onto the Company's balance sheet (Loans to customers restated to £1,197,862k) with an offsetting 'Deemed loan due to Group undertakings' liability, and correspondingly grosses up the FY2018 Company cash flow statement's operating and financing activities (to £(763,195)k and £762,125k respectively) with no change to the net cash movement or cash balances. This workbook uses the FY2019 Annual Report's restated FY2018 figures throughout the Balance Sheet, Cash Flow Statement and Statement of Changes in Equity sheets, for consistency with FY2019 onwards' presentation (which uses the same 'Deemed loan due to Group undertakings' convention) - not the originally-filed FY2018 Annual Report's figures, which are noted here for transparency rather than blended in.</t>
        </is>
      </c>
    </row>
  </sheetData>
  <mergeCells count="1">
    <mergeCell ref="A24:I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Asset Quality</t>
        </is>
      </c>
    </row>
    <row r="2">
      <c r="A2" s="2" t="inlineStr">
        <is>
          <t>Group/Consolidated basis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Gross loans to customers by IFRS 9 stage</t>
        </is>
      </c>
      <c r="B4" s="6" t="n"/>
      <c r="C4" s="6" t="n"/>
      <c r="D4" s="6" t="n"/>
      <c r="E4" s="6" t="n"/>
      <c r="F4" s="6" t="n"/>
      <c r="G4" s="6" t="n"/>
      <c r="H4" s="6" t="n"/>
      <c r="I4" s="6" t="n"/>
    </row>
    <row r="5">
      <c r="A5" s="6" t="inlineStr">
        <is>
          <t>Stage 1 (performing)</t>
        </is>
      </c>
      <c r="B5" s="6" t="n">
        <v>1915462</v>
      </c>
      <c r="C5" s="6" t="n">
        <v>1463371</v>
      </c>
      <c r="D5" s="6" t="n">
        <v>1254493</v>
      </c>
      <c r="E5" s="6" t="n">
        <v>1041635</v>
      </c>
      <c r="F5" s="6" t="n">
        <v>1124656</v>
      </c>
      <c r="G5" s="6" t="n">
        <v>1150485</v>
      </c>
      <c r="H5" s="6" t="n">
        <v>1411656</v>
      </c>
      <c r="I5" s="6" t="n">
        <v>1080264</v>
      </c>
    </row>
    <row r="6">
      <c r="A6" s="6" t="inlineStr">
        <is>
          <t>Stage 2 (underperforming)</t>
        </is>
      </c>
      <c r="B6" s="6" t="n">
        <v>321347</v>
      </c>
      <c r="C6" s="6" t="n">
        <v>330053</v>
      </c>
      <c r="D6" s="6" t="n">
        <v>392712</v>
      </c>
      <c r="E6" s="6" t="n">
        <v>662983</v>
      </c>
      <c r="F6" s="6" t="n">
        <v>643597</v>
      </c>
      <c r="G6" s="6" t="n">
        <v>455349</v>
      </c>
      <c r="H6" s="6" t="n">
        <v>184957</v>
      </c>
      <c r="I6" s="6" t="n">
        <v>109901</v>
      </c>
    </row>
    <row r="7">
      <c r="A7" s="6" t="inlineStr">
        <is>
          <t>Stage 3 (non-performing)</t>
        </is>
      </c>
      <c r="B7" s="6" t="n">
        <v>65403</v>
      </c>
      <c r="C7" s="6" t="n">
        <v>63782</v>
      </c>
      <c r="D7" s="6" t="n">
        <v>51849</v>
      </c>
      <c r="E7" s="6" t="n">
        <v>45129</v>
      </c>
      <c r="F7" s="6" t="n">
        <v>44090</v>
      </c>
      <c r="G7" s="6" t="n">
        <v>35694</v>
      </c>
      <c r="H7" s="6" t="n">
        <v>7654</v>
      </c>
      <c r="I7" s="6" t="n">
        <v>2354</v>
      </c>
    </row>
    <row r="8">
      <c r="A8" s="5" t="inlineStr">
        <is>
          <t>Total gross loans to customers</t>
        </is>
      </c>
      <c r="B8" s="5" t="n">
        <v>2302212</v>
      </c>
      <c r="C8" s="5" t="n">
        <v>1857206</v>
      </c>
      <c r="D8" s="5" t="n">
        <v>1699054</v>
      </c>
      <c r="E8" s="5" t="n">
        <v>1749747</v>
      </c>
      <c r="F8" s="5" t="n">
        <v>1812343</v>
      </c>
      <c r="G8" s="5" t="n">
        <v>1641528</v>
      </c>
      <c r="H8" s="5" t="n">
        <v>1604267</v>
      </c>
      <c r="I8" s="5" t="n">
        <v>1192519</v>
      </c>
    </row>
    <row r="9">
      <c r="A9" s="5" t="inlineStr">
        <is>
          <t>Impairment provision (ECL) by IFRS 9 stage</t>
        </is>
      </c>
      <c r="B9" s="6" t="n"/>
      <c r="C9" s="6" t="n"/>
      <c r="D9" s="6" t="n"/>
      <c r="E9" s="6" t="n"/>
      <c r="F9" s="6" t="n"/>
      <c r="G9" s="6" t="n"/>
      <c r="H9" s="6" t="n"/>
      <c r="I9" s="6" t="n"/>
    </row>
    <row r="10">
      <c r="A10" s="6" t="inlineStr">
        <is>
          <t>Stage 1 provision</t>
        </is>
      </c>
      <c r="B10" s="6" t="n">
        <v>1671</v>
      </c>
      <c r="C10" s="6" t="n">
        <v>1053</v>
      </c>
      <c r="D10" s="6" t="n">
        <v>1105</v>
      </c>
      <c r="E10" s="6" t="n">
        <v>647</v>
      </c>
      <c r="F10" s="6" t="n">
        <v>1217</v>
      </c>
      <c r="G10" s="6" t="n">
        <v>898</v>
      </c>
      <c r="H10" s="6" t="n">
        <v>661</v>
      </c>
      <c r="I10" s="6" t="n">
        <v>549</v>
      </c>
    </row>
    <row r="11">
      <c r="A11" s="6" t="inlineStr">
        <is>
          <t>Stage 2 provision</t>
        </is>
      </c>
      <c r="B11" s="6" t="n">
        <v>1555</v>
      </c>
      <c r="C11" s="6" t="n">
        <v>1341</v>
      </c>
      <c r="D11" s="6" t="n">
        <v>1885</v>
      </c>
      <c r="E11" s="6" t="n">
        <v>3443</v>
      </c>
      <c r="F11" s="6" t="n">
        <v>3889</v>
      </c>
      <c r="G11" s="6" t="n">
        <v>3834</v>
      </c>
      <c r="H11" s="6" t="n">
        <v>1550</v>
      </c>
      <c r="I11" s="6" t="n">
        <v>966</v>
      </c>
    </row>
    <row r="12">
      <c r="A12" s="6" t="inlineStr">
        <is>
          <t>Stage 3 provision</t>
        </is>
      </c>
      <c r="B12" s="6" t="n">
        <v>3865</v>
      </c>
      <c r="C12" s="6" t="n">
        <v>2480</v>
      </c>
      <c r="D12" s="6" t="n">
        <v>2599</v>
      </c>
      <c r="E12" s="6" t="n">
        <v>1835</v>
      </c>
      <c r="F12" s="6" t="n">
        <v>2541</v>
      </c>
      <c r="G12" s="6" t="n">
        <v>2739</v>
      </c>
      <c r="H12" s="6" t="n">
        <v>1889</v>
      </c>
      <c r="I12" s="6" t="n">
        <v>183</v>
      </c>
    </row>
    <row r="13">
      <c r="A13" s="5" t="inlineStr">
        <is>
          <t>Total impairment provision</t>
        </is>
      </c>
      <c r="B13" s="5" t="n">
        <v>7091</v>
      </c>
      <c r="C13" s="5" t="n">
        <v>4874</v>
      </c>
      <c r="D13" s="5" t="n">
        <v>5589</v>
      </c>
      <c r="E13" s="5" t="n">
        <v>5925</v>
      </c>
      <c r="F13" s="5" t="n">
        <v>7647</v>
      </c>
      <c r="G13" s="5" t="n">
        <v>7471</v>
      </c>
      <c r="H13" s="5" t="n">
        <v>4100</v>
      </c>
      <c r="I13" s="5" t="n">
        <v>1698</v>
      </c>
    </row>
    <row r="14">
      <c r="A14" s="5" t="inlineStr">
        <is>
          <t>Derived ratios</t>
        </is>
      </c>
      <c r="B14" s="6" t="n"/>
      <c r="C14" s="6" t="n"/>
      <c r="D14" s="6" t="n"/>
      <c r="E14" s="6" t="n"/>
      <c r="F14" s="6" t="n"/>
      <c r="G14" s="6" t="n"/>
      <c r="H14" s="6" t="n"/>
      <c r="I14" s="6" t="n"/>
    </row>
    <row r="15">
      <c r="A15" s="6" t="inlineStr">
        <is>
          <t>NPL ratio (Stage 3 / Total gross loans)</t>
        </is>
      </c>
      <c r="B15" s="6" t="inlineStr">
        <is>
          <t>2.84%</t>
        </is>
      </c>
      <c r="C15" s="6" t="inlineStr">
        <is>
          <t>3.43%</t>
        </is>
      </c>
      <c r="D15" s="6" t="inlineStr">
        <is>
          <t>3.05%</t>
        </is>
      </c>
      <c r="E15" s="6" t="inlineStr">
        <is>
          <t>2.58%</t>
        </is>
      </c>
      <c r="F15" s="6" t="inlineStr">
        <is>
          <t>2.43%</t>
        </is>
      </c>
      <c r="G15" s="6" t="inlineStr">
        <is>
          <t>2.17%</t>
        </is>
      </c>
      <c r="H15" s="6" t="inlineStr">
        <is>
          <t>0.48%</t>
        </is>
      </c>
      <c r="I15" s="6" t="inlineStr">
        <is>
          <t>0.20%</t>
        </is>
      </c>
    </row>
    <row r="16">
      <c r="A16" s="6" t="inlineStr">
        <is>
          <t>Stage 3 coverage ratio (Stage 3 provision / Stage 3 gross)</t>
        </is>
      </c>
      <c r="B16" s="6" t="inlineStr">
        <is>
          <t>5.91%</t>
        </is>
      </c>
      <c r="C16" s="6" t="inlineStr">
        <is>
          <t>3.89%</t>
        </is>
      </c>
      <c r="D16" s="6" t="inlineStr">
        <is>
          <t>5.01%</t>
        </is>
      </c>
      <c r="E16" s="6" t="inlineStr">
        <is>
          <t>4.07%</t>
        </is>
      </c>
      <c r="F16" s="6" t="inlineStr">
        <is>
          <t>5.77%</t>
        </is>
      </c>
      <c r="G16" s="6" t="inlineStr">
        <is>
          <t>7.67%</t>
        </is>
      </c>
      <c r="H16" s="6" t="inlineStr">
        <is>
          <t>24.68%</t>
        </is>
      </c>
      <c r="I16" s="6" t="inlineStr">
        <is>
          <t>7.77%</t>
        </is>
      </c>
    </row>
    <row r="18" ht="200" customHeight="1">
      <c r="A18" s="8" t="inlineStr">
        <is>
          <t>Sources - Vida Bank Limited's own IFRS 9 stage disclosure (Note 13/14, "Expected credit losses"), £'000, on a Group/Consolidated basis (the only basis at which this note is disclosed in every source document; gross/net loan totals below therefore don't tie exactly to the Balance Sheet sheet's Company-basis "Loans to customers" line - a genuine basis difference, documented not blended):
FY2025/FY2024: Vida Bank Limited Annual Report and Accounts 2025, p.79-81 (Note 14, Expected credit losses) - https://www.vidabank.co.uk/media/pkmnxlqg/annual-report-and-accounts-2025-company.pdf
FY2023/FY2022: Belmont Green Finance Limited Annual Report and Accounts 2023, p.168-169 (Note 14, Expected credit losses) - https://www.vidabank.co.uk/media/zhoj0swe/annual-report-and-accounts-2023.pdf
FY2021: Belmont Green Finance Limited Annual Report and Accounts 2021, p.132-133 (Note 13, Expected credit losses) - https://www.vidabank.co.uk/media/p3wau0ms/annual-report-and-accounts-2021.pdf
FY2020/FY2019: Belmont Green Finance Limited Annual Report and Accounts 2020, Note 13 (Expected credit losses) and Note 23 (Risk management - loans to customers by IFRS 9 stage, Low/High risk sub-bucketed within Stage 1/Stage 2, summed here into the single Stage 1/Stage 2 rows used throughout this sheet) - https://find-and-update.company-information.service.gov.uk/company/09837692/filing-history/MzMwNjUyMjA5MmFkaXF6a2N4/document?format=pdf&amp;download=0
FY2018: Belmont Green Finance Limited Annual Report and Accounts 2019, FY2018 comparative column of the same Note 23-equivalent risk management table (Low/High risk sub-buckets summed the same way) - https://find-and-update.company-information.service.gov.uk/company/09837692/filing-history/MzI4NjAzOTYwNWFkaXF6a2N4/document?format=pdf&amp;download=0. Belmont Green's own originally-filed FY2018 Annual Report does not disclose an IFRS 9 stage split at all (only £450k of loans sat on the Company balance sheet that year - see FY2018_RESTATEMENT_NOTE on the Cash Flow Statement sheet), so the FY2019 Annual Report's restated comparative is the only source for FY2018 on this sheet.
NPL ratio = Stage 3 gross balance / Total gross balance. Coverage ratio = Stage 3 impairment provision / Stage 3 gross balance. Both derived, not separately disclosed by the Bank.</t>
        </is>
      </c>
    </row>
  </sheetData>
  <mergeCells count="1">
    <mergeCell ref="A18:I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CET1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168319</v>
      </c>
      <c r="C4" s="6" t="n">
        <v>160316</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CET1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15.2%</t>
        </is>
      </c>
      <c r="C4" s="6" t="inlineStr">
        <is>
          <t>16.2%</t>
        </is>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Tier 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168319</v>
      </c>
      <c r="C4" s="6" t="n">
        <v>160316</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ht="60" customHeight="1">
      <c r="A5" s="7" t="inlineStr">
        <is>
          <t>Note: Equal to CET1 capital in both years - Vida has no Additional Tier 1 (AT1) instruments.</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Tier 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15.2%</t>
        </is>
      </c>
      <c r="C4" s="6" t="inlineStr">
        <is>
          <t>16.2%</t>
        </is>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202429</v>
      </c>
      <c r="C4" s="6" t="n">
        <v>160316</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ht="60" customHeight="1">
      <c r="A5" s="7" t="inlineStr">
        <is>
          <t>Note: FY2025 total capital exceeds Tier 1 capital because the Group issued £35m of qualifying Tier 2 capital during the year to support planned balance sheet expansion; FY2024 had no Tier 2 capital.</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Capital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18.3%</t>
        </is>
      </c>
      <c r="C4" s="6" t="inlineStr">
        <is>
          <t>16.2%</t>
        </is>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RWAs</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1105780</v>
      </c>
      <c r="C4" s="6" t="n">
        <v>986809</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RWA Breakdown</t>
        </is>
      </c>
    </row>
    <row r="2">
      <c r="A2" s="2" t="inlineStr">
        <is>
          <t>Vida Group Holdings (Group/consolidated) basis, £'000. Table (OV1) - RWEAs by risk type, as disclosed. FY2018-FY2023: no Pillar 3 disclosure exists at all (see ENTITY_NOTE).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Credit risk (excluding CCR)</t>
        </is>
      </c>
      <c r="B4" s="6" t="n">
        <v>936924</v>
      </c>
      <c r="C4" s="6" t="n">
        <v>766886</v>
      </c>
      <c r="D4" s="6" t="n"/>
      <c r="E4" s="6" t="n"/>
      <c r="F4" s="6" t="n"/>
      <c r="G4" s="6" t="n"/>
      <c r="H4" s="6" t="n"/>
      <c r="I4" s="6" t="n"/>
    </row>
    <row r="5">
      <c r="A5" s="6" t="inlineStr">
        <is>
          <t>Counterparty credit risk (CCR), of which credit valuation adjustment (CVA)</t>
        </is>
      </c>
      <c r="B5" s="6" t="n">
        <v>83044</v>
      </c>
      <c r="C5" s="6" t="n">
        <v>155027</v>
      </c>
      <c r="D5" s="6" t="n"/>
      <c r="E5" s="6" t="n"/>
      <c r="F5" s="6" t="n"/>
      <c r="G5" s="6" t="n"/>
      <c r="H5" s="6" t="n"/>
      <c r="I5" s="6" t="n"/>
    </row>
    <row r="6">
      <c r="A6" s="6" t="inlineStr">
        <is>
          <t>Securitisation exposures in the non-trading book (after the cap)</t>
        </is>
      </c>
      <c r="B6" s="6" t="n">
        <v>6391</v>
      </c>
      <c r="C6" s="6" t="n">
        <v>0</v>
      </c>
      <c r="D6" s="6" t="n"/>
      <c r="E6" s="6" t="n"/>
      <c r="F6" s="6" t="n"/>
      <c r="G6" s="6" t="n"/>
      <c r="H6" s="6" t="n"/>
      <c r="I6" s="6" t="n"/>
    </row>
    <row r="7">
      <c r="A7" s="6" t="inlineStr">
        <is>
          <t>Operational risk</t>
        </is>
      </c>
      <c r="B7" s="6" t="n">
        <v>79420</v>
      </c>
      <c r="C7" s="6" t="n">
        <v>64896</v>
      </c>
      <c r="D7" s="6" t="n"/>
      <c r="E7" s="6" t="n"/>
      <c r="F7" s="6" t="n"/>
      <c r="G7" s="6" t="n"/>
      <c r="H7" s="6" t="n"/>
      <c r="I7" s="6" t="n"/>
    </row>
    <row r="8">
      <c r="A8" s="5" t="inlineStr">
        <is>
          <t>Total risk weighted exposure amount (Table OV1)</t>
        </is>
      </c>
      <c r="B8" s="5" t="n">
        <v>1105779</v>
      </c>
      <c r="C8" s="5" t="n">
        <v>986809</v>
      </c>
      <c r="D8" s="5" t="n"/>
      <c r="E8" s="5" t="n"/>
      <c r="F8" s="5" t="n"/>
      <c r="G8" s="5" t="n"/>
      <c r="H8" s="5" t="n"/>
      <c r="I8" s="5" t="n"/>
    </row>
    <row r="9">
      <c r="A9" s="5" t="inlineStr">
        <is>
          <t>Not applicable - entity was not a PRA-authorised bank</t>
        </is>
      </c>
      <c r="B9" s="6" t="n"/>
      <c r="C9" s="6" t="n"/>
      <c r="D9" s="6" t="n"/>
      <c r="E9" s="6" t="n"/>
      <c r="F9" s="6" t="n"/>
      <c r="G9" s="6" t="n"/>
      <c r="H9" s="6" t="n"/>
      <c r="I9" s="6" t="n"/>
    </row>
    <row r="10">
      <c r="A10" s="6" t="inlineStr">
        <is>
          <t>Not applicable (no banking licence held in these years)</t>
        </is>
      </c>
      <c r="B10" s="6" t="n"/>
      <c r="C10" s="6" t="n"/>
      <c r="D10" s="6" t="inlineStr">
        <is>
          <t>Not applicable</t>
        </is>
      </c>
      <c r="E10" s="6" t="inlineStr">
        <is>
          <t>Not applicable</t>
        </is>
      </c>
      <c r="F10" s="6" t="inlineStr">
        <is>
          <t>Not applicable</t>
        </is>
      </c>
      <c r="G10" s="6" t="inlineStr">
        <is>
          <t>Not applicable</t>
        </is>
      </c>
      <c r="H10" s="6" t="inlineStr">
        <is>
          <t>Not applicable</t>
        </is>
      </c>
      <c r="I10" s="6" t="inlineStr">
        <is>
          <t>Not applicable</t>
        </is>
      </c>
    </row>
    <row r="12" ht="200" customHeight="1">
      <c r="A12" s="8" t="inlineStr">
        <is>
          <t>Sources - Vida Group Holdings Limited/plc Pillar 3 disclosures, Table (OV1) 'RWEAs and total own funds requirements by risk type', £'000, as disclosed (DIRECTLY DISCLOSED, not derived):
FY2025 &amp; FY2024: Vida Group Holdings plc Pillar 3 Disclosures 2025, section 3.2 'Risk-Weighted Exposures', Table (OV1), p.6 - https://www.vidabank.co.uk/media/od2lpxc0/vghl-pillar-3-report-2025-final.pdf. FY2024's category rows sum exactly to that table's own stated Total (986,809), matching the Total RWAs sheet's FY2024 figure exactly. FY2025's category rows sum to 1,105,779 - £1k below the table's own stated Total (1,105,780) and the Total RWAs sheet's own FY2025 figure - a one £'000 rounding artifact in the source table itself (each row independently rounded to the nearest £'000 before summing), not a transcription error here; the TOTAL row above shows the reconciling sum of the category rows, not the source's stated Total, per this project's convention of the category breakdown always ticking to its own components.
This table was not identified in an earlier review of these documents (which found only the KM1 Key Metrics table used on the other Pillar 3 sheets) - a 2026-09-08 re-check located it in section 3.2 of the FY2025 report (which also carries the FY2024 comparative column, so the standalone FY2024 report did not need separately re-checking for this sheet).
FY2018-FY2023: no Pillar 3 disclosure exists at all for any year before FY2024 (Pillar 3 only applies once the entity holds a banking licence, obtained 19 November 2024) - see ENTITY_NOTE on the Cash Flow Statement sheet.
2026-09-15: those pre-licence years are now marked explicitly as 'Not applicable' in the rows above, rather than being left as empty cells. They were previously blank, which made them indistinguishable from a bank that simply has not been researched yet - an audit of RWA Breakdown coverage counted them as open, chaseable gaps when in fact no document can ever exist for them. This follows the same convention already used in build_afin_bank.py for the identical situation. Corroborating evidence for the licence date: Companies House (company 09837692) shows the entity's first full bank accounts made up to 31 December 2024, and FY2024 is the first year for which any Pillar 3 disclosure of any kind exists.</t>
        </is>
      </c>
    </row>
  </sheetData>
  <mergeCells count="1">
    <mergeCell ref="A12:I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Leverage Ratio</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t>
        </is>
      </c>
      <c r="B4" s="6" t="n">
        <v>3440332</v>
      </c>
      <c r="C4" s="6" t="n">
        <v>2331835</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c r="A5" s="6" t="inlineStr">
        <is>
          <t>Leverage ratio excluding claims on central banks (%)</t>
        </is>
      </c>
      <c r="B5" s="6" t="inlineStr">
        <is>
          <t>4.9%</t>
        </is>
      </c>
      <c r="C5" s="6" t="inlineStr">
        <is>
          <t>6.9%</t>
        </is>
      </c>
      <c r="D5" s="6" t="inlineStr">
        <is>
          <t>Not applicable</t>
        </is>
      </c>
      <c r="E5" s="6" t="inlineStr">
        <is>
          <t>Not applicable</t>
        </is>
      </c>
      <c r="F5" s="6" t="inlineStr">
        <is>
          <t>Not applicable</t>
        </is>
      </c>
      <c r="G5" s="6" t="inlineStr">
        <is>
          <t>Not applicable</t>
        </is>
      </c>
      <c r="H5" s="6" t="inlineStr">
        <is>
          <t>Not applicable</t>
        </is>
      </c>
      <c r="I5" s="6" t="inlineStr">
        <is>
          <t>Not applicable</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LCR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(average)</t>
        </is>
      </c>
      <c r="B4" s="6" t="n">
        <v>1073005</v>
      </c>
      <c r="C4" s="6" t="n">
        <v>167705</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c r="A5" s="6" t="inlineStr">
        <is>
          <t>Total net cash outflows, adjusted value</t>
        </is>
      </c>
      <c r="B5" s="6" t="n">
        <v>669438</v>
      </c>
      <c r="C5" s="6" t="n">
        <v>16046</v>
      </c>
      <c r="D5" s="6" t="inlineStr">
        <is>
          <t>Not applicable</t>
        </is>
      </c>
      <c r="E5" s="6" t="inlineStr">
        <is>
          <t>Not applicable</t>
        </is>
      </c>
      <c r="F5" s="6" t="inlineStr">
        <is>
          <t>Not applicable</t>
        </is>
      </c>
      <c r="G5" s="6" t="inlineStr">
        <is>
          <t>Not applicable</t>
        </is>
      </c>
      <c r="H5" s="6" t="inlineStr">
        <is>
          <t>Not applicable</t>
        </is>
      </c>
      <c r="I5" s="6" t="inlineStr">
        <is>
          <t>Not applicable</t>
        </is>
      </c>
    </row>
    <row r="6">
      <c r="A6" s="6" t="inlineStr">
        <is>
          <t>Liquidity Coverage Ratio (%)</t>
        </is>
      </c>
      <c r="B6" s="6" t="inlineStr">
        <is>
          <t>163%</t>
        </is>
      </c>
      <c r="C6" s="6" t="inlineStr">
        <is>
          <t>1,045%</t>
        </is>
      </c>
      <c r="D6" s="6" t="inlineStr">
        <is>
          <t>Not applicable</t>
        </is>
      </c>
      <c r="E6" s="6" t="inlineStr">
        <is>
          <t>Not applicable</t>
        </is>
      </c>
      <c r="F6" s="6" t="inlineStr">
        <is>
          <t>Not applicable</t>
        </is>
      </c>
      <c r="G6" s="6" t="inlineStr">
        <is>
          <t>Not applicable</t>
        </is>
      </c>
      <c r="H6" s="6" t="inlineStr">
        <is>
          <t>Not applicable</t>
        </is>
      </c>
      <c r="I6" s="6" t="inlineStr">
        <is>
          <t>Not applicable</t>
        </is>
      </c>
    </row>
    <row r="7" ht="60" customHeight="1">
      <c r="A7" s="7" t="inlineStr">
        <is>
          <t>Note: FY2024's very high LCR (1,045%) reflects a build-up of liquid assets immediately following PRA authorisation on 19 November 2024, per the Group's own Pillar 3 commentary.</t>
        </is>
      </c>
    </row>
    <row r="9" ht="130" customHeight="1">
      <c r="A9"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7:I7"/>
    <mergeCell ref="A9:I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NSFR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2377496</v>
      </c>
      <c r="C4" s="6" t="n">
        <v>2016146</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c r="A5" s="6" t="inlineStr">
        <is>
          <t>Total required stable funding</t>
        </is>
      </c>
      <c r="B5" s="6" t="n">
        <v>1719626</v>
      </c>
      <c r="C5" s="6" t="n">
        <v>1830180</v>
      </c>
      <c r="D5" s="6" t="inlineStr">
        <is>
          <t>Not applicable</t>
        </is>
      </c>
      <c r="E5" s="6" t="inlineStr">
        <is>
          <t>Not applicable</t>
        </is>
      </c>
      <c r="F5" s="6" t="inlineStr">
        <is>
          <t>Not applicable</t>
        </is>
      </c>
      <c r="G5" s="6" t="inlineStr">
        <is>
          <t>Not applicable</t>
        </is>
      </c>
      <c r="H5" s="6" t="inlineStr">
        <is>
          <t>Not applicable</t>
        </is>
      </c>
      <c r="I5" s="6" t="inlineStr">
        <is>
          <t>Not applicable</t>
        </is>
      </c>
    </row>
    <row r="6">
      <c r="A6" s="6" t="inlineStr">
        <is>
          <t>Net Stable Funding Ratio (%)</t>
        </is>
      </c>
      <c r="B6" s="6" t="inlineStr">
        <is>
          <t>138%</t>
        </is>
      </c>
      <c r="C6" s="6" t="inlineStr">
        <is>
          <t>110%</t>
        </is>
      </c>
      <c r="D6" s="6" t="inlineStr">
        <is>
          <t>Not applicable</t>
        </is>
      </c>
      <c r="E6" s="6" t="inlineStr">
        <is>
          <t>Not applicable</t>
        </is>
      </c>
      <c r="F6" s="6" t="inlineStr">
        <is>
          <t>Not applicable</t>
        </is>
      </c>
      <c r="G6" s="6" t="inlineStr">
        <is>
          <t>Not applicable</t>
        </is>
      </c>
      <c r="H6" s="6" t="inlineStr">
        <is>
          <t>Not applicable</t>
        </is>
      </c>
      <c r="I6" s="6" t="inlineStr">
        <is>
          <t>Not applicable</t>
        </is>
      </c>
    </row>
    <row r="8" ht="130" customHeight="1">
      <c r="A8"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8:I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MREL Ratio</t>
        </is>
      </c>
    </row>
    <row r="2">
      <c r="A2" s="2" t="inlineStr">
        <is>
          <t>Vida Group Holdings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disclosed</t>
        </is>
      </c>
      <c r="C4" s="6" t="inlineStr">
        <is>
          <t>Not disclosed</t>
        </is>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ht="60" customHeight="1">
      <c r="A5" s="7" t="inlineStr">
        <is>
          <t>Note: FY2025/FY2024: no MREL disclosure (numeric or qualitative) found in either Pillar 3 report - Vida is a small, recently-authorised bank and does not appear to be within scope of an MREL-above-minimum-capital requirement based on its own disclosures. FY2018-FY2023 read 'Not applicable' rather than 'Not disclosed' because the entity held no banking licence in those years, so no MREL requirement could attach to it in the first place - the two are different findings and were previously conflated here.</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2026-09-15T16:49:20Z</dcterms:created>
  <dcterms:modified xmlns:dcterms="http://purl.org/dc/terms/" xmlns:xsi="http://www.w3.org/2001/XMLSchema-instance" xsi:type="dcterms:W3CDTF">2026-09-15T16:49:20Z</dcterms:modified>
</cp:coreProperties>
</file>