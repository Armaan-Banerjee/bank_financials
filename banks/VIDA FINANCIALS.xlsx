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K6" t="n">
        <v>16.2</v>
      </c>
      <c r="BL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K7" t="n">
        <v>16.2</v>
      </c>
      <c r="BL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K8" t="n">
        <v>16.2</v>
      </c>
      <c r="BL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K9" t="n">
        <v>6.9</v>
      </c>
      <c r="BL9" t="n">
        <v>4.9</v>
      </c>
    </row>
    <row r="10">
      <c r="BD10" t="inlineStr">
        <is>
          <t>LCR</t>
        </is>
      </c>
      <c r="BK10" t="n">
        <v>1045</v>
      </c>
      <c r="BL10" t="n">
        <v>163</v>
      </c>
    </row>
    <row r="11">
      <c r="A11" s="3" t="inlineStr">
        <is>
          <t>Profit &amp; Loss Summary (£'000)</t>
        </is>
      </c>
      <c r="BD11" t="inlineStr">
        <is>
          <t>NSFR</t>
        </is>
      </c>
      <c r="BK11" t="n">
        <v>110</v>
      </c>
      <c r="BL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c r="F26" s="5" t="n">
        <v>-179449</v>
      </c>
      <c r="G26" s="5" t="n">
        <v>-47723</v>
      </c>
      <c r="H26" s="5" t="n">
        <v>-423882</v>
      </c>
      <c r="I26" s="5" t="n">
        <v>-763195</v>
      </c>
      <c r="AS26" t="inlineStr">
        <is>
          <t>Net cash from/(used in) operating activities</t>
        </is>
      </c>
      <c r="AT26" t="n">
        <v>-763195</v>
      </c>
      <c r="AU26" t="n">
        <v>-423882</v>
      </c>
      <c r="AV26" t="n">
        <v>-47723</v>
      </c>
      <c r="AW26" t="n">
        <v>-179449</v>
      </c>
      <c r="AY26" t="n">
        <v>65493</v>
      </c>
      <c r="AZ26" t="n">
        <v>70662</v>
      </c>
      <c r="BA26" t="n">
        <v>1766849</v>
      </c>
    </row>
    <row r="27">
      <c r="A27" s="5" t="inlineStr">
        <is>
          <t>Net cash from/(used in) investing activities</t>
        </is>
      </c>
      <c r="B27" s="5" t="n">
        <v>-104</v>
      </c>
      <c r="C27" s="5" t="n">
        <v>-408</v>
      </c>
      <c r="D27" s="5" t="n">
        <v>-698</v>
      </c>
      <c r="E27" s="5" t="n"/>
      <c r="F27" s="5" t="n">
        <v>-1757</v>
      </c>
      <c r="G27" s="5" t="n">
        <v>-1113</v>
      </c>
      <c r="H27" s="5" t="n">
        <v>-4848</v>
      </c>
      <c r="I27" s="5" t="n">
        <v>-1319</v>
      </c>
      <c r="AS27" t="inlineStr">
        <is>
          <t>Net cash from/(used in) investing activities</t>
        </is>
      </c>
      <c r="AT27" t="n">
        <v>-1319</v>
      </c>
      <c r="AU27" t="n">
        <v>-4848</v>
      </c>
      <c r="AV27" t="n">
        <v>-1113</v>
      </c>
      <c r="AW27" t="n">
        <v>-1757</v>
      </c>
      <c r="AY27" t="n">
        <v>-698</v>
      </c>
      <c r="AZ27" t="n">
        <v>-408</v>
      </c>
      <c r="BA27" t="n">
        <v>-104</v>
      </c>
    </row>
    <row r="28">
      <c r="A28" s="5" t="inlineStr">
        <is>
          <t>Net cash from/(used in) financing activities</t>
        </is>
      </c>
      <c r="B28" s="5" t="n">
        <v>-1655356</v>
      </c>
      <c r="C28" s="5" t="n">
        <v>56070</v>
      </c>
      <c r="D28" s="5" t="n">
        <v>-62554</v>
      </c>
      <c r="E28" s="5" t="n"/>
      <c r="F28" s="5" t="n">
        <v>176598</v>
      </c>
      <c r="G28" s="5" t="n">
        <v>62865</v>
      </c>
      <c r="H28" s="5" t="n">
        <v>427129</v>
      </c>
      <c r="I28" s="5" t="n">
        <v>762126</v>
      </c>
      <c r="AS28" t="inlineStr">
        <is>
          <t>Net cash from/(used in) financing activities</t>
        </is>
      </c>
      <c r="AT28" t="n">
        <v>762126</v>
      </c>
      <c r="AU28" t="n">
        <v>427129</v>
      </c>
      <c r="AV28" t="n">
        <v>62865</v>
      </c>
      <c r="AW28" t="n">
        <v>176598</v>
      </c>
      <c r="AY28" t="n">
        <v>-62554</v>
      </c>
      <c r="AZ28" t="n">
        <v>56070</v>
      </c>
      <c r="BA28" t="n">
        <v>-1655356</v>
      </c>
    </row>
    <row r="29">
      <c r="A29" s="5" t="inlineStr">
        <is>
          <t>Cash and cash equivalents at end of year</t>
        </is>
      </c>
      <c r="B29" s="5" t="n">
        <v>254874</v>
      </c>
      <c r="C29" s="5" t="n">
        <v>143485</v>
      </c>
      <c r="D29" s="5" t="n">
        <v>17161</v>
      </c>
      <c r="E29" s="5" t="n"/>
      <c r="F29" s="5" t="n">
        <v>13500</v>
      </c>
      <c r="G29" s="5" t="n">
        <v>18108</v>
      </c>
      <c r="H29" s="5" t="n">
        <v>4079</v>
      </c>
      <c r="I29" s="5" t="n">
        <v>5680</v>
      </c>
      <c r="AS29" t="inlineStr">
        <is>
          <t>Cash and cash equivalents at end of year</t>
        </is>
      </c>
      <c r="AT29" t="n">
        <v>5680</v>
      </c>
      <c r="AU29" t="n">
        <v>4079</v>
      </c>
      <c r="AV29" t="n">
        <v>18108</v>
      </c>
      <c r="AW29" t="n">
        <v>13500</v>
      </c>
      <c r="AY29" t="n">
        <v>17161</v>
      </c>
      <c r="AZ29" t="n">
        <v>143485</v>
      </c>
      <c r="BA29" t="n">
        <v>254874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15.2%</t>
        </is>
      </c>
      <c r="C33" s="6" t="inlineStr">
        <is>
          <t>16.2%</t>
        </is>
      </c>
      <c r="D33" s="6" t="n"/>
      <c r="E33" s="6" t="n"/>
      <c r="F33" s="6" t="n"/>
      <c r="G33" s="6" t="n"/>
      <c r="H33" s="6" t="n"/>
      <c r="I33" s="6" t="n"/>
    </row>
    <row r="34">
      <c r="A34" s="6" t="inlineStr">
        <is>
          <t>Tier 1 Ratio</t>
        </is>
      </c>
      <c r="B34" s="6" t="inlineStr">
        <is>
          <t>15.2%</t>
        </is>
      </c>
      <c r="C34" s="6" t="inlineStr">
        <is>
          <t>16.2%</t>
        </is>
      </c>
      <c r="D34" s="6" t="n"/>
      <c r="E34" s="6" t="n"/>
      <c r="F34" s="6" t="n"/>
      <c r="G34" s="6" t="n"/>
      <c r="H34" s="6" t="n"/>
      <c r="I34" s="6" t="n"/>
    </row>
    <row r="35">
      <c r="A35" s="6" t="inlineStr">
        <is>
          <t>Total Capital Ratio</t>
        </is>
      </c>
      <c r="B35" s="6" t="inlineStr">
        <is>
          <t>18.3%</t>
        </is>
      </c>
      <c r="C35" s="6" t="inlineStr">
        <is>
          <t>16.2%</t>
        </is>
      </c>
      <c r="D35" s="6" t="n"/>
      <c r="E35" s="6" t="n"/>
      <c r="F35" s="6" t="n"/>
      <c r="G35" s="6" t="n"/>
      <c r="H35" s="6" t="n"/>
      <c r="I35" s="6" t="n"/>
    </row>
    <row r="36">
      <c r="A36" s="6" t="inlineStr">
        <is>
          <t>Leverage Ratio</t>
        </is>
      </c>
      <c r="B36" s="6" t="inlineStr">
        <is>
          <t>4.9%</t>
        </is>
      </c>
      <c r="C36" s="6" t="inlineStr">
        <is>
          <t>6.9%</t>
        </is>
      </c>
      <c r="D36" s="6" t="n"/>
      <c r="E36" s="6" t="n"/>
      <c r="F36" s="6" t="n"/>
      <c r="G36" s="6" t="n"/>
      <c r="H36" s="6" t="n"/>
      <c r="I36" s="6" t="n"/>
    </row>
    <row r="37">
      <c r="A37" s="6" t="inlineStr">
        <is>
          <t>LCR</t>
        </is>
      </c>
      <c r="B37" s="6" t="inlineStr">
        <is>
          <t>163%</t>
        </is>
      </c>
      <c r="C37" s="6" t="inlineStr">
        <is>
          <t>1,045%</t>
        </is>
      </c>
      <c r="D37" s="6" t="n"/>
      <c r="E37" s="6" t="n"/>
      <c r="F37" s="6" t="n"/>
      <c r="G37" s="6" t="n"/>
      <c r="H37" s="6" t="n"/>
      <c r="I37" s="6" t="n"/>
    </row>
    <row r="38">
      <c r="A38" s="6" t="inlineStr">
        <is>
          <t>NSFR</t>
        </is>
      </c>
      <c r="B38" s="6" t="inlineStr">
        <is>
          <t>138%</t>
        </is>
      </c>
      <c r="C38" s="6" t="inlineStr">
        <is>
          <t>110%</t>
        </is>
      </c>
      <c r="D38" s="6" t="n"/>
      <c r="E38" s="6" t="n"/>
      <c r="F38" s="6" t="n"/>
      <c r="G38" s="6" t="n"/>
      <c r="H38" s="6" t="n"/>
      <c r="I38" s="6" t="n"/>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Belmont Green's own FY2022 Annual Report has since been located and read (2026-09-18, see the Cash Flow Statement sheet's FY2022_FOUND_NOTE); its own Company Statement of Financial Position is on printed p.159 and its figures were superseded by the FY2023 report's restatement, so the restated comparative is retained here deliberately rather than for want of the original.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Every year FY2018-FY2025 is populated; see the source note for FY2022's own two documented divergences and the FY2018 restatement.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v>35347</v>
      </c>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v>-131</v>
      </c>
      <c r="F7" s="6" t="n">
        <v>-190</v>
      </c>
      <c r="G7" s="6" t="n">
        <v>-119</v>
      </c>
      <c r="H7" s="6" t="n">
        <v>-4537</v>
      </c>
      <c r="I7" s="6" t="n">
        <v>-1319</v>
      </c>
    </row>
    <row r="8">
      <c r="A8" s="6" t="inlineStr">
        <is>
          <t>Expenditure on software development</t>
        </is>
      </c>
      <c r="B8" s="6" t="n">
        <v>-12</v>
      </c>
      <c r="C8" s="6" t="n">
        <v>-351</v>
      </c>
      <c r="D8" s="6" t="n">
        <v>-674</v>
      </c>
      <c r="E8" s="6" t="n">
        <v>-1040</v>
      </c>
      <c r="F8" s="6" t="n">
        <v>-1567</v>
      </c>
      <c r="G8" s="6" t="n">
        <v>-994</v>
      </c>
      <c r="H8" s="6" t="n">
        <v>-311</v>
      </c>
      <c r="I8" s="6" t="n">
        <v>0</v>
      </c>
    </row>
    <row r="9">
      <c r="A9" s="5" t="inlineStr">
        <is>
          <t>Net cash flows from/(used in) investing activities</t>
        </is>
      </c>
      <c r="B9" s="5" t="n">
        <v>-104</v>
      </c>
      <c r="C9" s="5" t="n">
        <v>-408</v>
      </c>
      <c r="D9" s="5" t="n">
        <v>-698</v>
      </c>
      <c r="E9" s="5" t="n">
        <v>-1171</v>
      </c>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inlineStr">
        <is>
          <t>-</t>
        </is>
      </c>
      <c r="F11" s="6" t="n">
        <v>8300</v>
      </c>
      <c r="G11" s="6" t="n">
        <v>27850</v>
      </c>
      <c r="H11" s="6" t="n">
        <v>38671</v>
      </c>
      <c r="I11" s="6" t="n">
        <v>44782</v>
      </c>
    </row>
    <row r="12">
      <c r="A12" s="6" t="inlineStr">
        <is>
          <t>Movement of deemed loans due to Group undertakings</t>
        </is>
      </c>
      <c r="B12" s="6" t="n">
        <v>-904243</v>
      </c>
      <c r="C12" s="6" t="n">
        <v>115457</v>
      </c>
      <c r="D12" s="6" t="n">
        <v>-62096</v>
      </c>
      <c r="E12" s="6" t="n">
        <v>-31392</v>
      </c>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v>-1365</v>
      </c>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v>-32755</v>
      </c>
      <c r="F19" s="5" t="n">
        <v>176598</v>
      </c>
      <c r="G19" s="5" t="n">
        <v>62865</v>
      </c>
      <c r="H19" s="5" t="n">
        <v>427129</v>
      </c>
      <c r="I19" s="5" t="n">
        <v>762126</v>
      </c>
    </row>
    <row r="20">
      <c r="A20" s="5" t="inlineStr">
        <is>
          <t>Net increase/(decrease) in cash and cash equivalents</t>
        </is>
      </c>
      <c r="B20" s="5" t="n">
        <v>111389</v>
      </c>
      <c r="C20" s="5" t="n">
        <v>126324</v>
      </c>
      <c r="D20" s="5" t="n">
        <v>2241</v>
      </c>
      <c r="E20" s="5" t="n">
        <v>1419</v>
      </c>
      <c r="F20" s="5" t="n">
        <v>-4608</v>
      </c>
      <c r="G20" s="5" t="n">
        <v>14029</v>
      </c>
      <c r="H20" s="5" t="n">
        <v>-1601</v>
      </c>
      <c r="I20" s="5" t="n">
        <v>-2389</v>
      </c>
    </row>
    <row r="21">
      <c r="A21" s="6" t="inlineStr">
        <is>
          <t>Cash and cash equivalents at the beginning of the year</t>
        </is>
      </c>
      <c r="B21" s="6" t="n">
        <v>143485</v>
      </c>
      <c r="C21" s="6" t="n">
        <v>17161</v>
      </c>
      <c r="D21" s="6" t="n">
        <v>14920</v>
      </c>
      <c r="E21" s="6" t="n">
        <v>13500</v>
      </c>
      <c r="F21" s="6" t="n">
        <v>18108</v>
      </c>
      <c r="G21" s="6" t="n">
        <v>4079</v>
      </c>
      <c r="H21" s="6" t="n">
        <v>5680</v>
      </c>
      <c r="I21" s="6" t="n">
        <v>8069</v>
      </c>
    </row>
    <row r="22">
      <c r="A22" s="5" t="inlineStr">
        <is>
          <t>Cash and cash equivalents at the end of the year</t>
        </is>
      </c>
      <c r="B22" s="5" t="n">
        <v>254874</v>
      </c>
      <c r="C22" s="5" t="n">
        <v>143485</v>
      </c>
      <c r="D22" s="5" t="n">
        <v>17161</v>
      </c>
      <c r="E22" s="5" t="n">
        <v>14919</v>
      </c>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ENTITY_NOTE/FY2022_FOUND_NOTE).
FY2022: Belmont Green Finance Limited Annual Report and Accounts 2022, printed p.161 / PDF p.161 (the Company cash flow statement, printed under the running head 'Notes to the Company Financial Statements (continued)'; the operating-activities reconciliation behind it is Note 34 on printed p.164) - https://find-and-update.company-information.service.gov.uk/company/09837692/filing-history/MzM4Nzk2MDY5OWFkaXF6a2N4/document?format=pdf&amp;download=0 (Companies House copy, image-only scan, read by OCR and confirmed against a 300 dpi page render - see FY2022_FOUND_NOTE).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(CORRECTED 2026-09-18: this note previously said the FY2022 AND FY2023 Annual Reports print only a partial Group operating-activities reconciliation and no full Group cash flow statement. That is true of the FY2023 report; it is NOT true of the FY2022 report, which prints a full three-part CONSOLIDATED Statement of Cash Flows on printed p.117 AND a full three-part COMPANY statement on printed p.161. The claim had been generalised from the one report that was actually opened - see FY2022_FOUND_NOTE.)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(FILLED 2026-09-18 - IT WAS NEVER A GAP IN THE DISCLOSURE, ONLY IN OUR READING). This sheet previously carried a note saying 'neither the FY2022 nor FY2023 Annual Report presents a full three-part Company cash flow statement for FY2022', with the FY2023 report cited as the document checked. Only the FY2023 report had in fact been checked. Belmont Green Finance Limited's OWN FY2022 Annual Report prints a complete three-part Company cash flow statement - operating, investing and financing, with opening and closing cash - on printed p.161, presented under the running head 'Notes to the Company Financial Statements (continued)' rather than under a title of its own, which is why a heading search for 'Company Statement of Cash Flows' finds nothing in it. (The same report also prints a full CONSOLIDATED Statement of Cash Flows on printed p.117, so the Group-basis claim was wrong for FY2022 too.) The reason it had not been read is a sourcing one, not a disclosure one: vidabank.co.uk's media library carries the 2021, 2023, 2024 and 2025 reports but not 2022, and the Companies House copy (https://find-and-update.company-information.service.gov.uk/company/09837692/filing-history/MzM4Nzk2MDY5OWFkaXF6a2N4/document?format=pdf&amp;download=0) is an image-only scan with a zero-character text layer, so any text search of it returns nothing regardless of content. It was read by OCRing all 164 pages and then confirming the figures against a 300 dpi render of p.161 itself.
BASIS: Company (non-consolidated), identical to every other populated year here. The same page's 2021 comparative column reproduces this workbook's existing FY2021 column cell for cell (operating (179,449); PPE (190); software (1,567); investing (1,757); shares issued 8,300; deemed loans 169,705; leases (1,407); financing 176,598; net (4,608); opening 18,108; closing 13,500), which confirms both the basis and the transcription.
TWO DIVERGENCES ARE REPRODUCED RATHER THAN RECONCILED, both verified on the page image:
(1) The Bank's own FY2022 financing subtotal does not foot. Its three financing lines are nil, (31,392) and (1,365), which sum to (32,757), but the printed 'Net cash (utilised)/generated by financing activities' reads (32,755) - a £2k break in the BANK's own arithmetic. The printed (32,755) is the odd figure out: the printed net increase of 1,419 equals 35,347 - 1,171 - 32,757 and ties exactly to the printed cash balances (13,500 -&gt; 14,919), whereas the printed subtotal would give 1,421. Both the components and the subtotal are transcribed exactly as printed; nothing has been adjusted to make the column foot.
(2) 'Proceeds from shares issued' is printed as a DASH for FY2022 and is carried here as a literal '-'. A dash is the Bank stating nil, which is a different statement from a blank cell (no such line) and from a typed zero; it is kept as printed. The workbook's block-reconciliation check still reads the column and reports divergence (1) as a financing-block break of exactly £2k (-32,757 summed vs -32,755 printed), which is the intended outcome: the disagreement is the Bank's, and it stays visible.
FY2022/FY2023 BOUNDARY: FY2022's own report closes cash at 14,919 while the FY2023 column (taken from the FY2024 report's comparative) opens at 14,920 - a £1k cross-edition difference, left as each edition printed it. The FY2022 Annual Report's own Company loss of £(25,453)k was also later restated; this workbook's Statement of Changes in Equity already carries the restated FY2022 figures from the FY2023 report and documents that boundary separately. The cash flow column here is FY2022's own edition throughout.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s>
  <sheetData>
    <row r="1">
      <c r="A1" s="1" t="inlineStr">
        <is>
          <t>Vida Bank Limited — KM1 Key Metrics</t>
        </is>
      </c>
    </row>
    <row r="2">
      <c r="A2" s="2" t="inlineStr">
        <is>
          <t>Vida Group Holdings (CRR consolidation entity) basis - the bank's own published UK KM1 table, reproduced whole in its own row order, labels and precision. The bank prints no template row numbers; amounts £'000, ratios as printed. FY2018-FY2023 are blank because no Pillar 3 disclosure of any kind exists for them (pre-authorisation) - see source note.</t>
        </is>
      </c>
    </row>
    <row r="3">
      <c r="A3" s="4" t="inlineStr">
        <is>
          <t>Line item</t>
        </is>
      </c>
      <c r="B3" s="4" t="inlineStr">
        <is>
          <t>FY2025</t>
        </is>
      </c>
      <c r="C3" s="4" t="inlineStr">
        <is>
          <t>FY2024</t>
        </is>
      </c>
    </row>
    <row r="4">
      <c r="A4" s="5" t="inlineStr">
        <is>
          <t>Available own funds (£'000)</t>
        </is>
      </c>
      <c r="B4" s="6" t="n"/>
      <c r="C4" s="6" t="n"/>
    </row>
    <row r="5">
      <c r="A5" s="6" t="inlineStr">
        <is>
          <t>Common Equity Tier 1 (CET1) capital (£'000)</t>
        </is>
      </c>
      <c r="B5" s="6" t="n">
        <v>168319</v>
      </c>
      <c r="C5" s="6" t="n">
        <v>160316</v>
      </c>
    </row>
    <row r="6">
      <c r="A6" s="6" t="inlineStr">
        <is>
          <t>Tier 1 capital (£'000)</t>
        </is>
      </c>
      <c r="B6" s="6" t="n">
        <v>168319</v>
      </c>
      <c r="C6" s="6" t="n">
        <v>160316</v>
      </c>
    </row>
    <row r="7">
      <c r="A7" s="6" t="inlineStr">
        <is>
          <t>Total capital (£'000)</t>
        </is>
      </c>
      <c r="B7" s="6" t="n">
        <v>202429</v>
      </c>
      <c r="C7" s="6" t="n">
        <v>160316</v>
      </c>
    </row>
    <row r="8">
      <c r="A8" s="5" t="inlineStr">
        <is>
          <t>Risk-weighted exposure (£'000)</t>
        </is>
      </c>
      <c r="B8" s="6" t="n"/>
      <c r="C8" s="6" t="n"/>
    </row>
    <row r="9">
      <c r="A9" s="6" t="inlineStr">
        <is>
          <t>Total risk-weighted exposure amount (£'000)</t>
        </is>
      </c>
      <c r="B9" s="6" t="n">
        <v>1105780</v>
      </c>
      <c r="C9" s="6" t="n">
        <v>986809</v>
      </c>
    </row>
    <row r="10">
      <c r="A10" s="5" t="inlineStr">
        <is>
          <t>Capital ratios</t>
        </is>
      </c>
      <c r="B10" s="6" t="n"/>
      <c r="C10" s="6" t="n"/>
    </row>
    <row r="11">
      <c r="A11" s="6" t="inlineStr">
        <is>
          <t>Common Equity Tier 1 ratio (%)</t>
        </is>
      </c>
      <c r="B11" s="6" t="inlineStr">
        <is>
          <t>15.2%</t>
        </is>
      </c>
      <c r="C11" s="6" t="inlineStr">
        <is>
          <t>16.2%</t>
        </is>
      </c>
    </row>
    <row r="12">
      <c r="A12" s="6" t="inlineStr">
        <is>
          <t>Tier 1 ratio (%)</t>
        </is>
      </c>
      <c r="B12" s="6" t="inlineStr">
        <is>
          <t>15.2%</t>
        </is>
      </c>
      <c r="C12" s="6" t="inlineStr">
        <is>
          <t>16.2%</t>
        </is>
      </c>
    </row>
    <row r="13">
      <c r="A13" s="6" t="inlineStr">
        <is>
          <t>Total capital ratio (%)</t>
        </is>
      </c>
      <c r="B13" s="6" t="inlineStr">
        <is>
          <t>18.3%</t>
        </is>
      </c>
      <c r="C13" s="6" t="inlineStr">
        <is>
          <t>16.2%</t>
        </is>
      </c>
    </row>
    <row r="14">
      <c r="A14" s="5" t="inlineStr">
        <is>
          <t>Additional own funds requirements</t>
        </is>
      </c>
      <c r="B14" s="6" t="n"/>
      <c r="C14" s="6" t="n"/>
    </row>
    <row r="15">
      <c r="A15" s="6" t="inlineStr">
        <is>
          <t>Additional own funds requirements (%)</t>
        </is>
      </c>
      <c r="B15" s="6" t="inlineStr">
        <is>
          <t>1.2%</t>
        </is>
      </c>
      <c r="C15" s="6" t="inlineStr">
        <is>
          <t>1.2%</t>
        </is>
      </c>
    </row>
    <row r="16">
      <c r="A16" s="6" t="inlineStr">
        <is>
          <t>Total own funds requirements (%)</t>
        </is>
      </c>
      <c r="B16" s="6" t="inlineStr">
        <is>
          <t>9.2%</t>
        </is>
      </c>
      <c r="C16" s="6" t="inlineStr">
        <is>
          <t>9.2%</t>
        </is>
      </c>
    </row>
    <row r="17">
      <c r="A17" s="5" t="inlineStr">
        <is>
          <t>Combined buffer requirement</t>
        </is>
      </c>
      <c r="B17" s="6" t="n"/>
      <c r="C17" s="6" t="n"/>
    </row>
    <row r="18">
      <c r="A18" s="6" t="inlineStr">
        <is>
          <t>Capital conservation buffer (%)</t>
        </is>
      </c>
      <c r="B18" s="6" t="inlineStr">
        <is>
          <t>2.5%</t>
        </is>
      </c>
      <c r="C18" s="6" t="inlineStr">
        <is>
          <t>2.5%</t>
        </is>
      </c>
    </row>
    <row r="19">
      <c r="A19" s="6" t="inlineStr">
        <is>
          <t>Institution specific countercyclical capital buffer (%)</t>
        </is>
      </c>
      <c r="B19" s="6" t="inlineStr">
        <is>
          <t>1.9%</t>
        </is>
      </c>
      <c r="C19" s="6" t="inlineStr">
        <is>
          <t>1.9%</t>
        </is>
      </c>
    </row>
    <row r="20">
      <c r="A20" s="6" t="inlineStr">
        <is>
          <t>Combined buffer requirement (%)</t>
        </is>
      </c>
      <c r="B20" s="6" t="inlineStr">
        <is>
          <t>4.4%</t>
        </is>
      </c>
      <c r="C20" s="6" t="inlineStr">
        <is>
          <t>4.4%</t>
        </is>
      </c>
    </row>
    <row r="21">
      <c r="A21" s="6" t="inlineStr">
        <is>
          <t>Overall capital requirements (%)</t>
        </is>
      </c>
      <c r="B21" s="6" t="inlineStr">
        <is>
          <t>13.6%</t>
        </is>
      </c>
      <c r="C21" s="6" t="inlineStr">
        <is>
          <t>13.6%</t>
        </is>
      </c>
    </row>
    <row r="22">
      <c r="A22" s="5" t="inlineStr">
        <is>
          <t>Leverage ratio</t>
        </is>
      </c>
      <c r="B22" s="6" t="n"/>
      <c r="C22" s="6" t="n"/>
    </row>
    <row r="23">
      <c r="A23" s="6" t="inlineStr">
        <is>
          <t>Total exposure measure excluding claims on central banks (£'000)</t>
        </is>
      </c>
      <c r="B23" s="6" t="n">
        <v>3440332</v>
      </c>
      <c r="C23" s="6" t="n">
        <v>2331835</v>
      </c>
    </row>
    <row r="24">
      <c r="A24" s="6" t="inlineStr">
        <is>
          <t>Leverage ratio excluding claims on central banks (%)</t>
        </is>
      </c>
      <c r="B24" s="6" t="inlineStr">
        <is>
          <t>4.9%</t>
        </is>
      </c>
      <c r="C24" s="6" t="inlineStr">
        <is>
          <t>6.9%</t>
        </is>
      </c>
    </row>
    <row r="25">
      <c r="A25" s="5" t="inlineStr">
        <is>
          <t>Liquidity coverage ratio</t>
        </is>
      </c>
      <c r="B25" s="6" t="n"/>
      <c r="C25" s="6" t="n"/>
    </row>
    <row r="26">
      <c r="A26" s="6" t="inlineStr">
        <is>
          <t>Total high-quality liquid assets (HQLA) (weighted value - average) (£'000)</t>
        </is>
      </c>
      <c r="B26" s="6" t="n">
        <v>1073005</v>
      </c>
      <c r="C26" s="6" t="n">
        <v>167705</v>
      </c>
    </row>
    <row r="27">
      <c r="A27" s="6" t="inlineStr">
        <is>
          <t>Cash outflows - total weighted value (£'000)</t>
        </is>
      </c>
      <c r="B27" s="6" t="n">
        <v>747252</v>
      </c>
      <c r="C27" s="6" t="n">
        <v>64182</v>
      </c>
    </row>
    <row r="28">
      <c r="A28" s="6" t="inlineStr">
        <is>
          <t>Cash inflows - total weighted value (£'000)</t>
        </is>
      </c>
      <c r="B28" s="6" t="n">
        <v>77815</v>
      </c>
      <c r="C28" s="6" t="n">
        <v>205580</v>
      </c>
    </row>
    <row r="29">
      <c r="A29" s="6" t="inlineStr">
        <is>
          <t>Total net cash outflows (adjusted value) (£'000)</t>
        </is>
      </c>
      <c r="B29" s="6" t="n">
        <v>669438</v>
      </c>
      <c r="C29" s="6" t="n">
        <v>16046</v>
      </c>
    </row>
    <row r="30">
      <c r="A30" s="6" t="inlineStr">
        <is>
          <t>Liquidity coverage ratio (%)</t>
        </is>
      </c>
      <c r="B30" s="6" t="inlineStr">
        <is>
          <t>163%</t>
        </is>
      </c>
      <c r="C30" s="6" t="inlineStr">
        <is>
          <t>1,045%</t>
        </is>
      </c>
    </row>
    <row r="31">
      <c r="A31" s="5" t="inlineStr">
        <is>
          <t>Net stable funding ratio</t>
        </is>
      </c>
      <c r="B31" s="6" t="n"/>
      <c r="C31" s="6" t="n"/>
    </row>
    <row r="32">
      <c r="A32" s="6" t="inlineStr">
        <is>
          <t>Total available stable funding (£'000)</t>
        </is>
      </c>
      <c r="B32" s="6" t="n">
        <v>2377496</v>
      </c>
      <c r="C32" s="6" t="n">
        <v>2016146</v>
      </c>
    </row>
    <row r="33">
      <c r="A33" s="6" t="inlineStr">
        <is>
          <t>Total required stable funding (£'000)</t>
        </is>
      </c>
      <c r="B33" s="6" t="n">
        <v>1719626</v>
      </c>
      <c r="C33" s="6" t="n">
        <v>1830180</v>
      </c>
    </row>
    <row r="34">
      <c r="A34" s="6" t="inlineStr">
        <is>
          <t>Net stable funding ratio (%)</t>
        </is>
      </c>
      <c r="B34" s="6" t="inlineStr">
        <is>
          <t>138%</t>
        </is>
      </c>
      <c r="C34" s="6" t="inlineStr">
        <is>
          <t>110%</t>
        </is>
      </c>
    </row>
    <row r="36" ht="560" customHeight="1">
      <c r="A36" s="8" t="inlineStr">
        <is>
          <t>Sources - Vida's own published UK KM1 'Key metrics' table, reproduced whole in the bank's own row order, row labels and printed precision. Entity/basis: Vida Group Holdings Limited (FY2024 edition) / Vida Group Holdings plc (FY2025 edition) CONSOLIDATED - the CRR consolidation entity, with Vida Bank Limited as its principal regulated subsidiary. Both editions state 'Regulatory ratios are presented on a Group-basis only', so no Vida-Bank-Limited-solo KM1 exists to prefer; this is the same basis every other Pillar 3 sheet in this workbook uses (see the metric sheets' own BASIS DETERMINATION note).
FY2025: Vida Group Holdings Limited Pillar 3 Disclosures 31 December 2025, section 3.1 'Key Metrics', PRINTED PAGE 5 (the page's own footer reads '5|Page') - https://www.vidabank.co.uk/media/od2lpxc0/vghl-pillar-3-report-2025-final.pdf
FY2024: Vida Group Holdings Limited Pillar 3 Disclosures 31 December 2024, section 3.1 'Key Metrics', PRINTED PAGE 5 (footer '5|Page') - https://www.vidabank.co.uk/media/mucbqgwi/vghl-pillar-3-report-2024-final.pdf
Each year is taken from its OWN edition. The FY2025 edition also prints a 31 Dec 2024 comparative column and it agrees with the FY2024 edition digit-for-digit on every one of the 23 rows, so nothing here depends on which edition a FY2024 figure came from.
COLUMN ORDER: both editions print the OLDER year on the LEFT (the FY2025 edition's header block reads '31 Dec 2024   31 Dec 2025'). This sheet keeps the workbook's standard most-recent-first column order, which reorders columns but not rows - no row, label, figure or precision is altered.
THE TABLE IS UNNUMBERED, AND IT IS STILL THE TEMPLATE. Vida prints no template row numbers at all (no '1', no 'UK 7a'), but the table carries the UK KM1 row set in template order - available own funds, risk-weighted exposure amount, the three capital ratios, the additional own-funds (SREP) requirement, the combined buffer build-up, leverage, LCR and NSFR - and the bank's own sentence above it names it: 'The key metrics table (KM1) covering capital, leverage and liquidity is set out below.' Both editions are reduced-scope Article 433b disclosures ('small and non-complex institution', UK CRR Article 4(145)), and both say 'Specific rows and columns in the tables prescribed by the PRA have been omitted where these are not applicable to the Group' - so the shorter row set is a permitted reduction of the prescribed template, not a different table and not an omission.
NO MISSING-VALUE GLYPHS: neither edition prints a dash, an 'n/a' or a zero anywhere in this table. Every row the bank printed carries a figure in every column it printed.
UNITS: the bank declares £'000 on its own block captions ('Available own funds (£’000)', 'Risk-weighted exposure (£’000)') and again on most individual rows. Each amount row below carries its own '(£'000)' so the unit never has to be inferred from how far a lookup walks. The bank's own table mixes a typewriter apostrophe and a typographic one for the same unit within a single page; the typewriter form is used throughout here, which is a glyph choice in an annotation and changes no wording and no figure.
FY2018-FY2023 ARE BLANK BECAUSE NO PILLAR 3 DISCLOSURE OF ANY KIND EXISTS FOR THEM, on any basis, in any edition. The entity was not PRA-authorised as a deposit-taker until 19 November 2024, so no Pillar 3 obligation could attach to any earlier year; FY2018-FY2020 it was FCA-regulated only. FY2024 is the first year for which any Pillar 3 document exists, and no later edition prints a pre-FY2024 comparative that could fill those columns. This is a structural pre-authorisation absence, not an exemption - see the ENTITY_NOTE on the Cash Flow Statement sheet and the SDDT date-fit note on the metric sheets, which records that Vida's Rule 3.1 SDDT modification began 3 April 2026 and therefore explains none of these blanks.
LATEST-EDITION CHECK, 2026-09-17: checked Vida's own site (www.vidabank.co.uk -&gt; About Vida Bank -&gt; Investors -&gt; Debt Investors), not a cached citation list. The newest ANNUAL Pillar 3 is the 31 December 2025 edition used above, and the newest Annual Report is the 2025 Annual Report and Accounts already used throughout this workbook - so no year is missing. The site additionally carries an INTERIM Pillar 3 as at 30 June 2026 (https://www.vidabank.co.uk/media/g1vnsxxu/pillar-3-disclosures-30-june-2026.pdf), published alongside a 30 June 2026 Interim Report. It falls outside this workbook's financial years (Vida's year-end is 31 December) and so adds no column, but its 31 Dec 2025 comparative was read as an independent second transcription of the whole FY2025 column.
WHAT THAT SECOND OPINION FOUND - RECORDED, NOT RECONCILED. The interim edition reproduces the FY2025 capital and leverage block exactly: CET1 168,319, Tier 1 168,319, Total capital 202,429, RWEA 1,105,780, ratios 15.2% / 15.2% / 18.3%, leverage exposure 3,440,332 and leverage ratio 4.9%. It differs in two places, both of which are the interim edition changing how it MEASURES a row rather than correcting a figure, so the FY2025 column below stays exactly as Vida's own FY2025 edition printed it. (1) The SREP block is presented differently: the FY2025 edition prints one combined 'Additional own funds requirements (%)' of 1.2% and a 9.2% total, while the interim edition splits the same requirement into 'Additional CET1 SREP requirements 0.66% / Additional AT1 SREP requirements 0.22% / Additional T2 SREP requirements 0.30%' with a 9.18% total - the components sum to 1.18%, i.e. the same requirement shown to two decimals instead of one. (2) The LIQUIDITY rows are on a different averaging window. The interim edition footnotes its LCR as 'the simple average of month end observations over the preceding 12 months' and its NSFR as 'the simple average of quarter end observations over the preceding 4 quarter ends', and on that basis restates 31 Dec 2025 to HQLA 612,552 / outflows 330,304 / inflows 101,370 / net outflows 252,077 / LCR 528%, and NSFR 2,327,088 / 1,646,865 / 142%, against the 1,073,005 / 747,252 / 77,815 / 669,438 / 163% and 2,377,496 / 1,719,626 / 138% that the FY2025 annual edition printed for the same date. Two printings of one date on two bases is a documented divergence, not a transcription error in either; each year's own edition governs its own column.</t>
        </is>
      </c>
    </row>
  </sheetData>
  <mergeCells count="1">
    <mergeCell ref="A36:C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 – not a PRA-authorised bank until 19 Nov 2024, so no CRR Pillar 3 duty; FY2019/FY2020 ARs (Companies House 09837692) show the licence application still pending</t>
        </is>
      </c>
      <c r="E10" s="6" t="inlineStr">
        <is>
          <t>Not applicable – not a PRA-authorised bank until 19 Nov 2024, so no CRR Pillar 3 duty; FY2019/FY2020 ARs (Companies House 09837692) show the licence application still pending</t>
        </is>
      </c>
      <c r="F10" s="6" t="inlineStr">
        <is>
          <t>Not applicable – not a PRA-authorised bank until 19 Nov 2024, so no CRR Pillar 3 duty; FY2019/FY2020 ARs (Companies House 09837692) show the licence application still pending</t>
        </is>
      </c>
      <c r="G10" s="6" t="inlineStr">
        <is>
          <t>Not applicable – not a PRA-authorised bank until 19 Nov 2024, so no CRR Pillar 3 duty; FY2019/FY2020 ARs (Companies House 09837692) show the licence application still pending</t>
        </is>
      </c>
      <c r="H10" s="6" t="inlineStr">
        <is>
          <t>Not applicable – not a PRA-authorised bank until 19 Nov 2024, so no CRR Pillar 3 duty; FY2019/FY2020 ARs (Companies House 09837692) show the licence application still pending</t>
        </is>
      </c>
      <c r="I10" s="6" t="inlineStr">
        <is>
          <t>Not applicable – not a PRA-authorised bank until 19 Nov 2024, so no CRR Pillar 3 duty; FY2019/FY2020 ARs (Companies House 09837692) show the licence application still pending</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Leverage ratio excluding claims on central banks (%)</t>
        </is>
      </c>
      <c r="B5" s="6" t="inlineStr">
        <is>
          <t>4.9%</t>
        </is>
      </c>
      <c r="C5" s="6" t="inlineStr">
        <is>
          <t>6.9%</t>
        </is>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net cash outflows, adjusted value</t>
        </is>
      </c>
      <c r="B5" s="6" t="n">
        <v>669438</v>
      </c>
      <c r="C5" s="6" t="n">
        <v>16046</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Liquidity Coverage Ratio (%)</t>
        </is>
      </c>
      <c r="B6" s="6" t="inlineStr">
        <is>
          <t>163%</t>
        </is>
      </c>
      <c r="C6" s="6" t="inlineStr">
        <is>
          <t>1,045%</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required stable funding</t>
        </is>
      </c>
      <c r="B5" s="6" t="n">
        <v>1719626</v>
      </c>
      <c r="C5" s="6" t="n">
        <v>1830180</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Net Stable Funding Ratio (%)</t>
        </is>
      </c>
      <c r="B6" s="6" t="inlineStr">
        <is>
          <t>138%</t>
        </is>
      </c>
      <c r="C6" s="6" t="inlineStr">
        <is>
          <t>110%</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Vida Group Holdings Pillar 3 report 2025 and 2024 (9pp each, re-read 2026-09-19) contain no MREL figure or mention</t>
        </is>
      </c>
      <c r="C4" s="6" t="inlineStr">
        <is>
          <t>Not published – Vida Group Holdings Pillar 3 report 2025 and 2024 (9pp each, re-read 2026-09-19) contain no MREL figure or mention</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2026-09-19T09:46:31Z</dcterms:created>
  <dcterms:modified xmlns:dcterms="http://purl.org/dc/terms/" xmlns:xsi="http://www.w3.org/2001/XMLSchema-instance" xsi:type="dcterms:W3CDTF">2026-09-19T09:46:31Z</dcterms:modified>
</cp:coreProperties>
</file>