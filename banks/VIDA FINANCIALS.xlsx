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2C00"/>
        <bgColor rgb="006E2C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Vida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Vida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Vida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1766849</v>
      </c>
      <c r="C6" s="5" t="n">
        <v>70662</v>
      </c>
      <c r="D6" s="5" t="n">
        <v>65493</v>
      </c>
      <c r="E6" s="5" t="n"/>
      <c r="F6" s="5" t="n">
        <v>-179449</v>
      </c>
      <c r="I6" t="inlineStr">
        <is>
          <t>Net cash from/(used in) operating activities</t>
        </is>
      </c>
      <c r="J6" t="n">
        <v>-179449</v>
      </c>
      <c r="L6" t="n">
        <v>65493</v>
      </c>
      <c r="M6" t="n">
        <v>70662</v>
      </c>
      <c r="N6" t="n">
        <v>1766849</v>
      </c>
      <c r="Q6" t="inlineStr">
        <is>
          <t>CET1 Ratio</t>
        </is>
      </c>
      <c r="U6" t="n">
        <v>16.2</v>
      </c>
      <c r="V6" t="n">
        <v>15.2</v>
      </c>
    </row>
    <row r="7">
      <c r="A7" s="5" t="inlineStr">
        <is>
          <t>Net cash from/(used in) investing activities</t>
        </is>
      </c>
      <c r="B7" s="5" t="n">
        <v>-104</v>
      </c>
      <c r="C7" s="5" t="n">
        <v>-408</v>
      </c>
      <c r="D7" s="5" t="n">
        <v>-698</v>
      </c>
      <c r="E7" s="5" t="n"/>
      <c r="F7" s="5" t="n">
        <v>-1757</v>
      </c>
      <c r="I7" t="inlineStr">
        <is>
          <t>Net cash from/(used in) investing activities</t>
        </is>
      </c>
      <c r="J7" t="n">
        <v>-1757</v>
      </c>
      <c r="L7" t="n">
        <v>-698</v>
      </c>
      <c r="M7" t="n">
        <v>-408</v>
      </c>
      <c r="N7" t="n">
        <v>-104</v>
      </c>
      <c r="Q7" t="inlineStr">
        <is>
          <t>Tier 1 Ratio</t>
        </is>
      </c>
      <c r="U7" t="n">
        <v>16.2</v>
      </c>
      <c r="V7" t="n">
        <v>15.2</v>
      </c>
    </row>
    <row r="8">
      <c r="A8" s="5" t="inlineStr">
        <is>
          <t>Net cash from/(used in) financing activities</t>
        </is>
      </c>
      <c r="B8" s="5" t="n">
        <v>-1655356</v>
      </c>
      <c r="C8" s="5" t="n">
        <v>56070</v>
      </c>
      <c r="D8" s="5" t="n">
        <v>-62554</v>
      </c>
      <c r="E8" s="5" t="n"/>
      <c r="F8" s="5" t="n">
        <v>176598</v>
      </c>
      <c r="I8" t="inlineStr">
        <is>
          <t>Net cash from/(used in) financing activities</t>
        </is>
      </c>
      <c r="J8" t="n">
        <v>176598</v>
      </c>
      <c r="L8" t="n">
        <v>-62554</v>
      </c>
      <c r="M8" t="n">
        <v>56070</v>
      </c>
      <c r="N8" t="n">
        <v>-1655356</v>
      </c>
      <c r="Q8" t="inlineStr">
        <is>
          <t>Total Capital Ratio</t>
        </is>
      </c>
      <c r="U8" t="n">
        <v>16.2</v>
      </c>
      <c r="V8" t="n">
        <v>18.3</v>
      </c>
    </row>
    <row r="9">
      <c r="A9" s="5" t="inlineStr">
        <is>
          <t>Cash and cash equivalents at end of year</t>
        </is>
      </c>
      <c r="B9" s="5" t="n">
        <v>254874</v>
      </c>
      <c r="C9" s="5" t="n">
        <v>143485</v>
      </c>
      <c r="D9" s="5" t="n">
        <v>17161</v>
      </c>
      <c r="E9" s="5" t="n"/>
      <c r="F9" s="5" t="n">
        <v>13500</v>
      </c>
      <c r="I9" t="inlineStr">
        <is>
          <t>Cash and cash equivalents at end of year</t>
        </is>
      </c>
      <c r="J9" t="n">
        <v>13500</v>
      </c>
      <c r="L9" t="n">
        <v>17161</v>
      </c>
      <c r="M9" t="n">
        <v>143485</v>
      </c>
      <c r="N9" t="n">
        <v>254874</v>
      </c>
      <c r="Q9" t="inlineStr">
        <is>
          <t>Leverage Ratio</t>
        </is>
      </c>
      <c r="U9" t="n">
        <v>6.9</v>
      </c>
      <c r="V9" t="n">
        <v>4.9</v>
      </c>
    </row>
    <row r="10">
      <c r="Q10" t="inlineStr">
        <is>
          <t>LCR</t>
        </is>
      </c>
      <c r="U10" t="n">
        <v>1045</v>
      </c>
      <c r="V10" t="n">
        <v>163</v>
      </c>
    </row>
    <row r="11">
      <c r="A11" s="3" t="inlineStr">
        <is>
          <t>Pillar 3 Key Metrics</t>
        </is>
      </c>
      <c r="Q11" t="inlineStr">
        <is>
          <t>NSFR</t>
        </is>
      </c>
      <c r="U11" t="n">
        <v>110</v>
      </c>
      <c r="V11" t="n">
        <v>138</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15.2%</t>
        </is>
      </c>
      <c r="C13" s="6" t="inlineStr">
        <is>
          <t>16.2%</t>
        </is>
      </c>
      <c r="D13" s="6" t="n"/>
      <c r="E13" s="6" t="n"/>
      <c r="F13" s="6" t="n"/>
    </row>
    <row r="14">
      <c r="A14" s="6" t="inlineStr">
        <is>
          <t>Tier 1 Ratio</t>
        </is>
      </c>
      <c r="B14" s="6" t="inlineStr">
        <is>
          <t>15.2%</t>
        </is>
      </c>
      <c r="C14" s="6" t="inlineStr">
        <is>
          <t>16.2%</t>
        </is>
      </c>
      <c r="D14" s="6" t="n"/>
      <c r="E14" s="6" t="n"/>
      <c r="F14" s="6" t="n"/>
    </row>
    <row r="15">
      <c r="A15" s="6" t="inlineStr">
        <is>
          <t>Total Capital Ratio</t>
        </is>
      </c>
      <c r="B15" s="6" t="inlineStr">
        <is>
          <t>18.3%</t>
        </is>
      </c>
      <c r="C15" s="6" t="inlineStr">
        <is>
          <t>16.2%</t>
        </is>
      </c>
      <c r="D15" s="6" t="n"/>
      <c r="E15" s="6" t="n"/>
      <c r="F15" s="6" t="n"/>
    </row>
    <row r="16">
      <c r="A16" s="6" t="inlineStr">
        <is>
          <t>Leverage Ratio</t>
        </is>
      </c>
      <c r="B16" s="6" t="inlineStr">
        <is>
          <t>4.9%</t>
        </is>
      </c>
      <c r="C16" s="6" t="inlineStr">
        <is>
          <t>6.9%</t>
        </is>
      </c>
      <c r="D16" s="6" t="n"/>
      <c r="E16" s="6" t="n"/>
      <c r="F16" s="6" t="n"/>
    </row>
    <row r="17">
      <c r="A17" s="6" t="inlineStr">
        <is>
          <t>LCR</t>
        </is>
      </c>
      <c r="B17" s="6" t="inlineStr">
        <is>
          <t>163%</t>
        </is>
      </c>
      <c r="C17" s="6" t="inlineStr">
        <is>
          <t>1,045%</t>
        </is>
      </c>
      <c r="D17" s="6" t="n"/>
      <c r="E17" s="6" t="n"/>
      <c r="F17" s="6" t="n"/>
    </row>
    <row r="18">
      <c r="A18" s="6" t="inlineStr">
        <is>
          <t>NSFR</t>
        </is>
      </c>
      <c r="B18" s="6" t="inlineStr">
        <is>
          <t>138%</t>
        </is>
      </c>
      <c r="C18" s="6" t="inlineStr">
        <is>
          <t>110%</t>
        </is>
      </c>
      <c r="D18" s="6" t="n"/>
      <c r="E18" s="6" t="n"/>
      <c r="F18" s="6" t="n"/>
    </row>
    <row r="20" ht="45" customHeight="1">
      <c r="A20" s="7" t="inlineStr">
        <is>
          <t>Note: Figures are duplicated from the detail sheets for at-a-glance trend viewing; see each sheet's own source citation for the underlying document/page. FY2022 cash flow and FY2021-FY2023 Pillar 3 are blank - Vida only became a PRA-authorised bank on 19 November 2024 (no Pillar 3 exists before then), and FY2022's own Annual Report doesn't present a full cash flow statement on a basis comparable to other years - see the Cash Flow Statement sheet's source note for details.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Vida Bank Limited — Company Cash Flow Statement</t>
        </is>
      </c>
    </row>
    <row r="2">
      <c r="A2" s="2" t="inlineStr">
        <is>
          <t>Company (non-consolidated) basis, £'000. FY2022 blank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5" t="inlineStr">
        <is>
          <t>Net cash flows from/(used in) operating activities</t>
        </is>
      </c>
      <c r="B5" s="5" t="n">
        <v>1766849</v>
      </c>
      <c r="C5" s="5" t="n">
        <v>70662</v>
      </c>
      <c r="D5" s="5" t="n">
        <v>65493</v>
      </c>
      <c r="E5" s="5" t="n"/>
      <c r="F5" s="5" t="n">
        <v>-179449</v>
      </c>
    </row>
    <row r="6">
      <c r="A6" s="5" t="inlineStr">
        <is>
          <t>Investing activities</t>
        </is>
      </c>
      <c r="B6" s="6" t="n"/>
      <c r="C6" s="6" t="n"/>
      <c r="D6" s="6" t="n"/>
      <c r="E6" s="6" t="n"/>
      <c r="F6" s="6" t="n"/>
    </row>
    <row r="7">
      <c r="A7" s="6" t="inlineStr">
        <is>
          <t>Purchase of property, plant and equipment</t>
        </is>
      </c>
      <c r="B7" s="6" t="n">
        <v>-92</v>
      </c>
      <c r="C7" s="6" t="n">
        <v>-57</v>
      </c>
      <c r="D7" s="6" t="n">
        <v>-24</v>
      </c>
      <c r="E7" s="6" t="n"/>
      <c r="F7" s="6" t="n">
        <v>-190</v>
      </c>
    </row>
    <row r="8">
      <c r="A8" s="6" t="inlineStr">
        <is>
          <t>Expenditure on software development</t>
        </is>
      </c>
      <c r="B8" s="6" t="n">
        <v>-12</v>
      </c>
      <c r="C8" s="6" t="n">
        <v>-351</v>
      </c>
      <c r="D8" s="6" t="n">
        <v>-674</v>
      </c>
      <c r="E8" s="6" t="n"/>
      <c r="F8" s="6" t="n">
        <v>-1567</v>
      </c>
    </row>
    <row r="9">
      <c r="A9" s="5" t="inlineStr">
        <is>
          <t>Net cash flows from/(used in) investing activities</t>
        </is>
      </c>
      <c r="B9" s="5" t="n">
        <v>-104</v>
      </c>
      <c r="C9" s="5" t="n">
        <v>-408</v>
      </c>
      <c r="D9" s="5" t="n">
        <v>-698</v>
      </c>
      <c r="E9" s="5" t="n"/>
      <c r="F9" s="5" t="n">
        <v>-1757</v>
      </c>
    </row>
    <row r="10">
      <c r="A10" s="5" t="inlineStr">
        <is>
          <t>Financing activities</t>
        </is>
      </c>
      <c r="B10" s="6" t="n"/>
      <c r="C10" s="6" t="n"/>
      <c r="D10" s="6" t="n"/>
      <c r="E10" s="6" t="n"/>
      <c r="F10" s="6" t="n"/>
    </row>
    <row r="11">
      <c r="A11" s="6" t="inlineStr">
        <is>
          <t>Proceeds from shares issued</t>
        </is>
      </c>
      <c r="B11" s="6" t="n"/>
      <c r="C11" s="6" t="n"/>
      <c r="D11" s="6" t="n"/>
      <c r="E11" s="6" t="n"/>
      <c r="F11" s="6" t="n">
        <v>8300</v>
      </c>
    </row>
    <row r="12">
      <c r="A12" s="6" t="inlineStr">
        <is>
          <t>Movement of deemed loans due to Group undertakings</t>
        </is>
      </c>
      <c r="B12" s="6" t="n">
        <v>-904243</v>
      </c>
      <c r="C12" s="6" t="n">
        <v>115457</v>
      </c>
      <c r="D12" s="6" t="n">
        <v>-62096</v>
      </c>
      <c r="E12" s="6" t="n"/>
      <c r="F12" s="6" t="n">
        <v>169705</v>
      </c>
    </row>
    <row r="13">
      <c r="A13" s="6" t="inlineStr">
        <is>
          <t>Repayment of loans</t>
        </is>
      </c>
      <c r="B13" s="6" t="n"/>
      <c r="C13" s="6" t="n">
        <v>-25000</v>
      </c>
      <c r="D13" s="6" t="n"/>
      <c r="E13" s="6" t="n"/>
      <c r="F13" s="6" t="n"/>
    </row>
    <row r="14">
      <c r="A14" s="6" t="inlineStr">
        <is>
          <t>Issuance of Tier 2 subordinated liabilities</t>
        </is>
      </c>
      <c r="B14" s="6" t="n">
        <v>35000</v>
      </c>
      <c r="C14" s="6" t="n"/>
      <c r="D14" s="6" t="n"/>
      <c r="E14" s="6" t="n"/>
      <c r="F14" s="6" t="n"/>
    </row>
    <row r="15">
      <c r="A15" s="6" t="inlineStr">
        <is>
          <t>Repayment of lease liabilities</t>
        </is>
      </c>
      <c r="B15" s="6" t="n">
        <v>-479</v>
      </c>
      <c r="C15" s="6" t="n">
        <v>-225</v>
      </c>
      <c r="D15" s="6" t="n">
        <v>-446</v>
      </c>
      <c r="E15" s="6" t="n"/>
      <c r="F15" s="6" t="n">
        <v>-1407</v>
      </c>
    </row>
    <row r="16">
      <c r="A16" s="6" t="inlineStr">
        <is>
          <t>Movement in debt securities</t>
        </is>
      </c>
      <c r="B16" s="6" t="n">
        <v>-785634</v>
      </c>
      <c r="C16" s="6" t="n">
        <v>-34135</v>
      </c>
      <c r="D16" s="6" t="n"/>
      <c r="E16" s="6" t="n"/>
      <c r="F16" s="6" t="n"/>
    </row>
    <row r="17">
      <c r="A17" s="6" t="inlineStr">
        <is>
          <t>Other movements</t>
        </is>
      </c>
      <c r="B17" s="6" t="n">
        <v>0</v>
      </c>
      <c r="C17" s="6" t="n">
        <v>-27</v>
      </c>
      <c r="D17" s="6" t="n">
        <v>-12</v>
      </c>
      <c r="E17" s="6" t="n"/>
      <c r="F17" s="6" t="n"/>
    </row>
    <row r="18">
      <c r="A18" s="5" t="inlineStr">
        <is>
          <t>Net cash flows (used in)/generated from financing activities</t>
        </is>
      </c>
      <c r="B18" s="5" t="n">
        <v>-1655356</v>
      </c>
      <c r="C18" s="5" t="n">
        <v>56070</v>
      </c>
      <c r="D18" s="5" t="n">
        <v>-62554</v>
      </c>
      <c r="E18" s="5" t="n"/>
      <c r="F18" s="5" t="n">
        <v>176598</v>
      </c>
    </row>
    <row r="19">
      <c r="A19" s="5" t="inlineStr">
        <is>
          <t>Net increase/(decrease) in cash and cash equivalents</t>
        </is>
      </c>
      <c r="B19" s="5" t="n">
        <v>111389</v>
      </c>
      <c r="C19" s="5" t="n">
        <v>126324</v>
      </c>
      <c r="D19" s="5" t="n">
        <v>2241</v>
      </c>
      <c r="E19" s="5" t="n"/>
      <c r="F19" s="5" t="n">
        <v>-4608</v>
      </c>
    </row>
    <row r="20">
      <c r="A20" s="6" t="inlineStr">
        <is>
          <t>Cash and cash equivalents at the beginning of the year</t>
        </is>
      </c>
      <c r="B20" s="6" t="n">
        <v>143485</v>
      </c>
      <c r="C20" s="6" t="n">
        <v>17161</v>
      </c>
      <c r="D20" s="6" t="n">
        <v>14920</v>
      </c>
      <c r="E20" s="6" t="n"/>
      <c r="F20" s="6" t="n">
        <v>18108</v>
      </c>
    </row>
    <row r="21">
      <c r="A21" s="5" t="inlineStr">
        <is>
          <t>Cash and cash equivalents at the end of the year</t>
        </is>
      </c>
      <c r="B21" s="5" t="n">
        <v>254874</v>
      </c>
      <c r="C21" s="5" t="n">
        <v>143485</v>
      </c>
      <c r="D21" s="5" t="n">
        <v>17161</v>
      </c>
      <c r="E21" s="5" t="n"/>
      <c r="F21" s="5" t="n">
        <v>13500</v>
      </c>
    </row>
    <row r="23" ht="280" customHeight="1">
      <c r="A23" s="8" t="inlineStr">
        <is>
          <t>Sources - all figures are Vida Bank Limited's own Company (non-consolidated) cash flow statement, £'000:
FY2025: Vida Bank Limited Annual Report and Accounts 2025 (Company), p.55 (Statement of Cash Flows) - https://www.vidabank.co.uk/media/pkmnxlqg/annual-report-and-accounts-2025-company.pdf
FY2024: Vida Bank Limited Annual Report and Accounts 2024 (Company), p.73 (Statement of Cash Flows) - https://www.vidabank.co.uk/media/emghy4z2/annual-report-and-accounts-2024-company.pdf
FY2023: taken from Vida Bank Limited's FY2024 Annual Report's own FY2023 comparative column (p.73, same document as above) - Belmont Green Finance Limited's own FY2023 Annual Report does not present a comparable Company-basis statement (see ENTITY_NOTE/FY2022_GAP_NOTE).
FY2021: Belmont Green Finance Limited (Vida) Annual Report and Accounts 2021, p.150 (Company Statement of Cash Flows) - https://www.vidabank.co.uk/media/p3wau0ms/annual-report-and-accounts-2021.pdf
ENTITY NOTE: the company (FRN 738741, Companies House 09837692) was named 'Belmont Green Finance Limited' (trading as Vida / Vida Homeloans) through its FY2023 Annual Report, and was renamed 'Vida Bank Limited' after receiving its PRA banking licence on 19 November 2024. This workbook uses 'Vida Bank Limited' throughout since that is its current name. Pre-authorisation (FY2021-FY2023), the business was funded mainly through mortgage securitisation (numerous 'Tower Bridge Funding' special-purpose vehicles) rather than retail deposits; the FY2023 Annual Report's own commentary describes the business as still 'preparing for the banking licence'. Cash flow figures below are on the Company's own (non-consolidated/solo) basis in every populated year - this is the only basis for which a full three-part cash flow statement (operating/investing/financing) could be found in every report; the Consolidated (Group) statement of financial position was reported each year, but the FY2022 and FY2023 Annual Reports' own primary financial statements do not include a full Group cash flow statement, only a partial 'Net cash flow from operating activities' reconciliation note (Note 25) on the Group basis - see FY2022_GAP_NOTE below.
FY2022 is blank on this sheet: neither the FY2022 nor FY2023 Annual Report presents a full three-part Company cash flow statement for FY2022 (checked both directly - https://www.vidabank.co.uk/media/zhoj0swe/annual-report-and-accounts-2023.pdf - and via the FY2023 report's own prior-year comparative column, which is likewise not present.) The FY2023 Annual Report's Note 25 gives only a partial Group-basis operating reconciliation ending at 'Net cash flows from operating activities: £68,297k' for FY2022 - not on the same (Company) basis as every other populated year here and with no investing/financing breakdown at all, so it is not shown rather than presented as a misleadingly partial column.</t>
        </is>
      </c>
    </row>
  </sheetData>
  <mergeCells count="1">
    <mergeCell ref="A23:F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CET1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168319</v>
      </c>
      <c r="C4" s="6" t="n">
        <v>160316</v>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CET1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15.2%</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Tier 1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168319</v>
      </c>
      <c r="C4" s="6" t="n">
        <v>160316</v>
      </c>
      <c r="D4" s="6" t="n"/>
      <c r="E4" s="6" t="n"/>
      <c r="F4" s="6" t="n"/>
    </row>
    <row r="5" ht="60" customHeight="1">
      <c r="A5" s="7" t="inlineStr">
        <is>
          <t>Note: Equal to CET1 capital in both years - Vida has no Additional Tier 1 (AT1) instruments.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Tier 1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15.2%</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Capital</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202429</v>
      </c>
      <c r="C4" s="6" t="n">
        <v>160316</v>
      </c>
      <c r="D4" s="6" t="n"/>
      <c r="E4" s="6" t="n"/>
      <c r="F4" s="6" t="n"/>
    </row>
    <row r="5" ht="60" customHeight="1">
      <c r="A5" s="7" t="inlineStr">
        <is>
          <t>Note: FY2025 total capital exceeds Tier 1 capital because the Group issued £35m of qualifying Tier 2 capital during the year to support planned balance sheet expansion; FY2024 had no Tier 2 capital.</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Capital Ratio</t>
        </is>
      </c>
    </row>
    <row r="2">
      <c r="A2" s="2" t="inlineStr">
        <is>
          <t>Vida Group Holdings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18.3%</t>
        </is>
      </c>
      <c r="C4" s="6" t="inlineStr">
        <is>
          <t>16.2%</t>
        </is>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Total RWAs</t>
        </is>
      </c>
    </row>
    <row r="2">
      <c r="A2" s="2" t="inlineStr">
        <is>
          <t>Vida Group Holdings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1105780</v>
      </c>
      <c r="C4" s="6" t="n">
        <v>986809</v>
      </c>
      <c r="D4" s="6" t="n"/>
      <c r="E4" s="6" t="n"/>
      <c r="F4" s="6" t="n"/>
    </row>
    <row r="6" ht="130" customHeight="1">
      <c r="A6"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Leverage Ratio</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3440332</v>
      </c>
      <c r="C4" s="6" t="n">
        <v>2331835</v>
      </c>
      <c r="D4" s="6" t="n"/>
      <c r="E4" s="6" t="n"/>
      <c r="F4" s="6" t="n"/>
    </row>
    <row r="5">
      <c r="A5" s="6" t="inlineStr">
        <is>
          <t>Leverage ratio excluding claims on central banks (%)</t>
        </is>
      </c>
      <c r="B5" s="6" t="inlineStr">
        <is>
          <t>4.9%</t>
        </is>
      </c>
      <c r="C5" s="6" t="inlineStr">
        <is>
          <t>6.9%</t>
        </is>
      </c>
      <c r="D5" s="6" t="n"/>
      <c r="E5" s="6" t="n"/>
      <c r="F5" s="6" t="n"/>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LCR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(average)</t>
        </is>
      </c>
      <c r="B4" s="6" t="n">
        <v>1073005</v>
      </c>
      <c r="C4" s="6" t="n">
        <v>167705</v>
      </c>
      <c r="D4" s="6" t="n"/>
      <c r="E4" s="6" t="n"/>
      <c r="F4" s="6" t="n"/>
    </row>
    <row r="5">
      <c r="A5" s="6" t="inlineStr">
        <is>
          <t>Total net cash outflows, adjusted value</t>
        </is>
      </c>
      <c r="B5" s="6" t="n">
        <v>669438</v>
      </c>
      <c r="C5" s="6" t="n">
        <v>16046</v>
      </c>
      <c r="D5" s="6" t="n"/>
      <c r="E5" s="6" t="n"/>
      <c r="F5" s="6" t="n"/>
    </row>
    <row r="6">
      <c r="A6" s="6" t="inlineStr">
        <is>
          <t>Liquidity Coverage Ratio (%)</t>
        </is>
      </c>
      <c r="B6" s="6" t="inlineStr">
        <is>
          <t>163%</t>
        </is>
      </c>
      <c r="C6" s="6" t="inlineStr">
        <is>
          <t>1,045%</t>
        </is>
      </c>
      <c r="D6" s="6" t="n"/>
      <c r="E6" s="6" t="n"/>
      <c r="F6" s="6" t="n"/>
    </row>
    <row r="7" ht="60" customHeight="1">
      <c r="A7" s="7" t="inlineStr">
        <is>
          <t>Note: FY2024's very high LCR (1,045%) reflects a build-up of liquid assets immediately following PRA authorisation on 19 November 2024, per the Group's own Pillar 3 commentary.</t>
        </is>
      </c>
    </row>
    <row r="9" ht="130" customHeight="1">
      <c r="A9"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NSFR</t>
        </is>
      </c>
    </row>
    <row r="2">
      <c r="A2" s="2" t="inlineStr">
        <is>
          <t>Vida Group Holdings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2377496</v>
      </c>
      <c r="C4" s="6" t="n">
        <v>2016146</v>
      </c>
      <c r="D4" s="6" t="n"/>
      <c r="E4" s="6" t="n"/>
      <c r="F4" s="6" t="n"/>
    </row>
    <row r="5">
      <c r="A5" s="6" t="inlineStr">
        <is>
          <t>Total required stable funding</t>
        </is>
      </c>
      <c r="B5" s="6" t="n">
        <v>1719626</v>
      </c>
      <c r="C5" s="6" t="n">
        <v>1830180</v>
      </c>
      <c r="D5" s="6" t="n"/>
      <c r="E5" s="6" t="n"/>
      <c r="F5" s="6" t="n"/>
    </row>
    <row r="6">
      <c r="A6" s="6" t="inlineStr">
        <is>
          <t>Net Stable Funding Ratio (%)</t>
        </is>
      </c>
      <c r="B6" s="6" t="inlineStr">
        <is>
          <t>138%</t>
        </is>
      </c>
      <c r="C6" s="6" t="inlineStr">
        <is>
          <t>110%</t>
        </is>
      </c>
      <c r="D6" s="6" t="n"/>
      <c r="E6" s="6" t="n"/>
      <c r="F6" s="6" t="n"/>
    </row>
    <row r="8" ht="130" customHeight="1">
      <c r="A8"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1">
    <mergeCell ref="A8:F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Vida Bank Limited — MREL Ratio</t>
        </is>
      </c>
    </row>
    <row r="2">
      <c r="A2" s="2" t="inlineStr">
        <is>
          <t>Vida Group Holdings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Not disclosed</t>
        </is>
      </c>
    </row>
    <row r="5" ht="60" customHeight="1">
      <c r="A5" s="7" t="inlineStr">
        <is>
          <t>Note: No MREL disclosure (numeric or qualitative) found in either Pillar 3 report - Vida is a small, recently-authorised bank and does not appear to be within scope of an MREL-above-minimum-capital requirement based on its own disclosures.</t>
        </is>
      </c>
    </row>
    <row r="7" ht="130" customHeight="1">
      <c r="A7" s="8" t="inlineStr">
        <is>
          <t>Sources - Vida Group Holdings Limited/plc Pillar 3 disclosures (Table 3.1 KM1 - Key Metrics; the smallest regulatory group Vida Bank Limited is consolidated into - no Vida-Bank-Limited-only Pillar 3 disclosure is separately published):
FY2025: Vida Group Holdings plc Pillar 3 Disclosures 2025, p.5 (3.1 Key Metrics / Table KM1) - https://www.vidabank.co.uk/media/od2lpxc0/vghl-pillar-3-report-2025-final.pdf
FY2024: Vida Group Holdings Limited Pillar 3 Disclosures 2024, p.5 (3.1 Key Metrics / Table KM1) - https://www.vidabank.co.uk/media/mucbqgwi/vghl-pillar-3-report-2024-final.pdf
No Pillar 3 disclosure exists for FY2021-FY2023: Pillar 3 only applies once PRA-authorised as a deposit-taker, which happened 19 November 2024 (see ENTITY_NOTE on the Cash Flow Statement sheet).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2026-08-26T14:43:53Z</dcterms:created>
  <dcterms:modified xsi:type="dcterms:W3CDTF">2026-08-26T14:43:53Z</dcterms:modified>
</cp:coreProperties>
</file>