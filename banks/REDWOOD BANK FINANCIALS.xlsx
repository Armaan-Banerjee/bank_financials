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8B3A3A"/>
        <bgColor rgb="008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Redwood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Redwood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Redwood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-27582757</v>
      </c>
      <c r="C6" s="5" t="n">
        <v>-41683581</v>
      </c>
      <c r="D6" s="5" t="n">
        <v>49423566</v>
      </c>
      <c r="E6" s="5" t="n">
        <v>-20780795</v>
      </c>
      <c r="F6" s="5" t="n">
        <v>15466786</v>
      </c>
      <c r="I6" t="inlineStr">
        <is>
          <t>Net cash from/(used in) operating activities</t>
        </is>
      </c>
      <c r="J6" t="n">
        <v>15466786</v>
      </c>
      <c r="K6" t="n">
        <v>-20780795</v>
      </c>
      <c r="L6" t="n">
        <v>49423566</v>
      </c>
      <c r="M6" t="n">
        <v>-41683581</v>
      </c>
      <c r="N6" t="n">
        <v>-27582757</v>
      </c>
      <c r="Q6" t="inlineStr">
        <is>
          <t>CET1 Ratio</t>
        </is>
      </c>
      <c r="R6" t="n">
        <v>16.9</v>
      </c>
      <c r="S6" t="n">
        <v>15.4</v>
      </c>
      <c r="T6" t="n">
        <v>16</v>
      </c>
      <c r="U6" t="n">
        <v>15.1</v>
      </c>
      <c r="V6" t="n">
        <v>16.6</v>
      </c>
    </row>
    <row r="7">
      <c r="A7" s="5" t="inlineStr">
        <is>
          <t>Net cash generated/(used in) investing activities</t>
        </is>
      </c>
      <c r="B7" s="5" t="n">
        <v>4472207</v>
      </c>
      <c r="C7" s="5" t="n">
        <v>47849547</v>
      </c>
      <c r="D7" s="5" t="n">
        <v>-24192052</v>
      </c>
      <c r="E7" s="5" t="n">
        <v>-509405</v>
      </c>
      <c r="F7" s="5" t="n">
        <v>-19793859</v>
      </c>
      <c r="I7" t="inlineStr">
        <is>
          <t>Net cash generated/(used in) investing activities</t>
        </is>
      </c>
      <c r="J7" t="n">
        <v>-19793859</v>
      </c>
      <c r="K7" t="n">
        <v>-509405</v>
      </c>
      <c r="L7" t="n">
        <v>-24192052</v>
      </c>
      <c r="M7" t="n">
        <v>47849547</v>
      </c>
      <c r="N7" t="n">
        <v>4472207</v>
      </c>
      <c r="Q7" t="inlineStr">
        <is>
          <t>Total Capital Ratio</t>
        </is>
      </c>
      <c r="R7" t="n">
        <v>21.4</v>
      </c>
      <c r="S7" t="n">
        <v>19</v>
      </c>
      <c r="T7" t="n">
        <v>19.4</v>
      </c>
      <c r="U7" t="n">
        <v>18.3</v>
      </c>
      <c r="V7" t="n">
        <v>19.8</v>
      </c>
    </row>
    <row r="8">
      <c r="A8" s="5" t="inlineStr">
        <is>
          <t>Net cash from financing activities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28300000</v>
      </c>
      <c r="I8" t="inlineStr">
        <is>
          <t>Net cash from financing activities</t>
        </is>
      </c>
      <c r="J8" t="n">
        <v>28300000</v>
      </c>
      <c r="K8" t="n">
        <v>0</v>
      </c>
      <c r="L8" t="n">
        <v>0</v>
      </c>
      <c r="M8" t="n">
        <v>0</v>
      </c>
      <c r="N8" t="n">
        <v>0</v>
      </c>
      <c r="Q8" t="inlineStr">
        <is>
          <t>LCR</t>
        </is>
      </c>
      <c r="R8" t="n">
        <v>970</v>
      </c>
      <c r="S8" t="n">
        <v>352</v>
      </c>
      <c r="T8" t="n">
        <v>481</v>
      </c>
      <c r="U8" t="n">
        <v>284</v>
      </c>
      <c r="V8" t="n">
        <v>362</v>
      </c>
    </row>
    <row r="9">
      <c r="A9" s="5" t="inlineStr">
        <is>
          <t>Cash and cash equivalents at end of year</t>
        </is>
      </c>
      <c r="B9" s="5" t="n">
        <v>90182943</v>
      </c>
      <c r="C9" s="5" t="n">
        <v>115416225</v>
      </c>
      <c r="D9" s="5" t="n">
        <v>109250259</v>
      </c>
      <c r="E9" s="5" t="n">
        <v>84018745</v>
      </c>
      <c r="F9" s="5" t="n">
        <v>105308945</v>
      </c>
      <c r="I9" t="inlineStr">
        <is>
          <t>Cash and cash equivalents at end of year</t>
        </is>
      </c>
      <c r="J9" t="n">
        <v>105308945</v>
      </c>
      <c r="K9" t="n">
        <v>84018745</v>
      </c>
      <c r="L9" t="n">
        <v>109250259</v>
      </c>
      <c r="M9" t="n">
        <v>115416225</v>
      </c>
      <c r="N9" t="n">
        <v>90182943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16.6%</t>
        </is>
      </c>
      <c r="C13" s="6" t="inlineStr">
        <is>
          <t>15.1%</t>
        </is>
      </c>
      <c r="D13" s="6" t="inlineStr">
        <is>
          <t>16.0%</t>
        </is>
      </c>
      <c r="E13" s="6" t="inlineStr">
        <is>
          <t>15.4%</t>
        </is>
      </c>
      <c r="F13" s="6" t="inlineStr">
        <is>
          <t>16.9%</t>
        </is>
      </c>
    </row>
    <row r="14">
      <c r="A14" s="6" t="inlineStr">
        <is>
          <t>Total Capital Ratio</t>
        </is>
      </c>
      <c r="B14" s="6" t="inlineStr">
        <is>
          <t>19.8%</t>
        </is>
      </c>
      <c r="C14" s="6" t="inlineStr">
        <is>
          <t>18.3%</t>
        </is>
      </c>
      <c r="D14" s="6" t="inlineStr">
        <is>
          <t>19.4%</t>
        </is>
      </c>
      <c r="E14" s="6" t="inlineStr">
        <is>
          <t>19.0%</t>
        </is>
      </c>
      <c r="F14" s="6" t="inlineStr">
        <is>
          <t>21.4%</t>
        </is>
      </c>
    </row>
    <row r="15">
      <c r="A15" s="6" t="inlineStr">
        <is>
          <t>LCR</t>
        </is>
      </c>
      <c r="B15" s="6" t="inlineStr">
        <is>
          <t>362%</t>
        </is>
      </c>
      <c r="C15" s="6" t="inlineStr">
        <is>
          <t>284%</t>
        </is>
      </c>
      <c r="D15" s="6" t="inlineStr">
        <is>
          <t>481%</t>
        </is>
      </c>
      <c r="E15" s="6" t="inlineStr">
        <is>
          <t>352%</t>
        </is>
      </c>
      <c r="F15" s="6" t="inlineStr">
        <is>
          <t>970%</t>
        </is>
      </c>
    </row>
    <row r="17" ht="45" customHeight="1">
      <c r="A17" s="7" t="inlineStr">
        <is>
          <t>Note: CET1 capital is rounded to the nearest £m as stated in Redwood's KPI narrative. Undisclosed regulatory metrics remain blank/not publicly disclosed on their detail sheets.</t>
        </is>
      </c>
    </row>
  </sheetData>
  <mergeCells count="1"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Cash Flow Statement</t>
        </is>
      </c>
    </row>
    <row r="2">
      <c r="A2" s="2" t="inlineStr">
        <is>
          <t>Company-only basis, £. FY2021 uses the later FY2022 comparative column; see source note.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for the year</t>
        </is>
      </c>
      <c r="B5" s="6" t="n">
        <v>602813</v>
      </c>
      <c r="C5" s="6" t="n">
        <v>1828088</v>
      </c>
      <c r="D5" s="6" t="n">
        <v>4204249</v>
      </c>
      <c r="E5" s="6" t="n">
        <v>1797614</v>
      </c>
      <c r="F5" s="6" t="n">
        <v>4084475</v>
      </c>
    </row>
    <row r="6">
      <c r="A6" s="6" t="inlineStr">
        <is>
          <t>Amortisation of intangibles</t>
        </is>
      </c>
      <c r="B6" s="6" t="n">
        <v>359914</v>
      </c>
      <c r="C6" s="6" t="n">
        <v>336289</v>
      </c>
      <c r="D6" s="6" t="n">
        <v>216413</v>
      </c>
      <c r="E6" s="6" t="n">
        <v>133808</v>
      </c>
      <c r="F6" s="6" t="n">
        <v>85194</v>
      </c>
    </row>
    <row r="7">
      <c r="A7" s="6" t="inlineStr">
        <is>
          <t>Depreciation of tangible assets</t>
        </is>
      </c>
      <c r="B7" s="6" t="n">
        <v>91501</v>
      </c>
      <c r="C7" s="6" t="n">
        <v>92566</v>
      </c>
      <c r="D7" s="6" t="n">
        <v>96581</v>
      </c>
      <c r="E7" s="6" t="n">
        <v>104682</v>
      </c>
      <c r="F7" s="6" t="n">
        <v>98689</v>
      </c>
    </row>
    <row r="8">
      <c r="A8" s="6" t="inlineStr">
        <is>
          <t>Write off of fixed/intangible assets</t>
        </is>
      </c>
      <c r="B8" s="6" t="n"/>
      <c r="C8" s="6" t="n"/>
      <c r="D8" s="6" t="n"/>
      <c r="E8" s="6" t="n"/>
      <c r="F8" s="6" t="n">
        <v>0</v>
      </c>
    </row>
    <row r="9">
      <c r="A9" s="6" t="inlineStr">
        <is>
          <t>Impairment charge on loans and advances to customers</t>
        </is>
      </c>
      <c r="B9" s="6" t="n">
        <v>756168</v>
      </c>
      <c r="C9" s="6" t="n">
        <v>1869546</v>
      </c>
      <c r="D9" s="6" t="n">
        <v>2782364</v>
      </c>
      <c r="E9" s="6" t="n">
        <v>2496977</v>
      </c>
      <c r="F9" s="6" t="n">
        <v>38873</v>
      </c>
    </row>
    <row r="10">
      <c r="A10" s="6" t="inlineStr">
        <is>
          <t>Net increase in loans to banks</t>
        </is>
      </c>
      <c r="B10" s="6" t="n">
        <v>-1870000</v>
      </c>
      <c r="C10" s="6" t="n"/>
      <c r="D10" s="6" t="n"/>
      <c r="E10" s="6" t="n"/>
      <c r="F10" s="6" t="n"/>
    </row>
    <row r="11">
      <c r="A11" s="6" t="inlineStr">
        <is>
          <t>Net decrease/(increase) in loans to customers</t>
        </is>
      </c>
      <c r="B11" s="6" t="n">
        <v>1043154</v>
      </c>
      <c r="C11" s="6" t="n">
        <v>-80130410</v>
      </c>
      <c r="D11" s="6" t="n"/>
      <c r="E11" s="6" t="n"/>
      <c r="F11" s="6" t="n"/>
    </row>
    <row r="12">
      <c r="A12" s="6" t="inlineStr">
        <is>
          <t>Net increase in customer deposits</t>
        </is>
      </c>
      <c r="B12" s="6" t="n"/>
      <c r="C12" s="6" t="n">
        <v>53028098</v>
      </c>
      <c r="D12" s="6" t="n">
        <v>52794173</v>
      </c>
      <c r="E12" s="6" t="n">
        <v>9134687</v>
      </c>
      <c r="F12" s="6" t="n">
        <v>58428886</v>
      </c>
    </row>
    <row r="13">
      <c r="A13" s="6" t="inlineStr">
        <is>
          <t>(Decrease)/increase in customer deposits</t>
        </is>
      </c>
      <c r="B13" s="6" t="n">
        <v>-6233049</v>
      </c>
      <c r="C13" s="6" t="n"/>
      <c r="D13" s="6" t="n"/>
      <c r="E13" s="6" t="n"/>
      <c r="F13" s="6" t="n"/>
    </row>
    <row r="14">
      <c r="A14" s="6" t="inlineStr">
        <is>
          <t>Increase in other liabilities</t>
        </is>
      </c>
      <c r="B14" s="6" t="n"/>
      <c r="C14" s="6" t="n">
        <v>749378</v>
      </c>
      <c r="D14" s="6" t="n">
        <v>1346720</v>
      </c>
      <c r="E14" s="6" t="n">
        <v>1072022</v>
      </c>
      <c r="F14" s="6" t="n">
        <v>770530</v>
      </c>
    </row>
    <row r="15">
      <c r="A15" s="6" t="inlineStr">
        <is>
          <t>(Decrease)/increase in other liabilities</t>
        </is>
      </c>
      <c r="B15" s="6" t="n">
        <v>-1322763</v>
      </c>
      <c r="C15" s="6" t="n"/>
      <c r="D15" s="6" t="n"/>
      <c r="E15" s="6" t="n"/>
      <c r="F15" s="6" t="n"/>
    </row>
    <row r="16">
      <c r="A16" s="6" t="inlineStr">
        <is>
          <t>Increase in other assets</t>
        </is>
      </c>
      <c r="B16" s="6" t="n"/>
      <c r="C16" s="6" t="n">
        <v>-194032</v>
      </c>
      <c r="D16" s="6" t="n">
        <v>-183415</v>
      </c>
      <c r="E16" s="6" t="n">
        <v>-201534</v>
      </c>
      <c r="F16" s="6" t="n">
        <v>-112205</v>
      </c>
    </row>
    <row r="17">
      <c r="A17" s="6" t="inlineStr">
        <is>
          <t>Increase in other assets</t>
        </is>
      </c>
      <c r="B17" s="6" t="n">
        <v>-1390656</v>
      </c>
      <c r="C17" s="6" t="n"/>
      <c r="D17" s="6" t="n"/>
      <c r="E17" s="6" t="n"/>
      <c r="F17" s="6" t="n"/>
    </row>
    <row r="18">
      <c r="A18" s="6" t="inlineStr">
        <is>
          <t>Net increase in loans to customers</t>
        </is>
      </c>
      <c r="B18" s="6" t="n"/>
      <c r="C18" s="6" t="n"/>
      <c r="D18" s="6" t="n">
        <v>-13393698</v>
      </c>
      <c r="E18" s="6" t="n">
        <v>-36070258</v>
      </c>
      <c r="F18" s="6" t="n">
        <v>-45957889</v>
      </c>
    </row>
    <row r="19">
      <c r="A19" s="6" t="inlineStr">
        <is>
          <t>Increase in accruals and deferred income</t>
        </is>
      </c>
      <c r="B19" s="6" t="n">
        <v>-781191</v>
      </c>
      <c r="C19" s="6" t="n"/>
      <c r="D19" s="6" t="n"/>
      <c r="E19" s="6" t="n"/>
      <c r="F19" s="6" t="n"/>
    </row>
    <row r="20">
      <c r="A20" s="6" t="inlineStr">
        <is>
          <t>Decrease/(increase) in payments and accrued income</t>
        </is>
      </c>
      <c r="B20" s="6" t="n">
        <v>49647</v>
      </c>
      <c r="C20" s="6" t="n"/>
      <c r="D20" s="6" t="n"/>
      <c r="E20" s="6" t="n"/>
      <c r="F20" s="6" t="n"/>
    </row>
    <row r="21">
      <c r="A21" s="6" t="inlineStr">
        <is>
          <t>Increase in interest payable on TFSME</t>
        </is>
      </c>
      <c r="B21" s="6" t="n"/>
      <c r="C21" s="6" t="n"/>
      <c r="D21" s="6" t="n">
        <v>205532</v>
      </c>
      <c r="E21" s="6" t="n">
        <v>250709</v>
      </c>
      <c r="F21" s="6" t="n">
        <v>9994</v>
      </c>
    </row>
    <row r="22">
      <c r="A22" s="6" t="inlineStr">
        <is>
          <t>(Decrease)/increase in interest payable on TFSME</t>
        </is>
      </c>
      <c r="B22" s="6" t="n">
        <v>-226182</v>
      </c>
      <c r="C22" s="6" t="n">
        <v>-241806</v>
      </c>
      <c r="D22" s="6" t="n"/>
      <c r="E22" s="6" t="n"/>
      <c r="F22" s="6" t="n"/>
    </row>
    <row r="23">
      <c r="A23" s="6" t="inlineStr">
        <is>
          <t>Redemption of TFSME</t>
        </is>
      </c>
      <c r="B23" s="6" t="n">
        <v>-18500000</v>
      </c>
      <c r="C23" s="6" t="n">
        <v>-19100000</v>
      </c>
      <c r="D23" s="6" t="n"/>
      <c r="E23" s="6" t="n"/>
      <c r="F23" s="6" t="n"/>
    </row>
    <row r="24">
      <c r="A24" s="6" t="inlineStr">
        <is>
          <t>Net increase in derivatives and hedged items</t>
        </is>
      </c>
      <c r="B24" s="6" t="n">
        <v>-50510</v>
      </c>
      <c r="C24" s="6" t="n">
        <v>-27459</v>
      </c>
      <c r="D24" s="6" t="n"/>
      <c r="E24" s="6" t="n"/>
      <c r="F24" s="6" t="n"/>
    </row>
    <row r="25">
      <c r="A25" s="6" t="inlineStr">
        <is>
          <t>Finance cost for subordinated debt</t>
        </is>
      </c>
      <c r="B25" s="6" t="n">
        <v>585000</v>
      </c>
      <c r="C25" s="6" t="n">
        <v>586603</v>
      </c>
      <c r="D25" s="6" t="n">
        <v>585000</v>
      </c>
      <c r="E25" s="6" t="n">
        <v>585000</v>
      </c>
      <c r="F25" s="6" t="n">
        <v>583397</v>
      </c>
    </row>
    <row r="26">
      <c r="A26" s="6" t="inlineStr">
        <is>
          <t>Fair value change of treasury bills and gilts</t>
        </is>
      </c>
      <c r="B26" s="6" t="n"/>
      <c r="C26" s="6" t="n">
        <v>0</v>
      </c>
      <c r="D26" s="6" t="n">
        <v>21961</v>
      </c>
      <c r="E26" s="6" t="n">
        <v>32241</v>
      </c>
      <c r="F26" s="6" t="n">
        <v>-69078</v>
      </c>
    </row>
    <row r="27">
      <c r="A27" s="6" t="inlineStr">
        <is>
          <t>Income tax</t>
        </is>
      </c>
      <c r="B27" s="6" t="n">
        <v>-111603</v>
      </c>
      <c r="C27" s="6" t="n">
        <v>106161</v>
      </c>
      <c r="D27" s="6" t="n">
        <v>1332686</v>
      </c>
      <c r="E27" s="6" t="n">
        <v>468257</v>
      </c>
      <c r="F27" s="6" t="n">
        <v>-1910683</v>
      </c>
    </row>
    <row r="28">
      <c r="A28" s="6" t="inlineStr">
        <is>
          <t>Interest paid for subordinated debt</t>
        </is>
      </c>
      <c r="B28" s="6" t="n">
        <v>-585000</v>
      </c>
      <c r="C28" s="6" t="n">
        <v>-586603</v>
      </c>
      <c r="D28" s="6" t="n">
        <v>-585000</v>
      </c>
      <c r="E28" s="6" t="n">
        <v>-585000</v>
      </c>
      <c r="F28" s="6" t="n">
        <v>-583397</v>
      </c>
    </row>
    <row r="29">
      <c r="A29" s="5" t="inlineStr">
        <is>
          <t>Net cash from/(used in) operating activities</t>
        </is>
      </c>
      <c r="B29" s="5" t="n">
        <v>-27582757</v>
      </c>
      <c r="C29" s="5" t="n">
        <v>-41683581</v>
      </c>
      <c r="D29" s="5" t="n">
        <v>49423566</v>
      </c>
      <c r="E29" s="5" t="n">
        <v>-20780795</v>
      </c>
      <c r="F29" s="5" t="n">
        <v>15466786</v>
      </c>
    </row>
    <row r="30">
      <c r="A30" s="5" t="inlineStr">
        <is>
          <t>Investing activities</t>
        </is>
      </c>
      <c r="B30" s="6" t="n"/>
      <c r="C30" s="6" t="n"/>
      <c r="D30" s="6" t="n"/>
      <c r="E30" s="6" t="n"/>
      <c r="F30" s="6" t="n"/>
    </row>
    <row r="31">
      <c r="A31" s="6" t="inlineStr">
        <is>
          <t>Purchases of tangible fixed assets</t>
        </is>
      </c>
      <c r="B31" s="6" t="n">
        <v>-44743</v>
      </c>
      <c r="C31" s="6" t="n">
        <v>-69653</v>
      </c>
      <c r="D31" s="6" t="n">
        <v>-104556</v>
      </c>
      <c r="E31" s="6" t="n">
        <v>-88663</v>
      </c>
      <c r="F31" s="6" t="n">
        <v>-22261</v>
      </c>
    </row>
    <row r="32">
      <c r="A32" s="6" t="inlineStr">
        <is>
          <t>Purchases of intangible assets</t>
        </is>
      </c>
      <c r="B32" s="6" t="n">
        <v>-481172</v>
      </c>
      <c r="C32" s="6" t="n">
        <v>-563604</v>
      </c>
      <c r="D32" s="6" t="n">
        <v>-551237</v>
      </c>
      <c r="E32" s="6" t="n">
        <v>-400735</v>
      </c>
      <c r="F32" s="6" t="n">
        <v>-87059</v>
      </c>
    </row>
    <row r="33">
      <c r="A33" s="6" t="inlineStr">
        <is>
          <t>Acquisition of treasury bills and gilts</t>
        </is>
      </c>
      <c r="B33" s="6" t="n"/>
      <c r="C33" s="6" t="n">
        <v>-5053587</v>
      </c>
      <c r="D33" s="6" t="n">
        <v>-44402384</v>
      </c>
      <c r="E33" s="6" t="n">
        <v>-9165232</v>
      </c>
      <c r="F33" s="6" t="n">
        <v>-19884208</v>
      </c>
    </row>
    <row r="34">
      <c r="A34" s="6" t="inlineStr">
        <is>
          <t>Acquisition of gilts</t>
        </is>
      </c>
      <c r="B34" s="6" t="n">
        <v>0</v>
      </c>
      <c r="C34" s="6" t="n"/>
      <c r="D34" s="6" t="n"/>
      <c r="E34" s="6" t="n"/>
      <c r="F34" s="6" t="n"/>
    </row>
    <row r="35">
      <c r="A35" s="6" t="inlineStr">
        <is>
          <t>Proceeds on sale/maturity of treasury bills and gilts</t>
        </is>
      </c>
      <c r="B35" s="6" t="n">
        <v>4998122</v>
      </c>
      <c r="C35" s="6" t="n">
        <v>53536391</v>
      </c>
      <c r="D35" s="6" t="n">
        <v>20866125</v>
      </c>
      <c r="E35" s="6" t="n">
        <v>9145225</v>
      </c>
      <c r="F35" s="6" t="n">
        <v>199669</v>
      </c>
    </row>
    <row r="36">
      <c r="A36" s="5" t="inlineStr">
        <is>
          <t>Net cash generated/(used in) investing activities</t>
        </is>
      </c>
      <c r="B36" s="5" t="n">
        <v>4472207</v>
      </c>
      <c r="C36" s="5" t="n">
        <v>47849547</v>
      </c>
      <c r="D36" s="5" t="n">
        <v>-24192052</v>
      </c>
      <c r="E36" s="5" t="n">
        <v>-509405</v>
      </c>
      <c r="F36" s="5" t="n">
        <v>-19793859</v>
      </c>
    </row>
    <row r="37">
      <c r="A37" s="5" t="inlineStr">
        <is>
          <t>Financing activities</t>
        </is>
      </c>
      <c r="B37" s="6" t="n"/>
      <c r="C37" s="6" t="n"/>
      <c r="D37" s="6" t="n"/>
      <c r="E37" s="6" t="n"/>
      <c r="F37" s="6" t="n"/>
    </row>
    <row r="38">
      <c r="A38" s="6" t="inlineStr">
        <is>
          <t>Proceeds of issue of ordinary shares</t>
        </is>
      </c>
      <c r="B38" s="6" t="n"/>
      <c r="C38" s="6" t="n"/>
      <c r="D38" s="6" t="n"/>
      <c r="E38" s="6" t="n"/>
      <c r="F38" s="6" t="n">
        <v>9900000</v>
      </c>
    </row>
    <row r="39">
      <c r="A39" s="6" t="inlineStr">
        <is>
          <t>Proceeds of TFSME</t>
        </is>
      </c>
      <c r="B39" s="6" t="n"/>
      <c r="C39" s="6" t="n"/>
      <c r="D39" s="6" t="n"/>
      <c r="E39" s="6" t="n"/>
      <c r="F39" s="6" t="n">
        <v>18400000</v>
      </c>
    </row>
    <row r="40">
      <c r="A40" s="5" t="inlineStr">
        <is>
          <t>Net cash from financing activities</t>
        </is>
      </c>
      <c r="B40" s="5" t="n"/>
      <c r="C40" s="5" t="n"/>
      <c r="D40" s="5" t="n"/>
      <c r="E40" s="5" t="n"/>
      <c r="F40" s="5" t="n">
        <v>28300000</v>
      </c>
    </row>
    <row r="41">
      <c r="A41" s="5" t="inlineStr">
        <is>
          <t>Net cash (decrease)/increase in cash and cash equivalents</t>
        </is>
      </c>
      <c r="B41" s="5" t="n">
        <v>-23110550</v>
      </c>
      <c r="C41" s="5" t="n">
        <v>6165966</v>
      </c>
      <c r="D41" s="5" t="n">
        <v>25231514</v>
      </c>
      <c r="E41" s="5" t="n">
        <v>-21290200</v>
      </c>
      <c r="F41" s="5" t="n">
        <v>23972927</v>
      </c>
    </row>
    <row r="42">
      <c r="A42" s="6" t="inlineStr">
        <is>
          <t>Cash and cash equivalents at the beginning of year</t>
        </is>
      </c>
      <c r="B42" s="6" t="n">
        <v>113293493</v>
      </c>
      <c r="C42" s="6" t="n">
        <v>109250259</v>
      </c>
      <c r="D42" s="6" t="n">
        <v>84018745</v>
      </c>
      <c r="E42" s="6" t="n">
        <v>105308945</v>
      </c>
      <c r="F42" s="6" t="n">
        <v>81336018</v>
      </c>
    </row>
    <row r="43">
      <c r="A43" s="5" t="inlineStr">
        <is>
          <t>Cash and cash equivalents at the end of year</t>
        </is>
      </c>
      <c r="B43" s="5" t="n">
        <v>90182943</v>
      </c>
      <c r="C43" s="5" t="n">
        <v>115416225</v>
      </c>
      <c r="D43" s="5" t="n">
        <v>109250259</v>
      </c>
      <c r="E43" s="5" t="n">
        <v>84018745</v>
      </c>
      <c r="F43" s="5" t="n">
        <v>105308945</v>
      </c>
    </row>
    <row r="45" ht="300" customHeight="1">
      <c r="A45" s="8" t="inlineStr">
        <is>
          <t>Sources - Redwood Bank Limited Company-only statement of cash flows, £:
FY2025: Redwood Bank Annual Report and Accounts 2025, p.50 - https://redwoodbank.co.uk/media/howpdnen/2025-annual-report-and-accounts_redwood-bank-signed-150426.pdf
FY2024: Redwood Bank Annual Report and Accounts 2024, p.47 - https://redwoodbank.co.uk/media/0h5hp3ku/2024-redwood-bank-annual-report-and-accounts.pdf
FY2023: Redwood Bank Annual Report and Accounts 2023, p.59 - https://redwoodbank.co.uk/media/zrjnifqm/redwood-year-end-annual-report-and-accounts-2023-1.pdf
FY2022: Redwood Bank Limited full accounts made up to 31 December 2022 filed at Companies House, p.33 (comparative column) - https://find-and-update.company-information.service.gov.uk/company/09872265/filing-history/MzM4NjEzNjAwN2FkaXF6a2N4/document?download=0&amp;format=pdf
FY2021: Redwood Bank Limited full accounts made up to 31 December 2022 filed at Companies House, p.33 (comparative column for 2021), with the 2021 account used as a cross-check, p.28 - https://find-and-update.company-information.service.gov.uk/company/09872265/filing-history/MzM4NjEzNjAwN2FkaXF6a2N4/document?download=0&amp;format=pdf
The FY2022 and FY2021 columns use later-year comparative columns where available, following the project rule to inspect comparatives before seeking separate documents. The FY2021 comparative presents a small internal reclassification of TFSME interest and financing cash: its operating subtotal is £15,466,786 and financing subtotal £28,300,000, while the standalone 2021 report prints £15,456,792 and £28,309,994. Both produce the same reported net cash increase of £23,972,927 and the same closing cash of £105,308,945; the later comparative is used consistently here.
ENTITY NOTE: Redwood Bank Limited (company 09872265, FRN 755924) is the exact legal entity in the bank list. It is a UK-authorised bank and a wholly owned subsidiary of Redwood Financial Partners Limited. The annual reports present the Bank on a Company-only basis; no Group cash-flow statement has been substituted. The company was previously named Acorn Financial Partners Limited, but the name change occurred before the years covered and does not create an entity ambiguity.</t>
        </is>
      </c>
    </row>
  </sheetData>
  <mergeCells count="1">
    <mergeCell ref="A45:F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CET1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capital (rounded as reported)</t>
        </is>
      </c>
      <c r="B4" s="6" t="n">
        <v>48900000</v>
      </c>
      <c r="C4" s="6" t="n">
        <v>48400000</v>
      </c>
      <c r="D4" s="6" t="n">
        <v>46800000</v>
      </c>
      <c r="E4" s="6" t="n">
        <v>41400000</v>
      </c>
      <c r="F4" s="6" t="n">
        <v>39400000</v>
      </c>
    </row>
    <row r="5" ht="60" customHeight="1">
      <c r="A5" s="7" t="inlineStr">
        <is>
          <t>Note: The annual reports state CET1 capital rounded to £m; these values preserve that stated precision and are not presented as inferred exact amounts.</t>
        </is>
      </c>
    </row>
    <row r="7" ht="190" customHeight="1">
      <c r="A7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16.6%</t>
        </is>
      </c>
      <c r="C4" s="6" t="inlineStr">
        <is>
          <t>15.1%</t>
        </is>
      </c>
      <c r="D4" s="6" t="inlineStr">
        <is>
          <t>16.0%</t>
        </is>
      </c>
      <c r="E4" s="6" t="inlineStr">
        <is>
          <t>15.4%</t>
        </is>
      </c>
      <c r="F4" s="6" t="inlineStr">
        <is>
          <t>16.9%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Tier 1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Tier 1 capital</t>
        </is>
      </c>
      <c r="B4" s="6" t="n">
        <v>48846803</v>
      </c>
      <c r="C4" s="6" t="n">
        <v>48365248</v>
      </c>
      <c r="D4" s="6" t="n">
        <v>46764475</v>
      </c>
      <c r="E4" s="6" t="n">
        <v>41430663</v>
      </c>
      <c r="F4" s="6" t="n">
        <v>39399478</v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separate Tier 1 ratio is stated in the public Redwood reports; it is not derived from CET1 or total-capital ratios.</t>
        </is>
      </c>
    </row>
    <row r="7" ht="190" customHeight="1">
      <c r="A7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Total Capital</t>
        </is>
      </c>
    </row>
    <row r="2">
      <c r="A2" s="2" t="inlineStr">
        <is>
          <t>£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 / own funds</t>
        </is>
      </c>
      <c r="B4" s="6" t="n">
        <v>58505932</v>
      </c>
      <c r="C4" s="6" t="n">
        <v>58431891</v>
      </c>
      <c r="D4" s="6" t="n">
        <v>56888551</v>
      </c>
      <c r="E4" s="6" t="n">
        <v>51320588</v>
      </c>
      <c r="F4" s="6" t="n">
        <v>49909754</v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19.8%</t>
        </is>
      </c>
      <c r="C4" s="6" t="inlineStr">
        <is>
          <t>18.3%</t>
        </is>
      </c>
      <c r="D4" s="6" t="inlineStr">
        <is>
          <t>19.4%</t>
        </is>
      </c>
      <c r="E4" s="6" t="inlineStr">
        <is>
          <t>19.0%</t>
        </is>
      </c>
      <c r="F4" s="6" t="inlineStr">
        <is>
          <t>21.4%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362%</t>
        </is>
      </c>
      <c r="C4" s="6" t="inlineStr">
        <is>
          <t>284%</t>
        </is>
      </c>
      <c r="D4" s="6" t="inlineStr">
        <is>
          <t>481%</t>
        </is>
      </c>
      <c r="E4" s="6" t="inlineStr">
        <is>
          <t>352%</t>
        </is>
      </c>
      <c r="F4" s="6" t="inlineStr">
        <is>
          <t>970%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Redwood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90" customHeight="1">
      <c r="A6" s="8" t="inlineStr">
        <is>
          <t>Sources - Redwood Bank Limited regulatory capital and liquidity KPIs:
FY2025/FY2024: Redwood Bank Annual Report and Accounts 2025, pp.17 and 26, own-funds table p.26 - https://redwoodbank.co.uk/media/howpdnen/2025-annual-report-and-accounts_redwood-bank-signed-150426.pdf
FY2024/FY2023: Redwood Bank Annual Report and Accounts 2024, pp.16 and 68 - https://redwoodbank.co.uk/media/0h5hp3ku/2024-redwood-bank-annual-report-and-accounts.pdf
FY2023/FY2022: Redwood Bank Annual Report and Accounts 2023, pp.22 and 81, own-funds table pp.81-82 - https://redwoodbank.co.uk/media/zrjnifqm/redwood-year-end-annual-report-and-accounts-2023-1.pdf
FY2021: Redwood Bank Limited full accounts made up to 31 December 2022 filed at Companies House, pp.6 and 60 (comparative column), cross-checked against the 2021 accounts pp.6 and 53 - https://find-and-update.company-information.service.gov.uk/company/09872265/filing-history/MzM4NjEzNjAwN2FkaXF6a2N4/document?download=0&amp;format=pdf
Redwood's public reports do not provide separate entity-level numeric disclosures for Total RWAs, leverage ratio, NSFR, or MREL. Those fields remain explicitly undisclosed rather than being derived from other ratios.</t>
        </is>
      </c>
    </row>
  </sheetData>
  <mergeCells count="1"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2026-08-28T21:51:27Z</dcterms:created>
  <dcterms:modified xsi:type="dcterms:W3CDTF">2026-08-28T21:51:27Z</dcterms:modified>
</cp:coreProperties>
</file>