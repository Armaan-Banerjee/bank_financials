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610043348</v>
      </c>
      <c r="C6" s="5" t="n">
        <v>635400816</v>
      </c>
      <c r="D6" s="5" t="n">
        <v>599055370</v>
      </c>
      <c r="E6" s="5" t="n">
        <v>540260485</v>
      </c>
      <c r="F6" s="5" t="n">
        <v>527973212</v>
      </c>
      <c r="I6" t="inlineStr">
        <is>
          <t>Total assets</t>
        </is>
      </c>
      <c r="J6" t="n">
        <v>527973212</v>
      </c>
      <c r="K6" t="n">
        <v>540260485</v>
      </c>
      <c r="L6" t="n">
        <v>599055370</v>
      </c>
      <c r="M6" t="n">
        <v>635400816</v>
      </c>
      <c r="N6" t="n">
        <v>610043348</v>
      </c>
      <c r="AO6" t="inlineStr">
        <is>
          <t>CET1 Ratio</t>
        </is>
      </c>
      <c r="AP6" t="n">
        <v>16.9</v>
      </c>
      <c r="AQ6" t="n">
        <v>15.4</v>
      </c>
      <c r="AR6" t="n">
        <v>16</v>
      </c>
      <c r="AS6" t="n">
        <v>15.1</v>
      </c>
      <c r="AT6" t="n">
        <v>16.6</v>
      </c>
    </row>
    <row r="7">
      <c r="A7" s="5" t="inlineStr">
        <is>
          <t>Loans and advances to customers</t>
        </is>
      </c>
      <c r="B7" s="5" t="n">
        <v>490444848</v>
      </c>
      <c r="C7" s="5" t="n">
        <v>492244170</v>
      </c>
      <c r="D7" s="5" t="n">
        <v>413983306</v>
      </c>
      <c r="E7" s="5" t="n">
        <v>403371972</v>
      </c>
      <c r="F7" s="5" t="n">
        <v>369798691</v>
      </c>
      <c r="I7" t="inlineStr">
        <is>
          <t>Loans and advances to customers</t>
        </is>
      </c>
      <c r="J7" t="n">
        <v>369798691</v>
      </c>
      <c r="K7" t="n">
        <v>403371972</v>
      </c>
      <c r="L7" t="n">
        <v>413983306</v>
      </c>
      <c r="M7" t="n">
        <v>492244170</v>
      </c>
      <c r="N7" t="n">
        <v>490444848</v>
      </c>
      <c r="AO7" t="inlineStr">
        <is>
          <t>Total Capital Ratio</t>
        </is>
      </c>
      <c r="AP7" t="n">
        <v>21.4</v>
      </c>
      <c r="AQ7" t="n">
        <v>19</v>
      </c>
      <c r="AR7" t="n">
        <v>19.4</v>
      </c>
      <c r="AS7" t="n">
        <v>18.3</v>
      </c>
      <c r="AT7" t="n">
        <v>19.8</v>
      </c>
    </row>
    <row r="8">
      <c r="A8" s="5" t="inlineStr">
        <is>
          <t>Customer deposits</t>
        </is>
      </c>
      <c r="B8" s="5" t="n">
        <v>546762522</v>
      </c>
      <c r="C8" s="5" t="n">
        <v>552995571</v>
      </c>
      <c r="D8" s="5" t="n">
        <v>499967473</v>
      </c>
      <c r="E8" s="5" t="n">
        <v>447173300</v>
      </c>
      <c r="F8" s="5" t="n">
        <v>438038613</v>
      </c>
      <c r="I8" t="inlineStr">
        <is>
          <t>Customer deposits</t>
        </is>
      </c>
      <c r="J8" t="n">
        <v>438038613</v>
      </c>
      <c r="K8" t="n">
        <v>447173300</v>
      </c>
      <c r="L8" t="n">
        <v>499967473</v>
      </c>
      <c r="M8" t="n">
        <v>552995571</v>
      </c>
      <c r="N8" t="n">
        <v>546762522</v>
      </c>
      <c r="AO8" t="inlineStr">
        <is>
          <t>LCR</t>
        </is>
      </c>
      <c r="AP8" t="n">
        <v>970</v>
      </c>
      <c r="AQ8" t="n">
        <v>352</v>
      </c>
      <c r="AR8" t="n">
        <v>481</v>
      </c>
      <c r="AS8" t="n">
        <v>284</v>
      </c>
      <c r="AT8" t="n">
        <v>362</v>
      </c>
    </row>
    <row r="9">
      <c r="A9" s="5" t="inlineStr">
        <is>
          <t>Total equity</t>
        </is>
      </c>
      <c r="B9" s="5" t="n">
        <v>49983070</v>
      </c>
      <c r="C9" s="5" t="n">
        <v>49380257</v>
      </c>
      <c r="D9" s="5" t="n">
        <v>47552169</v>
      </c>
      <c r="E9" s="5" t="n">
        <v>43325959</v>
      </c>
      <c r="F9" s="5" t="n">
        <v>41496104</v>
      </c>
      <c r="I9" t="inlineStr">
        <is>
          <t>Total equity</t>
        </is>
      </c>
      <c r="J9" t="n">
        <v>41496104</v>
      </c>
      <c r="K9" t="n">
        <v>43325959</v>
      </c>
      <c r="L9" t="n">
        <v>47552169</v>
      </c>
      <c r="M9" t="n">
        <v>49380257</v>
      </c>
      <c r="N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22720767</v>
      </c>
      <c r="C13" s="5" t="n">
        <v>26251547</v>
      </c>
      <c r="D13" s="5" t="n">
        <v>28828970</v>
      </c>
      <c r="E13" s="5" t="n">
        <v>20868106</v>
      </c>
      <c r="F13" s="5" t="n">
        <v>15135536</v>
      </c>
      <c r="Q13" t="inlineStr">
        <is>
          <t>Net interest income</t>
        </is>
      </c>
      <c r="R13" t="n">
        <v>15135536</v>
      </c>
      <c r="S13" t="n">
        <v>20868106</v>
      </c>
      <c r="T13" t="n">
        <v>28828970</v>
      </c>
      <c r="U13" t="n">
        <v>26251547</v>
      </c>
      <c r="V13" t="n">
        <v>22720767</v>
      </c>
    </row>
    <row r="14">
      <c r="A14" s="5" t="inlineStr">
        <is>
          <t>Administrative expenses</t>
        </is>
      </c>
      <c r="B14" s="5" t="n">
        <v>-21265984</v>
      </c>
      <c r="C14" s="5" t="n">
        <v>-21675255</v>
      </c>
      <c r="D14" s="5" t="n">
        <v>-20509671</v>
      </c>
      <c r="E14" s="5" t="n">
        <v>-16105258</v>
      </c>
      <c r="F14" s="5" t="n">
        <v>-12922871</v>
      </c>
      <c r="Q14" t="inlineStr">
        <is>
          <t>Administrative expenses</t>
        </is>
      </c>
      <c r="R14" t="n">
        <v>-12922871</v>
      </c>
      <c r="S14" t="n">
        <v>-16105258</v>
      </c>
      <c r="T14" t="n">
        <v>-20509671</v>
      </c>
      <c r="U14" t="n">
        <v>-21675255</v>
      </c>
      <c r="V14" t="n">
        <v>-21265984</v>
      </c>
    </row>
    <row r="15">
      <c r="A15" s="5" t="inlineStr">
        <is>
          <t>Profit for the year</t>
        </is>
      </c>
      <c r="B15" s="5" t="n">
        <v>602813</v>
      </c>
      <c r="C15" s="5" t="n">
        <v>1828088</v>
      </c>
      <c r="D15" s="5" t="n">
        <v>4204249</v>
      </c>
      <c r="E15" s="5" t="n">
        <v>1797614</v>
      </c>
      <c r="F15" s="5" t="n">
        <v>4084475</v>
      </c>
      <c r="Q15" t="inlineStr">
        <is>
          <t>Profit for the year</t>
        </is>
      </c>
      <c r="R15" t="n">
        <v>4084475</v>
      </c>
      <c r="S15" t="n">
        <v>1797614</v>
      </c>
      <c r="T15" t="n">
        <v>4204249</v>
      </c>
      <c r="U15" t="n">
        <v>1828088</v>
      </c>
      <c r="V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(closing)</t>
        </is>
      </c>
      <c r="B19" s="5" t="n">
        <v>49983070</v>
      </c>
      <c r="C19" s="5" t="n">
        <v>49380257</v>
      </c>
      <c r="D19" s="5" t="n">
        <v>47552169</v>
      </c>
      <c r="E19" s="5" t="n">
        <v>43325959</v>
      </c>
      <c r="F19" s="5" t="n">
        <v>41496104</v>
      </c>
      <c r="Y19" t="inlineStr">
        <is>
          <t>Total equity (closing)</t>
        </is>
      </c>
      <c r="Z19" t="n">
        <v>41496104</v>
      </c>
      <c r="AA19" t="n">
        <v>43325959</v>
      </c>
      <c r="AB19" t="n">
        <v>47552169</v>
      </c>
      <c r="AC19" t="n">
        <v>49380257</v>
      </c>
      <c r="AD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from/(used in) operating activities</t>
        </is>
      </c>
      <c r="B23" s="5" t="n">
        <v>-27582757</v>
      </c>
      <c r="C23" s="5" t="n">
        <v>-41683581</v>
      </c>
      <c r="D23" s="5" t="n">
        <v>49423566</v>
      </c>
      <c r="E23" s="5" t="n">
        <v>-20780795</v>
      </c>
      <c r="F23" s="5" t="n">
        <v>15466786</v>
      </c>
      <c r="AG23" t="inlineStr">
        <is>
          <t>Net cash from/(used in) operating activities</t>
        </is>
      </c>
      <c r="AH23" t="n">
        <v>15466786</v>
      </c>
      <c r="AI23" t="n">
        <v>-20780795</v>
      </c>
      <c r="AJ23" t="n">
        <v>49423566</v>
      </c>
      <c r="AK23" t="n">
        <v>-41683581</v>
      </c>
      <c r="AL23" t="n">
        <v>-27582757</v>
      </c>
    </row>
    <row r="24">
      <c r="A24" s="5" t="inlineStr">
        <is>
          <t>Net cash generated/(used in) investing activities</t>
        </is>
      </c>
      <c r="B24" s="5" t="n">
        <v>4472207</v>
      </c>
      <c r="C24" s="5" t="n">
        <v>47849547</v>
      </c>
      <c r="D24" s="5" t="n">
        <v>-24192052</v>
      </c>
      <c r="E24" s="5" t="n">
        <v>-509405</v>
      </c>
      <c r="F24" s="5" t="n">
        <v>-19793859</v>
      </c>
      <c r="AG24" t="inlineStr">
        <is>
          <t>Net cash generated/(used in) investing activities</t>
        </is>
      </c>
      <c r="AH24" t="n">
        <v>-19793859</v>
      </c>
      <c r="AI24" t="n">
        <v>-509405</v>
      </c>
      <c r="AJ24" t="n">
        <v>-24192052</v>
      </c>
      <c r="AK24" t="n">
        <v>47849547</v>
      </c>
      <c r="AL24" t="n">
        <v>4472207</v>
      </c>
    </row>
    <row r="25">
      <c r="A25" s="5" t="inlineStr">
        <is>
          <t>Net cash from financing activities</t>
        </is>
      </c>
      <c r="B25" s="5" t="n">
        <v>0</v>
      </c>
      <c r="C25" s="5" t="n">
        <v>0</v>
      </c>
      <c r="D25" s="5" t="n">
        <v>0</v>
      </c>
      <c r="E25" s="5" t="n">
        <v>0</v>
      </c>
      <c r="F25" s="5" t="n">
        <v>28300000</v>
      </c>
      <c r="AG25" t="inlineStr">
        <is>
          <t>Net cash from financing activities</t>
        </is>
      </c>
      <c r="AH25" t="n">
        <v>28300000</v>
      </c>
      <c r="AI25" t="n">
        <v>0</v>
      </c>
      <c r="AJ25" t="n">
        <v>0</v>
      </c>
      <c r="AK25" t="n">
        <v>0</v>
      </c>
      <c r="AL25" t="n">
        <v>0</v>
      </c>
    </row>
    <row r="26">
      <c r="A26" s="5" t="inlineStr">
        <is>
          <t>Cash and cash equivalents at end of year</t>
        </is>
      </c>
      <c r="B26" s="5" t="n">
        <v>90182943</v>
      </c>
      <c r="C26" s="5" t="n">
        <v>115416225</v>
      </c>
      <c r="D26" s="5" t="n">
        <v>109250259</v>
      </c>
      <c r="E26" s="5" t="n">
        <v>84018745</v>
      </c>
      <c r="F26" s="5" t="n">
        <v>105308945</v>
      </c>
      <c r="AG26" t="inlineStr">
        <is>
          <t>Cash and cash equivalents at end of year</t>
        </is>
      </c>
      <c r="AH26" t="n">
        <v>105308945</v>
      </c>
      <c r="AI26" t="n">
        <v>84018745</v>
      </c>
      <c r="AJ26" t="n">
        <v>109250259</v>
      </c>
      <c r="AK26" t="n">
        <v>115416225</v>
      </c>
      <c r="AL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row>
    <row r="30">
      <c r="A30" s="6" t="inlineStr">
        <is>
          <t>CET1 Ratio</t>
        </is>
      </c>
      <c r="B30" s="6" t="inlineStr">
        <is>
          <t>16.6%</t>
        </is>
      </c>
      <c r="C30" s="6" t="inlineStr">
        <is>
          <t>15.1%</t>
        </is>
      </c>
      <c r="D30" s="6" t="inlineStr">
        <is>
          <t>16.0%</t>
        </is>
      </c>
      <c r="E30" s="6" t="inlineStr">
        <is>
          <t>15.4%</t>
        </is>
      </c>
      <c r="F30" s="6" t="inlineStr">
        <is>
          <t>16.9%</t>
        </is>
      </c>
    </row>
    <row r="31">
      <c r="A31" s="6" t="inlineStr">
        <is>
          <t>Total Capital Ratio</t>
        </is>
      </c>
      <c r="B31" s="6" t="inlineStr">
        <is>
          <t>19.8%</t>
        </is>
      </c>
      <c r="C31" s="6" t="inlineStr">
        <is>
          <t>18.3%</t>
        </is>
      </c>
      <c r="D31" s="6" t="inlineStr">
        <is>
          <t>19.4%</t>
        </is>
      </c>
      <c r="E31" s="6" t="inlineStr">
        <is>
          <t>19.0%</t>
        </is>
      </c>
      <c r="F31" s="6" t="inlineStr">
        <is>
          <t>21.4%</t>
        </is>
      </c>
    </row>
    <row r="32">
      <c r="A32" s="6" t="inlineStr">
        <is>
          <t>LCR</t>
        </is>
      </c>
      <c r="B32" s="6" t="inlineStr">
        <is>
          <t>362%</t>
        </is>
      </c>
      <c r="C32" s="6" t="inlineStr">
        <is>
          <t>284%</t>
        </is>
      </c>
      <c r="D32" s="6" t="inlineStr">
        <is>
          <t>481%</t>
        </is>
      </c>
      <c r="E32" s="6" t="inlineStr">
        <is>
          <t>352%</t>
        </is>
      </c>
      <c r="F32" s="6" t="inlineStr">
        <is>
          <t>970%</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Redwood Bank Limited — Balance Sheet</t>
        </is>
      </c>
    </row>
    <row r="2">
      <c r="A2" s="2" t="inlineStr">
        <is>
          <t>Company-only basis, £. FY2021 uses the comparative column in the FY2022 Companies House filing;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balances at central banks</t>
        </is>
      </c>
      <c r="B5" s="6" t="n">
        <v>85516188</v>
      </c>
      <c r="C5" s="6" t="n">
        <v>115416225</v>
      </c>
      <c r="D5" s="6" t="n">
        <v>109250259</v>
      </c>
      <c r="E5" s="6" t="n">
        <v>84018745</v>
      </c>
      <c r="F5" s="6" t="n">
        <v>105308945</v>
      </c>
    </row>
    <row r="6">
      <c r="A6" s="6" t="inlineStr">
        <is>
          <t>Treasury bills and gilts</t>
        </is>
      </c>
      <c r="B6" s="6" t="n">
        <v>20013691</v>
      </c>
      <c r="C6" s="6" t="n">
        <v>25011813</v>
      </c>
      <c r="D6" s="6" t="n">
        <v>73494617</v>
      </c>
      <c r="E6" s="6" t="n">
        <v>49958358</v>
      </c>
      <c r="F6" s="6" t="n">
        <v>49938351</v>
      </c>
    </row>
    <row r="7">
      <c r="A7" s="6" t="inlineStr">
        <is>
          <t>Loans and advances to banks</t>
        </is>
      </c>
      <c r="B7" s="6" t="n">
        <v>8841755</v>
      </c>
      <c r="C7" s="6" t="n"/>
      <c r="D7" s="6" t="n"/>
      <c r="E7" s="6" t="n"/>
      <c r="F7" s="6" t="n"/>
    </row>
    <row r="8">
      <c r="A8" s="6" t="inlineStr">
        <is>
          <t>Loans and advances to customers</t>
        </is>
      </c>
      <c r="B8" s="6" t="n">
        <v>490444848</v>
      </c>
      <c r="C8" s="6" t="n">
        <v>492244170</v>
      </c>
      <c r="D8" s="6" t="n">
        <v>413983306</v>
      </c>
      <c r="E8" s="6" t="n">
        <v>403371972</v>
      </c>
      <c r="F8" s="6" t="n">
        <v>369798691</v>
      </c>
    </row>
    <row r="9">
      <c r="A9" s="6" t="inlineStr">
        <is>
          <t>Fair value adjustments on hedged assets</t>
        </is>
      </c>
      <c r="B9" s="6" t="n">
        <v>1302543</v>
      </c>
      <c r="C9" s="6" t="n"/>
      <c r="D9" s="6" t="n"/>
      <c r="E9" s="6" t="n"/>
      <c r="F9" s="6" t="n"/>
    </row>
    <row r="10">
      <c r="A10" s="6" t="inlineStr">
        <is>
          <t>Derivative assets</t>
        </is>
      </c>
      <c r="B10" s="6" t="n">
        <v>0</v>
      </c>
      <c r="C10" s="6" t="n"/>
      <c r="D10" s="6" t="n"/>
      <c r="E10" s="6" t="n"/>
      <c r="F10" s="6" t="n"/>
    </row>
    <row r="11">
      <c r="A11" s="6" t="inlineStr">
        <is>
          <t>Other assets and prepayments</t>
        </is>
      </c>
      <c r="B11" s="6" t="n"/>
      <c r="C11" s="6" t="n">
        <v>1231228</v>
      </c>
      <c r="D11" s="6" t="n">
        <v>1037196</v>
      </c>
      <c r="E11" s="6" t="n">
        <v>853781</v>
      </c>
      <c r="F11" s="6" t="n">
        <v>652247</v>
      </c>
    </row>
    <row r="12">
      <c r="A12" s="6" t="inlineStr">
        <is>
          <t>Other assets</t>
        </is>
      </c>
      <c r="B12" s="6" t="n">
        <v>1483513</v>
      </c>
      <c r="C12" s="6" t="n"/>
      <c r="D12" s="6" t="n"/>
      <c r="E12" s="6" t="n"/>
      <c r="F12" s="6" t="n"/>
    </row>
    <row r="13">
      <c r="A13" s="6" t="inlineStr">
        <is>
          <t>Prepayments and accrued income</t>
        </is>
      </c>
      <c r="B13" s="6" t="n">
        <v>1088724</v>
      </c>
      <c r="C13" s="6" t="n"/>
      <c r="D13" s="6" t="n"/>
      <c r="E13" s="6" t="n"/>
      <c r="F13" s="6" t="n"/>
    </row>
    <row r="14">
      <c r="A14" s="6" t="inlineStr">
        <is>
          <t>Tangible fixed assets</t>
        </is>
      </c>
      <c r="B14" s="6" t="n">
        <v>104511</v>
      </c>
      <c r="C14" s="6" t="n">
        <v>151269</v>
      </c>
      <c r="D14" s="6" t="n">
        <v>174182</v>
      </c>
      <c r="E14" s="6" t="n">
        <v>166207</v>
      </c>
      <c r="F14" s="6" t="n">
        <v>182226</v>
      </c>
    </row>
    <row r="15">
      <c r="A15" s="6" t="inlineStr">
        <is>
          <t>Intangible fixed assets</t>
        </is>
      </c>
      <c r="B15" s="6" t="n">
        <v>1132393</v>
      </c>
      <c r="C15" s="6" t="n">
        <v>1011135</v>
      </c>
      <c r="D15" s="6" t="n">
        <v>783820</v>
      </c>
      <c r="E15" s="6" t="n">
        <v>448996</v>
      </c>
      <c r="F15" s="6" t="n">
        <v>182069</v>
      </c>
    </row>
    <row r="16">
      <c r="A16" s="6" t="inlineStr">
        <is>
          <t>Deferred tax assets</t>
        </is>
      </c>
      <c r="B16" s="6" t="n">
        <v>115182</v>
      </c>
      <c r="C16" s="6" t="n">
        <v>307517</v>
      </c>
      <c r="D16" s="6" t="n">
        <v>331990</v>
      </c>
      <c r="E16" s="6" t="n">
        <v>1442426</v>
      </c>
      <c r="F16" s="6" t="n">
        <v>1910683</v>
      </c>
    </row>
    <row r="17">
      <c r="A17" s="5" t="inlineStr">
        <is>
          <t>Total assets</t>
        </is>
      </c>
      <c r="B17" s="5" t="n">
        <v>610043348</v>
      </c>
      <c r="C17" s="5" t="n">
        <v>635400816</v>
      </c>
      <c r="D17" s="5" t="n">
        <v>599055370</v>
      </c>
      <c r="E17" s="5" t="n">
        <v>540260485</v>
      </c>
      <c r="F17" s="5" t="n">
        <v>527973212</v>
      </c>
    </row>
    <row r="18">
      <c r="A18" s="5" t="inlineStr">
        <is>
          <t>Liabilities</t>
        </is>
      </c>
      <c r="B18" s="6" t="n"/>
      <c r="C18" s="6" t="n"/>
      <c r="D18" s="6" t="n"/>
      <c r="E18" s="6" t="n"/>
      <c r="F18" s="6" t="n"/>
    </row>
    <row r="19">
      <c r="A19" s="6" t="inlineStr">
        <is>
          <t>Amounts due to banks</t>
        </is>
      </c>
      <c r="B19" s="6" t="n"/>
      <c r="C19" s="6" t="n">
        <v>18726182</v>
      </c>
      <c r="D19" s="6" t="n">
        <v>38067988</v>
      </c>
      <c r="E19" s="6" t="n">
        <v>37862456</v>
      </c>
      <c r="F19" s="6" t="n">
        <v>37611747</v>
      </c>
    </row>
    <row r="20">
      <c r="A20" s="6" t="inlineStr">
        <is>
          <t>Customer deposits</t>
        </is>
      </c>
      <c r="B20" s="6" t="n">
        <v>546762522</v>
      </c>
      <c r="C20" s="6" t="n">
        <v>552995571</v>
      </c>
      <c r="D20" s="6" t="n">
        <v>499967473</v>
      </c>
      <c r="E20" s="6" t="n">
        <v>447173300</v>
      </c>
      <c r="F20" s="6" t="n">
        <v>438038613</v>
      </c>
    </row>
    <row r="21">
      <c r="A21" s="6" t="inlineStr">
        <is>
          <t>Derivative liabilities</t>
        </is>
      </c>
      <c r="B21" s="6" t="n">
        <v>1224574</v>
      </c>
      <c r="C21" s="6" t="n"/>
      <c r="D21" s="6" t="n"/>
      <c r="E21" s="6" t="n"/>
      <c r="F21" s="6" t="n"/>
    </row>
    <row r="22">
      <c r="A22" s="6" t="inlineStr">
        <is>
          <t>Other liabilities and accruals</t>
        </is>
      </c>
      <c r="B22" s="6" t="n"/>
      <c r="C22" s="6" t="n">
        <v>4994868</v>
      </c>
      <c r="D22" s="6" t="n">
        <v>4245490</v>
      </c>
      <c r="E22" s="6" t="n">
        <v>2898770</v>
      </c>
      <c r="F22" s="6" t="n">
        <v>1826748</v>
      </c>
    </row>
    <row r="23">
      <c r="A23" s="6" t="inlineStr">
        <is>
          <t>Other liabilities</t>
        </is>
      </c>
      <c r="B23" s="6" t="n">
        <v>603027</v>
      </c>
      <c r="C23" s="6" t="n"/>
      <c r="D23" s="6" t="n"/>
      <c r="E23" s="6" t="n"/>
      <c r="F23" s="6" t="n"/>
    </row>
    <row r="24">
      <c r="A24" s="6" t="inlineStr">
        <is>
          <t>Accruals and deferred income</t>
        </is>
      </c>
      <c r="B24" s="6" t="n">
        <v>2470155</v>
      </c>
      <c r="C24" s="6" t="n"/>
      <c r="D24" s="6" t="n"/>
      <c r="E24" s="6" t="n"/>
      <c r="F24" s="6" t="n"/>
    </row>
    <row r="25">
      <c r="A25" s="6" t="inlineStr">
        <is>
          <t>Tax liabilities</t>
        </is>
      </c>
      <c r="B25" s="6" t="n"/>
      <c r="C25" s="6" t="n">
        <v>303938</v>
      </c>
      <c r="D25" s="6" t="n">
        <v>222250</v>
      </c>
      <c r="E25" s="6" t="n"/>
      <c r="F25" s="6" t="n"/>
    </row>
    <row r="26">
      <c r="A26" s="6" t="inlineStr">
        <is>
          <t>Subordinated debt</t>
        </is>
      </c>
      <c r="B26" s="6" t="n">
        <v>9000000</v>
      </c>
      <c r="C26" s="6" t="n">
        <v>9000000</v>
      </c>
      <c r="D26" s="6" t="n">
        <v>9000000</v>
      </c>
      <c r="E26" s="6" t="n">
        <v>9000000</v>
      </c>
      <c r="F26" s="6" t="n">
        <v>9000000</v>
      </c>
    </row>
    <row r="27">
      <c r="A27" s="5" t="inlineStr">
        <is>
          <t>Total liabilities</t>
        </is>
      </c>
      <c r="B27" s="5" t="n">
        <v>560060278</v>
      </c>
      <c r="C27" s="5" t="n">
        <v>586020559</v>
      </c>
      <c r="D27" s="5" t="n">
        <v>551503201</v>
      </c>
      <c r="E27" s="5" t="n">
        <v>496934526</v>
      </c>
      <c r="F27" s="5" t="n">
        <v>486477108</v>
      </c>
    </row>
    <row r="28">
      <c r="A28" s="5" t="inlineStr">
        <is>
          <t>Equity</t>
        </is>
      </c>
      <c r="B28" s="6" t="n"/>
      <c r="C28" s="6" t="n"/>
      <c r="D28" s="6" t="n"/>
      <c r="E28" s="6" t="n"/>
      <c r="F28" s="6" t="n"/>
    </row>
    <row r="29">
      <c r="A29" s="6" t="inlineStr">
        <is>
          <t>Called up share capital</t>
        </is>
      </c>
      <c r="B29" s="6" t="n">
        <v>111</v>
      </c>
      <c r="C29" s="6" t="n">
        <v>111</v>
      </c>
      <c r="D29" s="6" t="n">
        <v>111</v>
      </c>
      <c r="E29" s="6" t="n">
        <v>111</v>
      </c>
      <c r="F29" s="6" t="n">
        <v>111</v>
      </c>
    </row>
    <row r="30">
      <c r="A30" s="6" t="inlineStr">
        <is>
          <t>Share premium reserve</t>
        </is>
      </c>
      <c r="B30" s="6" t="n">
        <v>47922405</v>
      </c>
      <c r="C30" s="6" t="n">
        <v>47922405</v>
      </c>
      <c r="D30" s="6" t="n">
        <v>47922405</v>
      </c>
      <c r="E30" s="6" t="n">
        <v>47922405</v>
      </c>
      <c r="F30" s="6" t="n">
        <v>47922405</v>
      </c>
    </row>
    <row r="31">
      <c r="A31" s="6" t="inlineStr">
        <is>
          <t>Available-for-sale reserve</t>
        </is>
      </c>
      <c r="B31" s="6" t="n"/>
      <c r="C31" s="6" t="n"/>
      <c r="D31" s="6" t="n">
        <v>0</v>
      </c>
      <c r="E31" s="6" t="n">
        <v>-21961</v>
      </c>
      <c r="F31" s="6" t="n">
        <v>-54202</v>
      </c>
    </row>
    <row r="32">
      <c r="A32" s="6" t="inlineStr">
        <is>
          <t>Retained earnings</t>
        </is>
      </c>
      <c r="B32" s="6" t="n">
        <v>2060554</v>
      </c>
      <c r="C32" s="6" t="n">
        <v>1457741</v>
      </c>
      <c r="D32" s="6" t="n">
        <v>-370347</v>
      </c>
      <c r="E32" s="6" t="n">
        <v>-4574596</v>
      </c>
      <c r="F32" s="6" t="n">
        <v>-6372210</v>
      </c>
    </row>
    <row r="33">
      <c r="A33" s="5" t="inlineStr">
        <is>
          <t>Total equity</t>
        </is>
      </c>
      <c r="B33" s="5" t="n">
        <v>49983070</v>
      </c>
      <c r="C33" s="5" t="n">
        <v>49380257</v>
      </c>
      <c r="D33" s="5" t="n">
        <v>47552169</v>
      </c>
      <c r="E33" s="5" t="n">
        <v>43325959</v>
      </c>
      <c r="F33" s="5" t="n">
        <v>41496104</v>
      </c>
    </row>
    <row r="34">
      <c r="A34" s="5" t="inlineStr">
        <is>
          <t>Total equity and liabilities</t>
        </is>
      </c>
      <c r="B34" s="5" t="n">
        <v>610043348</v>
      </c>
      <c r="C34" s="5" t="n">
        <v>635400816</v>
      </c>
      <c r="D34" s="5" t="n">
        <v>599055370</v>
      </c>
      <c r="E34" s="5" t="n">
        <v>540260485</v>
      </c>
      <c r="F34" s="5" t="n">
        <v>527973212</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Redwood Bank Limited — Profit &amp; Loss</t>
        </is>
      </c>
    </row>
    <row r="2">
      <c r="A2" s="2" t="inlineStr">
        <is>
          <t>Company-only basis, £. FY2021 uses the comparative column in the FY2022 Companies House filing;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t>
        </is>
      </c>
      <c r="B5" s="6" t="n">
        <v>45241843</v>
      </c>
      <c r="C5" s="6" t="n">
        <v>49521006</v>
      </c>
      <c r="D5" s="6" t="n">
        <v>46123616</v>
      </c>
      <c r="E5" s="6" t="n">
        <v>28087329</v>
      </c>
      <c r="F5" s="6" t="n">
        <v>19924820</v>
      </c>
    </row>
    <row r="6">
      <c r="A6" s="6" t="inlineStr">
        <is>
          <t>Interest payable</t>
        </is>
      </c>
      <c r="B6" s="6" t="n">
        <v>-22521076</v>
      </c>
      <c r="C6" s="6" t="n">
        <v>-23269459</v>
      </c>
      <c r="D6" s="6" t="n">
        <v>-17294646</v>
      </c>
      <c r="E6" s="6" t="n">
        <v>-7219223</v>
      </c>
      <c r="F6" s="6" t="n">
        <v>-4789284</v>
      </c>
    </row>
    <row r="7">
      <c r="A7" s="5" t="inlineStr">
        <is>
          <t>Net interest income</t>
        </is>
      </c>
      <c r="B7" s="5" t="n">
        <v>22720767</v>
      </c>
      <c r="C7" s="5" t="n">
        <v>26251547</v>
      </c>
      <c r="D7" s="5" t="n">
        <v>28828970</v>
      </c>
      <c r="E7" s="5" t="n">
        <v>20868106</v>
      </c>
      <c r="F7" s="5" t="n">
        <v>15135536</v>
      </c>
    </row>
    <row r="8">
      <c r="A8" s="6" t="inlineStr">
        <is>
          <t>Fair value gains/(losses) on financial instruments</t>
        </is>
      </c>
      <c r="B8" s="6" t="n">
        <v>80899</v>
      </c>
      <c r="C8" s="6" t="n">
        <v>-8932</v>
      </c>
      <c r="D8" s="6" t="n"/>
      <c r="E8" s="6" t="n"/>
      <c r="F8" s="6" t="n"/>
    </row>
    <row r="9">
      <c r="A9" s="5" t="inlineStr">
        <is>
          <t>Total income</t>
        </is>
      </c>
      <c r="B9" s="5" t="n">
        <v>22801666</v>
      </c>
      <c r="C9" s="5" t="n">
        <v>26242615</v>
      </c>
      <c r="D9" s="5" t="n"/>
      <c r="E9" s="5" t="n"/>
      <c r="F9" s="5" t="n"/>
    </row>
    <row r="10">
      <c r="A10" s="6" t="inlineStr">
        <is>
          <t>Administrative expenses</t>
        </is>
      </c>
      <c r="B10" s="6" t="n">
        <v>-21265984</v>
      </c>
      <c r="C10" s="6" t="n">
        <v>-21675255</v>
      </c>
      <c r="D10" s="6" t="n">
        <v>-20509671</v>
      </c>
      <c r="E10" s="6" t="n">
        <v>-16105258</v>
      </c>
      <c r="F10" s="6" t="n">
        <v>-12922871</v>
      </c>
    </row>
    <row r="11">
      <c r="A11" s="5" t="inlineStr">
        <is>
          <t>Operating profit before impairment charge</t>
        </is>
      </c>
      <c r="B11" s="5" t="n">
        <v>1535682</v>
      </c>
      <c r="C11" s="5" t="n">
        <v>4567360</v>
      </c>
      <c r="D11" s="5" t="n">
        <v>8319299</v>
      </c>
      <c r="E11" s="5" t="n">
        <v>4762848</v>
      </c>
      <c r="F11" s="5" t="n">
        <v>2212665</v>
      </c>
    </row>
    <row r="12">
      <c r="A12" s="6" t="inlineStr">
        <is>
          <t>Impairment charge on loans and advances to customers</t>
        </is>
      </c>
      <c r="B12" s="6" t="n">
        <v>-756168</v>
      </c>
      <c r="C12" s="6" t="n">
        <v>-1869546</v>
      </c>
      <c r="D12" s="6" t="n">
        <v>-2782364</v>
      </c>
      <c r="E12" s="6" t="n">
        <v>-2496977</v>
      </c>
      <c r="F12" s="6" t="n">
        <v>-38873</v>
      </c>
    </row>
    <row r="13">
      <c r="A13" s="5" t="inlineStr">
        <is>
          <t>Profit before tax</t>
        </is>
      </c>
      <c r="B13" s="5" t="n">
        <v>779514</v>
      </c>
      <c r="C13" s="5" t="n">
        <v>2697814</v>
      </c>
      <c r="D13" s="5" t="n">
        <v>5536935</v>
      </c>
      <c r="E13" s="5" t="n">
        <v>2265871</v>
      </c>
      <c r="F13" s="5" t="n">
        <v>2173792</v>
      </c>
    </row>
    <row r="14">
      <c r="A14" s="6" t="inlineStr">
        <is>
          <t>Tax (charge)/credit</t>
        </is>
      </c>
      <c r="B14" s="6" t="n">
        <v>-176701</v>
      </c>
      <c r="C14" s="6" t="n">
        <v>-869726</v>
      </c>
      <c r="D14" s="6" t="n">
        <v>-1332686</v>
      </c>
      <c r="E14" s="6" t="n">
        <v>-468257</v>
      </c>
      <c r="F14" s="6" t="n">
        <v>1910683</v>
      </c>
    </row>
    <row r="15">
      <c r="A15" s="5" t="inlineStr">
        <is>
          <t>Profit for the year</t>
        </is>
      </c>
      <c r="B15" s="5" t="n">
        <v>602813</v>
      </c>
      <c r="C15" s="5" t="n">
        <v>1828088</v>
      </c>
      <c r="D15" s="5" t="n">
        <v>4204249</v>
      </c>
      <c r="E15" s="5" t="n">
        <v>1797614</v>
      </c>
      <c r="F15" s="5" t="n">
        <v>4084475</v>
      </c>
    </row>
    <row r="16">
      <c r="A16" s="5" t="inlineStr">
        <is>
          <t>Other comprehensive income</t>
        </is>
      </c>
      <c r="B16" s="6" t="n"/>
      <c r="C16" s="6" t="n"/>
      <c r="D16" s="6" t="n"/>
      <c r="E16" s="6" t="n"/>
      <c r="F16" s="6" t="n"/>
    </row>
    <row r="17">
      <c r="A17" s="6" t="inlineStr">
        <is>
          <t>Movement in available-for-sale investments</t>
        </is>
      </c>
      <c r="B17" s="6" t="n"/>
      <c r="C17" s="6" t="n"/>
      <c r="D17" s="6" t="n">
        <v>21961</v>
      </c>
      <c r="E17" s="6" t="n">
        <v>32241</v>
      </c>
      <c r="F17" s="6" t="n">
        <v>-69078</v>
      </c>
    </row>
    <row r="18">
      <c r="A18" s="5" t="inlineStr">
        <is>
          <t>Total comprehensive income</t>
        </is>
      </c>
      <c r="B18" s="5" t="n">
        <v>602813</v>
      </c>
      <c r="C18" s="5" t="n">
        <v>1828088</v>
      </c>
      <c r="D18" s="5" t="n">
        <v>4226210</v>
      </c>
      <c r="E18" s="5" t="n">
        <v>1829855</v>
      </c>
      <c r="F18" s="5" t="n">
        <v>4015397</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Zero undocumented plug rows across all 5 years - every movement is profit for the year, an available-for-sale reserve fair value movement, or the FY2021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2021</t>
        </is>
      </c>
      <c r="B4" s="5" t="n">
        <v>111</v>
      </c>
      <c r="C4" s="5" t="n">
        <v>38022405</v>
      </c>
      <c r="D4" s="5" t="n">
        <v>14876</v>
      </c>
      <c r="E4" s="5" t="n">
        <v>-10456685</v>
      </c>
      <c r="F4" s="5" t="n">
        <v>27580707</v>
      </c>
    </row>
    <row r="5">
      <c r="A5" s="6" t="inlineStr">
        <is>
          <t>Profit for the year</t>
        </is>
      </c>
      <c r="B5" s="6" t="n"/>
      <c r="C5" s="6" t="n"/>
      <c r="D5" s="6" t="n"/>
      <c r="E5" s="6" t="n">
        <v>4084475</v>
      </c>
      <c r="F5" s="6" t="n">
        <v>4084475</v>
      </c>
    </row>
    <row r="6">
      <c r="A6" s="6" t="inlineStr">
        <is>
          <t>Other comprehensive loss for the year</t>
        </is>
      </c>
      <c r="B6" s="6" t="n"/>
      <c r="C6" s="6" t="n"/>
      <c r="D6" s="6" t="n">
        <v>-69078</v>
      </c>
      <c r="E6" s="6" t="n"/>
      <c r="F6" s="6" t="n">
        <v>-69078</v>
      </c>
    </row>
    <row r="7">
      <c r="A7" s="5" t="inlineStr">
        <is>
          <t>Total comprehensive income for the year</t>
        </is>
      </c>
      <c r="B7" s="5" t="n"/>
      <c r="C7" s="5" t="n"/>
      <c r="D7" s="5" t="n">
        <v>-69078</v>
      </c>
      <c r="E7" s="5" t="n">
        <v>4084475</v>
      </c>
      <c r="F7" s="5" t="n">
        <v>4015397</v>
      </c>
    </row>
    <row r="8">
      <c r="A8" s="6" t="inlineStr">
        <is>
          <t>Issue of share capital</t>
        </is>
      </c>
      <c r="B8" s="6" t="n"/>
      <c r="C8" s="6" t="n">
        <v>9900000</v>
      </c>
      <c r="D8" s="6" t="n"/>
      <c r="E8" s="6" t="n"/>
      <c r="F8" s="6" t="n">
        <v>9900000</v>
      </c>
    </row>
    <row r="9">
      <c r="A9" s="5" t="inlineStr">
        <is>
          <t>Total transactions with owners, recognised directly in equity</t>
        </is>
      </c>
      <c r="B9" s="5" t="n"/>
      <c r="C9" s="5" t="n">
        <v>9900000</v>
      </c>
      <c r="D9" s="5" t="n"/>
      <c r="E9" s="5" t="n"/>
      <c r="F9" s="5" t="n">
        <v>9900000</v>
      </c>
    </row>
    <row r="10">
      <c r="A10" s="5" t="inlineStr">
        <is>
          <t>At 31 December 2021</t>
        </is>
      </c>
      <c r="B10" s="5" t="n">
        <v>111</v>
      </c>
      <c r="C10" s="5" t="n">
        <v>47922405</v>
      </c>
      <c r="D10" s="5" t="n">
        <v>-54202</v>
      </c>
      <c r="E10" s="5" t="n">
        <v>-6372210</v>
      </c>
      <c r="F10" s="5" t="n">
        <v>41496104</v>
      </c>
    </row>
    <row r="11">
      <c r="A11" s="5" t="inlineStr">
        <is>
          <t>At 1 January 2022</t>
        </is>
      </c>
      <c r="B11" s="5" t="n">
        <v>111</v>
      </c>
      <c r="C11" s="5" t="n">
        <v>47922405</v>
      </c>
      <c r="D11" s="5" t="n">
        <v>-54202</v>
      </c>
      <c r="E11" s="5" t="n">
        <v>-6372210</v>
      </c>
      <c r="F11" s="5" t="n">
        <v>41496104</v>
      </c>
    </row>
    <row r="12">
      <c r="A12" s="6" t="inlineStr">
        <is>
          <t>Profit for the year</t>
        </is>
      </c>
      <c r="B12" s="6" t="n"/>
      <c r="C12" s="6" t="n"/>
      <c r="D12" s="6" t="n"/>
      <c r="E12" s="6" t="n">
        <v>1797614</v>
      </c>
      <c r="F12" s="6" t="n">
        <v>1797614</v>
      </c>
    </row>
    <row r="13">
      <c r="A13" s="6" t="inlineStr">
        <is>
          <t>Other comprehensive income for the year</t>
        </is>
      </c>
      <c r="B13" s="6" t="n"/>
      <c r="C13" s="6" t="n"/>
      <c r="D13" s="6" t="n">
        <v>32241</v>
      </c>
      <c r="E13" s="6" t="n"/>
      <c r="F13" s="6" t="n">
        <v>32241</v>
      </c>
    </row>
    <row r="14">
      <c r="A14" s="5" t="inlineStr">
        <is>
          <t>Total comprehensive income for the year</t>
        </is>
      </c>
      <c r="B14" s="5" t="n"/>
      <c r="C14" s="5" t="n"/>
      <c r="D14" s="5" t="n">
        <v>32241</v>
      </c>
      <c r="E14" s="5" t="n">
        <v>1797614</v>
      </c>
      <c r="F14" s="5" t="n">
        <v>1829855</v>
      </c>
    </row>
    <row r="15">
      <c r="A15" s="5" t="inlineStr">
        <is>
          <t>At 31 December 2022</t>
        </is>
      </c>
      <c r="B15" s="5" t="n">
        <v>111</v>
      </c>
      <c r="C15" s="5" t="n">
        <v>47922405</v>
      </c>
      <c r="D15" s="5" t="n">
        <v>-21961</v>
      </c>
      <c r="E15" s="5" t="n">
        <v>-4574596</v>
      </c>
      <c r="F15" s="5" t="n">
        <v>43325959</v>
      </c>
    </row>
    <row r="16">
      <c r="A16" s="5" t="inlineStr">
        <is>
          <t>At 1 January 2023</t>
        </is>
      </c>
      <c r="B16" s="5" t="n">
        <v>111</v>
      </c>
      <c r="C16" s="5" t="n">
        <v>47922405</v>
      </c>
      <c r="D16" s="5" t="n">
        <v>-21961</v>
      </c>
      <c r="E16" s="5" t="n">
        <v>-4574596</v>
      </c>
      <c r="F16" s="5" t="n">
        <v>43325959</v>
      </c>
    </row>
    <row r="17">
      <c r="A17" s="6" t="inlineStr">
        <is>
          <t>Profit for the year</t>
        </is>
      </c>
      <c r="B17" s="6" t="n"/>
      <c r="C17" s="6" t="n"/>
      <c r="D17" s="6" t="n"/>
      <c r="E17" s="6" t="n">
        <v>4204249</v>
      </c>
      <c r="F17" s="6" t="n">
        <v>4204249</v>
      </c>
    </row>
    <row r="18">
      <c r="A18" s="6" t="inlineStr">
        <is>
          <t>Other comprehensive income for the year</t>
        </is>
      </c>
      <c r="B18" s="6" t="n"/>
      <c r="C18" s="6" t="n"/>
      <c r="D18" s="6" t="n">
        <v>21961</v>
      </c>
      <c r="E18" s="6" t="n"/>
      <c r="F18" s="6" t="n">
        <v>21961</v>
      </c>
    </row>
    <row r="19">
      <c r="A19" s="5" t="inlineStr">
        <is>
          <t>Total comprehensive income for the year</t>
        </is>
      </c>
      <c r="B19" s="5" t="n"/>
      <c r="C19" s="5" t="n"/>
      <c r="D19" s="5" t="n">
        <v>21961</v>
      </c>
      <c r="E19" s="5" t="n">
        <v>4204249</v>
      </c>
      <c r="F19" s="5" t="n">
        <v>4226210</v>
      </c>
    </row>
    <row r="20">
      <c r="A20" s="5" t="inlineStr">
        <is>
          <t>At 31 December 2023</t>
        </is>
      </c>
      <c r="B20" s="5" t="n">
        <v>111</v>
      </c>
      <c r="C20" s="5" t="n">
        <v>47922405</v>
      </c>
      <c r="D20" s="5" t="n"/>
      <c r="E20" s="5" t="n">
        <v>-370347</v>
      </c>
      <c r="F20" s="5" t="n">
        <v>47552169</v>
      </c>
    </row>
    <row r="21">
      <c r="A21" s="5" t="inlineStr">
        <is>
          <t>At 1 January 2024</t>
        </is>
      </c>
      <c r="B21" s="5" t="n">
        <v>111</v>
      </c>
      <c r="C21" s="5" t="n">
        <v>47922405</v>
      </c>
      <c r="D21" s="5" t="n"/>
      <c r="E21" s="5" t="n">
        <v>-370347</v>
      </c>
      <c r="F21" s="5" t="n">
        <v>47552169</v>
      </c>
    </row>
    <row r="22">
      <c r="A22" s="6" t="inlineStr">
        <is>
          <t>Profit for the year</t>
        </is>
      </c>
      <c r="B22" s="6" t="n"/>
      <c r="C22" s="6" t="n"/>
      <c r="D22" s="6" t="n"/>
      <c r="E22" s="6" t="n">
        <v>1828088</v>
      </c>
      <c r="F22" s="6" t="n">
        <v>1828088</v>
      </c>
    </row>
    <row r="23">
      <c r="A23" s="5" t="inlineStr">
        <is>
          <t>Total comprehensive income for the year</t>
        </is>
      </c>
      <c r="B23" s="5" t="n"/>
      <c r="C23" s="5" t="n"/>
      <c r="D23" s="5" t="n"/>
      <c r="E23" s="5" t="n">
        <v>1828088</v>
      </c>
      <c r="F23" s="5" t="n">
        <v>1828088</v>
      </c>
    </row>
    <row r="24">
      <c r="A24" s="5" t="inlineStr">
        <is>
          <t>At 31 December 2024</t>
        </is>
      </c>
      <c r="B24" s="5" t="n">
        <v>111</v>
      </c>
      <c r="C24" s="5" t="n">
        <v>47922405</v>
      </c>
      <c r="D24" s="5" t="n"/>
      <c r="E24" s="5" t="n">
        <v>1457741</v>
      </c>
      <c r="F24" s="5" t="n">
        <v>49380257</v>
      </c>
    </row>
    <row r="25">
      <c r="A25" s="5" t="inlineStr">
        <is>
          <t>At 1 January 2025</t>
        </is>
      </c>
      <c r="B25" s="5" t="n">
        <v>111</v>
      </c>
      <c r="C25" s="5" t="n">
        <v>47922405</v>
      </c>
      <c r="D25" s="5" t="n"/>
      <c r="E25" s="5" t="n">
        <v>1457741</v>
      </c>
      <c r="F25" s="5" t="n">
        <v>49380257</v>
      </c>
    </row>
    <row r="26">
      <c r="A26" s="6" t="inlineStr">
        <is>
          <t>Profit for the year</t>
        </is>
      </c>
      <c r="B26" s="6" t="n"/>
      <c r="C26" s="6" t="n"/>
      <c r="D26" s="6" t="n"/>
      <c r="E26" s="6" t="n">
        <v>602813</v>
      </c>
      <c r="F26" s="6" t="n">
        <v>602813</v>
      </c>
    </row>
    <row r="27">
      <c r="A27" s="5" t="inlineStr">
        <is>
          <t>Total comprehensive income for the year</t>
        </is>
      </c>
      <c r="B27" s="5" t="n"/>
      <c r="C27" s="5" t="n"/>
      <c r="D27" s="5" t="n"/>
      <c r="E27" s="5" t="n">
        <v>602813</v>
      </c>
      <c r="F27" s="5" t="n">
        <v>602813</v>
      </c>
    </row>
    <row r="28">
      <c r="A28" s="5" t="inlineStr">
        <is>
          <t>At 31 December 2025</t>
        </is>
      </c>
      <c r="B28" s="5" t="n">
        <v>111</v>
      </c>
      <c r="C28" s="5" t="n">
        <v>47922405</v>
      </c>
      <c r="D28" s="5" t="n"/>
      <c r="E28" s="5" t="n">
        <v>2060554</v>
      </c>
      <c r="F28" s="5" t="n">
        <v>49983070</v>
      </c>
    </row>
    <row r="30" ht="320" customHeight="1">
      <c r="A3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Redwood Bank Limited — Cash Flow Statement</t>
        </is>
      </c>
    </row>
    <row r="2">
      <c r="A2" s="2" t="inlineStr">
        <is>
          <t>Company-only basis, £. FY2021 uses the later FY2022 comparative column;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Profit for the year</t>
        </is>
      </c>
      <c r="B5" s="6" t="n">
        <v>602813</v>
      </c>
      <c r="C5" s="6" t="n">
        <v>1828088</v>
      </c>
      <c r="D5" s="6" t="n">
        <v>4204249</v>
      </c>
      <c r="E5" s="6" t="n">
        <v>1797614</v>
      </c>
      <c r="F5" s="6" t="n">
        <v>4084475</v>
      </c>
    </row>
    <row r="6">
      <c r="A6" s="6" t="inlineStr">
        <is>
          <t>Amortisation of intangibles</t>
        </is>
      </c>
      <c r="B6" s="6" t="n">
        <v>359914</v>
      </c>
      <c r="C6" s="6" t="n">
        <v>336289</v>
      </c>
      <c r="D6" s="6" t="n">
        <v>216413</v>
      </c>
      <c r="E6" s="6" t="n">
        <v>133808</v>
      </c>
      <c r="F6" s="6" t="n">
        <v>85194</v>
      </c>
    </row>
    <row r="7">
      <c r="A7" s="6" t="inlineStr">
        <is>
          <t>Depreciation of tangible assets</t>
        </is>
      </c>
      <c r="B7" s="6" t="n">
        <v>91501</v>
      </c>
      <c r="C7" s="6" t="n">
        <v>92566</v>
      </c>
      <c r="D7" s="6" t="n">
        <v>96581</v>
      </c>
      <c r="E7" s="6" t="n">
        <v>104682</v>
      </c>
      <c r="F7" s="6" t="n">
        <v>98689</v>
      </c>
    </row>
    <row r="8">
      <c r="A8" s="6" t="inlineStr">
        <is>
          <t>Write off of fixed/intangible assets</t>
        </is>
      </c>
      <c r="B8" s="6" t="n"/>
      <c r="C8" s="6" t="n"/>
      <c r="D8" s="6" t="n"/>
      <c r="E8" s="6" t="n"/>
      <c r="F8" s="6" t="n">
        <v>0</v>
      </c>
    </row>
    <row r="9">
      <c r="A9" s="6" t="inlineStr">
        <is>
          <t>Impairment charge on loans and advances to customers</t>
        </is>
      </c>
      <c r="B9" s="6" t="n">
        <v>756168</v>
      </c>
      <c r="C9" s="6" t="n">
        <v>1869546</v>
      </c>
      <c r="D9" s="6" t="n">
        <v>2782364</v>
      </c>
      <c r="E9" s="6" t="n">
        <v>2496977</v>
      </c>
      <c r="F9" s="6" t="n">
        <v>38873</v>
      </c>
    </row>
    <row r="10">
      <c r="A10" s="6" t="inlineStr">
        <is>
          <t>Net increase in loans to banks</t>
        </is>
      </c>
      <c r="B10" s="6" t="n">
        <v>-1870000</v>
      </c>
      <c r="C10" s="6" t="n"/>
      <c r="D10" s="6" t="n"/>
      <c r="E10" s="6" t="n"/>
      <c r="F10" s="6" t="n"/>
    </row>
    <row r="11">
      <c r="A11" s="6" t="inlineStr">
        <is>
          <t>Net decrease/(increase) in loans to customers</t>
        </is>
      </c>
      <c r="B11" s="6" t="n">
        <v>1043154</v>
      </c>
      <c r="C11" s="6" t="n">
        <v>-80130410</v>
      </c>
      <c r="D11" s="6" t="n"/>
      <c r="E11" s="6" t="n"/>
      <c r="F11" s="6" t="n"/>
    </row>
    <row r="12">
      <c r="A12" s="6" t="inlineStr">
        <is>
          <t>Net increase in customer deposits</t>
        </is>
      </c>
      <c r="B12" s="6" t="n"/>
      <c r="C12" s="6" t="n">
        <v>53028098</v>
      </c>
      <c r="D12" s="6" t="n">
        <v>52794173</v>
      </c>
      <c r="E12" s="6" t="n">
        <v>9134687</v>
      </c>
      <c r="F12" s="6" t="n">
        <v>58428886</v>
      </c>
    </row>
    <row r="13">
      <c r="A13" s="6" t="inlineStr">
        <is>
          <t>(Decrease)/increase in customer deposits</t>
        </is>
      </c>
      <c r="B13" s="6" t="n">
        <v>-6233049</v>
      </c>
      <c r="C13" s="6" t="n"/>
      <c r="D13" s="6" t="n"/>
      <c r="E13" s="6" t="n"/>
      <c r="F13" s="6" t="n"/>
    </row>
    <row r="14">
      <c r="A14" s="6" t="inlineStr">
        <is>
          <t>Increase in other liabilities</t>
        </is>
      </c>
      <c r="B14" s="6" t="n"/>
      <c r="C14" s="6" t="n">
        <v>749378</v>
      </c>
      <c r="D14" s="6" t="n">
        <v>1346720</v>
      </c>
      <c r="E14" s="6" t="n">
        <v>1072022</v>
      </c>
      <c r="F14" s="6" t="n">
        <v>770530</v>
      </c>
    </row>
    <row r="15">
      <c r="A15" s="6" t="inlineStr">
        <is>
          <t>(Decrease)/increase in other liabilities</t>
        </is>
      </c>
      <c r="B15" s="6" t="n">
        <v>-1322763</v>
      </c>
      <c r="C15" s="6" t="n"/>
      <c r="D15" s="6" t="n"/>
      <c r="E15" s="6" t="n"/>
      <c r="F15" s="6" t="n"/>
    </row>
    <row r="16">
      <c r="A16" s="6" t="inlineStr">
        <is>
          <t>Increase in other assets</t>
        </is>
      </c>
      <c r="B16" s="6" t="n"/>
      <c r="C16" s="6" t="n">
        <v>-194032</v>
      </c>
      <c r="D16" s="6" t="n">
        <v>-183415</v>
      </c>
      <c r="E16" s="6" t="n">
        <v>-201534</v>
      </c>
      <c r="F16" s="6" t="n">
        <v>-112205</v>
      </c>
    </row>
    <row r="17">
      <c r="A17" s="6" t="inlineStr">
        <is>
          <t>Increase in other assets</t>
        </is>
      </c>
      <c r="B17" s="6" t="n">
        <v>-1390656</v>
      </c>
      <c r="C17" s="6" t="n"/>
      <c r="D17" s="6" t="n"/>
      <c r="E17" s="6" t="n"/>
      <c r="F17" s="6" t="n"/>
    </row>
    <row r="18">
      <c r="A18" s="6" t="inlineStr">
        <is>
          <t>Net increase in loans to customers</t>
        </is>
      </c>
      <c r="B18" s="6" t="n"/>
      <c r="C18" s="6" t="n"/>
      <c r="D18" s="6" t="n">
        <v>-13393698</v>
      </c>
      <c r="E18" s="6" t="n">
        <v>-36070258</v>
      </c>
      <c r="F18" s="6" t="n">
        <v>-45957889</v>
      </c>
    </row>
    <row r="19">
      <c r="A19" s="6" t="inlineStr">
        <is>
          <t>Increase in accruals and deferred income</t>
        </is>
      </c>
      <c r="B19" s="6" t="n">
        <v>-781191</v>
      </c>
      <c r="C19" s="6" t="n"/>
      <c r="D19" s="6" t="n"/>
      <c r="E19" s="6" t="n"/>
      <c r="F19" s="6" t="n"/>
    </row>
    <row r="20">
      <c r="A20" s="6" t="inlineStr">
        <is>
          <t>Decrease/(increase) in payments and accrued income</t>
        </is>
      </c>
      <c r="B20" s="6" t="n">
        <v>49647</v>
      </c>
      <c r="C20" s="6" t="n"/>
      <c r="D20" s="6" t="n"/>
      <c r="E20" s="6" t="n"/>
      <c r="F20" s="6" t="n"/>
    </row>
    <row r="21">
      <c r="A21" s="6" t="inlineStr">
        <is>
          <t>Increase in interest payable on TFSME</t>
        </is>
      </c>
      <c r="B21" s="6" t="n"/>
      <c r="C21" s="6" t="n"/>
      <c r="D21" s="6" t="n">
        <v>205532</v>
      </c>
      <c r="E21" s="6" t="n">
        <v>250709</v>
      </c>
      <c r="F21" s="6" t="n">
        <v>9994</v>
      </c>
    </row>
    <row r="22">
      <c r="A22" s="6" t="inlineStr">
        <is>
          <t>(Decrease)/increase in interest payable on TFSME</t>
        </is>
      </c>
      <c r="B22" s="6" t="n">
        <v>-226182</v>
      </c>
      <c r="C22" s="6" t="n">
        <v>-241806</v>
      </c>
      <c r="D22" s="6" t="n"/>
      <c r="E22" s="6" t="n"/>
      <c r="F22" s="6" t="n"/>
    </row>
    <row r="23">
      <c r="A23" s="6" t="inlineStr">
        <is>
          <t>Redemption of TFSME</t>
        </is>
      </c>
      <c r="B23" s="6" t="n">
        <v>-18500000</v>
      </c>
      <c r="C23" s="6" t="n">
        <v>-19100000</v>
      </c>
      <c r="D23" s="6" t="n"/>
      <c r="E23" s="6" t="n"/>
      <c r="F23" s="6" t="n"/>
    </row>
    <row r="24">
      <c r="A24" s="6" t="inlineStr">
        <is>
          <t>Net increase in derivatives and hedged items</t>
        </is>
      </c>
      <c r="B24" s="6" t="n">
        <v>-50510</v>
      </c>
      <c r="C24" s="6" t="n">
        <v>-27459</v>
      </c>
      <c r="D24" s="6" t="n"/>
      <c r="E24" s="6" t="n"/>
      <c r="F24" s="6" t="n"/>
    </row>
    <row r="25">
      <c r="A25" s="6" t="inlineStr">
        <is>
          <t>Finance cost for subordinated debt</t>
        </is>
      </c>
      <c r="B25" s="6" t="n">
        <v>585000</v>
      </c>
      <c r="C25" s="6" t="n">
        <v>586603</v>
      </c>
      <c r="D25" s="6" t="n">
        <v>585000</v>
      </c>
      <c r="E25" s="6" t="n">
        <v>585000</v>
      </c>
      <c r="F25" s="6" t="n">
        <v>583397</v>
      </c>
    </row>
    <row r="26">
      <c r="A26" s="6" t="inlineStr">
        <is>
          <t>Fair value change of treasury bills and gilts</t>
        </is>
      </c>
      <c r="B26" s="6" t="n"/>
      <c r="C26" s="6" t="n">
        <v>0</v>
      </c>
      <c r="D26" s="6" t="n">
        <v>21961</v>
      </c>
      <c r="E26" s="6" t="n">
        <v>32241</v>
      </c>
      <c r="F26" s="6" t="n">
        <v>-69078</v>
      </c>
    </row>
    <row r="27">
      <c r="A27" s="6" t="inlineStr">
        <is>
          <t>Income tax</t>
        </is>
      </c>
      <c r="B27" s="6" t="n">
        <v>-111603</v>
      </c>
      <c r="C27" s="6" t="n">
        <v>106161</v>
      </c>
      <c r="D27" s="6" t="n">
        <v>1332686</v>
      </c>
      <c r="E27" s="6" t="n">
        <v>468257</v>
      </c>
      <c r="F27" s="6" t="n">
        <v>-1910683</v>
      </c>
    </row>
    <row r="28">
      <c r="A28" s="6" t="inlineStr">
        <is>
          <t>Interest paid for subordinated debt</t>
        </is>
      </c>
      <c r="B28" s="6" t="n">
        <v>-585000</v>
      </c>
      <c r="C28" s="6" t="n">
        <v>-586603</v>
      </c>
      <c r="D28" s="6" t="n">
        <v>-585000</v>
      </c>
      <c r="E28" s="6" t="n">
        <v>-585000</v>
      </c>
      <c r="F28" s="6" t="n">
        <v>-583397</v>
      </c>
    </row>
    <row r="29">
      <c r="A29" s="5" t="inlineStr">
        <is>
          <t>Net cash from/(used in) operating activities</t>
        </is>
      </c>
      <c r="B29" s="5" t="n">
        <v>-27582757</v>
      </c>
      <c r="C29" s="5" t="n">
        <v>-41683581</v>
      </c>
      <c r="D29" s="5" t="n">
        <v>49423566</v>
      </c>
      <c r="E29" s="5" t="n">
        <v>-20780795</v>
      </c>
      <c r="F29" s="5" t="n">
        <v>15466786</v>
      </c>
    </row>
    <row r="30">
      <c r="A30" s="5" t="inlineStr">
        <is>
          <t>Investing activities</t>
        </is>
      </c>
      <c r="B30" s="6" t="n"/>
      <c r="C30" s="6" t="n"/>
      <c r="D30" s="6" t="n"/>
      <c r="E30" s="6" t="n"/>
      <c r="F30" s="6" t="n"/>
    </row>
    <row r="31">
      <c r="A31" s="6" t="inlineStr">
        <is>
          <t>Purchases of tangible fixed assets</t>
        </is>
      </c>
      <c r="B31" s="6" t="n">
        <v>-44743</v>
      </c>
      <c r="C31" s="6" t="n">
        <v>-69653</v>
      </c>
      <c r="D31" s="6" t="n">
        <v>-104556</v>
      </c>
      <c r="E31" s="6" t="n">
        <v>-88663</v>
      </c>
      <c r="F31" s="6" t="n">
        <v>-22261</v>
      </c>
    </row>
    <row r="32">
      <c r="A32" s="6" t="inlineStr">
        <is>
          <t>Purchases of intangible assets</t>
        </is>
      </c>
      <c r="B32" s="6" t="n">
        <v>-481172</v>
      </c>
      <c r="C32" s="6" t="n">
        <v>-563604</v>
      </c>
      <c r="D32" s="6" t="n">
        <v>-551237</v>
      </c>
      <c r="E32" s="6" t="n">
        <v>-400735</v>
      </c>
      <c r="F32" s="6" t="n">
        <v>-87059</v>
      </c>
    </row>
    <row r="33">
      <c r="A33" s="6" t="inlineStr">
        <is>
          <t>Acquisition of treasury bills and gilts</t>
        </is>
      </c>
      <c r="B33" s="6" t="n"/>
      <c r="C33" s="6" t="n">
        <v>-5053587</v>
      </c>
      <c r="D33" s="6" t="n">
        <v>-44402384</v>
      </c>
      <c r="E33" s="6" t="n">
        <v>-9165232</v>
      </c>
      <c r="F33" s="6" t="n">
        <v>-19884208</v>
      </c>
    </row>
    <row r="34">
      <c r="A34" s="6" t="inlineStr">
        <is>
          <t>Acquisition of gilts</t>
        </is>
      </c>
      <c r="B34" s="6" t="n">
        <v>0</v>
      </c>
      <c r="C34" s="6" t="n"/>
      <c r="D34" s="6" t="n"/>
      <c r="E34" s="6" t="n"/>
      <c r="F34" s="6" t="n"/>
    </row>
    <row r="35">
      <c r="A35" s="6" t="inlineStr">
        <is>
          <t>Proceeds on sale/maturity of treasury bills and gilts</t>
        </is>
      </c>
      <c r="B35" s="6" t="n">
        <v>4998122</v>
      </c>
      <c r="C35" s="6" t="n">
        <v>53536391</v>
      </c>
      <c r="D35" s="6" t="n">
        <v>20866125</v>
      </c>
      <c r="E35" s="6" t="n">
        <v>9145225</v>
      </c>
      <c r="F35" s="6" t="n">
        <v>199669</v>
      </c>
    </row>
    <row r="36">
      <c r="A36" s="5" t="inlineStr">
        <is>
          <t>Net cash generated/(used in) investing activities</t>
        </is>
      </c>
      <c r="B36" s="5" t="n">
        <v>4472207</v>
      </c>
      <c r="C36" s="5" t="n">
        <v>47849547</v>
      </c>
      <c r="D36" s="5" t="n">
        <v>-24192052</v>
      </c>
      <c r="E36" s="5" t="n">
        <v>-509405</v>
      </c>
      <c r="F36" s="5" t="n">
        <v>-19793859</v>
      </c>
    </row>
    <row r="37">
      <c r="A37" s="5" t="inlineStr">
        <is>
          <t>Financing activities</t>
        </is>
      </c>
      <c r="B37" s="6" t="n"/>
      <c r="C37" s="6" t="n"/>
      <c r="D37" s="6" t="n"/>
      <c r="E37" s="6" t="n"/>
      <c r="F37" s="6" t="n"/>
    </row>
    <row r="38">
      <c r="A38" s="6" t="inlineStr">
        <is>
          <t>Proceeds of issue of ordinary shares</t>
        </is>
      </c>
      <c r="B38" s="6" t="n"/>
      <c r="C38" s="6" t="n"/>
      <c r="D38" s="6" t="n"/>
      <c r="E38" s="6" t="n"/>
      <c r="F38" s="6" t="n">
        <v>9900000</v>
      </c>
    </row>
    <row r="39">
      <c r="A39" s="6" t="inlineStr">
        <is>
          <t>Proceeds of TFSME</t>
        </is>
      </c>
      <c r="B39" s="6" t="n"/>
      <c r="C39" s="6" t="n"/>
      <c r="D39" s="6" t="n"/>
      <c r="E39" s="6" t="n"/>
      <c r="F39" s="6" t="n">
        <v>18400000</v>
      </c>
    </row>
    <row r="40">
      <c r="A40" s="5" t="inlineStr">
        <is>
          <t>Net cash from financing activities</t>
        </is>
      </c>
      <c r="B40" s="5" t="n"/>
      <c r="C40" s="5" t="n"/>
      <c r="D40" s="5" t="n"/>
      <c r="E40" s="5" t="n"/>
      <c r="F40" s="5" t="n">
        <v>28300000</v>
      </c>
    </row>
    <row r="41">
      <c r="A41" s="5" t="inlineStr">
        <is>
          <t>Net cash (decrease)/increase in cash and cash equivalents</t>
        </is>
      </c>
      <c r="B41" s="5" t="n">
        <v>-23110550</v>
      </c>
      <c r="C41" s="5" t="n">
        <v>6165966</v>
      </c>
      <c r="D41" s="5" t="n">
        <v>25231514</v>
      </c>
      <c r="E41" s="5" t="n">
        <v>-21290200</v>
      </c>
      <c r="F41" s="5" t="n">
        <v>23972927</v>
      </c>
    </row>
    <row r="42">
      <c r="A42" s="6" t="inlineStr">
        <is>
          <t>Cash and cash equivalents at the beginning of year</t>
        </is>
      </c>
      <c r="B42" s="6" t="n">
        <v>113293493</v>
      </c>
      <c r="C42" s="6" t="n">
        <v>109250259</v>
      </c>
      <c r="D42" s="6" t="n">
        <v>84018745</v>
      </c>
      <c r="E42" s="6" t="n">
        <v>105308945</v>
      </c>
      <c r="F42" s="6" t="n">
        <v>81336018</v>
      </c>
    </row>
    <row r="43">
      <c r="A43" s="5" t="inlineStr">
        <is>
          <t>Cash and cash equivalents at the end of year</t>
        </is>
      </c>
      <c r="B43" s="5" t="n">
        <v>90182943</v>
      </c>
      <c r="C43" s="5" t="n">
        <v>115416225</v>
      </c>
      <c r="D43" s="5" t="n">
        <v>109250259</v>
      </c>
      <c r="E43" s="5" t="n">
        <v>84018745</v>
      </c>
      <c r="F43" s="5" t="n">
        <v>105308945</v>
      </c>
    </row>
    <row r="45" ht="300" customHeight="1">
      <c r="A45"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https://redwoodbank.co.uk/media/0h5hp3ku/2024-redwood-bank-annual-report-and-accounts.pdf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 book quality (mortgage portfolio)</t>
        </is>
      </c>
      <c r="B4" s="6" t="n"/>
      <c r="C4" s="6" t="n"/>
      <c r="D4" s="6" t="n"/>
      <c r="E4" s="6" t="n"/>
      <c r="F4" s="6" t="n"/>
    </row>
    <row r="5">
      <c r="A5" s="6" t="inlineStr">
        <is>
          <t>Gross loans and advances to customers (before deferred fees/provisions)</t>
        </is>
      </c>
      <c r="B5" s="6" t="n">
        <v>496453100</v>
      </c>
      <c r="C5" s="6" t="n">
        <v>498343502</v>
      </c>
      <c r="D5" s="6" t="n">
        <v>422021987</v>
      </c>
      <c r="E5" s="6" t="n">
        <v>410806685</v>
      </c>
      <c r="F5" s="6" t="n">
        <v>375065639</v>
      </c>
    </row>
    <row r="6">
      <c r="A6" s="6" t="inlineStr">
        <is>
          <t>Total impaired loans</t>
        </is>
      </c>
      <c r="B6" s="6" t="n">
        <v>12772475</v>
      </c>
      <c r="C6" s="6" t="n">
        <v>18348860</v>
      </c>
      <c r="D6" s="6" t="n">
        <v>23868967</v>
      </c>
      <c r="E6" s="6" t="n">
        <v>11956906</v>
      </c>
      <c r="F6" s="6" t="n">
        <v>6913006</v>
      </c>
    </row>
    <row r="7">
      <c r="A7" s="6" t="inlineStr">
        <is>
          <t>Past due but not impaired</t>
        </is>
      </c>
      <c r="B7" s="6" t="n">
        <v>20604947</v>
      </c>
      <c r="C7" s="6" t="n">
        <v>26789634</v>
      </c>
      <c r="D7" s="6" t="n">
        <v>21410656</v>
      </c>
      <c r="E7" s="6" t="n">
        <v>19429780</v>
      </c>
      <c r="F7" s="6" t="n">
        <v>11469228</v>
      </c>
    </row>
    <row r="8">
      <c r="A8" s="6" t="inlineStr">
        <is>
          <t>Forborne loans</t>
        </is>
      </c>
      <c r="B8" s="6" t="n">
        <v>5185947</v>
      </c>
      <c r="C8" s="6" t="n">
        <v>7471460</v>
      </c>
      <c r="D8" s="6" t="n">
        <v>9739221</v>
      </c>
      <c r="E8" s="6" t="n"/>
      <c r="F8" s="6" t="n"/>
    </row>
    <row r="9">
      <c r="A9" s="5" t="inlineStr">
        <is>
          <t>Loan loss provisions</t>
        </is>
      </c>
      <c r="B9" s="6" t="n"/>
      <c r="C9" s="6" t="n"/>
      <c r="D9" s="6" t="n"/>
      <c r="E9" s="6" t="n"/>
      <c r="F9" s="6" t="n"/>
    </row>
    <row r="10">
      <c r="A10" s="6" t="inlineStr">
        <is>
          <t>Collective loan provision (closing)</t>
        </is>
      </c>
      <c r="B10" s="6" t="n">
        <v>659129</v>
      </c>
      <c r="C10" s="6" t="n">
        <v>1066643</v>
      </c>
      <c r="D10" s="6" t="n">
        <v>1124076</v>
      </c>
      <c r="E10" s="6" t="n">
        <v>889925</v>
      </c>
      <c r="F10" s="6" t="n">
        <v>1510276</v>
      </c>
    </row>
    <row r="11">
      <c r="A11" s="6" t="inlineStr">
        <is>
          <t>Individual loan provision (closing)</t>
        </is>
      </c>
      <c r="B11" s="6" t="n">
        <v>4259401</v>
      </c>
      <c r="C11" s="6" t="n">
        <v>3934301</v>
      </c>
      <c r="D11" s="6" t="n">
        <v>5522602</v>
      </c>
      <c r="E11" s="6" t="n">
        <v>4745925</v>
      </c>
      <c r="F11" s="6" t="n">
        <v>1628597</v>
      </c>
    </row>
    <row r="12">
      <c r="A12" s="5" t="inlineStr">
        <is>
          <t>Total loan loss provisions</t>
        </is>
      </c>
      <c r="B12" s="5" t="n">
        <v>4918530</v>
      </c>
      <c r="C12" s="5" t="n">
        <v>5000944</v>
      </c>
      <c r="D12" s="5" t="n">
        <v>6646678</v>
      </c>
      <c r="E12" s="5" t="n">
        <v>5635850</v>
      </c>
      <c r="F12" s="5" t="n">
        <v>3138873</v>
      </c>
    </row>
    <row r="13">
      <c r="A13" s="5" t="inlineStr">
        <is>
          <t>Derived ratios</t>
        </is>
      </c>
      <c r="B13" s="6" t="n"/>
      <c r="C13" s="6" t="n"/>
      <c r="D13" s="6" t="n"/>
      <c r="E13" s="6" t="n"/>
      <c r="F13" s="6" t="n"/>
    </row>
    <row r="14">
      <c r="A14" s="6" t="inlineStr">
        <is>
          <t>NPL ratio (total impaired / gross loans)</t>
        </is>
      </c>
      <c r="B14" s="6" t="inlineStr">
        <is>
          <t>2.57%</t>
        </is>
      </c>
      <c r="C14" s="6" t="inlineStr">
        <is>
          <t>3.68%</t>
        </is>
      </c>
      <c r="D14" s="6" t="inlineStr">
        <is>
          <t>5.66%</t>
        </is>
      </c>
      <c r="E14" s="6" t="inlineStr">
        <is>
          <t>2.91%</t>
        </is>
      </c>
      <c r="F14" s="6" t="inlineStr">
        <is>
          <t>1.84%</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https://redwoodbank.co.uk/media/0h5hp3ku/2024-redwood-bank-annual-report-and-accounts.pdf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(rounded as reported)</t>
        </is>
      </c>
      <c r="B4" s="6" t="n">
        <v>48900000</v>
      </c>
      <c r="C4" s="6" t="n">
        <v>48400000</v>
      </c>
      <c r="D4" s="6" t="n">
        <v>46800000</v>
      </c>
      <c r="E4" s="6" t="n">
        <v>41400000</v>
      </c>
      <c r="F4" s="6" t="n">
        <v>39400000</v>
      </c>
    </row>
    <row r="5" ht="60" customHeight="1">
      <c r="A5" s="7" t="inlineStr">
        <is>
          <t>Note: The annual reports state CET1 capital rounded to £m; these values preserve that stated precision and are not presented as inferred exact amounts.</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16.6%</t>
        </is>
      </c>
      <c r="C4" s="6" t="inlineStr">
        <is>
          <t>15.1%</t>
        </is>
      </c>
      <c r="D4" s="6" t="inlineStr">
        <is>
          <t>16.0%</t>
        </is>
      </c>
      <c r="E4" s="6" t="inlineStr">
        <is>
          <t>15.4%</t>
        </is>
      </c>
      <c r="F4" s="6" t="inlineStr">
        <is>
          <t>16.9%</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48846803</v>
      </c>
      <c r="C4" s="6" t="n">
        <v>48365248</v>
      </c>
      <c r="D4" s="6" t="n">
        <v>46764475</v>
      </c>
      <c r="E4" s="6" t="n">
        <v>41430663</v>
      </c>
      <c r="F4" s="6" t="n">
        <v>39399478</v>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separate Tier 1 ratio is stated in the public Redwood reports; it is not derived from CET1 or total-capital ratios.</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own funds</t>
        </is>
      </c>
      <c r="B4" s="6" t="n">
        <v>58505932</v>
      </c>
      <c r="C4" s="6" t="n">
        <v>58431891</v>
      </c>
      <c r="D4" s="6" t="n">
        <v>56888551</v>
      </c>
      <c r="E4" s="6" t="n">
        <v>51320588</v>
      </c>
      <c r="F4" s="6" t="n">
        <v>49909754</v>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19.8%</t>
        </is>
      </c>
      <c r="C4" s="6" t="inlineStr">
        <is>
          <t>18.3%</t>
        </is>
      </c>
      <c r="D4" s="6" t="inlineStr">
        <is>
          <t>19.4%</t>
        </is>
      </c>
      <c r="E4" s="6" t="inlineStr">
        <is>
          <t>19.0%</t>
        </is>
      </c>
      <c r="F4" s="6" t="inlineStr">
        <is>
          <t>21.4%</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Redwood Bank Limited — RWA Breakdown</t>
        </is>
      </c>
    </row>
    <row r="2">
      <c r="A2" s="2" t="inlineStr">
        <is>
          <t>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362%</t>
        </is>
      </c>
      <c r="C4" s="6" t="inlineStr">
        <is>
          <t>284%</t>
        </is>
      </c>
      <c r="D4" s="6" t="inlineStr">
        <is>
          <t>481%</t>
        </is>
      </c>
      <c r="E4" s="6" t="inlineStr">
        <is>
          <t>352%</t>
        </is>
      </c>
      <c r="F4" s="6" t="inlineStr">
        <is>
          <t>970%</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Redwood's public reports do not provide separate entity-level numeric disclosures for Total RWAs, leverage ratio, NSFR, or MREL. Those fields remain explicitly undisclosed rather than being derived from other ratios.</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2026-09-03T20:30:09Z</dcterms:created>
  <dcterms:modified xmlns:dcterms="http://purl.org/dc/terms/" xmlns:xsi="http://www.w3.org/2001/XMLSchema-instance" xsi:type="dcterms:W3CDTF">2026-09-03T20:30:09Z</dcterms:modified>
</cp:coreProperties>
</file>