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3A3A"/>
        <bgColor rgb="008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Redwood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Redwood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Redwood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Redwood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'Overview'!AW23</f>
            </strRef>
          </tx>
          <spPr>
            <a:ln xmlns:a="http://schemas.openxmlformats.org/drawingml/2006/main">
              <a:prstDash val="solid"/>
            </a:ln>
          </spPr>
          <cat>
            <numRef>
              <f>'Overview'!$AX$22:$BF$22</f>
            </numRef>
          </cat>
          <val>
            <numRef>
              <f>'Overview'!$AX$23:$BF$23</f>
            </numRef>
          </val>
        </ser>
        <ser>
          <idx val="1"/>
          <order val="1"/>
          <tx>
            <strRef>
              <f>'Overview'!AW24</f>
            </strRef>
          </tx>
          <spPr>
            <a:ln xmlns:a="http://schemas.openxmlformats.org/drawingml/2006/main">
              <a:prstDash val="solid"/>
            </a:ln>
          </spPr>
          <cat>
            <numRef>
              <f>'Overview'!$AX$22:$BF$22</f>
            </numRef>
          </cat>
          <val>
            <numRef>
              <f>'Overview'!$AX$24:$BF$24</f>
            </numRef>
          </val>
        </ser>
        <ser>
          <idx val="2"/>
          <order val="2"/>
          <tx>
            <strRef>
              <f>'Overview'!AW25</f>
            </strRef>
          </tx>
          <spPr>
            <a:ln xmlns:a="http://schemas.openxmlformats.org/drawingml/2006/main">
              <a:prstDash val="solid"/>
            </a:ln>
          </spPr>
          <cat>
            <numRef>
              <f>'Overview'!$AX$22:$BF$22</f>
            </numRef>
          </cat>
          <val>
            <numRef>
              <f>'Overview'!$AX$25:$BF$25</f>
            </numRef>
          </val>
        </ser>
        <ser>
          <idx val="3"/>
          <order val="3"/>
          <tx>
            <strRef>
              <f>'Overview'!AW26</f>
            </strRef>
          </tx>
          <spPr>
            <a:ln xmlns:a="http://schemas.openxmlformats.org/drawingml/2006/main">
              <a:prstDash val="solid"/>
            </a:ln>
          </spPr>
          <cat>
            <numRef>
              <f>'Overview'!$AX$22:$BF$22</f>
            </numRef>
          </cat>
          <val>
            <numRef>
              <f>'Overview'!$AX$26:$BF$26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Redwood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Redwood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610043348</v>
      </c>
      <c r="C6" s="5" t="n">
        <v>635400816</v>
      </c>
      <c r="D6" s="5" t="n">
        <v>599055370</v>
      </c>
      <c r="E6" s="5" t="n">
        <v>540260485</v>
      </c>
      <c r="F6" s="5" t="n">
        <v>527973212</v>
      </c>
      <c r="G6" s="5" t="n">
        <v>436448406</v>
      </c>
      <c r="H6" s="5" t="n">
        <v>257912436</v>
      </c>
      <c r="I6" s="5" t="n">
        <v>138334395</v>
      </c>
      <c r="J6" s="5" t="n">
        <v>28396898</v>
      </c>
      <c r="M6" t="inlineStr">
        <is>
          <t>Total assets</t>
        </is>
      </c>
      <c r="N6" t="n">
        <v>28396898</v>
      </c>
      <c r="O6" t="n">
        <v>138334395</v>
      </c>
      <c r="P6" t="n">
        <v>257912436</v>
      </c>
      <c r="Q6" t="n">
        <v>436448406</v>
      </c>
      <c r="R6" t="n">
        <v>527973212</v>
      </c>
      <c r="S6" t="n">
        <v>540260485</v>
      </c>
      <c r="T6" t="n">
        <v>599055370</v>
      </c>
      <c r="U6" t="n">
        <v>635400816</v>
      </c>
      <c r="V6" t="n">
        <v>610043348</v>
      </c>
      <c r="BI6" t="inlineStr">
        <is>
          <t>CET1 Ratio</t>
        </is>
      </c>
      <c r="BJ6" t="n">
        <v>59.78</v>
      </c>
      <c r="BK6" t="n">
        <v>23.18</v>
      </c>
      <c r="BL6" t="n">
        <v>20.3</v>
      </c>
      <c r="BM6" t="n">
        <v>13.34</v>
      </c>
      <c r="BN6" t="n">
        <v>16.9</v>
      </c>
      <c r="BO6" t="n">
        <v>15.4</v>
      </c>
      <c r="BP6" t="n">
        <v>16</v>
      </c>
      <c r="BQ6" t="n">
        <v>15.1</v>
      </c>
      <c r="BR6" t="n">
        <v>16.6</v>
      </c>
    </row>
    <row r="7">
      <c r="A7" s="5" t="inlineStr">
        <is>
          <t>Loans and advances to customers</t>
        </is>
      </c>
      <c r="B7" s="5" t="n">
        <v>490444848</v>
      </c>
      <c r="C7" s="5" t="n">
        <v>492244170</v>
      </c>
      <c r="D7" s="5" t="n">
        <v>413983306</v>
      </c>
      <c r="E7" s="5" t="n">
        <v>403371972</v>
      </c>
      <c r="F7" s="5" t="n">
        <v>369798691</v>
      </c>
      <c r="G7" s="5" t="n">
        <v>323879674</v>
      </c>
      <c r="H7" s="5" t="n">
        <v>170218565</v>
      </c>
      <c r="I7" s="5" t="n">
        <v>79422117</v>
      </c>
      <c r="J7" s="5" t="n">
        <v>8413052</v>
      </c>
      <c r="M7" t="inlineStr">
        <is>
          <t>Loans and advances to customers</t>
        </is>
      </c>
      <c r="N7" t="n">
        <v>8413052</v>
      </c>
      <c r="O7" t="n">
        <v>79422117</v>
      </c>
      <c r="P7" t="n">
        <v>170218565</v>
      </c>
      <c r="Q7" t="n">
        <v>323879674</v>
      </c>
      <c r="R7" t="n">
        <v>369798691</v>
      </c>
      <c r="S7" t="n">
        <v>403371972</v>
      </c>
      <c r="T7" t="n">
        <v>413983306</v>
      </c>
      <c r="U7" t="n">
        <v>492244170</v>
      </c>
      <c r="V7" t="n">
        <v>490444848</v>
      </c>
      <c r="BI7" t="inlineStr">
        <is>
          <t>Total Capital Ratio</t>
        </is>
      </c>
      <c r="BJ7" t="n">
        <v>59.78</v>
      </c>
      <c r="BK7" t="n">
        <v>23.18</v>
      </c>
      <c r="BL7" t="n">
        <v>20.3</v>
      </c>
      <c r="BM7" t="n">
        <v>17.8</v>
      </c>
      <c r="BN7" t="n">
        <v>21.4</v>
      </c>
      <c r="BO7" t="n">
        <v>19</v>
      </c>
      <c r="BP7" t="n">
        <v>19.4</v>
      </c>
      <c r="BQ7" t="n">
        <v>18.3</v>
      </c>
      <c r="BR7" t="n">
        <v>19.8</v>
      </c>
    </row>
    <row r="8">
      <c r="A8" s="5" t="inlineStr">
        <is>
          <t>Customer deposits</t>
        </is>
      </c>
      <c r="B8" s="5" t="n">
        <v>546762522</v>
      </c>
      <c r="C8" s="5" t="n">
        <v>552995571</v>
      </c>
      <c r="D8" s="5" t="n">
        <v>499967473</v>
      </c>
      <c r="E8" s="5" t="n">
        <v>447173300</v>
      </c>
      <c r="F8" s="5" t="n">
        <v>438038613</v>
      </c>
      <c r="G8" s="5" t="n">
        <v>379609727</v>
      </c>
      <c r="H8" s="5" t="n">
        <v>230922849</v>
      </c>
      <c r="I8" s="5" t="n">
        <v>122443079</v>
      </c>
      <c r="J8" s="5" t="n">
        <v>18661835</v>
      </c>
      <c r="M8" t="inlineStr">
        <is>
          <t>Customer deposits</t>
        </is>
      </c>
      <c r="N8" t="n">
        <v>18661835</v>
      </c>
      <c r="O8" t="n">
        <v>122443079</v>
      </c>
      <c r="P8" t="n">
        <v>230922849</v>
      </c>
      <c r="Q8" t="n">
        <v>379609727</v>
      </c>
      <c r="R8" t="n">
        <v>438038613</v>
      </c>
      <c r="S8" t="n">
        <v>447173300</v>
      </c>
      <c r="T8" t="n">
        <v>499967473</v>
      </c>
      <c r="U8" t="n">
        <v>552995571</v>
      </c>
      <c r="V8" t="n">
        <v>546762522</v>
      </c>
      <c r="BI8" t="inlineStr">
        <is>
          <t>LCR</t>
        </is>
      </c>
      <c r="BJ8" t="n">
        <v>339</v>
      </c>
      <c r="BK8" t="n">
        <v>391</v>
      </c>
      <c r="BL8" t="n">
        <v>557</v>
      </c>
      <c r="BM8" t="n">
        <v>485</v>
      </c>
      <c r="BN8" t="n">
        <v>970</v>
      </c>
      <c r="BO8" t="n">
        <v>352</v>
      </c>
      <c r="BP8" t="n">
        <v>481</v>
      </c>
      <c r="BQ8" t="n">
        <v>284</v>
      </c>
      <c r="BR8" t="n">
        <v>362</v>
      </c>
    </row>
    <row r="9">
      <c r="A9" s="5" t="inlineStr">
        <is>
          <t>Total equity</t>
        </is>
      </c>
      <c r="B9" s="5" t="n">
        <v>49983070</v>
      </c>
      <c r="C9" s="5" t="n">
        <v>49380257</v>
      </c>
      <c r="D9" s="5" t="n">
        <v>47552169</v>
      </c>
      <c r="E9" s="5" t="n">
        <v>43325959</v>
      </c>
      <c r="F9" s="5" t="n">
        <v>41496104</v>
      </c>
      <c r="G9" s="5" t="n">
        <v>27580707</v>
      </c>
      <c r="H9" s="5" t="n">
        <v>26026545</v>
      </c>
      <c r="I9" s="5" t="n">
        <v>15274275</v>
      </c>
      <c r="J9" s="5" t="n">
        <v>9305255</v>
      </c>
      <c r="M9" t="inlineStr">
        <is>
          <t>Total equity</t>
        </is>
      </c>
      <c r="N9" t="n">
        <v>9305255</v>
      </c>
      <c r="O9" t="n">
        <v>15274275</v>
      </c>
      <c r="P9" t="n">
        <v>26026545</v>
      </c>
      <c r="Q9" t="n">
        <v>27580707</v>
      </c>
      <c r="R9" t="n">
        <v>41496104</v>
      </c>
      <c r="S9" t="n">
        <v>43325959</v>
      </c>
      <c r="T9" t="n">
        <v>47552169</v>
      </c>
      <c r="U9" t="n">
        <v>49380257</v>
      </c>
      <c r="V9" t="n">
        <v>49983070</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interest income</t>
        </is>
      </c>
      <c r="B13" s="5" t="n">
        <v>22720767</v>
      </c>
      <c r="C13" s="5" t="n">
        <v>26251547</v>
      </c>
      <c r="D13" s="5" t="n">
        <v>28828970</v>
      </c>
      <c r="E13" s="5" t="n">
        <v>20868106</v>
      </c>
      <c r="F13" s="5" t="n">
        <v>15135536</v>
      </c>
      <c r="G13" s="5" t="n">
        <v>10396516</v>
      </c>
      <c r="H13" s="5" t="n">
        <v>6373765</v>
      </c>
      <c r="I13" s="5" t="n">
        <v>1892669</v>
      </c>
      <c r="J13" s="5" t="n">
        <v>38893</v>
      </c>
      <c r="Y13" t="inlineStr">
        <is>
          <t>Net interest income</t>
        </is>
      </c>
      <c r="Z13" t="n">
        <v>38893</v>
      </c>
      <c r="AA13" t="n">
        <v>1892669</v>
      </c>
      <c r="AB13" t="n">
        <v>6373765</v>
      </c>
      <c r="AC13" t="n">
        <v>10396516</v>
      </c>
      <c r="AD13" t="n">
        <v>15135536</v>
      </c>
      <c r="AE13" t="n">
        <v>20868106</v>
      </c>
      <c r="AF13" t="n">
        <v>28828970</v>
      </c>
      <c r="AG13" t="n">
        <v>26251547</v>
      </c>
      <c r="AH13" t="n">
        <v>22720767</v>
      </c>
    </row>
    <row r="14">
      <c r="A14" s="5" t="inlineStr">
        <is>
          <t>Administrative expenses</t>
        </is>
      </c>
      <c r="B14" s="5" t="n">
        <v>-21265984</v>
      </c>
      <c r="C14" s="5" t="n">
        <v>-21675255</v>
      </c>
      <c r="D14" s="5" t="n">
        <v>-20509671</v>
      </c>
      <c r="E14" s="5" t="n">
        <v>-16105258</v>
      </c>
      <c r="F14" s="5" t="n">
        <v>-12922871</v>
      </c>
      <c r="G14" s="5" t="n">
        <v>-9382145</v>
      </c>
      <c r="H14" s="5" t="n">
        <v>-7297813</v>
      </c>
      <c r="I14" s="5" t="n">
        <v>-5457647</v>
      </c>
      <c r="J14" s="5" t="n">
        <v>-3380275</v>
      </c>
      <c r="Y14" t="inlineStr">
        <is>
          <t>Administrative expenses</t>
        </is>
      </c>
      <c r="Z14" t="n">
        <v>-3380275</v>
      </c>
      <c r="AA14" t="n">
        <v>-5457647</v>
      </c>
      <c r="AB14" t="n">
        <v>-7297813</v>
      </c>
      <c r="AC14" t="n">
        <v>-9382145</v>
      </c>
      <c r="AD14" t="n">
        <v>-12922871</v>
      </c>
      <c r="AE14" t="n">
        <v>-16105258</v>
      </c>
      <c r="AF14" t="n">
        <v>-20509671</v>
      </c>
      <c r="AG14" t="n">
        <v>-21675255</v>
      </c>
      <c r="AH14" t="n">
        <v>-21265984</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c r="Y15" t="inlineStr">
        <is>
          <t>Profit for the year</t>
        </is>
      </c>
      <c r="Z15" t="n">
        <v>-3341382</v>
      </c>
      <c r="AA15" t="n">
        <v>-3805978</v>
      </c>
      <c r="AB15" t="n">
        <v>-1228742</v>
      </c>
      <c r="AC15" t="n">
        <v>-1703477</v>
      </c>
      <c r="AD15" t="n">
        <v>4084475</v>
      </c>
      <c r="AE15" t="n">
        <v>1797614</v>
      </c>
      <c r="AF15" t="n">
        <v>4204249</v>
      </c>
      <c r="AG15" t="n">
        <v>1828088</v>
      </c>
      <c r="AH15" t="n">
        <v>602813</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Total equity (closing)</t>
        </is>
      </c>
      <c r="B19" s="5" t="n">
        <v>49983070</v>
      </c>
      <c r="C19" s="5" t="n">
        <v>49380257</v>
      </c>
      <c r="D19" s="5" t="n">
        <v>47552169</v>
      </c>
      <c r="E19" s="5" t="n">
        <v>43325959</v>
      </c>
      <c r="F19" s="5" t="n">
        <v>41496104</v>
      </c>
      <c r="G19" s="5" t="n">
        <v>27580707</v>
      </c>
      <c r="H19" s="5" t="n">
        <v>26026545</v>
      </c>
      <c r="I19" s="5" t="n">
        <v>15274275</v>
      </c>
      <c r="J19" s="5" t="n">
        <v>9305255</v>
      </c>
      <c r="AK19" t="inlineStr">
        <is>
          <t>Total equity (closing)</t>
        </is>
      </c>
      <c r="AL19" t="n">
        <v>9305255</v>
      </c>
      <c r="AM19" t="n">
        <v>15274275</v>
      </c>
      <c r="AN19" t="n">
        <v>26026545</v>
      </c>
      <c r="AO19" t="n">
        <v>27580707</v>
      </c>
      <c r="AP19" t="n">
        <v>41496104</v>
      </c>
      <c r="AQ19" t="n">
        <v>43325959</v>
      </c>
      <c r="AR19" t="n">
        <v>47552169</v>
      </c>
      <c r="AS19" t="n">
        <v>49380257</v>
      </c>
      <c r="AT19" t="n">
        <v>49983070</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AX22" t="inlineStr">
        <is>
          <t>FY2017</t>
        </is>
      </c>
      <c r="AY22" t="inlineStr">
        <is>
          <t>FY2018</t>
        </is>
      </c>
      <c r="AZ22" t="inlineStr">
        <is>
          <t>FY2019</t>
        </is>
      </c>
      <c r="BA22" t="inlineStr">
        <is>
          <t>FY2020</t>
        </is>
      </c>
      <c r="BB22" t="inlineStr">
        <is>
          <t>FY2021</t>
        </is>
      </c>
      <c r="BC22" t="inlineStr">
        <is>
          <t>FY2022</t>
        </is>
      </c>
      <c r="BD22" t="inlineStr">
        <is>
          <t>FY2023</t>
        </is>
      </c>
      <c r="BE22" t="inlineStr">
        <is>
          <t>FY2024</t>
        </is>
      </c>
      <c r="BF22" t="inlineStr">
        <is>
          <t>FY2025</t>
        </is>
      </c>
    </row>
    <row r="23">
      <c r="A23" s="5" t="inlineStr">
        <is>
          <t>Net cash from/(used in) operating activities</t>
        </is>
      </c>
      <c r="B23" s="5" t="n">
        <v>-27582757</v>
      </c>
      <c r="C23" s="5" t="n">
        <v>-41683581</v>
      </c>
      <c r="D23" s="5" t="n">
        <v>49423566</v>
      </c>
      <c r="E23" s="5" t="n">
        <v>-20780795</v>
      </c>
      <c r="F23" s="5" t="n">
        <v>15466786</v>
      </c>
      <c r="G23" s="5" t="n">
        <v>-6447584</v>
      </c>
      <c r="H23" s="5" t="n">
        <v>16895343</v>
      </c>
      <c r="I23" s="5" t="n">
        <v>29122121</v>
      </c>
      <c r="J23" s="5" t="n">
        <v>6785559</v>
      </c>
      <c r="AW23" t="inlineStr">
        <is>
          <t>Net cash from/(used in) operating activities</t>
        </is>
      </c>
      <c r="AX23" t="n">
        <v>6785559</v>
      </c>
      <c r="AY23" t="n">
        <v>29122121</v>
      </c>
      <c r="AZ23" t="n">
        <v>16895343</v>
      </c>
      <c r="BA23" t="n">
        <v>-6447584</v>
      </c>
      <c r="BB23" t="n">
        <v>15466786</v>
      </c>
      <c r="BC23" t="n">
        <v>-20780795</v>
      </c>
      <c r="BD23" t="n">
        <v>49423566</v>
      </c>
      <c r="BE23" t="n">
        <v>-41683581</v>
      </c>
      <c r="BF23" t="n">
        <v>-27582757</v>
      </c>
    </row>
    <row r="24">
      <c r="A24" s="5" t="inlineStr">
        <is>
          <t>Net cash generated/(used in) investing activities</t>
        </is>
      </c>
      <c r="B24" s="5" t="n">
        <v>4472207</v>
      </c>
      <c r="C24" s="5" t="n">
        <v>47849547</v>
      </c>
      <c r="D24" s="5" t="n">
        <v>-24192052</v>
      </c>
      <c r="E24" s="5" t="n">
        <v>-509405</v>
      </c>
      <c r="F24" s="5" t="n">
        <v>-19793859</v>
      </c>
      <c r="G24" s="5" t="n">
        <v>19825448</v>
      </c>
      <c r="H24" s="5" t="n">
        <v>-10169522</v>
      </c>
      <c r="I24" s="5" t="n">
        <v>-25284982</v>
      </c>
      <c r="J24" s="5" t="n">
        <v>-15609842</v>
      </c>
      <c r="AW24" t="inlineStr">
        <is>
          <t>Net cash generated/(used in) investing activities</t>
        </is>
      </c>
      <c r="AX24" t="n">
        <v>-15609842</v>
      </c>
      <c r="AY24" t="n">
        <v>-25284982</v>
      </c>
      <c r="AZ24" t="n">
        <v>-10169522</v>
      </c>
      <c r="BA24" t="n">
        <v>19825448</v>
      </c>
      <c r="BB24" t="n">
        <v>-19793859</v>
      </c>
      <c r="BC24" t="n">
        <v>-509405</v>
      </c>
      <c r="BD24" t="n">
        <v>-24192052</v>
      </c>
      <c r="BE24" t="n">
        <v>47849547</v>
      </c>
      <c r="BF24" t="n">
        <v>4472207</v>
      </c>
    </row>
    <row r="25">
      <c r="A25" s="5" t="inlineStr">
        <is>
          <t>Net cash from financing activities</t>
        </is>
      </c>
      <c r="B25" s="5" t="n">
        <v>0</v>
      </c>
      <c r="C25" s="5" t="n">
        <v>0</v>
      </c>
      <c r="D25" s="5" t="n">
        <v>0</v>
      </c>
      <c r="E25" s="5" t="n">
        <v>0</v>
      </c>
      <c r="F25" s="5" t="n">
        <v>28300000</v>
      </c>
      <c r="G25" s="5" t="n">
        <v>31400000</v>
      </c>
      <c r="H25" s="5" t="n">
        <v>12000000</v>
      </c>
      <c r="I25" s="5" t="n">
        <v>9803866</v>
      </c>
      <c r="J25" s="5" t="n">
        <v>13018542</v>
      </c>
      <c r="AW25" t="inlineStr">
        <is>
          <t>Net cash from financing activities</t>
        </is>
      </c>
      <c r="AX25" t="n">
        <v>13018542</v>
      </c>
      <c r="AY25" t="n">
        <v>9803866</v>
      </c>
      <c r="AZ25" t="n">
        <v>12000000</v>
      </c>
      <c r="BA25" t="n">
        <v>31400000</v>
      </c>
      <c r="BB25" t="n">
        <v>28300000</v>
      </c>
      <c r="BC25" t="n">
        <v>0</v>
      </c>
      <c r="BD25" t="n">
        <v>0</v>
      </c>
      <c r="BE25" t="n">
        <v>0</v>
      </c>
      <c r="BF25" t="n">
        <v>0</v>
      </c>
    </row>
    <row r="26">
      <c r="A26" s="5" t="inlineStr">
        <is>
          <t>Cash and cash equivalents at end of year</t>
        </is>
      </c>
      <c r="B26" s="5" t="n">
        <v>90182943</v>
      </c>
      <c r="C26" s="5" t="n">
        <v>115416225</v>
      </c>
      <c r="D26" s="5" t="n">
        <v>109250259</v>
      </c>
      <c r="E26" s="5" t="n">
        <v>84018745</v>
      </c>
      <c r="F26" s="5" t="n">
        <v>105308945</v>
      </c>
      <c r="G26" s="5" t="n">
        <v>81336018</v>
      </c>
      <c r="H26" s="5" t="n">
        <v>36558154</v>
      </c>
      <c r="I26" s="5" t="n">
        <v>17832333</v>
      </c>
      <c r="J26" s="5" t="n">
        <v>4191328</v>
      </c>
      <c r="AW26" t="inlineStr">
        <is>
          <t>Cash and cash equivalents at end of year</t>
        </is>
      </c>
      <c r="AX26" t="n">
        <v>4191328</v>
      </c>
      <c r="AY26" t="n">
        <v>17832333</v>
      </c>
      <c r="AZ26" t="n">
        <v>36558154</v>
      </c>
      <c r="BA26" t="n">
        <v>81336018</v>
      </c>
      <c r="BB26" t="n">
        <v>105308945</v>
      </c>
      <c r="BC26" t="n">
        <v>84018745</v>
      </c>
      <c r="BD26" t="n">
        <v>109250259</v>
      </c>
      <c r="BE26" t="n">
        <v>115416225</v>
      </c>
      <c r="BF26" t="n">
        <v>90182943</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row>
    <row r="30">
      <c r="A30" s="6" t="inlineStr">
        <is>
          <t>CET1 Ratio</t>
        </is>
      </c>
      <c r="B30" s="6" t="inlineStr">
        <is>
          <t>16.6%</t>
        </is>
      </c>
      <c r="C30" s="6" t="inlineStr">
        <is>
          <t>15.1%</t>
        </is>
      </c>
      <c r="D30" s="6" t="inlineStr">
        <is>
          <t>16.0%</t>
        </is>
      </c>
      <c r="E30" s="6" t="inlineStr">
        <is>
          <t>15.4%</t>
        </is>
      </c>
      <c r="F30" s="6" t="inlineStr">
        <is>
          <t>16.9%</t>
        </is>
      </c>
      <c r="G30" s="6" t="inlineStr">
        <is>
          <t>13.34%</t>
        </is>
      </c>
      <c r="H30" s="6" t="inlineStr">
        <is>
          <t>20.3%</t>
        </is>
      </c>
      <c r="I30" s="6" t="inlineStr">
        <is>
          <t>23.18%</t>
        </is>
      </c>
      <c r="J30" s="6" t="inlineStr">
        <is>
          <t>59.78%</t>
        </is>
      </c>
    </row>
    <row r="31">
      <c r="A31" s="6" t="inlineStr">
        <is>
          <t>Total Capital Ratio</t>
        </is>
      </c>
      <c r="B31" s="6" t="inlineStr">
        <is>
          <t>19.8%</t>
        </is>
      </c>
      <c r="C31" s="6" t="inlineStr">
        <is>
          <t>18.3%</t>
        </is>
      </c>
      <c r="D31" s="6" t="inlineStr">
        <is>
          <t>19.4%</t>
        </is>
      </c>
      <c r="E31" s="6" t="inlineStr">
        <is>
          <t>19.0%</t>
        </is>
      </c>
      <c r="F31" s="6" t="inlineStr">
        <is>
          <t>21.4%</t>
        </is>
      </c>
      <c r="G31" s="6" t="inlineStr">
        <is>
          <t>17.8%</t>
        </is>
      </c>
      <c r="H31" s="6" t="inlineStr">
        <is>
          <t>20.3%</t>
        </is>
      </c>
      <c r="I31" s="6" t="inlineStr">
        <is>
          <t>23.18%</t>
        </is>
      </c>
      <c r="J31" s="6" t="inlineStr">
        <is>
          <t>59.78%</t>
        </is>
      </c>
    </row>
    <row r="32">
      <c r="A32" s="6" t="inlineStr">
        <is>
          <t>LCR</t>
        </is>
      </c>
      <c r="B32" s="6" t="inlineStr">
        <is>
          <t>362%</t>
        </is>
      </c>
      <c r="C32" s="6" t="inlineStr">
        <is>
          <t>284%</t>
        </is>
      </c>
      <c r="D32" s="6" t="inlineStr">
        <is>
          <t>481%</t>
        </is>
      </c>
      <c r="E32" s="6" t="inlineStr">
        <is>
          <t>352%</t>
        </is>
      </c>
      <c r="F32" s="6" t="inlineStr">
        <is>
          <t>970%</t>
        </is>
      </c>
      <c r="G32" s="6" t="inlineStr">
        <is>
          <t>485%</t>
        </is>
      </c>
      <c r="H32" s="6" t="inlineStr">
        <is>
          <t>557%</t>
        </is>
      </c>
      <c r="I32" s="6" t="inlineStr">
        <is>
          <t>391%</t>
        </is>
      </c>
      <c r="J32" s="6" t="inlineStr">
        <is>
          <t>339%</t>
        </is>
      </c>
    </row>
    <row r="34" ht="45" customHeight="1">
      <c r="A34" s="7" t="inlineStr">
        <is>
          <t>Note: CET1 capital is rounded to the nearest £m as stated in Redwood's KPI narrative. Undisclosed regulatory metrics remain blank/not publicly disclosed on their detail sheets.</t>
        </is>
      </c>
    </row>
  </sheetData>
  <mergeCells count="1">
    <mergeCell ref="A34:J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Balance Sheet</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Assets</t>
        </is>
      </c>
      <c r="B4" s="6" t="n"/>
      <c r="C4" s="6" t="n"/>
      <c r="D4" s="6" t="n"/>
      <c r="E4" s="6" t="n"/>
      <c r="F4" s="6" t="n"/>
      <c r="G4" s="6" t="n"/>
      <c r="H4" s="6" t="n"/>
      <c r="I4" s="6" t="n"/>
      <c r="J4" s="6" t="n"/>
    </row>
    <row r="5">
      <c r="A5" s="6" t="inlineStr">
        <is>
          <t>Cash and balances at central banks</t>
        </is>
      </c>
      <c r="B5" s="6" t="n">
        <v>85516188</v>
      </c>
      <c r="C5" s="6" t="n">
        <v>115416225</v>
      </c>
      <c r="D5" s="6" t="n">
        <v>109250259</v>
      </c>
      <c r="E5" s="6" t="n">
        <v>84018745</v>
      </c>
      <c r="F5" s="6" t="n">
        <v>105308945</v>
      </c>
      <c r="G5" s="6" t="n">
        <v>81336018</v>
      </c>
      <c r="H5" s="6" t="n">
        <v>36558154</v>
      </c>
      <c r="I5" s="6" t="n">
        <v>17832333</v>
      </c>
      <c r="J5" s="6" t="n">
        <v>4191328</v>
      </c>
    </row>
    <row r="6">
      <c r="A6" s="6" t="inlineStr">
        <is>
          <t>Treasury bills and gilts</t>
        </is>
      </c>
      <c r="B6" s="6" t="n">
        <v>20013691</v>
      </c>
      <c r="C6" s="6" t="n">
        <v>25011813</v>
      </c>
      <c r="D6" s="6" t="n">
        <v>73494617</v>
      </c>
      <c r="E6" s="6" t="n">
        <v>49958358</v>
      </c>
      <c r="F6" s="6" t="n">
        <v>49938351</v>
      </c>
      <c r="G6" s="6" t="n">
        <v>30253815</v>
      </c>
      <c r="H6" s="6" t="n">
        <v>50121948</v>
      </c>
      <c r="I6" s="6" t="n">
        <v>40149039</v>
      </c>
      <c r="J6" s="6" t="n">
        <v>15027745</v>
      </c>
    </row>
    <row r="7">
      <c r="A7" s="6" t="inlineStr">
        <is>
          <t>Loans and advances to banks</t>
        </is>
      </c>
      <c r="B7" s="6" t="n">
        <v>8841755</v>
      </c>
      <c r="C7" s="6" t="n"/>
      <c r="D7" s="6" t="n"/>
      <c r="E7" s="6" t="n"/>
      <c r="F7" s="6" t="n"/>
      <c r="G7" s="6" t="n"/>
      <c r="H7" s="6" t="n"/>
      <c r="I7" s="6" t="n"/>
      <c r="J7" s="6" t="n"/>
    </row>
    <row r="8">
      <c r="A8" s="6" t="inlineStr">
        <is>
          <t>Loans and advances to customers</t>
        </is>
      </c>
      <c r="B8" s="6" t="n">
        <v>490444848</v>
      </c>
      <c r="C8" s="6" t="n">
        <v>492244170</v>
      </c>
      <c r="D8" s="6" t="n">
        <v>413983306</v>
      </c>
      <c r="E8" s="6" t="n">
        <v>403371972</v>
      </c>
      <c r="F8" s="6" t="n">
        <v>369798691</v>
      </c>
      <c r="G8" s="6" t="n">
        <v>323879674</v>
      </c>
      <c r="H8" s="6" t="n">
        <v>170218565</v>
      </c>
      <c r="I8" s="6" t="n">
        <v>79422117</v>
      </c>
      <c r="J8" s="6" t="n">
        <v>8413052</v>
      </c>
    </row>
    <row r="9">
      <c r="A9" s="6" t="inlineStr">
        <is>
          <t>Fair value adjustments on hedged assets</t>
        </is>
      </c>
      <c r="B9" s="6" t="n">
        <v>1302543</v>
      </c>
      <c r="C9" s="6" t="n"/>
      <c r="D9" s="6" t="n"/>
      <c r="E9" s="6" t="n"/>
      <c r="F9" s="6" t="n"/>
      <c r="G9" s="6" t="n"/>
      <c r="H9" s="6" t="n"/>
      <c r="I9" s="6" t="n"/>
      <c r="J9" s="6" t="n"/>
    </row>
    <row r="10">
      <c r="A10" s="6" t="inlineStr">
        <is>
          <t>Derivative assets</t>
        </is>
      </c>
      <c r="B10" s="6" t="n">
        <v>0</v>
      </c>
      <c r="C10" s="6" t="n"/>
      <c r="D10" s="6" t="n"/>
      <c r="E10" s="6" t="n"/>
      <c r="F10" s="6" t="n"/>
      <c r="G10" s="6" t="n"/>
      <c r="H10" s="6" t="n"/>
      <c r="I10" s="6" t="n"/>
      <c r="J10" s="6" t="n"/>
    </row>
    <row r="11">
      <c r="A11" s="6" t="inlineStr">
        <is>
          <t>Other assets and prepayments</t>
        </is>
      </c>
      <c r="B11" s="6" t="n"/>
      <c r="C11" s="6" t="n">
        <v>1231228</v>
      </c>
      <c r="D11" s="6" t="n">
        <v>1037196</v>
      </c>
      <c r="E11" s="6" t="n">
        <v>853781</v>
      </c>
      <c r="F11" s="6" t="n">
        <v>652247</v>
      </c>
      <c r="G11" s="6" t="n">
        <v>540042</v>
      </c>
      <c r="H11" s="6" t="n">
        <v>498138</v>
      </c>
      <c r="I11" s="6" t="n">
        <v>408207</v>
      </c>
      <c r="J11" s="6" t="n">
        <v>242244</v>
      </c>
    </row>
    <row r="12">
      <c r="A12" s="6" t="inlineStr">
        <is>
          <t>Other assets</t>
        </is>
      </c>
      <c r="B12" s="6" t="n">
        <v>1483513</v>
      </c>
      <c r="C12" s="6" t="n"/>
      <c r="D12" s="6" t="n"/>
      <c r="E12" s="6" t="n"/>
      <c r="F12" s="6" t="n"/>
      <c r="G12" s="6" t="n"/>
      <c r="H12" s="6" t="n"/>
      <c r="I12" s="6" t="n"/>
      <c r="J12" s="6" t="n"/>
    </row>
    <row r="13">
      <c r="A13" s="6" t="inlineStr">
        <is>
          <t>Prepayments and accrued income</t>
        </is>
      </c>
      <c r="B13" s="6" t="n">
        <v>1088724</v>
      </c>
      <c r="C13" s="6" t="n"/>
      <c r="D13" s="6" t="n"/>
      <c r="E13" s="6" t="n"/>
      <c r="F13" s="6" t="n"/>
      <c r="G13" s="6" t="n"/>
      <c r="H13" s="6" t="n"/>
      <c r="I13" s="6" t="n"/>
      <c r="J13" s="6" t="n"/>
    </row>
    <row r="14">
      <c r="A14" s="6" t="inlineStr">
        <is>
          <t>Tangible fixed assets</t>
        </is>
      </c>
      <c r="B14" s="6" t="n">
        <v>104511</v>
      </c>
      <c r="C14" s="6" t="n">
        <v>151269</v>
      </c>
      <c r="D14" s="6" t="n">
        <v>174182</v>
      </c>
      <c r="E14" s="6" t="n">
        <v>166207</v>
      </c>
      <c r="F14" s="6" t="n">
        <v>182226</v>
      </c>
      <c r="G14" s="6" t="n">
        <v>258654</v>
      </c>
      <c r="H14" s="6" t="n">
        <v>323777</v>
      </c>
      <c r="I14" s="6" t="n">
        <v>305045</v>
      </c>
      <c r="J14" s="6" t="n">
        <v>359424</v>
      </c>
    </row>
    <row r="15">
      <c r="A15" s="6" t="inlineStr">
        <is>
          <t>Intangible fixed assets</t>
        </is>
      </c>
      <c r="B15" s="6" t="n">
        <v>1132393</v>
      </c>
      <c r="C15" s="6" t="n">
        <v>1011135</v>
      </c>
      <c r="D15" s="6" t="n">
        <v>783820</v>
      </c>
      <c r="E15" s="6" t="n">
        <v>448996</v>
      </c>
      <c r="F15" s="6" t="n">
        <v>182069</v>
      </c>
      <c r="G15" s="6" t="n">
        <v>180203</v>
      </c>
      <c r="H15" s="6" t="n">
        <v>191854</v>
      </c>
      <c r="I15" s="6" t="n">
        <v>217654</v>
      </c>
      <c r="J15" s="6" t="n">
        <v>163105</v>
      </c>
    </row>
    <row r="16">
      <c r="A16" s="6" t="inlineStr">
        <is>
          <t>Deferred tax assets</t>
        </is>
      </c>
      <c r="B16" s="6" t="n">
        <v>115182</v>
      </c>
      <c r="C16" s="6" t="n">
        <v>307517</v>
      </c>
      <c r="D16" s="6" t="n">
        <v>331990</v>
      </c>
      <c r="E16" s="6" t="n">
        <v>1442426</v>
      </c>
      <c r="F16" s="6" t="n">
        <v>1910683</v>
      </c>
      <c r="G16" s="6" t="n"/>
      <c r="H16" s="6" t="n"/>
      <c r="I16" s="6" t="n"/>
      <c r="J16" s="6" t="n"/>
    </row>
    <row r="17">
      <c r="A17" s="5" t="inlineStr">
        <is>
          <t>Total assets</t>
        </is>
      </c>
      <c r="B17" s="5" t="n">
        <v>610043348</v>
      </c>
      <c r="C17" s="5" t="n">
        <v>635400816</v>
      </c>
      <c r="D17" s="5" t="n">
        <v>599055370</v>
      </c>
      <c r="E17" s="5" t="n">
        <v>540260485</v>
      </c>
      <c r="F17" s="5" t="n">
        <v>527973212</v>
      </c>
      <c r="G17" s="5" t="n">
        <v>436448406</v>
      </c>
      <c r="H17" s="5" t="n">
        <v>257912436</v>
      </c>
      <c r="I17" s="5" t="n">
        <v>138334395</v>
      </c>
      <c r="J17" s="5" t="n">
        <v>28396898</v>
      </c>
    </row>
    <row r="18">
      <c r="A18" s="5" t="inlineStr">
        <is>
          <t>Liabilities</t>
        </is>
      </c>
      <c r="B18" s="6" t="n"/>
      <c r="C18" s="6" t="n"/>
      <c r="D18" s="6" t="n"/>
      <c r="E18" s="6" t="n"/>
      <c r="F18" s="6" t="n"/>
      <c r="G18" s="6" t="n"/>
      <c r="H18" s="6" t="n"/>
      <c r="I18" s="6" t="n"/>
      <c r="J18" s="6" t="n"/>
    </row>
    <row r="19">
      <c r="A19" s="6" t="inlineStr">
        <is>
          <t>Amounts due to banks</t>
        </is>
      </c>
      <c r="B19" s="6" t="n"/>
      <c r="C19" s="6" t="n">
        <v>18726182</v>
      </c>
      <c r="D19" s="6" t="n">
        <v>38067988</v>
      </c>
      <c r="E19" s="6" t="n">
        <v>37862456</v>
      </c>
      <c r="F19" s="6" t="n">
        <v>37611747</v>
      </c>
      <c r="G19" s="6" t="n">
        <v>19201753</v>
      </c>
      <c r="H19" s="6" t="n"/>
      <c r="I19" s="6" t="n"/>
      <c r="J19" s="6" t="n"/>
    </row>
    <row r="20">
      <c r="A20" s="6" t="inlineStr">
        <is>
          <t>Customer deposits</t>
        </is>
      </c>
      <c r="B20" s="6" t="n">
        <v>546762522</v>
      </c>
      <c r="C20" s="6" t="n">
        <v>552995571</v>
      </c>
      <c r="D20" s="6" t="n">
        <v>499967473</v>
      </c>
      <c r="E20" s="6" t="n">
        <v>447173300</v>
      </c>
      <c r="F20" s="6" t="n">
        <v>438038613</v>
      </c>
      <c r="G20" s="6" t="n">
        <v>379609727</v>
      </c>
      <c r="H20" s="6" t="n">
        <v>230922849</v>
      </c>
      <c r="I20" s="6" t="n">
        <v>122443079</v>
      </c>
      <c r="J20" s="6" t="n">
        <v>18661835</v>
      </c>
    </row>
    <row r="21">
      <c r="A21" s="6" t="inlineStr">
        <is>
          <t>Derivative liabilities</t>
        </is>
      </c>
      <c r="B21" s="6" t="n">
        <v>1224574</v>
      </c>
      <c r="C21" s="6" t="n"/>
      <c r="D21" s="6" t="n"/>
      <c r="E21" s="6" t="n"/>
      <c r="F21" s="6" t="n"/>
      <c r="G21" s="6" t="n"/>
      <c r="H21" s="6" t="n"/>
      <c r="I21" s="6" t="n"/>
      <c r="J21" s="6" t="n"/>
    </row>
    <row r="22">
      <c r="A22" s="6" t="inlineStr">
        <is>
          <t>Other liabilities and accruals</t>
        </is>
      </c>
      <c r="B22" s="6" t="n"/>
      <c r="C22" s="6" t="n">
        <v>4994868</v>
      </c>
      <c r="D22" s="6" t="n">
        <v>4245490</v>
      </c>
      <c r="E22" s="6" t="n">
        <v>2898770</v>
      </c>
      <c r="F22" s="6" t="n">
        <v>1826748</v>
      </c>
      <c r="G22" s="6" t="n">
        <v>1056219</v>
      </c>
      <c r="H22" s="6" t="n">
        <v>963042</v>
      </c>
      <c r="I22" s="6" t="n">
        <v>617041</v>
      </c>
      <c r="J22" s="6" t="n">
        <v>429808</v>
      </c>
    </row>
    <row r="23">
      <c r="A23" s="6" t="inlineStr">
        <is>
          <t>Other liabilities</t>
        </is>
      </c>
      <c r="B23" s="6" t="n">
        <v>603027</v>
      </c>
      <c r="C23" s="6" t="n"/>
      <c r="D23" s="6" t="n"/>
      <c r="E23" s="6" t="n"/>
      <c r="F23" s="6" t="n"/>
      <c r="G23" s="6" t="n"/>
      <c r="H23" s="6" t="n"/>
      <c r="I23" s="6" t="n"/>
      <c r="J23" s="6" t="n"/>
    </row>
    <row r="24">
      <c r="A24" s="6" t="inlineStr">
        <is>
          <t>Accruals and deferred income</t>
        </is>
      </c>
      <c r="B24" s="6" t="n">
        <v>2470155</v>
      </c>
      <c r="C24" s="6" t="n"/>
      <c r="D24" s="6" t="n"/>
      <c r="E24" s="6" t="n"/>
      <c r="F24" s="6" t="n"/>
      <c r="G24" s="6" t="n"/>
      <c r="H24" s="6" t="n"/>
      <c r="I24" s="6" t="n"/>
      <c r="J24" s="6" t="n"/>
    </row>
    <row r="25">
      <c r="A25" s="6" t="inlineStr">
        <is>
          <t>Tax liabilities</t>
        </is>
      </c>
      <c r="B25" s="6" t="n"/>
      <c r="C25" s="6" t="n">
        <v>303938</v>
      </c>
      <c r="D25" s="6" t="n">
        <v>222250</v>
      </c>
      <c r="E25" s="6" t="n"/>
      <c r="F25" s="6" t="n"/>
      <c r="G25" s="6" t="n"/>
      <c r="H25" s="6" t="n"/>
      <c r="I25" s="6" t="n"/>
      <c r="J25" s="6" t="n"/>
    </row>
    <row r="26">
      <c r="A26" s="6" t="inlineStr">
        <is>
          <t>Subordinated debt</t>
        </is>
      </c>
      <c r="B26" s="6" t="n">
        <v>9000000</v>
      </c>
      <c r="C26" s="6" t="n">
        <v>9000000</v>
      </c>
      <c r="D26" s="6" t="n">
        <v>9000000</v>
      </c>
      <c r="E26" s="6" t="n">
        <v>9000000</v>
      </c>
      <c r="F26" s="6" t="n">
        <v>9000000</v>
      </c>
      <c r="G26" s="6" t="n">
        <v>9000000</v>
      </c>
      <c r="H26" s="6" t="n"/>
      <c r="I26" s="6" t="n"/>
      <c r="J26" s="6" t="n"/>
    </row>
    <row r="27">
      <c r="A27" s="5" t="inlineStr">
        <is>
          <t>Total liabilities</t>
        </is>
      </c>
      <c r="B27" s="5" t="n">
        <v>560060278</v>
      </c>
      <c r="C27" s="5" t="n">
        <v>586020559</v>
      </c>
      <c r="D27" s="5" t="n">
        <v>551503201</v>
      </c>
      <c r="E27" s="5" t="n">
        <v>496934526</v>
      </c>
      <c r="F27" s="5" t="n">
        <v>486477108</v>
      </c>
      <c r="G27" s="5" t="n">
        <v>408867699</v>
      </c>
      <c r="H27" s="5" t="n">
        <v>231885891</v>
      </c>
      <c r="I27" s="5" t="n">
        <v>123060120</v>
      </c>
      <c r="J27" s="5" t="n">
        <v>19091643</v>
      </c>
    </row>
    <row r="28">
      <c r="A28" s="5" t="inlineStr">
        <is>
          <t>Equity</t>
        </is>
      </c>
      <c r="B28" s="6" t="n"/>
      <c r="C28" s="6" t="n"/>
      <c r="D28" s="6" t="n"/>
      <c r="E28" s="6" t="n"/>
      <c r="F28" s="6" t="n"/>
      <c r="G28" s="6" t="n"/>
      <c r="H28" s="6" t="n"/>
      <c r="I28" s="6" t="n"/>
      <c r="J28" s="6" t="n"/>
    </row>
    <row r="29">
      <c r="A29" s="6" t="inlineStr">
        <is>
          <t>Called up share capital</t>
        </is>
      </c>
      <c r="B29" s="6" t="n">
        <v>111</v>
      </c>
      <c r="C29" s="6" t="n">
        <v>111</v>
      </c>
      <c r="D29" s="6" t="n">
        <v>111</v>
      </c>
      <c r="E29" s="6" t="n">
        <v>111</v>
      </c>
      <c r="F29" s="6" t="n">
        <v>111</v>
      </c>
      <c r="G29" s="6" t="n">
        <v>111</v>
      </c>
      <c r="H29" s="6" t="n">
        <v>111</v>
      </c>
      <c r="I29" s="6" t="n">
        <v>111</v>
      </c>
      <c r="J29" s="6" t="n">
        <v>111</v>
      </c>
    </row>
    <row r="30">
      <c r="A30" s="6" t="inlineStr">
        <is>
          <t>Share premium reserve</t>
        </is>
      </c>
      <c r="B30" s="6" t="n">
        <v>47922405</v>
      </c>
      <c r="C30" s="6" t="n">
        <v>47922405</v>
      </c>
      <c r="D30" s="6" t="n">
        <v>47922405</v>
      </c>
      <c r="E30" s="6" t="n">
        <v>47922405</v>
      </c>
      <c r="F30" s="6" t="n">
        <v>47922405</v>
      </c>
      <c r="G30" s="6" t="n">
        <v>38022405</v>
      </c>
      <c r="H30" s="6" t="n">
        <v>34822405</v>
      </c>
      <c r="I30" s="6" t="n">
        <v>22822405</v>
      </c>
      <c r="J30" s="6" t="n">
        <v>13018539</v>
      </c>
    </row>
    <row r="31">
      <c r="A31" s="6" t="inlineStr">
        <is>
          <t>Available-for-sale reserve</t>
        </is>
      </c>
      <c r="B31" s="6" t="n"/>
      <c r="C31" s="6" t="n"/>
      <c r="D31" s="6" t="n">
        <v>0</v>
      </c>
      <c r="E31" s="6" t="n">
        <v>-21961</v>
      </c>
      <c r="F31" s="6" t="n">
        <v>-54202</v>
      </c>
      <c r="G31" s="6" t="n">
        <v>14876</v>
      </c>
      <c r="H31" s="6" t="n">
        <v>-42763</v>
      </c>
      <c r="I31" s="6" t="n">
        <v>-23776</v>
      </c>
      <c r="J31" s="6" t="n">
        <v>5092</v>
      </c>
    </row>
    <row r="32">
      <c r="A32" s="6" t="inlineStr">
        <is>
          <t>Retained earnings</t>
        </is>
      </c>
      <c r="B32" s="6" t="n">
        <v>2060554</v>
      </c>
      <c r="C32" s="6" t="n">
        <v>1457741</v>
      </c>
      <c r="D32" s="6" t="n">
        <v>-370347</v>
      </c>
      <c r="E32" s="6" t="n">
        <v>-4574596</v>
      </c>
      <c r="F32" s="6" t="n">
        <v>-6372210</v>
      </c>
      <c r="G32" s="6" t="n">
        <v>-10456685</v>
      </c>
      <c r="H32" s="6" t="n">
        <v>-8753208</v>
      </c>
      <c r="I32" s="6" t="n">
        <v>-7524465</v>
      </c>
      <c r="J32" s="6" t="n">
        <v>-3718487</v>
      </c>
    </row>
    <row r="33">
      <c r="A33" s="5" t="inlineStr">
        <is>
          <t>Total equity</t>
        </is>
      </c>
      <c r="B33" s="5" t="n">
        <v>49983070</v>
      </c>
      <c r="C33" s="5" t="n">
        <v>49380257</v>
      </c>
      <c r="D33" s="5" t="n">
        <v>47552169</v>
      </c>
      <c r="E33" s="5" t="n">
        <v>43325959</v>
      </c>
      <c r="F33" s="5" t="n">
        <v>41496104</v>
      </c>
      <c r="G33" s="5" t="n">
        <v>27580707</v>
      </c>
      <c r="H33" s="5" t="n">
        <v>26026545</v>
      </c>
      <c r="I33" s="5" t="n">
        <v>15274275</v>
      </c>
      <c r="J33" s="5" t="n">
        <v>9305255</v>
      </c>
    </row>
    <row r="34">
      <c r="A34" s="5" t="inlineStr">
        <is>
          <t>Total equity and liabilities</t>
        </is>
      </c>
      <c r="B34" s="5" t="n">
        <v>610043348</v>
      </c>
      <c r="C34" s="5" t="n">
        <v>635400816</v>
      </c>
      <c r="D34" s="5" t="n">
        <v>599055370</v>
      </c>
      <c r="E34" s="5" t="n">
        <v>540260485</v>
      </c>
      <c r="F34" s="5" t="n">
        <v>527973212</v>
      </c>
      <c r="G34" s="5" t="n">
        <v>436448406</v>
      </c>
      <c r="H34" s="5" t="n">
        <v>257912436</v>
      </c>
      <c r="I34" s="5" t="n">
        <v>138334395</v>
      </c>
      <c r="J34" s="5" t="n">
        <v>28396898</v>
      </c>
    </row>
    <row r="36" ht="320" customHeight="1">
      <c r="A36"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36:J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Profit &amp; Loss</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Income</t>
        </is>
      </c>
      <c r="B4" s="6" t="n"/>
      <c r="C4" s="6" t="n"/>
      <c r="D4" s="6" t="n"/>
      <c r="E4" s="6" t="n"/>
      <c r="F4" s="6" t="n"/>
      <c r="G4" s="6" t="n"/>
      <c r="H4" s="6" t="n"/>
      <c r="I4" s="6" t="n"/>
      <c r="J4" s="6" t="n"/>
    </row>
    <row r="5">
      <c r="A5" s="6" t="inlineStr">
        <is>
          <t>Interest receivable</t>
        </is>
      </c>
      <c r="B5" s="6" t="n">
        <v>45241843</v>
      </c>
      <c r="C5" s="6" t="n">
        <v>49521006</v>
      </c>
      <c r="D5" s="6" t="n">
        <v>46123616</v>
      </c>
      <c r="E5" s="6" t="n">
        <v>28087329</v>
      </c>
      <c r="F5" s="6" t="n">
        <v>19924820</v>
      </c>
      <c r="G5" s="6" t="n">
        <v>15124939</v>
      </c>
      <c r="H5" s="6" t="n">
        <v>8812730</v>
      </c>
      <c r="I5" s="6" t="n">
        <v>2669838</v>
      </c>
      <c r="J5" s="6" t="n">
        <v>69854</v>
      </c>
    </row>
    <row r="6">
      <c r="A6" s="6" t="inlineStr">
        <is>
          <t>Interest payable</t>
        </is>
      </c>
      <c r="B6" s="6" t="n">
        <v>-22521076</v>
      </c>
      <c r="C6" s="6" t="n">
        <v>-23269459</v>
      </c>
      <c r="D6" s="6" t="n">
        <v>-17294646</v>
      </c>
      <c r="E6" s="6" t="n">
        <v>-7219223</v>
      </c>
      <c r="F6" s="6" t="n">
        <v>-4789284</v>
      </c>
      <c r="G6" s="6" t="n">
        <v>-4728423</v>
      </c>
      <c r="H6" s="6" t="n">
        <v>-2438965</v>
      </c>
      <c r="I6" s="6" t="n">
        <v>-777169</v>
      </c>
      <c r="J6" s="6" t="n">
        <v>-30961</v>
      </c>
    </row>
    <row r="7">
      <c r="A7" s="5" t="inlineStr">
        <is>
          <t>Net interest income</t>
        </is>
      </c>
      <c r="B7" s="5" t="n">
        <v>22720767</v>
      </c>
      <c r="C7" s="5" t="n">
        <v>26251547</v>
      </c>
      <c r="D7" s="5" t="n">
        <v>28828970</v>
      </c>
      <c r="E7" s="5" t="n">
        <v>20868106</v>
      </c>
      <c r="F7" s="5" t="n">
        <v>15135536</v>
      </c>
      <c r="G7" s="5" t="n">
        <v>10396516</v>
      </c>
      <c r="H7" s="5" t="n">
        <v>6373765</v>
      </c>
      <c r="I7" s="5" t="n">
        <v>1892669</v>
      </c>
      <c r="J7" s="5" t="n">
        <v>38893</v>
      </c>
    </row>
    <row r="8">
      <c r="A8" s="6" t="inlineStr">
        <is>
          <t>Fair value gains/(losses) on financial instruments</t>
        </is>
      </c>
      <c r="B8" s="6" t="n">
        <v>80899</v>
      </c>
      <c r="C8" s="6" t="n">
        <v>-8932</v>
      </c>
      <c r="D8" s="6" t="n"/>
      <c r="E8" s="6" t="n"/>
      <c r="F8" s="6" t="n"/>
      <c r="G8" s="6" t="n"/>
      <c r="H8" s="6" t="n"/>
      <c r="I8" s="6" t="n"/>
      <c r="J8" s="6" t="n"/>
    </row>
    <row r="9">
      <c r="A9" s="5" t="inlineStr">
        <is>
          <t>Total income</t>
        </is>
      </c>
      <c r="B9" s="5" t="n">
        <v>22801666</v>
      </c>
      <c r="C9" s="5" t="n">
        <v>26242615</v>
      </c>
      <c r="D9" s="5" t="n"/>
      <c r="E9" s="5" t="n"/>
      <c r="F9" s="5" t="n"/>
      <c r="G9" s="5" t="n"/>
      <c r="H9" s="5" t="n"/>
      <c r="I9" s="5" t="n"/>
      <c r="J9" s="5" t="n"/>
    </row>
    <row r="10">
      <c r="A10" s="5" t="inlineStr">
        <is>
          <t>Administrative expenses</t>
        </is>
      </c>
      <c r="B10" s="5" t="n">
        <v>-21265984</v>
      </c>
      <c r="C10" s="5" t="n">
        <v>-21675255</v>
      </c>
      <c r="D10" s="5" t="n">
        <v>-20509671</v>
      </c>
      <c r="E10" s="5" t="n">
        <v>-16105258</v>
      </c>
      <c r="F10" s="5" t="n">
        <v>-12922871</v>
      </c>
      <c r="G10" s="5" t="n">
        <v>-9382145</v>
      </c>
      <c r="H10" s="5" t="n">
        <v>-7297813</v>
      </c>
      <c r="I10" s="5" t="n">
        <v>-5457647</v>
      </c>
      <c r="J10" s="5" t="n">
        <v>-3380275</v>
      </c>
    </row>
    <row r="11">
      <c r="A11" s="5" t="inlineStr">
        <is>
          <t>Operating profit before impairment charge</t>
        </is>
      </c>
      <c r="B11" s="5" t="n">
        <v>1535682</v>
      </c>
      <c r="C11" s="5" t="n">
        <v>4567360</v>
      </c>
      <c r="D11" s="5" t="n">
        <v>8319299</v>
      </c>
      <c r="E11" s="5" t="n">
        <v>4762848</v>
      </c>
      <c r="F11" s="5" t="n">
        <v>2212665</v>
      </c>
      <c r="G11" s="5" t="n">
        <v>1014371</v>
      </c>
      <c r="H11" s="5" t="n">
        <v>-924048</v>
      </c>
      <c r="I11" s="5" t="n">
        <v>-3564978</v>
      </c>
      <c r="J11" s="5" t="n">
        <v>-3341382</v>
      </c>
    </row>
    <row r="12">
      <c r="A12" s="6" t="inlineStr">
        <is>
          <t>Impairment charge on loans and advances to customers</t>
        </is>
      </c>
      <c r="B12" s="6" t="n">
        <v>-756168</v>
      </c>
      <c r="C12" s="6" t="n">
        <v>-1869546</v>
      </c>
      <c r="D12" s="6" t="n">
        <v>-2782364</v>
      </c>
      <c r="E12" s="6" t="n">
        <v>-2496977</v>
      </c>
      <c r="F12" s="6" t="n">
        <v>-38873</v>
      </c>
      <c r="G12" s="6" t="n">
        <v>-2717848</v>
      </c>
      <c r="H12" s="6" t="n">
        <v>-304694</v>
      </c>
      <c r="I12" s="6" t="n">
        <v>-241000</v>
      </c>
      <c r="J12" s="6" t="n">
        <v>0</v>
      </c>
    </row>
    <row r="13">
      <c r="A13" s="5" t="inlineStr">
        <is>
          <t>Profit before tax</t>
        </is>
      </c>
      <c r="B13" s="5" t="n">
        <v>779514</v>
      </c>
      <c r="C13" s="5" t="n">
        <v>2697814</v>
      </c>
      <c r="D13" s="5" t="n">
        <v>5536935</v>
      </c>
      <c r="E13" s="5" t="n">
        <v>2265871</v>
      </c>
      <c r="F13" s="5" t="n">
        <v>2173792</v>
      </c>
      <c r="G13" s="5" t="n">
        <v>-1703477</v>
      </c>
      <c r="H13" s="5" t="n">
        <v>-1228742</v>
      </c>
      <c r="I13" s="5" t="n">
        <v>-3805978</v>
      </c>
      <c r="J13" s="5" t="n">
        <v>-3341382</v>
      </c>
    </row>
    <row r="14">
      <c r="A14" s="6" t="inlineStr">
        <is>
          <t>Tax (charge)/credit</t>
        </is>
      </c>
      <c r="B14" s="6" t="n">
        <v>-176701</v>
      </c>
      <c r="C14" s="6" t="n">
        <v>-869726</v>
      </c>
      <c r="D14" s="6" t="n">
        <v>-1332686</v>
      </c>
      <c r="E14" s="6" t="n">
        <v>-468257</v>
      </c>
      <c r="F14" s="6" t="n">
        <v>1910683</v>
      </c>
      <c r="G14" s="6" t="n">
        <v>0</v>
      </c>
      <c r="H14" s="6" t="n">
        <v>0</v>
      </c>
      <c r="I14" s="6" t="n">
        <v>0</v>
      </c>
      <c r="J14" s="6" t="n">
        <v>0</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row>
    <row r="16">
      <c r="A16" s="5" t="inlineStr">
        <is>
          <t>Other comprehensive income</t>
        </is>
      </c>
      <c r="B16" s="6" t="n"/>
      <c r="C16" s="6" t="n"/>
      <c r="D16" s="6" t="n"/>
      <c r="E16" s="6" t="n"/>
      <c r="F16" s="6" t="n"/>
      <c r="G16" s="6" t="n"/>
      <c r="H16" s="6" t="n"/>
      <c r="I16" s="6" t="n"/>
      <c r="J16" s="6" t="n"/>
    </row>
    <row r="17">
      <c r="A17" s="6" t="inlineStr">
        <is>
          <t>Movement in available-for-sale investments</t>
        </is>
      </c>
      <c r="B17" s="6" t="n"/>
      <c r="C17" s="6" t="n"/>
      <c r="D17" s="6" t="n">
        <v>21961</v>
      </c>
      <c r="E17" s="6" t="n">
        <v>32241</v>
      </c>
      <c r="F17" s="6" t="n">
        <v>-69078</v>
      </c>
      <c r="G17" s="6" t="n">
        <v>57639</v>
      </c>
      <c r="H17" s="6" t="n">
        <v>-18987</v>
      </c>
      <c r="I17" s="6" t="n">
        <v>-23776</v>
      </c>
      <c r="J17" s="6" t="n">
        <v>5092</v>
      </c>
    </row>
    <row r="18">
      <c r="A18" s="5" t="inlineStr">
        <is>
          <t>Total comprehensive income</t>
        </is>
      </c>
      <c r="B18" s="5" t="n">
        <v>602813</v>
      </c>
      <c r="C18" s="5" t="n">
        <v>1828088</v>
      </c>
      <c r="D18" s="5" t="n">
        <v>4226210</v>
      </c>
      <c r="E18" s="5" t="n">
        <v>1829855</v>
      </c>
      <c r="F18" s="5" t="n">
        <v>4015397</v>
      </c>
      <c r="G18" s="5" t="n">
        <v>-1645838</v>
      </c>
      <c r="H18" s="5" t="n">
        <v>-1247729</v>
      </c>
      <c r="I18" s="5" t="n">
        <v>-3829754</v>
      </c>
      <c r="J18" s="5" t="n">
        <v>-3336290</v>
      </c>
    </row>
    <row r="20" ht="320" customHeight="1">
      <c r="A2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20:J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Redwood Bank Limited — Statement of Changes in Equity</t>
        </is>
      </c>
    </row>
    <row r="2">
      <c r="A2" s="2" t="inlineStr">
        <is>
          <t>Company-only basis, £, chronological, from FY2017 (the Bank's first year of banking operations; see FLOOR NOTE) to FY2025. Zero undocumented plug rows across all 9 years - every movement is profit/loss for the year, an available-for-sale reserve fair value movement, or a share issue.</t>
        </is>
      </c>
    </row>
    <row r="3">
      <c r="A3" s="4" t="inlineStr">
        <is>
          <t>Movement</t>
        </is>
      </c>
      <c r="B3" s="4" t="inlineStr">
        <is>
          <t>Share capital</t>
        </is>
      </c>
      <c r="C3" s="4" t="inlineStr">
        <is>
          <t>Share premium</t>
        </is>
      </c>
      <c r="D3" s="4" t="inlineStr">
        <is>
          <t>Available-for-sale reserve</t>
        </is>
      </c>
      <c r="E3" s="4" t="inlineStr">
        <is>
          <t>Retained earnings</t>
        </is>
      </c>
      <c r="F3" s="4" t="inlineStr">
        <is>
          <t>Total equity</t>
        </is>
      </c>
    </row>
    <row r="4">
      <c r="A4" s="5" t="inlineStr">
        <is>
          <t>At 1 January 2017</t>
        </is>
      </c>
      <c r="B4" s="5" t="n">
        <v>108</v>
      </c>
      <c r="C4" s="5" t="n">
        <v>0</v>
      </c>
      <c r="D4" s="5" t="n">
        <v>0</v>
      </c>
      <c r="E4" s="5" t="n">
        <v>-377105</v>
      </c>
      <c r="F4" s="5" t="n">
        <v>-376997</v>
      </c>
    </row>
    <row r="5">
      <c r="A5" s="6" t="inlineStr">
        <is>
          <t>Loss for the year</t>
        </is>
      </c>
      <c r="B5" s="6" t="n"/>
      <c r="C5" s="6" t="n"/>
      <c r="D5" s="6" t="n"/>
      <c r="E5" s="6" t="n">
        <v>-3341382</v>
      </c>
      <c r="F5" s="6" t="n">
        <v>-3341382</v>
      </c>
    </row>
    <row r="6">
      <c r="A6" s="6" t="inlineStr">
        <is>
          <t>Other comprehensive income for the year</t>
        </is>
      </c>
      <c r="B6" s="6" t="n"/>
      <c r="C6" s="6" t="n"/>
      <c r="D6" s="6" t="n">
        <v>5092</v>
      </c>
      <c r="E6" s="6" t="n"/>
      <c r="F6" s="6" t="n">
        <v>5092</v>
      </c>
    </row>
    <row r="7">
      <c r="A7" s="5" t="inlineStr">
        <is>
          <t>Total comprehensive income for the year</t>
        </is>
      </c>
      <c r="B7" s="5" t="n"/>
      <c r="C7" s="5" t="n"/>
      <c r="D7" s="5" t="n">
        <v>5092</v>
      </c>
      <c r="E7" s="5" t="n">
        <v>-3341382</v>
      </c>
      <c r="F7" s="5" t="n">
        <v>-3336290</v>
      </c>
    </row>
    <row r="8">
      <c r="A8" s="6" t="inlineStr">
        <is>
          <t>Issue of share capital</t>
        </is>
      </c>
      <c r="B8" s="6" t="n">
        <v>3</v>
      </c>
      <c r="C8" s="6" t="n">
        <v>13018539</v>
      </c>
      <c r="D8" s="6" t="n"/>
      <c r="E8" s="6" t="n"/>
      <c r="F8" s="6" t="n">
        <v>13018542</v>
      </c>
    </row>
    <row r="9">
      <c r="A9" s="5" t="inlineStr">
        <is>
          <t>Total transactions with owners</t>
        </is>
      </c>
      <c r="B9" s="5" t="n">
        <v>3</v>
      </c>
      <c r="C9" s="5" t="n">
        <v>13018539</v>
      </c>
      <c r="D9" s="5" t="n"/>
      <c r="E9" s="5" t="n"/>
      <c r="F9" s="5" t="n">
        <v>13018542</v>
      </c>
    </row>
    <row r="10">
      <c r="A10" s="5" t="inlineStr">
        <is>
          <t>At 31 December 2017</t>
        </is>
      </c>
      <c r="B10" s="5" t="n">
        <v>111</v>
      </c>
      <c r="C10" s="5" t="n">
        <v>13018539</v>
      </c>
      <c r="D10" s="5" t="n">
        <v>5092</v>
      </c>
      <c r="E10" s="5" t="n">
        <v>-3718487</v>
      </c>
      <c r="F10" s="5" t="n">
        <v>9305255</v>
      </c>
    </row>
    <row r="11">
      <c r="A11" s="5" t="inlineStr">
        <is>
          <t>At 1 January 2018</t>
        </is>
      </c>
      <c r="B11" s="5" t="n">
        <v>111</v>
      </c>
      <c r="C11" s="5" t="n">
        <v>13018539</v>
      </c>
      <c r="D11" s="5" t="n">
        <v>5092</v>
      </c>
      <c r="E11" s="5" t="n">
        <v>-3718487</v>
      </c>
      <c r="F11" s="5" t="n">
        <v>9305255</v>
      </c>
    </row>
    <row r="12">
      <c r="A12" s="6" t="inlineStr">
        <is>
          <t>Loss for the year</t>
        </is>
      </c>
      <c r="B12" s="6" t="n"/>
      <c r="C12" s="6" t="n"/>
      <c r="D12" s="6" t="n"/>
      <c r="E12" s="6" t="n">
        <v>-3805978</v>
      </c>
      <c r="F12" s="6" t="n">
        <v>-3805978</v>
      </c>
    </row>
    <row r="13">
      <c r="A13" s="6" t="inlineStr">
        <is>
          <t>Other comprehensive loss for the year</t>
        </is>
      </c>
      <c r="B13" s="6" t="n"/>
      <c r="C13" s="6" t="n"/>
      <c r="D13" s="6" t="n">
        <v>-28868</v>
      </c>
      <c r="E13" s="6" t="n"/>
      <c r="F13" s="6" t="n">
        <v>-28868</v>
      </c>
    </row>
    <row r="14">
      <c r="A14" s="5" t="inlineStr">
        <is>
          <t>Total comprehensive income for the year</t>
        </is>
      </c>
      <c r="B14" s="5" t="n"/>
      <c r="C14" s="5" t="n"/>
      <c r="D14" s="5" t="n">
        <v>-28868</v>
      </c>
      <c r="E14" s="5" t="n">
        <v>-3805978</v>
      </c>
      <c r="F14" s="5" t="n">
        <v>-3834846</v>
      </c>
    </row>
    <row r="15">
      <c r="A15" s="6" t="inlineStr">
        <is>
          <t>Issue of share capital</t>
        </is>
      </c>
      <c r="B15" s="6" t="n"/>
      <c r="C15" s="6" t="n">
        <v>9803866</v>
      </c>
      <c r="D15" s="6" t="n"/>
      <c r="E15" s="6" t="n"/>
      <c r="F15" s="6" t="n">
        <v>9803866</v>
      </c>
    </row>
    <row r="16">
      <c r="A16" s="5" t="inlineStr">
        <is>
          <t>Total transactions with owners</t>
        </is>
      </c>
      <c r="B16" s="5" t="n"/>
      <c r="C16" s="5" t="n">
        <v>9803866</v>
      </c>
      <c r="D16" s="5" t="n"/>
      <c r="E16" s="5" t="n"/>
      <c r="F16" s="5" t="n">
        <v>9803866</v>
      </c>
    </row>
    <row r="17">
      <c r="A17" s="5" t="inlineStr">
        <is>
          <t>At 31 December 2018</t>
        </is>
      </c>
      <c r="B17" s="5" t="n">
        <v>111</v>
      </c>
      <c r="C17" s="5" t="n">
        <v>22822405</v>
      </c>
      <c r="D17" s="5" t="n">
        <v>-23776</v>
      </c>
      <c r="E17" s="5" t="n">
        <v>-7524465</v>
      </c>
      <c r="F17" s="5" t="n">
        <v>15274275</v>
      </c>
    </row>
    <row r="18">
      <c r="A18" s="5" t="inlineStr">
        <is>
          <t>At 1 January 2019</t>
        </is>
      </c>
      <c r="B18" s="5" t="n">
        <v>111</v>
      </c>
      <c r="C18" s="5" t="n">
        <v>22822405</v>
      </c>
      <c r="D18" s="5" t="n">
        <v>-23776</v>
      </c>
      <c r="E18" s="5" t="n">
        <v>-7524465</v>
      </c>
      <c r="F18" s="5" t="n">
        <v>15274275</v>
      </c>
    </row>
    <row r="19">
      <c r="A19" s="6" t="inlineStr">
        <is>
          <t>Loss for the year</t>
        </is>
      </c>
      <c r="B19" s="6" t="n"/>
      <c r="C19" s="6" t="n"/>
      <c r="D19" s="6" t="n"/>
      <c r="E19" s="6" t="n">
        <v>-1228742</v>
      </c>
      <c r="F19" s="6" t="n">
        <v>-1228742</v>
      </c>
    </row>
    <row r="20">
      <c r="A20" s="6" t="inlineStr">
        <is>
          <t>Other comprehensive loss for the year</t>
        </is>
      </c>
      <c r="B20" s="6" t="n"/>
      <c r="C20" s="6" t="n"/>
      <c r="D20" s="6" t="n">
        <v>-18987</v>
      </c>
      <c r="E20" s="6" t="n"/>
      <c r="F20" s="6" t="n">
        <v>-18987</v>
      </c>
    </row>
    <row r="21">
      <c r="A21" s="5" t="inlineStr">
        <is>
          <t>Total comprehensive income for the year</t>
        </is>
      </c>
      <c r="B21" s="5" t="n"/>
      <c r="C21" s="5" t="n"/>
      <c r="D21" s="5" t="n">
        <v>-18987</v>
      </c>
      <c r="E21" s="5" t="n">
        <v>-1228742</v>
      </c>
      <c r="F21" s="5" t="n">
        <v>-1247729</v>
      </c>
    </row>
    <row r="22">
      <c r="A22" s="6" t="inlineStr">
        <is>
          <t>Issue of share capital</t>
        </is>
      </c>
      <c r="B22" s="6" t="n"/>
      <c r="C22" s="6" t="n">
        <v>12000000</v>
      </c>
      <c r="D22" s="6" t="n"/>
      <c r="E22" s="6" t="n"/>
      <c r="F22" s="6" t="n">
        <v>12000000</v>
      </c>
    </row>
    <row r="23">
      <c r="A23" s="5" t="inlineStr">
        <is>
          <t>Total transactions with owners</t>
        </is>
      </c>
      <c r="B23" s="5" t="n"/>
      <c r="C23" s="5" t="n">
        <v>12000000</v>
      </c>
      <c r="D23" s="5" t="n"/>
      <c r="E23" s="5" t="n"/>
      <c r="F23" s="5" t="n">
        <v>12000000</v>
      </c>
    </row>
    <row r="24">
      <c r="A24" s="5" t="inlineStr">
        <is>
          <t>At 31 December 2019</t>
        </is>
      </c>
      <c r="B24" s="5" t="n">
        <v>111</v>
      </c>
      <c r="C24" s="5" t="n">
        <v>34822405</v>
      </c>
      <c r="D24" s="5" t="n">
        <v>-42763</v>
      </c>
      <c r="E24" s="5" t="n">
        <v>-8753208</v>
      </c>
      <c r="F24" s="5" t="n">
        <v>26026545</v>
      </c>
    </row>
    <row r="25">
      <c r="A25" s="5" t="inlineStr">
        <is>
          <t>At 1 January 2020</t>
        </is>
      </c>
      <c r="B25" s="5" t="n">
        <v>111</v>
      </c>
      <c r="C25" s="5" t="n">
        <v>34822405</v>
      </c>
      <c r="D25" s="5" t="n">
        <v>-42763</v>
      </c>
      <c r="E25" s="5" t="n">
        <v>-8753208</v>
      </c>
      <c r="F25" s="5" t="n">
        <v>26026545</v>
      </c>
    </row>
    <row r="26">
      <c r="A26" s="6" t="inlineStr">
        <is>
          <t>Loss for the year</t>
        </is>
      </c>
      <c r="B26" s="6" t="n"/>
      <c r="C26" s="6" t="n"/>
      <c r="D26" s="6" t="n"/>
      <c r="E26" s="6" t="n">
        <v>-1703477</v>
      </c>
      <c r="F26" s="6" t="n">
        <v>-1703477</v>
      </c>
    </row>
    <row r="27">
      <c r="A27" s="6" t="inlineStr">
        <is>
          <t>Other comprehensive income for the year</t>
        </is>
      </c>
      <c r="B27" s="6" t="n"/>
      <c r="C27" s="6" t="n"/>
      <c r="D27" s="6" t="n">
        <v>57639</v>
      </c>
      <c r="E27" s="6" t="n"/>
      <c r="F27" s="6" t="n">
        <v>57639</v>
      </c>
    </row>
    <row r="28">
      <c r="A28" s="5" t="inlineStr">
        <is>
          <t>Total comprehensive income for the year</t>
        </is>
      </c>
      <c r="B28" s="5" t="n"/>
      <c r="C28" s="5" t="n"/>
      <c r="D28" s="5" t="n">
        <v>57639</v>
      </c>
      <c r="E28" s="5" t="n">
        <v>-1703477</v>
      </c>
      <c r="F28" s="5" t="n">
        <v>-1645838</v>
      </c>
    </row>
    <row r="29">
      <c r="A29" s="6" t="inlineStr">
        <is>
          <t>Issue of share capital</t>
        </is>
      </c>
      <c r="B29" s="6" t="n"/>
      <c r="C29" s="6" t="n">
        <v>3200000</v>
      </c>
      <c r="D29" s="6" t="n"/>
      <c r="E29" s="6" t="n"/>
      <c r="F29" s="6" t="n">
        <v>3200000</v>
      </c>
    </row>
    <row r="30">
      <c r="A30" s="5" t="inlineStr">
        <is>
          <t>Total transactions with owners</t>
        </is>
      </c>
      <c r="B30" s="5" t="n"/>
      <c r="C30" s="5" t="n">
        <v>3200000</v>
      </c>
      <c r="D30" s="5" t="n"/>
      <c r="E30" s="5" t="n"/>
      <c r="F30" s="5" t="n">
        <v>3200000</v>
      </c>
    </row>
    <row r="31">
      <c r="A31" s="5" t="inlineStr">
        <is>
          <t>At 31 December 2020</t>
        </is>
      </c>
      <c r="B31" s="5" t="n">
        <v>111</v>
      </c>
      <c r="C31" s="5" t="n">
        <v>38022405</v>
      </c>
      <c r="D31" s="5" t="n">
        <v>14876</v>
      </c>
      <c r="E31" s="5" t="n">
        <v>-10456685</v>
      </c>
      <c r="F31" s="5" t="n">
        <v>27580707</v>
      </c>
    </row>
    <row r="32">
      <c r="A32" s="5" t="inlineStr">
        <is>
          <t>At 1 January 2021</t>
        </is>
      </c>
      <c r="B32" s="5" t="n">
        <v>111</v>
      </c>
      <c r="C32" s="5" t="n">
        <v>38022405</v>
      </c>
      <c r="D32" s="5" t="n">
        <v>14876</v>
      </c>
      <c r="E32" s="5" t="n">
        <v>-10456685</v>
      </c>
      <c r="F32" s="5" t="n">
        <v>27580707</v>
      </c>
    </row>
    <row r="33">
      <c r="A33" s="6" t="inlineStr">
        <is>
          <t>Profit for the year</t>
        </is>
      </c>
      <c r="B33" s="6" t="n"/>
      <c r="C33" s="6" t="n"/>
      <c r="D33" s="6" t="n"/>
      <c r="E33" s="6" t="n">
        <v>4084475</v>
      </c>
      <c r="F33" s="6" t="n">
        <v>4084475</v>
      </c>
    </row>
    <row r="34">
      <c r="A34" s="6" t="inlineStr">
        <is>
          <t>Other comprehensive loss for the year</t>
        </is>
      </c>
      <c r="B34" s="6" t="n"/>
      <c r="C34" s="6" t="n"/>
      <c r="D34" s="6" t="n">
        <v>-69078</v>
      </c>
      <c r="E34" s="6" t="n"/>
      <c r="F34" s="6" t="n">
        <v>-69078</v>
      </c>
    </row>
    <row r="35">
      <c r="A35" s="5" t="inlineStr">
        <is>
          <t>Total comprehensive income for the year</t>
        </is>
      </c>
      <c r="B35" s="5" t="n"/>
      <c r="C35" s="5" t="n"/>
      <c r="D35" s="5" t="n">
        <v>-69078</v>
      </c>
      <c r="E35" s="5" t="n">
        <v>4084475</v>
      </c>
      <c r="F35" s="5" t="n">
        <v>4015397</v>
      </c>
    </row>
    <row r="36">
      <c r="A36" s="6" t="inlineStr">
        <is>
          <t>Issue of share capital</t>
        </is>
      </c>
      <c r="B36" s="6" t="n"/>
      <c r="C36" s="6" t="n">
        <v>9900000</v>
      </c>
      <c r="D36" s="6" t="n"/>
      <c r="E36" s="6" t="n"/>
      <c r="F36" s="6" t="n">
        <v>9900000</v>
      </c>
    </row>
    <row r="37">
      <c r="A37" s="5" t="inlineStr">
        <is>
          <t>Total transactions with owners, recognised directly in equity</t>
        </is>
      </c>
      <c r="B37" s="5" t="n"/>
      <c r="C37" s="5" t="n">
        <v>9900000</v>
      </c>
      <c r="D37" s="5" t="n"/>
      <c r="E37" s="5" t="n"/>
      <c r="F37" s="5" t="n">
        <v>9900000</v>
      </c>
    </row>
    <row r="38">
      <c r="A38" s="5" t="inlineStr">
        <is>
          <t>At 31 December 2021</t>
        </is>
      </c>
      <c r="B38" s="5" t="n">
        <v>111</v>
      </c>
      <c r="C38" s="5" t="n">
        <v>47922405</v>
      </c>
      <c r="D38" s="5" t="n">
        <v>-54202</v>
      </c>
      <c r="E38" s="5" t="n">
        <v>-6372210</v>
      </c>
      <c r="F38" s="5" t="n">
        <v>41496104</v>
      </c>
    </row>
    <row r="39">
      <c r="A39" s="5" t="inlineStr">
        <is>
          <t>At 1 January 2022</t>
        </is>
      </c>
      <c r="B39" s="5" t="n">
        <v>111</v>
      </c>
      <c r="C39" s="5" t="n">
        <v>47922405</v>
      </c>
      <c r="D39" s="5" t="n">
        <v>-54202</v>
      </c>
      <c r="E39" s="5" t="n">
        <v>-6372210</v>
      </c>
      <c r="F39" s="5" t="n">
        <v>41496104</v>
      </c>
    </row>
    <row r="40">
      <c r="A40" s="6" t="inlineStr">
        <is>
          <t>Profit for the year</t>
        </is>
      </c>
      <c r="B40" s="6" t="n"/>
      <c r="C40" s="6" t="n"/>
      <c r="D40" s="6" t="n"/>
      <c r="E40" s="6" t="n">
        <v>1797614</v>
      </c>
      <c r="F40" s="6" t="n">
        <v>1797614</v>
      </c>
    </row>
    <row r="41">
      <c r="A41" s="6" t="inlineStr">
        <is>
          <t>Other comprehensive income for the year</t>
        </is>
      </c>
      <c r="B41" s="6" t="n"/>
      <c r="C41" s="6" t="n"/>
      <c r="D41" s="6" t="n">
        <v>32241</v>
      </c>
      <c r="E41" s="6" t="n"/>
      <c r="F41" s="6" t="n">
        <v>32241</v>
      </c>
    </row>
    <row r="42">
      <c r="A42" s="5" t="inlineStr">
        <is>
          <t>Total comprehensive income for the year</t>
        </is>
      </c>
      <c r="B42" s="5" t="n"/>
      <c r="C42" s="5" t="n"/>
      <c r="D42" s="5" t="n">
        <v>32241</v>
      </c>
      <c r="E42" s="5" t="n">
        <v>1797614</v>
      </c>
      <c r="F42" s="5" t="n">
        <v>1829855</v>
      </c>
    </row>
    <row r="43">
      <c r="A43" s="5" t="inlineStr">
        <is>
          <t>At 31 December 2022</t>
        </is>
      </c>
      <c r="B43" s="5" t="n">
        <v>111</v>
      </c>
      <c r="C43" s="5" t="n">
        <v>47922405</v>
      </c>
      <c r="D43" s="5" t="n">
        <v>-21961</v>
      </c>
      <c r="E43" s="5" t="n">
        <v>-4574596</v>
      </c>
      <c r="F43" s="5" t="n">
        <v>43325959</v>
      </c>
    </row>
    <row r="44">
      <c r="A44" s="5" t="inlineStr">
        <is>
          <t>At 1 January 2023</t>
        </is>
      </c>
      <c r="B44" s="5" t="n">
        <v>111</v>
      </c>
      <c r="C44" s="5" t="n">
        <v>47922405</v>
      </c>
      <c r="D44" s="5" t="n">
        <v>-21961</v>
      </c>
      <c r="E44" s="5" t="n">
        <v>-4574596</v>
      </c>
      <c r="F44" s="5" t="n">
        <v>43325959</v>
      </c>
    </row>
    <row r="45">
      <c r="A45" s="6" t="inlineStr">
        <is>
          <t>Profit for the year</t>
        </is>
      </c>
      <c r="B45" s="6" t="n"/>
      <c r="C45" s="6" t="n"/>
      <c r="D45" s="6" t="n"/>
      <c r="E45" s="6" t="n">
        <v>4204249</v>
      </c>
      <c r="F45" s="6" t="n">
        <v>4204249</v>
      </c>
    </row>
    <row r="46">
      <c r="A46" s="6" t="inlineStr">
        <is>
          <t>Other comprehensive income for the year</t>
        </is>
      </c>
      <c r="B46" s="6" t="n"/>
      <c r="C46" s="6" t="n"/>
      <c r="D46" s="6" t="n">
        <v>21961</v>
      </c>
      <c r="E46" s="6" t="n"/>
      <c r="F46" s="6" t="n">
        <v>21961</v>
      </c>
    </row>
    <row r="47">
      <c r="A47" s="5" t="inlineStr">
        <is>
          <t>Total comprehensive income for the year</t>
        </is>
      </c>
      <c r="B47" s="5" t="n"/>
      <c r="C47" s="5" t="n"/>
      <c r="D47" s="5" t="n">
        <v>21961</v>
      </c>
      <c r="E47" s="5" t="n">
        <v>4204249</v>
      </c>
      <c r="F47" s="5" t="n">
        <v>4226210</v>
      </c>
    </row>
    <row r="48">
      <c r="A48" s="5" t="inlineStr">
        <is>
          <t>At 31 December 2023</t>
        </is>
      </c>
      <c r="B48" s="5" t="n">
        <v>111</v>
      </c>
      <c r="C48" s="5" t="n">
        <v>47922405</v>
      </c>
      <c r="D48" s="5" t="n"/>
      <c r="E48" s="5" t="n">
        <v>-370347</v>
      </c>
      <c r="F48" s="5" t="n">
        <v>47552169</v>
      </c>
    </row>
    <row r="49">
      <c r="A49" s="5" t="inlineStr">
        <is>
          <t>At 1 January 2024</t>
        </is>
      </c>
      <c r="B49" s="5" t="n">
        <v>111</v>
      </c>
      <c r="C49" s="5" t="n">
        <v>47922405</v>
      </c>
      <c r="D49" s="5" t="n"/>
      <c r="E49" s="5" t="n">
        <v>-370347</v>
      </c>
      <c r="F49" s="5" t="n">
        <v>47552169</v>
      </c>
    </row>
    <row r="50">
      <c r="A50" s="6" t="inlineStr">
        <is>
          <t>Profit for the year</t>
        </is>
      </c>
      <c r="B50" s="6" t="n"/>
      <c r="C50" s="6" t="n"/>
      <c r="D50" s="6" t="n"/>
      <c r="E50" s="6" t="n">
        <v>1828088</v>
      </c>
      <c r="F50" s="6" t="n">
        <v>1828088</v>
      </c>
    </row>
    <row r="51">
      <c r="A51" s="5" t="inlineStr">
        <is>
          <t>Total comprehensive income for the year</t>
        </is>
      </c>
      <c r="B51" s="5" t="n"/>
      <c r="C51" s="5" t="n"/>
      <c r="D51" s="5" t="n"/>
      <c r="E51" s="5" t="n">
        <v>1828088</v>
      </c>
      <c r="F51" s="5" t="n">
        <v>1828088</v>
      </c>
    </row>
    <row r="52">
      <c r="A52" s="5" t="inlineStr">
        <is>
          <t>At 31 December 2024</t>
        </is>
      </c>
      <c r="B52" s="5" t="n">
        <v>111</v>
      </c>
      <c r="C52" s="5" t="n">
        <v>47922405</v>
      </c>
      <c r="D52" s="5" t="n"/>
      <c r="E52" s="5" t="n">
        <v>1457741</v>
      </c>
      <c r="F52" s="5" t="n">
        <v>49380257</v>
      </c>
    </row>
    <row r="53">
      <c r="A53" s="5" t="inlineStr">
        <is>
          <t>At 1 January 2025</t>
        </is>
      </c>
      <c r="B53" s="5" t="n">
        <v>111</v>
      </c>
      <c r="C53" s="5" t="n">
        <v>47922405</v>
      </c>
      <c r="D53" s="5" t="n"/>
      <c r="E53" s="5" t="n">
        <v>1457741</v>
      </c>
      <c r="F53" s="5" t="n">
        <v>49380257</v>
      </c>
    </row>
    <row r="54">
      <c r="A54" s="6" t="inlineStr">
        <is>
          <t>Profit for the year</t>
        </is>
      </c>
      <c r="B54" s="6" t="n"/>
      <c r="C54" s="6" t="n"/>
      <c r="D54" s="6" t="n"/>
      <c r="E54" s="6" t="n">
        <v>602813</v>
      </c>
      <c r="F54" s="6" t="n">
        <v>602813</v>
      </c>
    </row>
    <row r="55">
      <c r="A55" s="5" t="inlineStr">
        <is>
          <t>Total comprehensive income for the year</t>
        </is>
      </c>
      <c r="B55" s="5" t="n"/>
      <c r="C55" s="5" t="n"/>
      <c r="D55" s="5" t="n"/>
      <c r="E55" s="5" t="n">
        <v>602813</v>
      </c>
      <c r="F55" s="5" t="n">
        <v>602813</v>
      </c>
    </row>
    <row r="56">
      <c r="A56" s="5" t="inlineStr">
        <is>
          <t>At 31 December 2025</t>
        </is>
      </c>
      <c r="B56" s="5" t="n">
        <v>111</v>
      </c>
      <c r="C56" s="5" t="n">
        <v>47922405</v>
      </c>
      <c r="D56" s="5" t="n"/>
      <c r="E56" s="5" t="n">
        <v>2060554</v>
      </c>
      <c r="F56" s="5" t="n">
        <v>49983070</v>
      </c>
    </row>
    <row r="58" ht="320" customHeight="1">
      <c r="A58"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58:F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Cash Flow Statement</t>
        </is>
      </c>
    </row>
    <row r="2">
      <c r="A2" s="2" t="inlineStr">
        <is>
          <t>Company-only basis, £. FY2021 uses the later FY2022 comparative column;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Operating activities</t>
        </is>
      </c>
      <c r="B4" s="6" t="n"/>
      <c r="C4" s="6" t="n"/>
      <c r="D4" s="6" t="n"/>
      <c r="E4" s="6" t="n"/>
      <c r="F4" s="6" t="n"/>
      <c r="G4" s="6" t="n"/>
      <c r="H4" s="6" t="n"/>
      <c r="I4" s="6" t="n"/>
      <c r="J4" s="6" t="n"/>
    </row>
    <row r="5">
      <c r="A5" s="6" t="inlineStr">
        <is>
          <t>Profit for the year</t>
        </is>
      </c>
      <c r="B5" s="6" t="n">
        <v>602813</v>
      </c>
      <c r="C5" s="6" t="n">
        <v>1828088</v>
      </c>
      <c r="D5" s="6" t="n">
        <v>4204249</v>
      </c>
      <c r="E5" s="6" t="n">
        <v>1797614</v>
      </c>
      <c r="F5" s="6" t="n">
        <v>4084475</v>
      </c>
      <c r="G5" s="6" t="n">
        <v>-1703477</v>
      </c>
      <c r="H5" s="6" t="n">
        <v>-1228742</v>
      </c>
      <c r="I5" s="6" t="n">
        <v>-3805978</v>
      </c>
      <c r="J5" s="6" t="n">
        <v>-3341382</v>
      </c>
    </row>
    <row r="6">
      <c r="A6" s="6" t="inlineStr">
        <is>
          <t>Amortisation of intangibles</t>
        </is>
      </c>
      <c r="B6" s="6" t="n">
        <v>359914</v>
      </c>
      <c r="C6" s="6" t="n">
        <v>336289</v>
      </c>
      <c r="D6" s="6" t="n">
        <v>216413</v>
      </c>
      <c r="E6" s="6" t="n">
        <v>133808</v>
      </c>
      <c r="F6" s="6" t="n">
        <v>85194</v>
      </c>
      <c r="G6" s="6" t="n">
        <v>68623</v>
      </c>
      <c r="H6" s="6" t="n">
        <v>52259</v>
      </c>
      <c r="I6" s="6" t="n">
        <v>46776</v>
      </c>
      <c r="J6" s="6" t="n">
        <v>11650</v>
      </c>
    </row>
    <row r="7">
      <c r="A7" s="6" t="inlineStr">
        <is>
          <t>Depreciation of tangible assets</t>
        </is>
      </c>
      <c r="B7" s="6" t="n">
        <v>91501</v>
      </c>
      <c r="C7" s="6" t="n">
        <v>92566</v>
      </c>
      <c r="D7" s="6" t="n">
        <v>96581</v>
      </c>
      <c r="E7" s="6" t="n">
        <v>104682</v>
      </c>
      <c r="F7" s="6" t="n">
        <v>98689</v>
      </c>
      <c r="G7" s="6" t="n">
        <v>107637</v>
      </c>
      <c r="H7" s="6" t="n">
        <v>99994</v>
      </c>
      <c r="I7" s="6" t="n">
        <v>87874</v>
      </c>
      <c r="J7" s="6" t="n">
        <v>47918</v>
      </c>
    </row>
    <row r="8">
      <c r="A8" s="6" t="inlineStr">
        <is>
          <t>Write off of fixed/intangible assets</t>
        </is>
      </c>
      <c r="B8" s="6" t="n"/>
      <c r="C8" s="6" t="n"/>
      <c r="D8" s="6" t="n"/>
      <c r="E8" s="6" t="n"/>
      <c r="F8" s="6" t="n">
        <v>0</v>
      </c>
      <c r="G8" s="6" t="n">
        <v>838</v>
      </c>
      <c r="H8" s="6" t="n"/>
      <c r="I8" s="6" t="n"/>
      <c r="J8" s="6" t="n"/>
    </row>
    <row r="9">
      <c r="A9" s="6" t="inlineStr">
        <is>
          <t>Impairment losses on intangible assets</t>
        </is>
      </c>
      <c r="B9" s="6" t="n"/>
      <c r="C9" s="6" t="n"/>
      <c r="D9" s="6" t="n"/>
      <c r="E9" s="6" t="n"/>
      <c r="F9" s="6" t="n"/>
      <c r="G9" s="6" t="n"/>
      <c r="H9" s="6" t="n">
        <v>32440</v>
      </c>
      <c r="I9" s="6" t="n"/>
      <c r="J9" s="6" t="n"/>
    </row>
    <row r="10">
      <c r="A10" s="6" t="inlineStr">
        <is>
          <t>Impairment charge on loans and advances to customers</t>
        </is>
      </c>
      <c r="B10" s="6" t="n">
        <v>756168</v>
      </c>
      <c r="C10" s="6" t="n">
        <v>1869546</v>
      </c>
      <c r="D10" s="6" t="n">
        <v>2782364</v>
      </c>
      <c r="E10" s="6" t="n">
        <v>2496977</v>
      </c>
      <c r="F10" s="6" t="n">
        <v>38873</v>
      </c>
      <c r="G10" s="6" t="n">
        <v>2717848</v>
      </c>
      <c r="H10" s="6" t="n">
        <v>304694</v>
      </c>
      <c r="I10" s="6" t="n"/>
      <c r="J10" s="6" t="n"/>
    </row>
    <row r="11">
      <c r="A11" s="6" t="inlineStr">
        <is>
          <t>Net increase in loans to banks</t>
        </is>
      </c>
      <c r="B11" s="6" t="n">
        <v>-1870000</v>
      </c>
      <c r="C11" s="6" t="n"/>
      <c r="D11" s="6" t="n"/>
      <c r="E11" s="6" t="n"/>
      <c r="F11" s="6" t="n"/>
      <c r="G11" s="6" t="n"/>
      <c r="H11" s="6" t="n"/>
      <c r="I11" s="6" t="n"/>
      <c r="J11" s="6" t="n"/>
    </row>
    <row r="12">
      <c r="A12" s="6" t="inlineStr">
        <is>
          <t>Net decrease/(increase) in loans to customers</t>
        </is>
      </c>
      <c r="B12" s="6" t="n">
        <v>1043154</v>
      </c>
      <c r="C12" s="6" t="n">
        <v>-80130410</v>
      </c>
      <c r="D12" s="6" t="n"/>
      <c r="E12" s="6" t="n"/>
      <c r="F12" s="6" t="n"/>
      <c r="G12" s="6" t="n"/>
      <c r="H12" s="6" t="n"/>
      <c r="I12" s="6" t="n"/>
      <c r="J12" s="6" t="n"/>
    </row>
    <row r="13">
      <c r="A13" s="6" t="inlineStr">
        <is>
          <t>Net increase in customer deposits</t>
        </is>
      </c>
      <c r="B13" s="6" t="n"/>
      <c r="C13" s="6" t="n">
        <v>53028098</v>
      </c>
      <c r="D13" s="6" t="n">
        <v>52794173</v>
      </c>
      <c r="E13" s="6" t="n">
        <v>9134687</v>
      </c>
      <c r="F13" s="6" t="n">
        <v>58428886</v>
      </c>
      <c r="G13" s="6" t="n">
        <v>148686878</v>
      </c>
      <c r="H13" s="6" t="n">
        <v>108479770</v>
      </c>
      <c r="I13" s="6" t="n">
        <v>103781244</v>
      </c>
      <c r="J13" s="6" t="n">
        <v>18661835</v>
      </c>
    </row>
    <row r="14">
      <c r="A14" s="6" t="inlineStr">
        <is>
          <t>(Decrease)/increase in customer deposits</t>
        </is>
      </c>
      <c r="B14" s="6" t="n">
        <v>-6233049</v>
      </c>
      <c r="C14" s="6" t="n"/>
      <c r="D14" s="6" t="n"/>
      <c r="E14" s="6" t="n"/>
      <c r="F14" s="6" t="n"/>
      <c r="G14" s="6" t="n"/>
      <c r="H14" s="6" t="n"/>
      <c r="I14" s="6" t="n"/>
      <c r="J14" s="6" t="n"/>
    </row>
    <row r="15">
      <c r="A15" s="6" t="inlineStr">
        <is>
          <t>Increase in other liabilities</t>
        </is>
      </c>
      <c r="B15" s="6" t="n"/>
      <c r="C15" s="6" t="n">
        <v>749378</v>
      </c>
      <c r="D15" s="6" t="n">
        <v>1346720</v>
      </c>
      <c r="E15" s="6" t="n">
        <v>1072022</v>
      </c>
      <c r="F15" s="6" t="n">
        <v>770530</v>
      </c>
      <c r="G15" s="6" t="n">
        <v>94931</v>
      </c>
      <c r="H15" s="6" t="n">
        <v>346001</v>
      </c>
      <c r="I15" s="6" t="n">
        <v>187233</v>
      </c>
      <c r="J15" s="6" t="n">
        <v>52704</v>
      </c>
    </row>
    <row r="16">
      <c r="A16" s="6" t="inlineStr">
        <is>
          <t>(Decrease)/increase in other liabilities</t>
        </is>
      </c>
      <c r="B16" s="6" t="n">
        <v>-1322763</v>
      </c>
      <c r="C16" s="6" t="n"/>
      <c r="D16" s="6" t="n"/>
      <c r="E16" s="6" t="n"/>
      <c r="F16" s="6" t="n"/>
      <c r="G16" s="6" t="n"/>
      <c r="H16" s="6" t="n"/>
      <c r="I16" s="6" t="n"/>
      <c r="J16" s="6" t="n"/>
    </row>
    <row r="17">
      <c r="A17" s="6" t="inlineStr">
        <is>
          <t>Increase in other assets</t>
        </is>
      </c>
      <c r="B17" s="6" t="n"/>
      <c r="C17" s="6" t="n">
        <v>-194032</v>
      </c>
      <c r="D17" s="6" t="n">
        <v>-183415</v>
      </c>
      <c r="E17" s="6" t="n">
        <v>-201534</v>
      </c>
      <c r="F17" s="6" t="n">
        <v>-112205</v>
      </c>
      <c r="G17" s="6" t="n">
        <v>-41905</v>
      </c>
      <c r="H17" s="6" t="n">
        <v>-89931</v>
      </c>
      <c r="I17" s="6" t="n">
        <v>-165963</v>
      </c>
      <c r="J17" s="6" t="n">
        <v>-240401</v>
      </c>
    </row>
    <row r="18">
      <c r="A18" s="6" t="inlineStr">
        <is>
          <t>Increase in other assets</t>
        </is>
      </c>
      <c r="B18" s="6" t="n">
        <v>-1390656</v>
      </c>
      <c r="C18" s="6" t="n"/>
      <c r="D18" s="6" t="n"/>
      <c r="E18" s="6" t="n"/>
      <c r="F18" s="6" t="n"/>
      <c r="G18" s="6" t="n"/>
      <c r="H18" s="6" t="n"/>
      <c r="I18" s="6" t="n"/>
      <c r="J18" s="6" t="n"/>
    </row>
    <row r="19">
      <c r="A19" s="6" t="inlineStr">
        <is>
          <t>Net increase in loans to customers</t>
        </is>
      </c>
      <c r="B19" s="6" t="n"/>
      <c r="C19" s="6" t="n"/>
      <c r="D19" s="6" t="n">
        <v>-13393698</v>
      </c>
      <c r="E19" s="6" t="n">
        <v>-36070258</v>
      </c>
      <c r="F19" s="6" t="n">
        <v>-45957889</v>
      </c>
      <c r="G19" s="6" t="n">
        <v>-156378957</v>
      </c>
      <c r="H19" s="6" t="n">
        <v>-91101142</v>
      </c>
      <c r="I19" s="6" t="n">
        <v>-71009065</v>
      </c>
      <c r="J19" s="6" t="n">
        <v>-8413052</v>
      </c>
    </row>
    <row r="20">
      <c r="A20" s="6" t="inlineStr">
        <is>
          <t>Increase in accruals and deferred income</t>
        </is>
      </c>
      <c r="B20" s="6" t="n">
        <v>-781191</v>
      </c>
      <c r="C20" s="6" t="n"/>
      <c r="D20" s="6" t="n"/>
      <c r="E20" s="6" t="n"/>
      <c r="F20" s="6" t="n"/>
      <c r="G20" s="6" t="n"/>
      <c r="H20" s="6" t="n"/>
      <c r="I20" s="6" t="n"/>
      <c r="J20" s="6" t="n"/>
    </row>
    <row r="21">
      <c r="A21" s="6" t="inlineStr">
        <is>
          <t>Decrease/(increase) in payments and accrued income</t>
        </is>
      </c>
      <c r="B21" s="6" t="n">
        <v>49647</v>
      </c>
      <c r="C21" s="6" t="n"/>
      <c r="D21" s="6" t="n"/>
      <c r="E21" s="6" t="n"/>
      <c r="F21" s="6" t="n"/>
      <c r="G21" s="6" t="n"/>
      <c r="H21" s="6" t="n"/>
      <c r="I21" s="6" t="n"/>
      <c r="J21" s="6" t="n"/>
    </row>
    <row r="22">
      <c r="A22" s="6" t="inlineStr">
        <is>
          <t>Increase in interest payable on TFSME</t>
        </is>
      </c>
      <c r="B22" s="6" t="n"/>
      <c r="C22" s="6" t="n"/>
      <c r="D22" s="6" t="n">
        <v>205532</v>
      </c>
      <c r="E22" s="6" t="n">
        <v>250709</v>
      </c>
      <c r="F22" s="6" t="n">
        <v>9994</v>
      </c>
      <c r="G22" s="6" t="n"/>
      <c r="H22" s="6" t="n"/>
      <c r="I22" s="6" t="n"/>
      <c r="J22" s="6" t="n"/>
    </row>
    <row r="23">
      <c r="A23" s="6" t="inlineStr">
        <is>
          <t>(Decrease)/increase in interest payable on TFSME</t>
        </is>
      </c>
      <c r="B23" s="6" t="n">
        <v>-226182</v>
      </c>
      <c r="C23" s="6" t="n">
        <v>-241806</v>
      </c>
      <c r="D23" s="6" t="n"/>
      <c r="E23" s="6" t="n"/>
      <c r="F23" s="6" t="n"/>
      <c r="G23" s="6" t="n"/>
      <c r="H23" s="6" t="n"/>
      <c r="I23" s="6" t="n"/>
      <c r="J23" s="6" t="n"/>
    </row>
    <row r="24">
      <c r="A24" s="6" t="inlineStr">
        <is>
          <t>Redemption of TFSME</t>
        </is>
      </c>
      <c r="B24" s="6" t="n">
        <v>-18500000</v>
      </c>
      <c r="C24" s="6" t="n">
        <v>-19100000</v>
      </c>
      <c r="D24" s="6" t="n"/>
      <c r="E24" s="6" t="n"/>
      <c r="F24" s="6" t="n"/>
      <c r="G24" s="6" t="n"/>
      <c r="H24" s="6" t="n"/>
      <c r="I24" s="6" t="n"/>
      <c r="J24" s="6" t="n"/>
    </row>
    <row r="25">
      <c r="A25" s="6" t="inlineStr">
        <is>
          <t>Net increase in derivatives and hedged items</t>
        </is>
      </c>
      <c r="B25" s="6" t="n">
        <v>-50510</v>
      </c>
      <c r="C25" s="6" t="n">
        <v>-27459</v>
      </c>
      <c r="D25" s="6" t="n"/>
      <c r="E25" s="6" t="n"/>
      <c r="F25" s="6" t="n"/>
      <c r="G25" s="6" t="n"/>
      <c r="H25" s="6" t="n"/>
      <c r="I25" s="6" t="n"/>
      <c r="J25" s="6" t="n"/>
    </row>
    <row r="26">
      <c r="A26" s="6" t="inlineStr">
        <is>
          <t>Finance cost for subordinated debt</t>
        </is>
      </c>
      <c r="B26" s="6" t="n">
        <v>585000</v>
      </c>
      <c r="C26" s="6" t="n">
        <v>586603</v>
      </c>
      <c r="D26" s="6" t="n">
        <v>585000</v>
      </c>
      <c r="E26" s="6" t="n">
        <v>585000</v>
      </c>
      <c r="F26" s="6" t="n">
        <v>583397</v>
      </c>
      <c r="G26" s="6" t="n"/>
      <c r="H26" s="6" t="n"/>
      <c r="I26" s="6" t="n"/>
      <c r="J26" s="6" t="n"/>
    </row>
    <row r="27">
      <c r="A27" s="6" t="inlineStr">
        <is>
          <t>Fair value change of treasury bills and gilts</t>
        </is>
      </c>
      <c r="B27" s="6" t="n"/>
      <c r="C27" s="6" t="n">
        <v>0</v>
      </c>
      <c r="D27" s="6" t="n">
        <v>21961</v>
      </c>
      <c r="E27" s="6" t="n">
        <v>32241</v>
      </c>
      <c r="F27" s="6" t="n">
        <v>-69078</v>
      </c>
      <c r="G27" s="6" t="n"/>
      <c r="H27" s="6" t="n"/>
      <c r="I27" s="6" t="n"/>
      <c r="J27" s="6" t="n">
        <v>6287</v>
      </c>
    </row>
    <row r="28">
      <c r="A28" s="6" t="inlineStr">
        <is>
          <t>Income tax</t>
        </is>
      </c>
      <c r="B28" s="6" t="n">
        <v>-111603</v>
      </c>
      <c r="C28" s="6" t="n">
        <v>106161</v>
      </c>
      <c r="D28" s="6" t="n">
        <v>1332686</v>
      </c>
      <c r="E28" s="6" t="n">
        <v>468257</v>
      </c>
      <c r="F28" s="6" t="n">
        <v>-1910683</v>
      </c>
      <c r="G28" s="6" t="n"/>
      <c r="H28" s="6" t="n"/>
      <c r="I28" s="6" t="n"/>
      <c r="J28" s="6" t="n"/>
    </row>
    <row r="29">
      <c r="A29" s="6" t="inlineStr">
        <is>
          <t>Interest paid for subordinated debt</t>
        </is>
      </c>
      <c r="B29" s="6" t="n">
        <v>-585000</v>
      </c>
      <c r="C29" s="6" t="n">
        <v>-586603</v>
      </c>
      <c r="D29" s="6" t="n">
        <v>-585000</v>
      </c>
      <c r="E29" s="6" t="n">
        <v>-585000</v>
      </c>
      <c r="F29" s="6" t="n">
        <v>-583397</v>
      </c>
      <c r="G29" s="6" t="n"/>
      <c r="H29" s="6" t="n"/>
      <c r="I29" s="6" t="n"/>
      <c r="J29" s="6" t="n"/>
    </row>
    <row r="30">
      <c r="A30" s="5" t="inlineStr">
        <is>
          <t>Net cash from/(used in) operating activities</t>
        </is>
      </c>
      <c r="B30" s="5" t="n">
        <v>-27582757</v>
      </c>
      <c r="C30" s="5" t="n">
        <v>-41683581</v>
      </c>
      <c r="D30" s="5" t="n">
        <v>49423566</v>
      </c>
      <c r="E30" s="5" t="n">
        <v>-20780795</v>
      </c>
      <c r="F30" s="5" t="n">
        <v>15466786</v>
      </c>
      <c r="G30" s="5" t="n">
        <v>-6447584</v>
      </c>
      <c r="H30" s="5" t="n">
        <v>16895343</v>
      </c>
      <c r="I30" s="5" t="n">
        <v>29122121</v>
      </c>
      <c r="J30" s="5" t="n">
        <v>6785559</v>
      </c>
    </row>
    <row r="31">
      <c r="A31" s="5" t="inlineStr">
        <is>
          <t>Investing activities</t>
        </is>
      </c>
      <c r="B31" s="6" t="n"/>
      <c r="C31" s="6" t="n"/>
      <c r="D31" s="6" t="n"/>
      <c r="E31" s="6" t="n"/>
      <c r="F31" s="6" t="n"/>
      <c r="G31" s="6" t="n"/>
      <c r="H31" s="6" t="n"/>
      <c r="I31" s="6" t="n"/>
      <c r="J31" s="6" t="n"/>
    </row>
    <row r="32">
      <c r="A32" s="6" t="inlineStr">
        <is>
          <t>Purchases of tangible fixed assets</t>
        </is>
      </c>
      <c r="B32" s="6" t="n">
        <v>-44743</v>
      </c>
      <c r="C32" s="6" t="n">
        <v>-69653</v>
      </c>
      <c r="D32" s="6" t="n">
        <v>-104556</v>
      </c>
      <c r="E32" s="6" t="n">
        <v>-88663</v>
      </c>
      <c r="F32" s="6" t="n">
        <v>-22261</v>
      </c>
      <c r="G32" s="6" t="n">
        <v>-43352</v>
      </c>
      <c r="H32" s="6" t="n">
        <v>-118727</v>
      </c>
      <c r="I32" s="6" t="n">
        <v>-33495</v>
      </c>
      <c r="J32" s="6" t="n">
        <v>-407342</v>
      </c>
    </row>
    <row r="33">
      <c r="A33" s="6" t="inlineStr">
        <is>
          <t>Purchases of intangible assets</t>
        </is>
      </c>
      <c r="B33" s="6" t="n">
        <v>-481172</v>
      </c>
      <c r="C33" s="6" t="n">
        <v>-563604</v>
      </c>
      <c r="D33" s="6" t="n">
        <v>-551237</v>
      </c>
      <c r="E33" s="6" t="n">
        <v>-400735</v>
      </c>
      <c r="F33" s="6" t="n">
        <v>-87059</v>
      </c>
      <c r="G33" s="6" t="n">
        <v>-56972</v>
      </c>
      <c r="H33" s="6" t="n">
        <v>-58899</v>
      </c>
      <c r="I33" s="6" t="n">
        <v>-101325</v>
      </c>
      <c r="J33" s="6" t="n">
        <v>-174755</v>
      </c>
    </row>
    <row r="34">
      <c r="A34" s="6" t="inlineStr">
        <is>
          <t>Acquisition of treasury bills and gilts</t>
        </is>
      </c>
      <c r="B34" s="6" t="n"/>
      <c r="C34" s="6" t="n">
        <v>-5053587</v>
      </c>
      <c r="D34" s="6" t="n">
        <v>-44402384</v>
      </c>
      <c r="E34" s="6" t="n">
        <v>-9165232</v>
      </c>
      <c r="F34" s="6" t="n">
        <v>-19884208</v>
      </c>
      <c r="G34" s="6" t="n">
        <v>-45233273</v>
      </c>
      <c r="H34" s="6" t="n">
        <v>-54517186</v>
      </c>
      <c r="I34" s="6" t="n">
        <v>-77038998</v>
      </c>
      <c r="J34" s="6" t="n">
        <v>-15027745</v>
      </c>
    </row>
    <row r="35">
      <c r="A35" s="6" t="inlineStr">
        <is>
          <t>Acquisition of gilts</t>
        </is>
      </c>
      <c r="B35" s="6" t="n">
        <v>0</v>
      </c>
      <c r="C35" s="6" t="n"/>
      <c r="D35" s="6" t="n"/>
      <c r="E35" s="6" t="n"/>
      <c r="F35" s="6" t="n"/>
      <c r="G35" s="6" t="n"/>
      <c r="H35" s="6" t="n"/>
      <c r="I35" s="6" t="n"/>
      <c r="J35" s="6" t="n"/>
    </row>
    <row r="36">
      <c r="A36" s="6" t="inlineStr">
        <is>
          <t>Proceeds on sale/maturity of treasury bills and gilts</t>
        </is>
      </c>
      <c r="B36" s="6" t="n">
        <v>4998122</v>
      </c>
      <c r="C36" s="6" t="n">
        <v>53536391</v>
      </c>
      <c r="D36" s="6" t="n">
        <v>20866125</v>
      </c>
      <c r="E36" s="6" t="n">
        <v>9145225</v>
      </c>
      <c r="F36" s="6" t="n">
        <v>199669</v>
      </c>
      <c r="G36" s="6" t="n">
        <v>65159045</v>
      </c>
      <c r="H36" s="6" t="n">
        <v>44525290</v>
      </c>
      <c r="I36" s="6" t="n">
        <v>51888836</v>
      </c>
      <c r="J36" s="6" t="n"/>
    </row>
    <row r="37">
      <c r="A37" s="5" t="inlineStr">
        <is>
          <t>Net cash generated/(used in) investing activities</t>
        </is>
      </c>
      <c r="B37" s="5" t="n">
        <v>4472207</v>
      </c>
      <c r="C37" s="5" t="n">
        <v>47849547</v>
      </c>
      <c r="D37" s="5" t="n">
        <v>-24192052</v>
      </c>
      <c r="E37" s="5" t="n">
        <v>-509405</v>
      </c>
      <c r="F37" s="5" t="n">
        <v>-19793859</v>
      </c>
      <c r="G37" s="5" t="n">
        <v>19825448</v>
      </c>
      <c r="H37" s="5" t="n">
        <v>-10169522</v>
      </c>
      <c r="I37" s="5" t="n">
        <v>-25284982</v>
      </c>
      <c r="J37" s="5" t="n">
        <v>-15609842</v>
      </c>
    </row>
    <row r="38">
      <c r="A38" s="5" t="inlineStr">
        <is>
          <t>Financing activities</t>
        </is>
      </c>
      <c r="B38" s="6" t="n"/>
      <c r="C38" s="6" t="n"/>
      <c r="D38" s="6" t="n"/>
      <c r="E38" s="6" t="n"/>
      <c r="F38" s="6" t="n"/>
      <c r="G38" s="6" t="n"/>
      <c r="H38" s="6" t="n"/>
      <c r="I38" s="6" t="n"/>
      <c r="J38" s="6" t="n"/>
    </row>
    <row r="39">
      <c r="A39" s="6" t="inlineStr">
        <is>
          <t>Proceeds of issue of ordinary shares</t>
        </is>
      </c>
      <c r="B39" s="6" t="n"/>
      <c r="C39" s="6" t="n"/>
      <c r="D39" s="6" t="n"/>
      <c r="E39" s="6" t="n"/>
      <c r="F39" s="6" t="n">
        <v>9900000</v>
      </c>
      <c r="G39" s="6" t="n">
        <v>3200000</v>
      </c>
      <c r="H39" s="6" t="n">
        <v>12000000</v>
      </c>
      <c r="I39" s="6" t="n">
        <v>9803866</v>
      </c>
      <c r="J39" s="6" t="n">
        <v>13018542</v>
      </c>
    </row>
    <row r="40">
      <c r="A40" s="6" t="inlineStr">
        <is>
          <t>Proceeds of issue of subordinated debt</t>
        </is>
      </c>
      <c r="B40" s="6" t="n"/>
      <c r="C40" s="6" t="n"/>
      <c r="D40" s="6" t="n"/>
      <c r="E40" s="6" t="n"/>
      <c r="F40" s="6" t="n"/>
      <c r="G40" s="6" t="n">
        <v>9000000</v>
      </c>
      <c r="H40" s="6" t="n"/>
      <c r="I40" s="6" t="n"/>
      <c r="J40" s="6" t="n"/>
    </row>
    <row r="41">
      <c r="A41" s="6" t="inlineStr">
        <is>
          <t>Proceeds of TFSME</t>
        </is>
      </c>
      <c r="B41" s="6" t="n"/>
      <c r="C41" s="6" t="n"/>
      <c r="D41" s="6" t="n"/>
      <c r="E41" s="6" t="n"/>
      <c r="F41" s="6" t="n">
        <v>18400000</v>
      </c>
      <c r="G41" s="6" t="n">
        <v>19200000</v>
      </c>
      <c r="H41" s="6" t="n"/>
      <c r="I41" s="6" t="n"/>
      <c r="J41" s="6" t="n"/>
    </row>
    <row r="42">
      <c r="A42" s="5" t="inlineStr">
        <is>
          <t>Net cash from financing activities</t>
        </is>
      </c>
      <c r="B42" s="5" t="n"/>
      <c r="C42" s="5" t="n"/>
      <c r="D42" s="5" t="n"/>
      <c r="E42" s="5" t="n"/>
      <c r="F42" s="5" t="n">
        <v>28300000</v>
      </c>
      <c r="G42" s="5" t="n">
        <v>31400000</v>
      </c>
      <c r="H42" s="5" t="n">
        <v>12000000</v>
      </c>
      <c r="I42" s="5" t="n">
        <v>9803866</v>
      </c>
      <c r="J42" s="5" t="n">
        <v>13018542</v>
      </c>
    </row>
    <row r="43">
      <c r="A43" s="5" t="inlineStr">
        <is>
          <t>Net cash (decrease)/increase in cash and cash equivalents</t>
        </is>
      </c>
      <c r="B43" s="5" t="n">
        <v>-23110550</v>
      </c>
      <c r="C43" s="5" t="n">
        <v>6165966</v>
      </c>
      <c r="D43" s="5" t="n">
        <v>25231514</v>
      </c>
      <c r="E43" s="5" t="n">
        <v>-21290200</v>
      </c>
      <c r="F43" s="5" t="n">
        <v>23972927</v>
      </c>
      <c r="G43" s="5" t="n">
        <v>44777864</v>
      </c>
      <c r="H43" s="5" t="n">
        <v>18725821</v>
      </c>
      <c r="I43" s="5" t="n">
        <v>13641005</v>
      </c>
      <c r="J43" s="5" t="n">
        <v>4194259</v>
      </c>
    </row>
    <row r="44">
      <c r="A44" s="6" t="inlineStr">
        <is>
          <t>Cash and cash equivalents at the beginning of year</t>
        </is>
      </c>
      <c r="B44" s="6" t="n">
        <v>113293493</v>
      </c>
      <c r="C44" s="6" t="n">
        <v>109250259</v>
      </c>
      <c r="D44" s="6" t="n">
        <v>84018745</v>
      </c>
      <c r="E44" s="6" t="n">
        <v>105308945</v>
      </c>
      <c r="F44" s="6" t="n">
        <v>81336018</v>
      </c>
      <c r="G44" s="6" t="n">
        <v>36558154</v>
      </c>
      <c r="H44" s="6" t="n">
        <v>17832333</v>
      </c>
      <c r="I44" s="6" t="n">
        <v>4191328</v>
      </c>
      <c r="J44" s="6" t="n">
        <v>-2931</v>
      </c>
    </row>
    <row r="45">
      <c r="A45" s="5" t="inlineStr">
        <is>
          <t>Cash and cash equivalents at the end of year</t>
        </is>
      </c>
      <c r="B45" s="5" t="n">
        <v>90182943</v>
      </c>
      <c r="C45" s="5" t="n">
        <v>115416225</v>
      </c>
      <c r="D45" s="5" t="n">
        <v>109250259</v>
      </c>
      <c r="E45" s="5" t="n">
        <v>84018745</v>
      </c>
      <c r="F45" s="5" t="n">
        <v>105308945</v>
      </c>
      <c r="G45" s="5" t="n">
        <v>81336018</v>
      </c>
      <c r="H45" s="5" t="n">
        <v>36558154</v>
      </c>
      <c r="I45" s="5" t="n">
        <v>17832333</v>
      </c>
      <c r="J45" s="5" t="n">
        <v>4191328</v>
      </c>
    </row>
    <row r="47" ht="300" customHeight="1">
      <c r="A47" s="8" t="inlineStr">
        <is>
          <t>Sources - Redwood Bank Limited Company-only statement of cash flows, £:
FY2025: Redwood Bank Annual Report and Accounts 2025, p.50 - https://redwoodbank.co.uk/media/howpdnen/2025-annual-report-and-accounts_redwood-bank-signed-150426.pdf
FY2024: Redwood Bank Annual Report and Accounts 2024, p.47 - https://redwoodbank.co.uk/media/0h5hp3ku/2024-redwood-bank-annual-report-and-accounts.pdf
FY2023: Redwood Bank Annual Report and Accounts 2023, p.59 - https://redwoodbank.co.uk/media/zrjnifqm/redwood-year-end-annual-report-and-accounts-2023-1.pdf
FY2022: Redwood Bank Limited full accounts made up to 31 December 2022 filed at Companies House, p.33 (comparative column) - https://find-and-update.company-information.service.gov.uk/company/09872265/filing-history/MzM4NjEzNjAwN2FkaXF6a2N4/document?download=0&amp;format=pdf
FY2021: Redwood Bank Limited full accounts made up to 31 December 2022 filed at Companies House, p.33 (comparative column for 2021), with the 2021 account used as a cross-check, p.28 - https://find-and-update.company-information.service.gov.uk/company/09872265/filing-history/MzM4NjEzNjAwN2FkaXF6a2N4/document?download=0&amp;format=pdf
FY2020: Redwood Bank Limited full accounts made up to 31 December 2020 filed at Companies House, p.26 - https://find-and-update.company-information.service.gov.uk/company/09872265/filing-history/MzMxNTg5MTEzOWFkaXF6a2N4/document?download=0&amp;format=pdf
FY2019: Redwood Bank Limited full accounts made up to 31 December 2019 filed at Companies House, p.24 - https://find-and-update.company-information.service.gov.uk/company/09872265/filing-history/MzI3OTU5MDgxMmFkaXF6a2N4/document?download=0&amp;format=pdf
FY2018: Redwood Bank Limited full accounts made up to 31 December 2018 filed at Companies House, p.21 - https://find-and-update.company-information.service.gov.uk/company/09872265/filing-history/MzI0NTgzMDAyMWFkaXF6a2N4/document?download=0&amp;format=pdf
FY2017: Redwood Bank Limited Annual Report and Financial Statements for the year ended 31 December 2017 (first year filed under the Redwood Bank name, audited by KPMG LLP), filed at Companies House, p.15 - https://find-and-update.company-information.service.gov.uk/company/09872265/filing-history/MzIxNTgzNTUxNWFkaXF6a2N4/document?download=0&amp;format=pdf
The FY2022 and FY2021 columns use later-year comparative columns where available, following the project rule to inspect comparatives before seeking separate documents. The FY2021 comparative presents a small internal reclassification of TFSME interest and financing cash: its operating subtotal is £15,466,786 and financing subtotal £28,300,000, while the standalone 2021 report prints £15,456,792 and £28,309,994. Both produce the same reported net cash increase of £23,972,927 and the same closing cash of £105,308,945; the later comparative is used consistently here. FY2020-FY2017 are each taken from that year's own originally-filed statement (cross-checked against the following year's comparative column where available); FY2020's closing cash of £81,336,018 ties exactly to FY2021's opening cash, confirming continuity across the FY2020/FY2021 boundary. The FY2017 statement uses the labels 'Interest income'/'Interest expense' rather than later years' 'Interest receivable'/'Interest payable' - a presentational difference only.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47:J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Asset Quality</t>
        </is>
      </c>
    </row>
    <row r="2">
      <c r="A2" s="2" t="inlineStr">
        <is>
          <t>Company-only basis, £. FRS 102 basis (no IFRS 9 stage 1/2/3 split); see source note for category definitions. NPL and coverage ratios are derived, not separately disclosed by the Bank.</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Loan book quality (mortgage portfolio)</t>
        </is>
      </c>
      <c r="B4" s="6" t="n"/>
      <c r="C4" s="6" t="n"/>
      <c r="D4" s="6" t="n"/>
      <c r="E4" s="6" t="n"/>
      <c r="F4" s="6" t="n"/>
      <c r="G4" s="6" t="n"/>
      <c r="H4" s="6" t="n"/>
      <c r="I4" s="6" t="n"/>
      <c r="J4" s="6" t="n"/>
    </row>
    <row r="5">
      <c r="A5" s="6" t="inlineStr">
        <is>
          <t>Gross loans and advances to customers (before deferred fees/provisions)</t>
        </is>
      </c>
      <c r="B5" s="6" t="n">
        <v>496453100</v>
      </c>
      <c r="C5" s="6" t="n">
        <v>498343502</v>
      </c>
      <c r="D5" s="6" t="n">
        <v>422021987</v>
      </c>
      <c r="E5" s="6" t="n">
        <v>410806685</v>
      </c>
      <c r="F5" s="6" t="n">
        <v>375065639</v>
      </c>
      <c r="G5" s="6" t="n">
        <v>329124138</v>
      </c>
      <c r="H5" s="6" t="n">
        <v>172178122</v>
      </c>
      <c r="I5" s="6" t="n">
        <v>80504046</v>
      </c>
      <c r="J5" s="6" t="n">
        <v>8518188</v>
      </c>
    </row>
    <row r="6">
      <c r="A6" s="6" t="inlineStr">
        <is>
          <t>Total impaired loans</t>
        </is>
      </c>
      <c r="B6" s="6" t="n">
        <v>12772475</v>
      </c>
      <c r="C6" s="6" t="n">
        <v>18348860</v>
      </c>
      <c r="D6" s="6" t="n">
        <v>23868967</v>
      </c>
      <c r="E6" s="6" t="n">
        <v>11956906</v>
      </c>
      <c r="F6" s="6" t="n">
        <v>6913006</v>
      </c>
      <c r="G6" s="6" t="n">
        <v>5485856</v>
      </c>
      <c r="H6" s="6" t="n">
        <v>618209</v>
      </c>
      <c r="I6" s="6" t="n">
        <v>684648</v>
      </c>
      <c r="J6" s="6" t="n">
        <v>0</v>
      </c>
    </row>
    <row r="7">
      <c r="A7" s="6" t="inlineStr">
        <is>
          <t>Past due but not impaired</t>
        </is>
      </c>
      <c r="B7" s="6" t="n">
        <v>20604947</v>
      </c>
      <c r="C7" s="6" t="n">
        <v>26789634</v>
      </c>
      <c r="D7" s="6" t="n">
        <v>21410656</v>
      </c>
      <c r="E7" s="6" t="n">
        <v>19429780</v>
      </c>
      <c r="F7" s="6" t="n">
        <v>11469228</v>
      </c>
      <c r="G7" s="6" t="n">
        <v>22078538</v>
      </c>
      <c r="H7" s="6" t="n">
        <v>5825418</v>
      </c>
      <c r="I7" s="6" t="n">
        <v>468524</v>
      </c>
      <c r="J7" s="6" t="n">
        <v>0</v>
      </c>
    </row>
    <row r="8">
      <c r="A8" s="6" t="inlineStr">
        <is>
          <t>Forborne loans</t>
        </is>
      </c>
      <c r="B8" s="6" t="n">
        <v>5185947</v>
      </c>
      <c r="C8" s="6" t="n">
        <v>7471460</v>
      </c>
      <c r="D8" s="6" t="n">
        <v>9739221</v>
      </c>
      <c r="E8" s="6" t="n"/>
      <c r="F8" s="6" t="n"/>
      <c r="G8" s="6" t="n">
        <v>18657071</v>
      </c>
      <c r="H8" s="6" t="n"/>
      <c r="I8" s="6" t="n"/>
      <c r="J8" s="6" t="n"/>
    </row>
    <row r="9">
      <c r="A9" s="5" t="inlineStr">
        <is>
          <t>Loan loss provisions</t>
        </is>
      </c>
      <c r="B9" s="6" t="n"/>
      <c r="C9" s="6" t="n"/>
      <c r="D9" s="6" t="n"/>
      <c r="E9" s="6" t="n"/>
      <c r="F9" s="6" t="n"/>
      <c r="G9" s="6" t="n"/>
      <c r="H9" s="6" t="n"/>
      <c r="I9" s="6" t="n"/>
      <c r="J9" s="6" t="n"/>
    </row>
    <row r="10">
      <c r="A10" s="6" t="inlineStr">
        <is>
          <t>Collective loan provision (closing)</t>
        </is>
      </c>
      <c r="B10" s="6" t="n">
        <v>659129</v>
      </c>
      <c r="C10" s="6" t="n">
        <v>1066643</v>
      </c>
      <c r="D10" s="6" t="n">
        <v>1124076</v>
      </c>
      <c r="E10" s="6" t="n">
        <v>889925</v>
      </c>
      <c r="F10" s="6" t="n">
        <v>1510276</v>
      </c>
      <c r="G10" s="6" t="n">
        <v>2251174</v>
      </c>
      <c r="H10" s="6" t="n">
        <v>377000</v>
      </c>
      <c r="I10" s="6" t="n">
        <v>91000</v>
      </c>
      <c r="J10" s="6" t="n">
        <v>0</v>
      </c>
    </row>
    <row r="11">
      <c r="A11" s="6" t="inlineStr">
        <is>
          <t>Individual loan provision (closing)</t>
        </is>
      </c>
      <c r="B11" s="6" t="n">
        <v>4259401</v>
      </c>
      <c r="C11" s="6" t="n">
        <v>3934301</v>
      </c>
      <c r="D11" s="6" t="n">
        <v>5522602</v>
      </c>
      <c r="E11" s="6" t="n">
        <v>4745925</v>
      </c>
      <c r="F11" s="6" t="n">
        <v>1628597</v>
      </c>
      <c r="G11" s="6" t="n">
        <v>848826</v>
      </c>
      <c r="H11" s="6" t="n">
        <v>5153</v>
      </c>
      <c r="I11" s="6" t="n">
        <v>150000</v>
      </c>
      <c r="J11" s="6" t="n">
        <v>0</v>
      </c>
    </row>
    <row r="12">
      <c r="A12" s="5" t="inlineStr">
        <is>
          <t>Total loan loss provisions</t>
        </is>
      </c>
      <c r="B12" s="5" t="n">
        <v>4918530</v>
      </c>
      <c r="C12" s="5" t="n">
        <v>5000944</v>
      </c>
      <c r="D12" s="5" t="n">
        <v>6646678</v>
      </c>
      <c r="E12" s="5" t="n">
        <v>5635850</v>
      </c>
      <c r="F12" s="5" t="n">
        <v>3138873</v>
      </c>
      <c r="G12" s="5" t="n">
        <v>3100000</v>
      </c>
      <c r="H12" s="5" t="n">
        <v>382153</v>
      </c>
      <c r="I12" s="5" t="n">
        <v>241000</v>
      </c>
      <c r="J12" s="5" t="n">
        <v>0</v>
      </c>
    </row>
    <row r="13">
      <c r="A13" s="5" t="inlineStr">
        <is>
          <t>Derived ratios</t>
        </is>
      </c>
      <c r="B13" s="6" t="n"/>
      <c r="C13" s="6" t="n"/>
      <c r="D13" s="6" t="n"/>
      <c r="E13" s="6" t="n"/>
      <c r="F13" s="6" t="n"/>
      <c r="G13" s="6" t="n"/>
      <c r="H13" s="6" t="n"/>
      <c r="I13" s="6" t="n"/>
      <c r="J13" s="6" t="n"/>
    </row>
    <row r="14">
      <c r="A14" s="6" t="inlineStr">
        <is>
          <t>NPL ratio (total impaired / gross loans)</t>
        </is>
      </c>
      <c r="B14" s="6" t="inlineStr">
        <is>
          <t>2.57%</t>
        </is>
      </c>
      <c r="C14" s="6" t="inlineStr">
        <is>
          <t>3.68%</t>
        </is>
      </c>
      <c r="D14" s="6" t="inlineStr">
        <is>
          <t>5.66%</t>
        </is>
      </c>
      <c r="E14" s="6" t="inlineStr">
        <is>
          <t>2.91%</t>
        </is>
      </c>
      <c r="F14" s="6" t="inlineStr">
        <is>
          <t>1.84%</t>
        </is>
      </c>
      <c r="G14" s="6" t="inlineStr">
        <is>
          <t>1.67%</t>
        </is>
      </c>
      <c r="H14" s="6" t="inlineStr">
        <is>
          <t>0.36%</t>
        </is>
      </c>
      <c r="I14" s="6" t="inlineStr">
        <is>
          <t>0.85%</t>
        </is>
      </c>
      <c r="J14" s="6" t="inlineStr">
        <is>
          <t>0.00%</t>
        </is>
      </c>
    </row>
    <row r="15">
      <c r="A15" s="6" t="inlineStr">
        <is>
          <t>Coverage ratio (total loan loss provisions / total impaired loans)</t>
        </is>
      </c>
      <c r="B15" s="6" t="inlineStr">
        <is>
          <t>38.51%</t>
        </is>
      </c>
      <c r="C15" s="6" t="inlineStr">
        <is>
          <t>27.25%</t>
        </is>
      </c>
      <c r="D15" s="6" t="inlineStr">
        <is>
          <t>27.85%</t>
        </is>
      </c>
      <c r="E15" s="6" t="inlineStr">
        <is>
          <t>47.13%</t>
        </is>
      </c>
      <c r="F15" s="6" t="inlineStr">
        <is>
          <t>45.41%</t>
        </is>
      </c>
      <c r="G15" s="6" t="inlineStr">
        <is>
          <t>56.52%</t>
        </is>
      </c>
      <c r="H15" s="6" t="inlineStr">
        <is>
          <t>61.82%</t>
        </is>
      </c>
      <c r="I15" s="6" t="inlineStr">
        <is>
          <t>35.20%</t>
        </is>
      </c>
      <c r="J15" s="6" t="inlineStr">
        <is>
          <t>n/a (0/0)</t>
        </is>
      </c>
    </row>
    <row r="17" ht="280" customHeight="1">
      <c r="A17" s="8" t="inlineStr">
        <is>
          <t>Sources - Redwood Bank Limited mortgage portfolio arrears/impairment and loan loss provisions, £:
FY2025/FY2024: Redwood Bank Annual Report and Accounts 2025, pp.63-64 and 73-74 - https://redwoodbank.co.uk/media/howpdnen/2025-annual-report-and-accounts_redwood-bank-signed-150426.pdf
FY2024/FY2023: Redwood Bank Annual Report and Accounts 2024, pp.60-61 and 70 - https://redwoodbank.co.uk/media/0h5hp3ku/2024-redwood-bank-annual-report-and-accounts.pdf
FY2023/FY2022: Redwood Bank Annual Report and Accounts 2023, pp.75 and 84 - https://redwoodbank.co.uk/media/zrjnifqm/redwood-year-end-annual-report-and-accounts-2023-1.pdf
FY2021: Redwood Bank Limited full accounts made up to 31 December 2022 filed at Companies House, pp.50 and 63 (2021 comparative column) - https://find-and-update.company-information.service.gov.uk/company/09872265/filing-history/MzM4NjEzNjAwN2FkaXF6a2N4/document?download=0&amp;format=pdf
FY2020/FY2019: Redwood Bank Limited full accounts made up to 31 December 2020 filed at Companies House, Note 14 credit risk pp.42-45 and Note 15 loan loss provisions p.57 - https://find-and-update.company-information.service.gov.uk/company/09872265/filing-history/MzMxNTg5MTEzOWFkaXF6a2N4/document?download=0&amp;format=pdf
FY2019/FY2018: Redwood Bank Limited full accounts made up to 31 December 2019 filed at Companies House, Note 14 credit risk pp.39-41 and Note 16 loan loss provisions p.49 - https://find-and-update.company-information.service.gov.uk/company/09872265/filing-history/MzI3OTU5MDgxMmFkaXF6a2N4/document?download=0&amp;format=pdf
FY2018/FY2017: Redwood Bank Limited full accounts made up to 31 December 2018 filed at Companies House, Note 13 credit risk pp.35-37 and Note 15 loan loss provisions p.46 - https://find-and-update.company-information.service.gov.uk/company/09872265/filing-history/MzI0NTgzMDAyMWFkaXF6a2N4/document?download=0&amp;format=pdf
FY2017: Redwood Bank Limited Annual Report and Financial Statements for the year ended 31 December 2017, filed at Companies House, Note 16 loans and advances p.38 (there were no arrears, impairments, or loan loss provisions in the Bank's first year - confirmed by FY2018's own comparative note stating 'There were no arrears as at 31 December 2017') - https://find-and-update.company-information.service.gov.uk/company/09872265/filing-history/MzIxNTgzNTUxNWFkaXF6a2N4/document?download=0&amp;format=pdf
The Bank lends only against fixed UK property (max 75% LTV) to SME/commercial and residential property investors; there is no IFRS 9 stage 1/2/3 disclosure (FRS 102 basis, not IFRS) - the Bank's own 'impaired / past due but not impaired / forborne' categorisation is used instead. 'Total impaired' combines 'past due and impaired' and 'not past due and impaired' where both are disclosed (FY2023 only; other years show impaired loans as entirely past due). Forborne totals are 'not past due and forborne' plus 'past due and forborne' where both exist; FY2022 and FY2021 forbearance was £nil. Gross loans and advances to customers (before deferred fee income and loan loss provisions) and derived NPL/coverage ratios are calculated from the same notes, not separately disclosed by the Bank. FY2020's Forborne loans figure (£18,657,071) is the Bank's own disclosed total of loans in arrears granted COVID-19 payment holidays/tailored support, which is not necessarily disjoint from that year's impaired/not-impaired totals (the Bank did not disclose a non-overlapping breakdown). FY2017 had zero loans in arrears, zero impairment, and zero provisions (its first, partial year of lending), so its NPL and coverage ratios are shown as 0.00% and 'n/a' (0/0) respectively.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(rounded as reported)</t>
        </is>
      </c>
      <c r="B4" s="6" t="n">
        <v>48900000</v>
      </c>
      <c r="C4" s="6" t="n">
        <v>48400000</v>
      </c>
      <c r="D4" s="6" t="n">
        <v>46800000</v>
      </c>
      <c r="E4" s="6" t="n">
        <v>41400000</v>
      </c>
      <c r="F4" s="6" t="n">
        <v>39400000</v>
      </c>
      <c r="G4" s="6" t="n">
        <v>27396631</v>
      </c>
      <c r="H4" s="6" t="n">
        <v>25830817</v>
      </c>
      <c r="I4" s="6" t="n">
        <v>15052747</v>
      </c>
      <c r="J4" s="6" t="n">
        <v>9142150</v>
      </c>
    </row>
    <row r="5" ht="60" customHeight="1">
      <c r="A5" s="7" t="inlineStr">
        <is>
          <t>Note: The annual reports state CET1 capital rounded to £m; these values preserve that stated precision and are not presented as inferred exact amounts. FY2020-FY2017 use the Total Tier 1 capital figure from each year's own regulatory capital note (no AT1 capital is disclosed in any year, so Tier 1 = CET1).</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16.6%</t>
        </is>
      </c>
      <c r="C4" s="6" t="inlineStr">
        <is>
          <t>15.1%</t>
        </is>
      </c>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FY2019 AND FY2018 REPLACED 2026-09-15 (second pass) WITH THE BANK'S OWN DIRECTLY-PRINTED FIGURES. These cells previously read 20.3% and 23.18%, values NOT disclosed as CET1 ratios at all - they were each year's Annual Report total capital ratio, copied across on the strength of the Bank's narrative that capital resources were '100% CET1'. Row 5 of the KM1 table in the Bank's own Pillar 3 disclosures prints the CET1 ratio directly for all three of these years: FY2019 20.08% and FY2018 22.83% (FY2019 edition, Table 4, p.16, and reconfirmed by the FY2020 edition's comparative), FY2017 59.78% (FY2017 edition, row 5 - which happens to equal the previously-carried value, so that cell is unchanged). A directly printed figure supersedes a derived equivalence, so the derivation is retired. The replacements reconcile: 25,830,817/128,612,638 = 20.08% and 15,052,746/65,893,829 = 22.84% against a printed 22.83%. On the FY2018 figure specifically, the Annual Report's 23.18% is not a rounding difference from 22.83% but a different measure - total EQUITY of 15,274,275 divided by RWA of 65,893,829 gives exactly 23.18%, where the regulatory ratio uses CET1 own funds of 15,052,746. FY2020 FILLED 2026-09-15: this cell previously read 'Not publicly disclosed', on the ground that from FY2020 the Bank moved to a 75% CET1 / 25% Tier 2 structure 'with no separate CET1 ratio disclosed anywhere in the report'. That was true of the ANNUAL REPORT but not of the Bank's Pillar 3 disclosure, which was not consulted at the time - row 5 of the FY2020 edition's KM1 table states the CET1 ratio as 13.34% (2019: 20.08%) directly. The FY2021 edition restates it as 13.3%, a rounding difference only. This is a disclosed figure, not a derivation.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n">
        <v>48846803</v>
      </c>
      <c r="C4" s="6" t="n">
        <v>48365248</v>
      </c>
      <c r="D4" s="6" t="n">
        <v>46764475</v>
      </c>
      <c r="E4" s="6" t="n">
        <v>41430663</v>
      </c>
      <c r="F4" s="6" t="n">
        <v>39399478</v>
      </c>
      <c r="G4" s="6" t="n">
        <v>27396631</v>
      </c>
      <c r="H4" s="6" t="n">
        <v>25830817</v>
      </c>
      <c r="I4" s="6" t="n">
        <v>15052747</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n"/>
      <c r="C4" s="6" t="n"/>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RECOVERED 2026-09-15 - this sheet previously read 'Not publicly disclosed' for every year, on the stated ground that 'no separate Tier 1 ratio is stated in the public Redwood reports'. That was wrong: row 6 of the KM1 table in each of the Bank's own Pillar 3 disclosures states it directly. FY2023/FY2022 from the FY2023 edition (Table 1, p.4); FY2021/FY2020 from the FY2021 edition (Table 1, pp.4-5); FY2019 from the FY2019 edition's own Table 4 (and reconfirmed by the FY2020 edition's comparative); FY2018 and FY2017 added on a second pass the same day from the FY2019 and FY2017 editions' own row 6. In every year Tier 1 ratio equals the CET1 ratio, which is consistent with the Bank disclosing no AT1 capital in any year - note this is the source's own printed row 6, NOT a value copied across from row 5. FY2025/FY2024 are blank because the Bank became an SDDT on 26/07/2024 and publishes no Pillar 3 for those years; the Annual Reports state only a CET1 ratio and a total capital ratio, not a Tier 1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 / own funds</t>
        </is>
      </c>
      <c r="B4" s="6" t="n">
        <v>58505932</v>
      </c>
      <c r="C4" s="6" t="n">
        <v>58431891</v>
      </c>
      <c r="D4" s="6" t="n">
        <v>56888551</v>
      </c>
      <c r="E4" s="6" t="n">
        <v>51320588</v>
      </c>
      <c r="F4" s="6" t="n">
        <v>49909754</v>
      </c>
      <c r="G4" s="6" t="n">
        <v>36528841</v>
      </c>
      <c r="H4" s="6" t="n">
        <v>26211691</v>
      </c>
      <c r="I4" s="6" t="n">
        <v>15147621</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19.8%</t>
        </is>
      </c>
      <c r="C4" s="6" t="inlineStr">
        <is>
          <t>18.3%</t>
        </is>
      </c>
      <c r="D4" s="6" t="inlineStr">
        <is>
          <t>19.4%</t>
        </is>
      </c>
      <c r="E4" s="6" t="inlineStr">
        <is>
          <t>19.0%</t>
        </is>
      </c>
      <c r="F4" s="6" t="inlineStr">
        <is>
          <t>21.4%</t>
        </is>
      </c>
      <c r="G4" s="6" t="inlineStr">
        <is>
          <t>17.8%</t>
        </is>
      </c>
      <c r="H4" s="6" t="inlineStr">
        <is>
          <t>20.38%</t>
        </is>
      </c>
      <c r="I4" s="6" t="inlineStr">
        <is>
          <t>22.99%</t>
        </is>
      </c>
      <c r="J4" s="6" t="inlineStr">
        <is>
          <t>59.78%</t>
        </is>
      </c>
    </row>
    <row r="5" ht="60" customHeight="1">
      <c r="A5" s="7" t="inlineStr">
        <is>
          <t>Note: FY2019 AND FY2018 MOVED TO THE PILLAR 3 BASIS 2026-09-15 (second pass), replacing 20.3% and 23.18% taken from each year's Annual Report capital risk management note (which states its ratios as '(unaudited)'). Row 7 of the KM1 table in the Bank's own Pillar 3 disclosures gives 20.38% for FY2019 and 22.99% for FY2018, both reconciling exactly against this workbook's own figures: 26,211,691/128,612,638 = 20.38% and 15,147,620/65,893,829 = 22.99%. FY2019's change is a rounding refinement only. FY2018's is not: the Annual Report's 23.18% is total EQUITY of 15,274,275 over the same RWA, i.e. a different numerator, so the two are not two roundings of one number and the regulatory figure is the one carried. FY2017's 59.78% is identical on both bases and is unchanged. FY2020's 17.8% is the Bank's own RESTATED figure - the FY2020 edition originally printed total regulatory capital of 38,647,805 and a ratio of 18.81%, and the FY2021 edition restates both to 36,528,841 and 17.8% with the footnote 'Restated due to the correction of total regulatory capital and its ratio and leverage ratio'; the restated value is carried and the superseded one recorded here. FY2025-FY2021 are unchanged.</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RWAs</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assets (RWA)</t>
        </is>
      </c>
      <c r="B4" s="6" t="n"/>
      <c r="C4" s="6" t="n"/>
      <c r="D4" s="6" t="n">
        <v>294050082</v>
      </c>
      <c r="E4" s="6" t="n">
        <v>269415717</v>
      </c>
      <c r="F4" s="6" t="n">
        <v>233133033</v>
      </c>
      <c r="G4" s="6" t="n">
        <v>205441523</v>
      </c>
      <c r="H4" s="6" t="n">
        <v>128612638</v>
      </c>
      <c r="I4" s="6" t="n">
        <v>65893829</v>
      </c>
      <c r="J4" s="6" t="n">
        <v>15293832</v>
      </c>
    </row>
    <row r="5" ht="60" customHeight="1">
      <c r="A5" s="7" t="inlineStr">
        <is>
          <t>Note: RECOVERED 2026-09-15 - previously 'Not publicly disclosed' for every year. FY2023/FY2022 from the FY2023 edition's KM1 (Table 1, p.4); FY2021/FY2020 from the FY2021 edition's KM1 (Table 1, p.4). Cross-checked: the FY2022 edition's own FY2021 comparative reproduces 233,133,033 exactly.
FY2019 CORRECTED AND FY2018/FY2017 ADDED, SECOND PASS, SAME DAY - AND THE SOURCE'S OWN KM1 ROW 4 IS WRONG FOR THOSE YEARS. FY2019 previously read 114,001,332, taken from row 4 of the FY2020 edition's KM1 comparative column. That figure is the CREDIT-RISK SUBTOTAL, not total RWA: the FY2019 edition's own Pillar 1 table (Table 6) prints 'Total Credit Risk 114,001,332' and then 'Operational Risk - Basic Indicator Approach 14,611,306', giving 'Total Pillar 1 Risk Weighted Assets 128,612,638'. The Bank's own printed ratios settle which is the real denominator: CET1 25,830,817 / 128,612,638 = 20.08% and total capital 26,211,691 / 128,612,638 = 20.38%, exactly the 20.08% and 20.38% printed in the same KM1 table; against 114,001,332 the same capital gives 22.66% and 22.99%, which appear nowhere. The defect is systematic across the three oldest editions - FY2017's KM1 row 4 reads 8,268,832 (credit risk) where the Pillar 1 table totals 15,293,832, and FY2018's reads 52,495,810 where the table totals 65,893,829 - and in each case the printed ratio reconciles only against the Pillar 1 table total (9,142,150/15,293,832 = 59.78%; 15,052,746/65,893,829 = 22.84% vs a printed 22.83%). From the FY2020 edition onward row 4 is correct (205,441,523 against a Pillar 1 table total of 205,441,525, a GBP2 rounding difference only). This sheet therefore takes FY2019-FY2017 from each year's Pillar 1 capital-requirements table rather than from its KM1 row 4, and the discarded row 4 values are recorded here so the choice is auditable.
FY2025/FY2024 are blank because the Bank became an SDDT on 26/07/2024 and publishes no Pillar 3 for those years; no RWA figure appears in the FY2024 or FY2025 Annual Report, and none is derived here from the disclosed capital and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RWA Breakdown</t>
        </is>
      </c>
    </row>
    <row r="2">
      <c r="A2" s="2" t="inlineStr">
        <is>
          <t>Pillar 1 risk-weighted assets by standardised exposure class, £, FY2017-FY2023 (every year the Bank published a Pillar 3). Recovered 2026-09-15 from the Bank's own Pillar 3 disclosures; previously recorded as not publicly disclosed. FY2025/FY2024 blank - SDDT, no Pillar 3 published.</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Credit risk - standardised approach, by exposure class</t>
        </is>
      </c>
      <c r="B4" s="6" t="n"/>
      <c r="C4" s="6" t="n"/>
      <c r="D4" s="6" t="n"/>
      <c r="E4" s="6" t="n"/>
      <c r="F4" s="6" t="n"/>
      <c r="G4" s="6" t="n"/>
      <c r="H4" s="6" t="n"/>
      <c r="I4" s="6" t="n"/>
      <c r="J4" s="6" t="n"/>
    </row>
    <row r="5">
      <c r="A5" s="6" t="inlineStr">
        <is>
          <t>Institutions</t>
        </is>
      </c>
      <c r="B5" s="6" t="n"/>
      <c r="C5" s="6" t="n"/>
      <c r="D5" s="6" t="n">
        <v>583047</v>
      </c>
      <c r="E5" s="6" t="n">
        <v>946102</v>
      </c>
      <c r="F5" s="6" t="n">
        <v>626025</v>
      </c>
      <c r="G5" s="6" t="n">
        <v>508930</v>
      </c>
      <c r="H5" s="6" t="n">
        <v>425199</v>
      </c>
      <c r="I5" s="6" t="n">
        <v>334991</v>
      </c>
      <c r="J5" s="6" t="n">
        <v>838261</v>
      </c>
    </row>
    <row r="6">
      <c r="A6" s="6" t="inlineStr">
        <is>
          <t>Secured by mortgages on residential property</t>
        </is>
      </c>
      <c r="B6" s="6" t="n"/>
      <c r="C6" s="6" t="n"/>
      <c r="D6" s="6" t="n">
        <v>70065294</v>
      </c>
      <c r="E6" s="6" t="n">
        <v>27562520</v>
      </c>
      <c r="F6" s="6" t="n">
        <v>68247424</v>
      </c>
      <c r="G6" s="6" t="n">
        <v>57320883</v>
      </c>
      <c r="H6" s="6" t="n">
        <v>26921059</v>
      </c>
      <c r="I6" s="6" t="n">
        <v>13274257</v>
      </c>
      <c r="J6" s="6" t="n">
        <v>1194463</v>
      </c>
    </row>
    <row r="7">
      <c r="A7" s="6" t="inlineStr">
        <is>
          <t>Secured by mortgages on commercial real estate</t>
        </is>
      </c>
      <c r="B7" s="6" t="n"/>
      <c r="C7" s="6" t="n"/>
      <c r="D7" s="6" t="n">
        <v>145500647</v>
      </c>
      <c r="E7" s="6" t="n">
        <v>196007206</v>
      </c>
      <c r="F7" s="6" t="n">
        <v>137862947</v>
      </c>
      <c r="G7" s="6" t="n">
        <v>128085685</v>
      </c>
      <c r="H7" s="6" t="n">
        <v>85870604</v>
      </c>
      <c r="I7" s="6" t="n">
        <v>38181083</v>
      </c>
      <c r="J7" s="6" t="n">
        <v>5619059</v>
      </c>
    </row>
    <row r="8">
      <c r="A8" s="6" t="inlineStr">
        <is>
          <t>Past due</t>
        </is>
      </c>
      <c r="B8" s="6" t="n"/>
      <c r="C8" s="6" t="n"/>
      <c r="D8" s="6" t="n">
        <v>35540399</v>
      </c>
      <c r="E8" s="6" t="n">
        <v>14025145</v>
      </c>
      <c r="F8" s="6" t="n">
        <v>5461469</v>
      </c>
      <c r="G8" s="6" t="n">
        <v>6309056</v>
      </c>
      <c r="H8" s="6" t="n"/>
      <c r="I8" s="6" t="n"/>
      <c r="J8" s="6" t="n"/>
    </row>
    <row r="9">
      <c r="A9" s="6" t="inlineStr">
        <is>
          <t>Other items</t>
        </is>
      </c>
      <c r="B9" s="6" t="n"/>
      <c r="C9" s="6" t="n"/>
      <c r="D9" s="6" t="n">
        <v>1839907</v>
      </c>
      <c r="E9" s="6" t="n">
        <v>1095331</v>
      </c>
      <c r="F9" s="6" t="n">
        <v>798294</v>
      </c>
      <c r="G9" s="6" t="n">
        <v>773708</v>
      </c>
      <c r="H9" s="6" t="n">
        <v>784469</v>
      </c>
      <c r="I9" s="6" t="n">
        <v>705480</v>
      </c>
      <c r="J9" s="6" t="n">
        <v>617049</v>
      </c>
    </row>
    <row r="10">
      <c r="A10" s="5" t="inlineStr">
        <is>
          <t>Total credit risk</t>
        </is>
      </c>
      <c r="B10" s="5" t="n"/>
      <c r="C10" s="5" t="n"/>
      <c r="D10" s="5" t="n">
        <v>253529294</v>
      </c>
      <c r="E10" s="5" t="n">
        <v>239636304</v>
      </c>
      <c r="F10" s="5" t="n">
        <v>212996159</v>
      </c>
      <c r="G10" s="5" t="n">
        <v>192998262</v>
      </c>
      <c r="H10" s="5" t="n">
        <v>114001332</v>
      </c>
      <c r="I10" s="5" t="n">
        <v>52495810</v>
      </c>
      <c r="J10" s="5" t="n">
        <v>8268832</v>
      </c>
    </row>
    <row r="11">
      <c r="A11" s="5" t="inlineStr">
        <is>
          <t>Operational risk</t>
        </is>
      </c>
      <c r="B11" s="6" t="n"/>
      <c r="C11" s="6" t="n"/>
      <c r="D11" s="6" t="n"/>
      <c r="E11" s="6" t="n"/>
      <c r="F11" s="6" t="n"/>
      <c r="G11" s="6" t="n"/>
      <c r="H11" s="6" t="n"/>
      <c r="I11" s="6" t="n"/>
      <c r="J11" s="6" t="n"/>
    </row>
    <row r="12">
      <c r="A12" s="6" t="inlineStr">
        <is>
          <t>Operational risk - basic indicator approach</t>
        </is>
      </c>
      <c r="B12" s="6" t="n"/>
      <c r="C12" s="6" t="n"/>
      <c r="D12" s="6" t="n">
        <v>40520788</v>
      </c>
      <c r="E12" s="6" t="n">
        <v>29779413</v>
      </c>
      <c r="F12" s="6" t="n">
        <v>20136875</v>
      </c>
      <c r="G12" s="6" t="n">
        <v>12443263</v>
      </c>
      <c r="H12" s="6" t="n">
        <v>14611306</v>
      </c>
      <c r="I12" s="6" t="n">
        <v>13398025</v>
      </c>
      <c r="J12" s="6" t="n">
        <v>7025000</v>
      </c>
    </row>
    <row r="13">
      <c r="A13" s="5" t="inlineStr">
        <is>
          <t>Total Pillar 1 risk-weighted assets</t>
        </is>
      </c>
      <c r="B13" s="5" t="n"/>
      <c r="C13" s="5" t="n"/>
      <c r="D13" s="5" t="n">
        <v>294050082</v>
      </c>
      <c r="E13" s="5" t="n">
        <v>269415717</v>
      </c>
      <c r="F13" s="5" t="n">
        <v>233133034</v>
      </c>
      <c r="G13" s="5" t="n">
        <v>205441525</v>
      </c>
      <c r="H13" s="5" t="n">
        <v>128612638</v>
      </c>
      <c r="I13" s="5" t="n">
        <v>65893829</v>
      </c>
      <c r="J13" s="5" t="n">
        <v>15293832</v>
      </c>
    </row>
    <row r="15" ht="300" customHeight="1">
      <c r="A15" s="8" t="inlineStr">
        <is>
          <t xml:space="preserve">Sources - each year's own Redwood Bank Limited Pillar 3 Disclosures, 'Total Pillar 1 risk weighted assets / capital requirement' table (Table 7 in the FY2021 edition, Table 6 in the FY2019 edition, section 6 in the FY2023 edition - the Bank renumbers it between vintages but the table is the same one):
FY2023 and its own FY2022 comparative: FY2023 edition, p.20 - https://redwoodbank.co.uk/media/c0hpdvqn/redwood-pillar-3-2023.pdf
FY2021 and its own FY2020 comparative: FY2021 edition, Table 7, p.21 - https://redwoodbank.co.uk/media/u5sb3ky5/redwood-pillar-3-2021-1.pdf
FY2019 and its own FY2018 comparative: FY2019 edition, Table 6 - https://redwoodbank.co.uk/media/sybdkdyg/redwood-bank-2019-pillar-3-disclosures.pdf
FY2017: FY2017 edition - https://redwoodbank.co.uk/media/55un2r5s/pillar-3-disclosures-2017.pdf (the FY2018 edition, https://redwoodbank.co.uk/media/ezed3mwh/redwood-pillar-3-2018-1.pdf, reproduces the same FY2017 column and was used to confirm it)
ALL SEVEN YEARS ADDED OR CONFIRMED 2026-09-15. The first pass this day filled FY2023/FY2022 only and recorded here that the FY2021 and FY2020 editions 'present capital requirements in a different format rather than this single consolidated RWA-by-exposure-class table'. That was wrong - the FY2021 edition carries exactly this table as its Table 7, with a full 2020 comparative column, and the FY2019, FY2018 and FY2017 editions carry it too. Five further years were transcribed as a result.
VALIDATION - every year's exposure classes foot to that year's printed credit-risk subtotal and then to its printed Pillar 1 total. FY2023 583,047+70,065,294+145,500,647+35,540,399+1,839,907 = 253,529,294; +40,520,788 = 294,050,082. FY2022 = 239,636,304; +29,779,413 = 269,415,717. FY2021 626,025+68,247,424+137,862,947+5,461,469+798,294 = 212,996,159; +20,136,875 = 233,133,034. FY2020 508,930+57,320,883+128,085,685+6,309,056+773,708 = 192,998,262; +12,443,263 = 205,441,525. FY2017 838,261+1,194,463+5,619,059+617,049 = 8,268,832; +7,025,000 = 15,293,832.
THREE PENCE-LEVEL RESIDUALS IN THE SOURCE, CARRIED NOT SILENTLY FIXED: FY2019's classes sum to 114,001,331 against a printed credit-risk subtotal of 114,001,332 (GBP1); FY2018's sum to 52,495,811 against a printed 52,495,810 (GBP1), and its printed Pillar 1 total of 65,893,829 sits GBP6 below 52,495,810+13,398,025 = 65,893,835. In each case the PRINTED figure is carried, because it is the one the Bank's own capital requirement column is computed from (65,893,829 x 8% = 5,271,506, the printed requirement). These are the Bank's roundings, not transcription errors.
TOTALS VS THE TOTAL RWAs SHEET: FY2023-FY2017 tie exactly, with two GBP1-GBP2 exceptions where the KM1 and the Pillar 1 table disagree in the Bank's own documents - FY2021 233,133,034 here against KM1's 233,133,033, and FY2020 205,441,525 here against KM1's 205,441,523. Far more importantly, see the Total RWAs sheet's note on why FY2019-FY2017 CANNOT be taken from KM1 row 4 at all: in those three editions row 4 prints the credit-risk subtotal (the 'Total credit risk' row above) instead of the Pillar 1 total, and this sheet is what makes that visible.
PAST DUE is blank for FY2019, FY2018 and FY2017 because the source leaves the row empty in those years - the Bank held no past-due exposure attracting a separate risk weight - not because the figure is unknown.
EXPOSURE CLASSES PRINTED BUT EMPTY in every year (no exposure held): central government and central banks, regional governments or local authorities, administrative bodies and non-commercial, multilateral development banks, international organisations, corporates, retail, regulatory high-risk categories, covered bonds, securitisation positions, short-term claims on institutions and corporates, and collective investment undertakings. These are omitted above rather than written as zero, since the source leaves them blank. MARKET RISK is structurally nil and is stated as such: 'The Bank is not exposed to market risk as it does not operate a trading book.'
FY2025 AND FY2024: no Pillar 3 exists - the Bank became an SDDT on 26/07/2024 (see below), and neither Annual Report contains an RWA breakdown.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1">
    <mergeCell ref="A15:J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KM1 row 14)</t>
        </is>
      </c>
      <c r="B4" s="6" t="n"/>
      <c r="C4" s="6" t="n"/>
      <c r="D4" s="6" t="inlineStr">
        <is>
          <t>9.3%</t>
        </is>
      </c>
      <c r="E4" s="6" t="inlineStr">
        <is>
          <t>8.8%</t>
        </is>
      </c>
      <c r="F4" s="6" t="inlineStr">
        <is>
          <t>8.6%</t>
        </is>
      </c>
      <c r="G4" s="6" t="n"/>
      <c r="H4" s="6" t="n"/>
      <c r="I4" s="6" t="n"/>
      <c r="J4" s="6" t="n"/>
    </row>
    <row r="5">
      <c r="A5" s="6" t="inlineStr">
        <is>
          <t>Basel III leverage ratio, Tier 1 / total exposure incl. central bank claims (row 2 / row 13)</t>
        </is>
      </c>
      <c r="B5" s="6" t="n"/>
      <c r="C5" s="6" t="n"/>
      <c r="D5" s="6" t="n"/>
      <c r="E5" s="6" t="n"/>
      <c r="F5" s="6" t="inlineStr">
        <is>
          <t>7.4%</t>
        </is>
      </c>
      <c r="G5" s="6" t="inlineStr">
        <is>
          <t>6.11%</t>
        </is>
      </c>
      <c r="H5" s="6" t="inlineStr">
        <is>
          <t>9.76%</t>
        </is>
      </c>
      <c r="I5" s="6" t="inlineStr">
        <is>
          <t>10.51%</t>
        </is>
      </c>
      <c r="J5" s="6" t="inlineStr">
        <is>
          <t>26.19%</t>
        </is>
      </c>
    </row>
    <row r="6" ht="60" customHeight="1">
      <c r="A6" s="7" t="inlineStr">
        <is>
          <t>Note: RECOVERED 2026-09-15 - previously 'Not publicly disclosed' for every year. TWO CLEARLY-SEPARATED BASES, deliberately not merged into one row: the Bank changed its leverage definition between the FY2021 and FY2022 editions, and the two are not like-for-like. The FY2022 and FY2023 editions report row 14 as 'Leverage ratio excluding claims on central banks'; the FY2021 and FY2020 editions report a Basel III leverage ratio computed as Tier 1 over a total exposure measure that INCLUDES central bank claims. FY2021 appears on both rows because both documents state it - 8.6% on the newer basis (FY2022 edition's own comparative column) and 7.4% on the older (FY2021 edition, Table 1 row 14) - which quantifies the gap at ~1.2pp and is exactly why they are kept apart. Splicing these into a single series would manufacture a false trend. FY2020's 6.11% and FY2019's 9.76% are from the FY2020 edition (Table 1, row 14); FY2018's 10.51% and FY2017's 26.19% were added on a second pass the same day from the FY2019 and FY2017 editions' own row 14, and the FY2018 edition's own comparative column independently reproduces both. Every year on this row uses the pre-FY2022 Basel III definition, so FY2017-FY2021 read as a single consistent series. NOTE the FY2021 edition restates FY2020's leverage ratio to 6.1% with the footnote 'Restated due to the correction of total regulatory capital and its ratio and leverage ratio'; the FY2020 edition's own originally-published 6.11% is shown here per this project's own-year convention, with the restatement recorded. FY2025/FY2024 blank - SDDT exempt from 26/07/2024, and no leverage ratio appears in either Annual Report. See the PILLAR 3 DISCOVERY NOTE in the source citation.</t>
        </is>
      </c>
    </row>
    <row r="8" ht="190" customHeight="1">
      <c r="A8"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6:J6"/>
    <mergeCell ref="A8:J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Annual Report basis (as previously carried)</t>
        </is>
      </c>
      <c r="B4" s="6" t="inlineStr">
        <is>
          <t>362%</t>
        </is>
      </c>
      <c r="C4" s="6" t="inlineStr">
        <is>
          <t>284%</t>
        </is>
      </c>
      <c r="D4" s="6" t="inlineStr">
        <is>
          <t>481%</t>
        </is>
      </c>
      <c r="E4" s="6" t="inlineStr">
        <is>
          <t>352%</t>
        </is>
      </c>
      <c r="F4" s="6" t="inlineStr">
        <is>
          <t>970%</t>
        </is>
      </c>
      <c r="G4" s="6" t="inlineStr">
        <is>
          <t>485%</t>
        </is>
      </c>
      <c r="H4" s="6" t="inlineStr">
        <is>
          <t>557%</t>
        </is>
      </c>
      <c r="I4" s="6" t="inlineStr">
        <is>
          <t>391%</t>
        </is>
      </c>
      <c r="J4" s="6" t="inlineStr">
        <is>
          <t>339%</t>
        </is>
      </c>
    </row>
    <row r="5">
      <c r="A5" s="6" t="inlineStr">
        <is>
          <t>Liquidity coverage ratio - Pillar 3 KM1 row 17, average of preceding 12 months</t>
        </is>
      </c>
      <c r="B5" s="6" t="n"/>
      <c r="C5" s="6" t="n"/>
      <c r="D5" s="6" t="inlineStr">
        <is>
          <t>504%</t>
        </is>
      </c>
      <c r="E5" s="6" t="inlineStr">
        <is>
          <t>394%</t>
        </is>
      </c>
      <c r="F5" s="6" t="inlineStr">
        <is>
          <t>500%</t>
        </is>
      </c>
      <c r="G5" s="6" t="n"/>
      <c r="H5" s="6" t="n"/>
      <c r="I5" s="6" t="n"/>
      <c r="J5" s="6" t="n"/>
    </row>
    <row r="6">
      <c r="A6" s="6" t="inlineStr">
        <is>
          <t>Liquidity coverage ratio - Pillar 3, point-in-time at 31 December</t>
        </is>
      </c>
      <c r="B6" s="6" t="n"/>
      <c r="C6" s="6" t="n"/>
      <c r="D6" s="6" t="n"/>
      <c r="E6" s="6" t="n"/>
      <c r="F6" s="6" t="inlineStr">
        <is>
          <t>970.3%</t>
        </is>
      </c>
      <c r="G6" s="6" t="inlineStr">
        <is>
          <t>485.5%</t>
        </is>
      </c>
      <c r="H6" s="6" t="inlineStr">
        <is>
          <t>541.05%</t>
        </is>
      </c>
      <c r="I6" s="6" t="inlineStr">
        <is>
          <t>391.32%</t>
        </is>
      </c>
      <c r="J6" s="6" t="inlineStr">
        <is>
          <t>622.78%</t>
        </is>
      </c>
    </row>
    <row r="7" ht="60" customHeight="1">
      <c r="A7" s="7" t="inlineStr">
        <is>
          <t>Note: SPLIT INTO SEPARATE BASES 2026-09-15. The single row previously carried here was silently mixed, and the Bank's own Pillar 3 disclosures prove it. The FY2022 and FY2023 editions footnote row 17 as '* Average of preceding 12 months' and give 394% and 504%; the FY2021 and FY2020 editions instead print a point-in-time ratio (HQLA 111,539,577 / net outflows 11,495,946 = 970.3% at 31 December 2021, and 485.5% at 31 December 2020). The previously-carried row took FY2021 and FY2020 from the point-in-time basis (970%, 485%) but FY2022 and FY2023 from the Annual Report (352%, 481%) - three different bases in one series. Most starkly, FY2021 is 970.3% point-in-time but 500% as the FY2022 edition's own 12-month-average comparative: a 470pp gap on the SAME year and the SAME entity, purely from the averaging convention. All three rows are kept, each labelled, and none is deleted - following the treatment applied to Access Bank and Zenith Bank in this workbook set. DO NOT read a trend across rows. FY2019, FY2018 and FY2017 were added to the point-in-time row on a second pass the same day, from row 17 of each year's own KM1 plus the matching narrative ('The Bank's LCR as at the 31st December 2019 was 541.05% (2018: 391.32%)'; the FY2017 edition states 622.78%). FY2018's 391.32% and FY2017's 339% vs 622.78% are worth contrasting: FY2018 shows the Annual Report and the Pillar 3 agreeing to the decimal on the same point-in-time basis, while FY2019 (557% vs 541.05%) and FY2017 (339% vs 622.78%) show them diverging materially - which is why the two rows stay separate rather than being merged into one 'LCR' series.</t>
        </is>
      </c>
    </row>
    <row r="9" ht="190" customHeight="1">
      <c r="A9"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n"/>
      <c r="C4" s="6" t="n"/>
      <c r="D4" s="6" t="inlineStr">
        <is>
          <t>148%</t>
        </is>
      </c>
      <c r="E4" s="6" t="inlineStr">
        <is>
          <t>144%</t>
        </is>
      </c>
      <c r="F4" s="6" t="inlineStr">
        <is>
          <t>148.9%</t>
        </is>
      </c>
      <c r="G4" s="6" t="inlineStr">
        <is>
          <t>150.5%</t>
        </is>
      </c>
      <c r="H4" s="6" t="inlineStr">
        <is>
          <t>170.9%</t>
        </is>
      </c>
      <c r="I4" s="6" t="inlineStr">
        <is>
          <t>193.38%</t>
        </is>
      </c>
      <c r="J4" s="6" t="n"/>
    </row>
    <row r="5" ht="60" customHeight="1">
      <c r="A5" s="7" t="inlineStr">
        <is>
          <t>Note: RECOVERED 2026-09-15 - previously 'Not publicly disclosed' for every year. Row 20 of the KM1 table in the Bank's own Pillar 3 disclosures, stated as an average of the preceding four quarters. FY2023/FY2022 from the FY2023 edition (Table 1, p.5); FY2021/FY2020 from the FY2021 edition, which states in narrative form 'NSFR as at 31 December 2021 is 148.9% (2020: 150.5%), against a regulatory requirement of 100%' and backs it with full Tables 17 and 18. FY2019 AND FY2018 ADDED on a second pass the same day: the FY2019 edition states 'the NSFR as at 31 December 2019 is 170.9% (2018: 193.38%)' in narrative and prints 170.9% as row 34 of its full NSFR template (Table 15), and 170.9% also appears as row 18 of its KM1. FY2017 stays blank - the FY2017 edition's KM1 stops at row 17 (LCR) and carries no NSFR row or template, so the Bank simply had not begun disclosing it. NOTE FY2021, FY2020, FY2019 and FY2018 all PREDATE the UK NSFR requirement, which took effect only on 1 January 2022 under PRA PS17/21 - Redwood therefore disclosed these voluntarily, and they are genuine disclosed figures rather than a regulatory-template obligation. Minor basis nuance: the FY2022 edition's own FY2021 comparative shows 148% against the FY2021 edition's own 148.9%, a rounding/averaging difference between two of the Bank's own documents; each year's own report is used. FY2025/FY2024 blank - SDDT exempt from 26/07/2024.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1">
    <mergeCell ref="A6:J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2026-09-15T20:54:54Z</dcterms:created>
  <dcterms:modified xmlns:dcterms="http://purl.org/dc/terms/" xmlns:xsi="http://www.w3.org/2001/XMLSchema-instance" xsi:type="dcterms:W3CDTF">2026-09-15T20:54:54Z</dcterms:modified>
</cp:coreProperties>
</file>