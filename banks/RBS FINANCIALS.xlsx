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Balance Sheet" sheetId="2" state="visible" r:id="rId2"/>
    <sheet xmlns:r="http://schemas.openxmlformats.org/officeDocument/2006/relationships" name="Profit &amp; Loss" sheetId="3" state="visible" r:id="rId3"/>
    <sheet xmlns:r="http://schemas.openxmlformats.org/officeDocument/2006/relationships" name="Statement of Changes in Equity" sheetId="4" state="visible" r:id="rId4"/>
    <sheet xmlns:r="http://schemas.openxmlformats.org/officeDocument/2006/relationships" name="Cash Flow Statement" sheetId="5" state="visible" r:id="rId5"/>
    <sheet xmlns:r="http://schemas.openxmlformats.org/officeDocument/2006/relationships" name="Asset Quality" sheetId="6" state="visible" r:id="rId6"/>
    <sheet xmlns:r="http://schemas.openxmlformats.org/officeDocument/2006/relationships" name="Profitability" sheetId="7" state="visible" r:id="rId7"/>
    <sheet xmlns:r="http://schemas.openxmlformats.org/officeDocument/2006/relationships" name="KM1 Key Metrics" sheetId="8" state="visible" r:id="rId8"/>
    <sheet xmlns:r="http://schemas.openxmlformats.org/officeDocument/2006/relationships" name="CET1 Capital" sheetId="9" state="visible" r:id="rId9"/>
    <sheet xmlns:r="http://schemas.openxmlformats.org/officeDocument/2006/relationships" name="CET1 Ratio" sheetId="10" state="visible" r:id="rId10"/>
    <sheet xmlns:r="http://schemas.openxmlformats.org/officeDocument/2006/relationships" name="Tier 1 Capital" sheetId="11" state="visible" r:id="rId11"/>
    <sheet xmlns:r="http://schemas.openxmlformats.org/officeDocument/2006/relationships" name="Tier 1 Ratio" sheetId="12" state="visible" r:id="rId12"/>
    <sheet xmlns:r="http://schemas.openxmlformats.org/officeDocument/2006/relationships" name="Total Capital" sheetId="13" state="visible" r:id="rId13"/>
    <sheet xmlns:r="http://schemas.openxmlformats.org/officeDocument/2006/relationships" name="Total Capital Ratio" sheetId="14" state="visible" r:id="rId14"/>
    <sheet xmlns:r="http://schemas.openxmlformats.org/officeDocument/2006/relationships" name="Total RWAs" sheetId="15" state="visible" r:id="rId15"/>
    <sheet xmlns:r="http://schemas.openxmlformats.org/officeDocument/2006/relationships" name="RWA Breakdown" sheetId="16" state="visible" r:id="rId16"/>
    <sheet xmlns:r="http://schemas.openxmlformats.org/officeDocument/2006/relationships" name="Leverage Ratio" sheetId="17" state="visible" r:id="rId17"/>
    <sheet xmlns:r="http://schemas.openxmlformats.org/officeDocument/2006/relationships" name="LCR" sheetId="18" state="visible" r:id="rId18"/>
    <sheet xmlns:r="http://schemas.openxmlformats.org/officeDocument/2006/relationships" name="NSFR" sheetId="19" state="visible" r:id="rId19"/>
    <sheet xmlns:r="http://schemas.openxmlformats.org/officeDocument/2006/relationships" name="MREL Ratio" sheetId="20" state="visible" r:id="rId20"/>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3"/>
    </font>
    <font>
      <i val="1"/>
      <color rgb="00666666"/>
      <sz val="9"/>
    </font>
    <font>
      <b val="1"/>
      <color rgb="00FFFFFF"/>
    </font>
    <font>
      <b val="1"/>
    </font>
    <font>
      <i val="1"/>
      <color rgb="00444444"/>
      <sz val="9"/>
    </font>
  </fonts>
  <fills count="3">
    <fill>
      <patternFill/>
    </fill>
    <fill>
      <patternFill patternType="gray125"/>
    </fill>
    <fill>
      <patternFill patternType="solid">
        <fgColor rgb="00264653"/>
        <bgColor rgb="00264653"/>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4" fillId="0" borderId="0" pivotButton="0" quotePrefix="0" xfId="0"/>
    <xf numFmtId="0" fontId="3" fillId="2" borderId="0" applyAlignment="1" pivotButton="0" quotePrefix="0" xfId="0">
      <alignment horizontal="left" vertical="center" wrapText="1"/>
    </xf>
    <xf numFmtId="0" fontId="4" fillId="0" borderId="1" pivotButton="0" quotePrefix="0" xfId="0"/>
    <xf numFmtId="0" fontId="0" fillId="0" borderId="1" pivotButton="0" quotePrefix="0" xfId="0"/>
    <xf numFmtId="0" fontId="2" fillId="0" borderId="0" applyAlignment="1" pivotButton="0" quotePrefix="0" xfId="0">
      <alignment horizontal="left" vertical="top" wrapText="1"/>
    </xf>
    <xf numFmtId="0" fontId="5"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styles" Target="styles.xml" Id="rId21"/><Relationship Type="http://schemas.openxmlformats.org/officeDocument/2006/relationships/theme" Target="theme/theme1.xml" Id="rId22"/></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The Royal Bank of Scotland Public Limited Company — Balance Sheet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'Overview'!I6</f>
            </strRef>
          </tx>
          <spPr>
            <a:ln xmlns:a="http://schemas.openxmlformats.org/drawingml/2006/main">
              <a:prstDash val="solid"/>
            </a:ln>
          </spPr>
          <cat>
            <numRef>
              <f>'Overview'!$J$5:$N$5</f>
            </numRef>
          </cat>
          <val>
            <numRef>
              <f>'Overview'!$J$6:$N$6</f>
            </numRef>
          </val>
        </ser>
        <ser>
          <idx val="1"/>
          <order val="1"/>
          <tx>
            <strRef>
              <f>'Overview'!I7</f>
            </strRef>
          </tx>
          <spPr>
            <a:ln xmlns:a="http://schemas.openxmlformats.org/drawingml/2006/main">
              <a:prstDash val="solid"/>
            </a:ln>
          </spPr>
          <cat>
            <numRef>
              <f>'Overview'!$J$5:$N$5</f>
            </numRef>
          </cat>
          <val>
            <numRef>
              <f>'Overview'!$J$7:$N$7</f>
            </numRef>
          </val>
        </ser>
        <ser>
          <idx val="2"/>
          <order val="2"/>
          <tx>
            <strRef>
              <f>'Overview'!I8</f>
            </strRef>
          </tx>
          <spPr>
            <a:ln xmlns:a="http://schemas.openxmlformats.org/drawingml/2006/main">
              <a:prstDash val="solid"/>
            </a:ln>
          </spPr>
          <cat>
            <numRef>
              <f>'Overview'!$J$5:$N$5</f>
            </numRef>
          </cat>
          <val>
            <numRef>
              <f>'Overview'!$J$8:$N$8</f>
            </numRef>
          </val>
        </ser>
        <ser>
          <idx val="3"/>
          <order val="3"/>
          <tx>
            <strRef>
              <f>'Overview'!I9</f>
            </strRef>
          </tx>
          <spPr>
            <a:ln xmlns:a="http://schemas.openxmlformats.org/drawingml/2006/main">
              <a:prstDash val="solid"/>
            </a:ln>
          </spPr>
          <cat>
            <numRef>
              <f>'Overview'!$J$5:$N$5</f>
            </numRef>
          </cat>
          <val>
            <numRef>
              <f>'Overview'!$J$9:$N$9</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£m</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The Royal Bank of Scotland Public Limited Company — Profit &amp; Loss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'Overview'!Q13</f>
            </strRef>
          </tx>
          <spPr>
            <a:ln xmlns:a="http://schemas.openxmlformats.org/drawingml/2006/main">
              <a:prstDash val="solid"/>
            </a:ln>
          </spPr>
          <cat>
            <numRef>
              <f>'Overview'!$R$12:$V$12</f>
            </numRef>
          </cat>
          <val>
            <numRef>
              <f>'Overview'!$R$13:$V$13</f>
            </numRef>
          </val>
        </ser>
        <ser>
          <idx val="1"/>
          <order val="1"/>
          <tx>
            <strRef>
              <f>'Overview'!Q14</f>
            </strRef>
          </tx>
          <spPr>
            <a:ln xmlns:a="http://schemas.openxmlformats.org/drawingml/2006/main">
              <a:prstDash val="solid"/>
            </a:ln>
          </spPr>
          <cat>
            <numRef>
              <f>'Overview'!$R$12:$V$12</f>
            </numRef>
          </cat>
          <val>
            <numRef>
              <f>'Overview'!$R$14:$V$14</f>
            </numRef>
          </val>
        </ser>
        <ser>
          <idx val="2"/>
          <order val="2"/>
          <tx>
            <strRef>
              <f>'Overview'!Q15</f>
            </strRef>
          </tx>
          <spPr>
            <a:ln xmlns:a="http://schemas.openxmlformats.org/drawingml/2006/main">
              <a:prstDash val="solid"/>
            </a:ln>
          </spPr>
          <cat>
            <numRef>
              <f>'Overview'!$R$12:$V$12</f>
            </numRef>
          </cat>
          <val>
            <numRef>
              <f>'Overview'!$R$15:$V$15</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£m</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The Royal Bank of Scotland Public Limited Company — Statement of Changes in Equity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'Overview'!Y19</f>
            </strRef>
          </tx>
          <spPr>
            <a:ln xmlns:a="http://schemas.openxmlformats.org/drawingml/2006/main">
              <a:prstDash val="solid"/>
            </a:ln>
          </spPr>
          <cat>
            <numRef>
              <f>'Overview'!$Z$18:$AD$18</f>
            </numRef>
          </cat>
          <val>
            <numRef>
              <f>'Overview'!$Z$19:$AD$19</f>
            </numRef>
          </val>
        </ser>
        <ser>
          <idx val="1"/>
          <order val="1"/>
          <tx>
            <strRef>
              <f>'Overview'!Y20</f>
            </strRef>
          </tx>
          <spPr>
            <a:ln xmlns:a="http://schemas.openxmlformats.org/drawingml/2006/main">
              <a:prstDash val="solid"/>
            </a:ln>
          </spPr>
          <cat>
            <numRef>
              <f>'Overview'!$Z$18:$AD$18</f>
            </numRef>
          </cat>
          <val>
            <numRef>
              <f>'Overview'!$Z$20:$AD$20</f>
            </numRef>
          </val>
        </ser>
        <ser>
          <idx val="2"/>
          <order val="2"/>
          <tx>
            <strRef>
              <f>'Overview'!Y21</f>
            </strRef>
          </tx>
          <spPr>
            <a:ln xmlns:a="http://schemas.openxmlformats.org/drawingml/2006/main">
              <a:prstDash val="solid"/>
            </a:ln>
          </spPr>
          <cat>
            <numRef>
              <f>'Overview'!$Z$18:$AD$18</f>
            </numRef>
          </cat>
          <val>
            <numRef>
              <f>'Overview'!$Z$21:$AD$21</f>
            </numRef>
          </val>
        </ser>
        <ser>
          <idx val="3"/>
          <order val="3"/>
          <tx>
            <strRef>
              <f>'Overview'!Y22</f>
            </strRef>
          </tx>
          <spPr>
            <a:ln xmlns:a="http://schemas.openxmlformats.org/drawingml/2006/main">
              <a:prstDash val="solid"/>
            </a:ln>
          </spPr>
          <cat>
            <numRef>
              <f>'Overview'!$Z$18:$AD$18</f>
            </numRef>
          </cat>
          <val>
            <numRef>
              <f>'Overview'!$Z$22:$AD$22</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£m</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The Royal Bank of Scotland Public Limited Company — Cash Flow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'Overview'!AG26</f>
            </strRef>
          </tx>
          <spPr>
            <a:ln xmlns:a="http://schemas.openxmlformats.org/drawingml/2006/main">
              <a:prstDash val="solid"/>
            </a:ln>
          </spPr>
          <cat>
            <numRef>
              <f>'Overview'!$AH$25:$AL$25</f>
            </numRef>
          </cat>
          <val>
            <numRef>
              <f>'Overview'!$AH$26:$AL$26</f>
            </numRef>
          </val>
        </ser>
        <ser>
          <idx val="1"/>
          <order val="1"/>
          <tx>
            <strRef>
              <f>'Overview'!AG27</f>
            </strRef>
          </tx>
          <spPr>
            <a:ln xmlns:a="http://schemas.openxmlformats.org/drawingml/2006/main">
              <a:prstDash val="solid"/>
            </a:ln>
          </spPr>
          <cat>
            <numRef>
              <f>'Overview'!$AH$25:$AL$25</f>
            </numRef>
          </cat>
          <val>
            <numRef>
              <f>'Overview'!$AH$27:$AL$27</f>
            </numRef>
          </val>
        </ser>
        <ser>
          <idx val="2"/>
          <order val="2"/>
          <tx>
            <strRef>
              <f>'Overview'!AG28</f>
            </strRef>
          </tx>
          <spPr>
            <a:ln xmlns:a="http://schemas.openxmlformats.org/drawingml/2006/main">
              <a:prstDash val="solid"/>
            </a:ln>
          </spPr>
          <cat>
            <numRef>
              <f>'Overview'!$AH$25:$AL$25</f>
            </numRef>
          </cat>
          <val>
            <numRef>
              <f>'Overview'!$AH$28:$AL$28</f>
            </numRef>
          </val>
        </ser>
        <ser>
          <idx val="3"/>
          <order val="3"/>
          <tx>
            <strRef>
              <f>'Overview'!AG29</f>
            </strRef>
          </tx>
          <spPr>
            <a:ln xmlns:a="http://schemas.openxmlformats.org/drawingml/2006/main">
              <a:prstDash val="solid"/>
            </a:ln>
          </spPr>
          <cat>
            <numRef>
              <f>'Overview'!$AH$25:$AL$25</f>
            </numRef>
          </cat>
          <val>
            <numRef>
              <f>'Overview'!$AH$29:$AL$29</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£m</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5.xml><?xml version="1.0" encoding="utf-8"?>
<chartSpace xmlns="http://schemas.openxmlformats.org/drawingml/2006/chart">
  <chart>
    <title>
      <tx>
        <rich>
          <a:bodyPr xmlns:a="http://schemas.openxmlformats.org/drawingml/2006/main"/>
          <a:p xmlns:a="http://schemas.openxmlformats.org/drawingml/2006/main">
            <a:pPr>
              <a:defRPr/>
            </a:pPr>
            <a:r>
              <a:t>The Royal Bank of Scotland Public Limited Company — Pillar 3 Key Metrics by Year</a:t>
            </a:r>
          </a:p>
        </rich>
      </tx>
    </title>
    <plotArea>
      <layout>
        <manualLayout>
          <layoutTarget val="inner"/>
          <xMode val="edge"/>
          <yMode val="edge"/>
          <wMode val="factor"/>
          <hMode val="factor"/>
          <x val="0.1"/>
          <y val="0.12"/>
          <w val="0.85"/>
          <h val="0.5"/>
        </manualLayout>
      </layout>
      <lineChart>
        <grouping val="standard"/>
        <ser>
          <idx val="0"/>
          <order val="0"/>
          <tx>
            <strRef>
              <f>'Overview'!AO6</f>
            </strRef>
          </tx>
          <spPr>
            <a:ln xmlns:a="http://schemas.openxmlformats.org/drawingml/2006/main">
              <a:prstDash val="solid"/>
            </a:ln>
          </spPr>
          <marker>
            <symbol val="none"/>
            <spPr>
              <a:ln xmlns:a="http://schemas.openxmlformats.org/drawingml/2006/main">
                <a:prstDash val="solid"/>
              </a:ln>
            </spPr>
          </marker>
          <cat>
            <numRef>
              <f>'Overview'!$AP$5:$AT$5</f>
            </numRef>
          </cat>
          <val>
            <numRef>
              <f>'Overview'!$AP$6:$AT$6</f>
            </numRef>
          </val>
          <smooth val="0"/>
        </ser>
        <ser>
          <idx val="1"/>
          <order val="1"/>
          <tx>
            <strRef>
              <f>'Overview'!AO7</f>
            </strRef>
          </tx>
          <spPr>
            <a:ln xmlns:a="http://schemas.openxmlformats.org/drawingml/2006/main">
              <a:prstDash val="solid"/>
            </a:ln>
          </spPr>
          <marker>
            <symbol val="none"/>
            <spPr>
              <a:ln xmlns:a="http://schemas.openxmlformats.org/drawingml/2006/main">
                <a:prstDash val="solid"/>
              </a:ln>
            </spPr>
          </marker>
          <cat>
            <numRef>
              <f>'Overview'!$AP$5:$AT$5</f>
            </numRef>
          </cat>
          <val>
            <numRef>
              <f>'Overview'!$AP$7:$AT$7</f>
            </numRef>
          </val>
          <smooth val="0"/>
        </ser>
        <ser>
          <idx val="2"/>
          <order val="2"/>
          <tx>
            <strRef>
              <f>'Overview'!AO8</f>
            </strRef>
          </tx>
          <spPr>
            <a:ln xmlns:a="http://schemas.openxmlformats.org/drawingml/2006/main">
              <a:prstDash val="solid"/>
            </a:ln>
          </spPr>
          <marker>
            <symbol val="none"/>
            <spPr>
              <a:ln xmlns:a="http://schemas.openxmlformats.org/drawingml/2006/main">
                <a:prstDash val="solid"/>
              </a:ln>
            </spPr>
          </marker>
          <cat>
            <numRef>
              <f>'Overview'!$AP$5:$AT$5</f>
            </numRef>
          </cat>
          <val>
            <numRef>
              <f>'Overview'!$AP$8:$AT$8</f>
            </numRef>
          </val>
          <smooth val="0"/>
        </ser>
        <ser>
          <idx val="3"/>
          <order val="3"/>
          <tx>
            <strRef>
              <f>'Overview'!AO9</f>
            </strRef>
          </tx>
          <spPr>
            <a:ln xmlns:a="http://schemas.openxmlformats.org/drawingml/2006/main">
              <a:prstDash val="solid"/>
            </a:ln>
          </spPr>
          <marker>
            <symbol val="none"/>
            <spPr>
              <a:ln xmlns:a="http://schemas.openxmlformats.org/drawingml/2006/main">
                <a:prstDash val="solid"/>
              </a:ln>
            </spPr>
          </marker>
          <cat>
            <numRef>
              <f>'Overview'!$AP$5:$AT$5</f>
            </numRef>
          </cat>
          <val>
            <numRef>
              <f>'Overview'!$AP$9:$AT$9</f>
            </numRef>
          </val>
          <smooth val="0"/>
        </ser>
        <ser>
          <idx val="4"/>
          <order val="4"/>
          <tx>
            <strRef>
              <f>'Overview'!AO10</f>
            </strRef>
          </tx>
          <spPr>
            <a:ln xmlns:a="http://schemas.openxmlformats.org/drawingml/2006/main">
              <a:prstDash val="solid"/>
            </a:ln>
          </spPr>
          <marker>
            <symbol val="none"/>
            <spPr>
              <a:ln xmlns:a="http://schemas.openxmlformats.org/drawingml/2006/main">
                <a:prstDash val="solid"/>
              </a:ln>
            </spPr>
          </marker>
          <cat>
            <numRef>
              <f>'Overview'!$AP$5:$AT$5</f>
            </numRef>
          </cat>
          <val>
            <numRef>
              <f>'Overview'!$AP$10:$AT$10</f>
            </numRef>
          </val>
          <smooth val="0"/>
        </ser>
        <ser>
          <idx val="5"/>
          <order val="5"/>
          <tx>
            <strRef>
              <f>'Overview'!AO11</f>
            </strRef>
          </tx>
          <spPr>
            <a:ln xmlns:a="http://schemas.openxmlformats.org/drawingml/2006/main">
              <a:prstDash val="solid"/>
            </a:ln>
          </spPr>
          <marker>
            <symbol val="none"/>
            <spPr>
              <a:ln xmlns:a="http://schemas.openxmlformats.org/drawingml/2006/main">
                <a:prstDash val="solid"/>
              </a:ln>
            </spPr>
          </marker>
          <cat>
            <numRef>
              <f>'Overview'!$AP$5:$AT$5</f>
            </numRef>
          </cat>
          <val>
            <numRef>
              <f>'Overview'!$AP$11:$AT$11</f>
            </numRef>
          </val>
          <smooth val="0"/>
        </ser>
        <axId val="10"/>
        <axId val="100"/>
      </line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a:t>
                </a:r>
              </a:p>
            </rich>
          </tx>
        </title>
        <majorTickMark val="out"/>
        <minorTickMark val="none"/>
        <tickLblPos val="nextTo"/>
        <crossAx val="10"/>
      </valAx>
    </plotArea>
    <legend>
      <legendPos val="b"/>
      <layout>
        <manualLayout>
          <xMode val="edge"/>
          <yMode val="edge"/>
          <wMode val="factor"/>
          <hMode val="factor"/>
          <x val="0.02"/>
          <y val="0.78"/>
          <w val="0.96"/>
          <h val="0.22"/>
        </manualLayout>
      </layout>
    </legend>
    <plotVisOnly val="0"/>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s>
</file>

<file path=xl/drawings/drawing1.xml><?xml version="1.0" encoding="utf-8"?>
<wsDr xmlns="http://schemas.openxmlformats.org/drawingml/2006/spreadsheetDrawing">
  <oneCellAnchor>
    <from>
      <col>0</col>
      <colOff>0</colOff>
      <row>42</row>
      <rowOff>0</rowOff>
    </from>
    <ext cx="8640000" cy="46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0</col>
      <colOff>0</colOff>
      <row>64</row>
      <rowOff>0</rowOff>
    </from>
    <ext cx="8640000" cy="46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86</row>
      <rowOff>0</rowOff>
    </from>
    <ext cx="8640000" cy="46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0</col>
      <colOff>0</colOff>
      <row>108</row>
      <rowOff>0</rowOff>
    </from>
    <ext cx="8640000" cy="46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0</col>
      <colOff>0</colOff>
      <row>130</row>
      <rowOff>0</rowOff>
    </from>
    <ext cx="8640000" cy="576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AT40"/>
  <sheetViews>
    <sheetView workbookViewId="0">
      <selection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 hidden="1" width="13" customWidth="1" min="9" max="9"/>
    <col hidden="1" width="13" customWidth="1" min="10" max="10"/>
    <col hidden="1" width="13" customWidth="1" min="11" max="11"/>
    <col hidden="1" width="13" customWidth="1" min="12" max="12"/>
    <col hidden="1" width="13" customWidth="1" min="13" max="13"/>
    <col hidden="1" width="13" customWidth="1" min="14" max="14"/>
    <col hidden="1" width="13" customWidth="1" min="15" max="15"/>
    <col hidden="1" width="13" customWidth="1" min="16" max="16"/>
    <col hidden="1" width="13" customWidth="1" min="17" max="17"/>
    <col hidden="1" width="13" customWidth="1" min="18" max="18"/>
    <col hidden="1" width="13" customWidth="1" min="19" max="19"/>
    <col hidden="1" width="13" customWidth="1" min="20" max="20"/>
    <col hidden="1" width="13" customWidth="1" min="21" max="21"/>
    <col hidden="1" width="13" customWidth="1" min="22" max="22"/>
    <col hidden="1" width="13" customWidth="1" min="23" max="23"/>
    <col hidden="1" width="13" customWidth="1" min="24" max="24"/>
    <col hidden="1" width="13" customWidth="1" min="25" max="25"/>
    <col hidden="1" width="13" customWidth="1" min="26" max="26"/>
    <col hidden="1" width="13" customWidth="1" min="27" max="27"/>
    <col hidden="1" width="13" customWidth="1" min="28" max="28"/>
    <col hidden="1" width="13" customWidth="1" min="29" max="29"/>
    <col hidden="1" width="13" customWidth="1" min="30" max="30"/>
    <col hidden="1" width="13" customWidth="1" min="31" max="31"/>
    <col hidden="1" width="13" customWidth="1" min="32" max="32"/>
    <col hidden="1" width="13" customWidth="1" min="33" max="33"/>
    <col hidden="1" width="13" customWidth="1" min="34" max="34"/>
    <col hidden="1" width="13" customWidth="1" min="35" max="35"/>
    <col hidden="1" width="13" customWidth="1" min="36" max="36"/>
    <col hidden="1" width="13" customWidth="1" min="37" max="37"/>
    <col hidden="1" width="13" customWidth="1" min="38" max="38"/>
    <col hidden="1" width="13" customWidth="1" min="39" max="39"/>
    <col hidden="1" width="13" customWidth="1" min="40" max="40"/>
    <col hidden="1" width="13" customWidth="1" min="41" max="41"/>
    <col hidden="1" width="13" customWidth="1" min="42" max="42"/>
    <col hidden="1" width="13" customWidth="1" min="43" max="43"/>
    <col hidden="1" width="13" customWidth="1" min="44" max="44"/>
    <col hidden="1" width="13" customWidth="1" min="45" max="45"/>
    <col hidden="1" width="13" customWidth="1" min="46" max="46"/>
  </cols>
  <sheetData>
    <row r="1">
      <c r="A1" s="1" t="inlineStr">
        <is>
          <t>The Royal Bank of Scotland Public Limited Company — Overview</t>
        </is>
      </c>
    </row>
    <row r="2">
      <c r="A2" s="2" t="inlineStr">
        <is>
          <t>Headline balance sheet, profit &amp; loss, cash flow and Pillar 3 figures across all years covered in this workbook - how the bank is using its money and the risk it is taking with it</t>
        </is>
      </c>
    </row>
    <row r="3"/>
    <row r="4">
      <c r="A4" s="3" t="inlineStr">
        <is>
          <t>Balance Sheet Summary (£m)</t>
        </is>
      </c>
    </row>
    <row r="5">
      <c r="A5" s="4" t="inlineStr">
        <is>
          <t>Line item</t>
        </is>
      </c>
      <c r="B5" s="4" t="inlineStr">
        <is>
          <t>FY2025</t>
        </is>
      </c>
      <c r="C5" s="4" t="inlineStr">
        <is>
          <t>FY2024</t>
        </is>
      </c>
      <c r="D5" s="4" t="inlineStr">
        <is>
          <t>FY2023</t>
        </is>
      </c>
      <c r="E5" s="4" t="inlineStr">
        <is>
          <t>FY2022</t>
        </is>
      </c>
      <c r="F5" s="4" t="inlineStr">
        <is>
          <t>FY2021</t>
        </is>
      </c>
      <c r="J5" t="inlineStr">
        <is>
          <t>FY2021</t>
        </is>
      </c>
      <c r="K5" t="inlineStr">
        <is>
          <t>FY2022</t>
        </is>
      </c>
      <c r="L5" t="inlineStr">
        <is>
          <t>FY2023</t>
        </is>
      </c>
      <c r="M5" t="inlineStr">
        <is>
          <t>FY2024</t>
        </is>
      </c>
      <c r="N5" t="inlineStr">
        <is>
          <t>FY2025</t>
        </is>
      </c>
      <c r="AP5" t="inlineStr">
        <is>
          <t>FY2021</t>
        </is>
      </c>
      <c r="AQ5" t="inlineStr">
        <is>
          <t>FY2022</t>
        </is>
      </c>
      <c r="AR5" t="inlineStr">
        <is>
          <t>FY2023</t>
        </is>
      </c>
      <c r="AS5" t="inlineStr">
        <is>
          <t>FY2024</t>
        </is>
      </c>
      <c r="AT5" t="inlineStr">
        <is>
          <t>FY2025</t>
        </is>
      </c>
    </row>
    <row r="6">
      <c r="A6" s="5" t="inlineStr">
        <is>
          <t>Total assets</t>
        </is>
      </c>
      <c r="B6" s="5" t="n">
        <v>95362</v>
      </c>
      <c r="C6" s="5" t="n">
        <v>90476</v>
      </c>
      <c r="D6" s="5" t="n">
        <v>90389</v>
      </c>
      <c r="E6" s="5" t="n">
        <v>96663</v>
      </c>
      <c r="F6" s="5" t="n">
        <v>106095</v>
      </c>
      <c r="I6" t="inlineStr">
        <is>
          <t>Total assets</t>
        </is>
      </c>
      <c r="J6" t="n">
        <v>106095</v>
      </c>
      <c r="K6" t="n">
        <v>96663</v>
      </c>
      <c r="L6" t="n">
        <v>90389</v>
      </c>
      <c r="M6" t="n">
        <v>90476</v>
      </c>
      <c r="N6" t="n">
        <v>95362</v>
      </c>
      <c r="AO6" t="inlineStr">
        <is>
          <t>CET1 Ratio</t>
        </is>
      </c>
      <c r="AP6" t="n">
        <v>13.7</v>
      </c>
      <c r="AQ6" t="n">
        <v>11.6</v>
      </c>
      <c r="AR6" t="n">
        <v>11.2</v>
      </c>
      <c r="AS6" t="n">
        <v>11.1</v>
      </c>
      <c r="AT6" t="n">
        <v>11</v>
      </c>
    </row>
    <row r="7">
      <c r="A7" s="5" t="inlineStr">
        <is>
          <t>Loans to customers - amortised cost</t>
        </is>
      </c>
      <c r="B7" s="5" t="n">
        <v>33531</v>
      </c>
      <c r="C7" s="5" t="n">
        <v>33524</v>
      </c>
      <c r="D7" s="5" t="n">
        <v>34805</v>
      </c>
      <c r="E7" s="5" t="n">
        <v>37667</v>
      </c>
      <c r="F7" s="5" t="n">
        <v>42035</v>
      </c>
      <c r="I7" t="inlineStr">
        <is>
          <t>Loans to customers - amortised cost</t>
        </is>
      </c>
      <c r="J7" t="n">
        <v>42035</v>
      </c>
      <c r="K7" t="n">
        <v>37667</v>
      </c>
      <c r="L7" t="n">
        <v>34805</v>
      </c>
      <c r="M7" t="n">
        <v>33524</v>
      </c>
      <c r="N7" t="n">
        <v>33531</v>
      </c>
      <c r="AO7" t="inlineStr">
        <is>
          <t>Tier 1 Ratio</t>
        </is>
      </c>
      <c r="AP7" t="n">
        <v>18.6</v>
      </c>
      <c r="AQ7" t="n">
        <v>16.8</v>
      </c>
      <c r="AR7" t="n">
        <v>13.9</v>
      </c>
      <c r="AS7" t="n">
        <v>14</v>
      </c>
      <c r="AT7" t="n">
        <v>13.8</v>
      </c>
    </row>
    <row r="8">
      <c r="A8" s="5" t="inlineStr">
        <is>
          <t>Customer deposits</t>
        </is>
      </c>
      <c r="B8" s="5" t="n">
        <v>78399</v>
      </c>
      <c r="C8" s="5" t="n">
        <v>78069</v>
      </c>
      <c r="D8" s="5" t="n">
        <v>77504</v>
      </c>
      <c r="E8" s="5" t="n">
        <v>83306</v>
      </c>
      <c r="F8" s="5" t="n">
        <v>92144</v>
      </c>
      <c r="I8" t="inlineStr">
        <is>
          <t>Customer deposits</t>
        </is>
      </c>
      <c r="J8" t="n">
        <v>92144</v>
      </c>
      <c r="K8" t="n">
        <v>83306</v>
      </c>
      <c r="L8" t="n">
        <v>77504</v>
      </c>
      <c r="M8" t="n">
        <v>78069</v>
      </c>
      <c r="N8" t="n">
        <v>78399</v>
      </c>
      <c r="AO8" t="inlineStr">
        <is>
          <t>Total Capital Ratio</t>
        </is>
      </c>
      <c r="AP8" t="n">
        <v>26.1</v>
      </c>
      <c r="AQ8" t="n">
        <v>25.4</v>
      </c>
      <c r="AR8" t="n">
        <v>16.4</v>
      </c>
      <c r="AS8" t="n">
        <v>17.5</v>
      </c>
      <c r="AT8" t="n">
        <v>17</v>
      </c>
    </row>
    <row r="9">
      <c r="A9" s="5" t="inlineStr">
        <is>
          <t>Total equity</t>
        </is>
      </c>
      <c r="B9" s="5" t="n">
        <v>3658</v>
      </c>
      <c r="C9" s="5" t="n">
        <v>3249</v>
      </c>
      <c r="D9" s="5" t="n">
        <v>3103</v>
      </c>
      <c r="E9" s="5" t="n">
        <v>2661</v>
      </c>
      <c r="F9" s="5" t="n">
        <v>3747</v>
      </c>
      <c r="I9" t="inlineStr">
        <is>
          <t>Total equity</t>
        </is>
      </c>
      <c r="J9" t="n">
        <v>3747</v>
      </c>
      <c r="K9" t="n">
        <v>2661</v>
      </c>
      <c r="L9" t="n">
        <v>3103</v>
      </c>
      <c r="M9" t="n">
        <v>3249</v>
      </c>
      <c r="N9" t="n">
        <v>3658</v>
      </c>
      <c r="AO9" t="inlineStr">
        <is>
          <t>Leverage Ratio (excl. claims on central banks)</t>
        </is>
      </c>
      <c r="AQ9" t="n">
        <v>6.4</v>
      </c>
      <c r="AR9" t="n">
        <v>5.8</v>
      </c>
      <c r="AS9" t="n">
        <v>5.8</v>
      </c>
      <c r="AT9" t="n">
        <v>5.6</v>
      </c>
    </row>
    <row r="10">
      <c r="AO10" t="inlineStr">
        <is>
          <t>LCR (UK DoLSub, spot)</t>
        </is>
      </c>
      <c r="AP10" t="n">
        <v>169</v>
      </c>
      <c r="AQ10" t="n">
        <v>131</v>
      </c>
      <c r="AR10" t="n">
        <v>138</v>
      </c>
      <c r="AS10" t="n">
        <v>142</v>
      </c>
    </row>
    <row r="11">
      <c r="A11" s="3" t="inlineStr">
        <is>
          <t>Profit &amp; Loss Summary (£m)</t>
        </is>
      </c>
      <c r="AO11" t="inlineStr">
        <is>
          <t>NSFR (UK DoLSub, spot)</t>
        </is>
      </c>
      <c r="AP11" t="n">
        <v>151</v>
      </c>
      <c r="AQ11" t="n">
        <v>137</v>
      </c>
      <c r="AR11" t="n">
        <v>126</v>
      </c>
      <c r="AS11" t="n">
        <v>129</v>
      </c>
    </row>
    <row r="12">
      <c r="A12" s="4" t="inlineStr">
        <is>
          <t>Line item</t>
        </is>
      </c>
      <c r="B12" s="4" t="inlineStr">
        <is>
          <t>FY2025</t>
        </is>
      </c>
      <c r="C12" s="4" t="inlineStr">
        <is>
          <t>FY2024</t>
        </is>
      </c>
      <c r="D12" s="4" t="inlineStr">
        <is>
          <t>FY2023</t>
        </is>
      </c>
      <c r="E12" s="4" t="inlineStr">
        <is>
          <t>FY2022</t>
        </is>
      </c>
      <c r="F12" s="4" t="inlineStr">
        <is>
          <t>FY2021</t>
        </is>
      </c>
      <c r="R12" t="inlineStr">
        <is>
          <t>FY2021</t>
        </is>
      </c>
      <c r="S12" t="inlineStr">
        <is>
          <t>FY2022</t>
        </is>
      </c>
      <c r="T12" t="inlineStr">
        <is>
          <t>FY2023</t>
        </is>
      </c>
      <c r="U12" t="inlineStr">
        <is>
          <t>FY2024</t>
        </is>
      </c>
      <c r="V12" t="inlineStr">
        <is>
          <t>FY2025</t>
        </is>
      </c>
    </row>
    <row r="13">
      <c r="A13" s="5" t="inlineStr">
        <is>
          <t>Total income</t>
        </is>
      </c>
      <c r="B13" s="5" t="n">
        <v>2510</v>
      </c>
      <c r="C13" s="5" t="n">
        <v>2277</v>
      </c>
      <c r="D13" s="5" t="n">
        <v>2533</v>
      </c>
      <c r="E13" s="5" t="n">
        <v>2071</v>
      </c>
      <c r="F13" s="5" t="n">
        <v>1775</v>
      </c>
      <c r="Q13" t="inlineStr">
        <is>
          <t>Total income</t>
        </is>
      </c>
      <c r="R13" t="n">
        <v>1775</v>
      </c>
      <c r="S13" t="n">
        <v>2071</v>
      </c>
      <c r="T13" t="n">
        <v>2533</v>
      </c>
      <c r="U13" t="n">
        <v>2277</v>
      </c>
      <c r="V13" t="n">
        <v>2510</v>
      </c>
    </row>
    <row r="14">
      <c r="A14" s="5" t="inlineStr">
        <is>
          <t>Operating expenses</t>
        </is>
      </c>
      <c r="B14" s="5" t="n">
        <v>-810</v>
      </c>
      <c r="C14" s="5" t="n">
        <v>-871</v>
      </c>
      <c r="D14" s="5" t="n">
        <v>-901</v>
      </c>
      <c r="E14" s="5" t="n">
        <v>-892</v>
      </c>
      <c r="F14" s="5" t="n">
        <v>-1114</v>
      </c>
      <c r="Q14" t="inlineStr">
        <is>
          <t>Operating expenses</t>
        </is>
      </c>
      <c r="R14" t="n">
        <v>-1114</v>
      </c>
      <c r="S14" t="n">
        <v>-892</v>
      </c>
      <c r="T14" t="n">
        <v>-901</v>
      </c>
      <c r="U14" t="n">
        <v>-871</v>
      </c>
      <c r="V14" t="n">
        <v>-810</v>
      </c>
    </row>
    <row r="15">
      <c r="A15" s="5" t="inlineStr">
        <is>
          <t>Profit for the year</t>
        </is>
      </c>
      <c r="B15" s="5" t="n">
        <v>1255</v>
      </c>
      <c r="C15" s="5" t="n">
        <v>1180</v>
      </c>
      <c r="D15" s="5" t="n">
        <v>1399</v>
      </c>
      <c r="E15" s="5" t="n">
        <v>1176</v>
      </c>
      <c r="F15" s="5" t="n">
        <v>776</v>
      </c>
      <c r="Q15" t="inlineStr">
        <is>
          <t>Profit for the year</t>
        </is>
      </c>
      <c r="R15" t="n">
        <v>776</v>
      </c>
      <c r="S15" t="n">
        <v>1176</v>
      </c>
      <c r="T15" t="n">
        <v>1399</v>
      </c>
      <c r="U15" t="n">
        <v>1180</v>
      </c>
      <c r="V15" t="n">
        <v>1255</v>
      </c>
    </row>
    <row r="17">
      <c r="A17" s="3" t="inlineStr">
        <is>
          <t>Statement of Changes in Equity Summary (£m)</t>
        </is>
      </c>
    </row>
    <row r="18">
      <c r="A18" s="4" t="inlineStr">
        <is>
          <t>Line item</t>
        </is>
      </c>
      <c r="B18" s="4" t="inlineStr">
        <is>
          <t>FY2025</t>
        </is>
      </c>
      <c r="C18" s="4" t="inlineStr">
        <is>
          <t>FY2024</t>
        </is>
      </c>
      <c r="D18" s="4" t="inlineStr">
        <is>
          <t>FY2023</t>
        </is>
      </c>
      <c r="E18" s="4" t="inlineStr">
        <is>
          <t>FY2022</t>
        </is>
      </c>
      <c r="F18" s="4" t="inlineStr">
        <is>
          <t>FY2021</t>
        </is>
      </c>
      <c r="Z18" t="inlineStr">
        <is>
          <t>FY2021</t>
        </is>
      </c>
      <c r="AA18" t="inlineStr">
        <is>
          <t>FY2022</t>
        </is>
      </c>
      <c r="AB18" t="inlineStr">
        <is>
          <t>FY2023</t>
        </is>
      </c>
      <c r="AC18" t="inlineStr">
        <is>
          <t>FY2024</t>
        </is>
      </c>
      <c r="AD18" t="inlineStr">
        <is>
          <t>FY2025</t>
        </is>
      </c>
    </row>
    <row r="19">
      <c r="A19" s="5" t="inlineStr">
        <is>
          <t>Opening equity</t>
        </is>
      </c>
      <c r="B19" s="5" t="n">
        <v>3249</v>
      </c>
      <c r="C19" s="5" t="n">
        <v>3103</v>
      </c>
      <c r="D19" s="5" t="n">
        <v>2661</v>
      </c>
      <c r="E19" s="5" t="n">
        <v>3747</v>
      </c>
      <c r="F19" s="5" t="n">
        <v>5670</v>
      </c>
      <c r="Y19" t="inlineStr">
        <is>
          <t>Opening equity</t>
        </is>
      </c>
      <c r="Z19" t="n">
        <v>5670</v>
      </c>
      <c r="AA19" t="n">
        <v>3747</v>
      </c>
      <c r="AB19" t="n">
        <v>2661</v>
      </c>
      <c r="AC19" t="n">
        <v>3103</v>
      </c>
      <c r="AD19" t="n">
        <v>3249</v>
      </c>
    </row>
    <row r="20">
      <c r="A20" s="5" t="inlineStr">
        <is>
          <t>Total comprehensive income/(loss) for the year</t>
        </is>
      </c>
      <c r="B20" s="5" t="n">
        <v>1709</v>
      </c>
      <c r="C20" s="5" t="n">
        <v>1380</v>
      </c>
      <c r="D20" s="5" t="n">
        <v>2138</v>
      </c>
      <c r="E20" s="5" t="n">
        <v>-133</v>
      </c>
      <c r="F20" s="5" t="n">
        <v>231</v>
      </c>
      <c r="Y20" t="inlineStr">
        <is>
          <t>Total comprehensive income/(loss) for the year</t>
        </is>
      </c>
      <c r="Z20" t="n">
        <v>231</v>
      </c>
      <c r="AA20" t="n">
        <v>-133</v>
      </c>
      <c r="AB20" t="n">
        <v>2138</v>
      </c>
      <c r="AC20" t="n">
        <v>1380</v>
      </c>
      <c r="AD20" t="n">
        <v>1709</v>
      </c>
    </row>
    <row r="21">
      <c r="A21" s="5" t="inlineStr">
        <is>
          <t>Other equity movements, net</t>
        </is>
      </c>
      <c r="B21" s="5" t="n">
        <v>-1300</v>
      </c>
      <c r="C21" s="5" t="n">
        <v>-1234</v>
      </c>
      <c r="D21" s="5" t="n">
        <v>-1696</v>
      </c>
      <c r="E21" s="5" t="n">
        <v>-953</v>
      </c>
      <c r="F21" s="5" t="n">
        <v>-2154</v>
      </c>
      <c r="Y21" t="inlineStr">
        <is>
          <t>Other equity movements, net</t>
        </is>
      </c>
      <c r="Z21" t="n">
        <v>-2154</v>
      </c>
      <c r="AA21" t="n">
        <v>-953</v>
      </c>
      <c r="AB21" t="n">
        <v>-1696</v>
      </c>
      <c r="AC21" t="n">
        <v>-1234</v>
      </c>
      <c r="AD21" t="n">
        <v>-1300</v>
      </c>
    </row>
    <row r="22">
      <c r="A22" s="5" t="inlineStr">
        <is>
          <t>Closing equity</t>
        </is>
      </c>
      <c r="B22" s="5" t="n">
        <v>3658</v>
      </c>
      <c r="C22" s="5" t="n">
        <v>3249</v>
      </c>
      <c r="D22" s="5" t="n">
        <v>3103</v>
      </c>
      <c r="E22" s="5" t="n">
        <v>2661</v>
      </c>
      <c r="F22" s="5" t="n">
        <v>3747</v>
      </c>
      <c r="Y22" t="inlineStr">
        <is>
          <t>Closing equity</t>
        </is>
      </c>
      <c r="Z22" t="n">
        <v>3747</v>
      </c>
      <c r="AA22" t="n">
        <v>2661</v>
      </c>
      <c r="AB22" t="n">
        <v>3103</v>
      </c>
      <c r="AC22" t="n">
        <v>3249</v>
      </c>
      <c r="AD22" t="n">
        <v>3658</v>
      </c>
    </row>
    <row r="24">
      <c r="A24" s="3" t="inlineStr">
        <is>
          <t>Cash Flow Summary (£m)</t>
        </is>
      </c>
    </row>
    <row r="25">
      <c r="A25" s="4" t="inlineStr">
        <is>
          <t>Line item</t>
        </is>
      </c>
      <c r="B25" s="4" t="inlineStr">
        <is>
          <t>FY2025</t>
        </is>
      </c>
      <c r="C25" s="4" t="inlineStr">
        <is>
          <t>FY2024</t>
        </is>
      </c>
      <c r="D25" s="4" t="inlineStr">
        <is>
          <t>FY2023</t>
        </is>
      </c>
      <c r="E25" s="4" t="inlineStr">
        <is>
          <t>FY2022</t>
        </is>
      </c>
      <c r="F25" s="4" t="inlineStr">
        <is>
          <t>FY2021</t>
        </is>
      </c>
      <c r="AH25" t="inlineStr">
        <is>
          <t>FY2021</t>
        </is>
      </c>
      <c r="AI25" t="inlineStr">
        <is>
          <t>FY2022</t>
        </is>
      </c>
      <c r="AJ25" t="inlineStr">
        <is>
          <t>FY2023</t>
        </is>
      </c>
      <c r="AK25" t="inlineStr">
        <is>
          <t>FY2024</t>
        </is>
      </c>
      <c r="AL25" t="inlineStr">
        <is>
          <t>FY2025</t>
        </is>
      </c>
    </row>
    <row r="26">
      <c r="A26" s="5" t="inlineStr">
        <is>
          <t>Net cash from/(used in) operating activities</t>
        </is>
      </c>
      <c r="B26" s="5" t="n">
        <v>1971</v>
      </c>
      <c r="C26" s="5" t="n">
        <v>2957</v>
      </c>
      <c r="D26" s="5" t="n">
        <v>-5257</v>
      </c>
      <c r="E26" s="5" t="n">
        <v>-6353</v>
      </c>
      <c r="F26" s="5" t="n">
        <v>15792</v>
      </c>
      <c r="AG26" t="inlineStr">
        <is>
          <t>Net cash from/(used in) operating activities</t>
        </is>
      </c>
      <c r="AH26" t="n">
        <v>15792</v>
      </c>
      <c r="AI26" t="n">
        <v>-6353</v>
      </c>
      <c r="AJ26" t="n">
        <v>-5257</v>
      </c>
      <c r="AK26" t="n">
        <v>2957</v>
      </c>
      <c r="AL26" t="n">
        <v>1971</v>
      </c>
    </row>
    <row r="27">
      <c r="A27" s="5" t="inlineStr">
        <is>
          <t>Net cash from/(used in) investing activities</t>
        </is>
      </c>
      <c r="B27" s="5" t="n">
        <v>6</v>
      </c>
      <c r="C27" s="5" t="n">
        <v>-2</v>
      </c>
      <c r="D27" s="5" t="n">
        <v>30</v>
      </c>
      <c r="E27" s="5" t="n">
        <v>265</v>
      </c>
      <c r="F27" s="5" t="n">
        <v>249</v>
      </c>
      <c r="AG27" t="inlineStr">
        <is>
          <t>Net cash from/(used in) investing activities</t>
        </is>
      </c>
      <c r="AH27" t="n">
        <v>249</v>
      </c>
      <c r="AI27" t="n">
        <v>265</v>
      </c>
      <c r="AJ27" t="n">
        <v>30</v>
      </c>
      <c r="AK27" t="n">
        <v>-2</v>
      </c>
      <c r="AL27" t="n">
        <v>6</v>
      </c>
    </row>
    <row r="28">
      <c r="A28" s="5" t="inlineStr">
        <is>
          <t>Net cash from/(used in) financing activities</t>
        </is>
      </c>
      <c r="B28" s="5" t="n">
        <v>-1396</v>
      </c>
      <c r="C28" s="5" t="n">
        <v>-1457</v>
      </c>
      <c r="D28" s="5" t="n">
        <v>-1873</v>
      </c>
      <c r="E28" s="5" t="n">
        <v>-1038</v>
      </c>
      <c r="F28" s="5" t="n">
        <v>-2240</v>
      </c>
      <c r="AG28" t="inlineStr">
        <is>
          <t>Net cash from/(used in) financing activities</t>
        </is>
      </c>
      <c r="AH28" t="n">
        <v>-2240</v>
      </c>
      <c r="AI28" t="n">
        <v>-1038</v>
      </c>
      <c r="AJ28" t="n">
        <v>-1873</v>
      </c>
      <c r="AK28" t="n">
        <v>-1457</v>
      </c>
      <c r="AL28" t="n">
        <v>-1396</v>
      </c>
    </row>
    <row r="29">
      <c r="A29" s="5" t="inlineStr">
        <is>
          <t>Cash and cash equivalents at end of year</t>
        </is>
      </c>
      <c r="B29" s="5" t="n">
        <v>48316</v>
      </c>
      <c r="C29" s="5" t="n">
        <v>47816</v>
      </c>
      <c r="D29" s="5" t="n">
        <v>46331</v>
      </c>
      <c r="E29" s="5" t="n">
        <v>53629</v>
      </c>
      <c r="F29" s="5" t="n">
        <v>60208</v>
      </c>
      <c r="AG29" t="inlineStr">
        <is>
          <t>Cash and cash equivalents at end of year</t>
        </is>
      </c>
      <c r="AH29" t="n">
        <v>60208</v>
      </c>
      <c r="AI29" t="n">
        <v>53629</v>
      </c>
      <c r="AJ29" t="n">
        <v>46331</v>
      </c>
      <c r="AK29" t="n">
        <v>47816</v>
      </c>
      <c r="AL29" t="n">
        <v>48316</v>
      </c>
    </row>
    <row r="31">
      <c r="A31" s="3" t="inlineStr">
        <is>
          <t>Pillar 3 Key Metrics</t>
        </is>
      </c>
    </row>
    <row r="32">
      <c r="A32" s="4" t="inlineStr">
        <is>
          <t>Line item</t>
        </is>
      </c>
      <c r="B32" s="4" t="inlineStr">
        <is>
          <t>FY2025</t>
        </is>
      </c>
      <c r="C32" s="4" t="inlineStr">
        <is>
          <t>FY2024</t>
        </is>
      </c>
      <c r="D32" s="4" t="inlineStr">
        <is>
          <t>FY2023</t>
        </is>
      </c>
      <c r="E32" s="4" t="inlineStr">
        <is>
          <t>FY2022</t>
        </is>
      </c>
      <c r="F32" s="4" t="inlineStr">
        <is>
          <t>FY2021</t>
        </is>
      </c>
    </row>
    <row r="33">
      <c r="A33" s="6" t="inlineStr">
        <is>
          <t>CET1 Ratio</t>
        </is>
      </c>
      <c r="B33" s="6" t="inlineStr">
        <is>
          <t>11.0%</t>
        </is>
      </c>
      <c r="C33" s="6" t="inlineStr">
        <is>
          <t>11.1%</t>
        </is>
      </c>
      <c r="D33" s="6" t="inlineStr">
        <is>
          <t>11.2%</t>
        </is>
      </c>
      <c r="E33" s="6" t="inlineStr">
        <is>
          <t>11.6%</t>
        </is>
      </c>
      <c r="F33" s="6" t="inlineStr">
        <is>
          <t>13.7%</t>
        </is>
      </c>
    </row>
    <row r="34">
      <c r="A34" s="6" t="inlineStr">
        <is>
          <t>Tier 1 Ratio</t>
        </is>
      </c>
      <c r="B34" s="6" t="inlineStr">
        <is>
          <t>13.8%</t>
        </is>
      </c>
      <c r="C34" s="6" t="inlineStr">
        <is>
          <t>14.0%</t>
        </is>
      </c>
      <c r="D34" s="6" t="inlineStr">
        <is>
          <t>13.9%</t>
        </is>
      </c>
      <c r="E34" s="6" t="inlineStr">
        <is>
          <t>16.8%</t>
        </is>
      </c>
      <c r="F34" s="6" t="inlineStr">
        <is>
          <t>18.6%</t>
        </is>
      </c>
    </row>
    <row r="35">
      <c r="A35" s="6" t="inlineStr">
        <is>
          <t>Total Capital Ratio</t>
        </is>
      </c>
      <c r="B35" s="6" t="inlineStr">
        <is>
          <t>17.0%</t>
        </is>
      </c>
      <c r="C35" s="6" t="inlineStr">
        <is>
          <t>17.5%</t>
        </is>
      </c>
      <c r="D35" s="6" t="inlineStr">
        <is>
          <t>16.4%</t>
        </is>
      </c>
      <c r="E35" s="6" t="inlineStr">
        <is>
          <t>25.4%</t>
        </is>
      </c>
      <c r="F35" s="6" t="inlineStr">
        <is>
          <t>26.1%</t>
        </is>
      </c>
    </row>
    <row r="36">
      <c r="A36" s="6" t="inlineStr">
        <is>
          <t>Leverage Ratio (excl. claims on central banks)</t>
        </is>
      </c>
      <c r="B36" s="6" t="inlineStr">
        <is>
          <t>5.6%</t>
        </is>
      </c>
      <c r="C36" s="6" t="inlineStr">
        <is>
          <t>5.8%</t>
        </is>
      </c>
      <c r="D36" s="6" t="inlineStr">
        <is>
          <t>5.8%</t>
        </is>
      </c>
      <c r="E36" s="6" t="inlineStr">
        <is>
          <t>6.4%</t>
        </is>
      </c>
      <c r="F36" s="6" t="n"/>
    </row>
    <row r="37">
      <c r="A37" s="6" t="inlineStr">
        <is>
          <t>LCR (UK DoLSub, spot)</t>
        </is>
      </c>
      <c r="B37" s="6" t="n"/>
      <c r="C37" s="6" t="inlineStr">
        <is>
          <t>142%</t>
        </is>
      </c>
      <c r="D37" s="6" t="inlineStr">
        <is>
          <t>138%</t>
        </is>
      </c>
      <c r="E37" s="6" t="inlineStr">
        <is>
          <t>131%</t>
        </is>
      </c>
      <c r="F37" s="6" t="inlineStr">
        <is>
          <t>169%</t>
        </is>
      </c>
    </row>
    <row r="38">
      <c r="A38" s="6" t="inlineStr">
        <is>
          <t>NSFR (UK DoLSub, spot)</t>
        </is>
      </c>
      <c r="B38" s="6" t="n"/>
      <c r="C38" s="6" t="inlineStr">
        <is>
          <t>129%</t>
        </is>
      </c>
      <c r="D38" s="6" t="inlineStr">
        <is>
          <t>126%</t>
        </is>
      </c>
      <c r="E38" s="6" t="inlineStr">
        <is>
          <t>137%</t>
        </is>
      </c>
      <c r="F38" s="6" t="inlineStr">
        <is>
          <t>151%</t>
        </is>
      </c>
    </row>
    <row r="40" ht="65" customHeight="1">
      <c r="A40" s="7" t="inlineStr">
        <is>
          <t>Note: Figures are duplicated from the detail sheets for at-a-glance trend viewing; see each sheet's own source citation for the underlying document/page. See the Cash Flow Statement sheet's ENTITY NOTE for an important entity-lineage flag (this is NOT the historic 1727 'Royal Bank of Scotland plc' entity, which is now named NatWest Markets Plc) and for the UK DoLSub liquidity-disclosure basis. The LCR/NSFR rows here show the SPOT (31 December point-in-time) UK DoLSub series only, so that the trend stays on one consistent basis; FY2025 spot is not published by any source. The LCR and NSFR sheets additionally carry an average-basis row covering FY2023-FY2025 - do not read across the two bases, they differ by 11 points for FY2023.</t>
        </is>
      </c>
    </row>
  </sheetData>
  <mergeCells count="1">
    <mergeCell ref="A40:F40"/>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F26"/>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8" customWidth="1" min="1" max="1"/>
    <col width="15" customWidth="1" min="2" max="2"/>
    <col width="15" customWidth="1" min="3" max="3"/>
    <col width="15" customWidth="1" min="4" max="4"/>
    <col width="15" customWidth="1" min="5" max="5"/>
    <col width="15" customWidth="1" min="6" max="6"/>
  </cols>
  <sheetData>
    <row r="1">
      <c r="A1" s="1" t="inlineStr">
        <is>
          <t>The Royal Bank of Scotland Public Limited Company — Balance Sheet</t>
        </is>
      </c>
    </row>
    <row r="2">
      <c r="A2" s="2" t="inlineStr">
        <is>
          <t>RBS plc entity-level basis, £m. Total assets = Total liabilities + Total equity for every year; Total equity ties exactly to the Statement of Changes in Equity sheet's own opening/closing balances - zero plug rows.</t>
        </is>
      </c>
    </row>
    <row r="3">
      <c r="A3" s="4" t="inlineStr">
        <is>
          <t>Line item</t>
        </is>
      </c>
      <c r="B3" s="4" t="inlineStr">
        <is>
          <t>FY2025 (£m)</t>
        </is>
      </c>
      <c r="C3" s="4" t="inlineStr">
        <is>
          <t>FY2024 (£m)</t>
        </is>
      </c>
      <c r="D3" s="4" t="inlineStr">
        <is>
          <t>FY2023 (£m)</t>
        </is>
      </c>
      <c r="E3" s="4" t="inlineStr">
        <is>
          <t>FY2022 (£m)</t>
        </is>
      </c>
      <c r="F3" s="4" t="inlineStr">
        <is>
          <t>FY2021 (£m)</t>
        </is>
      </c>
    </row>
    <row r="4">
      <c r="A4" s="5" t="inlineStr">
        <is>
          <t>Assets</t>
        </is>
      </c>
      <c r="B4" s="6" t="n"/>
      <c r="C4" s="6" t="n"/>
      <c r="D4" s="6" t="n"/>
      <c r="E4" s="6" t="n"/>
      <c r="F4" s="6" t="n"/>
    </row>
    <row r="5">
      <c r="A5" s="6" t="inlineStr">
        <is>
          <t>Cash and balances at central banks</t>
        </is>
      </c>
      <c r="B5" s="6" t="n">
        <v>25590</v>
      </c>
      <c r="C5" s="6" t="n">
        <v>26630</v>
      </c>
      <c r="D5" s="6" t="n">
        <v>23984</v>
      </c>
      <c r="E5" s="6" t="n">
        <v>34323</v>
      </c>
      <c r="F5" s="6" t="n">
        <v>38014</v>
      </c>
    </row>
    <row r="6">
      <c r="A6" s="6" t="inlineStr">
        <is>
          <t>Derivatives</t>
        </is>
      </c>
      <c r="B6" s="6" t="n">
        <v>535</v>
      </c>
      <c r="C6" s="6" t="n">
        <v>465</v>
      </c>
      <c r="D6" s="6" t="n">
        <v>623</v>
      </c>
      <c r="E6" s="6" t="n">
        <v>498</v>
      </c>
      <c r="F6" s="6" t="n">
        <v>220</v>
      </c>
    </row>
    <row r="7">
      <c r="A7" s="6" t="inlineStr">
        <is>
          <t>Loans to banks - amortised cost</t>
        </is>
      </c>
      <c r="B7" s="6" t="n">
        <v>420</v>
      </c>
      <c r="C7" s="6" t="n">
        <v>484</v>
      </c>
      <c r="D7" s="6" t="n">
        <v>1059</v>
      </c>
      <c r="E7" s="6" t="n">
        <v>1071</v>
      </c>
      <c r="F7" s="6" t="n">
        <v>1147</v>
      </c>
    </row>
    <row r="8">
      <c r="A8" s="6" t="inlineStr">
        <is>
          <t>Loans to customers - amortised cost</t>
        </is>
      </c>
      <c r="B8" s="6" t="n">
        <v>33531</v>
      </c>
      <c r="C8" s="6" t="n">
        <v>33524</v>
      </c>
      <c r="D8" s="6" t="n">
        <v>34805</v>
      </c>
      <c r="E8" s="6" t="n">
        <v>37667</v>
      </c>
      <c r="F8" s="6" t="n">
        <v>42035</v>
      </c>
    </row>
    <row r="9">
      <c r="A9" s="6" t="inlineStr">
        <is>
          <t>Amounts due from holding companies and fellow subsidiaries</t>
        </is>
      </c>
      <c r="B9" s="6" t="n">
        <v>34340</v>
      </c>
      <c r="C9" s="6" t="n">
        <v>28060</v>
      </c>
      <c r="D9" s="6" t="n">
        <v>28497</v>
      </c>
      <c r="E9" s="6" t="n">
        <v>21722</v>
      </c>
      <c r="F9" s="6" t="n">
        <v>23941</v>
      </c>
    </row>
    <row r="10">
      <c r="A10" s="6" t="inlineStr">
        <is>
          <t>Other assets</t>
        </is>
      </c>
      <c r="B10" s="6" t="n">
        <v>946</v>
      </c>
      <c r="C10" s="6" t="n">
        <v>1313</v>
      </c>
      <c r="D10" s="6" t="n">
        <v>1421</v>
      </c>
      <c r="E10" s="6" t="n">
        <v>1382</v>
      </c>
      <c r="F10" s="6" t="n">
        <v>738</v>
      </c>
    </row>
    <row r="11">
      <c r="A11" s="5" t="inlineStr">
        <is>
          <t>Total assets</t>
        </is>
      </c>
      <c r="B11" s="5" t="n">
        <v>95362</v>
      </c>
      <c r="C11" s="5" t="n">
        <v>90476</v>
      </c>
      <c r="D11" s="5" t="n">
        <v>90389</v>
      </c>
      <c r="E11" s="5" t="n">
        <v>96663</v>
      </c>
      <c r="F11" s="5" t="n">
        <v>106095</v>
      </c>
    </row>
    <row r="12">
      <c r="A12" s="5" t="inlineStr">
        <is>
          <t>Liabilities</t>
        </is>
      </c>
      <c r="B12" s="6" t="n"/>
      <c r="C12" s="6" t="n"/>
      <c r="D12" s="6" t="n"/>
      <c r="E12" s="6" t="n"/>
      <c r="F12" s="6" t="n"/>
    </row>
    <row r="13">
      <c r="A13" s="6" t="inlineStr">
        <is>
          <t>Bank deposits</t>
        </is>
      </c>
      <c r="B13" s="6" t="n">
        <v>861</v>
      </c>
      <c r="C13" s="6" t="n">
        <v>921</v>
      </c>
      <c r="D13" s="6" t="n">
        <v>1027</v>
      </c>
      <c r="E13" s="6" t="n">
        <v>986</v>
      </c>
      <c r="F13" s="6" t="n">
        <v>1117</v>
      </c>
    </row>
    <row r="14">
      <c r="A14" s="6" t="inlineStr">
        <is>
          <t>Customer deposits</t>
        </is>
      </c>
      <c r="B14" s="6" t="n">
        <v>78399</v>
      </c>
      <c r="C14" s="6" t="n">
        <v>78069</v>
      </c>
      <c r="D14" s="6" t="n">
        <v>77504</v>
      </c>
      <c r="E14" s="6" t="n">
        <v>83306</v>
      </c>
      <c r="F14" s="6" t="n">
        <v>92144</v>
      </c>
    </row>
    <row r="15">
      <c r="A15" s="6" t="inlineStr">
        <is>
          <t>Amounts due to holding companies and fellow subsidiaries</t>
        </is>
      </c>
      <c r="B15" s="6" t="n">
        <v>8760</v>
      </c>
      <c r="C15" s="6" t="n">
        <v>3755</v>
      </c>
      <c r="D15" s="6" t="n">
        <v>3577</v>
      </c>
      <c r="E15" s="6" t="n">
        <v>3910</v>
      </c>
      <c r="F15" s="6" t="n">
        <v>5216</v>
      </c>
    </row>
    <row r="16">
      <c r="A16" s="6" t="inlineStr">
        <is>
          <t>Derivatives</t>
        </is>
      </c>
      <c r="B16" s="6" t="n">
        <v>599</v>
      </c>
      <c r="C16" s="6" t="n">
        <v>1411</v>
      </c>
      <c r="D16" s="6" t="n">
        <v>1932</v>
      </c>
      <c r="E16" s="6" t="n">
        <v>2683</v>
      </c>
      <c r="F16" s="6" t="n">
        <v>827</v>
      </c>
    </row>
    <row r="17">
      <c r="A17" s="6" t="inlineStr">
        <is>
          <t>Notes in circulation</t>
        </is>
      </c>
      <c r="B17" s="6" t="n">
        <v>2115</v>
      </c>
      <c r="C17" s="6" t="n">
        <v>2381</v>
      </c>
      <c r="D17" s="6" t="n">
        <v>2430</v>
      </c>
      <c r="E17" s="6" t="n">
        <v>2409</v>
      </c>
      <c r="F17" s="6" t="n">
        <v>2144</v>
      </c>
    </row>
    <row r="18">
      <c r="A18" s="6" t="inlineStr">
        <is>
          <t>Other liabilities</t>
        </is>
      </c>
      <c r="B18" s="6" t="n">
        <v>970</v>
      </c>
      <c r="C18" s="6" t="n">
        <v>690</v>
      </c>
      <c r="D18" s="6" t="n">
        <v>816</v>
      </c>
      <c r="E18" s="6" t="n">
        <v>708</v>
      </c>
      <c r="F18" s="6" t="n">
        <v>900</v>
      </c>
    </row>
    <row r="19">
      <c r="A19" s="5" t="inlineStr">
        <is>
          <t>Total liabilities</t>
        </is>
      </c>
      <c r="B19" s="5" t="n">
        <v>91704</v>
      </c>
      <c r="C19" s="5" t="n">
        <v>87227</v>
      </c>
      <c r="D19" s="5" t="n">
        <v>87286</v>
      </c>
      <c r="E19" s="5" t="n">
        <v>94002</v>
      </c>
      <c r="F19" s="5" t="n">
        <v>102348</v>
      </c>
    </row>
    <row r="20">
      <c r="A20" s="5" t="inlineStr">
        <is>
          <t>Equity</t>
        </is>
      </c>
      <c r="B20" s="6" t="n"/>
      <c r="C20" s="6" t="n"/>
      <c r="D20" s="6" t="n"/>
      <c r="E20" s="6" t="n"/>
      <c r="F20" s="6" t="n"/>
    </row>
    <row r="21">
      <c r="A21" s="5" t="inlineStr">
        <is>
          <t>Total equity</t>
        </is>
      </c>
      <c r="B21" s="5" t="n">
        <v>3658</v>
      </c>
      <c r="C21" s="5" t="n">
        <v>3249</v>
      </c>
      <c r="D21" s="5" t="n">
        <v>3103</v>
      </c>
      <c r="E21" s="5" t="n">
        <v>2661</v>
      </c>
      <c r="F21" s="5" t="n">
        <v>3747</v>
      </c>
    </row>
    <row r="22">
      <c r="A22" s="5" t="inlineStr">
        <is>
          <t>Total liabilities and equity</t>
        </is>
      </c>
      <c r="B22" s="5" t="n">
        <v>95362</v>
      </c>
      <c r="C22" s="5" t="n">
        <v>90476</v>
      </c>
      <c r="D22" s="5" t="n">
        <v>90389</v>
      </c>
      <c r="E22" s="5" t="n">
        <v>96663</v>
      </c>
      <c r="F22" s="5" t="n">
        <v>106095</v>
      </c>
    </row>
    <row r="24" ht="312" customHeight="1">
      <c r="A24" s="8" t="inlineStr">
        <is>
          <t>Sources - RBS plc entity-level basis, £m:
FY2025: RBS plc Annual Report and Accounts 2025, p.82 (Income statement / Statement of comprehensive income), p.83 (Balance sheet), p.84 (Statement of changes in equity) - https://investors.natwestgroup.com/~/media/Files/R/RBS-IR-V2/results-center/13022026/rbs-annual-report.pdf
FY2024: RBS plc Annual Report and Accounts 2024, p.86 (Income statement / Statement of comprehensive income), p.87 (Balance sheet), p.88 (Statement of changes in equity) - https://investors.natwestgroup.com/~/media/Files/R/RBS-IR-V2/results-center/14022025/rbs-plc-annual-report.pdf
FY2023: RBS plc Annual Report and Accounts 2023, p.87 (Income statement / Statement of comprehensive income), p.88 (Balance sheet), p.89 (Statement of changes in equity) - https://investors.natwestgroup.com/~/media/Files/R/RBS-IR-V2/results-center/16022024/rbs-plc-annual-report.pdf
FY2022: RBS plc Annual Report and Accounts 2022, p.95 (Income statement / Statement of comprehensive income), p.96 (Balance sheet), p.97 (Statement of changes in equity) - https://investors.natwestgroup.com/~/media/Files/R/RBS-IR-V2/results-center/17022023/rbs-plc-annual-report.pdf
FY2021: RBS plc Annual Report and Accounts 2021, p.88 (Income statement / Statement of comprehensive income), p.89 (Balance sheet), p.90 (Statement of changes in equity) - independently cross-checked against RBS plc Annual Report and Accounts 2022's FY2021 comparative column, which agrees exactly on every line - https://investors.natwestgroup.com/~/media/Files/R/RBS-IR-V2/results-center/18022022/rbs-plc-annual-report-2021.pdf
Presentation note: FY2025's Statement of changes in equity no longer discloses a separate FVOCI reserve line (nil since FY2024 year-end, folded away); FY2025's income statement drops the 'Items that do not qualify for reclassification' sub-heading used in FY2023-FY2024 (that sub-total was nil or near-nil in every year it appeared). Each year's own as-published structure is preserved rather than forced into a common format.
ENTITY NOTE: The Royal Bank of Scotland Public Limited Company ('RBS plc', company number SC083026, FRN 114724, LEI 549300WHU4EIHRP28H10) is a large, PRA-authorised subsidiary of NatWest Group plc (formerly The Royal Bank of Scotland Group plc). IMPORTANT LINEAGE NOTE: company SC083026 was originally incorporated on 9 May 1983 as 'Adam &amp; Company Public Limited Company' (a private banking subsidiary) and was renamed 'The Royal Bank of Scotland Public Limited Company' on 29 April 2018, as part of the ring-fencing reforms that split NatWest Group's retail/commercial banking (ring-fenced) from investment banking (non-ring-fenced) activities. The pre-2018 entity that historically traded as 'The Royal Bank of Scotland plc' (the 1727-founded bank, formerly the whole group's principal operating subsidiary) was itself renamed 'NatWest Markets Plc' at the same time and continues today as NatWest Group's investment banking subsidiary - it is NOT the entity covered by this workbook. This workbook covers the entity that currently and continuously holds the exact name 'The Royal Bank of Scotland Public Limited Company' (confirmed via Companies House and the FCA/PRA Financial Services Register, and matching the FRN and LEI listed in this project's source bank list) - i.e. the ring-fenced retail/commercial banking entity operating under the RBS brand in Scotland and Northern Ireland, not the original historic RBS legal entity. Flagged here prominently given the scale of the institution and the potential for this lineage to be confused with NatWest Markets Plc.</t>
        </is>
      </c>
    </row>
    <row r="26" ht="230" customHeight="1">
      <c r="A26" s="8" t="inlineStr">
        <is>
          <t>(continued)
RBS plc is a member of the 'UK DoLSub' (UK Domestic Liquidity Sub-Group) alongside National Westminster Bank Plc and Coutts &amp; Company; under a PRA waiver, liquidity (LCR/NSFR) is managed and disclosed at this sub-group level rather than at the individual RBS plc entity level - the LCR/NSFR figures on those sheets are UK DoLSub figures, consistently across every year in this workbook, not RBS plc solo. From FY2024 onward, RBS plc's own Annual Report and Pillar 3 Report no longer state a numeric UK DoLSub LCR/NSFR at all (that disclosure moved entirely to NatWest Holdings Group's own reports) - so FY2024/FY2025 are not a gap in RBS plc's own reporting. The UK DoLSub is a liquidity sub-group of which RBS plc is a constituent, NOT the NatWest Holdings Group or NatWest Group consolidated entity; taking the UK DoLSub figure from a NatWest Holdings Group document therefore continues the same sub-group measure this workbook has always used, and is not a substitution of a parent-group figure into an entity-level sheet. FY2024 UK DoLSub spot LCR/NSFR are recorded on that basis. FY2025 spot is genuinely unpublished - NatWest Holdings Group dropped the Spot column from FY2025 and now reports these metrics on an average basis only - so the FY2025 figures appear on the separate average-basis row instead. See the LCR sheet note for the spot-vs-average distinction, which is material (11 points apart for FY2023).</t>
        </is>
      </c>
    </row>
  </sheetData>
  <mergeCells count="2">
    <mergeCell ref="A24:F24"/>
    <mergeCell ref="A26:F2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7"/>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8" customWidth="1" min="1" max="1"/>
    <col width="15" customWidth="1" min="2" max="2"/>
    <col width="15" customWidth="1" min="3" max="3"/>
    <col width="15" customWidth="1" min="4" max="4"/>
    <col width="15" customWidth="1" min="5" max="5"/>
    <col width="15" customWidth="1" min="6" max="6"/>
  </cols>
  <sheetData>
    <row r="1">
      <c r="A1" s="1" t="inlineStr">
        <is>
          <t>The Royal Bank of Scotland Public Limited Company — Profit &amp; Loss</t>
        </is>
      </c>
    </row>
    <row r="2">
      <c r="A2" s="2" t="inlineStr">
        <is>
          <t>RBS plc entity-level basis, £m. 'Total comprehensive income/(loss) for the year' ties exactly to Profit for the year + Other comprehensive income for every year. FY2025 no longer discloses an FVOCI reserve/items-not-qualifying line (nil since FY2024 year-end) - see source note.</t>
        </is>
      </c>
    </row>
    <row r="3">
      <c r="A3" s="4" t="inlineStr">
        <is>
          <t>Line item</t>
        </is>
      </c>
      <c r="B3" s="4" t="inlineStr">
        <is>
          <t>FY2025 (£m)</t>
        </is>
      </c>
      <c r="C3" s="4" t="inlineStr">
        <is>
          <t>FY2024 (£m)</t>
        </is>
      </c>
      <c r="D3" s="4" t="inlineStr">
        <is>
          <t>FY2023 (£m)</t>
        </is>
      </c>
      <c r="E3" s="4" t="inlineStr">
        <is>
          <t>FY2022 (£m)</t>
        </is>
      </c>
      <c r="F3" s="4" t="inlineStr">
        <is>
          <t>FY2021 (£m)</t>
        </is>
      </c>
    </row>
    <row r="4">
      <c r="A4" s="5" t="inlineStr">
        <is>
          <t>Income</t>
        </is>
      </c>
      <c r="B4" s="6" t="n"/>
      <c r="C4" s="6" t="n"/>
      <c r="D4" s="6" t="n"/>
      <c r="E4" s="6" t="n"/>
      <c r="F4" s="6" t="n"/>
    </row>
    <row r="5">
      <c r="A5" s="6" t="inlineStr">
        <is>
          <t>Interest receivable</t>
        </is>
      </c>
      <c r="B5" s="6" t="n">
        <v>3462</v>
      </c>
      <c r="C5" s="6" t="n">
        <v>3539</v>
      </c>
      <c r="D5" s="6" t="n">
        <v>3324</v>
      </c>
      <c r="E5" s="6" t="n">
        <v>2036</v>
      </c>
      <c r="F5" s="6" t="n">
        <v>1449</v>
      </c>
    </row>
    <row r="6">
      <c r="A6" s="6" t="inlineStr">
        <is>
          <t>Interest payable</t>
        </is>
      </c>
      <c r="B6" s="6" t="n">
        <v>-1391</v>
      </c>
      <c r="C6" s="6" t="n">
        <v>-1591</v>
      </c>
      <c r="D6" s="6" t="n">
        <v>-1231</v>
      </c>
      <c r="E6" s="6" t="n">
        <v>-254</v>
      </c>
      <c r="F6" s="6" t="n">
        <v>-107</v>
      </c>
    </row>
    <row r="7">
      <c r="A7" s="5" t="inlineStr">
        <is>
          <t>Net interest income</t>
        </is>
      </c>
      <c r="B7" s="5" t="n">
        <v>2071</v>
      </c>
      <c r="C7" s="5" t="n">
        <v>1948</v>
      </c>
      <c r="D7" s="5" t="n">
        <v>2093</v>
      </c>
      <c r="E7" s="5" t="n">
        <v>1782</v>
      </c>
      <c r="F7" s="5" t="n">
        <v>1342</v>
      </c>
    </row>
    <row r="8">
      <c r="A8" s="6" t="inlineStr">
        <is>
          <t>Fees and commissions receivable</t>
        </is>
      </c>
      <c r="B8" s="6" t="n">
        <v>441</v>
      </c>
      <c r="C8" s="6" t="n">
        <v>442</v>
      </c>
      <c r="D8" s="6" t="n">
        <v>440</v>
      </c>
      <c r="E8" s="6" t="n">
        <v>455</v>
      </c>
      <c r="F8" s="6" t="n">
        <v>413</v>
      </c>
    </row>
    <row r="9">
      <c r="A9" s="6" t="inlineStr">
        <is>
          <t>Fees and commissions payable</t>
        </is>
      </c>
      <c r="B9" s="6" t="n">
        <v>-105</v>
      </c>
      <c r="C9" s="6" t="n">
        <v>-88</v>
      </c>
      <c r="D9" s="6" t="n">
        <v>-93</v>
      </c>
      <c r="E9" s="6" t="n">
        <v>-107</v>
      </c>
      <c r="F9" s="6" t="n">
        <v>-135</v>
      </c>
    </row>
    <row r="10">
      <c r="A10" s="6" t="inlineStr">
        <is>
          <t>Other operating income</t>
        </is>
      </c>
      <c r="B10" s="6" t="n">
        <v>103</v>
      </c>
      <c r="C10" s="6" t="n">
        <v>-25</v>
      </c>
      <c r="D10" s="6" t="n">
        <v>93</v>
      </c>
      <c r="E10" s="6" t="n">
        <v>-59</v>
      </c>
      <c r="F10" s="6" t="n">
        <v>155</v>
      </c>
    </row>
    <row r="11">
      <c r="A11" s="5" t="inlineStr">
        <is>
          <t>Non-interest income</t>
        </is>
      </c>
      <c r="B11" s="5" t="n">
        <v>439</v>
      </c>
      <c r="C11" s="5" t="n">
        <v>329</v>
      </c>
      <c r="D11" s="5" t="n">
        <v>440</v>
      </c>
      <c r="E11" s="5" t="n">
        <v>289</v>
      </c>
      <c r="F11" s="5" t="n">
        <v>433</v>
      </c>
    </row>
    <row r="12">
      <c r="A12" s="5" t="inlineStr">
        <is>
          <t>Total income</t>
        </is>
      </c>
      <c r="B12" s="5" t="n">
        <v>2510</v>
      </c>
      <c r="C12" s="5" t="n">
        <v>2277</v>
      </c>
      <c r="D12" s="5" t="n">
        <v>2533</v>
      </c>
      <c r="E12" s="5" t="n">
        <v>2071</v>
      </c>
      <c r="F12" s="5" t="n">
        <v>1775</v>
      </c>
    </row>
    <row r="13">
      <c r="A13" s="5" t="inlineStr">
        <is>
          <t>Operating expenses</t>
        </is>
      </c>
      <c r="B13" s="6" t="n"/>
      <c r="C13" s="6" t="n"/>
      <c r="D13" s="6" t="n"/>
      <c r="E13" s="6" t="n"/>
      <c r="F13" s="6" t="n"/>
    </row>
    <row r="14">
      <c r="A14" s="6" t="inlineStr">
        <is>
          <t>Staff costs</t>
        </is>
      </c>
      <c r="B14" s="6" t="n">
        <v>-51</v>
      </c>
      <c r="C14" s="6" t="n">
        <v>-51</v>
      </c>
      <c r="D14" s="6" t="n">
        <v>-54</v>
      </c>
      <c r="E14" s="6" t="n">
        <v>-58</v>
      </c>
      <c r="F14" s="6" t="n">
        <v>-120</v>
      </c>
    </row>
    <row r="15">
      <c r="A15" s="6" t="inlineStr">
        <is>
          <t>Premises and equipment</t>
        </is>
      </c>
      <c r="B15" s="6" t="n">
        <v>-2</v>
      </c>
      <c r="C15" s="6" t="n">
        <v>-1</v>
      </c>
      <c r="D15" s="6" t="n">
        <v>1</v>
      </c>
      <c r="E15" s="6" t="n">
        <v>1</v>
      </c>
      <c r="F15" s="6" t="n">
        <v>-32</v>
      </c>
    </row>
    <row r="16">
      <c r="A16" s="6" t="inlineStr">
        <is>
          <t>Other administrative expenses</t>
        </is>
      </c>
      <c r="B16" s="6" t="n">
        <v>-746</v>
      </c>
      <c r="C16" s="6" t="n">
        <v>-800</v>
      </c>
      <c r="D16" s="6" t="n">
        <v>-835</v>
      </c>
      <c r="E16" s="6" t="n">
        <v>-814</v>
      </c>
      <c r="F16" s="6" t="n">
        <v>-838</v>
      </c>
    </row>
    <row r="17">
      <c r="A17" s="6" t="inlineStr">
        <is>
          <t>Depreciation and amortisation</t>
        </is>
      </c>
      <c r="B17" s="6" t="n">
        <v>-11</v>
      </c>
      <c r="C17" s="6" t="n">
        <v>-19</v>
      </c>
      <c r="D17" s="6" t="n">
        <v>-13</v>
      </c>
      <c r="E17" s="6" t="n">
        <v>-21</v>
      </c>
      <c r="F17" s="6" t="n">
        <v>-124</v>
      </c>
    </row>
    <row r="18">
      <c r="A18" s="5" t="inlineStr">
        <is>
          <t>Operating expenses</t>
        </is>
      </c>
      <c r="B18" s="5" t="n">
        <v>-810</v>
      </c>
      <c r="C18" s="5" t="n">
        <v>-871</v>
      </c>
      <c r="D18" s="5" t="n">
        <v>-901</v>
      </c>
      <c r="E18" s="5" t="n">
        <v>-892</v>
      </c>
      <c r="F18" s="5" t="n">
        <v>-1114</v>
      </c>
    </row>
    <row r="19">
      <c r="A19" s="5" t="inlineStr">
        <is>
          <t>Profit before impairment losses</t>
        </is>
      </c>
      <c r="B19" s="5" t="n">
        <v>1700</v>
      </c>
      <c r="C19" s="5" t="n">
        <v>1406</v>
      </c>
      <c r="D19" s="5" t="n">
        <v>1632</v>
      </c>
      <c r="E19" s="5" t="n">
        <v>1179</v>
      </c>
      <c r="F19" s="5" t="n">
        <v>661</v>
      </c>
    </row>
    <row r="20">
      <c r="A20" s="6" t="inlineStr">
        <is>
          <t>Impairment losses/(releases)</t>
        </is>
      </c>
      <c r="B20" s="6" t="n">
        <v>-29</v>
      </c>
      <c r="C20" s="6" t="n">
        <v>-17</v>
      </c>
      <c r="D20" s="6" t="n">
        <v>-44</v>
      </c>
      <c r="E20" s="6" t="n">
        <v>-20</v>
      </c>
      <c r="F20" s="6" t="n">
        <v>360</v>
      </c>
    </row>
    <row r="21">
      <c r="A21" s="5" t="inlineStr">
        <is>
          <t>Operating profit before tax</t>
        </is>
      </c>
      <c r="B21" s="5" t="n">
        <v>1671</v>
      </c>
      <c r="C21" s="5" t="n">
        <v>1389</v>
      </c>
      <c r="D21" s="5" t="n">
        <v>1588</v>
      </c>
      <c r="E21" s="5" t="n">
        <v>1159</v>
      </c>
      <c r="F21" s="5" t="n">
        <v>1021</v>
      </c>
    </row>
    <row r="22">
      <c r="A22" s="6" t="inlineStr">
        <is>
          <t>Tax (charge)/credit</t>
        </is>
      </c>
      <c r="B22" s="6" t="n">
        <v>-416</v>
      </c>
      <c r="C22" s="6" t="n">
        <v>-209</v>
      </c>
      <c r="D22" s="6" t="n">
        <v>-189</v>
      </c>
      <c r="E22" s="6" t="n">
        <v>17</v>
      </c>
      <c r="F22" s="6" t="n">
        <v>-245</v>
      </c>
    </row>
    <row r="23">
      <c r="A23" s="5" t="inlineStr">
        <is>
          <t>Profit for the year</t>
        </is>
      </c>
      <c r="B23" s="5" t="n">
        <v>1255</v>
      </c>
      <c r="C23" s="5" t="n">
        <v>1180</v>
      </c>
      <c r="D23" s="5" t="n">
        <v>1399</v>
      </c>
      <c r="E23" s="5" t="n">
        <v>1176</v>
      </c>
      <c r="F23" s="5" t="n">
        <v>776</v>
      </c>
    </row>
    <row r="24">
      <c r="A24" s="6" t="inlineStr">
        <is>
          <t>Attributable to ordinary shareholders</t>
        </is>
      </c>
      <c r="B24" s="6" t="n">
        <v>1221</v>
      </c>
      <c r="C24" s="6" t="n">
        <v>1146</v>
      </c>
      <c r="D24" s="6" t="n">
        <v>1352</v>
      </c>
      <c r="E24" s="6" t="n">
        <v>1122</v>
      </c>
      <c r="F24" s="6" t="n">
        <v>722</v>
      </c>
    </row>
    <row r="25">
      <c r="A25" s="6" t="inlineStr">
        <is>
          <t>Attributable to paid-in equity holders</t>
        </is>
      </c>
      <c r="B25" s="6" t="n">
        <v>34</v>
      </c>
      <c r="C25" s="6" t="n">
        <v>34</v>
      </c>
      <c r="D25" s="6" t="n">
        <v>47</v>
      </c>
      <c r="E25" s="6" t="n">
        <v>54</v>
      </c>
      <c r="F25" s="6" t="n">
        <v>54</v>
      </c>
    </row>
    <row r="26">
      <c r="A26" s="5" t="inlineStr">
        <is>
          <t>Other comprehensive income, net of tax</t>
        </is>
      </c>
      <c r="B26" s="6" t="n"/>
      <c r="C26" s="6" t="n"/>
      <c r="D26" s="6" t="n"/>
      <c r="E26" s="6" t="n"/>
      <c r="F26" s="6" t="n"/>
    </row>
    <row r="27">
      <c r="A27" s="6" t="inlineStr">
        <is>
          <t>Items not qualifying for reclassification - tax</t>
        </is>
      </c>
      <c r="B27" s="6" t="n"/>
      <c r="C27" s="6" t="n">
        <v>0</v>
      </c>
      <c r="D27" s="6" t="n">
        <v>-1</v>
      </c>
      <c r="E27" s="6" t="n"/>
      <c r="F27" s="6" t="n"/>
    </row>
    <row r="28">
      <c r="A28" s="6" t="inlineStr">
        <is>
          <t>FVOCI financial assets</t>
        </is>
      </c>
      <c r="B28" s="6" t="n"/>
      <c r="C28" s="6" t="n">
        <v>0</v>
      </c>
      <c r="D28" s="6" t="n">
        <v>-1</v>
      </c>
      <c r="E28" s="6" t="n">
        <v>0</v>
      </c>
      <c r="F28" s="6" t="n">
        <v>1</v>
      </c>
    </row>
    <row r="29">
      <c r="A29" s="6" t="inlineStr">
        <is>
          <t>Cash flow hedges</t>
        </is>
      </c>
      <c r="B29" s="6" t="n">
        <v>631</v>
      </c>
      <c r="C29" s="6" t="n">
        <v>277</v>
      </c>
      <c r="D29" s="6" t="n">
        <v>1030</v>
      </c>
      <c r="E29" s="6" t="n">
        <v>-1803</v>
      </c>
      <c r="F29" s="6" t="n">
        <v>-766</v>
      </c>
    </row>
    <row r="30">
      <c r="A30" s="6" t="inlineStr">
        <is>
          <t>Currency translation</t>
        </is>
      </c>
      <c r="B30" s="6" t="n">
        <v>0</v>
      </c>
      <c r="C30" s="6" t="n">
        <v>1</v>
      </c>
      <c r="D30" s="6" t="n">
        <v>-1</v>
      </c>
      <c r="E30" s="6" t="n">
        <v>2</v>
      </c>
      <c r="F30" s="6" t="n">
        <v>-2</v>
      </c>
    </row>
    <row r="31">
      <c r="A31" s="6" t="inlineStr">
        <is>
          <t>Tax on items qualifying for reclassification</t>
        </is>
      </c>
      <c r="B31" s="6" t="n">
        <v>-177</v>
      </c>
      <c r="C31" s="6" t="n">
        <v>-78</v>
      </c>
      <c r="D31" s="6" t="n">
        <v>-288</v>
      </c>
      <c r="E31" s="6" t="n">
        <v>492</v>
      </c>
      <c r="F31" s="6" t="n">
        <v>222</v>
      </c>
    </row>
    <row r="32">
      <c r="A32" s="5" t="inlineStr">
        <is>
          <t>Other comprehensive income/(loss) after tax</t>
        </is>
      </c>
      <c r="B32" s="5" t="n">
        <v>454</v>
      </c>
      <c r="C32" s="5" t="n">
        <v>200</v>
      </c>
      <c r="D32" s="5" t="n">
        <v>739</v>
      </c>
      <c r="E32" s="5" t="n">
        <v>-1309</v>
      </c>
      <c r="F32" s="5" t="n">
        <v>-545</v>
      </c>
    </row>
    <row r="33">
      <c r="A33" s="5" t="inlineStr">
        <is>
          <t>Total comprehensive income/(loss) for the year</t>
        </is>
      </c>
      <c r="B33" s="5" t="n">
        <v>1709</v>
      </c>
      <c r="C33" s="5" t="n">
        <v>1380</v>
      </c>
      <c r="D33" s="5" t="n">
        <v>2138</v>
      </c>
      <c r="E33" s="5" t="n">
        <v>-133</v>
      </c>
      <c r="F33" s="5" t="n">
        <v>231</v>
      </c>
    </row>
    <row r="35" ht="312" customHeight="1">
      <c r="A35" s="8" t="inlineStr">
        <is>
          <t>Sources - RBS plc entity-level basis, £m:
FY2025: RBS plc Annual Report and Accounts 2025, p.82 (Income statement / Statement of comprehensive income), p.83 (Balance sheet), p.84 (Statement of changes in equity) - https://investors.natwestgroup.com/~/media/Files/R/RBS-IR-V2/results-center/13022026/rbs-annual-report.pdf
FY2024: RBS plc Annual Report and Accounts 2024, p.86 (Income statement / Statement of comprehensive income), p.87 (Balance sheet), p.88 (Statement of changes in equity) - https://investors.natwestgroup.com/~/media/Files/R/RBS-IR-V2/results-center/14022025/rbs-plc-annual-report.pdf
FY2023: RBS plc Annual Report and Accounts 2023, p.87 (Income statement / Statement of comprehensive income), p.88 (Balance sheet), p.89 (Statement of changes in equity) - https://investors.natwestgroup.com/~/media/Files/R/RBS-IR-V2/results-center/16022024/rbs-plc-annual-report.pdf
FY2022: RBS plc Annual Report and Accounts 2022, p.95 (Income statement / Statement of comprehensive income), p.96 (Balance sheet), p.97 (Statement of changes in equity) - https://investors.natwestgroup.com/~/media/Files/R/RBS-IR-V2/results-center/17022023/rbs-plc-annual-report.pdf
FY2021: RBS plc Annual Report and Accounts 2021, p.88 (Income statement / Statement of comprehensive income), p.89 (Balance sheet), p.90 (Statement of changes in equity) - independently cross-checked against RBS plc Annual Report and Accounts 2022's FY2021 comparative column, which agrees exactly on every line - https://investors.natwestgroup.com/~/media/Files/R/RBS-IR-V2/results-center/18022022/rbs-plc-annual-report-2021.pdf
Presentation note: FY2025's Statement of changes in equity no longer discloses a separate FVOCI reserve line (nil since FY2024 year-end, folded away); FY2025's income statement drops the 'Items that do not qualify for reclassification' sub-heading used in FY2023-FY2024 (that sub-total was nil or near-nil in every year it appeared). Each year's own as-published structure is preserved rather than forced into a common format.
ENTITY NOTE: The Royal Bank of Scotland Public Limited Company ('RBS plc', company number SC083026, FRN 114724, LEI 549300WHU4EIHRP28H10) is a large, PRA-authorised subsidiary of NatWest Group plc (formerly The Royal Bank of Scotland Group plc). IMPORTANT LINEAGE NOTE: company SC083026 was originally incorporated on 9 May 1983 as 'Adam &amp; Company Public Limited Company' (a private banking subsidiary) and was renamed 'The Royal Bank of Scotland Public Limited Company' on 29 April 2018, as part of the ring-fencing reforms that split NatWest Group's retail/commercial banking (ring-fenced) from investment banking (non-ring-fenced) activities. The pre-2018 entity that historically traded as 'The Royal Bank of Scotland plc' (the 1727-founded bank, formerly the whole group's principal operating subsidiary) was itself renamed 'NatWest Markets Plc' at the same time and continues today as NatWest Group's investment banking subsidiary - it is NOT the entity covered by this workbook. This workbook covers the entity that currently and continuously holds the exact name 'The Royal Bank of Scotland Public Limited Company' (confirmed via Companies House and the FCA/PRA Financial Services Register, and matching the FRN and LEI listed in this project's source bank list) - i.e. the ring-fenced retail/commercial banking entity operating under the RBS brand in Scotland and Northern Ireland, not the original historic RBS legal entity. Flagged here prominently given the scale of the institution and the potential for this lineage to be confused with NatWest Markets Plc.</t>
        </is>
      </c>
    </row>
    <row r="37" ht="230" customHeight="1">
      <c r="A37" s="8" t="inlineStr">
        <is>
          <t>(continued)
RBS plc is a member of the 'UK DoLSub' (UK Domestic Liquidity Sub-Group) alongside National Westminster Bank Plc and Coutts &amp; Company; under a PRA waiver, liquidity (LCR/NSFR) is managed and disclosed at this sub-group level rather than at the individual RBS plc entity level - the LCR/NSFR figures on those sheets are UK DoLSub figures, consistently across every year in this workbook, not RBS plc solo. From FY2024 onward, RBS plc's own Annual Report and Pillar 3 Report no longer state a numeric UK DoLSub LCR/NSFR at all (that disclosure moved entirely to NatWest Holdings Group's own reports) - so FY2024/FY2025 are not a gap in RBS plc's own reporting. The UK DoLSub is a liquidity sub-group of which RBS plc is a constituent, NOT the NatWest Holdings Group or NatWest Group consolidated entity; taking the UK DoLSub figure from a NatWest Holdings Group document therefore continues the same sub-group measure this workbook has always used, and is not a substitution of a parent-group figure into an entity-level sheet. FY2024 UK DoLSub spot LCR/NSFR are recorded on that basis. FY2025 spot is genuinely unpublished - NatWest Holdings Group dropped the Spot column from FY2025 and now reports these metrics on an average basis only - so the FY2025 figures appear on the separate average-basis row instead. See the LCR sheet note for the spot-vs-average distinction, which is material (11 points apart for FY2023).</t>
        </is>
      </c>
    </row>
  </sheetData>
  <mergeCells count="2">
    <mergeCell ref="A35:F35"/>
    <mergeCell ref="A37:F37"/>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44"/>
  <sheetViews>
    <sheetView workbookViewId="0">
      <pane ySplit="4" topLeftCell="A5" activePane="bottomLeft" state="frozen"/>
      <selection pane="bottomLeft" activeCell="A1" sqref="A1"/>
    </sheetView>
  </sheetViews>
  <sheetFormatPr baseColWidth="8" defaultRowHeight="15"/>
  <cols>
    <col width="50"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 t="inlineStr">
        <is>
          <t>The Royal Bank of Scotland Public Limited Company — Statement of Changes in Equity</t>
        </is>
      </c>
    </row>
    <row r="2">
      <c r="A2" s="2" t="inlineStr">
        <is>
          <t>RBS plc entity-level basis, £m, chronological (oldest to newest). Each year's closing Total equity ties exactly to that year's own Balance Sheet Total equity and to the next year's opening balance - zero undocumented plug rows across all 5 years.</t>
        </is>
      </c>
    </row>
    <row r="3">
      <c r="A3" s="4" t="inlineStr">
        <is>
          <t>Movement</t>
        </is>
      </c>
      <c r="B3" s="4" t="inlineStr">
        <is>
          <t>Share capital</t>
        </is>
      </c>
      <c r="C3" s="4" t="inlineStr">
        <is>
          <t>Paid-in equity</t>
        </is>
      </c>
      <c r="D3" s="4" t="inlineStr">
        <is>
          <t>FVOCI reserve</t>
        </is>
      </c>
      <c r="E3" s="4" t="inlineStr">
        <is>
          <t>Cash flow hedging reserve</t>
        </is>
      </c>
      <c r="F3" s="4" t="inlineStr">
        <is>
          <t>Foreign exchange reserve</t>
        </is>
      </c>
      <c r="G3" s="4" t="inlineStr">
        <is>
          <t>Retained earnings</t>
        </is>
      </c>
      <c r="H3" s="4" t="inlineStr">
        <is>
          <t>Total equity</t>
        </is>
      </c>
    </row>
    <row r="4">
      <c r="A4" s="5" t="inlineStr">
        <is>
          <t>Balance at 1 January 2021</t>
        </is>
      </c>
      <c r="B4" s="5" t="n">
        <v>20</v>
      </c>
      <c r="C4" s="5" t="n">
        <v>969</v>
      </c>
      <c r="D4" s="5" t="n">
        <v>-4</v>
      </c>
      <c r="E4" s="5" t="n">
        <v>376</v>
      </c>
      <c r="F4" s="5" t="n">
        <v>0</v>
      </c>
      <c r="G4" s="5" t="n">
        <v>4309</v>
      </c>
      <c r="H4" s="5" t="n">
        <v>5670</v>
      </c>
    </row>
    <row r="5">
      <c r="A5" s="6" t="inlineStr">
        <is>
          <t>Profit attributable to ordinary shareholders and other equity owners</t>
        </is>
      </c>
      <c r="B5" s="6" t="n"/>
      <c r="C5" s="6" t="n"/>
      <c r="D5" s="6" t="n"/>
      <c r="E5" s="6" t="n"/>
      <c r="F5" s="6" t="n"/>
      <c r="G5" s="6" t="n">
        <v>776</v>
      </c>
      <c r="H5" s="6" t="n">
        <v>776</v>
      </c>
    </row>
    <row r="6">
      <c r="A6" s="6" t="inlineStr">
        <is>
          <t>FVOCI reserve movements (unrealised gains, tax)</t>
        </is>
      </c>
      <c r="B6" s="6" t="n"/>
      <c r="C6" s="6" t="n"/>
      <c r="D6" s="6" t="n">
        <v>1</v>
      </c>
      <c r="E6" s="6" t="n"/>
      <c r="F6" s="6" t="n"/>
      <c r="G6" s="6" t="n"/>
      <c r="H6" s="6" t="n">
        <v>1</v>
      </c>
    </row>
    <row r="7">
      <c r="A7" s="6" t="inlineStr">
        <is>
          <t>Cash flow hedging reserve movements (recognised in equity, transferred to earnings, tax)</t>
        </is>
      </c>
      <c r="B7" s="6" t="n"/>
      <c r="C7" s="6" t="n"/>
      <c r="D7" s="6" t="n"/>
      <c r="E7" s="6" t="n">
        <v>-544</v>
      </c>
      <c r="F7" s="6" t="n"/>
      <c r="G7" s="6" t="n"/>
      <c r="H7" s="6" t="n">
        <v>-544</v>
      </c>
    </row>
    <row r="8">
      <c r="A8" s="6" t="inlineStr">
        <is>
          <t>Foreign exchange reserve - retranslation of net assets</t>
        </is>
      </c>
      <c r="B8" s="6" t="n"/>
      <c r="C8" s="6" t="n"/>
      <c r="D8" s="6" t="n"/>
      <c r="E8" s="6" t="n"/>
      <c r="F8" s="6" t="n">
        <v>-2</v>
      </c>
      <c r="G8" s="6" t="n"/>
      <c r="H8" s="6" t="n">
        <v>-2</v>
      </c>
    </row>
    <row r="9">
      <c r="A9" s="6" t="inlineStr">
        <is>
          <t>Ordinary dividends paid</t>
        </is>
      </c>
      <c r="B9" s="6" t="n"/>
      <c r="C9" s="6" t="n"/>
      <c r="D9" s="6" t="n"/>
      <c r="E9" s="6" t="n"/>
      <c r="F9" s="6" t="n"/>
      <c r="G9" s="6" t="n">
        <v>-2100</v>
      </c>
      <c r="H9" s="6" t="n">
        <v>-2100</v>
      </c>
    </row>
    <row r="10">
      <c r="A10" s="6" t="inlineStr">
        <is>
          <t>Paid-in equity dividends paid</t>
        </is>
      </c>
      <c r="B10" s="6" t="n"/>
      <c r="C10" s="6" t="n"/>
      <c r="D10" s="6" t="n"/>
      <c r="E10" s="6" t="n"/>
      <c r="F10" s="6" t="n"/>
      <c r="G10" s="6" t="n">
        <v>-54</v>
      </c>
      <c r="H10" s="6" t="n">
        <v>-54</v>
      </c>
    </row>
    <row r="11">
      <c r="A11" s="5" t="inlineStr">
        <is>
          <t>Balance at 31 December 2021 / 1 January 2022</t>
        </is>
      </c>
      <c r="B11" s="5" t="n">
        <v>20</v>
      </c>
      <c r="C11" s="5" t="n">
        <v>969</v>
      </c>
      <c r="D11" s="5" t="n">
        <v>-3</v>
      </c>
      <c r="E11" s="5" t="n">
        <v>-168</v>
      </c>
      <c r="F11" s="5" t="n">
        <v>-2</v>
      </c>
      <c r="G11" s="5" t="n">
        <v>2931</v>
      </c>
      <c r="H11" s="5" t="n">
        <v>3747</v>
      </c>
    </row>
    <row r="12">
      <c r="A12" s="6" t="inlineStr">
        <is>
          <t>Redemption of paid-in equity</t>
        </is>
      </c>
      <c r="B12" s="6" t="n"/>
      <c r="C12" s="6" t="n">
        <v>-499</v>
      </c>
      <c r="D12" s="6" t="n"/>
      <c r="E12" s="6" t="n"/>
      <c r="F12" s="6" t="n"/>
      <c r="G12" s="6" t="n"/>
      <c r="H12" s="6" t="n">
        <v>-499</v>
      </c>
    </row>
    <row r="13">
      <c r="A13" s="6" t="inlineStr">
        <is>
          <t>Issue of paid-in equity</t>
        </is>
      </c>
      <c r="B13" s="6" t="n"/>
      <c r="C13" s="6" t="n">
        <v>500</v>
      </c>
      <c r="D13" s="6" t="n"/>
      <c r="E13" s="6" t="n"/>
      <c r="F13" s="6" t="n"/>
      <c r="G13" s="6" t="n"/>
      <c r="H13" s="6" t="n">
        <v>500</v>
      </c>
    </row>
    <row r="14">
      <c r="A14" s="6" t="inlineStr">
        <is>
          <t>Profit attributable to ordinary shareholders and other equity owners</t>
        </is>
      </c>
      <c r="B14" s="6" t="n"/>
      <c r="C14" s="6" t="n"/>
      <c r="D14" s="6" t="n"/>
      <c r="E14" s="6" t="n"/>
      <c r="F14" s="6" t="n"/>
      <c r="G14" s="6" t="n">
        <v>1176</v>
      </c>
      <c r="H14" s="6" t="n">
        <v>1176</v>
      </c>
    </row>
    <row r="15">
      <c r="A15" s="6" t="inlineStr">
        <is>
          <t>Cash flow hedging reserve movements (recognised in equity, transferred to earnings, tax)</t>
        </is>
      </c>
      <c r="B15" s="6" t="n"/>
      <c r="C15" s="6" t="n"/>
      <c r="D15" s="6" t="n"/>
      <c r="E15" s="6" t="n">
        <v>-1311</v>
      </c>
      <c r="F15" s="6" t="n"/>
      <c r="G15" s="6" t="n"/>
      <c r="H15" s="6" t="n">
        <v>-1311</v>
      </c>
    </row>
    <row r="16">
      <c r="A16" s="6" t="inlineStr">
        <is>
          <t>Foreign exchange reserve - retranslation of net assets</t>
        </is>
      </c>
      <c r="B16" s="6" t="n"/>
      <c r="C16" s="6" t="n"/>
      <c r="D16" s="6" t="n"/>
      <c r="E16" s="6" t="n"/>
      <c r="F16" s="6" t="n">
        <v>2</v>
      </c>
      <c r="G16" s="6" t="n"/>
      <c r="H16" s="6" t="n">
        <v>2</v>
      </c>
    </row>
    <row r="17">
      <c r="A17" s="6" t="inlineStr">
        <is>
          <t>Ordinary dividends paid</t>
        </is>
      </c>
      <c r="B17" s="6" t="n"/>
      <c r="C17" s="6" t="n"/>
      <c r="D17" s="6" t="n"/>
      <c r="E17" s="6" t="n"/>
      <c r="F17" s="6" t="n"/>
      <c r="G17" s="6" t="n">
        <v>-850</v>
      </c>
      <c r="H17" s="6" t="n">
        <v>-850</v>
      </c>
    </row>
    <row r="18">
      <c r="A18" s="6" t="inlineStr">
        <is>
          <t>Paid-in equity dividends paid</t>
        </is>
      </c>
      <c r="B18" s="6" t="n"/>
      <c r="C18" s="6" t="n"/>
      <c r="D18" s="6" t="n"/>
      <c r="E18" s="6" t="n"/>
      <c r="F18" s="6" t="n"/>
      <c r="G18" s="6" t="n">
        <v>-54</v>
      </c>
      <c r="H18" s="6" t="n">
        <v>-54</v>
      </c>
    </row>
    <row r="19">
      <c r="A19" s="6" t="inlineStr">
        <is>
          <t>Redemption of paid-in equity - retained earnings impact (gross, tax)</t>
        </is>
      </c>
      <c r="B19" s="6" t="n"/>
      <c r="C19" s="6" t="n"/>
      <c r="D19" s="6" t="n"/>
      <c r="E19" s="6" t="n"/>
      <c r="F19" s="6" t="n"/>
      <c r="G19" s="6" t="n">
        <v>-50</v>
      </c>
      <c r="H19" s="6" t="n">
        <v>-50</v>
      </c>
    </row>
    <row r="20">
      <c r="A20" s="5" t="inlineStr">
        <is>
          <t>Balance at 31 December 2022 / 1 January 2023</t>
        </is>
      </c>
      <c r="B20" s="5" t="n">
        <v>20</v>
      </c>
      <c r="C20" s="5" t="n">
        <v>970</v>
      </c>
      <c r="D20" s="5" t="n">
        <v>-3</v>
      </c>
      <c r="E20" s="5" t="n">
        <v>-1479</v>
      </c>
      <c r="F20" s="5" t="n">
        <v>0</v>
      </c>
      <c r="G20" s="5" t="n">
        <v>3153</v>
      </c>
      <c r="H20" s="5" t="n">
        <v>2661</v>
      </c>
    </row>
    <row r="21">
      <c r="A21" s="6" t="inlineStr">
        <is>
          <t>Redemption of paid-in equity</t>
        </is>
      </c>
      <c r="B21" s="6" t="n"/>
      <c r="C21" s="6" t="n">
        <v>-470</v>
      </c>
      <c r="D21" s="6" t="n"/>
      <c r="E21" s="6" t="n"/>
      <c r="F21" s="6" t="n"/>
      <c r="G21" s="6" t="n"/>
      <c r="H21" s="6" t="n">
        <v>-470</v>
      </c>
    </row>
    <row r="22">
      <c r="A22" s="6" t="inlineStr">
        <is>
          <t>Profit attributable to ordinary shareholders and other equity owners</t>
        </is>
      </c>
      <c r="B22" s="6" t="n"/>
      <c r="C22" s="6" t="n"/>
      <c r="D22" s="6" t="n"/>
      <c r="E22" s="6" t="n"/>
      <c r="F22" s="6" t="n"/>
      <c r="G22" s="6" t="n">
        <v>1399</v>
      </c>
      <c r="H22" s="6" t="n">
        <v>1399</v>
      </c>
    </row>
    <row r="23">
      <c r="A23" s="6" t="inlineStr">
        <is>
          <t>FVOCI reserve movements (unrealised/realised losses, tax)</t>
        </is>
      </c>
      <c r="B23" s="6" t="n"/>
      <c r="C23" s="6" t="n"/>
      <c r="D23" s="6" t="n">
        <v>3</v>
      </c>
      <c r="E23" s="6" t="n"/>
      <c r="F23" s="6" t="n"/>
      <c r="G23" s="6" t="n"/>
      <c r="H23" s="6" t="n">
        <v>3</v>
      </c>
    </row>
    <row r="24">
      <c r="A24" s="6" t="inlineStr">
        <is>
          <t>Cash flow hedging reserve movements (recognised in equity, transferred to earnings, tax)</t>
        </is>
      </c>
      <c r="B24" s="6" t="n"/>
      <c r="C24" s="6" t="n"/>
      <c r="D24" s="6" t="n"/>
      <c r="E24" s="6" t="n">
        <v>742</v>
      </c>
      <c r="F24" s="6" t="n"/>
      <c r="G24" s="6" t="n"/>
      <c r="H24" s="6" t="n">
        <v>742</v>
      </c>
    </row>
    <row r="25">
      <c r="A25" s="6" t="inlineStr">
        <is>
          <t>Foreign exchange reserve - retranslation of net assets</t>
        </is>
      </c>
      <c r="B25" s="6" t="n"/>
      <c r="C25" s="6" t="n"/>
      <c r="D25" s="6" t="n"/>
      <c r="E25" s="6" t="n"/>
      <c r="F25" s="6" t="n">
        <v>-1</v>
      </c>
      <c r="G25" s="6" t="n"/>
      <c r="H25" s="6" t="n">
        <v>-1</v>
      </c>
    </row>
    <row r="26">
      <c r="A26" s="6" t="inlineStr">
        <is>
          <t>Ordinary dividends paid</t>
        </is>
      </c>
      <c r="B26" s="6" t="n"/>
      <c r="C26" s="6" t="n"/>
      <c r="D26" s="6" t="n"/>
      <c r="E26" s="6" t="n"/>
      <c r="F26" s="6" t="n"/>
      <c r="G26" s="6" t="n">
        <v>-1136</v>
      </c>
      <c r="H26" s="6" t="n">
        <v>-1136</v>
      </c>
    </row>
    <row r="27">
      <c r="A27" s="6" t="inlineStr">
        <is>
          <t>Paid-in equity dividends paid</t>
        </is>
      </c>
      <c r="B27" s="6" t="n"/>
      <c r="C27" s="6" t="n"/>
      <c r="D27" s="6" t="n"/>
      <c r="E27" s="6" t="n"/>
      <c r="F27" s="6" t="n"/>
      <c r="G27" s="6" t="n">
        <v>-47</v>
      </c>
      <c r="H27" s="6" t="n">
        <v>-47</v>
      </c>
    </row>
    <row r="28">
      <c r="A28" s="6" t="inlineStr">
        <is>
          <t>Redemption of paid-in equity - retained earnings impact (gross)</t>
        </is>
      </c>
      <c r="B28" s="6" t="n"/>
      <c r="C28" s="6" t="n"/>
      <c r="D28" s="6" t="n"/>
      <c r="E28" s="6" t="n"/>
      <c r="F28" s="6" t="n"/>
      <c r="G28" s="6" t="n">
        <v>-43</v>
      </c>
      <c r="H28" s="6" t="n">
        <v>-43</v>
      </c>
    </row>
    <row r="29">
      <c r="A29" s="6" t="inlineStr">
        <is>
          <t>Realised losses in period on FVOCI equity shares (gross)</t>
        </is>
      </c>
      <c r="B29" s="6" t="n"/>
      <c r="C29" s="6" t="n"/>
      <c r="D29" s="6" t="n"/>
      <c r="E29" s="6" t="n"/>
      <c r="F29" s="6" t="n"/>
      <c r="G29" s="6" t="n">
        <v>-5</v>
      </c>
      <c r="H29" s="6" t="n">
        <v>-5</v>
      </c>
    </row>
    <row r="30">
      <c r="A30" s="5" t="inlineStr">
        <is>
          <t>Balance at 31 December 2023 / 1 January 2024</t>
        </is>
      </c>
      <c r="B30" s="5" t="n">
        <v>20</v>
      </c>
      <c r="C30" s="5" t="n">
        <v>500</v>
      </c>
      <c r="D30" s="5" t="n">
        <v>0</v>
      </c>
      <c r="E30" s="5" t="n">
        <v>-737</v>
      </c>
      <c r="F30" s="5" t="n">
        <v>-1</v>
      </c>
      <c r="G30" s="5" t="n">
        <v>3321</v>
      </c>
      <c r="H30" s="5" t="n">
        <v>3103</v>
      </c>
    </row>
    <row r="31">
      <c r="A31" s="6" t="inlineStr">
        <is>
          <t>Profit attributable to ordinary shareholders and other equity owners</t>
        </is>
      </c>
      <c r="B31" s="6" t="n"/>
      <c r="C31" s="6" t="n"/>
      <c r="D31" s="6" t="n"/>
      <c r="E31" s="6" t="n"/>
      <c r="F31" s="6" t="n"/>
      <c r="G31" s="6" t="n">
        <v>1180</v>
      </c>
      <c r="H31" s="6" t="n">
        <v>1180</v>
      </c>
    </row>
    <row r="32">
      <c r="A32" s="6" t="inlineStr">
        <is>
          <t>Cash flow hedging reserve movements (recognised in equity, transferred to earnings, tax)</t>
        </is>
      </c>
      <c r="B32" s="6" t="n"/>
      <c r="C32" s="6" t="n"/>
      <c r="D32" s="6" t="n"/>
      <c r="E32" s="6" t="n">
        <v>199</v>
      </c>
      <c r="F32" s="6" t="n"/>
      <c r="G32" s="6" t="n"/>
      <c r="H32" s="6" t="n">
        <v>199</v>
      </c>
    </row>
    <row r="33">
      <c r="A33" s="6" t="inlineStr">
        <is>
          <t>Foreign exchange reserve movements (retranslation, recycled to P&amp;L)</t>
        </is>
      </c>
      <c r="B33" s="6" t="n"/>
      <c r="C33" s="6" t="n"/>
      <c r="D33" s="6" t="n"/>
      <c r="E33" s="6" t="n"/>
      <c r="F33" s="6" t="n">
        <v>1</v>
      </c>
      <c r="G33" s="6" t="n"/>
      <c r="H33" s="6" t="n">
        <v>1</v>
      </c>
    </row>
    <row r="34">
      <c r="A34" s="6" t="inlineStr">
        <is>
          <t>Ordinary dividends paid</t>
        </is>
      </c>
      <c r="B34" s="6" t="n"/>
      <c r="C34" s="6" t="n"/>
      <c r="D34" s="6" t="n"/>
      <c r="E34" s="6" t="n"/>
      <c r="F34" s="6" t="n"/>
      <c r="G34" s="6" t="n">
        <v>-1200</v>
      </c>
      <c r="H34" s="6" t="n">
        <v>-1200</v>
      </c>
    </row>
    <row r="35">
      <c r="A35" s="6" t="inlineStr">
        <is>
          <t>Paid-in equity dividends paid</t>
        </is>
      </c>
      <c r="B35" s="6" t="n"/>
      <c r="C35" s="6" t="n"/>
      <c r="D35" s="6" t="n"/>
      <c r="E35" s="6" t="n"/>
      <c r="F35" s="6" t="n"/>
      <c r="G35" s="6" t="n">
        <v>-34</v>
      </c>
      <c r="H35" s="6" t="n">
        <v>-34</v>
      </c>
    </row>
    <row r="36">
      <c r="A36" s="5" t="inlineStr">
        <is>
          <t>Balance at 31 December 2024 / 1 January 2025</t>
        </is>
      </c>
      <c r="B36" s="5" t="n">
        <v>20</v>
      </c>
      <c r="C36" s="5" t="n">
        <v>500</v>
      </c>
      <c r="D36" s="5" t="n">
        <v>0</v>
      </c>
      <c r="E36" s="5" t="n">
        <v>-538</v>
      </c>
      <c r="F36" s="5" t="n">
        <v>0</v>
      </c>
      <c r="G36" s="5" t="n">
        <v>3267</v>
      </c>
      <c r="H36" s="5" t="n">
        <v>3249</v>
      </c>
    </row>
    <row r="37">
      <c r="A37" s="6" t="inlineStr">
        <is>
          <t>Profit attributable to ordinary shareholders and other equity owners</t>
        </is>
      </c>
      <c r="B37" s="6" t="n"/>
      <c r="C37" s="6" t="n"/>
      <c r="D37" s="6" t="n"/>
      <c r="E37" s="6" t="n"/>
      <c r="F37" s="6" t="n"/>
      <c r="G37" s="6" t="n">
        <v>1255</v>
      </c>
      <c r="H37" s="6" t="n">
        <v>1255</v>
      </c>
    </row>
    <row r="38">
      <c r="A38" s="6" t="inlineStr">
        <is>
          <t>Cash flow hedging reserve movements (recognised in equity, reclassified to P&amp;L, tax)</t>
        </is>
      </c>
      <c r="B38" s="6" t="n"/>
      <c r="C38" s="6" t="n"/>
      <c r="D38" s="6" t="n"/>
      <c r="E38" s="6" t="n">
        <v>454</v>
      </c>
      <c r="F38" s="6" t="n"/>
      <c r="G38" s="6" t="n"/>
      <c r="H38" s="6" t="n">
        <v>454</v>
      </c>
    </row>
    <row r="39">
      <c r="A39" s="6" t="inlineStr">
        <is>
          <t>Foreign exchange reserve movements (retranslation, recycled to P&amp;L)</t>
        </is>
      </c>
      <c r="B39" s="6" t="n"/>
      <c r="C39" s="6" t="n"/>
      <c r="D39" s="6" t="n"/>
      <c r="E39" s="6" t="n"/>
      <c r="F39" s="6" t="n">
        <v>0</v>
      </c>
      <c r="G39" s="6" t="n"/>
      <c r="H39" s="6" t="n">
        <v>0</v>
      </c>
    </row>
    <row r="40">
      <c r="A40" s="6" t="inlineStr">
        <is>
          <t>Ordinary dividends paid</t>
        </is>
      </c>
      <c r="B40" s="6" t="n"/>
      <c r="C40" s="6" t="n"/>
      <c r="D40" s="6" t="n"/>
      <c r="E40" s="6" t="n"/>
      <c r="F40" s="6" t="n"/>
      <c r="G40" s="6" t="n">
        <v>-1266</v>
      </c>
      <c r="H40" s="6" t="n">
        <v>-1266</v>
      </c>
    </row>
    <row r="41">
      <c r="A41" s="6" t="inlineStr">
        <is>
          <t>Paid-in equity dividends paid</t>
        </is>
      </c>
      <c r="B41" s="6" t="n"/>
      <c r="C41" s="6" t="n"/>
      <c r="D41" s="6" t="n"/>
      <c r="E41" s="6" t="n"/>
      <c r="F41" s="6" t="n"/>
      <c r="G41" s="6" t="n">
        <v>-34</v>
      </c>
      <c r="H41" s="6" t="n">
        <v>-34</v>
      </c>
    </row>
    <row r="42">
      <c r="A42" s="5" t="inlineStr">
        <is>
          <t>Balance at 31 December 2025</t>
        </is>
      </c>
      <c r="B42" s="5" t="n">
        <v>20</v>
      </c>
      <c r="C42" s="5" t="n">
        <v>500</v>
      </c>
      <c r="D42" s="5" t="n">
        <v>0</v>
      </c>
      <c r="E42" s="5" t="n">
        <v>-84</v>
      </c>
      <c r="F42" s="5" t="n">
        <v>0</v>
      </c>
      <c r="G42" s="5" t="n">
        <v>3222</v>
      </c>
      <c r="H42" s="5" t="n">
        <v>3658</v>
      </c>
    </row>
    <row r="44" ht="390" customHeight="1">
      <c r="A44" s="8" t="inlineStr">
        <is>
          <t>Sources - RBS plc entity-level basis, £m:
FY2025: RBS plc Annual Report and Accounts 2025, p.82 (Income statement / Statement of comprehensive income), p.83 (Balance sheet), p.84 (Statement of changes in equity) - https://investors.natwestgroup.com/~/media/Files/R/RBS-IR-V2/results-center/13022026/rbs-annual-report.pdf
FY2024: RBS plc Annual Report and Accounts 2024, p.86 (Income statement / Statement of comprehensive income), p.87 (Balance sheet), p.88 (Statement of changes in equity) - https://investors.natwestgroup.com/~/media/Files/R/RBS-IR-V2/results-center/14022025/rbs-plc-annual-report.pdf
FY2023: RBS plc Annual Report and Accounts 2023, p.87 (Income statement / Statement of comprehensive income), p.88 (Balance sheet), p.89 (Statement of changes in equity) - https://investors.natwestgroup.com/~/media/Files/R/RBS-IR-V2/results-center/16022024/rbs-plc-annual-report.pdf
FY2022: RBS plc Annual Report and Accounts 2022, p.95 (Income statement / Statement of comprehensive income), p.96 (Balance sheet), p.97 (Statement of changes in equity) - https://investors.natwestgroup.com/~/media/Files/R/RBS-IR-V2/results-center/17022023/rbs-plc-annual-report.pdf
FY2021: RBS plc Annual Report and Accounts 2021, p.88 (Income statement / Statement of comprehensive income), p.89 (Balance sheet), p.90 (Statement of changes in equity) - independently cross-checked against RBS plc Annual Report and Accounts 2022's FY2021 comparative column, which agrees exactly on every line - https://investors.natwestgroup.com/~/media/Files/R/RBS-IR-V2/results-center/18022022/rbs-plc-annual-report-2021.pdf
Presentation note: FY2025's Statement of changes in equity no longer discloses a separate FVOCI reserve line (nil since FY2024 year-end, folded away); FY2025's income statement drops the 'Items that do not qualify for reclassification' sub-heading used in FY2023-FY2024 (that sub-total was nil or near-nil in every year it appeared). Each year's own as-published structure is preserved rather than forced into a common format.
ENTITY NOTE: The Royal Bank of Scotland Public Limited Company ('RBS plc', company number SC083026, FRN 114724, LEI 549300WHU4EIHRP28H10) is a large, PRA-authorised subsidiary of NatWest Group plc (formerly The Royal Bank of Scotland Group plc). IMPORTANT LINEAGE NOTE: company SC083026 was originally incorporated on 9 May 1983 as 'Adam &amp; Company Public Limited Company' (a private banking subsidiary) and was renamed 'The Royal Bank of Scotland Public Limited Company' on 29 April 2018, as part of the ring-fencing reforms that split NatWest Group's retail/commercial banking (ring-fenced) from investment banking (non-ring-fenced) activities. The pre-2018 entity that historically traded as 'The Royal Bank of Scotland plc' (the 1727-founded bank, formerly the whole group's principal operating subsidiary) was itself renamed 'NatWest Markets Plc' at the same time and continues today as NatWest Group's investment banking subsidiary - it is NOT the entity covered by this workbook. This workbook covers the entity that currently and continuously holds the exact name 'The Royal Bank of Scotland Public Limited Company' (confirmed via Companies House and the FCA/PRA Financial Services Register, and matching the FRN and LEI listed in this project's source bank list) - i.e. the ring-fenced retail/commercial banking entity operating under the RBS brand in Scotland and Northern Ireland, not the original historic RBS legal entity. Flagged here prominently given the scale of the institution and the potential for this lineage to be confused with NatWest Markets Plc.
RBS plc is a member of the 'UK DoLSub' (UK Domestic Liquidity Sub-Group) alongside National Westminster Bank Plc and Coutts &amp; Company; under a PRA waiver, liquidity (LCR/NSFR) is managed and disclosed at this sub-group level rather than at the individual RBS plc entity level - the LCR/NSFR figures on those sheets are UK DoLSub figures, consistently across every year in this workbook, not RBS plc solo. From FY2024 onward, RBS plc's own Annual Report and Pillar 3 Report no longer state a numeric UK DoLSub LCR/NSFR at all (that disclosure moved entirely to NatWest Holdings Group's own reports) - so FY2024/FY2025 are not a gap in RBS plc's own reporting. The UK DoLSub is a liquidity sub-group of which RBS plc is a constituent, NOT the NatWest Holdings Group or NatWest Group consolidated entity; taking the UK DoLSub figure from a NatWest Holdings Group document therefore continues the same sub-group measure this workbook has always used, and is not a substitution of a parent-group figure into an entity-level sheet. FY2024 UK DoLSub spot LCR/NSFR are recorded on that basis. FY2025 spot is genuinely unpublished - NatWest Holdings Group dropped the Spot column from FY2025 and now reports these metrics on an average basis only - so the FY2025 figures appear on the separate average-basis row instead. See the LCR sheet note for the spot-vs-average distinction, which is material (11 points apart for FY2023).</t>
        </is>
      </c>
    </row>
  </sheetData>
  <mergeCells count="1">
    <mergeCell ref="A44:H44"/>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6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8" customWidth="1" min="1" max="1"/>
    <col width="15" customWidth="1" min="2" max="2"/>
    <col width="15" customWidth="1" min="3" max="3"/>
    <col width="15" customWidth="1" min="4" max="4"/>
    <col width="15" customWidth="1" min="5" max="5"/>
    <col width="15" customWidth="1" min="6" max="6"/>
  </cols>
  <sheetData>
    <row r="1">
      <c r="A1" s="1" t="inlineStr">
        <is>
          <t>The Royal Bank of Scotland Public Limited Company — Cash Flow Statement</t>
        </is>
      </c>
    </row>
    <row r="2">
      <c r="A2" s="2" t="inlineStr">
        <is>
          <t>RBS plc entity-level basis, £m. See source note for a lineage/entity-identity flag and a FY2021-2022 vs FY2023-2025 presentation-format change.</t>
        </is>
      </c>
    </row>
    <row r="3">
      <c r="A3" s="4" t="inlineStr">
        <is>
          <t>Line item</t>
        </is>
      </c>
      <c r="B3" s="4" t="inlineStr">
        <is>
          <t>FY2025 (£m)</t>
        </is>
      </c>
      <c r="C3" s="4" t="inlineStr">
        <is>
          <t>FY2024 (£m)</t>
        </is>
      </c>
      <c r="D3" s="4" t="inlineStr">
        <is>
          <t>FY2023 (£m)</t>
        </is>
      </c>
      <c r="E3" s="4" t="inlineStr">
        <is>
          <t>FY2022 (£m)</t>
        </is>
      </c>
      <c r="F3" s="4" t="inlineStr">
        <is>
          <t>FY2021 (£m)</t>
        </is>
      </c>
    </row>
    <row r="4">
      <c r="A4" s="5" t="inlineStr">
        <is>
          <t>Operating activities</t>
        </is>
      </c>
      <c r="B4" s="6" t="n"/>
      <c r="C4" s="6" t="n"/>
      <c r="D4" s="6" t="n"/>
      <c r="E4" s="6" t="n"/>
      <c r="F4" s="6" t="n"/>
    </row>
    <row r="5">
      <c r="A5" s="6" t="inlineStr">
        <is>
          <t>Operating profit before tax</t>
        </is>
      </c>
      <c r="B5" s="6" t="n">
        <v>1671</v>
      </c>
      <c r="C5" s="6" t="n">
        <v>1389</v>
      </c>
      <c r="D5" s="6" t="n">
        <v>1588</v>
      </c>
      <c r="E5" s="6" t="n">
        <v>1159</v>
      </c>
      <c r="F5" s="6" t="n">
        <v>1021</v>
      </c>
    </row>
    <row r="6">
      <c r="A6" s="6" t="inlineStr">
        <is>
          <t>Non-cash and other items (Note 21/22)</t>
        </is>
      </c>
      <c r="B6" s="6" t="n">
        <v>609</v>
      </c>
      <c r="C6" s="6" t="n">
        <v>1138</v>
      </c>
      <c r="D6" s="6" t="n">
        <v>1255</v>
      </c>
      <c r="E6" s="6" t="n"/>
      <c r="F6" s="6" t="n"/>
    </row>
    <row r="7">
      <c r="A7" s="6" t="inlineStr">
        <is>
          <t>Impairment losses/(releases)</t>
        </is>
      </c>
      <c r="B7" s="6" t="n"/>
      <c r="C7" s="6" t="n"/>
      <c r="D7" s="6" t="n"/>
      <c r="E7" s="6" t="n">
        <v>20</v>
      </c>
      <c r="F7" s="6" t="n">
        <v>-360</v>
      </c>
    </row>
    <row r="8">
      <c r="A8" s="6" t="inlineStr">
        <is>
          <t>Depreciation and amortisation</t>
        </is>
      </c>
      <c r="B8" s="6" t="n"/>
      <c r="C8" s="6" t="n"/>
      <c r="D8" s="6" t="n"/>
      <c r="E8" s="6" t="n">
        <v>21</v>
      </c>
      <c r="F8" s="6" t="n">
        <v>124</v>
      </c>
    </row>
    <row r="9">
      <c r="A9" s="6" t="inlineStr">
        <is>
          <t>Write-down of investment in group undertakings</t>
        </is>
      </c>
      <c r="B9" s="6" t="n"/>
      <c r="C9" s="6" t="n"/>
      <c r="D9" s="6" t="n"/>
      <c r="E9" s="6" t="n">
        <v>0</v>
      </c>
      <c r="F9" s="6" t="n">
        <v>3</v>
      </c>
    </row>
    <row r="10">
      <c r="A10" s="6" t="inlineStr">
        <is>
          <t>Change in fair value taken to profit or loss on other liabilities and subordinated liabilities</t>
        </is>
      </c>
      <c r="B10" s="6" t="n"/>
      <c r="C10" s="6" t="n"/>
      <c r="D10" s="6" t="n"/>
      <c r="E10" s="6" t="n">
        <v>-110</v>
      </c>
      <c r="F10" s="6" t="n">
        <v>-67</v>
      </c>
    </row>
    <row r="11">
      <c r="A11" s="6" t="inlineStr">
        <is>
          <t>Elimination of foreign exchange differences</t>
        </is>
      </c>
      <c r="B11" s="6" t="n"/>
      <c r="C11" s="6" t="n"/>
      <c r="D11" s="6" t="n"/>
      <c r="E11" s="6" t="n">
        <v>-336</v>
      </c>
      <c r="F11" s="6" t="n">
        <v>37</v>
      </c>
    </row>
    <row r="12">
      <c r="A12" s="6" t="inlineStr">
        <is>
          <t>Other non-cash items</t>
        </is>
      </c>
      <c r="B12" s="6" t="n"/>
      <c r="C12" s="6" t="n"/>
      <c r="D12" s="6" t="n"/>
      <c r="E12" s="6" t="n">
        <v>158</v>
      </c>
      <c r="F12" s="6" t="n">
        <v>-199</v>
      </c>
    </row>
    <row r="13">
      <c r="A13" s="6" t="inlineStr">
        <is>
          <t>Dividends receivable from subsidiaries</t>
        </is>
      </c>
      <c r="B13" s="6" t="n"/>
      <c r="C13" s="6" t="n"/>
      <c r="D13" s="6" t="n"/>
      <c r="E13" s="6" t="n">
        <v>-8</v>
      </c>
      <c r="F13" s="6" t="n">
        <v>-22</v>
      </c>
    </row>
    <row r="14">
      <c r="A14" s="6" t="inlineStr">
        <is>
          <t>Profit on sale of subsidiaries and associates</t>
        </is>
      </c>
      <c r="B14" s="6" t="n"/>
      <c r="C14" s="6" t="n"/>
      <c r="D14" s="6" t="n"/>
      <c r="E14" s="6" t="n">
        <v>0</v>
      </c>
      <c r="F14" s="6" t="n">
        <v>-34</v>
      </c>
    </row>
    <row r="15">
      <c r="A15" s="6" t="inlineStr">
        <is>
          <t>Loss/(profit) on sale of net assets/liabilities</t>
        </is>
      </c>
      <c r="B15" s="6" t="n"/>
      <c r="C15" s="6" t="n"/>
      <c r="D15" s="6" t="n"/>
      <c r="E15" s="6" t="n">
        <v>24</v>
      </c>
      <c r="F15" s="6" t="n">
        <v>-4</v>
      </c>
    </row>
    <row r="16">
      <c r="A16" s="6" t="inlineStr">
        <is>
          <t>Loss/(profit) on sale of property, plant and equipment</t>
        </is>
      </c>
      <c r="B16" s="6" t="n"/>
      <c r="C16" s="6" t="n"/>
      <c r="D16" s="6" t="n"/>
      <c r="E16" s="6" t="n">
        <v>1</v>
      </c>
      <c r="F16" s="6" t="n">
        <v>-5</v>
      </c>
    </row>
    <row r="17">
      <c r="A17" s="6" t="inlineStr">
        <is>
          <t>Interest payable on MRELs and subordinated liabilities</t>
        </is>
      </c>
      <c r="B17" s="6" t="n"/>
      <c r="C17" s="6" t="n"/>
      <c r="D17" s="6" t="n"/>
      <c r="E17" s="6" t="n">
        <v>95</v>
      </c>
      <c r="F17" s="6" t="n">
        <v>86</v>
      </c>
    </row>
    <row r="18">
      <c r="A18" s="6" t="inlineStr">
        <is>
          <t>Charges and releases on provisions</t>
        </is>
      </c>
      <c r="B18" s="6" t="n"/>
      <c r="C18" s="6" t="n"/>
      <c r="D18" s="6" t="n"/>
      <c r="E18" s="6" t="n">
        <v>-10</v>
      </c>
      <c r="F18" s="6" t="n">
        <v>67</v>
      </c>
    </row>
    <row r="19">
      <c r="A19" s="6" t="inlineStr">
        <is>
          <t>Defined benefit pension schemes</t>
        </is>
      </c>
      <c r="B19" s="6" t="n"/>
      <c r="C19" s="6" t="n"/>
      <c r="D19" s="6" t="n"/>
      <c r="E19" s="6" t="n">
        <v>7</v>
      </c>
      <c r="F19" s="6" t="n">
        <v>9</v>
      </c>
    </row>
    <row r="20">
      <c r="A20" s="5" t="inlineStr">
        <is>
          <t>Net cash flows from trading activities (subtotal)</t>
        </is>
      </c>
      <c r="B20" s="5" t="n"/>
      <c r="C20" s="5" t="n"/>
      <c r="D20" s="5" t="n"/>
      <c r="E20" s="5" t="n">
        <v>1021</v>
      </c>
      <c r="F20" s="5" t="n">
        <v>656</v>
      </c>
    </row>
    <row r="21">
      <c r="A21" s="6" t="inlineStr">
        <is>
          <t>Increase in derivative assets</t>
        </is>
      </c>
      <c r="B21" s="6" t="n"/>
      <c r="C21" s="6" t="n"/>
      <c r="D21" s="6" t="n"/>
      <c r="E21" s="6" t="n">
        <v>-2230</v>
      </c>
      <c r="F21" s="6" t="n">
        <v>-39</v>
      </c>
    </row>
    <row r="22">
      <c r="A22" s="6" t="inlineStr">
        <is>
          <t>Increase in loans to banks</t>
        </is>
      </c>
      <c r="B22" s="6" t="n"/>
      <c r="C22" s="6" t="n"/>
      <c r="D22" s="6" t="n"/>
      <c r="E22" s="6" t="n">
        <v>-5</v>
      </c>
      <c r="F22" s="6" t="n">
        <v>-44</v>
      </c>
    </row>
    <row r="23">
      <c r="A23" s="6" t="inlineStr">
        <is>
          <t>Decrease in loans to customers</t>
        </is>
      </c>
      <c r="B23" s="6" t="n"/>
      <c r="C23" s="6" t="n"/>
      <c r="D23" s="6" t="n"/>
      <c r="E23" s="6" t="n">
        <v>3750</v>
      </c>
      <c r="F23" s="6" t="n">
        <v>6928</v>
      </c>
    </row>
    <row r="24">
      <c r="A24" s="6" t="inlineStr">
        <is>
          <t>Increase in amounts due from holding companies and fellow subsidiaries</t>
        </is>
      </c>
      <c r="B24" s="6" t="n"/>
      <c r="C24" s="6" t="n"/>
      <c r="D24" s="6" t="n"/>
      <c r="E24" s="6" t="n">
        <v>-2862</v>
      </c>
      <c r="F24" s="6" t="n">
        <v>-285</v>
      </c>
    </row>
    <row r="25">
      <c r="A25" s="6" t="inlineStr">
        <is>
          <t>Decrease in other assets</t>
        </is>
      </c>
      <c r="B25" s="6" t="n"/>
      <c r="C25" s="6" t="n"/>
      <c r="D25" s="6" t="n"/>
      <c r="E25" s="6" t="n">
        <v>88</v>
      </c>
      <c r="F25" s="6" t="n">
        <v>34</v>
      </c>
    </row>
    <row r="26">
      <c r="A26" s="6" t="inlineStr">
        <is>
          <t>Decrease in bank deposits</t>
        </is>
      </c>
      <c r="B26" s="6" t="n"/>
      <c r="C26" s="6" t="n"/>
      <c r="D26" s="6" t="n"/>
      <c r="E26" s="6" t="n">
        <v>-131</v>
      </c>
      <c r="F26" s="6" t="n">
        <v>-35</v>
      </c>
    </row>
    <row r="27">
      <c r="A27" s="6" t="inlineStr">
        <is>
          <t>(Decrease)/increase in customer deposits</t>
        </is>
      </c>
      <c r="B27" s="6" t="n"/>
      <c r="C27" s="6" t="n"/>
      <c r="D27" s="6" t="n"/>
      <c r="E27" s="6" t="n">
        <v>-6599</v>
      </c>
      <c r="F27" s="6" t="n">
        <v>7516</v>
      </c>
    </row>
    <row r="28">
      <c r="A28" s="6" t="inlineStr">
        <is>
          <t>(Decrease)/increase in amounts due to holding companies and fellow subsidiaries</t>
        </is>
      </c>
      <c r="B28" s="6" t="n"/>
      <c r="C28" s="6" t="n"/>
      <c r="D28" s="6" t="n"/>
      <c r="E28" s="6" t="n">
        <v>-1073</v>
      </c>
      <c r="F28" s="6" t="n">
        <v>741</v>
      </c>
    </row>
    <row r="29">
      <c r="A29" s="6" t="inlineStr">
        <is>
          <t>Increase in derivative liabilities</t>
        </is>
      </c>
      <c r="B29" s="6" t="n"/>
      <c r="C29" s="6" t="n"/>
      <c r="D29" s="6" t="n"/>
      <c r="E29" s="6" t="n">
        <v>1856</v>
      </c>
      <c r="F29" s="6" t="n">
        <v>39</v>
      </c>
    </row>
    <row r="30">
      <c r="A30" s="6" t="inlineStr">
        <is>
          <t>Increase in notes in circulation</t>
        </is>
      </c>
      <c r="B30" s="6" t="n"/>
      <c r="C30" s="6" t="n"/>
      <c r="D30" s="6" t="n"/>
      <c r="E30" s="6" t="n">
        <v>265</v>
      </c>
      <c r="F30" s="6" t="n">
        <v>501</v>
      </c>
    </row>
    <row r="31">
      <c r="A31" s="6" t="inlineStr">
        <is>
          <t>Decrease in other liabilities</t>
        </is>
      </c>
      <c r="B31" s="6" t="n"/>
      <c r="C31" s="6" t="n"/>
      <c r="D31" s="6" t="n"/>
      <c r="E31" s="6" t="n">
        <v>-205</v>
      </c>
      <c r="F31" s="6" t="n">
        <v>-170</v>
      </c>
    </row>
    <row r="32">
      <c r="A32" s="5" t="inlineStr">
        <is>
          <t>Changes in operating assets and liabilities (subtotal)</t>
        </is>
      </c>
      <c r="B32" s="5" t="n">
        <v>-309</v>
      </c>
      <c r="C32" s="5" t="n">
        <v>769</v>
      </c>
      <c r="D32" s="5" t="n">
        <v>-7837</v>
      </c>
      <c r="E32" s="5" t="n">
        <v>-7146</v>
      </c>
      <c r="F32" s="5" t="n">
        <v>15186</v>
      </c>
    </row>
    <row r="33">
      <c r="A33" s="6" t="inlineStr">
        <is>
          <t>Income tax paid</t>
        </is>
      </c>
      <c r="B33" s="6" t="n">
        <v>0</v>
      </c>
      <c r="C33" s="6" t="n">
        <v>-339</v>
      </c>
      <c r="D33" s="6" t="n">
        <v>-263</v>
      </c>
      <c r="E33" s="6" t="n">
        <v>-228</v>
      </c>
      <c r="F33" s="6" t="n">
        <v>-50</v>
      </c>
    </row>
    <row r="34">
      <c r="A34" s="5" t="inlineStr">
        <is>
          <t>Net cash flows from operating activities</t>
        </is>
      </c>
      <c r="B34" s="5" t="n">
        <v>1971</v>
      </c>
      <c r="C34" s="5" t="n">
        <v>2957</v>
      </c>
      <c r="D34" s="5" t="n">
        <v>-5257</v>
      </c>
      <c r="E34" s="5" t="n">
        <v>-6353</v>
      </c>
      <c r="F34" s="5" t="n">
        <v>15792</v>
      </c>
    </row>
    <row r="35">
      <c r="A35" s="5" t="inlineStr">
        <is>
          <t>Investing activities</t>
        </is>
      </c>
      <c r="B35" s="6" t="n"/>
      <c r="C35" s="6" t="n"/>
      <c r="D35" s="6" t="n"/>
      <c r="E35" s="6" t="n"/>
      <c r="F35" s="6" t="n"/>
    </row>
    <row r="36">
      <c r="A36" s="6" t="inlineStr">
        <is>
          <t>Purchase of other financial assets</t>
        </is>
      </c>
      <c r="B36" s="6" t="n"/>
      <c r="C36" s="6" t="n"/>
      <c r="D36" s="6" t="n"/>
      <c r="E36" s="6" t="n"/>
      <c r="F36" s="6" t="n">
        <v>-1</v>
      </c>
    </row>
    <row r="37">
      <c r="A37" s="6" t="inlineStr">
        <is>
          <t>Sale of property, plant and equipment</t>
        </is>
      </c>
      <c r="B37" s="6" t="n">
        <v>1</v>
      </c>
      <c r="C37" s="6" t="n">
        <v>3</v>
      </c>
      <c r="D37" s="6" t="n">
        <v>43</v>
      </c>
      <c r="E37" s="6" t="n">
        <v>8</v>
      </c>
      <c r="F37" s="6" t="n">
        <v>20</v>
      </c>
    </row>
    <row r="38">
      <c r="A38" s="6" t="inlineStr">
        <is>
          <t>Purchase of property, plant and equipment</t>
        </is>
      </c>
      <c r="B38" s="6" t="n">
        <v>-1</v>
      </c>
      <c r="C38" s="6" t="n">
        <v>-5</v>
      </c>
      <c r="D38" s="6" t="n">
        <v>-18</v>
      </c>
      <c r="E38" s="6" t="n">
        <v>-21</v>
      </c>
      <c r="F38" s="6" t="n">
        <v>-5</v>
      </c>
    </row>
    <row r="39">
      <c r="A39" s="6" t="inlineStr">
        <is>
          <t>Disposal of net assets and liabilities</t>
        </is>
      </c>
      <c r="B39" s="6" t="n"/>
      <c r="C39" s="6" t="n"/>
      <c r="D39" s="6" t="n">
        <v>0</v>
      </c>
      <c r="E39" s="6" t="n">
        <v>270</v>
      </c>
      <c r="F39" s="6" t="n">
        <v>155</v>
      </c>
    </row>
    <row r="40">
      <c r="A40" s="6" t="inlineStr">
        <is>
          <t>Profit on disposal of net assets and liabilities</t>
        </is>
      </c>
      <c r="B40" s="6" t="n"/>
      <c r="C40" s="6" t="n"/>
      <c r="D40" s="6" t="n"/>
      <c r="E40" s="6" t="n"/>
      <c r="F40" s="6" t="n">
        <v>4</v>
      </c>
    </row>
    <row r="41">
      <c r="A41" s="6" t="inlineStr">
        <is>
          <t>Disposal of subsidiaries and associates</t>
        </is>
      </c>
      <c r="B41" s="6" t="n"/>
      <c r="C41" s="6" t="n"/>
      <c r="D41" s="6" t="n"/>
      <c r="E41" s="6" t="n">
        <v>0</v>
      </c>
      <c r="F41" s="6" t="n">
        <v>54</v>
      </c>
    </row>
    <row r="42">
      <c r="A42" s="6" t="inlineStr">
        <is>
          <t>Dividends received from subsidiaries</t>
        </is>
      </c>
      <c r="B42" s="6" t="n">
        <v>6</v>
      </c>
      <c r="C42" s="6" t="n">
        <v>0</v>
      </c>
      <c r="D42" s="6" t="n">
        <v>5</v>
      </c>
      <c r="E42" s="6" t="n">
        <v>8</v>
      </c>
      <c r="F42" s="6" t="n">
        <v>22</v>
      </c>
    </row>
    <row r="43">
      <c r="A43" s="5" t="inlineStr">
        <is>
          <t>Net cash flows from investing activities</t>
        </is>
      </c>
      <c r="B43" s="5" t="n">
        <v>6</v>
      </c>
      <c r="C43" s="5" t="n">
        <v>-2</v>
      </c>
      <c r="D43" s="5" t="n">
        <v>30</v>
      </c>
      <c r="E43" s="5" t="n">
        <v>265</v>
      </c>
      <c r="F43" s="5" t="n">
        <v>249</v>
      </c>
    </row>
    <row r="44">
      <c r="A44" s="5" t="inlineStr">
        <is>
          <t>Financing activities</t>
        </is>
      </c>
      <c r="B44" s="6" t="n"/>
      <c r="C44" s="6" t="n"/>
      <c r="D44" s="6" t="n"/>
      <c r="E44" s="6" t="n"/>
      <c r="F44" s="6" t="n"/>
    </row>
    <row r="45">
      <c r="A45" s="6" t="inlineStr">
        <is>
          <t>Issue of paid-in equity</t>
        </is>
      </c>
      <c r="B45" s="6" t="n"/>
      <c r="C45" s="6" t="n"/>
      <c r="D45" s="6" t="n">
        <v>0</v>
      </c>
      <c r="E45" s="6" t="n"/>
      <c r="F45" s="6" t="n"/>
    </row>
    <row r="46">
      <c r="A46" s="6" t="inlineStr">
        <is>
          <t>Redemption of paid-in equity</t>
        </is>
      </c>
      <c r="B46" s="6" t="n"/>
      <c r="C46" s="6" t="n">
        <v>0</v>
      </c>
      <c r="D46" s="6" t="n">
        <v>-513</v>
      </c>
      <c r="E46" s="6" t="n"/>
      <c r="F46" s="6" t="n"/>
    </row>
    <row r="47">
      <c r="A47" s="6" t="inlineStr">
        <is>
          <t>Movement in paid-in equity (as reported)</t>
        </is>
      </c>
      <c r="B47" s="6" t="n"/>
      <c r="C47" s="6" t="n"/>
      <c r="D47" s="6" t="n"/>
      <c r="E47" s="6" t="n">
        <v>-40</v>
      </c>
      <c r="F47" s="6" t="n">
        <v>0</v>
      </c>
    </row>
    <row r="48">
      <c r="A48" s="6" t="inlineStr">
        <is>
          <t>Issue of MRELs</t>
        </is>
      </c>
      <c r="B48" s="6" t="n">
        <v>0</v>
      </c>
      <c r="C48" s="6" t="n">
        <v>119</v>
      </c>
      <c r="D48" s="6" t="n"/>
      <c r="E48" s="6" t="n"/>
      <c r="F48" s="6" t="n"/>
    </row>
    <row r="49">
      <c r="A49" s="6" t="inlineStr">
        <is>
          <t>Redemption of MRELs</t>
        </is>
      </c>
      <c r="B49" s="6" t="n">
        <v>0</v>
      </c>
      <c r="C49" s="6" t="n">
        <v>-397</v>
      </c>
      <c r="D49" s="6" t="n"/>
      <c r="E49" s="6" t="n"/>
      <c r="F49" s="6" t="n"/>
    </row>
    <row r="50">
      <c r="A50" s="6" t="inlineStr">
        <is>
          <t>Movement in MRELs (as reported)</t>
        </is>
      </c>
      <c r="B50" s="6" t="n"/>
      <c r="C50" s="6" t="n"/>
      <c r="D50" s="6" t="n">
        <v>991</v>
      </c>
      <c r="E50" s="6" t="n">
        <v>-16</v>
      </c>
      <c r="F50" s="6" t="n">
        <v>-16</v>
      </c>
    </row>
    <row r="51">
      <c r="A51" s="6" t="inlineStr">
        <is>
          <t>Interest paid on MRELs</t>
        </is>
      </c>
      <c r="B51" s="6" t="n">
        <v>-63</v>
      </c>
      <c r="C51" s="6" t="n">
        <v>-71</v>
      </c>
      <c r="D51" s="6" t="n">
        <v>-32</v>
      </c>
      <c r="E51" s="6" t="n"/>
      <c r="F51" s="6" t="n"/>
    </row>
    <row r="52">
      <c r="A52" s="6" t="inlineStr">
        <is>
          <t>Issue of subordinated liabilities</t>
        </is>
      </c>
      <c r="B52" s="6" t="n">
        <v>0</v>
      </c>
      <c r="C52" s="6" t="n">
        <v>546</v>
      </c>
      <c r="D52" s="6" t="n"/>
      <c r="E52" s="6" t="n"/>
      <c r="F52" s="6" t="n"/>
    </row>
    <row r="53">
      <c r="A53" s="6" t="inlineStr">
        <is>
          <t>Redemption of subordinated liabilities</t>
        </is>
      </c>
      <c r="B53" s="6" t="n">
        <v>0</v>
      </c>
      <c r="C53" s="6" t="n">
        <v>-381</v>
      </c>
      <c r="D53" s="6" t="n">
        <v>-1059</v>
      </c>
      <c r="E53" s="6" t="n"/>
      <c r="F53" s="6" t="n"/>
    </row>
    <row r="54">
      <c r="A54" s="6" t="inlineStr">
        <is>
          <t>Interest paid on subordinated liabilities</t>
        </is>
      </c>
      <c r="B54" s="6" t="n">
        <v>-33</v>
      </c>
      <c r="C54" s="6" t="n">
        <v>-39</v>
      </c>
      <c r="D54" s="6" t="n">
        <v>-77</v>
      </c>
      <c r="E54" s="6" t="n"/>
      <c r="F54" s="6" t="n"/>
    </row>
    <row r="55">
      <c r="A55" s="6" t="inlineStr">
        <is>
          <t>Movement in subordinated liabilities (as reported)</t>
        </is>
      </c>
      <c r="B55" s="6" t="n"/>
      <c r="C55" s="6" t="n"/>
      <c r="D55" s="6" t="n"/>
      <c r="E55" s="6" t="n">
        <v>-78</v>
      </c>
      <c r="F55" s="6" t="n">
        <v>-70</v>
      </c>
    </row>
    <row r="56">
      <c r="A56" s="6" t="inlineStr">
        <is>
          <t>Dividends paid</t>
        </is>
      </c>
      <c r="B56" s="6" t="n">
        <v>-1300</v>
      </c>
      <c r="C56" s="6" t="n">
        <v>-1234</v>
      </c>
      <c r="D56" s="6" t="n">
        <v>-1183</v>
      </c>
      <c r="E56" s="6" t="n">
        <v>-904</v>
      </c>
      <c r="F56" s="6" t="n">
        <v>-2154</v>
      </c>
    </row>
    <row r="57">
      <c r="A57" s="5" t="inlineStr">
        <is>
          <t>Net cash flows from financing activities</t>
        </is>
      </c>
      <c r="B57" s="5" t="n">
        <v>-1396</v>
      </c>
      <c r="C57" s="5" t="n">
        <v>-1457</v>
      </c>
      <c r="D57" s="5" t="n">
        <v>-1873</v>
      </c>
      <c r="E57" s="5" t="n">
        <v>-1038</v>
      </c>
      <c r="F57" s="5" t="n">
        <v>-2240</v>
      </c>
    </row>
    <row r="58">
      <c r="A58" s="6" t="inlineStr">
        <is>
          <t>Effects of exchange rate changes on cash and cash equivalents</t>
        </is>
      </c>
      <c r="B58" s="6" t="n">
        <v>-81</v>
      </c>
      <c r="C58" s="6" t="n">
        <v>-13</v>
      </c>
      <c r="D58" s="6" t="n">
        <v>-198</v>
      </c>
      <c r="E58" s="6" t="n">
        <v>547</v>
      </c>
      <c r="F58" s="6" t="n">
        <v>-19</v>
      </c>
    </row>
    <row r="59">
      <c r="A59" s="5" t="inlineStr">
        <is>
          <t>Net increase/(decrease) in cash and cash equivalents</t>
        </is>
      </c>
      <c r="B59" s="5" t="n">
        <v>500</v>
      </c>
      <c r="C59" s="5" t="n">
        <v>1485</v>
      </c>
      <c r="D59" s="5" t="n">
        <v>-7298</v>
      </c>
      <c r="E59" s="5" t="n">
        <v>-6579</v>
      </c>
      <c r="F59" s="5" t="n">
        <v>13782</v>
      </c>
    </row>
    <row r="60">
      <c r="A60" s="6" t="inlineStr">
        <is>
          <t>Cash and cash equivalents at 1 January</t>
        </is>
      </c>
      <c r="B60" s="6" t="n">
        <v>47816</v>
      </c>
      <c r="C60" s="6" t="n">
        <v>46331</v>
      </c>
      <c r="D60" s="6" t="n">
        <v>53629</v>
      </c>
      <c r="E60" s="6" t="n">
        <v>60208</v>
      </c>
      <c r="F60" s="6" t="n">
        <v>46426</v>
      </c>
    </row>
    <row r="61">
      <c r="A61" s="5" t="inlineStr">
        <is>
          <t>Cash and cash equivalents at 31 December</t>
        </is>
      </c>
      <c r="B61" s="5" t="n">
        <v>48316</v>
      </c>
      <c r="C61" s="5" t="n">
        <v>47816</v>
      </c>
      <c r="D61" s="5" t="n">
        <v>46331</v>
      </c>
      <c r="E61" s="5" t="n">
        <v>53629</v>
      </c>
      <c r="F61" s="5" t="n">
        <v>60208</v>
      </c>
    </row>
    <row r="63" ht="351" customHeight="1">
      <c r="A63" s="8" t="inlineStr">
        <is>
          <t>Sources - all figures are RBS plc's own Cash flow statement, £m:
FY2025: RBS plc Annual Report and Accounts 2025, p.85 (Cash flow statement) - https://investors.natwestgroup.com/~/media/Files/R/RBS-IR-V2/results-center/13022026/rbs-annual-report.pdf
FY2024: RBS plc Annual Report and Accounts 2024, p.89 (Cash flow statement) - https://investors.natwestgroup.com/~/media/Files/R/RBS-IR-V2/results-center/14022025/rbs-plc-annual-report.pdf
FY2023: RBS plc Annual Report and Accounts 2023, p.90 (Cash flow statement) - https://investors.natwestgroup.com/~/media/Files/R/RBS-IR-V2/results-center/16022024/rbs-plc-annual-report.pdf
FY2022: RBS plc Annual Report and Accounts 2022, p.98 (Cash flow statement) - https://investors.natwestgroup.com/~/media/Files/R/RBS-IR-V2/results-center/17022023/rbs-plc-annual-report.pdf
FY2021: RBS plc Annual Report and Accounts 2022, p.98 (FY2021 comparative column of the same statement; independently cross-checked against RBS plc Annual Report and Accounts 2021, p.91, own-year statement, which gives an identical operating-activities total of £15,792m) - https://investors.natwestgroup.com/~/media/Files/R/RBS-IR-V2/results-center/17022023/rbs-plc-annual-report.pdf
Presentation note: FY2021-FY2022 annual reports itemise cash flows from operating activities in full detail (individual adjustments, changes in each operating asset/liability class); FY2023-FY2025 reports condense these into two note-referenced lines ('Non-cash and other items' and 'Changes in operating assets and liabilities', detailed in Note 21/22 rather than the face statement). Each year's own as-published presentation is preserved below rather than forced into a common format. The full opening-to-closing cash chain reconciles exactly across all 5 years (FY2021 opening £46,426m through FY2025 closing £48,316m).
ENTITY NOTE: The Royal Bank of Scotland Public Limited Company ('RBS plc', company number SC083026, FRN 114724, LEI 549300WHU4EIHRP28H10) is a large, PRA-authorised subsidiary of NatWest Group plc (formerly The Royal Bank of Scotland Group plc). IMPORTANT LINEAGE NOTE: company SC083026 was originally incorporated on 9 May 1983 as 'Adam &amp; Company Public Limited Company' (a private banking subsidiary) and was renamed 'The Royal Bank of Scotland Public Limited Company' on 29 April 2018, as part of the ring-fencing reforms that split NatWest Group's retail/commercial banking (ring-fenced) from investment banking (non-ring-fenced) activities. The pre-2018 entity that historically traded as 'The Royal Bank of Scotland plc' (the 1727-founded bank, formerly the whole group's principal operating subsidiary) was itself renamed 'NatWest Markets Plc' at the same time and continues today as NatWest Group's investment banking subsidiary - it is NOT the entity covered by this workbook. This workbook covers the entity that currently and continuously holds the exact name 'The Royal Bank of Scotland Public Limited Company' (confirmed via Companies House and the FCA/PRA Financial Services Register, and matching the FRN and LEI listed in this project's source bank list) - i.e. the ring-fenced retail/commercial banking entity operating under the RBS brand in Scotland and Northern Ireland, not the original historic RBS legal entity. Flagged here prominently given the scale of the institution and the potential for this lineage to be confused with NatWest Markets Plc.
RBS plc is a member of the 'UK DoLSub' (UK Domestic Liquidity Sub-Group) alongside National Westminster Bank Plc and Coutts &amp; Company; under a PRA waiver, liquidity (LCR/NSFR) is managed and disclosed at this sub-group level rather than at the individual RBS plc entity level - the LCR/NSFR figures on those sheets are UK DoLSub figures, consistently across every year in this workbook, not RBS plc solo. From FY2024 onward, RBS plc's own Annual Report and Pillar 3 Report no longer state a numeric UK DoLSub LCR/NSFR at all (that disclosure moved entirely to NatWest Holdings Group's own reports) - so FY2024/FY2025 are not a gap in RBS plc's own reporting. The UK DoLSub is a liquidity sub-group of which RBS plc is a constituent, NOT the NatWest Holdings Group or NatWest Group consolidated entity; taking the UK DoLSub figure from a NatWest Holdings Group document therefore continues the same sub-group measure this workbook has always used, and is not a substitution of a parent-group figure into an entity-level sheet. FY2024 UK DoLSub spot LCR/NSFR are recorded on that basis. FY2025 spot is genuinely unpublished - NatWest Holdings Group dropped the Spot column from FY2025 and now reports these metrics on an average basis only - so the FY2025 figures appear on the separate average-basis row instead. See the LCR sheet note for the spot-vs-average distinction, which is material (11 points apart for FY2023).</t>
        </is>
      </c>
    </row>
  </sheetData>
  <mergeCells count="1">
    <mergeCell ref="A63:F6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1"/>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58" customWidth="1" min="1" max="1"/>
    <col width="15" customWidth="1" min="2" max="2"/>
    <col width="15" customWidth="1" min="3" max="3"/>
    <col width="15" customWidth="1" min="4" max="4"/>
    <col width="15" customWidth="1" min="5" max="5"/>
    <col width="15" customWidth="1" min="6" max="6"/>
  </cols>
  <sheetData>
    <row r="1">
      <c r="A1" s="1" t="inlineStr">
        <is>
          <t>The Royal Bank of Scotland Public Limited Company — Asset Quality</t>
        </is>
      </c>
    </row>
    <row r="2">
      <c r="A2" s="2" t="inlineStr">
        <is>
          <t>RBS plc entity-level basis. Loans within IFRS 9 ECL framework scope, by stage. See source note for why this doesn't tie exactly to the Balance Sheet's Loans to customers line.</t>
        </is>
      </c>
    </row>
    <row r="3">
      <c r="A3" s="4" t="inlineStr">
        <is>
          <t>Line item</t>
        </is>
      </c>
      <c r="B3" s="4" t="inlineStr">
        <is>
          <t>FY2025</t>
        </is>
      </c>
      <c r="C3" s="4" t="inlineStr">
        <is>
          <t>FY2024</t>
        </is>
      </c>
      <c r="D3" s="4" t="inlineStr">
        <is>
          <t>FY2023</t>
        </is>
      </c>
      <c r="E3" s="4" t="inlineStr">
        <is>
          <t>FY2022</t>
        </is>
      </c>
      <c r="F3" s="4" t="inlineStr">
        <is>
          <t>FY2021</t>
        </is>
      </c>
    </row>
    <row r="4">
      <c r="A4" s="5" t="inlineStr">
        <is>
          <t>Loans - amortised cost, in scope of the IFRS 9 ECL framework (£bn, rounded to 1dp as disclosed)</t>
        </is>
      </c>
      <c r="B4" s="6" t="n"/>
      <c r="C4" s="6" t="n"/>
      <c r="D4" s="6" t="n"/>
      <c r="E4" s="6" t="n"/>
      <c r="F4" s="6" t="n"/>
    </row>
    <row r="5">
      <c r="A5" s="6" t="inlineStr">
        <is>
          <t>Gross loans - Stage 1</t>
        </is>
      </c>
      <c r="B5" s="6" t="n">
        <v>28.9</v>
      </c>
      <c r="C5" s="6" t="n">
        <v>29.6</v>
      </c>
      <c r="D5" s="6" t="n">
        <v>30.6</v>
      </c>
      <c r="E5" s="6" t="n">
        <v>30.4</v>
      </c>
      <c r="F5" s="6" t="n">
        <v>36.1</v>
      </c>
    </row>
    <row r="6">
      <c r="A6" s="6" t="inlineStr">
        <is>
          <t>Gross loans - Stage 2</t>
        </is>
      </c>
      <c r="B6" s="6" t="n">
        <v>4.8</v>
      </c>
      <c r="C6" s="6" t="n">
        <v>4.3</v>
      </c>
      <c r="D6" s="6" t="n">
        <v>5</v>
      </c>
      <c r="E6" s="6" t="n">
        <v>8.1</v>
      </c>
      <c r="F6" s="6" t="n">
        <v>6.5</v>
      </c>
    </row>
    <row r="7">
      <c r="A7" s="6" t="inlineStr">
        <is>
          <t>Gross loans - Stage 3 (non-performing)</t>
        </is>
      </c>
      <c r="B7" s="6" t="n">
        <v>0.9</v>
      </c>
      <c r="C7" s="6" t="n">
        <v>0.9</v>
      </c>
      <c r="D7" s="6" t="n">
        <v>1</v>
      </c>
      <c r="E7" s="6" t="n">
        <v>1</v>
      </c>
      <c r="F7" s="6" t="n">
        <v>1</v>
      </c>
    </row>
    <row r="8">
      <c r="A8" s="5" t="inlineStr">
        <is>
          <t>Gross loans - Total loans in scope</t>
        </is>
      </c>
      <c r="B8" s="5" t="n">
        <v>34.6</v>
      </c>
      <c r="C8" s="5" t="n">
        <v>34.8</v>
      </c>
      <c r="D8" s="5" t="n">
        <v>36.6</v>
      </c>
      <c r="E8" s="5" t="n">
        <v>39.5</v>
      </c>
      <c r="F8" s="5" t="n">
        <v>43.6</v>
      </c>
    </row>
    <row r="9">
      <c r="A9" s="6" t="inlineStr">
        <is>
          <t>ECL provisions - Stage 1</t>
        </is>
      </c>
      <c r="B9" s="6" t="n">
        <v>0</v>
      </c>
      <c r="C9" s="6" t="n">
        <v>0.1</v>
      </c>
      <c r="D9" s="6" t="n">
        <v>0.1</v>
      </c>
      <c r="E9" s="6" t="n">
        <v>0.1</v>
      </c>
      <c r="F9" s="6" t="n">
        <v>0</v>
      </c>
    </row>
    <row r="10">
      <c r="A10" s="6" t="inlineStr">
        <is>
          <t>ECL provisions - Stage 2</t>
        </is>
      </c>
      <c r="B10" s="6" t="n">
        <v>0.1</v>
      </c>
      <c r="C10" s="6" t="n">
        <v>0.1</v>
      </c>
      <c r="D10" s="6" t="n">
        <v>0.1</v>
      </c>
      <c r="E10" s="6" t="n">
        <v>0.2</v>
      </c>
      <c r="F10" s="6" t="n">
        <v>0.3</v>
      </c>
    </row>
    <row r="11">
      <c r="A11" s="6" t="inlineStr">
        <is>
          <t>ECL provisions - Stage 3</t>
        </is>
      </c>
      <c r="B11" s="6" t="n">
        <v>0.4</v>
      </c>
      <c r="C11" s="6" t="n">
        <v>0.4</v>
      </c>
      <c r="D11" s="6" t="n">
        <v>0.4</v>
      </c>
      <c r="E11" s="6" t="n">
        <v>0.3</v>
      </c>
      <c r="F11" s="6" t="n">
        <v>0.4</v>
      </c>
    </row>
    <row r="12">
      <c r="A12" s="5" t="inlineStr">
        <is>
          <t>ECL provisions - Total</t>
        </is>
      </c>
      <c r="B12" s="5" t="n">
        <v>0.5</v>
      </c>
      <c r="C12" s="5" t="n">
        <v>0.6</v>
      </c>
      <c r="D12" s="5" t="n">
        <v>0.6</v>
      </c>
      <c r="E12" s="5" t="n">
        <v>0.6</v>
      </c>
      <c r="F12" s="5" t="n">
        <v>0.7</v>
      </c>
    </row>
    <row r="13">
      <c r="A13" s="6" t="inlineStr">
        <is>
          <t>Net loans - Stage 1</t>
        </is>
      </c>
      <c r="B13" s="6" t="n">
        <v>28.9</v>
      </c>
      <c r="C13" s="6" t="n">
        <v>29.5</v>
      </c>
      <c r="D13" s="6" t="n">
        <v>30.5</v>
      </c>
      <c r="E13" s="6" t="n">
        <v>30.3</v>
      </c>
      <c r="F13" s="6" t="n">
        <v>36.1</v>
      </c>
    </row>
    <row r="14">
      <c r="A14" s="6" t="inlineStr">
        <is>
          <t>Net loans - Stage 2</t>
        </is>
      </c>
      <c r="B14" s="6" t="n">
        <v>4.7</v>
      </c>
      <c r="C14" s="6" t="n">
        <v>4.2</v>
      </c>
      <c r="D14" s="6" t="n">
        <v>4.9</v>
      </c>
      <c r="E14" s="6" t="n">
        <v>7.9</v>
      </c>
      <c r="F14" s="6" t="n">
        <v>6.2</v>
      </c>
    </row>
    <row r="15">
      <c r="A15" s="6" t="inlineStr">
        <is>
          <t>Net loans - Stage 3</t>
        </is>
      </c>
      <c r="B15" s="6" t="n">
        <v>0.5</v>
      </c>
      <c r="C15" s="6" t="n">
        <v>0.5</v>
      </c>
      <c r="D15" s="6" t="n">
        <v>0.6</v>
      </c>
      <c r="E15" s="6" t="n">
        <v>0.7</v>
      </c>
      <c r="F15" s="6" t="n">
        <v>0.6</v>
      </c>
    </row>
    <row r="16">
      <c r="A16" s="5" t="inlineStr">
        <is>
          <t>Net loans - Total loans in scope</t>
        </is>
      </c>
      <c r="B16" s="5" t="n">
        <v>34.1</v>
      </c>
      <c r="C16" s="5" t="n">
        <v>34.2</v>
      </c>
      <c r="D16" s="5" t="n">
        <v>36</v>
      </c>
      <c r="E16" s="5" t="n">
        <v>38.9</v>
      </c>
      <c r="F16" s="5" t="n">
        <v>42.9</v>
      </c>
    </row>
    <row r="17">
      <c r="A17" s="5" t="inlineStr">
        <is>
          <t>Derived ratios</t>
        </is>
      </c>
      <c r="B17" s="6" t="n"/>
      <c r="C17" s="6" t="n"/>
      <c r="D17" s="6" t="n"/>
      <c r="E17" s="6" t="n"/>
      <c r="F17" s="6" t="n"/>
    </row>
    <row r="18">
      <c r="A18" s="6" t="inlineStr">
        <is>
          <t>NPL ratio (Stage 3 gross / Total gross loans)</t>
        </is>
      </c>
      <c r="B18" s="6" t="inlineStr">
        <is>
          <t>2.60%</t>
        </is>
      </c>
      <c r="C18" s="6" t="inlineStr">
        <is>
          <t>2.59%</t>
        </is>
      </c>
      <c r="D18" s="6" t="inlineStr">
        <is>
          <t>2.73%</t>
        </is>
      </c>
      <c r="E18" s="6" t="inlineStr">
        <is>
          <t>2.53%</t>
        </is>
      </c>
      <c r="F18" s="6" t="inlineStr">
        <is>
          <t>2.29%</t>
        </is>
      </c>
    </row>
    <row r="19">
      <c r="A19" s="6" t="inlineStr">
        <is>
          <t>Stage 3 coverage ratio (Stage 3 ECL / Stage 3 gross)</t>
        </is>
      </c>
      <c r="B19" s="6" t="inlineStr">
        <is>
          <t>44.4%</t>
        </is>
      </c>
      <c r="C19" s="6" t="inlineStr">
        <is>
          <t>44.4%</t>
        </is>
      </c>
      <c r="D19" s="6" t="inlineStr">
        <is>
          <t>40.0%</t>
        </is>
      </c>
      <c r="E19" s="6" t="inlineStr">
        <is>
          <t>30.0%</t>
        </is>
      </c>
      <c r="F19" s="6" t="inlineStr">
        <is>
          <t>40.0%</t>
        </is>
      </c>
    </row>
    <row r="21" ht="351" customHeight="1">
      <c r="A21" s="8" t="inlineStr">
        <is>
          <t>Sources - RBS plc entity-level basis, 'Financial instruments within the scope of the IFRS 9 ECL framework' table:
FY2025: RBS plc Annual Report and Accounts 2025, p.26 - https://investors.natwestgroup.com/~/media/Files/R/RBS-IR-V2/results-center/13022026/rbs-annual-report.pdf
FY2024: RBS plc Annual Report and Accounts 2024, p.29 - https://investors.natwestgroup.com/~/media/Files/R/RBS-IR-V2/results-center/14022025/rbs-plc-annual-report.pdf
FY2023: RBS plc Annual Report and Accounts 2023, p.29 - https://investors.natwestgroup.com/~/media/Files/R/RBS-IR-V2/results-center/16022024/rbs-plc-annual-report.pdf
FY2022: RBS plc Annual Report and Accounts 2022, p.32 - https://investors.natwestgroup.com/~/media/Files/R/RBS-IR-V2/results-center/17022023/rbs-plc-annual-report.pdf
FY2021: RBS plc Annual Report and Accounts 2021, p.32 - independently cross-checked against RBS plc Annual Report and Accounts 2022's FY2021 comparative column, which agrees exactly - https://investors.natwestgroup.com/~/media/Files/R/RBS-IR-V2/results-center/18022022/rbs-plc-annual-report-2021.pdf
Figures as disclosed at 1 decimal place (£bn); NPL/coverage ratios are derived from those rounded figures so carry the same rounding limitation.
ENTITY NOTE: The Royal Bank of Scotland Public Limited Company ('RBS plc', company number SC083026, FRN 114724, LEI 549300WHU4EIHRP28H10) is a large, PRA-authorised subsidiary of NatWest Group plc (formerly The Royal Bank of Scotland Group plc). IMPORTANT LINEAGE NOTE: company SC083026 was originally incorporated on 9 May 1983 as 'Adam &amp; Company Public Limited Company' (a private banking subsidiary) and was renamed 'The Royal Bank of Scotland Public Limited Company' on 29 April 2018, as part of the ring-fencing reforms that split NatWest Group's retail/commercial banking (ring-fenced) from investment banking (non-ring-fenced) activities. The pre-2018 entity that historically traded as 'The Royal Bank of Scotland plc' (the 1727-founded bank, formerly the whole group's principal operating subsidiary) was itself renamed 'NatWest Markets Plc' at the same time and continues today as NatWest Group's investment banking subsidiary - it is NOT the entity covered by this workbook. This workbook covers the entity that currently and continuously holds the exact name 'The Royal Bank of Scotland Public Limited Company' (confirmed via Companies House and the FCA/PRA Financial Services Register, and matching the FRN and LEI listed in this project's source bank list) - i.e. the ring-fenced retail/commercial banking entity operating under the RBS brand in Scotland and Northern Ireland, not the original historic RBS legal entity. Flagged here prominently given the scale of the institution and the potential for this lineage to be confused with NatWest Markets Plc.
RBS plc is a member of the 'UK DoLSub' (UK Domestic Liquidity Sub-Group) alongside National Westminster Bank Plc and Coutts &amp; Company; under a PRA waiver, liquidity (LCR/NSFR) is managed and disclosed at this sub-group level rather than at the individual RBS plc entity level - the LCR/NSFR figures on those sheets are UK DoLSub figures, consistently across every year in this workbook, not RBS plc solo. From FY2024 onward, RBS plc's own Annual Report and Pillar 3 Report no longer state a numeric UK DoLSub LCR/NSFR at all (that disclosure moved entirely to NatWest Holdings Group's own reports) - so FY2024/FY2025 are not a gap in RBS plc's own reporting. The UK DoLSub is a liquidity sub-group of which RBS plc is a constituent, NOT the NatWest Holdings Group or NatWest Group consolidated entity; taking the UK DoLSub figure from a NatWest Holdings Group document therefore continues the same sub-group measure this workbook has always used, and is not a substitution of a parent-group figure into an entity-level sheet. FY2024 UK DoLSub spot LCR/NSFR are recorded on that basis. FY2025 spot is genuinely unpublished - NatWest Holdings Group dropped the Spot column from FY2025 and now reports these metrics on an average basis only - so the FY2025 figures appear on the separate average-basis row instead. See the LCR sheet note for the spot-vs-average distinction, which is material (11 points apart for FY2023).</t>
        </is>
      </c>
    </row>
  </sheetData>
  <mergeCells count="1">
    <mergeCell ref="A21:F2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64" customWidth="1" min="1" max="1"/>
    <col width="15" customWidth="1" min="2" max="2"/>
    <col width="15" customWidth="1" min="3" max="3"/>
    <col width="15" customWidth="1" min="4" max="4"/>
    <col width="15" customWidth="1" min="5" max="5"/>
    <col width="15" customWidth="1" min="6" max="6"/>
  </cols>
  <sheetData>
    <row r="1">
      <c r="A1" s="1" t="inlineStr">
        <is>
          <t>The Royal Bank of Scotland Public Limited Company — Profitability</t>
        </is>
      </c>
    </row>
    <row r="2">
      <c r="A2" s="2" t="inlineStr">
        <is>
          <t>Return on equity and return on assets in per cent, computed from this workbook's own Balance Sheet and Profit &amp; Loss sheets.</t>
        </is>
      </c>
    </row>
    <row r="3">
      <c r="A3" s="4" t="inlineStr">
        <is>
          <t>Metric</t>
        </is>
      </c>
      <c r="B3" s="4" t="inlineStr">
        <is>
          <t>FY2025</t>
        </is>
      </c>
      <c r="C3" s="4" t="inlineStr">
        <is>
          <t>FY2024</t>
        </is>
      </c>
      <c r="D3" s="4" t="inlineStr">
        <is>
          <t>FY2023</t>
        </is>
      </c>
      <c r="E3" s="4" t="inlineStr">
        <is>
          <t>FY2022</t>
        </is>
      </c>
      <c r="F3" s="4" t="inlineStr">
        <is>
          <t>FY2021</t>
        </is>
      </c>
    </row>
    <row r="4">
      <c r="A4" s="6" t="inlineStr">
        <is>
          <t>Return on equity - average equity basis</t>
        </is>
      </c>
      <c r="B4" s="6" t="inlineStr">
        <is>
          <t>36.34%</t>
        </is>
      </c>
      <c r="C4" s="6" t="inlineStr">
        <is>
          <t>37.15%</t>
        </is>
      </c>
      <c r="D4" s="6" t="inlineStr">
        <is>
          <t>48.54%</t>
        </is>
      </c>
      <c r="E4" s="6" t="inlineStr">
        <is>
          <t>36.70%</t>
        </is>
      </c>
      <c r="F4" s="6" t="n"/>
    </row>
    <row r="5">
      <c r="A5" s="6" t="inlineStr">
        <is>
          <t>Return on equity - year-end equity basis</t>
        </is>
      </c>
      <c r="B5" s="6" t="inlineStr">
        <is>
          <t>34.31%</t>
        </is>
      </c>
      <c r="C5" s="6" t="inlineStr">
        <is>
          <t>36.32%</t>
        </is>
      </c>
      <c r="D5" s="6" t="inlineStr">
        <is>
          <t>45.09%</t>
        </is>
      </c>
      <c r="E5" s="6" t="inlineStr">
        <is>
          <t>44.19%</t>
        </is>
      </c>
      <c r="F5" s="6" t="inlineStr">
        <is>
          <t>20.71%</t>
        </is>
      </c>
    </row>
    <row r="6">
      <c r="A6" s="6" t="inlineStr">
        <is>
          <t>Return on assets - average assets basis</t>
        </is>
      </c>
      <c r="B6" s="6" t="inlineStr">
        <is>
          <t>1.35%</t>
        </is>
      </c>
      <c r="C6" s="6" t="inlineStr">
        <is>
          <t>1.30%</t>
        </is>
      </c>
      <c r="D6" s="6" t="inlineStr">
        <is>
          <t>1.50%</t>
        </is>
      </c>
      <c r="E6" s="6" t="inlineStr">
        <is>
          <t>1.16%</t>
        </is>
      </c>
      <c r="F6" s="6" t="n"/>
    </row>
    <row r="7">
      <c r="A7" s="6" t="inlineStr">
        <is>
          <t>Return on assets - year-end assets basis</t>
        </is>
      </c>
      <c r="B7" s="6" t="inlineStr">
        <is>
          <t>1.32%</t>
        </is>
      </c>
      <c r="C7" s="6" t="inlineStr">
        <is>
          <t>1.30%</t>
        </is>
      </c>
      <c r="D7" s="6" t="inlineStr">
        <is>
          <t>1.55%</t>
        </is>
      </c>
      <c r="E7" s="6" t="inlineStr">
        <is>
          <t>1.22%</t>
        </is>
      </c>
      <c r="F7" s="6" t="inlineStr">
        <is>
          <t>0.73%</t>
        </is>
      </c>
    </row>
    <row r="8">
      <c r="A8" s="6" t="inlineStr">
        <is>
          <t>The Royal Bank of Scotland Public Limited Company's own published return</t>
        </is>
      </c>
      <c r="B8" s="6" t="inlineStr">
        <is>
          <t>Not published</t>
        </is>
      </c>
      <c r="C8" s="6" t="inlineStr">
        <is>
          <t>Not published</t>
        </is>
      </c>
      <c r="D8" s="6" t="inlineStr">
        <is>
          <t>Not published</t>
        </is>
      </c>
      <c r="E8" s="6" t="inlineStr">
        <is>
          <t>Not published</t>
        </is>
      </c>
      <c r="F8" s="6" t="inlineStr">
        <is>
          <t>Not published</t>
        </is>
      </c>
    </row>
    <row r="9" ht="156" customHeight="1">
      <c r="A9" s="7" t="inlineStr">
        <is>
          <t>Note: COMPUTED, NOT PUBLISHED. RBS plc publishes no ROE, ROA or RoTE in its 2025 Annual Report and Accounts (119 pages, born-digital). Whole-document searches for 'Return on', 'RoTE', standalone ROE and standalone ROA returned no matches. The Financial review's complete 'Key metrics and ratios' table contains cost:income ratio, loan impairment rate, CET1 ratio, leverage ratio, RWAs and loan:deposit ratio, but no return measure. Every percentage above is therefore this project's own arithmetic on the figures printed on this workbook's statement sheets, and is labelled as such. That the bank publishes none is a POSITIVE FINDING, recorded in research/profitability/published_returns.jsonl, and not a failed search: for this bank the computed figure is the only figure there is.
WHY TWO BASES ARE PRINTED FOR EACH RATIO, AND NEITHER IS PREFERRED. The average basis divides by the mean of the opening and closing balance and is the fairer measure of a year in which the balance sheet moved a long way; the year-end basis divides by the closing balance alone and is what most outside sources quote. Both are shown so the reader can see which question a figure answers. They are not averaged and neither is 'the' return. The two diverge most in FY2022, where return on equity is 36.70% on an average basis and 44.19% on a year-end basis.
FY2021 HAS NO AVERAGE-BASIS RATIO, AND THAT IS CORRECT. An average denominator needs an opening balance, and FY2021 is the oldest column this workbook carries, so there is no prior year to open from. The blank is structural, not a missing figure. The year-end basis is shown for FY2021 because it needs only the closing balance.</t>
        </is>
      </c>
    </row>
    <row r="11" ht="170" customHeight="1">
      <c r="A11" s="8" t="inlineStr">
        <is>
          <t>Computed by this workbook's own build script from the Profit &amp; Loss and Balance Sheet sheets of this same workbook - the Profit &amp; Loss row “profit for the year” and the Balance Sheet rows “total equity” and “total assets”, resolved BY LABEL at build time through the shared resolver scripts/profitability_rows.py, so this sheet cannot drift from the statements it summarises. Those rows are themselves transcribed from The Royal Bank of Scotland Public Limited Company's Annual Report and Accounts for each year; see the source cells on the Balance Sheet and Profit &amp; Loss sheets for the exact document, page and table behind every input to every percentage above.
The finding that The Royal Bank of Scotland Public Limited Company publishes no return of its own is recorded in research/profitability/published_returns.jsonl under ‘RBS’, verified against the bank's own annual report rendered at 300 dpi.</t>
        </is>
      </c>
    </row>
  </sheetData>
  <mergeCells count="2">
    <mergeCell ref="A11:F11"/>
    <mergeCell ref="A9:F9"/>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49"/>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6" customWidth="1" min="1" max="1"/>
    <col width="15" customWidth="1" min="2" max="2"/>
    <col width="15" customWidth="1" min="3" max="3"/>
    <col width="15" customWidth="1" min="4" max="4"/>
    <col width="15" customWidth="1" min="5" max="5"/>
    <col width="15" customWidth="1" min="6" max="6"/>
  </cols>
  <sheetData>
    <row r="1">
      <c r="A1" s="1" t="inlineStr">
        <is>
          <t>RBS plc — KM1 Key Metrics</t>
        </is>
      </c>
    </row>
    <row r="2">
      <c r="A2" s="2" t="inlineStr">
        <is>
          <t>UK KM1: Key metrics, as published in RBS plc's own Pillar 3 Reports (RBS plc entity basis, £m). Reproduced in the bank's own row order, row numbering, labels and precision. FY2022-FY2025 are each year's own edition; FY2021 is the FY2022 edition's 31 December 2021 comparative, RBS plc having published no Pillar 3 Report for FY2021. The LCR and NSFR blocks are printed empty every year under the UK DoLSub waiver - see the source note.</t>
        </is>
      </c>
    </row>
    <row r="3">
      <c r="A3" s="4" t="inlineStr">
        <is>
          <t>Line item</t>
        </is>
      </c>
      <c r="B3" s="4" t="inlineStr">
        <is>
          <t>FY2025</t>
        </is>
      </c>
      <c r="C3" s="4" t="inlineStr">
        <is>
          <t>FY2024</t>
        </is>
      </c>
      <c r="D3" s="4" t="inlineStr">
        <is>
          <t>FY2023</t>
        </is>
      </c>
      <c r="E3" s="4" t="inlineStr">
        <is>
          <t>FY2022</t>
        </is>
      </c>
      <c r="F3" s="4" t="inlineStr">
        <is>
          <t>FY2021</t>
        </is>
      </c>
    </row>
    <row r="4">
      <c r="A4" s="5" t="inlineStr">
        <is>
          <t>Available own funds (amounts)</t>
        </is>
      </c>
      <c r="B4" s="6" t="n"/>
      <c r="C4" s="6" t="n"/>
      <c r="D4" s="6" t="n"/>
      <c r="E4" s="6" t="n"/>
      <c r="F4" s="6" t="n"/>
    </row>
    <row r="5">
      <c r="A5" s="6" t="inlineStr">
        <is>
          <t>1 Common equity tier 1 (CET1) capital (£m)</t>
        </is>
      </c>
      <c r="B5" s="6" t="n">
        <v>1905</v>
      </c>
      <c r="C5" s="6" t="n">
        <v>1956</v>
      </c>
      <c r="D5" s="6" t="n">
        <v>2042</v>
      </c>
      <c r="E5" s="6" t="n">
        <v>2149</v>
      </c>
      <c r="F5" s="6" t="n">
        <v>2682</v>
      </c>
    </row>
    <row r="6">
      <c r="A6" s="6" t="inlineStr">
        <is>
          <t>2 Tier 1 capital (£m)</t>
        </is>
      </c>
      <c r="B6" s="6" t="n">
        <v>2405</v>
      </c>
      <c r="C6" s="6" t="n">
        <v>2456</v>
      </c>
      <c r="D6" s="6" t="n">
        <v>2542</v>
      </c>
      <c r="E6" s="6" t="n">
        <v>3119</v>
      </c>
      <c r="F6" s="6" t="n">
        <v>3651</v>
      </c>
    </row>
    <row r="7">
      <c r="A7" s="6" t="inlineStr">
        <is>
          <t>3 Total capital (£m)</t>
        </is>
      </c>
      <c r="B7" s="6" t="n">
        <v>2955</v>
      </c>
      <c r="C7" s="6" t="n">
        <v>3080</v>
      </c>
      <c r="D7" s="6" t="n">
        <v>2998</v>
      </c>
      <c r="E7" s="6" t="n">
        <v>4715</v>
      </c>
      <c r="F7" s="6" t="n">
        <v>5106</v>
      </c>
    </row>
    <row r="8">
      <c r="A8" s="5" t="inlineStr">
        <is>
          <t>Risk-weighted exposure amounts</t>
        </is>
      </c>
      <c r="B8" s="6" t="n"/>
      <c r="C8" s="6" t="n"/>
      <c r="D8" s="6" t="n"/>
      <c r="E8" s="6" t="n"/>
      <c r="F8" s="6" t="n"/>
    </row>
    <row r="9">
      <c r="A9" s="6" t="inlineStr">
        <is>
          <t>4 Total risk-weighted exposure amount (£m)</t>
        </is>
      </c>
      <c r="B9" s="6" t="n">
        <v>17385</v>
      </c>
      <c r="C9" s="6" t="n">
        <v>17591</v>
      </c>
      <c r="D9" s="6" t="n">
        <v>18228</v>
      </c>
      <c r="E9" s="6" t="n">
        <v>18540</v>
      </c>
      <c r="F9" s="6" t="n">
        <v>19592</v>
      </c>
    </row>
    <row r="10">
      <c r="A10" s="5" t="inlineStr">
        <is>
          <t>Capital ratios (as a percentage of risk-weighted exposure amount)</t>
        </is>
      </c>
      <c r="B10" s="6" t="n"/>
      <c r="C10" s="6" t="n"/>
      <c r="D10" s="6" t="n"/>
      <c r="E10" s="6" t="n"/>
      <c r="F10" s="6" t="n"/>
    </row>
    <row r="11">
      <c r="A11" s="6" t="inlineStr">
        <is>
          <t>5 Common equity tier 1 ratio (%)</t>
        </is>
      </c>
      <c r="B11" s="6" t="inlineStr">
        <is>
          <t>11.0%</t>
        </is>
      </c>
      <c r="C11" s="6" t="inlineStr">
        <is>
          <t>11.1%</t>
        </is>
      </c>
      <c r="D11" s="6" t="inlineStr">
        <is>
          <t>11.2%</t>
        </is>
      </c>
      <c r="E11" s="6" t="inlineStr">
        <is>
          <t>11.6%</t>
        </is>
      </c>
      <c r="F11" s="6" t="inlineStr">
        <is>
          <t>13.7%</t>
        </is>
      </c>
    </row>
    <row r="12">
      <c r="A12" s="6" t="inlineStr">
        <is>
          <t>6 Tier 1 ratio (%)</t>
        </is>
      </c>
      <c r="B12" s="6" t="inlineStr">
        <is>
          <t>13.8%</t>
        </is>
      </c>
      <c r="C12" s="6" t="inlineStr">
        <is>
          <t>14.0%</t>
        </is>
      </c>
      <c r="D12" s="6" t="inlineStr">
        <is>
          <t>13.9%</t>
        </is>
      </c>
      <c r="E12" s="6" t="inlineStr">
        <is>
          <t>16.8%</t>
        </is>
      </c>
      <c r="F12" s="6" t="inlineStr">
        <is>
          <t>18.6%</t>
        </is>
      </c>
    </row>
    <row r="13">
      <c r="A13" s="6" t="inlineStr">
        <is>
          <t>7 Total capital ratio (%)</t>
        </is>
      </c>
      <c r="B13" s="6" t="inlineStr">
        <is>
          <t>17.0%</t>
        </is>
      </c>
      <c r="C13" s="6" t="inlineStr">
        <is>
          <t>17.5%</t>
        </is>
      </c>
      <c r="D13" s="6" t="inlineStr">
        <is>
          <t>16.4%</t>
        </is>
      </c>
      <c r="E13" s="6" t="inlineStr">
        <is>
          <t>25.4%</t>
        </is>
      </c>
      <c r="F13" s="6" t="inlineStr">
        <is>
          <t>26.1%</t>
        </is>
      </c>
    </row>
    <row r="14">
      <c r="A14" s="5" t="inlineStr">
        <is>
          <t>Additional own funds requirements based on SREP (as a percentage of risk-weighted exposure amount)</t>
        </is>
      </c>
      <c r="B14" s="6" t="n"/>
      <c r="C14" s="6" t="n"/>
      <c r="D14" s="6" t="n"/>
      <c r="E14" s="6" t="n"/>
      <c r="F14" s="6" t="n"/>
    </row>
    <row r="15">
      <c r="A15" s="6" t="inlineStr">
        <is>
          <t>UK 7a Additional CET1 SREP requirements (%)</t>
        </is>
      </c>
      <c r="B15" s="6" t="inlineStr">
        <is>
          <t>1.3%</t>
        </is>
      </c>
      <c r="C15" s="6" t="inlineStr">
        <is>
          <t>1.5%</t>
        </is>
      </c>
      <c r="D15" s="6" t="inlineStr">
        <is>
          <t>1.5%</t>
        </is>
      </c>
      <c r="E15" s="6" t="inlineStr">
        <is>
          <t>1.4%</t>
        </is>
      </c>
      <c r="F15" s="6" t="inlineStr">
        <is>
          <t>1.9%</t>
        </is>
      </c>
    </row>
    <row r="16">
      <c r="A16" s="6" t="inlineStr">
        <is>
          <t>UK 7b Additional AT1 SREP requirements (%)</t>
        </is>
      </c>
      <c r="B16" s="6" t="inlineStr">
        <is>
          <t>0.4%</t>
        </is>
      </c>
      <c r="C16" s="6" t="inlineStr">
        <is>
          <t>0.5%</t>
        </is>
      </c>
      <c r="D16" s="6" t="inlineStr">
        <is>
          <t>0.5%</t>
        </is>
      </c>
      <c r="E16" s="6" t="inlineStr">
        <is>
          <t>0.5%</t>
        </is>
      </c>
      <c r="F16" s="6" t="inlineStr">
        <is>
          <t>0.7%</t>
        </is>
      </c>
    </row>
    <row r="17">
      <c r="A17" s="6" t="inlineStr">
        <is>
          <t>UK 7c Additional T2 SREP requirements (%)</t>
        </is>
      </c>
      <c r="B17" s="6" t="inlineStr">
        <is>
          <t>0.6%</t>
        </is>
      </c>
      <c r="C17" s="6" t="inlineStr">
        <is>
          <t>0.6%</t>
        </is>
      </c>
      <c r="D17" s="6" t="inlineStr">
        <is>
          <t>0.7%</t>
        </is>
      </c>
      <c r="E17" s="6" t="inlineStr">
        <is>
          <t>0.6%</t>
        </is>
      </c>
      <c r="F17" s="6" t="inlineStr">
        <is>
          <t>0.8%</t>
        </is>
      </c>
    </row>
    <row r="18">
      <c r="A18" s="6" t="inlineStr">
        <is>
          <t>UK 7d Total SREP own funds requirements (%)</t>
        </is>
      </c>
      <c r="B18" s="6" t="inlineStr">
        <is>
          <t>10.3%</t>
        </is>
      </c>
      <c r="C18" s="6" t="inlineStr">
        <is>
          <t>10.6%</t>
        </is>
      </c>
      <c r="D18" s="6" t="inlineStr">
        <is>
          <t>10.7%</t>
        </is>
      </c>
      <c r="E18" s="6" t="inlineStr">
        <is>
          <t>10.5%</t>
        </is>
      </c>
      <c r="F18" s="6" t="inlineStr">
        <is>
          <t>11.4%</t>
        </is>
      </c>
    </row>
    <row r="19">
      <c r="A19" s="5" t="inlineStr">
        <is>
          <t>Combined buffer requirement (as a percentage of risk-weighted exposure amount)</t>
        </is>
      </c>
      <c r="B19" s="6" t="n"/>
      <c r="C19" s="6" t="n"/>
      <c r="D19" s="6" t="n"/>
      <c r="E19" s="6" t="n"/>
      <c r="F19" s="6" t="n"/>
    </row>
    <row r="20">
      <c r="A20" s="6" t="inlineStr">
        <is>
          <t>8 Capital conservation buffer (%)</t>
        </is>
      </c>
      <c r="B20" s="6" t="inlineStr">
        <is>
          <t>2.5%</t>
        </is>
      </c>
      <c r="C20" s="6" t="inlineStr">
        <is>
          <t>2.5%</t>
        </is>
      </c>
      <c r="D20" s="6" t="inlineStr">
        <is>
          <t>2.5%</t>
        </is>
      </c>
      <c r="E20" s="6" t="inlineStr">
        <is>
          <t>2.5%</t>
        </is>
      </c>
      <c r="F20" s="6" t="inlineStr">
        <is>
          <t>2.5%</t>
        </is>
      </c>
    </row>
    <row r="21">
      <c r="A21" s="6" t="inlineStr">
        <is>
          <t>9 Institution specific countercyclical capital buffer (%)</t>
        </is>
      </c>
      <c r="B21" s="6" t="inlineStr">
        <is>
          <t>1.9%</t>
        </is>
      </c>
      <c r="C21" s="6" t="inlineStr">
        <is>
          <t>1.9%</t>
        </is>
      </c>
      <c r="D21" s="6" t="inlineStr">
        <is>
          <t>1.9%</t>
        </is>
      </c>
      <c r="E21" s="6" t="inlineStr">
        <is>
          <t>0.9%</t>
        </is>
      </c>
      <c r="F21" s="6" t="inlineStr">
        <is>
          <t>0.0%</t>
        </is>
      </c>
    </row>
    <row r="22">
      <c r="A22" s="6" t="inlineStr">
        <is>
          <t>11 Combined buffer requirement (%)</t>
        </is>
      </c>
      <c r="B22" s="6" t="inlineStr">
        <is>
          <t>4.4%</t>
        </is>
      </c>
      <c r="C22" s="6" t="inlineStr">
        <is>
          <t>4.4%</t>
        </is>
      </c>
      <c r="D22" s="6" t="inlineStr">
        <is>
          <t>4.4%</t>
        </is>
      </c>
      <c r="E22" s="6" t="inlineStr">
        <is>
          <t>3.4%</t>
        </is>
      </c>
      <c r="F22" s="6" t="inlineStr">
        <is>
          <t>2.5%</t>
        </is>
      </c>
    </row>
    <row r="23">
      <c r="A23" s="6" t="inlineStr">
        <is>
          <t>UK 11a Overall capital requirements (%)</t>
        </is>
      </c>
      <c r="B23" s="6" t="inlineStr">
        <is>
          <t>14.7%</t>
        </is>
      </c>
      <c r="C23" s="6" t="inlineStr">
        <is>
          <t>15.0%</t>
        </is>
      </c>
      <c r="D23" s="6" t="inlineStr">
        <is>
          <t>15.1%</t>
        </is>
      </c>
      <c r="E23" s="6" t="inlineStr">
        <is>
          <t>13.9%</t>
        </is>
      </c>
      <c r="F23" s="6" t="inlineStr">
        <is>
          <t>13.9%</t>
        </is>
      </c>
    </row>
    <row r="24">
      <c r="A24" s="6" t="inlineStr">
        <is>
          <t>12 CET1 available after meeting the total SREP own funds requirements (%)</t>
        </is>
      </c>
      <c r="B24" s="6" t="inlineStr">
        <is>
          <t>5.2%</t>
        </is>
      </c>
      <c r="C24" s="6" t="inlineStr">
        <is>
          <t>5.2%</t>
        </is>
      </c>
      <c r="D24" s="6" t="inlineStr">
        <is>
          <t>5.2%</t>
        </is>
      </c>
      <c r="E24" s="6" t="inlineStr">
        <is>
          <t>5.7%</t>
        </is>
      </c>
      <c r="F24" s="6" t="inlineStr">
        <is>
          <t>7.3%</t>
        </is>
      </c>
    </row>
    <row r="25">
      <c r="A25" s="5" t="inlineStr">
        <is>
          <t>Leverage ratio</t>
        </is>
      </c>
      <c r="B25" s="6" t="n"/>
      <c r="C25" s="6" t="n"/>
      <c r="D25" s="6" t="n"/>
      <c r="E25" s="6" t="n"/>
      <c r="F25" s="6" t="n"/>
    </row>
    <row r="26">
      <c r="A26" s="6" t="inlineStr">
        <is>
          <t>13 Total exposure measure excluding claims on central banks (£m)</t>
        </is>
      </c>
      <c r="B26" s="6" t="n">
        <v>42877</v>
      </c>
      <c r="C26" s="6" t="n">
        <v>42687</v>
      </c>
      <c r="D26" s="6" t="n">
        <v>43770</v>
      </c>
      <c r="E26" s="6" t="n">
        <v>48957</v>
      </c>
      <c r="F26" s="6" t="n"/>
    </row>
    <row r="27">
      <c r="A27" s="6" t="inlineStr">
        <is>
          <t>14 Leverage ratio excluding claims on central banks (%)</t>
        </is>
      </c>
      <c r="B27" s="6" t="inlineStr">
        <is>
          <t>5.6%</t>
        </is>
      </c>
      <c r="C27" s="6" t="inlineStr">
        <is>
          <t>5.8%</t>
        </is>
      </c>
      <c r="D27" s="6" t="inlineStr">
        <is>
          <t>5.8%</t>
        </is>
      </c>
      <c r="E27" s="6" t="inlineStr">
        <is>
          <t>6.4%</t>
        </is>
      </c>
      <c r="F27" s="6" t="n"/>
    </row>
    <row r="28">
      <c r="A28" s="5" t="inlineStr">
        <is>
          <t>Additional leverage ratio disclosure requirements (printed empty every year - RBS plc is not an LREQ firm)</t>
        </is>
      </c>
      <c r="B28" s="6" t="n"/>
      <c r="C28" s="6" t="n"/>
      <c r="D28" s="6" t="n"/>
      <c r="E28" s="6" t="n"/>
      <c r="F28" s="6" t="n"/>
    </row>
    <row r="29">
      <c r="A29" s="6" t="inlineStr">
        <is>
          <t>UK 14a Fully loaded ECL accounting model leverage ratio excluding claims on central banks (%)</t>
        </is>
      </c>
      <c r="B29" s="6" t="n"/>
      <c r="C29" s="6" t="n"/>
      <c r="D29" s="6" t="n"/>
      <c r="E29" s="6" t="n"/>
      <c r="F29" s="6" t="n"/>
    </row>
    <row r="30">
      <c r="A30" s="6" t="inlineStr">
        <is>
          <t>UK 14b Leverage ratio including claims on central banks (%)</t>
        </is>
      </c>
      <c r="B30" s="6" t="n"/>
      <c r="C30" s="6" t="n"/>
      <c r="D30" s="6" t="n"/>
      <c r="E30" s="6" t="n"/>
      <c r="F30" s="6" t="n"/>
    </row>
    <row r="31">
      <c r="A31" s="6" t="inlineStr">
        <is>
          <t>UK 14c Average leverage ratio excluding claims on central banks (%)</t>
        </is>
      </c>
      <c r="B31" s="6" t="n"/>
      <c r="C31" s="6" t="n"/>
      <c r="D31" s="6" t="n"/>
      <c r="E31" s="6" t="n"/>
      <c r="F31" s="6" t="n"/>
    </row>
    <row r="32">
      <c r="A32" s="6" t="inlineStr">
        <is>
          <t>UK 14d Average leverage ratio including claims on central banks (%)</t>
        </is>
      </c>
      <c r="B32" s="6" t="n"/>
      <c r="C32" s="6" t="n"/>
      <c r="D32" s="6" t="n"/>
      <c r="E32" s="6" t="n"/>
      <c r="F32" s="6" t="n"/>
    </row>
    <row r="33">
      <c r="A33" s="6" t="inlineStr">
        <is>
          <t>UK 14e Countercyclical leverage ratio buffer (%)</t>
        </is>
      </c>
      <c r="B33" s="6" t="n"/>
      <c r="C33" s="6" t="n"/>
      <c r="D33" s="6" t="n"/>
      <c r="E33" s="6" t="n"/>
      <c r="F33" s="6" t="n"/>
    </row>
    <row r="34">
      <c r="A34" s="5" t="inlineStr">
        <is>
          <t>Liquidity coverage ratio (printed empty every year - UK DoLSub waiver, disclosed at sub-group level)</t>
        </is>
      </c>
      <c r="B34" s="6" t="n"/>
      <c r="C34" s="6" t="n"/>
      <c r="D34" s="6" t="n"/>
      <c r="E34" s="6" t="n"/>
      <c r="F34" s="6" t="n"/>
    </row>
    <row r="35">
      <c r="A35" s="6" t="inlineStr">
        <is>
          <t>15 Total high-quality liquid assets (HQLA) (weighted value-average) (£m)</t>
        </is>
      </c>
      <c r="B35" s="6" t="n"/>
      <c r="C35" s="6" t="n"/>
      <c r="D35" s="6" t="n"/>
      <c r="E35" s="6" t="n"/>
      <c r="F35" s="6" t="n"/>
    </row>
    <row r="36">
      <c r="A36" s="6" t="inlineStr">
        <is>
          <t>UK 16a Cash outflows - Total weighted value (£m)</t>
        </is>
      </c>
      <c r="B36" s="6" t="n"/>
      <c r="C36" s="6" t="n"/>
      <c r="D36" s="6" t="n"/>
      <c r="E36" s="6" t="n"/>
      <c r="F36" s="6" t="n"/>
    </row>
    <row r="37">
      <c r="A37" s="6" t="inlineStr">
        <is>
          <t>UK 16b Cash inflows - Total weighted value (£m)</t>
        </is>
      </c>
      <c r="B37" s="6" t="n"/>
      <c r="C37" s="6" t="n"/>
      <c r="D37" s="6" t="n"/>
      <c r="E37" s="6" t="n"/>
      <c r="F37" s="6" t="n"/>
    </row>
    <row r="38">
      <c r="A38" s="6" t="inlineStr">
        <is>
          <t>16 Total net cash outflows (adjusted value) (£m)</t>
        </is>
      </c>
      <c r="B38" s="6" t="n"/>
      <c r="C38" s="6" t="n"/>
      <c r="D38" s="6" t="n"/>
      <c r="E38" s="6" t="n"/>
      <c r="F38" s="6" t="n"/>
    </row>
    <row r="39">
      <c r="A39" s="6" t="inlineStr">
        <is>
          <t>17 Liquidity coverage ratio (%)</t>
        </is>
      </c>
      <c r="B39" s="6" t="n"/>
      <c r="C39" s="6" t="n"/>
      <c r="D39" s="6" t="n"/>
      <c r="E39" s="6" t="n"/>
      <c r="F39" s="6" t="n"/>
    </row>
    <row r="40">
      <c r="A40" s="5" t="inlineStr">
        <is>
          <t>Net stable funding ratio (printed empty every year - UK DoLSub waiver, disclosed at sub-group level)</t>
        </is>
      </c>
      <c r="B40" s="6" t="n"/>
      <c r="C40" s="6" t="n"/>
      <c r="D40" s="6" t="n"/>
      <c r="E40" s="6" t="n"/>
      <c r="F40" s="6" t="n"/>
    </row>
    <row r="41">
      <c r="A41" s="6" t="inlineStr">
        <is>
          <t>18 Total available stable funding (£m)</t>
        </is>
      </c>
      <c r="B41" s="6" t="n"/>
      <c r="C41" s="6" t="n"/>
      <c r="D41" s="6" t="n"/>
      <c r="E41" s="6" t="n"/>
      <c r="F41" s="6" t="n"/>
    </row>
    <row r="42">
      <c r="A42" s="6" t="inlineStr">
        <is>
          <t>19 Total required stable funding (£m)</t>
        </is>
      </c>
      <c r="B42" s="6" t="n"/>
      <c r="C42" s="6" t="n"/>
      <c r="D42" s="6" t="n"/>
      <c r="E42" s="6" t="n"/>
      <c r="F42" s="6" t="n"/>
    </row>
    <row r="43">
      <c r="A43" s="6" t="inlineStr">
        <is>
          <t>20 NSFR ratio (%)</t>
        </is>
      </c>
      <c r="B43" s="6" t="n"/>
      <c r="C43" s="6" t="n"/>
      <c r="D43" s="6" t="n"/>
      <c r="E43" s="6" t="n"/>
      <c r="F43" s="6" t="n"/>
    </row>
    <row r="45" ht="409" customHeight="1">
      <c r="A45" s="8" t="inlineStr">
        <is>
          <t>Sources - RBS plc's own Pillar 3 Report, table 'UK KM1: Key metrics' in 'Annex I: Key metrics and overview of risk-weighted assets', RBS plc entity basis, £m. Each annual edition prints five columns (the four quarter-ends of its own year and the prior 31 December); this sheet takes each year's 31 DECEMBER column from that year's OWN edition:
FY2025: RBS plc Pillar 3 Report 2025, printed p.6 - https://investors.natwestgroup.com/~/media/Files/R/RBS-IR-V2/results-center/13022026/rbs-pillar-3-report.pdf
FY2024: RBS plc Pillar 3 Report 2024, printed p.7 - https://investors.natwestgroup.com/~/media/Files/R/RBS-IR-V2/results-center/14022025/rbs-plc-pillar-3-report.pdf
FY2023: RBS plc Pillar 3 Report 2023, printed p.7 - https://investors.natwestgroup.com/~/media/Files/R/RBS-IR-V2/results-center/16022024/rbs-plc-pillar-3-report.pdf
FY2022: RBS plc Pillar 3 Report 2022, printed p.7 - https://investors.natwestgroup.com/~/media/Files/R/RBS-IR-V2/results-center/17022023/rbs-plc-pillar-3-report.pdf
FY2021: FILLED FROM A LATER EDITION'S COMPARATIVE - the 31 December 2021 column of the FY2022 edition, printed p.7 - https://investors.natwestgroup.com/~/media/Files/R/RBS-IR-V2/results-center/17022023/rbs-plc-pillar-3-report.pdf. RBS plc published no Pillar 3 Report of its own for FY2021: the NatWest Group results-day document set of 18 February 2022 contains Pillar 3 reports for NatWest Group, NatWest Holdings and Ulster Bank Ireland DAC, and an RBS plc Annual Report, but no RBS plc Pillar 3 report; the FY2022 edition (17 February 2023) is the first RBS plc Pillar 3 Report published. Rows 13 and 14 are printed for the four 2022 quarter-ends only in that table, so leverage is blank for FY2021 here.
ROWS THE BANK PRINTS EMPTY, AND WHY IT SAYS THEY ARE EMPTY:
- Rows 15-17 (LCR) and 18-20 (NSFR) carry no figures in any edition. Every edition footnotes the two blocks: 'Under the UK DoLSub waiver RBS plc liquidity is managed and disclosed at the sub-group level rather than entity level'. This is a disclosure made at another level, not a missing figure; the UK DoLSub sub-group numbers are on the LCR and NSFR metric sheets.
- Rows UK 14a-14e carry no figures in any edition, footnoted 'RBS plc is not an LREQ firm therefore not subject to the additional leverage ratio disclosure requirements'.
- Rows UK 8a, UK 9a, 10 and UK 10a are NOT PRINTED at all and so do not appear on this sheet. The FY2022, FY2024 and FY2025 editions say 'The following rows are not presented in the table above as not applicable: UK8a, UK9a, 10 and UK10a'; the FY2023 edition words it 'because they have zero values'.
A SOURCE DEFECT, RECORDED NOT CORRECTED: the FY2023 edition's fifth column is headed '31 December 2021' but carries 31 December 2022 figures. Every value in it (CET1 2,149; Tier 1 3,119; total capital 4,715; RWAs 18,540; ratios 11.6/16.8/25.4; leverage exposure 48,957 and 6.4%) reproduces the FY2022 edition's own 31 December 2022 column exactly, and none of them is that edition's 31 December 2021 column (CET1 2,682; RWAs 19,592; ratios 13.7/18.6/26.1). The mislabelled column is not used here - FY2022 comes from the FY2022 edition and FY2021 from the FY2022 edition's 2021 column - and no figure has been moved to make the header true.
Row 9 for FY2021 is a PRINTED ZERO ('0.0'), not a dash, and is kept as zero.
LATEST-EDITION CHECK, RE-RUN AND CORRECTED 2026-09-18. The newest RBS plc ANNUAL Pillar 3 Report is the 2025 edition published 13 February 2026, already used here, and the newest annual report is the RBS plc Annual Report and Accounts 2025 of the same date - so the FY2025 columns above are current. RBS plc's year-end is 31 December, so FY2026 had not closed at the date of this check.</t>
        </is>
      </c>
    </row>
    <row r="47" ht="409" customHeight="1">
      <c r="A47" s="8" t="inlineStr">
        <is>
          <t>(continued)
Two claims made by the 2026-09-17 version of this note are corrected here rather than left standing. It said 'no half-year 2026 edition was found': one exists. RBS plc published an 'H1 2026 Pillar 3' on 12 August 2026 (https://investors.natwestgroup.com/~/media/Files/R/RBS-IR-V2/results-center/12082026/rbs-pillar-3-hy-2026.pdf), whose cover names The Royal Bank of Scotland plc and whose contents list 'UK KM1: Key metrics' - a half-year KM1 for 30 June 2026. It also said a quarterly RBS plc Pillar 3 report for Q1 2026 exists; a full enumeration of the 1 May 2026 results folder on 2026-09-18 found nine documents, all of them NatWest Group or NatWest Markets, and no RBS plc entry. The earlier claim could not be reproduced and should not be relied on without re-checking.
THE H1 2026 EDITION IS DELIBERATELY NOT TRANSCRIBED HERE, and the omission is not an oversight. It reports a half-year date rather than a financial year-end, so it extends no column on this sheet; and this workbook carries no 'Interim Pillar 3' sheet, which is where a half-year disclosure belongs. Adding one for RBS plc is an open opportunity, not a gap in this sheet's year coverage.
A FILENAME TRAP FOR WHOEVER CHECKS NEXT: NatWest's current filenames drop the '-plc', so 'rbs-pillar-3-report.pdf' is the RBS plc document while 'rbs-plc-pillar-3-report.pdf' 404s in the 2026 folders. That 404 is an artefact of the naming change, not evidence of absence. Each results folder carries seven parallel entities (nwg-, nwh-, nwb-, nwm-, coutts-co-, rbsh-nv-, rbsi-); only the 'rbs-' files carry an RBS plc cover, and the RBS plc Pillar 3 appendix states outright that it covers 'The Royal Bank of Scotland plc ("RBS plc"), a subsidiary of NatWest Holdings Limited' - the modern entity, not the historic one now named NatWest Markets Plc.
THE EMPTY LCR AND NSFR BLOCKS ARE CORROBORATED BY THE PRA'S OWN REGISTER, not only by the editions' own footnote. The Bank of England consolidated waivers register, read 2026-09-18, records The Royal Bank of Scotland Public Limited Company (FRN 114724) holding a 'DolSub permission' under Permissions and Waivers (CRR Firms) rule 2.2, running 01/01/2022 to 01/03/2027. That is a permission to meet and report liquidity at the sub-group level, and its window covers every year on this sheet from FY2022 onward. It confirms the figures are disclosed somewhere else rather than not at all - they are on the LCR and NSFR metric sheets on the UK DoLSub basis - which is a stronger statement than 'not disclosed'.
ENTITY NOTE: The Royal Bank of Scotland Public Limited Company ('RBS plc', company number SC083026, FRN 114724, LEI 549300WHU4EIHRP28H10) is a large, PRA-authorised subsidiary of NatWest Group plc (formerly The Royal Bank of Scotland Group plc). IMPORTANT LINEAGE NOTE: company SC083026 was originally incorporated on 9 May 1983 as 'Adam &amp; Company Public Limited Company' (a private banking subsidiary) and was renamed 'The Royal Bank of Scotland Public Limited Company' on 29 April 2018, as part of the ring-fencing reforms that split NatWest Group's retail/commercial banking (ring-fenced) from investment banking (non-ring-fenced) activities. The pre-2018 entity that historically traded as 'The Royal Bank of Scotland plc' (the 1727-founded bank, formerly the whole group's principal operating subsidiary) was itself renamed 'NatWest Markets Plc' at the same time and continues today as NatWest Group's investment banking subsidiary - it is NOT the entity covered by this workbook. This workbook covers the entity that currently and continuously holds the exact name 'The Royal Bank of Scotland Public Limited Company' (confirmed via Companies House and the FCA/PRA Financial Services Register, and matching the FRN and LEI listed in this project's source bank list) - i.e. the ring-fenced retail/commercial banking entity operating under the RBS brand in Scotland and Northern Ireland, not the original historic RBS legal entity. Flagged here prominently given the scale of the institution and the potential for this lineage to be confused with NatWest Markets Plc.</t>
        </is>
      </c>
    </row>
    <row r="49" ht="409" customHeight="1">
      <c r="A49" s="8" t="inlineStr">
        <is>
          <t>(continued)
RBS plc is a member of the 'UK DoLSub' (UK Domestic Liquidity Sub-Group) alongside National Westminster Bank Plc and Coutts &amp; Company; under a PRA waiver, liquidity (LCR/NSFR) is managed and disclosed at this sub-group level rather than at the individual RBS plc entity level - the LCR/NSFR figures on those sheets are UK DoLSub figures, consistently across every year in this workbook, not RBS plc solo. From FY2024 onward, RBS plc's own Annual Report and Pillar 3 Report no longer state a numeric UK DoLSub LCR/NSFR at all (that disclosure moved entirely to NatWest Holdings Group's own reports) - so FY2024/FY2025 are not a gap in RBS plc's own reporting. The UK DoLSub is a liquidity sub-group of which RBS plc is a constituent, NOT the NatWest Holdings Group or NatWest Group consolidated entity; taking the UK DoLSub figure from a NatWest Holdings Group document therefore continues the same sub-group measure this workbook has always used, and is not a substitution of a parent-group figure into an entity-level sheet. FY2024 UK DoLSub spot LCR/NSFR are recorded on that basis. FY2025 spot is genuinely unpublished - NatWest Holdings Group dropped the Spot column from FY2025 and now reports these metrics on an average basis only - so the FY2025 figures appear on the separate average-basis row instead. See the LCR sheet note for the spot-vs-average distinction, which is material (11 points apart for FY2023).</t>
        </is>
      </c>
    </row>
  </sheetData>
  <mergeCells count="3">
    <mergeCell ref="A49:F49"/>
    <mergeCell ref="A45:F45"/>
    <mergeCell ref="A47:F47"/>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s>
  <sheetData>
    <row r="1">
      <c r="A1" s="1" t="inlineStr">
        <is>
          <t>The Royal Bank of Scotland Public Limited Company — CET1 Capital</t>
        </is>
      </c>
    </row>
    <row r="2">
      <c r="A2" s="2" t="inlineStr">
        <is>
          <t>£m</t>
        </is>
      </c>
    </row>
    <row r="3">
      <c r="A3" s="4" t="inlineStr">
        <is>
          <t>Metric</t>
        </is>
      </c>
      <c r="B3" s="4" t="inlineStr">
        <is>
          <t>FY2025</t>
        </is>
      </c>
      <c r="C3" s="4" t="inlineStr">
        <is>
          <t>FY2024</t>
        </is>
      </c>
      <c r="D3" s="4" t="inlineStr">
        <is>
          <t>FY2023</t>
        </is>
      </c>
      <c r="E3" s="4" t="inlineStr">
        <is>
          <t>FY2022</t>
        </is>
      </c>
      <c r="F3" s="4" t="inlineStr">
        <is>
          <t>FY2021</t>
        </is>
      </c>
    </row>
    <row r="4">
      <c r="A4" s="6" t="inlineStr">
        <is>
          <t>Common Equity Tier 1 (CET1) capital</t>
        </is>
      </c>
      <c r="B4" s="6" t="n">
        <v>1905</v>
      </c>
      <c r="C4" s="6" t="n">
        <v>1956</v>
      </c>
      <c r="D4" s="6" t="n">
        <v>2042</v>
      </c>
      <c r="E4" s="6" t="n">
        <v>2149</v>
      </c>
      <c r="F4" s="6" t="n">
        <v>2682</v>
      </c>
    </row>
    <row r="6" ht="195" customHeight="1">
      <c r="A6" s="8" t="inlineStr">
        <is>
          <t>Sources - RBS plc entity-level basis (PRA transitional basis):
FY2025: RBS plc Pillar 3 Report 2025, p.6 (UK KM1: Key metrics) - https://investors.natwestgroup.com/~/media/Files/R/RBS-IR-V2/results-center/13022026/rbs-pillar-3-report.pdf
FY2024: RBS plc Pillar 3 Report 2024, p.7 (UK KM1: Key metrics) - https://investors.natwestgroup.com/~/media/Files/R/RBS-IR-V2/results-center/14022025/rbs-plc-pillar-3-report.pdf
FY2023: RBS plc Pillar 3 Report 2023, p.7 (UK KM1: Key metrics) - https://investors.natwestgroup.com/~/media/Files/R/RBS-IR-V2/results-center/16022024/rbs-plc-pillar-3-report.pdf
FY2022: RBS plc Annual Report and Accounts 2023, p.57 ('AR own-report 'Capital, RWAs and leverage' table (Risk and capital management section)', FY2022 comparative column - RBS plc's own FY2022 Annual Report p.61/p.124 gives the CET1 capital, CET1 ratio, RWA and leverage figures directly but not a single consolidated Tier 1%/Total%/Total capital table; the FY2023 report's own comparative column supplies those, and was independently cross-checked against the matching column in RBS plc Pillar 3 Report 2023's UK KM1 table, which agrees exactly) - https://investors.natwestgroup.com/~/media/Files/R/RBS-IR-V2/results-center/16022024/rbs-plc-annual-report.pdf
FY2021: RBS plc Annual Report and Accounts 2021, p.61 ('AR own-report 'Capital, RWAs and leverage' table (Risk and capital management section)') - https://investors.natwestgroup.com/~/media/Files/R/RBS-IR-V2/results-center/18022022/rbs-plc-annual-report-2021.pdf
No standalone RBS plc Pillar 3 Report exists for FY2021/FY2022 (RBS plc's large-subsidiary Pillar 3 disclosures were embedded within the wider NatWest Holdings Group Pillar 3 Report those years); RBS plc began publishing its own standalone Pillar 3 Report from FY2023 onward. Ratios prior to FY2025 include an IFRS 9 transitional adjustment for ECL provisions (ceased 1 January 2025) - see each source document's own footnotes for the equivalent fully-loaded figures.</t>
        </is>
      </c>
    </row>
  </sheetData>
  <mergeCells count="1">
    <mergeCell ref="A6:F6"/>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s>
  <sheetData>
    <row r="1">
      <c r="A1" s="1" t="inlineStr">
        <is>
          <t>The Royal Bank of Scotland Public Limited Company — CET1 Ratio</t>
        </is>
      </c>
    </row>
    <row r="2">
      <c r="A2" s="2" t="inlineStr">
        <is>
          <t>% of RWA</t>
        </is>
      </c>
    </row>
    <row r="3">
      <c r="A3" s="4" t="inlineStr">
        <is>
          <t>Metric</t>
        </is>
      </c>
      <c r="B3" s="4" t="inlineStr">
        <is>
          <t>FY2025</t>
        </is>
      </c>
      <c r="C3" s="4" t="inlineStr">
        <is>
          <t>FY2024</t>
        </is>
      </c>
      <c r="D3" s="4" t="inlineStr">
        <is>
          <t>FY2023</t>
        </is>
      </c>
      <c r="E3" s="4" t="inlineStr">
        <is>
          <t>FY2022</t>
        </is>
      </c>
      <c r="F3" s="4" t="inlineStr">
        <is>
          <t>FY2021</t>
        </is>
      </c>
    </row>
    <row r="4">
      <c r="A4" s="6" t="inlineStr">
        <is>
          <t>Common Equity Tier 1 (CET1) ratio</t>
        </is>
      </c>
      <c r="B4" s="6" t="inlineStr">
        <is>
          <t>11.0%</t>
        </is>
      </c>
      <c r="C4" s="6" t="inlineStr">
        <is>
          <t>11.1%</t>
        </is>
      </c>
      <c r="D4" s="6" t="inlineStr">
        <is>
          <t>11.2%</t>
        </is>
      </c>
      <c r="E4" s="6" t="inlineStr">
        <is>
          <t>11.6%</t>
        </is>
      </c>
      <c r="F4" s="6" t="inlineStr">
        <is>
          <t>13.7%</t>
        </is>
      </c>
    </row>
    <row r="6" ht="195" customHeight="1">
      <c r="A6" s="8" t="inlineStr">
        <is>
          <t>Sources - RBS plc entity-level basis (PRA transitional basis):
FY2025: RBS plc Pillar 3 Report 2025, p.6 (UK KM1: Key metrics) - https://investors.natwestgroup.com/~/media/Files/R/RBS-IR-V2/results-center/13022026/rbs-pillar-3-report.pdf
FY2024: RBS plc Pillar 3 Report 2024, p.7 (UK KM1: Key metrics) - https://investors.natwestgroup.com/~/media/Files/R/RBS-IR-V2/results-center/14022025/rbs-plc-pillar-3-report.pdf
FY2023: RBS plc Pillar 3 Report 2023, p.7 (UK KM1: Key metrics) - https://investors.natwestgroup.com/~/media/Files/R/RBS-IR-V2/results-center/16022024/rbs-plc-pillar-3-report.pdf
FY2022: RBS plc Annual Report and Accounts 2023, p.57 ('AR own-report 'Capital, RWAs and leverage' table (Risk and capital management section)', FY2022 comparative column - RBS plc's own FY2022 Annual Report p.61/p.124 gives the CET1 capital, CET1 ratio, RWA and leverage figures directly but not a single consolidated Tier 1%/Total%/Total capital table; the FY2023 report's own comparative column supplies those, and was independently cross-checked against the matching column in RBS plc Pillar 3 Report 2023's UK KM1 table, which agrees exactly) - https://investors.natwestgroup.com/~/media/Files/R/RBS-IR-V2/results-center/16022024/rbs-plc-annual-report.pdf
FY2021: RBS plc Annual Report and Accounts 2021, p.61 ('AR own-report 'Capital, RWAs and leverage' table (Risk and capital management section)') - https://investors.natwestgroup.com/~/media/Files/R/RBS-IR-V2/results-center/18022022/rbs-plc-annual-report-2021.pdf
No standalone RBS plc Pillar 3 Report exists for FY2021/FY2022 (RBS plc's large-subsidiary Pillar 3 disclosures were embedded within the wider NatWest Holdings Group Pillar 3 Report those years); RBS plc began publishing its own standalone Pillar 3 Report from FY2023 onward. Ratios prior to FY2025 include an IFRS 9 transitional adjustment for ECL provisions (ceased 1 January 2025) - see each source document's own footnotes for the equivalent fully-loaded figures.</t>
        </is>
      </c>
    </row>
  </sheetData>
  <mergeCells count="1">
    <mergeCell ref="A6:F6"/>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s>
  <sheetData>
    <row r="1">
      <c r="A1" s="1" t="inlineStr">
        <is>
          <t>The Royal Bank of Scotland Public Limited Company — Tier 1 Capital</t>
        </is>
      </c>
    </row>
    <row r="2">
      <c r="A2" s="2" t="inlineStr">
        <is>
          <t>£m</t>
        </is>
      </c>
    </row>
    <row r="3">
      <c r="A3" s="4" t="inlineStr">
        <is>
          <t>Metric</t>
        </is>
      </c>
      <c r="B3" s="4" t="inlineStr">
        <is>
          <t>FY2025</t>
        </is>
      </c>
      <c r="C3" s="4" t="inlineStr">
        <is>
          <t>FY2024</t>
        </is>
      </c>
      <c r="D3" s="4" t="inlineStr">
        <is>
          <t>FY2023</t>
        </is>
      </c>
      <c r="E3" s="4" t="inlineStr">
        <is>
          <t>FY2022</t>
        </is>
      </c>
      <c r="F3" s="4" t="inlineStr">
        <is>
          <t>FY2021</t>
        </is>
      </c>
    </row>
    <row r="4">
      <c r="A4" s="6" t="inlineStr">
        <is>
          <t>Tier 1 capital</t>
        </is>
      </c>
      <c r="B4" s="6" t="n">
        <v>2405</v>
      </c>
      <c r="C4" s="6" t="n">
        <v>2456</v>
      </c>
      <c r="D4" s="6" t="n">
        <v>2542</v>
      </c>
      <c r="E4" s="6" t="n">
        <v>3119</v>
      </c>
      <c r="F4" s="6" t="n">
        <v>3651</v>
      </c>
    </row>
    <row r="6" ht="195" customHeight="1">
      <c r="A6" s="8" t="inlineStr">
        <is>
          <t>Sources - RBS plc entity-level basis (PRA transitional basis):
FY2025: RBS plc Pillar 3 Report 2025, p.6 (UK KM1: Key metrics) - https://investors.natwestgroup.com/~/media/Files/R/RBS-IR-V2/results-center/13022026/rbs-pillar-3-report.pdf
FY2024: RBS plc Pillar 3 Report 2024, p.7 (UK KM1: Key metrics) - https://investors.natwestgroup.com/~/media/Files/R/RBS-IR-V2/results-center/14022025/rbs-plc-pillar-3-report.pdf
FY2023: RBS plc Pillar 3 Report 2023, p.7 (UK KM1: Key metrics) - https://investors.natwestgroup.com/~/media/Files/R/RBS-IR-V2/results-center/16022024/rbs-plc-pillar-3-report.pdf
FY2022: RBS plc Annual Report and Accounts 2023, p.57 ('AR own-report 'Capital, RWAs and leverage' table (Risk and capital management section)', FY2022 comparative column - RBS plc's own FY2022 Annual Report p.61/p.124 gives the CET1 capital, CET1 ratio, RWA and leverage figures directly but not a single consolidated Tier 1%/Total%/Total capital table; the FY2023 report's own comparative column supplies those, and was independently cross-checked against the matching column in RBS plc Pillar 3 Report 2023's UK KM1 table, which agrees exactly) - https://investors.natwestgroup.com/~/media/Files/R/RBS-IR-V2/results-center/16022024/rbs-plc-annual-report.pdf
FY2021: RBS plc Annual Report and Accounts 2021, p.61 ('AR own-report 'Capital, RWAs and leverage' table (Risk and capital management section)') - https://investors.natwestgroup.com/~/media/Files/R/RBS-IR-V2/results-center/18022022/rbs-plc-annual-report-2021.pdf
No standalone RBS plc Pillar 3 Report exists for FY2021/FY2022 (RBS plc's large-subsidiary Pillar 3 disclosures were embedded within the wider NatWest Holdings Group Pillar 3 Report those years); RBS plc began publishing its own standalone Pillar 3 Report from FY2023 onward. Ratios prior to FY2025 include an IFRS 9 transitional adjustment for ECL provisions (ceased 1 January 2025) - see each source document's own footnotes for the equivalent fully-loaded figures.</t>
        </is>
      </c>
    </row>
  </sheetData>
  <mergeCells count="1">
    <mergeCell ref="A6:F6"/>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s>
  <sheetData>
    <row r="1">
      <c r="A1" s="1" t="inlineStr">
        <is>
          <t>The Royal Bank of Scotland Public Limited Company — Tier 1 Ratio</t>
        </is>
      </c>
    </row>
    <row r="2">
      <c r="A2" s="2" t="inlineStr">
        <is>
          <t>% of RWA</t>
        </is>
      </c>
    </row>
    <row r="3">
      <c r="A3" s="4" t="inlineStr">
        <is>
          <t>Metric</t>
        </is>
      </c>
      <c r="B3" s="4" t="inlineStr">
        <is>
          <t>FY2025</t>
        </is>
      </c>
      <c r="C3" s="4" t="inlineStr">
        <is>
          <t>FY2024</t>
        </is>
      </c>
      <c r="D3" s="4" t="inlineStr">
        <is>
          <t>FY2023</t>
        </is>
      </c>
      <c r="E3" s="4" t="inlineStr">
        <is>
          <t>FY2022</t>
        </is>
      </c>
      <c r="F3" s="4" t="inlineStr">
        <is>
          <t>FY2021</t>
        </is>
      </c>
    </row>
    <row r="4">
      <c r="A4" s="6" t="inlineStr">
        <is>
          <t>Tier 1 ratio</t>
        </is>
      </c>
      <c r="B4" s="6" t="inlineStr">
        <is>
          <t>13.8%</t>
        </is>
      </c>
      <c r="C4" s="6" t="inlineStr">
        <is>
          <t>14.0%</t>
        </is>
      </c>
      <c r="D4" s="6" t="inlineStr">
        <is>
          <t>13.9%</t>
        </is>
      </c>
      <c r="E4" s="6" t="inlineStr">
        <is>
          <t>16.8%</t>
        </is>
      </c>
      <c r="F4" s="6" t="inlineStr">
        <is>
          <t>18.6%</t>
        </is>
      </c>
    </row>
    <row r="6" ht="195" customHeight="1">
      <c r="A6" s="8" t="inlineStr">
        <is>
          <t>Sources - RBS plc entity-level basis (PRA transitional basis):
FY2025: RBS plc Pillar 3 Report 2025, p.6 (UK KM1: Key metrics) - https://investors.natwestgroup.com/~/media/Files/R/RBS-IR-V2/results-center/13022026/rbs-pillar-3-report.pdf
FY2024: RBS plc Pillar 3 Report 2024, p.7 (UK KM1: Key metrics) - https://investors.natwestgroup.com/~/media/Files/R/RBS-IR-V2/results-center/14022025/rbs-plc-pillar-3-report.pdf
FY2023: RBS plc Pillar 3 Report 2023, p.7 (UK KM1: Key metrics) - https://investors.natwestgroup.com/~/media/Files/R/RBS-IR-V2/results-center/16022024/rbs-plc-pillar-3-report.pdf
FY2022: RBS plc Annual Report and Accounts 2023, p.57 ('AR own-report 'Capital, RWAs and leverage' table (Risk and capital management section)', FY2022 comparative column - RBS plc's own FY2022 Annual Report p.61/p.124 gives the CET1 capital, CET1 ratio, RWA and leverage figures directly but not a single consolidated Tier 1%/Total%/Total capital table; the FY2023 report's own comparative column supplies those, and was independently cross-checked against the matching column in RBS plc Pillar 3 Report 2023's UK KM1 table, which agrees exactly) - https://investors.natwestgroup.com/~/media/Files/R/RBS-IR-V2/results-center/16022024/rbs-plc-annual-report.pdf
FY2021: RBS plc Annual Report and Accounts 2021, p.61 ('AR own-report 'Capital, RWAs and leverage' table (Risk and capital management section)') - https://investors.natwestgroup.com/~/media/Files/R/RBS-IR-V2/results-center/18022022/rbs-plc-annual-report-2021.pdf
No standalone RBS plc Pillar 3 Report exists for FY2021/FY2022 (RBS plc's large-subsidiary Pillar 3 disclosures were embedded within the wider NatWest Holdings Group Pillar 3 Report those years); RBS plc began publishing its own standalone Pillar 3 Report from FY2023 onward. Ratios prior to FY2025 include an IFRS 9 transitional adjustment for ECL provisions (ceased 1 January 2025) - see each source document's own footnotes for the equivalent fully-loaded figures.</t>
        </is>
      </c>
    </row>
  </sheetData>
  <mergeCells count="1">
    <mergeCell ref="A6:F6"/>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s>
  <sheetData>
    <row r="1">
      <c r="A1" s="1" t="inlineStr">
        <is>
          <t>The Royal Bank of Scotland Public Limited Company — Total Capital</t>
        </is>
      </c>
    </row>
    <row r="2">
      <c r="A2" s="2" t="inlineStr">
        <is>
          <t>£m</t>
        </is>
      </c>
    </row>
    <row r="3">
      <c r="A3" s="4" t="inlineStr">
        <is>
          <t>Metric</t>
        </is>
      </c>
      <c r="B3" s="4" t="inlineStr">
        <is>
          <t>FY2025</t>
        </is>
      </c>
      <c r="C3" s="4" t="inlineStr">
        <is>
          <t>FY2024</t>
        </is>
      </c>
      <c r="D3" s="4" t="inlineStr">
        <is>
          <t>FY2023</t>
        </is>
      </c>
      <c r="E3" s="4" t="inlineStr">
        <is>
          <t>FY2022</t>
        </is>
      </c>
      <c r="F3" s="4" t="inlineStr">
        <is>
          <t>FY2021</t>
        </is>
      </c>
    </row>
    <row r="4">
      <c r="A4" s="6" t="inlineStr">
        <is>
          <t>Total capital</t>
        </is>
      </c>
      <c r="B4" s="6" t="n">
        <v>2955</v>
      </c>
      <c r="C4" s="6" t="n">
        <v>3080</v>
      </c>
      <c r="D4" s="6" t="n">
        <v>2998</v>
      </c>
      <c r="E4" s="6" t="n">
        <v>4715</v>
      </c>
      <c r="F4" s="6" t="n">
        <v>5106</v>
      </c>
    </row>
    <row r="6" ht="195" customHeight="1">
      <c r="A6" s="8" t="inlineStr">
        <is>
          <t>Sources - RBS plc entity-level basis (PRA transitional basis):
FY2025: RBS plc Pillar 3 Report 2025, p.6 (UK KM1: Key metrics) - https://investors.natwestgroup.com/~/media/Files/R/RBS-IR-V2/results-center/13022026/rbs-pillar-3-report.pdf
FY2024: RBS plc Pillar 3 Report 2024, p.7 (UK KM1: Key metrics) - https://investors.natwestgroup.com/~/media/Files/R/RBS-IR-V2/results-center/14022025/rbs-plc-pillar-3-report.pdf
FY2023: RBS plc Pillar 3 Report 2023, p.7 (UK KM1: Key metrics) - https://investors.natwestgroup.com/~/media/Files/R/RBS-IR-V2/results-center/16022024/rbs-plc-pillar-3-report.pdf
FY2022: RBS plc Annual Report and Accounts 2023, p.57 ('AR own-report 'Capital, RWAs and leverage' table (Risk and capital management section)', FY2022 comparative column - RBS plc's own FY2022 Annual Report p.61/p.124 gives the CET1 capital, CET1 ratio, RWA and leverage figures directly but not a single consolidated Tier 1%/Total%/Total capital table; the FY2023 report's own comparative column supplies those, and was independently cross-checked against the matching column in RBS plc Pillar 3 Report 2023's UK KM1 table, which agrees exactly) - https://investors.natwestgroup.com/~/media/Files/R/RBS-IR-V2/results-center/16022024/rbs-plc-annual-report.pdf
FY2021: RBS plc Annual Report and Accounts 2021, p.61 ('AR own-report 'Capital, RWAs and leverage' table (Risk and capital management section)') - https://investors.natwestgroup.com/~/media/Files/R/RBS-IR-V2/results-center/18022022/rbs-plc-annual-report-2021.pdf
No standalone RBS plc Pillar 3 Report exists for FY2021/FY2022 (RBS plc's large-subsidiary Pillar 3 disclosures were embedded within the wider NatWest Holdings Group Pillar 3 Report those years); RBS plc began publishing its own standalone Pillar 3 Report from FY2023 onward. Ratios prior to FY2025 include an IFRS 9 transitional adjustment for ECL provisions (ceased 1 January 2025) - see each source document's own footnotes for the equivalent fully-loaded figures.</t>
        </is>
      </c>
    </row>
  </sheetData>
  <mergeCells count="1">
    <mergeCell ref="A6:F6"/>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s>
  <sheetData>
    <row r="1">
      <c r="A1" s="1" t="inlineStr">
        <is>
          <t>The Royal Bank of Scotland Public Limited Company — Total Capital Ratio</t>
        </is>
      </c>
    </row>
    <row r="2">
      <c r="A2" s="2" t="inlineStr">
        <is>
          <t>% of RWA</t>
        </is>
      </c>
    </row>
    <row r="3">
      <c r="A3" s="4" t="inlineStr">
        <is>
          <t>Metric</t>
        </is>
      </c>
      <c r="B3" s="4" t="inlineStr">
        <is>
          <t>FY2025</t>
        </is>
      </c>
      <c r="C3" s="4" t="inlineStr">
        <is>
          <t>FY2024</t>
        </is>
      </c>
      <c r="D3" s="4" t="inlineStr">
        <is>
          <t>FY2023</t>
        </is>
      </c>
      <c r="E3" s="4" t="inlineStr">
        <is>
          <t>FY2022</t>
        </is>
      </c>
      <c r="F3" s="4" t="inlineStr">
        <is>
          <t>FY2021</t>
        </is>
      </c>
    </row>
    <row r="4">
      <c r="A4" s="6" t="inlineStr">
        <is>
          <t>Total capital ratio</t>
        </is>
      </c>
      <c r="B4" s="6" t="inlineStr">
        <is>
          <t>17.0%</t>
        </is>
      </c>
      <c r="C4" s="6" t="inlineStr">
        <is>
          <t>17.5%</t>
        </is>
      </c>
      <c r="D4" s="6" t="inlineStr">
        <is>
          <t>16.4%</t>
        </is>
      </c>
      <c r="E4" s="6" t="inlineStr">
        <is>
          <t>25.4%</t>
        </is>
      </c>
      <c r="F4" s="6" t="inlineStr">
        <is>
          <t>26.1%</t>
        </is>
      </c>
    </row>
    <row r="5" ht="39" customHeight="1">
      <c r="A5" s="7" t="inlineStr">
        <is>
          <t>Note: FY2022 to FY2023 shows a large apparent drop (25.4% to 16.4%) alongside Total capital falling from £4,715m to £2,998m - both figures are as independently stated in each year's own primary source and are internally consistent with that year's own CET1/Tier1/RWA figures (Tier 2 capital fell sharply, from £1,596m-equivalent to £456m, i.e. a real reduction in subordinated debt outstanding - RBS plc redeemed £1,059m of subordinated liabilities in FY2023, see Cash Flow Statement financing activities). Not a data error.</t>
        </is>
      </c>
    </row>
    <row r="7" ht="195" customHeight="1">
      <c r="A7" s="8" t="inlineStr">
        <is>
          <t>Sources - RBS plc entity-level basis (PRA transitional basis):
FY2025: RBS plc Pillar 3 Report 2025, p.6 (UK KM1: Key metrics) - https://investors.natwestgroup.com/~/media/Files/R/RBS-IR-V2/results-center/13022026/rbs-pillar-3-report.pdf
FY2024: RBS plc Pillar 3 Report 2024, p.7 (UK KM1: Key metrics) - https://investors.natwestgroup.com/~/media/Files/R/RBS-IR-V2/results-center/14022025/rbs-plc-pillar-3-report.pdf
FY2023: RBS plc Pillar 3 Report 2023, p.7 (UK KM1: Key metrics) - https://investors.natwestgroup.com/~/media/Files/R/RBS-IR-V2/results-center/16022024/rbs-plc-pillar-3-report.pdf
FY2022: RBS plc Annual Report and Accounts 2023, p.57 ('AR own-report 'Capital, RWAs and leverage' table (Risk and capital management section)', FY2022 comparative column - RBS plc's own FY2022 Annual Report p.61/p.124 gives the CET1 capital, CET1 ratio, RWA and leverage figures directly but not a single consolidated Tier 1%/Total%/Total capital table; the FY2023 report's own comparative column supplies those, and was independently cross-checked against the matching column in RBS plc Pillar 3 Report 2023's UK KM1 table, which agrees exactly) - https://investors.natwestgroup.com/~/media/Files/R/RBS-IR-V2/results-center/16022024/rbs-plc-annual-report.pdf
FY2021: RBS plc Annual Report and Accounts 2021, p.61 ('AR own-report 'Capital, RWAs and leverage' table (Risk and capital management section)') - https://investors.natwestgroup.com/~/media/Files/R/RBS-IR-V2/results-center/18022022/rbs-plc-annual-report-2021.pdf
No standalone RBS plc Pillar 3 Report exists for FY2021/FY2022 (RBS plc's large-subsidiary Pillar 3 disclosures were embedded within the wider NatWest Holdings Group Pillar 3 Report those years); RBS plc began publishing its own standalone Pillar 3 Report from FY2023 onward. Ratios prior to FY2025 include an IFRS 9 transitional adjustment for ECL provisions (ceased 1 January 2025) - see each source document's own footnotes for the equivalent fully-loaded figures.</t>
        </is>
      </c>
    </row>
  </sheetData>
  <mergeCells count="2">
    <mergeCell ref="A5:F5"/>
    <mergeCell ref="A7:F7"/>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s>
  <sheetData>
    <row r="1">
      <c r="A1" s="1" t="inlineStr">
        <is>
          <t>The Royal Bank of Scotland Public Limited Company — Total RWAs</t>
        </is>
      </c>
    </row>
    <row r="2">
      <c r="A2" s="2" t="inlineStr">
        <is>
          <t>£m</t>
        </is>
      </c>
    </row>
    <row r="3">
      <c r="A3" s="4" t="inlineStr">
        <is>
          <t>Metric</t>
        </is>
      </c>
      <c r="B3" s="4" t="inlineStr">
        <is>
          <t>FY2025</t>
        </is>
      </c>
      <c r="C3" s="4" t="inlineStr">
        <is>
          <t>FY2024</t>
        </is>
      </c>
      <c r="D3" s="4" t="inlineStr">
        <is>
          <t>FY2023</t>
        </is>
      </c>
      <c r="E3" s="4" t="inlineStr">
        <is>
          <t>FY2022</t>
        </is>
      </c>
      <c r="F3" s="4" t="inlineStr">
        <is>
          <t>FY2021</t>
        </is>
      </c>
    </row>
    <row r="4">
      <c r="A4" s="6" t="inlineStr">
        <is>
          <t>Total risk-weighted exposure amount</t>
        </is>
      </c>
      <c r="B4" s="6" t="n">
        <v>17385</v>
      </c>
      <c r="C4" s="6" t="n">
        <v>17591</v>
      </c>
      <c r="D4" s="6" t="n">
        <v>18228</v>
      </c>
      <c r="E4" s="6" t="n">
        <v>18540</v>
      </c>
      <c r="F4" s="6" t="n">
        <v>19592</v>
      </c>
    </row>
    <row r="6" ht="195" customHeight="1">
      <c r="A6" s="8" t="inlineStr">
        <is>
          <t>Sources - RBS plc entity-level basis (PRA transitional basis):
FY2025: RBS plc Pillar 3 Report 2025, p.6 (UK KM1: Key metrics) - https://investors.natwestgroup.com/~/media/Files/R/RBS-IR-V2/results-center/13022026/rbs-pillar-3-report.pdf
FY2024: RBS plc Pillar 3 Report 2024, p.7 (UK KM1: Key metrics) - https://investors.natwestgroup.com/~/media/Files/R/RBS-IR-V2/results-center/14022025/rbs-plc-pillar-3-report.pdf
FY2023: RBS plc Pillar 3 Report 2023, p.7 (UK KM1: Key metrics) - https://investors.natwestgroup.com/~/media/Files/R/RBS-IR-V2/results-center/16022024/rbs-plc-pillar-3-report.pdf
FY2022: RBS plc Annual Report and Accounts 2023, p.57 ('AR own-report 'Capital, RWAs and leverage' table (Risk and capital management section)', FY2022 comparative column - RBS plc's own FY2022 Annual Report p.61/p.124 gives the CET1 capital, CET1 ratio, RWA and leverage figures directly but not a single consolidated Tier 1%/Total%/Total capital table; the FY2023 report's own comparative column supplies those, and was independently cross-checked against the matching column in RBS plc Pillar 3 Report 2023's UK KM1 table, which agrees exactly) - https://investors.natwestgroup.com/~/media/Files/R/RBS-IR-V2/results-center/16022024/rbs-plc-annual-report.pdf
FY2021: RBS plc Annual Report and Accounts 2021, p.61 ('AR own-report 'Capital, RWAs and leverage' table (Risk and capital management section)') - https://investors.natwestgroup.com/~/media/Files/R/RBS-IR-V2/results-center/18022022/rbs-plc-annual-report-2021.pdf
No standalone RBS plc Pillar 3 Report exists for FY2021/FY2022 (RBS plc's large-subsidiary Pillar 3 disclosures were embedded within the wider NatWest Holdings Group Pillar 3 Report those years); RBS plc began publishing its own standalone Pillar 3 Report from FY2023 onward. Ratios prior to FY2025 include an IFRS 9 transitional adjustment for ECL provisions (ceased 1 January 2025) - see each source document's own footnotes for the equivalent fully-loaded figures.</t>
        </is>
      </c>
    </row>
  </sheetData>
  <mergeCells count="1">
    <mergeCell ref="A6:F6"/>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1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4" customWidth="1" min="1" max="1"/>
    <col width="15" customWidth="1" min="2" max="2"/>
    <col width="15" customWidth="1" min="3" max="3"/>
    <col width="15" customWidth="1" min="4" max="4"/>
    <col width="15" customWidth="1" min="5" max="5"/>
    <col width="15" customWidth="1" min="6" max="6"/>
  </cols>
  <sheetData>
    <row r="1">
      <c r="A1" s="1" t="inlineStr">
        <is>
          <t>The Royal Bank of Scotland Public Limited Company — RWA Breakdown</t>
        </is>
      </c>
    </row>
    <row r="2">
      <c r="A2" s="2" t="inlineStr">
        <is>
          <t>RBS plc entity-level basis, £m. The 'Memo' row is already included within Credit risk and must NOT be added when summing to Total RWAs (per the source template's own footnote) - the other 5 category rows sum exactly to Total RWAs for every year.</t>
        </is>
      </c>
    </row>
    <row r="3">
      <c r="A3" s="4" t="inlineStr">
        <is>
          <t>Line item</t>
        </is>
      </c>
      <c r="B3" s="4" t="inlineStr">
        <is>
          <t>FY2025 (£m)</t>
        </is>
      </c>
      <c r="C3" s="4" t="inlineStr">
        <is>
          <t>FY2024 (£m)</t>
        </is>
      </c>
      <c r="D3" s="4" t="inlineStr">
        <is>
          <t>FY2023 (£m)</t>
        </is>
      </c>
      <c r="E3" s="4" t="inlineStr">
        <is>
          <t>FY2022 (£m)</t>
        </is>
      </c>
      <c r="F3" s="4" t="inlineStr">
        <is>
          <t>FY2021 (£m)</t>
        </is>
      </c>
    </row>
    <row r="4">
      <c r="A4" s="5" t="inlineStr">
        <is>
          <t>RWA by risk category (Pillar 3 UK OV1 template; FY2021 uses an older CRR-era 4-category structure - see source note)</t>
        </is>
      </c>
      <c r="B4" s="6" t="n"/>
      <c r="C4" s="6" t="n"/>
      <c r="D4" s="6" t="n"/>
      <c r="E4" s="6" t="n"/>
      <c r="F4" s="6" t="n"/>
    </row>
    <row r="5">
      <c r="A5" s="6" t="inlineStr">
        <is>
          <t>Credit risk (excluding counterparty credit risk)</t>
        </is>
      </c>
      <c r="B5" s="6" t="n">
        <v>12867</v>
      </c>
      <c r="C5" s="6" t="n">
        <v>13757</v>
      </c>
      <c r="D5" s="6" t="n">
        <v>14887</v>
      </c>
      <c r="E5" s="6" t="n">
        <v>15136</v>
      </c>
      <c r="F5" s="6" t="n">
        <v>15634</v>
      </c>
    </row>
    <row r="6">
      <c r="A6" s="6" t="inlineStr">
        <is>
          <t>Counterparty credit risk</t>
        </is>
      </c>
      <c r="B6" s="6" t="n">
        <v>0</v>
      </c>
      <c r="C6" s="6" t="n">
        <v>0</v>
      </c>
      <c r="D6" s="6" t="n">
        <v>0</v>
      </c>
      <c r="E6" s="6" t="n">
        <v>0</v>
      </c>
      <c r="F6" s="6" t="n">
        <v>0</v>
      </c>
    </row>
    <row r="7">
      <c r="A7" s="6" t="inlineStr">
        <is>
          <t>Securitisation exposures in the non-trading book</t>
        </is>
      </c>
      <c r="B7" s="6" t="n">
        <v>459</v>
      </c>
      <c r="C7" s="6" t="n">
        <v>195</v>
      </c>
      <c r="D7" s="6" t="n">
        <v>63</v>
      </c>
      <c r="E7" s="6" t="n">
        <v>0</v>
      </c>
      <c r="F7" s="6" t="n"/>
    </row>
    <row r="8">
      <c r="A8" s="6" t="inlineStr">
        <is>
          <t>Position, foreign exchange and commodities risk (market risk)</t>
        </is>
      </c>
      <c r="B8" s="6" t="n">
        <v>18</v>
      </c>
      <c r="C8" s="6" t="n">
        <v>21</v>
      </c>
      <c r="D8" s="6" t="n">
        <v>14</v>
      </c>
      <c r="E8" s="6" t="n">
        <v>8</v>
      </c>
      <c r="F8" s="6" t="n">
        <v>7</v>
      </c>
    </row>
    <row r="9">
      <c r="A9" s="6" t="inlineStr">
        <is>
          <t>Operational risk</t>
        </is>
      </c>
      <c r="B9" s="6" t="n">
        <v>4041</v>
      </c>
      <c r="C9" s="6" t="n">
        <v>3618</v>
      </c>
      <c r="D9" s="6" t="n">
        <v>3264</v>
      </c>
      <c r="E9" s="6" t="n">
        <v>3396</v>
      </c>
      <c r="F9" s="6" t="n">
        <v>3951</v>
      </c>
    </row>
    <row r="10">
      <c r="A10" s="6" t="inlineStr">
        <is>
          <t>Memo: amounts below thresholds for deduction (250% risk-weight; already included in Credit risk above, not additive)</t>
        </is>
      </c>
      <c r="B10" s="6" t="n">
        <v>88</v>
      </c>
      <c r="C10" s="6" t="n">
        <v>100</v>
      </c>
      <c r="D10" s="6" t="n">
        <v>95</v>
      </c>
      <c r="E10" s="6" t="n">
        <v>98</v>
      </c>
      <c r="F10" s="6" t="n"/>
    </row>
    <row r="11">
      <c r="A11" s="5" t="inlineStr">
        <is>
          <t>Total RWAs</t>
        </is>
      </c>
      <c r="B11" s="5" t="n">
        <v>17385</v>
      </c>
      <c r="C11" s="5" t="n">
        <v>17591</v>
      </c>
      <c r="D11" s="5" t="n">
        <v>18228</v>
      </c>
      <c r="E11" s="5" t="n">
        <v>18540</v>
      </c>
      <c r="F11" s="5" t="n">
        <v>19592</v>
      </c>
    </row>
    <row r="13" ht="338" customHeight="1">
      <c r="A13" s="8" t="inlineStr">
        <is>
          <t>Sources - RBS plc entity-level basis, UK OV1: Overview of risk-weighted exposure amounts:
FY2025: RBS plc Pillar 3 Report 2025, p.7 (UK OV1) - https://investors.natwestgroup.com/~/media/Files/R/RBS-IR-V2/results-center/13022026/rbs-pillar-3-report.pdf
FY2024: RBS plc Pillar 3 Report 2024, p.9 (UK OV1) - https://investors.natwestgroup.com/~/media/Files/R/RBS-IR-V2/results-center/14022025/rbs-plc-pillar-3-report.pdf
FY2023: RBS plc Pillar 3 Report 2023, p.9 (UK OV1) - https://investors.natwestgroup.com/~/media/Files/R/RBS-IR-V2/results-center/16022024/rbs-plc-pillar-3-report.pdf
FY2022: RBS plc Pillar 3 Report 2023, p.9 (UK OV1, FY2022 comparative column) - https://investors.natwestgroup.com/~/media/Files/R/RBS-IR-V2/results-center/16022024/rbs-plc-pillar-3-report.pdf
FY2021: RBS plc Annual Report and Accounts 2021, p.61 ('Capital, RWAs and leverage' table - Credit risk/Counterparty credit risk/Market risk/Operational risk/Total RWAs only; no standalone RBS plc Pillar 3 Report exists for FY2021 - see the entity note) - https://investors.natwestgroup.com/~/media/Files/R/RBS-IR-V2/results-center/18022022/rbs-plc-annual-report-2021.pdf
ENTITY NOTE: The Royal Bank of Scotland Public Limited Company ('RBS plc', company number SC083026, FRN 114724, LEI 549300WHU4EIHRP28H10) is a large, PRA-authorised subsidiary of NatWest Group plc (formerly The Royal Bank of Scotland Group plc). IMPORTANT LINEAGE NOTE: company SC083026 was originally incorporated on 9 May 1983 as 'Adam &amp; Company Public Limited Company' (a private banking subsidiary) and was renamed 'The Royal Bank of Scotland Public Limited Company' on 29 April 2018, as part of the ring-fencing reforms that split NatWest Group's retail/commercial banking (ring-fenced) from investment banking (non-ring-fenced) activities. The pre-2018 entity that historically traded as 'The Royal Bank of Scotland plc' (the 1727-founded bank, formerly the whole group's principal operating subsidiary) was itself renamed 'NatWest Markets Plc' at the same time and continues today as NatWest Group's investment banking subsidiary - it is NOT the entity covered by this workbook. This workbook covers the entity that currently and continuously holds the exact name 'The Royal Bank of Scotland Public Limited Company' (confirmed via Companies House and the FCA/PRA Financial Services Register, and matching the FRN and LEI listed in this project's source bank list) - i.e. the ring-fenced retail/commercial banking entity operating under the RBS brand in Scotland and Northern Ireland, not the original historic RBS legal entity. Flagged here prominently given the scale of the institution and the potential for this lineage to be confused with NatWest Markets Plc.
RBS plc is a member of the 'UK DoLSub' (UK Domestic Liquidity Sub-Group) alongside National Westminster Bank Plc and Coutts &amp; Company; under a PRA waiver, liquidity (LCR/NSFR) is managed and disclosed at this sub-group level rather than at the individual RBS plc entity level - the LCR/NSFR figures on those sheets are UK DoLSub figures, consistently across every year in this workbook, not RBS plc solo. From FY2024 onward, RBS plc's own Annual Report and Pillar 3 Report no longer state a numeric UK DoLSub LCR/NSFR at all (that disclosure moved entirely to NatWest Holdings Group's own reports) - so FY2024/FY2025 are not a gap in RBS plc's own reporting. The UK DoLSub is a liquidity sub-group of which RBS plc is a constituent, NOT the NatWest Holdings Group or NatWest Group consolidated entity; taking the UK DoLSub figure from a NatWest Holdings Group document therefore continues the same sub-group measure this workbook has always used, and is not a substitution of a parent-group figure into an entity-level sheet. FY2024 UK DoLSub spot LCR/NSFR are recorded on that basis. FY2025 spot is genuinely unpublished - NatWest Holdings Group dropped the Spot column from FY2025 and now reports these metrics on an average basis only - so the FY2025 figures appear on the separate average-basis row instead. See the LCR sheet note for the spot-vs-average distinction, which is material (11 points apart for FY2023).</t>
        </is>
      </c>
    </row>
  </sheetData>
  <mergeCells count="1">
    <mergeCell ref="A13:F13"/>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s>
  <sheetData>
    <row r="1">
      <c r="A1" s="1" t="inlineStr">
        <is>
          <t>The Royal Bank of Scotland Public Limited Company — Leverage Ratio</t>
        </is>
      </c>
    </row>
    <row r="2">
      <c r="A2" s="2" t="inlineStr">
        <is>
          <t>£m / %</t>
        </is>
      </c>
    </row>
    <row r="3">
      <c r="A3" s="4" t="inlineStr">
        <is>
          <t>Metric</t>
        </is>
      </c>
      <c r="B3" s="4" t="inlineStr">
        <is>
          <t>FY2025</t>
        </is>
      </c>
      <c r="C3" s="4" t="inlineStr">
        <is>
          <t>FY2024</t>
        </is>
      </c>
      <c r="D3" s="4" t="inlineStr">
        <is>
          <t>FY2023</t>
        </is>
      </c>
      <c r="E3" s="4" t="inlineStr">
        <is>
          <t>FY2022</t>
        </is>
      </c>
      <c r="F3" s="4" t="inlineStr">
        <is>
          <t>FY2021</t>
        </is>
      </c>
    </row>
    <row r="4">
      <c r="A4" s="6" t="inlineStr">
        <is>
          <t>Leverage exposure - including claims on central banks (£m)</t>
        </is>
      </c>
      <c r="B4" s="6" t="n"/>
      <c r="C4" s="6" t="n"/>
      <c r="D4" s="6" t="n"/>
      <c r="E4" s="6" t="n"/>
      <c r="F4" s="6" t="n">
        <v>88670</v>
      </c>
    </row>
    <row r="5">
      <c r="A5" s="6" t="inlineStr">
        <is>
          <t>Leverage ratio - including claims on central banks (%)</t>
        </is>
      </c>
      <c r="B5" s="6" t="n"/>
      <c r="C5" s="6" t="n"/>
      <c r="D5" s="6" t="n"/>
      <c r="E5" s="6" t="n"/>
      <c r="F5" s="6" t="inlineStr">
        <is>
          <t>4.1%</t>
        </is>
      </c>
    </row>
    <row r="6">
      <c r="A6" s="6" t="inlineStr">
        <is>
          <t>Leverage exposure - excluding claims on central banks (£m)</t>
        </is>
      </c>
      <c r="B6" s="6" t="n">
        <v>42877</v>
      </c>
      <c r="C6" s="6" t="n">
        <v>42687</v>
      </c>
      <c r="D6" s="6" t="n">
        <v>43770</v>
      </c>
      <c r="E6" s="6" t="n">
        <v>48957</v>
      </c>
      <c r="F6" s="6" t="n"/>
    </row>
    <row r="7">
      <c r="A7" s="6" t="inlineStr">
        <is>
          <t>Leverage ratio - excluding claims on central banks (%)</t>
        </is>
      </c>
      <c r="B7" s="6" t="inlineStr">
        <is>
          <t>5.6%</t>
        </is>
      </c>
      <c r="C7" s="6" t="inlineStr">
        <is>
          <t>5.8%</t>
        </is>
      </c>
      <c r="D7" s="6" t="inlineStr">
        <is>
          <t>5.8%</t>
        </is>
      </c>
      <c r="E7" s="6" t="inlineStr">
        <is>
          <t>6.4%</t>
        </is>
      </c>
      <c r="F7" s="6" t="n"/>
    </row>
    <row r="8" ht="65" customHeight="1">
      <c r="A8" s="7" t="inlineStr">
        <is>
          <t>Note: Leverage ratio methodology changed from FY2022: RBS plc's Annual Report/Pillar 3 disclosures switched to an 'excluding claims on central banks' basis (higher leverage exposure denominator excluded, so a higher ratio) following the UK's new leverage ratio framework (published 8 October 2021, effective from 2022). FY2021 is shown as originally reported in the FY2021 Annual Report on the prior 'including claims on central banks' basis (4.1%, or 4.0% excluding an IFRS 9 transitional add-back) and is NOT directly comparable to FY2022 onward; a restated FY2021 figure of 7.0% on the newer excluding-central-banks basis appears only as a comparative in the FY2022 Annual Report's narrative and was not used here, to keep each year's own-report figure intact. RBS plc is not in scope of the minimum leverage ratio requirement (not an LREQ firm).</t>
        </is>
      </c>
    </row>
    <row r="10" ht="195" customHeight="1">
      <c r="A10" s="8" t="inlineStr">
        <is>
          <t>Sources - RBS plc entity-level basis (PRA transitional basis):
FY2025: RBS plc Pillar 3 Report 2025, p.6 (UK KM1: Key metrics) - https://investors.natwestgroup.com/~/media/Files/R/RBS-IR-V2/results-center/13022026/rbs-pillar-3-report.pdf
FY2024: RBS plc Pillar 3 Report 2024, p.7 (UK KM1: Key metrics) - https://investors.natwestgroup.com/~/media/Files/R/RBS-IR-V2/results-center/14022025/rbs-plc-pillar-3-report.pdf
FY2023: RBS plc Pillar 3 Report 2023, p.7 (UK KM1: Key metrics) - https://investors.natwestgroup.com/~/media/Files/R/RBS-IR-V2/results-center/16022024/rbs-plc-pillar-3-report.pdf
FY2022: RBS plc Annual Report and Accounts 2023, p.57 ('AR own-report 'Capital, RWAs and leverage' table (Risk and capital management section)', FY2022 comparative column - RBS plc's own FY2022 Annual Report p.61/p.124 gives the CET1 capital, CET1 ratio, RWA and leverage figures directly but not a single consolidated Tier 1%/Total%/Total capital table; the FY2023 report's own comparative column supplies those, and was independently cross-checked against the matching column in RBS plc Pillar 3 Report 2023's UK KM1 table, which agrees exactly) - https://investors.natwestgroup.com/~/media/Files/R/RBS-IR-V2/results-center/16022024/rbs-plc-annual-report.pdf
FY2021: RBS plc Annual Report and Accounts 2021, p.61 ('AR own-report 'Capital, RWAs and leverage' table (Risk and capital management section)') - https://investors.natwestgroup.com/~/media/Files/R/RBS-IR-V2/results-center/18022022/rbs-plc-annual-report-2021.pdf
No standalone RBS plc Pillar 3 Report exists for FY2021/FY2022 (RBS plc's large-subsidiary Pillar 3 disclosures were embedded within the wider NatWest Holdings Group Pillar 3 Report those years); RBS plc began publishing its own standalone Pillar 3 Report from FY2023 onward. Ratios prior to FY2025 include an IFRS 9 transitional adjustment for ECL provisions (ceased 1 January 2025) - see each source document's own footnotes for the equivalent fully-loaded figures.</t>
        </is>
      </c>
    </row>
  </sheetData>
  <mergeCells count="2">
    <mergeCell ref="A8:F8"/>
    <mergeCell ref="A10:F10"/>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s>
  <sheetData>
    <row r="1">
      <c r="A1" s="1" t="inlineStr">
        <is>
          <t>The Royal Bank of Scotland Public Limited Company — LCR</t>
        </is>
      </c>
    </row>
    <row r="2">
      <c r="A2" s="2" t="inlineStr">
        <is>
          <t>%</t>
        </is>
      </c>
    </row>
    <row r="3">
      <c r="A3" s="4" t="inlineStr">
        <is>
          <t>Metric</t>
        </is>
      </c>
      <c r="B3" s="4" t="inlineStr">
        <is>
          <t>FY2025</t>
        </is>
      </c>
      <c r="C3" s="4" t="inlineStr">
        <is>
          <t>FY2024</t>
        </is>
      </c>
      <c r="D3" s="4" t="inlineStr">
        <is>
          <t>FY2023</t>
        </is>
      </c>
      <c r="E3" s="4" t="inlineStr">
        <is>
          <t>FY2022</t>
        </is>
      </c>
      <c r="F3" s="4" t="inlineStr">
        <is>
          <t>FY2021</t>
        </is>
      </c>
    </row>
    <row r="4">
      <c r="A4" s="6" t="inlineStr">
        <is>
          <t>Liquidity Coverage Ratio (%) - UK DoLSub, spot at 31 December</t>
        </is>
      </c>
      <c r="B4" s="6" t="n"/>
      <c r="C4" s="6" t="inlineStr">
        <is>
          <t>142%</t>
        </is>
      </c>
      <c r="D4" s="6" t="inlineStr">
        <is>
          <t>138%</t>
        </is>
      </c>
      <c r="E4" s="6" t="inlineStr">
        <is>
          <t>131%</t>
        </is>
      </c>
      <c r="F4" s="6" t="inlineStr">
        <is>
          <t>169%</t>
        </is>
      </c>
    </row>
    <row r="5">
      <c r="A5" s="6" t="inlineStr">
        <is>
          <t>Liquidity Coverage Ratio (%) - UK DoLSub, 12-month average</t>
        </is>
      </c>
      <c r="B5" s="6" t="inlineStr">
        <is>
          <t>135%</t>
        </is>
      </c>
      <c r="C5" s="6" t="inlineStr">
        <is>
          <t>142%</t>
        </is>
      </c>
      <c r="D5" s="6" t="inlineStr">
        <is>
          <t>127%</t>
        </is>
      </c>
      <c r="E5" s="6" t="n"/>
      <c r="F5" s="6" t="n"/>
    </row>
    <row r="6" ht="156" customHeight="1">
      <c r="A6" s="7" t="inlineStr">
        <is>
          <t>Note: UK DoLSub (RBS plc + National Westminster Bank Plc + Coutts &amp; Company) sub-group figure throughout, per the PRA waiver described in the entity note - RBS plc solo LCR is not disclosed at all in any year, and rows 15-17 of RBS plc's own UK KM1 table are printed blank in every year with the footnote 'Under the UK DoLSub waiver RBS plc liquidity is managed and disclosed at the sub-group level rather than entity level'.
TWO BASES, DELIBERATELY KEPT AS SEPARATE ROWS. The spot row is the point-in-time ratio at 31 December; the average row is the average of the preceding 12 months. They are NOT interchangeable - for FY2023 the same sub-group is 138% spot but 127% average, an 11-point gap. FY2021-FY2023 spot figures come from RBS plc's own Annual Report; FY2024 spot comes from the NatWest Holdings Group Annual Report 2024, which prints an explicit Spot/Average split per entity and whose FY2023 UK DoLSub spot column reproduces this workbook's existing 138% exactly (that tie is what identifies the pre-FY2024 series as spot rather than average).
FY2025 SPOT IS GENUINELY UNAVAILABLE: from FY2025 the NatWest Holdings Group Annual Report dropped the Spot column and now states its liquidity key metrics 'on an average basis' only, so no point-in-time 31 December 2025 UK DoLSub LCR is published anywhere. The FY2025 average (135%) is recorded on the average row rather than being spliced into the spot series. No £m HQLA/net-outflow breakdown appears in any RBS plc document; the UK LIQ1 £m tables exist only at NatWest Holdings Group level.</t>
        </is>
      </c>
    </row>
    <row r="8" ht="299" customHeight="1">
      <c r="A8" s="8" t="inlineStr">
        <is>
          <t>Sources - UK DoLSub sub-group basis (RBS plc + National Westminster Bank Plc + Coutts &amp; Company):
SPOT (point-in-time at 31 December) row:
  FY2024: NatWest Holdings Group Annual Report and Accounts 2024, 'Liquidity key metrics' table (Risk and capital management - Capital, liquidity and funding risk), UK DoLSub 'Spot' column - LCR 142%, NSFR 129% - https://investors.natwestgroup.com/~/media/Files/R/RBS-IR-V2/results-center/14022025/nwh-annual-report.pdf
  FY2023: RBS plc Annual Report and Accounts 2023, p.57 ('Liquidity key metrics', UK DoLSub) - LCR 138%, NSFR 126%. Independently corroborated by the NatWest Holdings Group Annual Report and Accounts 2024, whose 2023 UK DoLSub 'Spot' column gives the identical 138%/126% (and whose 2023 'Average' column gives a materially different 127%/129%, which is what establishes that this workbook's pre-FY2024 series is the spot measure) - https://investors.natwestgroup.com/~/media/Files/R/RBS-IR-V2/results-center/16022024/rbs-plc-annual-report.pdf
  FY2022: RBS plc Annual Report and Accounts 2023, p.57 (2022 comparative block of the same 'Liquidity key metrics' table) - https://investors.natwestgroup.com/~/media/Files/R/RBS-IR-V2/results-center/16022024/rbs-plc-annual-report.pdf
  FY2021: RBS plc Annual Report and Accounts 2021 ('Liquidity key metrics', UK DoLSub) - https://investors.natwestgroup.com/~/media/Files/R/RBS-IR-V2/results-center/18022022/rbs-plc-annual-report-2021.pdf
AVERAGE row:
  FY2025: NatWest Holdings Group Annual Report and Accounts 2025, 'Liquidity key metrics' table, UK DoLSub column - LCR 135% (average of the preceding 12 months), NSFR 129% (average of the preceding four quarters). This table is stated 'on an average basis' and no longer carries a Spot column - https://investors.natwestgroup.com/~/media/Files/R/RBS-IR-V2/results-center/13022026/nwh-annual-report.pdf
  FY2024/FY2023: NatWest Holdings Group Annual Report and Accounts 2024, 'Liquidity key metrics' table, UK DoLSub 'Average' columns - https://investors.natwestgroup.com/~/media/Files/R/RBS-IR-V2/results-center/14022025/nwh-annual-report.pdf
Cross-check: the NatWest Holdings Group Pillar 3 Report 2025's UK LIQ1 (Quantitative information of LCR) and UK LIQ2 (Net Stable Funding Ratio) tables, UK DoLSub sections, independently give a 31 December 2025 12-month-average LCR of 135% and an NSFR of 129% (ASF GBP353,089m / RSF GBP273,869m = 128.9%), matching the average row above - https://investors.natwestgroup.com/~/media/Files/R/RBS-IR-V2/results-center/13022026/nwh-pillar-3-report.pdf
Checked 15 September 2026: RBS plc's own Annual Report and Accounts 2025 replaces the former 'Liquidity key metrics' figures with the 100% minimum-requirement table only, stating that disclosures relating to these metrics 'are completed at UK DoLSub level and published in the NatWest Holdings Group 2025 Annual Report and Accounts'.</t>
        </is>
      </c>
    </row>
    <row r="10" ht="260" customHeight="1">
      <c r="A10" s="8" t="inlineStr">
        <is>
          <t>(continued)
ENTITY NOTE: The Royal Bank of Scotland Public Limited Company ('RBS plc', company number SC083026, FRN 114724, LEI 549300WHU4EIHRP28H10) is a large, PRA-authorised subsidiary of NatWest Group plc (formerly The Royal Bank of Scotland Group plc). IMPORTANT LINEAGE NOTE: company SC083026 was originally incorporated on 9 May 1983 as 'Adam &amp; Company Public Limited Company' (a private banking subsidiary) and was renamed 'The Royal Bank of Scotland Public Limited Company' on 29 April 2018, as part of the ring-fencing reforms that split NatWest Group's retail/commercial banking (ring-fenced) from investment banking (non-ring-fenced) activities. The pre-2018 entity that historically traded as 'The Royal Bank of Scotland plc' (the 1727-founded bank, formerly the whole group's principal operating subsidiary) was itself renamed 'NatWest Markets Plc' at the same time and continues today as NatWest Group's investment banking subsidiary - it is NOT the entity covered by this workbook. This workbook covers the entity that currently and continuously holds the exact name 'The Royal Bank of Scotland Public Limited Company' (confirmed via Companies House and the FCA/PRA Financial Services Register, and matching the FRN and LEI listed in this project's source bank list) - i.e. the ring-fenced retail/commercial banking entity operating under the RBS brand in Scotland and Northern Ireland, not the original historic RBS legal entity. Flagged here prominently given the scale of the institution and the potential for this lineage to be confused with NatWest Markets Plc.
RBS plc is a member of the 'UK DoLSub' (UK Domestic Liquidity Sub-Group) alongside National Westminster Bank Plc and Coutts &amp; Company; under a PRA waiver, liquidity (LCR/NSFR) is managed and disclosed at this sub-group level rather than at the individual RBS plc entity level - the LCR/NSFR figures on those sheets are UK DoLSub figures, consistently across every year in this workbook, not RBS plc solo. From FY2024 onward, RBS plc's own Annual Report and Pillar 3 Report no longer state a numeric UK DoLSub LCR/NSFR at all (that disclosure moved entirely to NatWest Holdings Group's own reports) - so FY2024/FY2025 are not a gap in RBS plc's own reporting. The UK DoLSub is a liquidity sub-group of which RBS plc is a constituent, NOT the NatWest Holdings Group or NatWest Group consolidated entity; taking the UK DoLSub figure from a NatWest Holdings Group document therefore continues the same sub-group measure this workbook has always used, and is not a substitution of a parent-group figure into an entity-level sheet. FY2024 UK DoLSub spot LCR/NSFR are recorded on that basis. FY2025 spot is genuinely unpublished - NatWest Holdings Group dropped the Spot column from FY2025 and now reports these metrics on an average basis only - so the FY2025 figures appear on the separate average-basis row instead. See the LCR sheet note for the spot-vs-average distinction, which is material (11 points apart for FY2023).</t>
        </is>
      </c>
    </row>
  </sheetData>
  <mergeCells count="3">
    <mergeCell ref="A8:F8"/>
    <mergeCell ref="A6:F6"/>
    <mergeCell ref="A10:F10"/>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s>
  <sheetData>
    <row r="1">
      <c r="A1" s="1" t="inlineStr">
        <is>
          <t>The Royal Bank of Scotland Public Limited Company — NSFR</t>
        </is>
      </c>
    </row>
    <row r="2">
      <c r="A2" s="2" t="inlineStr">
        <is>
          <t>%</t>
        </is>
      </c>
    </row>
    <row r="3">
      <c r="A3" s="4" t="inlineStr">
        <is>
          <t>Metric</t>
        </is>
      </c>
      <c r="B3" s="4" t="inlineStr">
        <is>
          <t>FY2025</t>
        </is>
      </c>
      <c r="C3" s="4" t="inlineStr">
        <is>
          <t>FY2024</t>
        </is>
      </c>
      <c r="D3" s="4" t="inlineStr">
        <is>
          <t>FY2023</t>
        </is>
      </c>
      <c r="E3" s="4" t="inlineStr">
        <is>
          <t>FY2022</t>
        </is>
      </c>
      <c r="F3" s="4" t="inlineStr">
        <is>
          <t>FY2021</t>
        </is>
      </c>
    </row>
    <row r="4">
      <c r="A4" s="6" t="inlineStr">
        <is>
          <t>Net Stable Funding Ratio (%) - UK DoLSub, spot at 31 December</t>
        </is>
      </c>
      <c r="B4" s="6" t="n"/>
      <c r="C4" s="6" t="inlineStr">
        <is>
          <t>129%</t>
        </is>
      </c>
      <c r="D4" s="6" t="inlineStr">
        <is>
          <t>126%</t>
        </is>
      </c>
      <c r="E4" s="6" t="inlineStr">
        <is>
          <t>137%</t>
        </is>
      </c>
      <c r="F4" s="6" t="inlineStr">
        <is>
          <t>151%</t>
        </is>
      </c>
    </row>
    <row r="5">
      <c r="A5" s="6" t="inlineStr">
        <is>
          <t>Net Stable Funding Ratio (%) - UK DoLSub, four-quarter average</t>
        </is>
      </c>
      <c r="B5" s="6" t="inlineStr">
        <is>
          <t>129%</t>
        </is>
      </c>
      <c r="C5" s="6" t="inlineStr">
        <is>
          <t>130%</t>
        </is>
      </c>
      <c r="D5" s="6" t="inlineStr">
        <is>
          <t>129%</t>
        </is>
      </c>
      <c r="E5" s="6" t="n"/>
      <c r="F5" s="6" t="n"/>
    </row>
    <row r="6" ht="52" customHeight="1">
      <c r="A6" s="7" t="inlineStr">
        <is>
          <t>Note: Same UK DoLSub sub-group basis, same two-row spot/average split, and same FY2025 spot-disclosure gap as the LCR sheet - see that sheet's note for the full explanation. The NSFR average is defined by the source as the average of the preceding four quarters (not twelve months, as for the LCR). The FY2023 UK DoLSub spot figure of 126% in the NatWest Holdings Group Annual Report 2024 reproduces this workbook's existing FY2023 value exactly, confirming the pre-FY2024 series is spot. Note the spot and average rows happen to coincide at 129% for FY2024/FY2025 respectively while measuring different things.</t>
        </is>
      </c>
    </row>
    <row r="8" ht="299" customHeight="1">
      <c r="A8" s="8" t="inlineStr">
        <is>
          <t>Sources - UK DoLSub sub-group basis (RBS plc + National Westminster Bank Plc + Coutts &amp; Company):
SPOT (point-in-time at 31 December) row:
  FY2024: NatWest Holdings Group Annual Report and Accounts 2024, 'Liquidity key metrics' table (Risk and capital management - Capital, liquidity and funding risk), UK DoLSub 'Spot' column - LCR 142%, NSFR 129% - https://investors.natwestgroup.com/~/media/Files/R/RBS-IR-V2/results-center/14022025/nwh-annual-report.pdf
  FY2023: RBS plc Annual Report and Accounts 2023, p.57 ('Liquidity key metrics', UK DoLSub) - LCR 138%, NSFR 126%. Independently corroborated by the NatWest Holdings Group Annual Report and Accounts 2024, whose 2023 UK DoLSub 'Spot' column gives the identical 138%/126% (and whose 2023 'Average' column gives a materially different 127%/129%, which is what establishes that this workbook's pre-FY2024 series is the spot measure) - https://investors.natwestgroup.com/~/media/Files/R/RBS-IR-V2/results-center/16022024/rbs-plc-annual-report.pdf
  FY2022: RBS plc Annual Report and Accounts 2023, p.57 (2022 comparative block of the same 'Liquidity key metrics' table) - https://investors.natwestgroup.com/~/media/Files/R/RBS-IR-V2/results-center/16022024/rbs-plc-annual-report.pdf
  FY2021: RBS plc Annual Report and Accounts 2021 ('Liquidity key metrics', UK DoLSub) - https://investors.natwestgroup.com/~/media/Files/R/RBS-IR-V2/results-center/18022022/rbs-plc-annual-report-2021.pdf
AVERAGE row:
  FY2025: NatWest Holdings Group Annual Report and Accounts 2025, 'Liquidity key metrics' table, UK DoLSub column - LCR 135% (average of the preceding 12 months), NSFR 129% (average of the preceding four quarters). This table is stated 'on an average basis' and no longer carries a Spot column - https://investors.natwestgroup.com/~/media/Files/R/RBS-IR-V2/results-center/13022026/nwh-annual-report.pdf
  FY2024/FY2023: NatWest Holdings Group Annual Report and Accounts 2024, 'Liquidity key metrics' table, UK DoLSub 'Average' columns - https://investors.natwestgroup.com/~/media/Files/R/RBS-IR-V2/results-center/14022025/nwh-annual-report.pdf
Cross-check: the NatWest Holdings Group Pillar 3 Report 2025's UK LIQ1 (Quantitative information of LCR) and UK LIQ2 (Net Stable Funding Ratio) tables, UK DoLSub sections, independently give a 31 December 2025 12-month-average LCR of 135% and an NSFR of 129% (ASF GBP353,089m / RSF GBP273,869m = 128.9%), matching the average row above - https://investors.natwestgroup.com/~/media/Files/R/RBS-IR-V2/results-center/13022026/nwh-pillar-3-report.pdf
Checked 15 September 2026: RBS plc's own Annual Report and Accounts 2025 replaces the former 'Liquidity key metrics' figures with the 100% minimum-requirement table only, stating that disclosures relating to these metrics 'are completed at UK DoLSub level and published in the NatWest Holdings Group 2025 Annual Report and Accounts'.</t>
        </is>
      </c>
    </row>
    <row r="10" ht="260" customHeight="1">
      <c r="A10" s="8" t="inlineStr">
        <is>
          <t>(continued)
ENTITY NOTE: The Royal Bank of Scotland Public Limited Company ('RBS plc', company number SC083026, FRN 114724, LEI 549300WHU4EIHRP28H10) is a large, PRA-authorised subsidiary of NatWest Group plc (formerly The Royal Bank of Scotland Group plc). IMPORTANT LINEAGE NOTE: company SC083026 was originally incorporated on 9 May 1983 as 'Adam &amp; Company Public Limited Company' (a private banking subsidiary) and was renamed 'The Royal Bank of Scotland Public Limited Company' on 29 April 2018, as part of the ring-fencing reforms that split NatWest Group's retail/commercial banking (ring-fenced) from investment banking (non-ring-fenced) activities. The pre-2018 entity that historically traded as 'The Royal Bank of Scotland plc' (the 1727-founded bank, formerly the whole group's principal operating subsidiary) was itself renamed 'NatWest Markets Plc' at the same time and continues today as NatWest Group's investment banking subsidiary - it is NOT the entity covered by this workbook. This workbook covers the entity that currently and continuously holds the exact name 'The Royal Bank of Scotland Public Limited Company' (confirmed via Companies House and the FCA/PRA Financial Services Register, and matching the FRN and LEI listed in this project's source bank list) - i.e. the ring-fenced retail/commercial banking entity operating under the RBS brand in Scotland and Northern Ireland, not the original historic RBS legal entity. Flagged here prominently given the scale of the institution and the potential for this lineage to be confused with NatWest Markets Plc.
RBS plc is a member of the 'UK DoLSub' (UK Domestic Liquidity Sub-Group) alongside National Westminster Bank Plc and Coutts &amp; Company; under a PRA waiver, liquidity (LCR/NSFR) is managed and disclosed at this sub-group level rather than at the individual RBS plc entity level - the LCR/NSFR figures on those sheets are UK DoLSub figures, consistently across every year in this workbook, not RBS plc solo. From FY2024 onward, RBS plc's own Annual Report and Pillar 3 Report no longer state a numeric UK DoLSub LCR/NSFR at all (that disclosure moved entirely to NatWest Holdings Group's own reports) - so FY2024/FY2025 are not a gap in RBS plc's own reporting. The UK DoLSub is a liquidity sub-group of which RBS plc is a constituent, NOT the NatWest Holdings Group or NatWest Group consolidated entity; taking the UK DoLSub figure from a NatWest Holdings Group document therefore continues the same sub-group measure this workbook has always used, and is not a substitution of a parent-group figure into an entity-level sheet. FY2024 UK DoLSub spot LCR/NSFR are recorded on that basis. FY2025 spot is genuinely unpublished - NatWest Holdings Group dropped the Spot column from FY2025 and now reports these metrics on an average basis only - so the FY2025 figures appear on the separate average-basis row instead. See the LCR sheet note for the spot-vs-average distinction, which is material (11 points apart for FY2023).</t>
        </is>
      </c>
    </row>
  </sheetData>
  <mergeCells count="3">
    <mergeCell ref="A8:F8"/>
    <mergeCell ref="A6:F6"/>
    <mergeCell ref="A10:F10"/>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s>
  <sheetData>
    <row r="1">
      <c r="A1" s="1" t="inlineStr">
        <is>
          <t>The Royal Bank of Scotland Public Limited Company — MREL Ratio</t>
        </is>
      </c>
    </row>
    <row r="2">
      <c r="A2" s="2" t="inlineStr"/>
    </row>
    <row r="3">
      <c r="A3" s="4" t="inlineStr">
        <is>
          <t>Metric</t>
        </is>
      </c>
      <c r="B3" s="4" t="inlineStr">
        <is>
          <t>FY2025</t>
        </is>
      </c>
      <c r="C3" s="4" t="inlineStr">
        <is>
          <t>FY2024</t>
        </is>
      </c>
      <c r="D3" s="4" t="inlineStr">
        <is>
          <t>FY2023</t>
        </is>
      </c>
      <c r="E3" s="4" t="inlineStr">
        <is>
          <t>FY2022</t>
        </is>
      </c>
      <c r="F3" s="4" t="inlineStr">
        <is>
          <t>FY2021</t>
        </is>
      </c>
    </row>
    <row r="4">
      <c r="A4" s="6" t="inlineStr">
        <is>
          <t>MREL Ratio</t>
        </is>
      </c>
      <c r="B4" s="6" t="inlineStr">
        <is>
          <t>Not published – FY2025 Pillar 3 (TLAC2 creditor ranking only, PDF p.15) and Annual Report read 2026-09-19: no MREL ratio or requirement</t>
        </is>
      </c>
      <c r="C4" s="6" t="inlineStr">
        <is>
          <t>Not published – FY2024 Pillar 3 (TLAC2 creditor ranking only, PDF p.16) and Annual Report read 2026-09-19: no MREL ratio or requirement</t>
        </is>
      </c>
      <c r="D4" s="6" t="inlineStr">
        <is>
          <t>Not published – FY2023 Pillar 3 (TLAC2 creditor ranking only, PDF p.16) and Annual Report read 2026-09-19: no MREL ratio or requirement</t>
        </is>
      </c>
      <c r="E4" s="6" t="inlineStr">
        <is>
          <t>Not published – FY2022 Pillar 3 (TLAC2 creditor ranking only, PDF p.15) and Annual Report read 2026-09-19: no MREL ratio or requirement</t>
        </is>
      </c>
      <c r="F4" s="6" t="inlineStr">
        <is>
          <t>Not published – FY2021 Annual Report prints internal MREL balance (£387m) but no ratio; no FY2021 RBS plc Pillar 3 exists (results-centre CDX)</t>
        </is>
      </c>
    </row>
    <row r="5" ht="78" customHeight="1">
      <c r="A5" s="7" t="inlineStr">
        <is>
          <t>Note: RBS plc's Annual Report and Pillar 3 Report both discuss MREL only qualitatively (as a category of gone-concern loss-absorbing instrument, e.g. senior notes) - no numeric MREL ratio, MREL resources figure, or UK KM2 template appears in any of the FY2021-FY2025 sources reviewed. GA-020 correction (2026-09-19): 'only qualitatively' understated it. Each Annual Report's 'Funding sources' table prints MREL instrument balances due to the holding company (FY2025: £1,065m; FY2021: 'CRR-compliant internal MREL' £387m) and an 'available in resolution' total, and the FY2022-FY2025 Pillar 3 Reports print a TLAC2 creditor-ranking table (PDF p.15/16/16/15) of nominal own funds and liabilities eligible for MREL by insolvency rank. None of these is an MREL ratio, and no MREL requirement or KM2 appears. No RBS plc Pillar 3 exists for FY2021 (Wayback CDX of the 18022022 results-centre folder lists none).</t>
        </is>
      </c>
    </row>
    <row r="7" ht="150" customHeight="1">
      <c r="A7" s="8" t="inlineStr">
        <is>
          <t>RBS plc's Annual Report and Pillar 3 Report FY2021-FY2025 - https://investors.natwestgroup.com/~/media/Files/R/RBS-IR-V2/results-center/13022026/rbs-annual-report.pdf</t>
        </is>
      </c>
    </row>
  </sheetData>
  <mergeCells count="2">
    <mergeCell ref="A5:F5"/>
    <mergeCell ref="A7:F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2026-10-26T09:36:14Z</dcterms:created>
  <dcterms:modified xmlns:dcterms="http://purl.org/dc/terms/" xmlns:xsi="http://www.w3.org/2001/XMLSchema-instance" xsi:type="dcterms:W3CDTF">2026-10-26T09:36:14Z</dcterms:modified>
</cp:coreProperties>
</file>