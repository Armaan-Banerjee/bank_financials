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A9152C"/>
        <bgColor rgb="00A9152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Crown Agents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Crown Agents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Crown Agents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(used in)/generated from operating activities</t>
        </is>
      </c>
      <c r="B6" s="5" t="n">
        <v>-618716</v>
      </c>
      <c r="C6" s="5" t="n">
        <v>87381</v>
      </c>
      <c r="D6" s="5" t="n">
        <v>294763</v>
      </c>
      <c r="E6" s="5" t="n">
        <v>-252244</v>
      </c>
      <c r="F6" s="5" t="n">
        <v>318950</v>
      </c>
      <c r="I6" t="inlineStr">
        <is>
          <t>Net cash (used in)/generated from operating activities</t>
        </is>
      </c>
      <c r="J6" t="n">
        <v>318950</v>
      </c>
      <c r="K6" t="n">
        <v>-252244</v>
      </c>
      <c r="L6" t="n">
        <v>294763</v>
      </c>
      <c r="M6" t="n">
        <v>87381</v>
      </c>
      <c r="N6" t="n">
        <v>-618716</v>
      </c>
      <c r="Q6" t="inlineStr">
        <is>
          <t>CET1 Ratio</t>
        </is>
      </c>
      <c r="R6" t="n">
        <v>30.3</v>
      </c>
      <c r="S6" t="n">
        <v>33.4</v>
      </c>
      <c r="T6" t="n">
        <v>26.4</v>
      </c>
      <c r="U6" t="n">
        <v>20.1</v>
      </c>
      <c r="V6" t="n">
        <v>22.9</v>
      </c>
    </row>
    <row r="7">
      <c r="A7" s="5" t="inlineStr">
        <is>
          <t>Net cash used in investing activities</t>
        </is>
      </c>
      <c r="B7" s="5" t="n">
        <v>-9463</v>
      </c>
      <c r="C7" s="5" t="n">
        <v>-15797</v>
      </c>
      <c r="D7" s="5" t="n">
        <v>-7601</v>
      </c>
      <c r="E7" s="5" t="n">
        <v>-4721</v>
      </c>
      <c r="F7" s="5" t="n">
        <v>-4843</v>
      </c>
      <c r="I7" t="inlineStr">
        <is>
          <t>Net cash used in investing activities</t>
        </is>
      </c>
      <c r="J7" t="n">
        <v>-4843</v>
      </c>
      <c r="K7" t="n">
        <v>-4721</v>
      </c>
      <c r="L7" t="n">
        <v>-7601</v>
      </c>
      <c r="M7" t="n">
        <v>-15797</v>
      </c>
      <c r="N7" t="n">
        <v>-9463</v>
      </c>
      <c r="Q7" t="inlineStr">
        <is>
          <t>Total Capital Ratio</t>
        </is>
      </c>
      <c r="R7" t="n">
        <v>30.3</v>
      </c>
      <c r="S7" t="n">
        <v>33.4</v>
      </c>
      <c r="T7" t="n">
        <v>26.4</v>
      </c>
      <c r="U7" t="n">
        <v>20.1</v>
      </c>
      <c r="V7" t="n">
        <v>22.9</v>
      </c>
    </row>
    <row r="8">
      <c r="A8" s="5" t="inlineStr">
        <is>
          <t>Net cash (used in)/generated from financing activities</t>
        </is>
      </c>
      <c r="B8" s="5" t="n">
        <v>0</v>
      </c>
      <c r="C8" s="5" t="n">
        <v>-257</v>
      </c>
      <c r="D8" s="5" t="n">
        <v>-462</v>
      </c>
      <c r="E8" s="5" t="n">
        <v>-233</v>
      </c>
      <c r="F8" s="5" t="n">
        <v>0</v>
      </c>
      <c r="I8" t="inlineStr">
        <is>
          <t>Net cash (used in)/generated from financing activities</t>
        </is>
      </c>
      <c r="J8" t="n">
        <v>0</v>
      </c>
      <c r="K8" t="n">
        <v>-233</v>
      </c>
      <c r="L8" t="n">
        <v>-462</v>
      </c>
      <c r="M8" t="n">
        <v>-257</v>
      </c>
      <c r="N8" t="n">
        <v>0</v>
      </c>
      <c r="Q8" t="inlineStr">
        <is>
          <t>Leverage Ratio</t>
        </is>
      </c>
      <c r="R8" t="n">
        <v>5</v>
      </c>
      <c r="S8" t="n">
        <v>6.9</v>
      </c>
      <c r="T8" t="n">
        <v>7.3</v>
      </c>
      <c r="U8" t="n">
        <v>7.4</v>
      </c>
      <c r="V8" t="n">
        <v>9.5</v>
      </c>
    </row>
    <row r="9">
      <c r="A9" s="5" t="inlineStr">
        <is>
          <t>Cash and cash equivalents at end of year</t>
        </is>
      </c>
      <c r="B9" s="5" t="n">
        <v>603059</v>
      </c>
      <c r="C9" s="5" t="n">
        <v>1257559</v>
      </c>
      <c r="D9" s="5" t="n">
        <v>1179607</v>
      </c>
      <c r="E9" s="5" t="n">
        <v>906801</v>
      </c>
      <c r="F9" s="5" t="n">
        <v>1118821</v>
      </c>
      <c r="I9" t="inlineStr">
        <is>
          <t>Cash and cash equivalents at end of year</t>
        </is>
      </c>
      <c r="J9" t="n">
        <v>1118821</v>
      </c>
      <c r="K9" t="n">
        <v>906801</v>
      </c>
      <c r="L9" t="n">
        <v>1179607</v>
      </c>
      <c r="M9" t="n">
        <v>1257559</v>
      </c>
      <c r="N9" t="n">
        <v>603059</v>
      </c>
      <c r="Q9" t="inlineStr">
        <is>
          <t>LCR</t>
        </is>
      </c>
      <c r="R9" t="n">
        <v>132</v>
      </c>
      <c r="S9" t="n">
        <v>143.2</v>
      </c>
      <c r="T9" t="n">
        <v>149.7</v>
      </c>
      <c r="U9" t="n">
        <v>136.4</v>
      </c>
      <c r="V9" t="n">
        <v>134.7</v>
      </c>
    </row>
    <row r="10">
      <c r="Q10" t="inlineStr">
        <is>
          <t>NSFR</t>
        </is>
      </c>
      <c r="R10" t="n">
        <v>211</v>
      </c>
      <c r="S10" t="n">
        <v>206.6</v>
      </c>
      <c r="T10" t="n">
        <v>159.4</v>
      </c>
      <c r="U10" t="n">
        <v>130.9</v>
      </c>
      <c r="V10" t="n">
        <v>130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22.9%</t>
        </is>
      </c>
      <c r="C13" s="6" t="inlineStr">
        <is>
          <t>20.1%</t>
        </is>
      </c>
      <c r="D13" s="6" t="inlineStr">
        <is>
          <t>26.4%</t>
        </is>
      </c>
      <c r="E13" s="6" t="inlineStr">
        <is>
          <t>33.4%</t>
        </is>
      </c>
      <c r="F13" s="6" t="inlineStr">
        <is>
          <t>30.3%</t>
        </is>
      </c>
    </row>
    <row r="14">
      <c r="A14" s="6" t="inlineStr">
        <is>
          <t>Total Capital Ratio</t>
        </is>
      </c>
      <c r="B14" s="6" t="inlineStr">
        <is>
          <t>22.9%</t>
        </is>
      </c>
      <c r="C14" s="6" t="inlineStr">
        <is>
          <t>20.1%</t>
        </is>
      </c>
      <c r="D14" s="6" t="inlineStr">
        <is>
          <t>26.4%</t>
        </is>
      </c>
      <c r="E14" s="6" t="inlineStr">
        <is>
          <t>33.4%</t>
        </is>
      </c>
      <c r="F14" s="6" t="inlineStr">
        <is>
          <t>30.3%</t>
        </is>
      </c>
    </row>
    <row r="15">
      <c r="A15" s="6" t="inlineStr">
        <is>
          <t>Leverage Ratio</t>
        </is>
      </c>
      <c r="B15" s="6" t="inlineStr">
        <is>
          <t>9.5%</t>
        </is>
      </c>
      <c r="C15" s="6" t="inlineStr">
        <is>
          <t>7.4%</t>
        </is>
      </c>
      <c r="D15" s="6" t="inlineStr">
        <is>
          <t>7.3%</t>
        </is>
      </c>
      <c r="E15" s="6" t="inlineStr">
        <is>
          <t>6.9%</t>
        </is>
      </c>
      <c r="F15" s="6" t="inlineStr">
        <is>
          <t>5.0%</t>
        </is>
      </c>
    </row>
    <row r="16">
      <c r="A16" s="6" t="inlineStr">
        <is>
          <t>LCR</t>
        </is>
      </c>
      <c r="B16" s="6" t="inlineStr">
        <is>
          <t>134.7%</t>
        </is>
      </c>
      <c r="C16" s="6" t="inlineStr">
        <is>
          <t>136.4%</t>
        </is>
      </c>
      <c r="D16" s="6" t="inlineStr">
        <is>
          <t>149.7%</t>
        </is>
      </c>
      <c r="E16" s="6" t="inlineStr">
        <is>
          <t>143.2%</t>
        </is>
      </c>
      <c r="F16" s="6" t="inlineStr">
        <is>
          <t>132%</t>
        </is>
      </c>
    </row>
    <row r="17">
      <c r="A17" s="6" t="inlineStr">
        <is>
          <t>NSFR</t>
        </is>
      </c>
      <c r="B17" s="6" t="inlineStr">
        <is>
          <t>130.0%</t>
        </is>
      </c>
      <c r="C17" s="6" t="inlineStr">
        <is>
          <t>130.9%</t>
        </is>
      </c>
      <c r="D17" s="6" t="inlineStr">
        <is>
          <t>159.4%</t>
        </is>
      </c>
      <c r="E17" s="6" t="inlineStr">
        <is>
          <t>206.6%</t>
        </is>
      </c>
      <c r="F17" s="6" t="inlineStr">
        <is>
          <t>211%</t>
        </is>
      </c>
    </row>
    <row r="19" ht="45" customHeight="1">
      <c r="A19" s="7" t="inlineStr">
        <is>
          <t>Note: Figures are duplicated from the detail sheets for at-a-glance trend viewing; see each sheet's own source citation for the underlying document/page. LCR/NSFR shown here use the KM1/average basis from FY2022 onward - see the LCR/NSFR sheets' own CAVEAT note for FY2021/FY2022 basis ambiguity.</t>
        </is>
      </c>
    </row>
  </sheetData>
  <mergeCells count="1">
    <mergeCell ref="A19:F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Statement of Cash Flows</t>
        </is>
      </c>
    </row>
    <row r="2">
      <c r="A2" s="2" t="inlineStr">
        <is>
          <t>Bank-solo basis, £'000. See source note at bottom (genuine restatements and cross-vintage gaps documented).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Cash (outflow)/inflow from operating activities (before tax/lease interest)</t>
        </is>
      </c>
      <c r="B5" s="6" t="n">
        <v>-614029</v>
      </c>
      <c r="C5" s="6" t="n">
        <v>99180</v>
      </c>
      <c r="D5" s="6" t="n">
        <v>308912</v>
      </c>
      <c r="E5" s="6" t="n">
        <v>-242642</v>
      </c>
      <c r="F5" s="6" t="n">
        <v>321062</v>
      </c>
    </row>
    <row r="6">
      <c r="A6" s="6" t="inlineStr">
        <is>
          <t>Tax paid</t>
        </is>
      </c>
      <c r="B6" s="6" t="n">
        <v>-4687</v>
      </c>
      <c r="C6" s="6" t="n">
        <v>-11766</v>
      </c>
      <c r="D6" s="6" t="n">
        <v>-14084</v>
      </c>
      <c r="E6" s="6" t="n">
        <v>-9583</v>
      </c>
      <c r="F6" s="6" t="n">
        <v>-2112</v>
      </c>
    </row>
    <row r="7">
      <c r="A7" s="6" t="inlineStr">
        <is>
          <t>Payments for interest on lease liabilities</t>
        </is>
      </c>
      <c r="B7" s="6" t="n">
        <v>0</v>
      </c>
      <c r="C7" s="6" t="n">
        <v>-33</v>
      </c>
      <c r="D7" s="6" t="n">
        <v>-65</v>
      </c>
      <c r="E7" s="6" t="n">
        <v>-19</v>
      </c>
      <c r="F7" s="6" t="n"/>
    </row>
    <row r="8">
      <c r="A8" s="5" t="inlineStr">
        <is>
          <t>Net cash (used in)/generated from operating activities</t>
        </is>
      </c>
      <c r="B8" s="5" t="n">
        <v>-618716</v>
      </c>
      <c r="C8" s="5" t="n">
        <v>87381</v>
      </c>
      <c r="D8" s="5" t="n">
        <v>294763</v>
      </c>
      <c r="E8" s="5" t="n">
        <v>-252244</v>
      </c>
      <c r="F8" s="5" t="n">
        <v>318950</v>
      </c>
    </row>
    <row r="9">
      <c r="A9" s="5" t="inlineStr">
        <is>
          <t>Investing activities</t>
        </is>
      </c>
      <c r="B9" s="6" t="n"/>
      <c r="C9" s="6" t="n"/>
      <c r="D9" s="6" t="n"/>
      <c r="E9" s="6" t="n"/>
      <c r="F9" s="6" t="n"/>
    </row>
    <row r="10">
      <c r="A10" s="6" t="inlineStr">
        <is>
          <t>Purchase of property, plant and equipment</t>
        </is>
      </c>
      <c r="B10" s="6" t="n">
        <v>-108</v>
      </c>
      <c r="C10" s="6" t="n">
        <v>-2334</v>
      </c>
      <c r="D10" s="6" t="n">
        <v>-416</v>
      </c>
      <c r="E10" s="6" t="n">
        <v>-346</v>
      </c>
      <c r="F10" s="6" t="n">
        <v>-302</v>
      </c>
    </row>
    <row r="11">
      <c r="A11" s="6" t="inlineStr">
        <is>
          <t>Purchase/capitalisation of intangible assets</t>
        </is>
      </c>
      <c r="B11" s="6" t="n">
        <v>-6778</v>
      </c>
      <c r="C11" s="6" t="n">
        <v>-12141</v>
      </c>
      <c r="D11" s="6" t="n">
        <v>-6642</v>
      </c>
      <c r="E11" s="6" t="n">
        <v>-4375</v>
      </c>
      <c r="F11" s="6" t="n">
        <v>-4313</v>
      </c>
    </row>
    <row r="12">
      <c r="A12" s="6" t="inlineStr">
        <is>
          <t>Sale/(purchase) of equity investments/shares/exchange traded funds</t>
        </is>
      </c>
      <c r="B12" s="6" t="n"/>
      <c r="C12" s="6" t="n">
        <v>-53</v>
      </c>
      <c r="D12" s="6" t="n"/>
      <c r="E12" s="6" t="n"/>
      <c r="F12" s="6" t="n">
        <v>-228</v>
      </c>
    </row>
    <row r="13">
      <c r="A13" s="6" t="inlineStr">
        <is>
          <t>Purchase of investments in subsidiary undertakings</t>
        </is>
      </c>
      <c r="B13" s="6" t="n">
        <v>-2577</v>
      </c>
      <c r="C13" s="6" t="n">
        <v>-1269</v>
      </c>
      <c r="D13" s="6" t="n">
        <v>-543</v>
      </c>
      <c r="E13" s="6" t="n"/>
      <c r="F13" s="6" t="n"/>
    </row>
    <row r="14">
      <c r="A14" s="5" t="inlineStr">
        <is>
          <t>Net cash used in investing activities</t>
        </is>
      </c>
      <c r="B14" s="5" t="n">
        <v>-9463</v>
      </c>
      <c r="C14" s="5" t="n">
        <v>-15797</v>
      </c>
      <c r="D14" s="5" t="n">
        <v>-7601</v>
      </c>
      <c r="E14" s="5" t="n">
        <v>-4721</v>
      </c>
      <c r="F14" s="5" t="n">
        <v>-4843</v>
      </c>
    </row>
    <row r="15">
      <c r="A15" s="5" t="inlineStr">
        <is>
          <t>Financing activities</t>
        </is>
      </c>
      <c r="B15" s="6" t="n"/>
      <c r="C15" s="6" t="n"/>
      <c r="D15" s="6" t="n"/>
      <c r="E15" s="6" t="n"/>
      <c r="F15" s="6" t="n"/>
    </row>
    <row r="16">
      <c r="A16" s="6" t="inlineStr">
        <is>
          <t>Repayment of principal portion of lease liability</t>
        </is>
      </c>
      <c r="B16" s="6" t="n"/>
      <c r="C16" s="6" t="n">
        <v>-257</v>
      </c>
      <c r="D16" s="6" t="n">
        <v>-462</v>
      </c>
      <c r="E16" s="6" t="n">
        <v>-233</v>
      </c>
      <c r="F16" s="6" t="n"/>
    </row>
    <row r="17">
      <c r="A17" s="6" t="inlineStr">
        <is>
          <t>Reduction in overdraft</t>
        </is>
      </c>
      <c r="B17" s="6" t="n"/>
      <c r="C17" s="6" t="n"/>
      <c r="D17" s="6" t="n"/>
      <c r="E17" s="6" t="n"/>
      <c r="F17" s="6" t="n"/>
    </row>
    <row r="18">
      <c r="A18" s="5" t="inlineStr">
        <is>
          <t>Net cash (used in)/generated from financing activities</t>
        </is>
      </c>
      <c r="B18" s="5" t="n">
        <v>0</v>
      </c>
      <c r="C18" s="5" t="n">
        <v>-257</v>
      </c>
      <c r="D18" s="5" t="n">
        <v>-462</v>
      </c>
      <c r="E18" s="5" t="n">
        <v>-233</v>
      </c>
      <c r="F18" s="5" t="n">
        <v>0</v>
      </c>
    </row>
    <row r="19">
      <c r="A19" s="5" t="inlineStr">
        <is>
          <t>Net (decrease)/increase in cash and cash equivalents</t>
        </is>
      </c>
      <c r="B19" s="5" t="n">
        <v>-628179</v>
      </c>
      <c r="C19" s="5" t="n">
        <v>71327</v>
      </c>
      <c r="D19" s="5" t="n">
        <v>286700</v>
      </c>
      <c r="E19" s="5" t="n">
        <v>-257198</v>
      </c>
      <c r="F19" s="5" t="n">
        <v>314107</v>
      </c>
    </row>
    <row r="20">
      <c r="A20" s="6" t="inlineStr">
        <is>
          <t>Cash and cash equivalents at the beginning of the year</t>
        </is>
      </c>
      <c r="B20" s="6" t="n">
        <v>1257559</v>
      </c>
      <c r="C20" s="6" t="n">
        <v>1181046</v>
      </c>
      <c r="D20" s="6" t="n">
        <v>906801</v>
      </c>
      <c r="E20" s="6" t="n">
        <v>1113467</v>
      </c>
      <c r="F20" s="6" t="n">
        <v>803412</v>
      </c>
    </row>
    <row r="21">
      <c r="A21" s="6" t="inlineStr">
        <is>
          <t>Effect of exchange rate changes on cash and cash equivalents</t>
        </is>
      </c>
      <c r="B21" s="6" t="n">
        <v>-26321</v>
      </c>
      <c r="C21" s="6" t="n">
        <v>5186</v>
      </c>
      <c r="D21" s="6" t="n">
        <v>-13894</v>
      </c>
      <c r="E21" s="6" t="n">
        <v>50531</v>
      </c>
      <c r="F21" s="6" t="n">
        <v>1302</v>
      </c>
    </row>
    <row r="22">
      <c r="A22" s="5" t="inlineStr">
        <is>
          <t>Cash and cash equivalents at the end of the year</t>
        </is>
      </c>
      <c r="B22" s="5" t="n">
        <v>603059</v>
      </c>
      <c r="C22" s="5" t="n">
        <v>1257559</v>
      </c>
      <c r="D22" s="5" t="n">
        <v>1179607</v>
      </c>
      <c r="E22" s="5" t="n">
        <v>906801</v>
      </c>
      <c r="F22" s="5" t="n">
        <v>1118821</v>
      </c>
    </row>
    <row r="24" ht="340" customHeight="1">
      <c r="A24" s="8" t="inlineStr">
        <is>
          <t>Sources - all figures are Crown Agents Bank Limited's own Statement of Cash Flows (Bank-solo, no subsidiaries consolidated):
FY2025/FY2024: Annual Report and Financial Statements 2025, p.56-57 &amp; p.105-106 (Statement of Cash Flows + Note 28 reconciliation) - https://www.crownagentsbank.com/wp-content/uploads/2026/04/Crown-Agents-Bank-2025-Annual-Report.pdf
FY2023: Annual Report and Financial Statements 2023, p.59 (Statement of cash flows) - http://www.crownagentsbank.com/wp-content/uploads/2025/09/cab_fs_ye_2023_signed_3_april_2024_audited.pdf
FY2022/FY2021 (own originally-published figures, not FY2023's or FY2022's restated comparatives): Annual Report and Financial Statements 2022, p.41 (Statement of Cash Flows) - http://www.crownagentsbank.com/wp-content/uploads/2025/09/cab_financial_statements_2022_signed_19_april_formatted_version.pdf; Annual Report and Financial Statements 2021, p.38 (Cash Flow Statement) - http://www.crownagentsbank.com/wp-content/uploads/2025/09/cab_2021_financial_statements_1_apr.pdf
Crown Agents Bank Limited (FRN 204456, company 02334687) is the PRA-regulated bank entity - distinct from its LSE-listed ultimate parent CAB Payments Holdings plc (which IPO'd in 2023 and has faced separate, unrelated corporate-control events - a withdrawn possible offer from StoneX and an unrecommended offer from Helios - neither of which affects this Bank entity's own figures below). All figures are the Bank's OWN entity-level disclosures (Companies House filing history and the Bank's own Pillar 3 documents), not the wider listed Group's consolidated figures, which are published separately under the "CAB Payments Holdings plc" name and are NOT used here.
RESTATEMENTS: two genuine cross-vintage restatements were found in the cash flow statement. FY2022's own originally-published net cash used in operating activities was £(252,244)k; the FY2023 Annual Report's own comparative column restates this to £(236,806)k (a £15,438k difference), with no explanation located for the change. FY2021's own originally-published net cash generated from operating activities was £318,950k; the FY2022 Annual Report's own comparative column restates this to £313,819k (a £5,131k difference). Per project convention, each year's own originally-published figures are used throughout (not later restated comparatives).
Two minor, unexplained cross-vintage cash-bridge gaps also exist and are left as genuinely reported rather than forced to reconcile: FY2021's own closing balance (£1,118,821k) does not match FY2022's own opening balance (£1,113,467k), a £5,354k gap; FY2023's own closing balance (£1,179,607k) does not exactly match FY2024's own opening balance (£1,181,046k), a £1,439k gap.</t>
        </is>
      </c>
    </row>
  </sheetData>
  <mergeCells count="1">
    <mergeCell ref="A24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56661</v>
      </c>
    </row>
    <row r="5" ht="60" customHeight="1">
      <c r="A5" s="7" t="inlineStr">
        <is>
          <t>Note: FY2021's CET1/Tier1/Total Capital (£56,661k) is CALCULATED (RWA £187,000k x CET1 Ratio 30.3%) since no absolute capital figure was directly disclosed for FY2021, only the ratio and RWA - flagged, not guessed.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30.3%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Capital</t>
        </is>
      </c>
    </row>
    <row r="2">
      <c r="A2" s="2" t="inlineStr">
        <is>
          <t>£'000 (= CET1 Capital; no AT1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56661</v>
      </c>
    </row>
    <row r="5" ht="60" customHeight="1">
      <c r="A5" s="7" t="inlineStr">
        <is>
          <t>Note: FY2021's CET1/Tier1/Total Capital (£56,661k) is CALCULATED (RWA £187,000k x CET1 Ratio 30.3%) since no absolute capital figure was directly disclosed for FY2021, only the ratio and RWA - flagged, not guessed.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30.3%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</t>
        </is>
      </c>
    </row>
    <row r="2">
      <c r="A2" s="2" t="inlineStr">
        <is>
          <t>£'000 (= CET1 Capital; no Tier 2 instruments)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141776</v>
      </c>
      <c r="C4" s="6" t="n">
        <v>126265</v>
      </c>
      <c r="D4" s="6" t="n">
        <v>115358</v>
      </c>
      <c r="E4" s="6" t="n">
        <v>89871</v>
      </c>
      <c r="F4" s="6" t="n">
        <v>56661</v>
      </c>
    </row>
    <row r="5" ht="60" customHeight="1">
      <c r="A5" s="7" t="inlineStr">
        <is>
          <t>Note: FY2021's CET1/Tier1/Total Capital (£56,661k) is CALCULATED (RWA £187,000k x CET1 Ratio 30.3%) since no absolute capital figure was directly disclosed for FY2021, only the ratio and RWA - flagged, not guessed. All other years (FY2022 onward) are directly disclosed in the respective year's own KM1 table (FY2022's calculated cross-check: £269,258k x 33.4% = £89,933k vs the directly-disclosed £89,871k - matches closely, confirming the calculation method is sound).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22.9%</t>
        </is>
      </c>
      <c r="C4" s="6" t="inlineStr">
        <is>
          <t>20.1%</t>
        </is>
      </c>
      <c r="D4" s="6" t="inlineStr">
        <is>
          <t>26.4%</t>
        </is>
      </c>
      <c r="E4" s="6" t="inlineStr">
        <is>
          <t>33.4%</t>
        </is>
      </c>
      <c r="F4" s="6" t="inlineStr">
        <is>
          <t>30.3%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619414</v>
      </c>
      <c r="C4" s="6" t="n">
        <v>627016</v>
      </c>
      <c r="D4" s="6" t="n">
        <v>436220</v>
      </c>
      <c r="E4" s="6" t="n">
        <v>269258</v>
      </c>
      <c r="F4" s="6" t="n">
        <v>187000</v>
      </c>
    </row>
    <row r="5" ht="60" customHeight="1">
      <c r="A5" s="7" t="inlineStr">
        <is>
          <t>Note: FY2021's RWA (£187m) is directly stated in the FY2022 document's own comparative column (rounded to the nearest £m, not disclosed to the £'000). All other years disclosed to the £'000 in their own KM1 tables.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Leverage Ratio</t>
        </is>
      </c>
    </row>
    <row r="2">
      <c r="A2" s="2" t="inlineStr">
        <is>
          <t>%, excluding claims on central banks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9.5%</t>
        </is>
      </c>
      <c r="C4" s="6" t="inlineStr">
        <is>
          <t>7.4%</t>
        </is>
      </c>
      <c r="D4" s="6" t="inlineStr">
        <is>
          <t>7.3%</t>
        </is>
      </c>
      <c r="E4" s="6" t="inlineStr">
        <is>
          <t>6.9%</t>
        </is>
      </c>
      <c r="F4" s="6" t="inlineStr">
        <is>
          <t>5.0%</t>
        </is>
      </c>
    </row>
    <row r="6" ht="170" customHeight="1">
      <c r="A6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134.7%</t>
        </is>
      </c>
      <c r="C4" s="6" t="inlineStr">
        <is>
          <t>136.4%</t>
        </is>
      </c>
      <c r="D4" s="6" t="inlineStr">
        <is>
          <t>149.7%</t>
        </is>
      </c>
      <c r="E4" s="6" t="inlineStr">
        <is>
          <t>143.2%</t>
        </is>
      </c>
      <c r="F4" s="6" t="inlineStr">
        <is>
          <t>132%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130.0%</t>
        </is>
      </c>
      <c r="C4" s="6" t="inlineStr">
        <is>
          <t>130.9%</t>
        </is>
      </c>
      <c r="D4" s="6" t="inlineStr">
        <is>
          <t>159.4%</t>
        </is>
      </c>
      <c r="E4" s="6" t="inlineStr">
        <is>
          <t>206.6%</t>
        </is>
      </c>
      <c r="F4" s="6" t="inlineStr">
        <is>
          <t>211%</t>
        </is>
      </c>
    </row>
    <row r="5" ht="60" customHeight="1">
      <c r="A5" s="7" t="inlineStr">
        <is>
          <t>Note: LIQUIDITY RATIO BASIS CAVEAT: the FY2022 Pillar 3 document's own "Summary of Key Ratios" table shows LCR 158% and NSFR 213% for FY2022, and LCR 132%/NSFR 211% for FY2021 - but the FY2023 document's own KM1 table, which explicitly states its LCR is a "12 month average" and NSFR a "4 quarter average", gives a materially different Dec-2022 comparative (LCR 143.2%, NSFR 206.6%). This is the same spot-vs-average LCR/NSFR basis trap seen elsewhere in this project (e.g. ALRAYAN Bank, Bank of Africa UK) - the FY2022 document's own summary table doesn't state its methodology explicitly, but the gap strongly suggests a different (likely point-in-time/spot) basis. Used the KM1/average-basis figure for FY2022 (143.2%/206.6%) for consistency with every other bank in this project; the FY2022 document's own 158%/213% figures are documented here for reference. FY2021 has no KM1-basis alternative available (predates the KM1 template rollout, per the FY2022 document's own note that UK banks became subject to the current regime from 1 January 2022) - FY2021's 132%/211% are used as the only figures found, flagged as likely not directly comparable to FY2022-onward's KM1-basis figures.</t>
        </is>
      </c>
    </row>
    <row r="7" ht="17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Crown Agents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- no MREL figure or exemption statement found in any of the 5 years' Pillar 3 documents reviewed.</t>
        </is>
      </c>
    </row>
    <row r="7" ht="150" customHeight="1">
      <c r="A7" s="8" t="inlineStr">
        <is>
          <t xml:space="preserve">Sources - Crown Agents Bank Limited Pillar 3 basis (Bank-solo, UK KM1 Key Metrics table unless noted):
FY2025: Pillar 3 Disclosures - 31 December 2025, p.9 (UK KM1) - https://www.crownagentsbank.com/wp-content/uploads/2026/04/CAB-Pillar-3-Document-2025-FINAL.pdf
FY2024: Pillar 3 Disclosures - 31 December 2024, p.9 (UK KM1) - http://www.crownagentsbank.com/wp-content/uploads/2025/09/cab_pillar_3_-_document_2024_post_bac.pdf
FY2023: Pillar 3 Disclosures - 31 December 2023, p.9 (UK KM1) - http://www.crownagentsbank.com/wp-content/uploads/2025/09/2023_cab_pillar_3_disclosures_final.pdf
FY2022: Pillar 3 Disclosures - 31 December 2022, p.9 (Summary of Key Ratios - pre-KM1-template format) - http://www.crownagentsbank.com/wp-content/uploads/2025/09/cab_pillar_3_disclosures_2022_v3.pdf, cross-checked against FY2023's own KM1 comparative column where available
FY2021: sourced from the FY2022 document's own comparative column (p.9, Summary of Key Ratios) - http://www.crownagentsbank.com/wp-content/uploads/2025/09/cab_pillar_3_disclosures_2022_v3.pdf - no capital/liquidity summary table was located within budget in the FY2021 Pillar 3 document itself.
FY2021 predates the UK's post-Brexit CRR/KM1 regulatory regime, which UK banks became subject to from 1 January 2022 (per the FY2022 document's own Introduction) - FY2021 figures may not be directly comparable to FY2022 onward on a like-for-like basis.
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2026-08-28T04:08:50Z</dcterms:created>
  <dcterms:modified xsi:type="dcterms:W3CDTF">2026-08-28T04:08:50Z</dcterms:modified>
</cp:coreProperties>
</file>