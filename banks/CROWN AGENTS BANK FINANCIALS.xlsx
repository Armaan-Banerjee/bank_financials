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152C"/>
        <bgColor rgb="00A9152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Crown Agents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Crown Agents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Crown Agents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Crown Agents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Crown Agents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Crown Agents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1670569</v>
      </c>
      <c r="C6" s="5" t="n">
        <v>1818011</v>
      </c>
      <c r="D6" s="5" t="n">
        <v>1747981</v>
      </c>
      <c r="E6" s="5" t="n">
        <v>1482442</v>
      </c>
      <c r="F6" s="5" t="n">
        <v>1311970</v>
      </c>
      <c r="I6" t="inlineStr">
        <is>
          <t>Total assets</t>
        </is>
      </c>
      <c r="J6" t="n">
        <v>1311970</v>
      </c>
      <c r="K6" t="n">
        <v>1482442</v>
      </c>
      <c r="L6" t="n">
        <v>1747981</v>
      </c>
      <c r="M6" t="n">
        <v>1818011</v>
      </c>
      <c r="N6" t="n">
        <v>1670569</v>
      </c>
      <c r="AO6" t="inlineStr">
        <is>
          <t>CET1 Ratio</t>
        </is>
      </c>
      <c r="AP6" t="n">
        <v>30.5</v>
      </c>
      <c r="AQ6" t="n">
        <v>33.4</v>
      </c>
      <c r="AR6" t="n">
        <v>26.4</v>
      </c>
      <c r="AS6" t="n">
        <v>20.1</v>
      </c>
      <c r="AT6" t="n">
        <v>22.9</v>
      </c>
    </row>
    <row r="7">
      <c r="A7" s="5" t="inlineStr">
        <is>
          <t>Loans and advances to customers / non-banks</t>
        </is>
      </c>
      <c r="B7" s="5" t="n">
        <v>21521</v>
      </c>
      <c r="C7" s="5" t="n">
        <v>32564</v>
      </c>
      <c r="D7" s="5" t="n">
        <v>8216</v>
      </c>
      <c r="E7" s="5" t="n">
        <v>4748</v>
      </c>
      <c r="F7" s="5" t="n"/>
      <c r="I7" t="inlineStr">
        <is>
          <t>Loans and advances to customers / non-banks</t>
        </is>
      </c>
      <c r="K7" t="n">
        <v>4748</v>
      </c>
      <c r="L7" t="n">
        <v>8216</v>
      </c>
      <c r="M7" t="n">
        <v>32564</v>
      </c>
      <c r="N7" t="n">
        <v>21521</v>
      </c>
      <c r="AO7" t="inlineStr">
        <is>
          <t>Total Capital Ratio</t>
        </is>
      </c>
      <c r="AP7" t="n">
        <v>30.5</v>
      </c>
      <c r="AQ7" t="n">
        <v>33.4</v>
      </c>
      <c r="AR7" t="n">
        <v>26.4</v>
      </c>
      <c r="AS7" t="n">
        <v>20.1</v>
      </c>
      <c r="AT7" t="n">
        <v>22.9</v>
      </c>
    </row>
    <row r="8">
      <c r="A8" s="5" t="inlineStr">
        <is>
          <t>Customer accounts</t>
        </is>
      </c>
      <c r="B8" s="5" t="n">
        <v>1441097</v>
      </c>
      <c r="C8" s="5" t="n">
        <v>1589481</v>
      </c>
      <c r="D8" s="5" t="n">
        <v>1546632</v>
      </c>
      <c r="E8" s="5" t="n">
        <v>1310809</v>
      </c>
      <c r="F8" s="5" t="n">
        <v>1194682</v>
      </c>
      <c r="I8" t="inlineStr">
        <is>
          <t>Customer accounts</t>
        </is>
      </c>
      <c r="J8" t="n">
        <v>1194682</v>
      </c>
      <c r="K8" t="n">
        <v>1310809</v>
      </c>
      <c r="L8" t="n">
        <v>1546632</v>
      </c>
      <c r="M8" t="n">
        <v>1589481</v>
      </c>
      <c r="N8" t="n">
        <v>1441097</v>
      </c>
      <c r="AO8" t="inlineStr">
        <is>
          <t>Leverage Ratio</t>
        </is>
      </c>
      <c r="AP8" t="n">
        <v>5</v>
      </c>
      <c r="AQ8" t="n">
        <v>6.9</v>
      </c>
      <c r="AR8" t="n">
        <v>7.3</v>
      </c>
      <c r="AS8" t="n">
        <v>7.4</v>
      </c>
      <c r="AT8" t="n">
        <v>9.5</v>
      </c>
    </row>
    <row r="9">
      <c r="A9" s="5" t="inlineStr">
        <is>
          <t>Total equity / shareholders' funds</t>
        </is>
      </c>
      <c r="B9" s="5" t="n">
        <v>165799</v>
      </c>
      <c r="C9" s="5" t="n">
        <v>150598</v>
      </c>
      <c r="D9" s="5" t="n">
        <v>134204</v>
      </c>
      <c r="E9" s="5" t="n">
        <v>109928</v>
      </c>
      <c r="F9" s="5" t="n">
        <v>75204</v>
      </c>
      <c r="I9" t="inlineStr">
        <is>
          <t>Total equity / shareholders' funds</t>
        </is>
      </c>
      <c r="J9" t="n">
        <v>75204</v>
      </c>
      <c r="K9" t="n">
        <v>109928</v>
      </c>
      <c r="L9" t="n">
        <v>134204</v>
      </c>
      <c r="M9" t="n">
        <v>150598</v>
      </c>
      <c r="N9" t="n">
        <v>165799</v>
      </c>
      <c r="AO9" t="inlineStr">
        <is>
          <t>LCR</t>
        </is>
      </c>
      <c r="AP9" t="n">
        <v>132</v>
      </c>
      <c r="AQ9" t="n">
        <v>143.2</v>
      </c>
      <c r="AR9" t="n">
        <v>149.7</v>
      </c>
      <c r="AS9" t="n">
        <v>136.4</v>
      </c>
      <c r="AT9" t="n">
        <v>134.7</v>
      </c>
    </row>
    <row r="10">
      <c r="AO10" t="inlineStr">
        <is>
          <t>NSFR</t>
        </is>
      </c>
      <c r="AP10" t="n">
        <v>211</v>
      </c>
      <c r="AQ10" t="n">
        <v>206.6</v>
      </c>
      <c r="AR10" t="n">
        <v>159.4</v>
      </c>
      <c r="AS10" t="n">
        <v>130.9</v>
      </c>
      <c r="AT10"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 operating income</t>
        </is>
      </c>
      <c r="B13" s="5" t="n">
        <v>118203</v>
      </c>
      <c r="C13" s="5" t="n">
        <v>106499</v>
      </c>
      <c r="D13" s="5" t="n">
        <v>137423</v>
      </c>
      <c r="E13" s="5" t="n">
        <v>109388</v>
      </c>
      <c r="F13" s="5" t="n">
        <v>53405</v>
      </c>
      <c r="Q13" t="inlineStr">
        <is>
          <t>Total income / operating income</t>
        </is>
      </c>
      <c r="R13" t="n">
        <v>53405</v>
      </c>
      <c r="S13" t="n">
        <v>109388</v>
      </c>
      <c r="T13" t="n">
        <v>137423</v>
      </c>
      <c r="U13" t="n">
        <v>106499</v>
      </c>
      <c r="V13" t="n">
        <v>118203</v>
      </c>
    </row>
    <row r="14">
      <c r="A14" s="5" t="inlineStr">
        <is>
          <t>Operating expenses</t>
        </is>
      </c>
      <c r="B14" s="5" t="n">
        <v>-97050</v>
      </c>
      <c r="C14" s="5" t="n">
        <v>-85931</v>
      </c>
      <c r="D14" s="5" t="n">
        <v>-79472</v>
      </c>
      <c r="E14" s="5" t="n">
        <v>-64357</v>
      </c>
      <c r="F14" s="5" t="n">
        <v>-42733</v>
      </c>
      <c r="Q14" t="inlineStr">
        <is>
          <t>Operating expenses</t>
        </is>
      </c>
      <c r="R14" t="n">
        <v>-42733</v>
      </c>
      <c r="S14" t="n">
        <v>-64357</v>
      </c>
      <c r="T14" t="n">
        <v>-79472</v>
      </c>
      <c r="U14" t="n">
        <v>-85931</v>
      </c>
      <c r="V14" t="n">
        <v>-97050</v>
      </c>
    </row>
    <row r="15">
      <c r="A15" s="5" t="inlineStr">
        <is>
          <t>Profit for the year</t>
        </is>
      </c>
      <c r="B15" s="5" t="n">
        <v>14509</v>
      </c>
      <c r="C15" s="5" t="n">
        <v>15391</v>
      </c>
      <c r="D15" s="5" t="n">
        <v>42789</v>
      </c>
      <c r="E15" s="5" t="n">
        <v>34258</v>
      </c>
      <c r="F15" s="5" t="n">
        <v>8658</v>
      </c>
      <c r="Q15" t="inlineStr">
        <is>
          <t>Profit for the year</t>
        </is>
      </c>
      <c r="R15" t="n">
        <v>8658</v>
      </c>
      <c r="S15" t="n">
        <v>34258</v>
      </c>
      <c r="T15" t="n">
        <v>42789</v>
      </c>
      <c r="U15" t="n">
        <v>15391</v>
      </c>
      <c r="V15" t="n">
        <v>14509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150598</v>
      </c>
      <c r="C19" s="5" t="n">
        <v>134204</v>
      </c>
      <c r="D19" s="5" t="n">
        <v>109928</v>
      </c>
      <c r="E19" s="5" t="n">
        <v>75150</v>
      </c>
      <c r="F19" s="5" t="n">
        <v>66288</v>
      </c>
      <c r="Y19" t="inlineStr">
        <is>
          <t>Opening equity</t>
        </is>
      </c>
      <c r="Z19" t="n">
        <v>66288</v>
      </c>
      <c r="AA19" t="n">
        <v>75150</v>
      </c>
      <c r="AB19" t="n">
        <v>109928</v>
      </c>
      <c r="AC19" t="n">
        <v>134204</v>
      </c>
      <c r="AD19" t="n">
        <v>150598</v>
      </c>
    </row>
    <row r="20">
      <c r="A20" s="5" t="inlineStr">
        <is>
          <t>Total comprehensive income for the year</t>
        </is>
      </c>
      <c r="B20" s="5" t="n">
        <v>14411</v>
      </c>
      <c r="C20" s="5" t="n">
        <v>15406</v>
      </c>
      <c r="D20" s="5" t="n">
        <v>42804</v>
      </c>
      <c r="E20" s="5" t="n">
        <v>34329</v>
      </c>
      <c r="F20" s="5" t="n">
        <v>8658</v>
      </c>
      <c r="Y20" t="inlineStr">
        <is>
          <t>Total comprehensive income for the year</t>
        </is>
      </c>
      <c r="Z20" t="n">
        <v>8658</v>
      </c>
      <c r="AA20" t="n">
        <v>34329</v>
      </c>
      <c r="AB20" t="n">
        <v>42804</v>
      </c>
      <c r="AC20" t="n">
        <v>15406</v>
      </c>
      <c r="AD20" t="n">
        <v>14411</v>
      </c>
    </row>
    <row r="21">
      <c r="A21" s="5" t="inlineStr">
        <is>
          <t>Other equity movements, net</t>
        </is>
      </c>
      <c r="B21" s="5" t="n">
        <v>790</v>
      </c>
      <c r="C21" s="5" t="n">
        <v>988</v>
      </c>
      <c r="D21" s="5" t="n">
        <v>-18528</v>
      </c>
      <c r="E21" s="5" t="n">
        <v>449</v>
      </c>
      <c r="F21" s="5" t="n">
        <v>258</v>
      </c>
      <c r="Y21" t="inlineStr">
        <is>
          <t>Other equity movements, net</t>
        </is>
      </c>
      <c r="Z21" t="n">
        <v>258</v>
      </c>
      <c r="AA21" t="n">
        <v>449</v>
      </c>
      <c r="AB21" t="n">
        <v>-18528</v>
      </c>
      <c r="AC21" t="n">
        <v>988</v>
      </c>
      <c r="AD21" t="n">
        <v>790</v>
      </c>
    </row>
    <row r="22">
      <c r="A22" s="5" t="inlineStr">
        <is>
          <t>Closing equity</t>
        </is>
      </c>
      <c r="B22" s="5" t="n">
        <v>165799</v>
      </c>
      <c r="C22" s="5" t="n">
        <v>150598</v>
      </c>
      <c r="D22" s="5" t="n">
        <v>134204</v>
      </c>
      <c r="E22" s="5" t="n">
        <v>109928</v>
      </c>
      <c r="F22" s="5" t="n">
        <v>75204</v>
      </c>
      <c r="Y22" t="inlineStr">
        <is>
          <t>Closing equity</t>
        </is>
      </c>
      <c r="Z22" t="n">
        <v>75204</v>
      </c>
      <c r="AA22" t="n">
        <v>109928</v>
      </c>
      <c r="AB22" t="n">
        <v>134204</v>
      </c>
      <c r="AC22" t="n">
        <v>150598</v>
      </c>
      <c r="AD22" t="n">
        <v>165799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-618716</v>
      </c>
      <c r="C26" s="5" t="n">
        <v>87381</v>
      </c>
      <c r="D26" s="5" t="n">
        <v>294763</v>
      </c>
      <c r="E26" s="5" t="n">
        <v>-252244</v>
      </c>
      <c r="F26" s="5" t="n">
        <v>318950</v>
      </c>
      <c r="AG26" t="inlineStr">
        <is>
          <t>Net cash (used in)/generated from operating activities</t>
        </is>
      </c>
      <c r="AH26" t="n">
        <v>318950</v>
      </c>
      <c r="AI26" t="n">
        <v>-252244</v>
      </c>
      <c r="AJ26" t="n">
        <v>294763</v>
      </c>
      <c r="AK26" t="n">
        <v>87381</v>
      </c>
      <c r="AL26" t="n">
        <v>-618716</v>
      </c>
    </row>
    <row r="27">
      <c r="A27" s="5" t="inlineStr">
        <is>
          <t>Net cash used in investing activities</t>
        </is>
      </c>
      <c r="B27" s="5" t="n">
        <v>-9463</v>
      </c>
      <c r="C27" s="5" t="n">
        <v>-15797</v>
      </c>
      <c r="D27" s="5" t="n">
        <v>-7601</v>
      </c>
      <c r="E27" s="5" t="n">
        <v>-4721</v>
      </c>
      <c r="F27" s="5" t="n">
        <v>-4843</v>
      </c>
      <c r="AG27" t="inlineStr">
        <is>
          <t>Net cash used in investing activities</t>
        </is>
      </c>
      <c r="AH27" t="n">
        <v>-4843</v>
      </c>
      <c r="AI27" t="n">
        <v>-4721</v>
      </c>
      <c r="AJ27" t="n">
        <v>-7601</v>
      </c>
      <c r="AK27" t="n">
        <v>-15797</v>
      </c>
      <c r="AL27" t="n">
        <v>-9463</v>
      </c>
    </row>
    <row r="28">
      <c r="A28" s="5" t="inlineStr">
        <is>
          <t>Net cash (used in)/generated from financing activities</t>
        </is>
      </c>
      <c r="B28" s="5" t="n">
        <v>0</v>
      </c>
      <c r="C28" s="5" t="n">
        <v>-257</v>
      </c>
      <c r="D28" s="5" t="n">
        <v>-462</v>
      </c>
      <c r="E28" s="5" t="n">
        <v>-233</v>
      </c>
      <c r="F28" s="5" t="n">
        <v>0</v>
      </c>
      <c r="AG28" t="inlineStr">
        <is>
          <t>Net cash (used in)/generated from financing activities</t>
        </is>
      </c>
      <c r="AH28" t="n">
        <v>0</v>
      </c>
      <c r="AI28" t="n">
        <v>-233</v>
      </c>
      <c r="AJ28" t="n">
        <v>-462</v>
      </c>
      <c r="AK28" t="n">
        <v>-257</v>
      </c>
      <c r="AL28" t="n">
        <v>0</v>
      </c>
    </row>
    <row r="29">
      <c r="A29" s="5" t="inlineStr">
        <is>
          <t>Cash and cash equivalents at end of year</t>
        </is>
      </c>
      <c r="B29" s="5" t="n">
        <v>603059</v>
      </c>
      <c r="C29" s="5" t="n">
        <v>1257559</v>
      </c>
      <c r="D29" s="5" t="n">
        <v>1179607</v>
      </c>
      <c r="E29" s="5" t="n">
        <v>906801</v>
      </c>
      <c r="F29" s="5" t="n">
        <v>1118821</v>
      </c>
      <c r="AG29" t="inlineStr">
        <is>
          <t>Cash and cash equivalents at end of year</t>
        </is>
      </c>
      <c r="AH29" t="n">
        <v>1118821</v>
      </c>
      <c r="AI29" t="n">
        <v>906801</v>
      </c>
      <c r="AJ29" t="n">
        <v>1179607</v>
      </c>
      <c r="AK29" t="n">
        <v>1257559</v>
      </c>
      <c r="AL29" t="n">
        <v>603059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22.9%</t>
        </is>
      </c>
      <c r="C33" s="6" t="inlineStr">
        <is>
          <t>20.1%</t>
        </is>
      </c>
      <c r="D33" s="6" t="inlineStr">
        <is>
          <t>26.4%</t>
        </is>
      </c>
      <c r="E33" s="6" t="inlineStr">
        <is>
          <t>33.4%</t>
        </is>
      </c>
      <c r="F33" s="6" t="inlineStr">
        <is>
          <t>30.5%</t>
        </is>
      </c>
    </row>
    <row r="34">
      <c r="A34" s="6" t="inlineStr">
        <is>
          <t>Total Capital Ratio</t>
        </is>
      </c>
      <c r="B34" s="6" t="inlineStr">
        <is>
          <t>22.9%</t>
        </is>
      </c>
      <c r="C34" s="6" t="inlineStr">
        <is>
          <t>20.1%</t>
        </is>
      </c>
      <c r="D34" s="6" t="inlineStr">
        <is>
          <t>26.4%</t>
        </is>
      </c>
      <c r="E34" s="6" t="inlineStr">
        <is>
          <t>33.4%</t>
        </is>
      </c>
      <c r="F34" s="6" t="inlineStr">
        <is>
          <t>30.5%</t>
        </is>
      </c>
    </row>
    <row r="35">
      <c r="A35" s="6" t="inlineStr">
        <is>
          <t>Leverage Ratio</t>
        </is>
      </c>
      <c r="B35" s="6" t="inlineStr">
        <is>
          <t>9.5%</t>
        </is>
      </c>
      <c r="C35" s="6" t="inlineStr">
        <is>
          <t>7.4%</t>
        </is>
      </c>
      <c r="D35" s="6" t="inlineStr">
        <is>
          <t>7.3%</t>
        </is>
      </c>
      <c r="E35" s="6" t="inlineStr">
        <is>
          <t>6.9%</t>
        </is>
      </c>
      <c r="F35" s="6" t="inlineStr">
        <is>
          <t>5.0%</t>
        </is>
      </c>
    </row>
    <row r="36">
      <c r="A36" s="6" t="inlineStr">
        <is>
          <t>LCR</t>
        </is>
      </c>
      <c r="B36" s="6" t="inlineStr">
        <is>
          <t>134.7%</t>
        </is>
      </c>
      <c r="C36" s="6" t="inlineStr">
        <is>
          <t>136.4%</t>
        </is>
      </c>
      <c r="D36" s="6" t="inlineStr">
        <is>
          <t>149.7%</t>
        </is>
      </c>
      <c r="E36" s="6" t="inlineStr">
        <is>
          <t>143.2%</t>
        </is>
      </c>
      <c r="F36" s="6" t="inlineStr">
        <is>
          <t>132%</t>
        </is>
      </c>
    </row>
    <row r="37">
      <c r="A37" s="6" t="inlineStr">
        <is>
          <t>NSFR</t>
        </is>
      </c>
      <c r="B37" s="6" t="inlineStr">
        <is>
          <t>130.0%</t>
        </is>
      </c>
      <c r="C37" s="6" t="inlineStr">
        <is>
          <t>130.9%</t>
        </is>
      </c>
      <c r="D37" s="6" t="inlineStr">
        <is>
          <t>159.4%</t>
        </is>
      </c>
      <c r="E37" s="6" t="inlineStr">
        <is>
          <t>206.6%</t>
        </is>
      </c>
      <c r="F37" s="6" t="inlineStr">
        <is>
          <t>211%</t>
        </is>
      </c>
    </row>
    <row r="39" ht="45" customHeight="1">
      <c r="A39" s="7" t="inlineStr">
        <is>
          <t>Note: Figures are duplicated from the detail sheets for at-a-glance trend viewing; see each sheet's own source citation for the underlying document/page. LCR/NSFR shown here use the KM1/average basis from FY2022 onward - see the LCR/NSFR sheets' own CAVEAT note for FY2021/FY2022 basis ambiguity.</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Balance Sheet</t>
        </is>
      </c>
    </row>
    <row r="2">
      <c r="A2" s="2" t="inlineStr">
        <is>
          <t>Bank-solo basis, £'000. See source note at bottom (genuine restatement and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257867</v>
      </c>
      <c r="C5" s="6" t="n">
        <v>584679</v>
      </c>
      <c r="D5" s="6" t="n">
        <v>528396</v>
      </c>
      <c r="E5" s="6" t="n">
        <v>607358</v>
      </c>
      <c r="F5" s="6" t="n">
        <v>676492</v>
      </c>
    </row>
    <row r="6">
      <c r="A6" s="6" t="inlineStr">
        <is>
          <t>Money market funds</t>
        </is>
      </c>
      <c r="B6" s="6" t="n">
        <v>218157</v>
      </c>
      <c r="C6" s="6" t="n">
        <v>488197</v>
      </c>
      <c r="D6" s="6" t="n">
        <v>518764</v>
      </c>
      <c r="E6" s="6" t="n">
        <v>209486</v>
      </c>
      <c r="F6" s="6" t="n">
        <v>336737</v>
      </c>
    </row>
    <row r="7">
      <c r="A7" s="6" t="inlineStr">
        <is>
          <t>Loans and advances on demand to banks</t>
        </is>
      </c>
      <c r="B7" s="6" t="n">
        <v>127035</v>
      </c>
      <c r="C7" s="6" t="n">
        <v>184683</v>
      </c>
      <c r="D7" s="6" t="n">
        <v>132447</v>
      </c>
      <c r="E7" s="6" t="n">
        <v>89957</v>
      </c>
      <c r="F7" s="6" t="n">
        <v>105592</v>
      </c>
    </row>
    <row r="8">
      <c r="A8" s="6" t="inlineStr">
        <is>
          <t>Other loans and advances to banks</t>
        </is>
      </c>
      <c r="B8" s="6" t="n">
        <v>274956</v>
      </c>
      <c r="C8" s="6" t="n">
        <v>180095</v>
      </c>
      <c r="D8" s="6" t="n">
        <v>137569</v>
      </c>
      <c r="E8" s="6" t="n">
        <v>91691</v>
      </c>
      <c r="F8" s="6" t="n">
        <v>74030</v>
      </c>
    </row>
    <row r="9">
      <c r="A9" s="6" t="inlineStr">
        <is>
          <t>Loans and advances to customers / non-banks</t>
        </is>
      </c>
      <c r="B9" s="6" t="n">
        <v>21521</v>
      </c>
      <c r="C9" s="6" t="n">
        <v>32564</v>
      </c>
      <c r="D9" s="6" t="n">
        <v>8216</v>
      </c>
      <c r="E9" s="6" t="n">
        <v>4748</v>
      </c>
      <c r="F9" s="6" t="n"/>
    </row>
    <row r="10">
      <c r="A10" s="6" t="inlineStr">
        <is>
          <t>Investments in debt securities, at amortised cost</t>
        </is>
      </c>
      <c r="B10" s="6" t="n">
        <v>234790</v>
      </c>
      <c r="C10" s="6" t="n">
        <v>246021</v>
      </c>
      <c r="D10" s="6" t="n">
        <v>353028</v>
      </c>
      <c r="E10" s="6" t="n">
        <v>414061</v>
      </c>
      <c r="F10" s="6" t="n">
        <v>73249</v>
      </c>
    </row>
    <row r="11">
      <c r="A11" s="6" t="inlineStr">
        <is>
          <t>Investment in debt securities, at fair value through OCI</t>
        </is>
      </c>
      <c r="B11" s="6" t="n">
        <v>442751</v>
      </c>
      <c r="C11" s="6" t="n"/>
      <c r="D11" s="6" t="n"/>
      <c r="E11" s="6" t="n"/>
      <c r="F11" s="6" t="n"/>
    </row>
    <row r="12">
      <c r="A12" s="6" t="inlineStr">
        <is>
          <t>Investments in equity securities</t>
        </is>
      </c>
      <c r="B12" s="6" t="n">
        <v>679</v>
      </c>
      <c r="C12" s="6" t="n">
        <v>553</v>
      </c>
      <c r="D12" s="6" t="n">
        <v>495</v>
      </c>
      <c r="E12" s="6" t="n">
        <v>488</v>
      </c>
      <c r="F12" s="6" t="n">
        <v>341</v>
      </c>
    </row>
    <row r="13">
      <c r="A13" s="6" t="inlineStr">
        <is>
          <t>Derivative financial assets</t>
        </is>
      </c>
      <c r="B13" s="6" t="n">
        <v>489</v>
      </c>
      <c r="C13" s="6" t="n">
        <v>4884</v>
      </c>
      <c r="D13" s="6" t="n">
        <v>3829</v>
      </c>
      <c r="E13" s="6" t="n">
        <v>6589</v>
      </c>
      <c r="F13" s="6" t="n">
        <v>1641</v>
      </c>
    </row>
    <row r="14">
      <c r="A14" s="6" t="inlineStr">
        <is>
          <t>Unsettled transactions</t>
        </is>
      </c>
      <c r="B14" s="6" t="n">
        <v>8900</v>
      </c>
      <c r="C14" s="6" t="n">
        <v>10866</v>
      </c>
      <c r="D14" s="6" t="n">
        <v>8417</v>
      </c>
      <c r="E14" s="6" t="n">
        <v>12960</v>
      </c>
      <c r="F14" s="6" t="n"/>
    </row>
    <row r="15">
      <c r="A15" s="6" t="inlineStr">
        <is>
          <t>Investments in subsidiary undertakings</t>
        </is>
      </c>
      <c r="B15" s="6" t="n">
        <v>4476</v>
      </c>
      <c r="C15" s="6" t="n">
        <v>1899</v>
      </c>
      <c r="D15" s="6" t="n"/>
      <c r="E15" s="6" t="n"/>
      <c r="F15" s="6" t="n"/>
    </row>
    <row r="16">
      <c r="A16" s="6" t="inlineStr">
        <is>
          <t>Current tax asset</t>
        </is>
      </c>
      <c r="B16" s="6" t="n">
        <v>8839</v>
      </c>
      <c r="C16" s="6" t="n">
        <v>9386</v>
      </c>
      <c r="D16" s="6" t="n"/>
      <c r="E16" s="6" t="n"/>
      <c r="F16" s="6" t="n"/>
    </row>
    <row r="17">
      <c r="A17" s="6" t="inlineStr">
        <is>
          <t>Other assets</t>
        </is>
      </c>
      <c r="B17" s="6" t="n">
        <v>27071</v>
      </c>
      <c r="C17" s="6" t="n">
        <v>29352</v>
      </c>
      <c r="D17" s="6" t="n">
        <v>34653</v>
      </c>
      <c r="E17" s="6" t="n">
        <v>24022</v>
      </c>
      <c r="F17" s="6" t="n">
        <v>19902</v>
      </c>
    </row>
    <row r="18">
      <c r="A18" s="6" t="inlineStr">
        <is>
          <t>Accrued income</t>
        </is>
      </c>
      <c r="B18" s="6" t="n">
        <v>2033</v>
      </c>
      <c r="C18" s="6" t="n">
        <v>925</v>
      </c>
      <c r="D18" s="6" t="n">
        <v>1217</v>
      </c>
      <c r="E18" s="6" t="n">
        <v>857</v>
      </c>
      <c r="F18" s="6" t="n"/>
    </row>
    <row r="19">
      <c r="A19" s="6" t="inlineStr">
        <is>
          <t>Prepayments and accrued income</t>
        </is>
      </c>
      <c r="B19" s="6" t="n"/>
      <c r="C19" s="6" t="n"/>
      <c r="D19" s="6" t="n"/>
      <c r="E19" s="6" t="n"/>
      <c r="F19" s="6" t="n">
        <v>3646</v>
      </c>
    </row>
    <row r="20">
      <c r="A20" s="6" t="inlineStr">
        <is>
          <t>Property, plant and equipment / tangible fixed assets</t>
        </is>
      </c>
      <c r="B20" s="6" t="n">
        <v>2188</v>
      </c>
      <c r="C20" s="6" t="n">
        <v>2679</v>
      </c>
      <c r="D20" s="6" t="n">
        <v>1177</v>
      </c>
      <c r="E20" s="6" t="n">
        <v>1568</v>
      </c>
      <c r="F20" s="6" t="n">
        <v>2043</v>
      </c>
    </row>
    <row r="21">
      <c r="A21" s="6" t="inlineStr">
        <is>
          <t>Right of use assets</t>
        </is>
      </c>
      <c r="B21" s="6" t="n">
        <v>14977</v>
      </c>
      <c r="C21" s="6" t="n">
        <v>16830</v>
      </c>
      <c r="D21" s="6" t="n">
        <v>689</v>
      </c>
      <c r="E21" s="6" t="n">
        <v>1134</v>
      </c>
      <c r="F21" s="6" t="n"/>
    </row>
    <row r="22">
      <c r="A22" s="6" t="inlineStr">
        <is>
          <t>Intangible assets</t>
        </is>
      </c>
      <c r="B22" s="6" t="n">
        <v>23840</v>
      </c>
      <c r="C22" s="6" t="n">
        <v>24398</v>
      </c>
      <c r="D22" s="6" t="n">
        <v>19084</v>
      </c>
      <c r="E22" s="6" t="n">
        <v>17523</v>
      </c>
      <c r="F22" s="6" t="n">
        <v>18297</v>
      </c>
    </row>
    <row r="23">
      <c r="A23" s="5" t="inlineStr">
        <is>
          <t>Total assets</t>
        </is>
      </c>
      <c r="B23" s="5" t="n">
        <v>1670569</v>
      </c>
      <c r="C23" s="5" t="n">
        <v>1818011</v>
      </c>
      <c r="D23" s="5" t="n">
        <v>1747981</v>
      </c>
      <c r="E23" s="5" t="n">
        <v>1482442</v>
      </c>
      <c r="F23" s="5" t="n">
        <v>1311970</v>
      </c>
    </row>
    <row r="24">
      <c r="A24" s="5" t="inlineStr">
        <is>
          <t>Liabilities</t>
        </is>
      </c>
      <c r="B24" s="6" t="n"/>
      <c r="C24" s="6" t="n"/>
      <c r="D24" s="6" t="n"/>
      <c r="E24" s="6" t="n"/>
      <c r="F24" s="6" t="n"/>
    </row>
    <row r="25">
      <c r="A25" s="6" t="inlineStr">
        <is>
          <t>Customer accounts</t>
        </is>
      </c>
      <c r="B25" s="6" t="n">
        <v>1441097</v>
      </c>
      <c r="C25" s="6" t="n">
        <v>1589481</v>
      </c>
      <c r="D25" s="6" t="n">
        <v>1546632</v>
      </c>
      <c r="E25" s="6" t="n">
        <v>1310809</v>
      </c>
      <c r="F25" s="6" t="n">
        <v>1194682</v>
      </c>
    </row>
    <row r="26">
      <c r="A26" s="6" t="inlineStr">
        <is>
          <t>Derivative financial liabilities</t>
        </is>
      </c>
      <c r="B26" s="6" t="n">
        <v>1384</v>
      </c>
      <c r="C26" s="6" t="n">
        <v>539</v>
      </c>
      <c r="D26" s="6" t="n">
        <v>9679</v>
      </c>
      <c r="E26" s="6" t="n">
        <v>4565</v>
      </c>
      <c r="F26" s="6" t="n">
        <v>7669</v>
      </c>
    </row>
    <row r="27">
      <c r="A27" s="6" t="inlineStr">
        <is>
          <t>Unsettled transactions</t>
        </is>
      </c>
      <c r="B27" s="6" t="n">
        <v>20772</v>
      </c>
      <c r="C27" s="6" t="n">
        <v>35173</v>
      </c>
      <c r="D27" s="6" t="n">
        <v>20081</v>
      </c>
      <c r="E27" s="6" t="n">
        <v>25782</v>
      </c>
      <c r="F27" s="6" t="n"/>
    </row>
    <row r="28">
      <c r="A28" s="6" t="inlineStr">
        <is>
          <t>Other liabilities</t>
        </is>
      </c>
      <c r="B28" s="6" t="n">
        <v>6725</v>
      </c>
      <c r="C28" s="6" t="n">
        <v>12818</v>
      </c>
      <c r="D28" s="6" t="n">
        <v>18255</v>
      </c>
      <c r="E28" s="6" t="n">
        <v>11314</v>
      </c>
      <c r="F28" s="6" t="n">
        <v>26193</v>
      </c>
    </row>
    <row r="29">
      <c r="A29" s="6" t="inlineStr">
        <is>
          <t>Accruals / accruals and deferred income</t>
        </is>
      </c>
      <c r="B29" s="6" t="n">
        <v>13529</v>
      </c>
      <c r="C29" s="6" t="n">
        <v>9160</v>
      </c>
      <c r="D29" s="6" t="n">
        <v>17315</v>
      </c>
      <c r="E29" s="6" t="n">
        <v>18368</v>
      </c>
      <c r="F29" s="6" t="n">
        <v>8222</v>
      </c>
    </row>
    <row r="30">
      <c r="A30" s="6" t="inlineStr">
        <is>
          <t>Lease liabilities</t>
        </is>
      </c>
      <c r="B30" s="6" t="n">
        <v>18281</v>
      </c>
      <c r="C30" s="6" t="n">
        <v>17076</v>
      </c>
      <c r="D30" s="6" t="n">
        <v>884</v>
      </c>
      <c r="E30" s="6" t="n">
        <v>1281</v>
      </c>
      <c r="F30" s="6" t="n"/>
    </row>
    <row r="31">
      <c r="A31" s="6" t="inlineStr">
        <is>
          <t>Deferred tax liability</t>
        </is>
      </c>
      <c r="B31" s="6" t="n">
        <v>928</v>
      </c>
      <c r="C31" s="6" t="n">
        <v>1217</v>
      </c>
      <c r="D31" s="6" t="n">
        <v>695</v>
      </c>
      <c r="E31" s="6" t="n">
        <v>316</v>
      </c>
      <c r="F31" s="6" t="n"/>
    </row>
    <row r="32">
      <c r="A32" s="6" t="inlineStr">
        <is>
          <t>Provisions</t>
        </is>
      </c>
      <c r="B32" s="6" t="n">
        <v>2054</v>
      </c>
      <c r="C32" s="6" t="n">
        <v>1949</v>
      </c>
      <c r="D32" s="6" t="n">
        <v>236</v>
      </c>
      <c r="E32" s="6" t="n">
        <v>79</v>
      </c>
      <c r="F32" s="6" t="n"/>
    </row>
    <row r="33">
      <c r="A33" s="5" t="inlineStr">
        <is>
          <t>Total liabilities</t>
        </is>
      </c>
      <c r="B33" s="5" t="n">
        <v>1504770</v>
      </c>
      <c r="C33" s="5" t="n">
        <v>1667413</v>
      </c>
      <c r="D33" s="5" t="n">
        <v>1613777</v>
      </c>
      <c r="E33" s="5" t="n">
        <v>1372514</v>
      </c>
      <c r="F33" s="5" t="n">
        <v>1236766</v>
      </c>
    </row>
    <row r="34">
      <c r="A34" s="5" t="inlineStr">
        <is>
          <t>Equity</t>
        </is>
      </c>
      <c r="B34" s="6" t="n"/>
      <c r="C34" s="6" t="n"/>
      <c r="D34" s="6" t="n"/>
      <c r="E34" s="6" t="n"/>
      <c r="F34" s="6" t="n"/>
    </row>
    <row r="35">
      <c r="A35" s="6" t="inlineStr">
        <is>
          <t>Called up share capital</t>
        </is>
      </c>
      <c r="B35" s="6" t="n">
        <v>41200</v>
      </c>
      <c r="C35" s="6" t="n">
        <v>41200</v>
      </c>
      <c r="D35" s="6" t="n">
        <v>41200</v>
      </c>
      <c r="E35" s="6" t="n">
        <v>41200</v>
      </c>
      <c r="F35" s="6" t="n">
        <v>41200</v>
      </c>
    </row>
    <row r="36">
      <c r="A36" s="6" t="inlineStr">
        <is>
          <t>Retained earnings</t>
        </is>
      </c>
      <c r="B36" s="6" t="n">
        <v>124563</v>
      </c>
      <c r="C36" s="6" t="n">
        <v>109264</v>
      </c>
      <c r="D36" s="6" t="n">
        <v>92885</v>
      </c>
      <c r="E36" s="6" t="n">
        <v>68624</v>
      </c>
      <c r="F36" s="6" t="n">
        <v>34004</v>
      </c>
    </row>
    <row r="37">
      <c r="A37" s="6" t="inlineStr">
        <is>
          <t>Investment revaluation reserve</t>
        </is>
      </c>
      <c r="B37" s="6" t="n">
        <v>207</v>
      </c>
      <c r="C37" s="6" t="n">
        <v>134</v>
      </c>
      <c r="D37" s="6" t="n">
        <v>119</v>
      </c>
      <c r="E37" s="6" t="n">
        <v>104</v>
      </c>
      <c r="F37" s="6" t="n"/>
    </row>
    <row r="38">
      <c r="A38" s="6" t="inlineStr">
        <is>
          <t>Debt securities revaluation reserve</t>
        </is>
      </c>
      <c r="B38" s="6" t="n">
        <v>73</v>
      </c>
      <c r="C38" s="6" t="n"/>
      <c r="D38" s="6" t="n"/>
      <c r="E38" s="6" t="n"/>
      <c r="F38" s="6" t="n"/>
    </row>
    <row r="39">
      <c r="A39" s="6" t="inlineStr">
        <is>
          <t>Cash flow hedge reserve</t>
        </is>
      </c>
      <c r="B39" s="6" t="n">
        <v>-244</v>
      </c>
      <c r="C39" s="6" t="n"/>
      <c r="D39" s="6" t="n"/>
      <c r="E39" s="6" t="n"/>
      <c r="F39" s="6" t="n"/>
    </row>
    <row r="40">
      <c r="A40" s="5" t="inlineStr">
        <is>
          <t>Total equity / shareholders' funds</t>
        </is>
      </c>
      <c r="B40" s="5" t="n">
        <v>165799</v>
      </c>
      <c r="C40" s="5" t="n">
        <v>150598</v>
      </c>
      <c r="D40" s="5" t="n">
        <v>134204</v>
      </c>
      <c r="E40" s="5" t="n">
        <v>109928</v>
      </c>
      <c r="F40" s="5" t="n">
        <v>75204</v>
      </c>
    </row>
    <row r="41">
      <c r="A41" s="5" t="inlineStr">
        <is>
          <t>Total liabilities and equity</t>
        </is>
      </c>
      <c r="B41" s="5" t="n">
        <v>1670569</v>
      </c>
      <c r="C41" s="5" t="n">
        <v>1818011</v>
      </c>
      <c r="D41" s="5" t="n">
        <v>1747981</v>
      </c>
      <c r="E41" s="5" t="n">
        <v>1482442</v>
      </c>
      <c r="F41" s="5" t="n">
        <v>1311970</v>
      </c>
    </row>
    <row r="43" ht="340" customHeight="1">
      <c r="A4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Profit &amp; Loss</t>
        </is>
      </c>
    </row>
    <row r="2">
      <c r="A2" s="2" t="inlineStr">
        <is>
          <t>Bank-solo basis, £'000. See source note at bottom (genuine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55772</v>
      </c>
      <c r="C5" s="6" t="n">
        <v>58831</v>
      </c>
      <c r="D5" s="6" t="n">
        <v>52309</v>
      </c>
      <c r="E5" s="6" t="n">
        <v>17163</v>
      </c>
      <c r="F5" s="6" t="n">
        <v>3584</v>
      </c>
    </row>
    <row r="6">
      <c r="A6" s="6" t="inlineStr">
        <is>
          <t>Interest expense</t>
        </is>
      </c>
      <c r="B6" s="6" t="n">
        <v>-29770</v>
      </c>
      <c r="C6" s="6" t="n">
        <v>-38403</v>
      </c>
      <c r="D6" s="6" t="n">
        <v>-30854</v>
      </c>
      <c r="E6" s="6" t="n">
        <v>-10398</v>
      </c>
      <c r="F6" s="6" t="n">
        <v>-1376</v>
      </c>
    </row>
    <row r="7">
      <c r="A7" s="5" t="inlineStr">
        <is>
          <t>Net interest income</t>
        </is>
      </c>
      <c r="B7" s="5" t="n">
        <v>26002</v>
      </c>
      <c r="C7" s="5" t="n">
        <v>20428</v>
      </c>
      <c r="D7" s="5" t="n">
        <v>21455</v>
      </c>
      <c r="E7" s="5" t="n">
        <v>6765</v>
      </c>
      <c r="F7" s="5" t="n">
        <v>2208</v>
      </c>
    </row>
    <row r="8">
      <c r="A8" s="6" t="inlineStr">
        <is>
          <t>Gains on money market funds</t>
        </is>
      </c>
      <c r="B8" s="6" t="n">
        <v>14688</v>
      </c>
      <c r="C8" s="6" t="n">
        <v>16070</v>
      </c>
      <c r="D8" s="6" t="n">
        <v>11034</v>
      </c>
      <c r="E8" s="6" t="n">
        <v>3585</v>
      </c>
      <c r="F8" s="6" t="n"/>
    </row>
    <row r="9">
      <c r="A9" s="6" t="inlineStr">
        <is>
          <t>Net (loss)/gain on financial instruments at FVTPL</t>
        </is>
      </c>
      <c r="B9" s="6" t="n">
        <v>-1616</v>
      </c>
      <c r="C9" s="6" t="n">
        <v>-247</v>
      </c>
      <c r="D9" s="6" t="n">
        <v>1232</v>
      </c>
      <c r="E9" s="6" t="n">
        <v>1009</v>
      </c>
      <c r="F9" s="6" t="n"/>
    </row>
    <row r="10">
      <c r="A10" s="6" t="inlineStr">
        <is>
          <t>Fees and commission income</t>
        </is>
      </c>
      <c r="B10" s="6" t="n">
        <v>16429</v>
      </c>
      <c r="C10" s="6" t="n">
        <v>15835</v>
      </c>
      <c r="D10" s="6" t="n">
        <v>14647</v>
      </c>
      <c r="E10" s="6" t="n">
        <v>15831</v>
      </c>
      <c r="F10" s="6" t="n">
        <v>11755</v>
      </c>
    </row>
    <row r="11">
      <c r="A11" s="6" t="inlineStr">
        <is>
          <t>Net foreign exchange gain</t>
        </is>
      </c>
      <c r="B11" s="6" t="n">
        <v>61965</v>
      </c>
      <c r="C11" s="6" t="n">
        <v>53797</v>
      </c>
      <c r="D11" s="6" t="n">
        <v>88742</v>
      </c>
      <c r="E11" s="6" t="n">
        <v>82682</v>
      </c>
      <c r="F11" s="6" t="n">
        <v>39133</v>
      </c>
    </row>
    <row r="12">
      <c r="A12" s="6" t="inlineStr">
        <is>
          <t>Write-off of doubtful debts</t>
        </is>
      </c>
      <c r="B12" s="6" t="n"/>
      <c r="C12" s="6" t="n"/>
      <c r="D12" s="6" t="n"/>
      <c r="E12" s="6" t="n"/>
      <c r="F12" s="6" t="n">
        <v>-38</v>
      </c>
    </row>
    <row r="13">
      <c r="A13" s="6" t="inlineStr">
        <is>
          <t>Other operating income/(loss)</t>
        </is>
      </c>
      <c r="B13" s="6" t="n">
        <v>735</v>
      </c>
      <c r="C13" s="6" t="n">
        <v>616</v>
      </c>
      <c r="D13" s="6" t="n">
        <v>313</v>
      </c>
      <c r="E13" s="6" t="n">
        <v>-484</v>
      </c>
      <c r="F13" s="6" t="n">
        <v>347</v>
      </c>
    </row>
    <row r="14">
      <c r="A14" s="5" t="inlineStr">
        <is>
          <t>Total income / operating income</t>
        </is>
      </c>
      <c r="B14" s="5" t="n">
        <v>118203</v>
      </c>
      <c r="C14" s="5" t="n">
        <v>106499</v>
      </c>
      <c r="D14" s="5" t="n">
        <v>137423</v>
      </c>
      <c r="E14" s="5" t="n">
        <v>109388</v>
      </c>
      <c r="F14" s="5" t="n">
        <v>53405</v>
      </c>
    </row>
    <row r="15">
      <c r="A15" s="5" t="inlineStr">
        <is>
          <t>Expenses</t>
        </is>
      </c>
      <c r="B15" s="6" t="n"/>
      <c r="C15" s="6" t="n"/>
      <c r="D15" s="6" t="n"/>
      <c r="E15" s="6" t="n"/>
      <c r="F15" s="6" t="n"/>
    </row>
    <row r="16">
      <c r="A16" s="6" t="inlineStr">
        <is>
          <t>Operating expenses (recurring + non-recurring / before &amp; after non-underlying items)</t>
        </is>
      </c>
      <c r="B16" s="6" t="n">
        <v>-97050</v>
      </c>
      <c r="C16" s="6" t="n">
        <v>-85931</v>
      </c>
      <c r="D16" s="6" t="n">
        <v>-79472</v>
      </c>
      <c r="E16" s="6" t="n">
        <v>-64357</v>
      </c>
      <c r="F16" s="6" t="n"/>
    </row>
    <row r="17">
      <c r="A17" s="6" t="inlineStr">
        <is>
          <t>Administrative expenses</t>
        </is>
      </c>
      <c r="B17" s="6" t="n"/>
      <c r="C17" s="6" t="n"/>
      <c r="D17" s="6" t="n"/>
      <c r="E17" s="6" t="n"/>
      <c r="F17" s="6" t="n">
        <v>-37122</v>
      </c>
    </row>
    <row r="18">
      <c r="A18" s="6" t="inlineStr">
        <is>
          <t>Amortisation</t>
        </is>
      </c>
      <c r="B18" s="6" t="n"/>
      <c r="C18" s="6" t="n"/>
      <c r="D18" s="6" t="n"/>
      <c r="E18" s="6" t="n"/>
      <c r="F18" s="6" t="n">
        <v>-4775</v>
      </c>
    </row>
    <row r="19">
      <c r="A19" s="6" t="inlineStr">
        <is>
          <t>Depreciation</t>
        </is>
      </c>
      <c r="B19" s="6" t="n"/>
      <c r="C19" s="6" t="n"/>
      <c r="D19" s="6" t="n"/>
      <c r="E19" s="6" t="n"/>
      <c r="F19" s="6" t="n">
        <v>-836</v>
      </c>
    </row>
    <row r="20">
      <c r="A20" s="6" t="inlineStr">
        <is>
          <t>Other finance costs</t>
        </is>
      </c>
      <c r="B20" s="6" t="n">
        <v>-1339</v>
      </c>
      <c r="C20" s="6" t="n">
        <v>-876</v>
      </c>
      <c r="D20" s="6" t="n"/>
      <c r="E20" s="6" t="n"/>
      <c r="F20" s="6" t="n"/>
    </row>
    <row r="21">
      <c r="A21" s="6" t="inlineStr">
        <is>
          <t>Impairment reversal/(loss) on financial assets at amortised cost</t>
        </is>
      </c>
      <c r="B21" s="6" t="n">
        <v>154</v>
      </c>
      <c r="C21" s="6" t="n">
        <v>377</v>
      </c>
      <c r="D21" s="6" t="n">
        <v>-454</v>
      </c>
      <c r="E21" s="6" t="n">
        <v>-329</v>
      </c>
      <c r="F21" s="6" t="n"/>
    </row>
    <row r="22">
      <c r="A22" s="5" t="inlineStr">
        <is>
          <t>Profit before taxation</t>
        </is>
      </c>
      <c r="B22" s="5" t="n">
        <v>19968</v>
      </c>
      <c r="C22" s="5" t="n">
        <v>20069</v>
      </c>
      <c r="D22" s="5" t="n">
        <v>57497</v>
      </c>
      <c r="E22" s="5" t="n">
        <v>44702</v>
      </c>
      <c r="F22" s="5" t="n">
        <v>10672</v>
      </c>
    </row>
    <row r="23">
      <c r="A23" s="6" t="inlineStr">
        <is>
          <t>Tax expense</t>
        </is>
      </c>
      <c r="B23" s="6" t="n">
        <v>-5459</v>
      </c>
      <c r="C23" s="6" t="n">
        <v>-4678</v>
      </c>
      <c r="D23" s="6" t="n">
        <v>-14708</v>
      </c>
      <c r="E23" s="6" t="n">
        <v>-10444</v>
      </c>
      <c r="F23" s="6" t="n">
        <v>-2014</v>
      </c>
    </row>
    <row r="24">
      <c r="A24" s="5" t="inlineStr">
        <is>
          <t>Profit for the year</t>
        </is>
      </c>
      <c r="B24" s="5" t="n">
        <v>14509</v>
      </c>
      <c r="C24" s="5" t="n">
        <v>15391</v>
      </c>
      <c r="D24" s="5" t="n">
        <v>42789</v>
      </c>
      <c r="E24" s="5" t="n">
        <v>34258</v>
      </c>
      <c r="F24" s="5" t="n">
        <v>8658</v>
      </c>
    </row>
    <row r="25">
      <c r="A25" s="5" t="inlineStr">
        <is>
          <t>Other comprehensive income</t>
        </is>
      </c>
      <c r="B25" s="6" t="n"/>
      <c r="C25" s="6" t="n"/>
      <c r="D25" s="6" t="n"/>
      <c r="E25" s="6" t="n"/>
      <c r="F25" s="6" t="n"/>
    </row>
    <row r="26">
      <c r="A26" s="6" t="inlineStr">
        <is>
          <t>Movement in investment revaluation reserve (equity instruments at FVOCI)</t>
        </is>
      </c>
      <c r="B26" s="6" t="n">
        <v>98</v>
      </c>
      <c r="C26" s="6" t="n">
        <v>20</v>
      </c>
      <c r="D26" s="6" t="n">
        <v>27</v>
      </c>
      <c r="E26" s="6" t="n">
        <v>88</v>
      </c>
      <c r="F26" s="6" t="n"/>
    </row>
    <row r="27">
      <c r="A27" s="6" t="inlineStr">
        <is>
          <t>Cash flow hedge reserve movement</t>
        </is>
      </c>
      <c r="B27" s="6" t="n">
        <v>-244</v>
      </c>
      <c r="C27" s="6" t="n"/>
      <c r="D27" s="6" t="n"/>
      <c r="E27" s="6" t="n"/>
      <c r="F27" s="6" t="n"/>
    </row>
    <row r="28">
      <c r="A28" s="6" t="inlineStr">
        <is>
          <t>Movement in debt securities at fair value through OCI</t>
        </is>
      </c>
      <c r="B28" s="6" t="n">
        <v>73</v>
      </c>
      <c r="C28" s="6" t="n"/>
      <c r="D28" s="6" t="n"/>
      <c r="E28" s="6" t="n"/>
      <c r="F28" s="6" t="n"/>
    </row>
    <row r="29">
      <c r="A29" s="6" t="inlineStr">
        <is>
          <t>Income tax relating to these items</t>
        </is>
      </c>
      <c r="B29" s="6" t="n">
        <v>-25</v>
      </c>
      <c r="C29" s="6" t="n">
        <v>-5</v>
      </c>
      <c r="D29" s="6" t="n">
        <v>-12</v>
      </c>
      <c r="E29" s="6" t="n">
        <v>-17</v>
      </c>
      <c r="F29" s="6" t="n"/>
    </row>
    <row r="30">
      <c r="A30" s="5" t="inlineStr">
        <is>
          <t>Other comprehensive income, net of tax</t>
        </is>
      </c>
      <c r="B30" s="5" t="n">
        <v>-98</v>
      </c>
      <c r="C30" s="5" t="n">
        <v>15</v>
      </c>
      <c r="D30" s="5" t="n">
        <v>15</v>
      </c>
      <c r="E30" s="5" t="n">
        <v>71</v>
      </c>
      <c r="F30" s="5" t="n"/>
    </row>
    <row r="31">
      <c r="A31" s="5" t="inlineStr">
        <is>
          <t>Total comprehensive income for the year</t>
        </is>
      </c>
      <c r="B31" s="5" t="n">
        <v>14411</v>
      </c>
      <c r="C31" s="5" t="n">
        <v>15406</v>
      </c>
      <c r="D31" s="5" t="n">
        <v>42804</v>
      </c>
      <c r="E31" s="5" t="n">
        <v>34329</v>
      </c>
      <c r="F31" s="5" t="n">
        <v>8658</v>
      </c>
    </row>
    <row r="33" ht="340" customHeight="1">
      <c r="A3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Crown Agents Bank Limited — Statement of Changes in Equity</t>
        </is>
      </c>
    </row>
    <row r="2">
      <c r="A2" s="2" t="inlineStr">
        <is>
          <t>Bank-solo basis, £'000, chronological (oldest to newest). See source note at bottom - a genuine £54k restatement gap exists between the FY2021 and FY2022 columns (documented, not plugged).</t>
        </is>
      </c>
    </row>
    <row r="3">
      <c r="A3" s="4" t="inlineStr">
        <is>
          <t>Movement</t>
        </is>
      </c>
      <c r="B3" s="4" t="inlineStr">
        <is>
          <t>Share capital</t>
        </is>
      </c>
      <c r="C3" s="4" t="inlineStr">
        <is>
          <t>Retained earnings</t>
        </is>
      </c>
      <c r="D3" s="4" t="inlineStr">
        <is>
          <t>Investment revaluation reserve</t>
        </is>
      </c>
      <c r="E3" s="4" t="inlineStr">
        <is>
          <t>Debt securities revaluation reserve</t>
        </is>
      </c>
      <c r="F3" s="4" t="inlineStr">
        <is>
          <t>Cash flow hedge reserve</t>
        </is>
      </c>
      <c r="G3" s="4" t="inlineStr">
        <is>
          <t>Total</t>
        </is>
      </c>
    </row>
    <row r="4">
      <c r="A4" s="5" t="inlineStr">
        <is>
          <t>At 1 January 2021 (own report)</t>
        </is>
      </c>
      <c r="B4" s="5" t="n">
        <v>41200</v>
      </c>
      <c r="C4" s="5" t="n">
        <v>25088</v>
      </c>
      <c r="D4" s="5" t="n"/>
      <c r="E4" s="5" t="n"/>
      <c r="F4" s="5" t="n"/>
      <c r="G4" s="5" t="n">
        <v>66288</v>
      </c>
    </row>
    <row r="5">
      <c r="A5" s="6" t="inlineStr">
        <is>
          <t>Profit for the financial year</t>
        </is>
      </c>
      <c r="B5" s="6" t="n"/>
      <c r="C5" s="6" t="n">
        <v>8658</v>
      </c>
      <c r="D5" s="6" t="n"/>
      <c r="E5" s="6" t="n"/>
      <c r="F5" s="6" t="n"/>
      <c r="G5" s="6" t="n">
        <v>8658</v>
      </c>
    </row>
    <row r="6">
      <c r="A6" s="6" t="inlineStr">
        <is>
          <t>Share based payment expense</t>
        </is>
      </c>
      <c r="B6" s="6" t="n"/>
      <c r="C6" s="6" t="n">
        <v>258</v>
      </c>
      <c r="D6" s="6" t="n"/>
      <c r="E6" s="6" t="n"/>
      <c r="F6" s="6" t="n"/>
      <c r="G6" s="6" t="n">
        <v>258</v>
      </c>
    </row>
    <row r="7">
      <c r="A7" s="5" t="inlineStr">
        <is>
          <t>At 31 December 2021</t>
        </is>
      </c>
      <c r="B7" s="5" t="n">
        <v>41200</v>
      </c>
      <c r="C7" s="5" t="n">
        <v>34004</v>
      </c>
      <c r="D7" s="5" t="n"/>
      <c r="E7" s="5" t="n"/>
      <c r="F7" s="5" t="n"/>
      <c r="G7" s="5" t="n">
        <v>75204</v>
      </c>
    </row>
    <row r="8">
      <c r="A8" s="5" t="inlineStr">
        <is>
          <t>At 1 January 2022 (own report - see restatement note re: FY2021 close)</t>
        </is>
      </c>
      <c r="B8" s="5" t="n">
        <v>41200</v>
      </c>
      <c r="C8" s="5" t="n">
        <v>33917</v>
      </c>
      <c r="D8" s="5" t="n">
        <v>33</v>
      </c>
      <c r="E8" s="5" t="n"/>
      <c r="F8" s="5" t="n"/>
      <c r="G8" s="5" t="n">
        <v>75150</v>
      </c>
    </row>
    <row r="9">
      <c r="A9" s="6" t="inlineStr">
        <is>
          <t>Profit for the year</t>
        </is>
      </c>
      <c r="B9" s="6" t="n"/>
      <c r="C9" s="6" t="n">
        <v>34258</v>
      </c>
      <c r="D9" s="6" t="n"/>
      <c r="E9" s="6" t="n"/>
      <c r="F9" s="6" t="n"/>
      <c r="G9" s="6" t="n">
        <v>34258</v>
      </c>
    </row>
    <row r="10">
      <c r="A10" s="6" t="inlineStr">
        <is>
          <t>Movement in investment revaluation reserve</t>
        </is>
      </c>
      <c r="B10" s="6" t="n"/>
      <c r="C10" s="6" t="n"/>
      <c r="D10" s="6" t="n">
        <v>88</v>
      </c>
      <c r="E10" s="6" t="n"/>
      <c r="F10" s="6" t="n"/>
      <c r="G10" s="6" t="n">
        <v>88</v>
      </c>
    </row>
    <row r="11">
      <c r="A11" s="6" t="inlineStr">
        <is>
          <t>Income tax relating to these items</t>
        </is>
      </c>
      <c r="B11" s="6" t="n"/>
      <c r="C11" s="6" t="n"/>
      <c r="D11" s="6" t="n">
        <v>-17</v>
      </c>
      <c r="E11" s="6" t="n"/>
      <c r="F11" s="6" t="n"/>
      <c r="G11" s="6" t="n">
        <v>-17</v>
      </c>
    </row>
    <row r="12">
      <c r="A12" s="6" t="inlineStr">
        <is>
          <t>Share based payment expense</t>
        </is>
      </c>
      <c r="B12" s="6" t="n"/>
      <c r="C12" s="6" t="n">
        <v>449</v>
      </c>
      <c r="D12" s="6" t="n"/>
      <c r="E12" s="6" t="n"/>
      <c r="F12" s="6" t="n"/>
      <c r="G12" s="6" t="n">
        <v>449</v>
      </c>
    </row>
    <row r="13">
      <c r="A13" s="5" t="inlineStr">
        <is>
          <t>At 31 December 2022</t>
        </is>
      </c>
      <c r="B13" s="5" t="n">
        <v>41200</v>
      </c>
      <c r="C13" s="5" t="n">
        <v>68624</v>
      </c>
      <c r="D13" s="5" t="n">
        <v>104</v>
      </c>
      <c r="E13" s="5" t="n"/>
      <c r="F13" s="5" t="n"/>
      <c r="G13" s="5" t="n">
        <v>109928</v>
      </c>
    </row>
    <row r="14">
      <c r="A14" s="5" t="inlineStr">
        <is>
          <t>At 1 January 2023</t>
        </is>
      </c>
      <c r="B14" s="5" t="n">
        <v>41200</v>
      </c>
      <c r="C14" s="5" t="n">
        <v>68624</v>
      </c>
      <c r="D14" s="5" t="n">
        <v>104</v>
      </c>
      <c r="E14" s="5" t="n"/>
      <c r="F14" s="5" t="n"/>
      <c r="G14" s="5" t="n">
        <v>109928</v>
      </c>
    </row>
    <row r="15">
      <c r="A15" s="6" t="inlineStr">
        <is>
          <t>Profit for the year</t>
        </is>
      </c>
      <c r="B15" s="6" t="n"/>
      <c r="C15" s="6" t="n">
        <v>42789</v>
      </c>
      <c r="D15" s="6" t="n"/>
      <c r="E15" s="6" t="n"/>
      <c r="F15" s="6" t="n"/>
      <c r="G15" s="6" t="n">
        <v>42789</v>
      </c>
    </row>
    <row r="16">
      <c r="A16" s="6" t="inlineStr">
        <is>
          <t>Movement in investment revaluation reserve</t>
        </is>
      </c>
      <c r="B16" s="6" t="n"/>
      <c r="C16" s="6" t="n"/>
      <c r="D16" s="6" t="n">
        <v>27</v>
      </c>
      <c r="E16" s="6" t="n"/>
      <c r="F16" s="6" t="n"/>
      <c r="G16" s="6" t="n">
        <v>27</v>
      </c>
    </row>
    <row r="17">
      <c r="A17" s="6" t="inlineStr">
        <is>
          <t>Income tax relating to these items</t>
        </is>
      </c>
      <c r="B17" s="6" t="n"/>
      <c r="C17" s="6" t="n"/>
      <c r="D17" s="6" t="n">
        <v>-12</v>
      </c>
      <c r="E17" s="6" t="n"/>
      <c r="F17" s="6" t="n"/>
      <c r="G17" s="6" t="n">
        <v>-12</v>
      </c>
    </row>
    <row r="18">
      <c r="A18" s="6" t="inlineStr">
        <is>
          <t>Share based payment expense</t>
        </is>
      </c>
      <c r="B18" s="6" t="n"/>
      <c r="C18" s="6" t="n">
        <v>972</v>
      </c>
      <c r="D18" s="6" t="n"/>
      <c r="E18" s="6" t="n"/>
      <c r="F18" s="6" t="n"/>
      <c r="G18" s="6" t="n">
        <v>972</v>
      </c>
    </row>
    <row r="19">
      <c r="A19" s="6" t="inlineStr">
        <is>
          <t>Dividends declared</t>
        </is>
      </c>
      <c r="B19" s="6" t="n"/>
      <c r="C19" s="6" t="n">
        <v>-19500</v>
      </c>
      <c r="D19" s="6" t="n"/>
      <c r="E19" s="6" t="n"/>
      <c r="F19" s="6" t="n"/>
      <c r="G19" s="6" t="n">
        <v>-19500</v>
      </c>
    </row>
    <row r="20">
      <c r="A20" s="5" t="inlineStr">
        <is>
          <t>At 31 December 2023</t>
        </is>
      </c>
      <c r="B20" s="5" t="n">
        <v>41200</v>
      </c>
      <c r="C20" s="5" t="n">
        <v>92885</v>
      </c>
      <c r="D20" s="5" t="n">
        <v>119</v>
      </c>
      <c r="E20" s="5" t="n"/>
      <c r="F20" s="5" t="n"/>
      <c r="G20" s="5" t="n">
        <v>134204</v>
      </c>
    </row>
    <row r="21">
      <c r="A21" s="5" t="inlineStr">
        <is>
          <t>At 1 January 2024</t>
        </is>
      </c>
      <c r="B21" s="5" t="n">
        <v>41200</v>
      </c>
      <c r="C21" s="5" t="n">
        <v>92885</v>
      </c>
      <c r="D21" s="5" t="n">
        <v>119</v>
      </c>
      <c r="E21" s="5" t="n"/>
      <c r="F21" s="5" t="n"/>
      <c r="G21" s="5" t="n">
        <v>134204</v>
      </c>
    </row>
    <row r="22">
      <c r="A22" s="6" t="inlineStr">
        <is>
          <t>Profit for the year</t>
        </is>
      </c>
      <c r="B22" s="6" t="n"/>
      <c r="C22" s="6" t="n">
        <v>15391</v>
      </c>
      <c r="D22" s="6" t="n"/>
      <c r="E22" s="6" t="n"/>
      <c r="F22" s="6" t="n"/>
      <c r="G22" s="6" t="n">
        <v>15391</v>
      </c>
    </row>
    <row r="23">
      <c r="A23" s="6" t="inlineStr">
        <is>
          <t>Movement in investment revaluation reserve</t>
        </is>
      </c>
      <c r="B23" s="6" t="n"/>
      <c r="C23" s="6" t="n"/>
      <c r="D23" s="6" t="n">
        <v>20</v>
      </c>
      <c r="E23" s="6" t="n"/>
      <c r="F23" s="6" t="n"/>
      <c r="G23" s="6" t="n">
        <v>20</v>
      </c>
    </row>
    <row r="24">
      <c r="A24" s="6" t="inlineStr">
        <is>
          <t>Income tax relating to these items</t>
        </is>
      </c>
      <c r="B24" s="6" t="n"/>
      <c r="C24" s="6" t="n"/>
      <c r="D24" s="6" t="n">
        <v>-5</v>
      </c>
      <c r="E24" s="6" t="n"/>
      <c r="F24" s="6" t="n"/>
      <c r="G24" s="6" t="n">
        <v>-5</v>
      </c>
    </row>
    <row r="25">
      <c r="A25" s="6" t="inlineStr">
        <is>
          <t>Share based payment expense</t>
        </is>
      </c>
      <c r="B25" s="6" t="n"/>
      <c r="C25" s="6" t="n">
        <v>988</v>
      </c>
      <c r="D25" s="6" t="n"/>
      <c r="E25" s="6" t="n"/>
      <c r="F25" s="6" t="n"/>
      <c r="G25" s="6" t="n">
        <v>988</v>
      </c>
    </row>
    <row r="26">
      <c r="A26" s="6" t="inlineStr">
        <is>
          <t>Dividends declared</t>
        </is>
      </c>
      <c r="B26" s="6" t="n"/>
      <c r="C26" s="6" t="n">
        <v>0</v>
      </c>
      <c r="D26" s="6" t="n"/>
      <c r="E26" s="6" t="n"/>
      <c r="F26" s="6" t="n"/>
      <c r="G26" s="6" t="n">
        <v>0</v>
      </c>
    </row>
    <row r="27">
      <c r="A27" s="5" t="inlineStr">
        <is>
          <t>At 31 December 2024</t>
        </is>
      </c>
      <c r="B27" s="5" t="n">
        <v>41200</v>
      </c>
      <c r="C27" s="5" t="n">
        <v>109264</v>
      </c>
      <c r="D27" s="5" t="n">
        <v>134</v>
      </c>
      <c r="E27" s="5" t="n"/>
      <c r="F27" s="5" t="n"/>
      <c r="G27" s="5" t="n">
        <v>150598</v>
      </c>
    </row>
    <row r="28">
      <c r="A28" s="5" t="inlineStr">
        <is>
          <t>At 1 January 2025</t>
        </is>
      </c>
      <c r="B28" s="5" t="n">
        <v>41200</v>
      </c>
      <c r="C28" s="5" t="n">
        <v>109264</v>
      </c>
      <c r="D28" s="5" t="n">
        <v>134</v>
      </c>
      <c r="E28" s="5" t="n"/>
      <c r="F28" s="5" t="n"/>
      <c r="G28" s="5" t="n">
        <v>150598</v>
      </c>
    </row>
    <row r="29">
      <c r="A29" s="6" t="inlineStr">
        <is>
          <t>Profit for the year</t>
        </is>
      </c>
      <c r="B29" s="6" t="n"/>
      <c r="C29" s="6" t="n">
        <v>14509</v>
      </c>
      <c r="D29" s="6" t="n"/>
      <c r="E29" s="6" t="n"/>
      <c r="F29" s="6" t="n"/>
      <c r="G29" s="6" t="n">
        <v>14509</v>
      </c>
    </row>
    <row r="30">
      <c r="A30" s="6" t="inlineStr">
        <is>
          <t>Movement in investment revaluation reserve</t>
        </is>
      </c>
      <c r="B30" s="6" t="n"/>
      <c r="C30" s="6" t="n"/>
      <c r="D30" s="6" t="n">
        <v>98</v>
      </c>
      <c r="E30" s="6" t="n"/>
      <c r="F30" s="6" t="n"/>
      <c r="G30" s="6" t="n">
        <v>98</v>
      </c>
    </row>
    <row r="31">
      <c r="A31" s="6" t="inlineStr">
        <is>
          <t>Cash flow hedge reserve</t>
        </is>
      </c>
      <c r="B31" s="6" t="n"/>
      <c r="C31" s="6" t="n"/>
      <c r="D31" s="6" t="n"/>
      <c r="E31" s="6" t="n"/>
      <c r="F31" s="6" t="n">
        <v>-244</v>
      </c>
      <c r="G31" s="6" t="n">
        <v>-244</v>
      </c>
    </row>
    <row r="32">
      <c r="A32" s="6" t="inlineStr">
        <is>
          <t>Movement in debt securities at fair value through OCI</t>
        </is>
      </c>
      <c r="B32" s="6" t="n"/>
      <c r="C32" s="6" t="n"/>
      <c r="D32" s="6" t="n"/>
      <c r="E32" s="6" t="n">
        <v>73</v>
      </c>
      <c r="F32" s="6" t="n"/>
      <c r="G32" s="6" t="n">
        <v>73</v>
      </c>
    </row>
    <row r="33">
      <c r="A33" s="6" t="inlineStr">
        <is>
          <t>Income tax relating to these items</t>
        </is>
      </c>
      <c r="B33" s="6" t="n"/>
      <c r="C33" s="6" t="n"/>
      <c r="D33" s="6" t="n">
        <v>-25</v>
      </c>
      <c r="E33" s="6" t="n"/>
      <c r="F33" s="6" t="n"/>
      <c r="G33" s="6" t="n">
        <v>-25</v>
      </c>
    </row>
    <row r="34">
      <c r="A34" s="6" t="inlineStr">
        <is>
          <t>Share-based payment expense</t>
        </is>
      </c>
      <c r="B34" s="6" t="n"/>
      <c r="C34" s="6" t="n">
        <v>620</v>
      </c>
      <c r="D34" s="6" t="n"/>
      <c r="E34" s="6" t="n"/>
      <c r="F34" s="6" t="n"/>
      <c r="G34" s="6" t="n">
        <v>620</v>
      </c>
    </row>
    <row r="35">
      <c r="A35" s="6" t="inlineStr">
        <is>
          <t>Deferred tax on share-based payment expense</t>
        </is>
      </c>
      <c r="B35" s="6" t="n"/>
      <c r="C35" s="6" t="n">
        <v>170</v>
      </c>
      <c r="D35" s="6" t="n"/>
      <c r="E35" s="6" t="n"/>
      <c r="F35" s="6" t="n"/>
      <c r="G35" s="6" t="n">
        <v>170</v>
      </c>
    </row>
    <row r="36">
      <c r="A36" s="5" t="inlineStr">
        <is>
          <t>At 31 December 2025</t>
        </is>
      </c>
      <c r="B36" s="5" t="n">
        <v>41200</v>
      </c>
      <c r="C36" s="5" t="n">
        <v>124563</v>
      </c>
      <c r="D36" s="5" t="n">
        <v>207</v>
      </c>
      <c r="E36" s="5" t="n">
        <v>73</v>
      </c>
      <c r="F36" s="5" t="n">
        <v>-244</v>
      </c>
      <c r="G36" s="5" t="n">
        <v>165799</v>
      </c>
    </row>
    <row r="38" ht="340" customHeight="1">
      <c r="A38"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Crown Agents Bank Limited — Statement of Cash Flows</t>
        </is>
      </c>
    </row>
    <row r="2">
      <c r="A2" s="2" t="inlineStr">
        <is>
          <t>Bank-solo basis, £'000. See source note at bottom (genuine restatements and cross-vintage gaps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Cash (outflow)/inflow from operating activities (before tax/lease interest)</t>
        </is>
      </c>
      <c r="B5" s="6" t="n">
        <v>-614029</v>
      </c>
      <c r="C5" s="6" t="n">
        <v>99180</v>
      </c>
      <c r="D5" s="6" t="n">
        <v>308912</v>
      </c>
      <c r="E5" s="6" t="n">
        <v>-242642</v>
      </c>
      <c r="F5" s="6" t="n">
        <v>321062</v>
      </c>
    </row>
    <row r="6">
      <c r="A6" s="6" t="inlineStr">
        <is>
          <t>Tax paid</t>
        </is>
      </c>
      <c r="B6" s="6" t="n">
        <v>-4687</v>
      </c>
      <c r="C6" s="6" t="n">
        <v>-11766</v>
      </c>
      <c r="D6" s="6" t="n">
        <v>-14084</v>
      </c>
      <c r="E6" s="6" t="n">
        <v>-9583</v>
      </c>
      <c r="F6" s="6" t="n">
        <v>-2112</v>
      </c>
    </row>
    <row r="7">
      <c r="A7" s="6" t="inlineStr">
        <is>
          <t>Payments for interest on lease liabilities</t>
        </is>
      </c>
      <c r="B7" s="6" t="n">
        <v>0</v>
      </c>
      <c r="C7" s="6" t="n">
        <v>-33</v>
      </c>
      <c r="D7" s="6" t="n">
        <v>-65</v>
      </c>
      <c r="E7" s="6" t="n">
        <v>-19</v>
      </c>
      <c r="F7" s="6" t="n"/>
    </row>
    <row r="8">
      <c r="A8" s="5" t="inlineStr">
        <is>
          <t>Net cash (used in)/generated from operating activities</t>
        </is>
      </c>
      <c r="B8" s="5" t="n">
        <v>-618716</v>
      </c>
      <c r="C8" s="5" t="n">
        <v>87381</v>
      </c>
      <c r="D8" s="5" t="n">
        <v>294763</v>
      </c>
      <c r="E8" s="5" t="n">
        <v>-252244</v>
      </c>
      <c r="F8" s="5" t="n">
        <v>318950</v>
      </c>
    </row>
    <row r="9">
      <c r="A9" s="5" t="inlineStr">
        <is>
          <t>Investing activities</t>
        </is>
      </c>
      <c r="B9" s="6" t="n"/>
      <c r="C9" s="6" t="n"/>
      <c r="D9" s="6" t="n"/>
      <c r="E9" s="6" t="n"/>
      <c r="F9" s="6" t="n"/>
    </row>
    <row r="10">
      <c r="A10" s="6" t="inlineStr">
        <is>
          <t>Purchase of property, plant and equipment</t>
        </is>
      </c>
      <c r="B10" s="6" t="n">
        <v>-108</v>
      </c>
      <c r="C10" s="6" t="n">
        <v>-2334</v>
      </c>
      <c r="D10" s="6" t="n">
        <v>-416</v>
      </c>
      <c r="E10" s="6" t="n">
        <v>-346</v>
      </c>
      <c r="F10" s="6" t="n">
        <v>-302</v>
      </c>
    </row>
    <row r="11">
      <c r="A11" s="6" t="inlineStr">
        <is>
          <t>Purchase/capitalisation of intangible assets</t>
        </is>
      </c>
      <c r="B11" s="6" t="n">
        <v>-6778</v>
      </c>
      <c r="C11" s="6" t="n">
        <v>-12141</v>
      </c>
      <c r="D11" s="6" t="n">
        <v>-6642</v>
      </c>
      <c r="E11" s="6" t="n">
        <v>-4375</v>
      </c>
      <c r="F11" s="6" t="n">
        <v>-4313</v>
      </c>
    </row>
    <row r="12">
      <c r="A12" s="6" t="inlineStr">
        <is>
          <t>Sale/(purchase) of equity investments/shares/exchange traded funds</t>
        </is>
      </c>
      <c r="B12" s="6" t="n"/>
      <c r="C12" s="6" t="n">
        <v>-53</v>
      </c>
      <c r="D12" s="6" t="n"/>
      <c r="E12" s="6" t="n"/>
      <c r="F12" s="6" t="n">
        <v>-228</v>
      </c>
    </row>
    <row r="13">
      <c r="A13" s="6" t="inlineStr">
        <is>
          <t>Purchase of investments in subsidiary undertakings</t>
        </is>
      </c>
      <c r="B13" s="6" t="n">
        <v>-2577</v>
      </c>
      <c r="C13" s="6" t="n">
        <v>-1269</v>
      </c>
      <c r="D13" s="6" t="n">
        <v>-543</v>
      </c>
      <c r="E13" s="6" t="n"/>
      <c r="F13" s="6" t="n"/>
    </row>
    <row r="14">
      <c r="A14" s="5" t="inlineStr">
        <is>
          <t>Net cash used in investing activities</t>
        </is>
      </c>
      <c r="B14" s="5" t="n">
        <v>-9463</v>
      </c>
      <c r="C14" s="5" t="n">
        <v>-15797</v>
      </c>
      <c r="D14" s="5" t="n">
        <v>-7601</v>
      </c>
      <c r="E14" s="5" t="n">
        <v>-4721</v>
      </c>
      <c r="F14" s="5" t="n">
        <v>-4843</v>
      </c>
    </row>
    <row r="15">
      <c r="A15" s="5" t="inlineStr">
        <is>
          <t>Financing activities</t>
        </is>
      </c>
      <c r="B15" s="6" t="n"/>
      <c r="C15" s="6" t="n"/>
      <c r="D15" s="6" t="n"/>
      <c r="E15" s="6" t="n"/>
      <c r="F15" s="6" t="n"/>
    </row>
    <row r="16">
      <c r="A16" s="6" t="inlineStr">
        <is>
          <t>Repayment of principal portion of lease liability</t>
        </is>
      </c>
      <c r="B16" s="6" t="n"/>
      <c r="C16" s="6" t="n">
        <v>-257</v>
      </c>
      <c r="D16" s="6" t="n">
        <v>-462</v>
      </c>
      <c r="E16" s="6" t="n">
        <v>-233</v>
      </c>
      <c r="F16" s="6" t="n"/>
    </row>
    <row r="17">
      <c r="A17" s="6" t="inlineStr">
        <is>
          <t>Reduction in overdraft</t>
        </is>
      </c>
      <c r="B17" s="6" t="n"/>
      <c r="C17" s="6" t="n"/>
      <c r="D17" s="6" t="n"/>
      <c r="E17" s="6" t="n"/>
      <c r="F17" s="6" t="n"/>
    </row>
    <row r="18">
      <c r="A18" s="5" t="inlineStr">
        <is>
          <t>Net cash (used in)/generated from financing activities</t>
        </is>
      </c>
      <c r="B18" s="5" t="n">
        <v>0</v>
      </c>
      <c r="C18" s="5" t="n">
        <v>-257</v>
      </c>
      <c r="D18" s="5" t="n">
        <v>-462</v>
      </c>
      <c r="E18" s="5" t="n">
        <v>-233</v>
      </c>
      <c r="F18" s="5" t="n">
        <v>0</v>
      </c>
    </row>
    <row r="19">
      <c r="A19" s="5" t="inlineStr">
        <is>
          <t>Net (decrease)/increase in cash and cash equivalents</t>
        </is>
      </c>
      <c r="B19" s="5" t="n">
        <v>-628179</v>
      </c>
      <c r="C19" s="5" t="n">
        <v>71327</v>
      </c>
      <c r="D19" s="5" t="n">
        <v>286700</v>
      </c>
      <c r="E19" s="5" t="n">
        <v>-257198</v>
      </c>
      <c r="F19" s="5" t="n">
        <v>314107</v>
      </c>
    </row>
    <row r="20">
      <c r="A20" s="6" t="inlineStr">
        <is>
          <t>Cash and cash equivalents at the beginning of the year</t>
        </is>
      </c>
      <c r="B20" s="6" t="n">
        <v>1257559</v>
      </c>
      <c r="C20" s="6" t="n">
        <v>1181046</v>
      </c>
      <c r="D20" s="6" t="n">
        <v>906801</v>
      </c>
      <c r="E20" s="6" t="n">
        <v>1113467</v>
      </c>
      <c r="F20" s="6" t="n">
        <v>803412</v>
      </c>
    </row>
    <row r="21">
      <c r="A21" s="6" t="inlineStr">
        <is>
          <t>Effect of exchange rate changes on cash and cash equivalents</t>
        </is>
      </c>
      <c r="B21" s="6" t="n">
        <v>-26321</v>
      </c>
      <c r="C21" s="6" t="n">
        <v>5186</v>
      </c>
      <c r="D21" s="6" t="n">
        <v>-13894</v>
      </c>
      <c r="E21" s="6" t="n">
        <v>50531</v>
      </c>
      <c r="F21" s="6" t="n">
        <v>1302</v>
      </c>
    </row>
    <row r="22">
      <c r="A22" s="5" t="inlineStr">
        <is>
          <t>Cash and cash equivalents at the end of the year</t>
        </is>
      </c>
      <c r="B22" s="5" t="n">
        <v>603059</v>
      </c>
      <c r="C22" s="5" t="n">
        <v>1257559</v>
      </c>
      <c r="D22" s="5" t="n">
        <v>1179607</v>
      </c>
      <c r="E22" s="5" t="n">
        <v>906801</v>
      </c>
      <c r="F22" s="5" t="n">
        <v>1118821</v>
      </c>
    </row>
    <row r="24" ht="340" customHeight="1">
      <c r="A24" s="8" t="inlineStr">
        <is>
          <t>Sources - all figures are Crown Agents Bank Limited's own Statement of Cash Flows (Bank-solo, no subsidiaries consolidated):
FY2025/FY2024: Annual Report and Financial Statements 2025, p.56-57 &amp; p.105-106 (Statement of Cash Flows + Note 28 reconciliation) - https://www.crownagentsbank.com/wp-content/uploads/2026/04/Crown-Agents-Bank-2025-Annual-Report.pdf
FY2023: Annual Report and Financial Statements 2023, p.59 (Statement of cash flows) - http://www.crownagentsbank.com/wp-content/uploads/2025/09/cab_fs_ye_2023_signed_3_april_2024_audited.pdf
FY2022/FY2021 (own originally-published figures, not FY2023's or FY2022's restated comparatives): Annual Report and Financial Statements 2022, p.41 (Statement of Cash Flows) - http://www.crownagentsbank.com/wp-content/uploads/2025/09/cab_financial_statements_2022_signed_19_april_formatted_version.pdf; Annual Report and Financial Statements 2021, p.38 (Cash Flow Statement)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Crown Agents Bank Limited — Asset Quality</t>
        </is>
      </c>
    </row>
    <row r="2">
      <c r="A2" s="2" t="inlineStr">
        <is>
          <t>Bank-solo basis, £'000 (ratios as calculated). This is a treasury/correspondent-banking-led balance sheet with minimal customer lending - the credit risk note covers all financial asset classes (cash, interbank placements, debt securities, loans and advances), not customer loans alone.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Maximum credit exposure by IFRS 9 stage (on- and off-balance sheet)</t>
        </is>
      </c>
      <c r="B4" s="6" t="n"/>
      <c r="C4" s="6" t="n"/>
      <c r="D4" s="6" t="n"/>
      <c r="E4" s="6" t="n"/>
      <c r="F4" s="6" t="n"/>
    </row>
    <row r="5">
      <c r="A5" s="6" t="inlineStr">
        <is>
          <t>Stage 1 exposure</t>
        </is>
      </c>
      <c r="B5" s="6" t="n">
        <v>1400040</v>
      </c>
      <c r="C5" s="6" t="n">
        <v>1242511</v>
      </c>
      <c r="D5" s="6" t="n">
        <v>1203697</v>
      </c>
      <c r="E5" s="6" t="n">
        <v>1290241</v>
      </c>
      <c r="F5" s="6" t="n"/>
    </row>
    <row r="6">
      <c r="A6" s="6" t="inlineStr">
        <is>
          <t>Stage 2 exposure</t>
        </is>
      </c>
      <c r="B6" s="6" t="n">
        <v>6097</v>
      </c>
      <c r="C6" s="6" t="n">
        <v>61435</v>
      </c>
      <c r="D6" s="6" t="n">
        <v>25033</v>
      </c>
      <c r="E6" s="6" t="n">
        <v>1163</v>
      </c>
      <c r="F6" s="6" t="n"/>
    </row>
    <row r="7">
      <c r="A7" s="6" t="inlineStr">
        <is>
          <t>Stage 3 exposure</t>
        </is>
      </c>
      <c r="B7" s="6" t="n">
        <v>94</v>
      </c>
      <c r="C7" s="6" t="n">
        <v>94</v>
      </c>
      <c r="D7" s="6" t="n">
        <v>184</v>
      </c>
      <c r="E7" s="6" t="n">
        <v>0</v>
      </c>
      <c r="F7" s="6" t="n"/>
    </row>
    <row r="8">
      <c r="A8" s="5" t="inlineStr">
        <is>
          <t>Total maximum credit exposure</t>
        </is>
      </c>
      <c r="B8" s="5" t="n">
        <v>1406231</v>
      </c>
      <c r="C8" s="5" t="n">
        <v>1304040</v>
      </c>
      <c r="D8" s="5" t="n">
        <v>1228914</v>
      </c>
      <c r="E8" s="5" t="n">
        <v>1291404</v>
      </c>
      <c r="F8" s="5" t="n"/>
    </row>
    <row r="9">
      <c r="A9" s="6" t="inlineStr">
        <is>
          <t>Total expected credit loss (ECL) allowance</t>
        </is>
      </c>
      <c r="B9" s="6" t="n">
        <v>324</v>
      </c>
      <c r="C9" s="6" t="n">
        <v>475</v>
      </c>
      <c r="D9" s="6" t="n">
        <v>854</v>
      </c>
      <c r="E9" s="6" t="n">
        <v>400</v>
      </c>
      <c r="F9" s="6" t="n"/>
    </row>
    <row r="10">
      <c r="A10" s="5" t="inlineStr">
        <is>
          <t>Derived ratios</t>
        </is>
      </c>
      <c r="B10" s="6" t="n"/>
      <c r="C10" s="6" t="n"/>
      <c r="D10" s="6" t="n"/>
      <c r="E10" s="6" t="n"/>
      <c r="F10" s="6" t="n"/>
    </row>
    <row r="11">
      <c r="A11" s="6" t="inlineStr">
        <is>
          <t>Stage 3 / total exposure ratio</t>
        </is>
      </c>
      <c r="B11" s="6" t="inlineStr">
        <is>
          <t>0.007%</t>
        </is>
      </c>
      <c r="C11" s="6" t="inlineStr">
        <is>
          <t>0.007%</t>
        </is>
      </c>
      <c r="D11" s="6" t="inlineStr">
        <is>
          <t>0.015%</t>
        </is>
      </c>
      <c r="E11" s="6" t="inlineStr">
        <is>
          <t>0.000%</t>
        </is>
      </c>
      <c r="F11" s="6" t="n"/>
    </row>
    <row r="12">
      <c r="A12" s="6" t="inlineStr">
        <is>
          <t>Total ECL / total exposure (overall coverage)</t>
        </is>
      </c>
      <c r="B12" s="6" t="inlineStr">
        <is>
          <t>0.023%</t>
        </is>
      </c>
      <c r="C12" s="6" t="inlineStr">
        <is>
          <t>0.036%</t>
        </is>
      </c>
      <c r="D12" s="6" t="inlineStr">
        <is>
          <t>0.069%</t>
        </is>
      </c>
      <c r="E12" s="6" t="inlineStr">
        <is>
          <t>0.031%</t>
        </is>
      </c>
      <c r="F12" s="6" t="n"/>
    </row>
    <row r="14" ht="280" customHeight="1">
      <c r="A14" s="8" t="inlineStr">
        <is>
          <t>Sources - Crown Agents Bank Limited's own Credit Risk note (IFRS 9 staging), Bank-solo basis:
FY2025/FY2024: Annual Report and Financial Statements 2025, Note 31(v) 'Breakdown as a function of staging', p.121-122 (on-balance-sheet maximum exposure per stage and total ECL) - https://www.crownagentsbank.com/wp-content/uploads/2026/04/Crown-Agents-Bank-2025-Annual-Report.pdf
FY2023/FY2022: Annual Report and Financial Statements 2023, Note 31(v), p.138-139 (total maximum exposure per stage and total ECL, on- and off-balance-sheet combined) - http://www.crownagentsbank.com/wp-content/uploads/2025/09/cab_fs_ye_2023_signed_3_april_2024_audited.pdf
FY2021: no IFRS 9 staging/expected-credit-loss table was located in the FY2021 Annual Report (it predates the Bank's IFRS-style statement presentation adopted from FY2022 onward, and its own P&amp;L shows a nominal 'Write-off of doubtful debts' rather than an ECL/staging disclosure) - confirmed absent by checking, not assumed; left blank rather than guessed.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619414</v>
      </c>
      <c r="C4" s="6" t="n">
        <v>627016</v>
      </c>
      <c r="D4" s="6" t="n">
        <v>436220</v>
      </c>
      <c r="E4" s="6" t="n">
        <v>269258</v>
      </c>
      <c r="F4" s="6" t="n">
        <v>186856</v>
      </c>
    </row>
    <row r="5" ht="60" customHeight="1">
      <c r="A5" s="7" t="inlineStr">
        <is>
          <t>Note: FY2021's RWA (£186,856k) is directly stated in the Bank's own 2021 Pillar 3 disclosure, p.18. All other years are disclosed to the £'000 in their own KM1 tables.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Crown Agents Bank Limited — RWA Breakdown</t>
        </is>
      </c>
    </row>
    <row r="2">
      <c r="A2" s="2" t="inlineStr">
        <is>
          <t>FY2021/FY2022: Pillar 1 category format. FY2023-FY2025: UK OV1 template (different category granularity - see source note). All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FY2021-FY2022 (Pillar 1 category format, as originally disclosed)</t>
        </is>
      </c>
      <c r="B4" s="6" t="n"/>
      <c r="C4" s="6" t="n"/>
      <c r="D4" s="6" t="n"/>
      <c r="E4" s="6" t="n"/>
      <c r="F4" s="6" t="n"/>
    </row>
    <row r="5">
      <c r="A5" s="6" t="inlineStr">
        <is>
          <t>Credit risk</t>
        </is>
      </c>
      <c r="B5" s="6" t="n"/>
      <c r="C5" s="6" t="n"/>
      <c r="D5" s="6" t="n"/>
      <c r="E5" s="6" t="n">
        <v>136308</v>
      </c>
      <c r="F5" s="6" t="n">
        <v>106588</v>
      </c>
    </row>
    <row r="6">
      <c r="A6" s="6" t="inlineStr">
        <is>
          <t>Counterparty risk (derivatives)</t>
        </is>
      </c>
      <c r="B6" s="6" t="n"/>
      <c r="C6" s="6" t="n"/>
      <c r="D6" s="6" t="n"/>
      <c r="E6" s="6" t="n">
        <v>4207</v>
      </c>
      <c r="F6" s="6" t="n">
        <v>1720</v>
      </c>
    </row>
    <row r="7">
      <c r="A7" s="5" t="inlineStr">
        <is>
          <t>Total credit risk weighted assets</t>
        </is>
      </c>
      <c r="B7" s="5" t="n"/>
      <c r="C7" s="5" t="n"/>
      <c r="D7" s="5" t="n"/>
      <c r="E7" s="5" t="n">
        <v>140515</v>
      </c>
      <c r="F7" s="5" t="n">
        <v>108308</v>
      </c>
    </row>
    <row r="8">
      <c r="A8" s="6" t="inlineStr">
        <is>
          <t>Settlement risk and CVA</t>
        </is>
      </c>
      <c r="B8" s="6" t="n"/>
      <c r="C8" s="6" t="n"/>
      <c r="D8" s="6" t="n"/>
      <c r="E8" s="6" t="n">
        <v>975</v>
      </c>
      <c r="F8" s="6" t="n">
        <v>1047</v>
      </c>
    </row>
    <row r="9">
      <c r="A9" s="6" t="inlineStr">
        <is>
          <t>Market risk</t>
        </is>
      </c>
      <c r="B9" s="6" t="n"/>
      <c r="C9" s="6" t="n"/>
      <c r="D9" s="6" t="n"/>
      <c r="E9" s="6" t="n">
        <v>5240</v>
      </c>
      <c r="F9" s="6" t="n">
        <v>5110</v>
      </c>
    </row>
    <row r="10">
      <c r="A10" s="6" t="inlineStr">
        <is>
          <t>Operational risk</t>
        </is>
      </c>
      <c r="B10" s="6" t="n"/>
      <c r="C10" s="6" t="n"/>
      <c r="D10" s="6" t="n"/>
      <c r="E10" s="6" t="n">
        <v>122529</v>
      </c>
      <c r="F10" s="6" t="n">
        <v>72390</v>
      </c>
    </row>
    <row r="11">
      <c r="A11" s="5" t="inlineStr">
        <is>
          <t>Total risk weighted assets (Pillar 1 format)</t>
        </is>
      </c>
      <c r="B11" s="5" t="n"/>
      <c r="C11" s="5" t="n"/>
      <c r="D11" s="5" t="n"/>
      <c r="E11" s="5" t="n">
        <v>269258</v>
      </c>
      <c r="F11" s="5" t="n">
        <v>186856</v>
      </c>
    </row>
    <row r="12">
      <c r="A12" s="5" t="inlineStr">
        <is>
          <t>FY2023-FY2025 (UK OV1 template, as disclosed from FY2023 onward)</t>
        </is>
      </c>
      <c r="B12" s="6" t="n"/>
      <c r="C12" s="6" t="n"/>
      <c r="D12" s="6" t="n"/>
      <c r="E12" s="6" t="n"/>
      <c r="F12" s="6" t="n"/>
    </row>
    <row r="13">
      <c r="A13" s="6" t="inlineStr">
        <is>
          <t>Credit risk (excluding CCR)</t>
        </is>
      </c>
      <c r="B13" s="6" t="n">
        <v>379430</v>
      </c>
      <c r="C13" s="6" t="n">
        <v>396867</v>
      </c>
      <c r="D13" s="6" t="n">
        <v>234740</v>
      </c>
      <c r="E13" s="6" t="n"/>
      <c r="F13" s="6" t="n"/>
    </row>
    <row r="14">
      <c r="A14" s="6" t="inlineStr">
        <is>
          <t>Counterparty credit risk (CCR)</t>
        </is>
      </c>
      <c r="B14" s="6" t="n">
        <v>4705</v>
      </c>
      <c r="C14" s="6" t="n">
        <v>6299</v>
      </c>
      <c r="D14" s="6" t="n">
        <v>8971</v>
      </c>
      <c r="E14" s="6" t="n"/>
      <c r="F14" s="6" t="n"/>
    </row>
    <row r="15">
      <c r="A15" s="6" t="inlineStr">
        <is>
          <t xml:space="preserve">  of which: credit valuation adjustment (CVA)</t>
        </is>
      </c>
      <c r="B15" s="6" t="n">
        <v>1568</v>
      </c>
      <c r="C15" s="6" t="n">
        <v>1432</v>
      </c>
      <c r="D15" s="6" t="n">
        <v>1194</v>
      </c>
      <c r="E15" s="6" t="n"/>
      <c r="F15" s="6" t="n"/>
    </row>
    <row r="16">
      <c r="A16" s="6" t="inlineStr">
        <is>
          <t>Market risk (position, FX and commodities)</t>
        </is>
      </c>
      <c r="B16" s="6" t="n">
        <v>9497</v>
      </c>
      <c r="C16" s="6" t="n">
        <v>3577</v>
      </c>
      <c r="D16" s="6" t="n">
        <v>3299</v>
      </c>
      <c r="E16" s="6" t="n"/>
      <c r="F16" s="6" t="n"/>
    </row>
    <row r="17">
      <c r="A17" s="6" t="inlineStr">
        <is>
          <t>Operational risk</t>
        </is>
      </c>
      <c r="B17" s="6" t="n">
        <v>225782</v>
      </c>
      <c r="C17" s="6" t="n">
        <v>220273</v>
      </c>
      <c r="D17" s="6" t="n">
        <v>187635</v>
      </c>
      <c r="E17" s="6" t="n"/>
      <c r="F17" s="6" t="n"/>
    </row>
    <row r="18">
      <c r="A18" s="6" t="inlineStr">
        <is>
          <t>Amounts below thresholds for deduction (memo, excluded from Total)</t>
        </is>
      </c>
      <c r="B18" s="6" t="n"/>
      <c r="C18" s="6" t="n"/>
      <c r="D18" s="6" t="n">
        <v>1575</v>
      </c>
      <c r="E18" s="6" t="n"/>
      <c r="F18" s="6" t="n"/>
    </row>
    <row r="19">
      <c r="A19" s="5" t="inlineStr">
        <is>
          <t>Total (UK OV1 format)</t>
        </is>
      </c>
      <c r="B19" s="5" t="n">
        <v>619414</v>
      </c>
      <c r="C19" s="5" t="n">
        <v>627016</v>
      </c>
      <c r="D19" s="5" t="n">
        <v>434645</v>
      </c>
      <c r="E19" s="5" t="n"/>
      <c r="F19" s="5" t="n"/>
    </row>
    <row r="21" ht="420" customHeight="1">
      <c r="A21" s="8" t="inlineStr">
        <is>
          <t>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RE-VERIFIED 2026-09-12 (independent fresh check, not just re-reading this note): all 4 previously-blank years' Pillar 3 Disclosures were re-downloaded and read in full - each DOES contain a genuine category-level RWA breakdown, previously missed.
FY2021/FY2022 use an older 'Risk Weighted Assets - Pillar 1' table format (both years' figures, £'000): FY2021 - Pillar 3 Disclosures 2021, p.18 - Credit Risk 106,588; Counterparty Risk (Derivatives) 1,720; Total Credit Risk Weighted Assets 108,308; Settlement Risk and CVA 1,047; Market Risk 5,110; Operational Risk 72,390; Total Risk Weighted Assets 186,856. FY2022 - Pillar 3 Disclosures 2022 (v3), p.5 - Credit Risk 136,308; Counterparty Risk (Derivatives) 4,207; Total Credit Risk Weighted Assets 140,515; Settlement Risk and CVA 975; Market Risk 5,240; Operational Risk 122,529; Total Risk Weighted Assets 269,258 (ties exactly to the Total RWAs sheet's FY2022 figure).
FY2023-FY2025 use the newer 'UK OV1 - Overview of risk weighted exposure amounts' template (own-year column each time, £'000): FY2023 - Pillar 3 Disclosures 2023, p.21 - Credit risk (excl. CCR) 234,740; Counterparty credit risk (CCR) 8,971 (of which CVA 1,194); Market risk 3,299; Operational risk 187,635; Amounts below thresholds for deduction (memo, not in Total) 1,575; Total 434,645. FY2024 - Pillar 3 Disclosures 2024, p.20-21 - Credit risk (excl. CCR) 396,867; CCR 6,299 (of which CVA 1,432); Market risk 3,577; Operational risk 220,273; Total 627,016 (ties exactly to the Total RWAs sheet's FY2024 figure). FY2025 - Pillar 3 Disclosures 2025, p.20-21 - Credit risk (excl. CCR) 379,430; CCR 4,705 (of which CVA 1,568); Market risk 9,497; Operational risk 225,782; Total 619,414 (ties exactly to the Total RWAs sheet's FY2025 figure).
GENUINE UNRESOLVED DISCREPANCY, documented not forced: FY2023's own OV1 table Total (434,645) does not match the SAME FY2023 document's own KM1 Key Metrics table Total risk-weighted exposure amount (436,220, the figure used on the Total RWAs sheet) - the difference (1,575) exactly equals the OV1 table's own memo-only 'Amounts below thresholds for deduction' row, which is excluded from the OV1 Total but apparently included in the KM1 Total. Both figures are shown exactly as each table states them.</t>
        </is>
      </c>
    </row>
  </sheetData>
  <mergeCells count="1">
    <mergeCell ref="A21:F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Leverage Ratio</t>
        </is>
      </c>
    </row>
    <row r="2">
      <c r="A2" s="2" t="inlineStr">
        <is>
          <t>%, excluding claims on central banks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9.5%</t>
        </is>
      </c>
      <c r="C4" s="6" t="inlineStr">
        <is>
          <t>7.4%</t>
        </is>
      </c>
      <c r="D4" s="6" t="inlineStr">
        <is>
          <t>7.3%</t>
        </is>
      </c>
      <c r="E4" s="6" t="inlineStr">
        <is>
          <t>6.9%</t>
        </is>
      </c>
      <c r="F4" s="6" t="inlineStr">
        <is>
          <t>5.0%</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134.7%</t>
        </is>
      </c>
      <c r="C4" s="6" t="inlineStr">
        <is>
          <t>136.4%</t>
        </is>
      </c>
      <c r="D4" s="6" t="inlineStr">
        <is>
          <t>149.7%</t>
        </is>
      </c>
      <c r="E4" s="6" t="inlineStr">
        <is>
          <t>143.2%</t>
        </is>
      </c>
      <c r="F4" s="6" t="inlineStr">
        <is>
          <t>132%</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130.0%</t>
        </is>
      </c>
      <c r="C4" s="6" t="inlineStr">
        <is>
          <t>130.9%</t>
        </is>
      </c>
      <c r="D4" s="6" t="inlineStr">
        <is>
          <t>159.4%</t>
        </is>
      </c>
      <c r="E4" s="6" t="inlineStr">
        <is>
          <t>206.6%</t>
        </is>
      </c>
      <c r="F4" s="6" t="inlineStr">
        <is>
          <t>211%</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Crown Agents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or exemption statement found in any of the 5 years' Pillar 3 documents reviewed.</t>
        </is>
      </c>
    </row>
    <row r="7" ht="15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2026-09-12T17:19:34Z</dcterms:created>
  <dcterms:modified xmlns:dcterms="http://purl.org/dc/terms/" xmlns:xsi="http://www.w3.org/2001/XMLSchema-instance" xsi:type="dcterms:W3CDTF">2026-09-12T17:19:34Z</dcterms:modified>
</cp:coreProperties>
</file>