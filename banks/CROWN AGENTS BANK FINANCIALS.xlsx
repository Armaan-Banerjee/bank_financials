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A9152C"/>
        <bgColor rgb="00A9152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Crown Agents Bank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1670569</v>
      </c>
      <c r="C6" s="5" t="n">
        <v>1818011</v>
      </c>
      <c r="D6" s="5" t="n">
        <v>1747981</v>
      </c>
      <c r="E6" s="5" t="n">
        <v>1482442</v>
      </c>
      <c r="F6" s="5" t="n">
        <v>1311970</v>
      </c>
      <c r="I6" t="inlineStr">
        <is>
          <t>Total assets</t>
        </is>
      </c>
      <c r="J6" t="n">
        <v>1311970</v>
      </c>
      <c r="K6" t="n">
        <v>1482442</v>
      </c>
      <c r="L6" t="n">
        <v>1747981</v>
      </c>
      <c r="M6" t="n">
        <v>1818011</v>
      </c>
      <c r="N6" t="n">
        <v>1670569</v>
      </c>
      <c r="AO6" t="inlineStr">
        <is>
          <t>CET1 Ratio</t>
        </is>
      </c>
      <c r="AP6" t="n">
        <v>30.3</v>
      </c>
      <c r="AQ6" t="n">
        <v>33.4</v>
      </c>
      <c r="AR6" t="n">
        <v>26.4</v>
      </c>
      <c r="AS6" t="n">
        <v>20.1</v>
      </c>
      <c r="AT6" t="n">
        <v>22.9</v>
      </c>
    </row>
    <row r="7">
      <c r="A7" s="5" t="inlineStr">
        <is>
          <t>Loans and advances to customers / non-banks</t>
        </is>
      </c>
      <c r="B7" s="5" t="n">
        <v>21521</v>
      </c>
      <c r="C7" s="5" t="n">
        <v>32564</v>
      </c>
      <c r="D7" s="5" t="n">
        <v>8216</v>
      </c>
      <c r="E7" s="5" t="n">
        <v>4748</v>
      </c>
      <c r="F7" s="5" t="n"/>
      <c r="I7" t="inlineStr">
        <is>
          <t>Loans and advances to customers / non-banks</t>
        </is>
      </c>
      <c r="K7" t="n">
        <v>4748</v>
      </c>
      <c r="L7" t="n">
        <v>8216</v>
      </c>
      <c r="M7" t="n">
        <v>32564</v>
      </c>
      <c r="N7" t="n">
        <v>21521</v>
      </c>
      <c r="AO7" t="inlineStr">
        <is>
          <t>Total Capital Ratio</t>
        </is>
      </c>
      <c r="AP7" t="n">
        <v>30.3</v>
      </c>
      <c r="AQ7" t="n">
        <v>33.4</v>
      </c>
      <c r="AR7" t="n">
        <v>26.4</v>
      </c>
      <c r="AS7" t="n">
        <v>20.1</v>
      </c>
      <c r="AT7" t="n">
        <v>22.9</v>
      </c>
    </row>
    <row r="8">
      <c r="A8" s="5" t="inlineStr">
        <is>
          <t>Customer accounts</t>
        </is>
      </c>
      <c r="B8" s="5" t="n">
        <v>1441097</v>
      </c>
      <c r="C8" s="5" t="n">
        <v>1589481</v>
      </c>
      <c r="D8" s="5" t="n">
        <v>1546632</v>
      </c>
      <c r="E8" s="5" t="n">
        <v>1310809</v>
      </c>
      <c r="F8" s="5" t="n">
        <v>1194682</v>
      </c>
      <c r="I8" t="inlineStr">
        <is>
          <t>Customer accounts</t>
        </is>
      </c>
      <c r="J8" t="n">
        <v>1194682</v>
      </c>
      <c r="K8" t="n">
        <v>1310809</v>
      </c>
      <c r="L8" t="n">
        <v>1546632</v>
      </c>
      <c r="M8" t="n">
        <v>1589481</v>
      </c>
      <c r="N8" t="n">
        <v>1441097</v>
      </c>
      <c r="AO8" t="inlineStr">
        <is>
          <t>Leverage Ratio</t>
        </is>
      </c>
      <c r="AP8" t="n">
        <v>5</v>
      </c>
      <c r="AQ8" t="n">
        <v>6.9</v>
      </c>
      <c r="AR8" t="n">
        <v>7.3</v>
      </c>
      <c r="AS8" t="n">
        <v>7.4</v>
      </c>
      <c r="AT8" t="n">
        <v>9.5</v>
      </c>
    </row>
    <row r="9">
      <c r="A9" s="5" t="inlineStr">
        <is>
          <t>Total equity / shareholders' funds</t>
        </is>
      </c>
      <c r="B9" s="5" t="n">
        <v>165799</v>
      </c>
      <c r="C9" s="5" t="n">
        <v>150598</v>
      </c>
      <c r="D9" s="5" t="n">
        <v>134204</v>
      </c>
      <c r="E9" s="5" t="n">
        <v>109928</v>
      </c>
      <c r="F9" s="5" t="n">
        <v>75204</v>
      </c>
      <c r="I9" t="inlineStr">
        <is>
          <t>Total equity / shareholders' funds</t>
        </is>
      </c>
      <c r="J9" t="n">
        <v>75204</v>
      </c>
      <c r="K9" t="n">
        <v>109928</v>
      </c>
      <c r="L9" t="n">
        <v>134204</v>
      </c>
      <c r="M9" t="n">
        <v>150598</v>
      </c>
      <c r="N9" t="n">
        <v>165799</v>
      </c>
      <c r="AO9" t="inlineStr">
        <is>
          <t>LCR</t>
        </is>
      </c>
      <c r="AP9" t="n">
        <v>132</v>
      </c>
      <c r="AQ9" t="n">
        <v>143.2</v>
      </c>
      <c r="AR9" t="n">
        <v>149.7</v>
      </c>
      <c r="AS9" t="n">
        <v>136.4</v>
      </c>
      <c r="AT9" t="n">
        <v>134.7</v>
      </c>
    </row>
    <row r="10">
      <c r="AO10" t="inlineStr">
        <is>
          <t>NSFR</t>
        </is>
      </c>
      <c r="AP10" t="n">
        <v>211</v>
      </c>
      <c r="AQ10" t="n">
        <v>206.6</v>
      </c>
      <c r="AR10" t="n">
        <v>159.4</v>
      </c>
      <c r="AS10" t="n">
        <v>130.9</v>
      </c>
      <c r="AT10" t="n">
        <v>130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income / operating income</t>
        </is>
      </c>
      <c r="B13" s="5" t="n">
        <v>118203</v>
      </c>
      <c r="C13" s="5" t="n">
        <v>106499</v>
      </c>
      <c r="D13" s="5" t="n">
        <v>137423</v>
      </c>
      <c r="E13" s="5" t="n">
        <v>109388</v>
      </c>
      <c r="F13" s="5" t="n">
        <v>53405</v>
      </c>
      <c r="Q13" t="inlineStr">
        <is>
          <t>Total income / operating income</t>
        </is>
      </c>
      <c r="R13" t="n">
        <v>53405</v>
      </c>
      <c r="S13" t="n">
        <v>109388</v>
      </c>
      <c r="T13" t="n">
        <v>137423</v>
      </c>
      <c r="U13" t="n">
        <v>106499</v>
      </c>
      <c r="V13" t="n">
        <v>118203</v>
      </c>
    </row>
    <row r="14">
      <c r="A14" s="5" t="inlineStr">
        <is>
          <t>Operating expenses</t>
        </is>
      </c>
      <c r="B14" s="5" t="n">
        <v>-97050</v>
      </c>
      <c r="C14" s="5" t="n">
        <v>-85931</v>
      </c>
      <c r="D14" s="5" t="n">
        <v>-79472</v>
      </c>
      <c r="E14" s="5" t="n">
        <v>-64357</v>
      </c>
      <c r="F14" s="5" t="n">
        <v>-42733</v>
      </c>
      <c r="Q14" t="inlineStr">
        <is>
          <t>Operating expenses</t>
        </is>
      </c>
      <c r="R14" t="n">
        <v>-42733</v>
      </c>
      <c r="S14" t="n">
        <v>-64357</v>
      </c>
      <c r="T14" t="n">
        <v>-79472</v>
      </c>
      <c r="U14" t="n">
        <v>-85931</v>
      </c>
      <c r="V14" t="n">
        <v>-97050</v>
      </c>
    </row>
    <row r="15">
      <c r="A15" s="5" t="inlineStr">
        <is>
          <t>Profit for the year</t>
        </is>
      </c>
      <c r="B15" s="5" t="n">
        <v>14509</v>
      </c>
      <c r="C15" s="5" t="n">
        <v>15391</v>
      </c>
      <c r="D15" s="5" t="n">
        <v>42789</v>
      </c>
      <c r="E15" s="5" t="n">
        <v>34258</v>
      </c>
      <c r="F15" s="5" t="n">
        <v>8658</v>
      </c>
      <c r="Q15" t="inlineStr">
        <is>
          <t>Profit for the year</t>
        </is>
      </c>
      <c r="R15" t="n">
        <v>8658</v>
      </c>
      <c r="S15" t="n">
        <v>34258</v>
      </c>
      <c r="T15" t="n">
        <v>42789</v>
      </c>
      <c r="U15" t="n">
        <v>15391</v>
      </c>
      <c r="V15" t="n">
        <v>14509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150598</v>
      </c>
      <c r="C19" s="5" t="n">
        <v>134204</v>
      </c>
      <c r="D19" s="5" t="n">
        <v>109928</v>
      </c>
      <c r="E19" s="5" t="n">
        <v>75150</v>
      </c>
      <c r="F19" s="5" t="n">
        <v>66288</v>
      </c>
      <c r="Y19" t="inlineStr">
        <is>
          <t>Opening equity</t>
        </is>
      </c>
      <c r="Z19" t="n">
        <v>66288</v>
      </c>
      <c r="AA19" t="n">
        <v>75150</v>
      </c>
      <c r="AB19" t="n">
        <v>109928</v>
      </c>
      <c r="AC19" t="n">
        <v>134204</v>
      </c>
      <c r="AD19" t="n">
        <v>150598</v>
      </c>
    </row>
    <row r="20">
      <c r="A20" s="5" t="inlineStr">
        <is>
          <t>Total comprehensive income for the year</t>
        </is>
      </c>
      <c r="B20" s="5" t="n">
        <v>14411</v>
      </c>
      <c r="C20" s="5" t="n">
        <v>15406</v>
      </c>
      <c r="D20" s="5" t="n">
        <v>42804</v>
      </c>
      <c r="E20" s="5" t="n">
        <v>34329</v>
      </c>
      <c r="F20" s="5" t="n">
        <v>8658</v>
      </c>
      <c r="Y20" t="inlineStr">
        <is>
          <t>Total comprehensive income for the year</t>
        </is>
      </c>
      <c r="Z20" t="n">
        <v>8658</v>
      </c>
      <c r="AA20" t="n">
        <v>34329</v>
      </c>
      <c r="AB20" t="n">
        <v>42804</v>
      </c>
      <c r="AC20" t="n">
        <v>15406</v>
      </c>
      <c r="AD20" t="n">
        <v>14411</v>
      </c>
    </row>
    <row r="21">
      <c r="A21" s="5" t="inlineStr">
        <is>
          <t>Other equity movements, net</t>
        </is>
      </c>
      <c r="B21" s="5" t="n">
        <v>790</v>
      </c>
      <c r="C21" s="5" t="n">
        <v>988</v>
      </c>
      <c r="D21" s="5" t="n">
        <v>-18528</v>
      </c>
      <c r="E21" s="5" t="n">
        <v>449</v>
      </c>
      <c r="F21" s="5" t="n">
        <v>258</v>
      </c>
      <c r="Y21" t="inlineStr">
        <is>
          <t>Other equity movements, net</t>
        </is>
      </c>
      <c r="Z21" t="n">
        <v>258</v>
      </c>
      <c r="AA21" t="n">
        <v>449</v>
      </c>
      <c r="AB21" t="n">
        <v>-18528</v>
      </c>
      <c r="AC21" t="n">
        <v>988</v>
      </c>
      <c r="AD21" t="n">
        <v>790</v>
      </c>
    </row>
    <row r="22">
      <c r="A22" s="5" t="inlineStr">
        <is>
          <t>Closing equity</t>
        </is>
      </c>
      <c r="B22" s="5" t="n">
        <v>165799</v>
      </c>
      <c r="C22" s="5" t="n">
        <v>150598</v>
      </c>
      <c r="D22" s="5" t="n">
        <v>134204</v>
      </c>
      <c r="E22" s="5" t="n">
        <v>109928</v>
      </c>
      <c r="F22" s="5" t="n">
        <v>75204</v>
      </c>
      <c r="Y22" t="inlineStr">
        <is>
          <t>Closing equity</t>
        </is>
      </c>
      <c r="Z22" t="n">
        <v>75204</v>
      </c>
      <c r="AA22" t="n">
        <v>109928</v>
      </c>
      <c r="AB22" t="n">
        <v>134204</v>
      </c>
      <c r="AC22" t="n">
        <v>150598</v>
      </c>
      <c r="AD22" t="n">
        <v>165799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(used in)/generated from operating activities</t>
        </is>
      </c>
      <c r="B26" s="5" t="n">
        <v>-618716</v>
      </c>
      <c r="C26" s="5" t="n">
        <v>87381</v>
      </c>
      <c r="D26" s="5" t="n">
        <v>294763</v>
      </c>
      <c r="E26" s="5" t="n">
        <v>-252244</v>
      </c>
      <c r="F26" s="5" t="n">
        <v>318950</v>
      </c>
      <c r="AG26" t="inlineStr">
        <is>
          <t>Net cash (used in)/generated from operating activities</t>
        </is>
      </c>
      <c r="AH26" t="n">
        <v>318950</v>
      </c>
      <c r="AI26" t="n">
        <v>-252244</v>
      </c>
      <c r="AJ26" t="n">
        <v>294763</v>
      </c>
      <c r="AK26" t="n">
        <v>87381</v>
      </c>
      <c r="AL26" t="n">
        <v>-618716</v>
      </c>
    </row>
    <row r="27">
      <c r="A27" s="5" t="inlineStr">
        <is>
          <t>Net cash used in investing activities</t>
        </is>
      </c>
      <c r="B27" s="5" t="n">
        <v>-9463</v>
      </c>
      <c r="C27" s="5" t="n">
        <v>-15797</v>
      </c>
      <c r="D27" s="5" t="n">
        <v>-7601</v>
      </c>
      <c r="E27" s="5" t="n">
        <v>-4721</v>
      </c>
      <c r="F27" s="5" t="n">
        <v>-4843</v>
      </c>
      <c r="AG27" t="inlineStr">
        <is>
          <t>Net cash used in investing activities</t>
        </is>
      </c>
      <c r="AH27" t="n">
        <v>-4843</v>
      </c>
      <c r="AI27" t="n">
        <v>-4721</v>
      </c>
      <c r="AJ27" t="n">
        <v>-7601</v>
      </c>
      <c r="AK27" t="n">
        <v>-15797</v>
      </c>
      <c r="AL27" t="n">
        <v>-9463</v>
      </c>
    </row>
    <row r="28">
      <c r="A28" s="5" t="inlineStr">
        <is>
          <t>Net cash (used in)/generated from financing activities</t>
        </is>
      </c>
      <c r="B28" s="5" t="n">
        <v>0</v>
      </c>
      <c r="C28" s="5" t="n">
        <v>-257</v>
      </c>
      <c r="D28" s="5" t="n">
        <v>-462</v>
      </c>
      <c r="E28" s="5" t="n">
        <v>-233</v>
      </c>
      <c r="F28" s="5" t="n">
        <v>0</v>
      </c>
      <c r="AG28" t="inlineStr">
        <is>
          <t>Net cash (used in)/generated from financing activities</t>
        </is>
      </c>
      <c r="AH28" t="n">
        <v>0</v>
      </c>
      <c r="AI28" t="n">
        <v>-233</v>
      </c>
      <c r="AJ28" t="n">
        <v>-462</v>
      </c>
      <c r="AK28" t="n">
        <v>-257</v>
      </c>
      <c r="AL28" t="n">
        <v>0</v>
      </c>
    </row>
    <row r="29">
      <c r="A29" s="5" t="inlineStr">
        <is>
          <t>Cash and cash equivalents at end of year</t>
        </is>
      </c>
      <c r="B29" s="5" t="n">
        <v>603059</v>
      </c>
      <c r="C29" s="5" t="n">
        <v>1257559</v>
      </c>
      <c r="D29" s="5" t="n">
        <v>1179607</v>
      </c>
      <c r="E29" s="5" t="n">
        <v>906801</v>
      </c>
      <c r="F29" s="5" t="n">
        <v>1118821</v>
      </c>
      <c r="AG29" t="inlineStr">
        <is>
          <t>Cash and cash equivalents at end of year</t>
        </is>
      </c>
      <c r="AH29" t="n">
        <v>1118821</v>
      </c>
      <c r="AI29" t="n">
        <v>906801</v>
      </c>
      <c r="AJ29" t="n">
        <v>1179607</v>
      </c>
      <c r="AK29" t="n">
        <v>1257559</v>
      </c>
      <c r="AL29" t="n">
        <v>603059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22.9%</t>
        </is>
      </c>
      <c r="C33" s="6" t="inlineStr">
        <is>
          <t>20.1%</t>
        </is>
      </c>
      <c r="D33" s="6" t="inlineStr">
        <is>
          <t>26.4%</t>
        </is>
      </c>
      <c r="E33" s="6" t="inlineStr">
        <is>
          <t>33.4%</t>
        </is>
      </c>
      <c r="F33" s="6" t="inlineStr">
        <is>
          <t>30.3%</t>
        </is>
      </c>
    </row>
    <row r="34">
      <c r="A34" s="6" t="inlineStr">
        <is>
          <t>Total Capital Ratio</t>
        </is>
      </c>
      <c r="B34" s="6" t="inlineStr">
        <is>
          <t>22.9%</t>
        </is>
      </c>
      <c r="C34" s="6" t="inlineStr">
        <is>
          <t>20.1%</t>
        </is>
      </c>
      <c r="D34" s="6" t="inlineStr">
        <is>
          <t>26.4%</t>
        </is>
      </c>
      <c r="E34" s="6" t="inlineStr">
        <is>
          <t>33.4%</t>
        </is>
      </c>
      <c r="F34" s="6" t="inlineStr">
        <is>
          <t>30.3%</t>
        </is>
      </c>
    </row>
    <row r="35">
      <c r="A35" s="6" t="inlineStr">
        <is>
          <t>Leverage Ratio</t>
        </is>
      </c>
      <c r="B35" s="6" t="inlineStr">
        <is>
          <t>9.5%</t>
        </is>
      </c>
      <c r="C35" s="6" t="inlineStr">
        <is>
          <t>7.4%</t>
        </is>
      </c>
      <c r="D35" s="6" t="inlineStr">
        <is>
          <t>7.3%</t>
        </is>
      </c>
      <c r="E35" s="6" t="inlineStr">
        <is>
          <t>6.9%</t>
        </is>
      </c>
      <c r="F35" s="6" t="inlineStr">
        <is>
          <t>5.0%</t>
        </is>
      </c>
    </row>
    <row r="36">
      <c r="A36" s="6" t="inlineStr">
        <is>
          <t>LCR</t>
        </is>
      </c>
      <c r="B36" s="6" t="inlineStr">
        <is>
          <t>134.7%</t>
        </is>
      </c>
      <c r="C36" s="6" t="inlineStr">
        <is>
          <t>136.4%</t>
        </is>
      </c>
      <c r="D36" s="6" t="inlineStr">
        <is>
          <t>149.7%</t>
        </is>
      </c>
      <c r="E36" s="6" t="inlineStr">
        <is>
          <t>143.2%</t>
        </is>
      </c>
      <c r="F36" s="6" t="inlineStr">
        <is>
          <t>132%</t>
        </is>
      </c>
    </row>
    <row r="37">
      <c r="A37" s="6" t="inlineStr">
        <is>
          <t>NSFR</t>
        </is>
      </c>
      <c r="B37" s="6" t="inlineStr">
        <is>
          <t>130.0%</t>
        </is>
      </c>
      <c r="C37" s="6" t="inlineStr">
        <is>
          <t>130.9%</t>
        </is>
      </c>
      <c r="D37" s="6" t="inlineStr">
        <is>
          <t>159.4%</t>
        </is>
      </c>
      <c r="E37" s="6" t="inlineStr">
        <is>
          <t>206.6%</t>
        </is>
      </c>
      <c r="F37" s="6" t="inlineStr">
        <is>
          <t>211%</t>
        </is>
      </c>
    </row>
    <row r="39" ht="45" customHeight="1">
      <c r="A39" s="7" t="inlineStr">
        <is>
          <t>Note: Figures are duplicated from the detail sheets for at-a-glance trend viewing; see each sheet's own source citation for the underlying document/page. LCR/NSFR shown here use the KM1/average basis from FY2022 onward - see the LCR/NSFR sheets' own CAVEAT note for FY2021/FY2022 basis ambiguity.</t>
        </is>
      </c>
    </row>
  </sheetData>
  <mergeCells count="1">
    <mergeCell ref="A39:F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Balance Sheet</t>
        </is>
      </c>
    </row>
    <row r="2">
      <c r="A2" s="2" t="inlineStr">
        <is>
          <t>Bank-solo basis, £'000. See source note at bottom (genuine restatement and presentation changes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central banks</t>
        </is>
      </c>
      <c r="B5" s="6" t="n">
        <v>257867</v>
      </c>
      <c r="C5" s="6" t="n">
        <v>584679</v>
      </c>
      <c r="D5" s="6" t="n">
        <v>528396</v>
      </c>
      <c r="E5" s="6" t="n">
        <v>607358</v>
      </c>
      <c r="F5" s="6" t="n">
        <v>676492</v>
      </c>
    </row>
    <row r="6">
      <c r="A6" s="6" t="inlineStr">
        <is>
          <t>Money market funds</t>
        </is>
      </c>
      <c r="B6" s="6" t="n">
        <v>218157</v>
      </c>
      <c r="C6" s="6" t="n">
        <v>488197</v>
      </c>
      <c r="D6" s="6" t="n">
        <v>518764</v>
      </c>
      <c r="E6" s="6" t="n">
        <v>209486</v>
      </c>
      <c r="F6" s="6" t="n">
        <v>336737</v>
      </c>
    </row>
    <row r="7">
      <c r="A7" s="6" t="inlineStr">
        <is>
          <t>Loans and advances on demand to banks</t>
        </is>
      </c>
      <c r="B7" s="6" t="n">
        <v>127035</v>
      </c>
      <c r="C7" s="6" t="n">
        <v>184683</v>
      </c>
      <c r="D7" s="6" t="n">
        <v>132447</v>
      </c>
      <c r="E7" s="6" t="n">
        <v>89957</v>
      </c>
      <c r="F7" s="6" t="n">
        <v>105592</v>
      </c>
    </row>
    <row r="8">
      <c r="A8" s="6" t="inlineStr">
        <is>
          <t>Other loans and advances to banks</t>
        </is>
      </c>
      <c r="B8" s="6" t="n">
        <v>274956</v>
      </c>
      <c r="C8" s="6" t="n">
        <v>180095</v>
      </c>
      <c r="D8" s="6" t="n">
        <v>137569</v>
      </c>
      <c r="E8" s="6" t="n">
        <v>91691</v>
      </c>
      <c r="F8" s="6" t="n">
        <v>74030</v>
      </c>
    </row>
    <row r="9">
      <c r="A9" s="6" t="inlineStr">
        <is>
          <t>Loans and advances to customers / non-banks</t>
        </is>
      </c>
      <c r="B9" s="6" t="n">
        <v>21521</v>
      </c>
      <c r="C9" s="6" t="n">
        <v>32564</v>
      </c>
      <c r="D9" s="6" t="n">
        <v>8216</v>
      </c>
      <c r="E9" s="6" t="n">
        <v>4748</v>
      </c>
      <c r="F9" s="6" t="n"/>
    </row>
    <row r="10">
      <c r="A10" s="6" t="inlineStr">
        <is>
          <t>Investments in debt securities, at amortised cost</t>
        </is>
      </c>
      <c r="B10" s="6" t="n">
        <v>234790</v>
      </c>
      <c r="C10" s="6" t="n">
        <v>246021</v>
      </c>
      <c r="D10" s="6" t="n">
        <v>353028</v>
      </c>
      <c r="E10" s="6" t="n">
        <v>414061</v>
      </c>
      <c r="F10" s="6" t="n">
        <v>73249</v>
      </c>
    </row>
    <row r="11">
      <c r="A11" s="6" t="inlineStr">
        <is>
          <t>Investment in debt securities, at fair value through OCI</t>
        </is>
      </c>
      <c r="B11" s="6" t="n">
        <v>442751</v>
      </c>
      <c r="C11" s="6" t="n"/>
      <c r="D11" s="6" t="n"/>
      <c r="E11" s="6" t="n"/>
      <c r="F11" s="6" t="n"/>
    </row>
    <row r="12">
      <c r="A12" s="6" t="inlineStr">
        <is>
          <t>Investments in equity securities</t>
        </is>
      </c>
      <c r="B12" s="6" t="n">
        <v>679</v>
      </c>
      <c r="C12" s="6" t="n">
        <v>553</v>
      </c>
      <c r="D12" s="6" t="n">
        <v>495</v>
      </c>
      <c r="E12" s="6" t="n">
        <v>488</v>
      </c>
      <c r="F12" s="6" t="n">
        <v>341</v>
      </c>
    </row>
    <row r="13">
      <c r="A13" s="6" t="inlineStr">
        <is>
          <t>Derivative financial assets</t>
        </is>
      </c>
      <c r="B13" s="6" t="n">
        <v>489</v>
      </c>
      <c r="C13" s="6" t="n">
        <v>4884</v>
      </c>
      <c r="D13" s="6" t="n">
        <v>3829</v>
      </c>
      <c r="E13" s="6" t="n">
        <v>6589</v>
      </c>
      <c r="F13" s="6" t="n">
        <v>1641</v>
      </c>
    </row>
    <row r="14">
      <c r="A14" s="6" t="inlineStr">
        <is>
          <t>Unsettled transactions</t>
        </is>
      </c>
      <c r="B14" s="6" t="n">
        <v>8900</v>
      </c>
      <c r="C14" s="6" t="n">
        <v>10866</v>
      </c>
      <c r="D14" s="6" t="n">
        <v>8417</v>
      </c>
      <c r="E14" s="6" t="n">
        <v>12960</v>
      </c>
      <c r="F14" s="6" t="n"/>
    </row>
    <row r="15">
      <c r="A15" s="6" t="inlineStr">
        <is>
          <t>Investments in subsidiary undertakings</t>
        </is>
      </c>
      <c r="B15" s="6" t="n">
        <v>4476</v>
      </c>
      <c r="C15" s="6" t="n">
        <v>1899</v>
      </c>
      <c r="D15" s="6" t="n"/>
      <c r="E15" s="6" t="n"/>
      <c r="F15" s="6" t="n"/>
    </row>
    <row r="16">
      <c r="A16" s="6" t="inlineStr">
        <is>
          <t>Current tax asset</t>
        </is>
      </c>
      <c r="B16" s="6" t="n">
        <v>8839</v>
      </c>
      <c r="C16" s="6" t="n">
        <v>9386</v>
      </c>
      <c r="D16" s="6" t="n"/>
      <c r="E16" s="6" t="n"/>
      <c r="F16" s="6" t="n"/>
    </row>
    <row r="17">
      <c r="A17" s="6" t="inlineStr">
        <is>
          <t>Other assets</t>
        </is>
      </c>
      <c r="B17" s="6" t="n">
        <v>27071</v>
      </c>
      <c r="C17" s="6" t="n">
        <v>29352</v>
      </c>
      <c r="D17" s="6" t="n">
        <v>34653</v>
      </c>
      <c r="E17" s="6" t="n">
        <v>24022</v>
      </c>
      <c r="F17" s="6" t="n">
        <v>19902</v>
      </c>
    </row>
    <row r="18">
      <c r="A18" s="6" t="inlineStr">
        <is>
          <t>Accrued income</t>
        </is>
      </c>
      <c r="B18" s="6" t="n">
        <v>2033</v>
      </c>
      <c r="C18" s="6" t="n">
        <v>925</v>
      </c>
      <c r="D18" s="6" t="n">
        <v>1217</v>
      </c>
      <c r="E18" s="6" t="n">
        <v>857</v>
      </c>
      <c r="F18" s="6" t="n"/>
    </row>
    <row r="19">
      <c r="A19" s="6" t="inlineStr">
        <is>
          <t>Prepayments and accrued income</t>
        </is>
      </c>
      <c r="B19" s="6" t="n"/>
      <c r="C19" s="6" t="n"/>
      <c r="D19" s="6" t="n"/>
      <c r="E19" s="6" t="n"/>
      <c r="F19" s="6" t="n">
        <v>3646</v>
      </c>
    </row>
    <row r="20">
      <c r="A20" s="6" t="inlineStr">
        <is>
          <t>Property, plant and equipment / tangible fixed assets</t>
        </is>
      </c>
      <c r="B20" s="6" t="n">
        <v>2188</v>
      </c>
      <c r="C20" s="6" t="n">
        <v>2679</v>
      </c>
      <c r="D20" s="6" t="n">
        <v>1177</v>
      </c>
      <c r="E20" s="6" t="n">
        <v>1568</v>
      </c>
      <c r="F20" s="6" t="n">
        <v>2043</v>
      </c>
    </row>
    <row r="21">
      <c r="A21" s="6" t="inlineStr">
        <is>
          <t>Right of use assets</t>
        </is>
      </c>
      <c r="B21" s="6" t="n">
        <v>14977</v>
      </c>
      <c r="C21" s="6" t="n">
        <v>16830</v>
      </c>
      <c r="D21" s="6" t="n">
        <v>689</v>
      </c>
      <c r="E21" s="6" t="n">
        <v>1134</v>
      </c>
      <c r="F21" s="6" t="n"/>
    </row>
    <row r="22">
      <c r="A22" s="6" t="inlineStr">
        <is>
          <t>Intangible assets</t>
        </is>
      </c>
      <c r="B22" s="6" t="n">
        <v>23840</v>
      </c>
      <c r="C22" s="6" t="n">
        <v>24398</v>
      </c>
      <c r="D22" s="6" t="n">
        <v>19084</v>
      </c>
      <c r="E22" s="6" t="n">
        <v>17523</v>
      </c>
      <c r="F22" s="6" t="n">
        <v>18297</v>
      </c>
    </row>
    <row r="23">
      <c r="A23" s="5" t="inlineStr">
        <is>
          <t>Total assets</t>
        </is>
      </c>
      <c r="B23" s="5" t="n">
        <v>1670569</v>
      </c>
      <c r="C23" s="5" t="n">
        <v>1818011</v>
      </c>
      <c r="D23" s="5" t="n">
        <v>1747981</v>
      </c>
      <c r="E23" s="5" t="n">
        <v>1482442</v>
      </c>
      <c r="F23" s="5" t="n">
        <v>1311970</v>
      </c>
    </row>
    <row r="24">
      <c r="A24" s="5" t="inlineStr">
        <is>
          <t>Liabilities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Customer accounts</t>
        </is>
      </c>
      <c r="B25" s="6" t="n">
        <v>1441097</v>
      </c>
      <c r="C25" s="6" t="n">
        <v>1589481</v>
      </c>
      <c r="D25" s="6" t="n">
        <v>1546632</v>
      </c>
      <c r="E25" s="6" t="n">
        <v>1310809</v>
      </c>
      <c r="F25" s="6" t="n">
        <v>1194682</v>
      </c>
    </row>
    <row r="26">
      <c r="A26" s="6" t="inlineStr">
        <is>
          <t>Derivative financial liabilities</t>
        </is>
      </c>
      <c r="B26" s="6" t="n">
        <v>1384</v>
      </c>
      <c r="C26" s="6" t="n">
        <v>539</v>
      </c>
      <c r="D26" s="6" t="n">
        <v>9679</v>
      </c>
      <c r="E26" s="6" t="n">
        <v>4565</v>
      </c>
      <c r="F26" s="6" t="n">
        <v>7669</v>
      </c>
    </row>
    <row r="27">
      <c r="A27" s="6" t="inlineStr">
        <is>
          <t>Unsettled transactions</t>
        </is>
      </c>
      <c r="B27" s="6" t="n">
        <v>20772</v>
      </c>
      <c r="C27" s="6" t="n">
        <v>35173</v>
      </c>
      <c r="D27" s="6" t="n">
        <v>20081</v>
      </c>
      <c r="E27" s="6" t="n">
        <v>25782</v>
      </c>
      <c r="F27" s="6" t="n"/>
    </row>
    <row r="28">
      <c r="A28" s="6" t="inlineStr">
        <is>
          <t>Other liabilities</t>
        </is>
      </c>
      <c r="B28" s="6" t="n">
        <v>6725</v>
      </c>
      <c r="C28" s="6" t="n">
        <v>12818</v>
      </c>
      <c r="D28" s="6" t="n">
        <v>18255</v>
      </c>
      <c r="E28" s="6" t="n">
        <v>11314</v>
      </c>
      <c r="F28" s="6" t="n">
        <v>26193</v>
      </c>
    </row>
    <row r="29">
      <c r="A29" s="6" t="inlineStr">
        <is>
          <t>Accruals / accruals and deferred income</t>
        </is>
      </c>
      <c r="B29" s="6" t="n">
        <v>13529</v>
      </c>
      <c r="C29" s="6" t="n">
        <v>9160</v>
      </c>
      <c r="D29" s="6" t="n">
        <v>17315</v>
      </c>
      <c r="E29" s="6" t="n">
        <v>18368</v>
      </c>
      <c r="F29" s="6" t="n">
        <v>8222</v>
      </c>
    </row>
    <row r="30">
      <c r="A30" s="6" t="inlineStr">
        <is>
          <t>Lease liabilities</t>
        </is>
      </c>
      <c r="B30" s="6" t="n">
        <v>18281</v>
      </c>
      <c r="C30" s="6" t="n">
        <v>17076</v>
      </c>
      <c r="D30" s="6" t="n">
        <v>884</v>
      </c>
      <c r="E30" s="6" t="n">
        <v>1281</v>
      </c>
      <c r="F30" s="6" t="n"/>
    </row>
    <row r="31">
      <c r="A31" s="6" t="inlineStr">
        <is>
          <t>Deferred tax liability</t>
        </is>
      </c>
      <c r="B31" s="6" t="n">
        <v>928</v>
      </c>
      <c r="C31" s="6" t="n">
        <v>1217</v>
      </c>
      <c r="D31" s="6" t="n">
        <v>695</v>
      </c>
      <c r="E31" s="6" t="n">
        <v>316</v>
      </c>
      <c r="F31" s="6" t="n"/>
    </row>
    <row r="32">
      <c r="A32" s="6" t="inlineStr">
        <is>
          <t>Provisions</t>
        </is>
      </c>
      <c r="B32" s="6" t="n">
        <v>2054</v>
      </c>
      <c r="C32" s="6" t="n">
        <v>1949</v>
      </c>
      <c r="D32" s="6" t="n">
        <v>236</v>
      </c>
      <c r="E32" s="6" t="n">
        <v>79</v>
      </c>
      <c r="F32" s="6" t="n"/>
    </row>
    <row r="33">
      <c r="A33" s="5" t="inlineStr">
        <is>
          <t>Total liabilities</t>
        </is>
      </c>
      <c r="B33" s="5" t="n">
        <v>1504770</v>
      </c>
      <c r="C33" s="5" t="n">
        <v>1667413</v>
      </c>
      <c r="D33" s="5" t="n">
        <v>1613777</v>
      </c>
      <c r="E33" s="5" t="n">
        <v>1372514</v>
      </c>
      <c r="F33" s="5" t="n">
        <v>1236766</v>
      </c>
    </row>
    <row r="34">
      <c r="A34" s="5" t="inlineStr">
        <is>
          <t>Equity</t>
        </is>
      </c>
      <c r="B34" s="6" t="n"/>
      <c r="C34" s="6" t="n"/>
      <c r="D34" s="6" t="n"/>
      <c r="E34" s="6" t="n"/>
      <c r="F34" s="6" t="n"/>
    </row>
    <row r="35">
      <c r="A35" s="6" t="inlineStr">
        <is>
          <t>Called up share capital</t>
        </is>
      </c>
      <c r="B35" s="6" t="n">
        <v>41200</v>
      </c>
      <c r="C35" s="6" t="n">
        <v>41200</v>
      </c>
      <c r="D35" s="6" t="n">
        <v>41200</v>
      </c>
      <c r="E35" s="6" t="n">
        <v>41200</v>
      </c>
      <c r="F35" s="6" t="n">
        <v>41200</v>
      </c>
    </row>
    <row r="36">
      <c r="A36" s="6" t="inlineStr">
        <is>
          <t>Retained earnings</t>
        </is>
      </c>
      <c r="B36" s="6" t="n">
        <v>124563</v>
      </c>
      <c r="C36" s="6" t="n">
        <v>109264</v>
      </c>
      <c r="D36" s="6" t="n">
        <v>92885</v>
      </c>
      <c r="E36" s="6" t="n">
        <v>68624</v>
      </c>
      <c r="F36" s="6" t="n">
        <v>34004</v>
      </c>
    </row>
    <row r="37">
      <c r="A37" s="6" t="inlineStr">
        <is>
          <t>Investment revaluation reserve</t>
        </is>
      </c>
      <c r="B37" s="6" t="n">
        <v>207</v>
      </c>
      <c r="C37" s="6" t="n">
        <v>134</v>
      </c>
      <c r="D37" s="6" t="n">
        <v>119</v>
      </c>
      <c r="E37" s="6" t="n">
        <v>104</v>
      </c>
      <c r="F37" s="6" t="n"/>
    </row>
    <row r="38">
      <c r="A38" s="6" t="inlineStr">
        <is>
          <t>Debt securities revaluation reserve</t>
        </is>
      </c>
      <c r="B38" s="6" t="n">
        <v>73</v>
      </c>
      <c r="C38" s="6" t="n"/>
      <c r="D38" s="6" t="n"/>
      <c r="E38" s="6" t="n"/>
      <c r="F38" s="6" t="n"/>
    </row>
    <row r="39">
      <c r="A39" s="6" t="inlineStr">
        <is>
          <t>Cash flow hedge reserve</t>
        </is>
      </c>
      <c r="B39" s="6" t="n">
        <v>-244</v>
      </c>
      <c r="C39" s="6" t="n"/>
      <c r="D39" s="6" t="n"/>
      <c r="E39" s="6" t="n"/>
      <c r="F39" s="6" t="n"/>
    </row>
    <row r="40">
      <c r="A40" s="5" t="inlineStr">
        <is>
          <t>Total equity / shareholders' funds</t>
        </is>
      </c>
      <c r="B40" s="5" t="n">
        <v>165799</v>
      </c>
      <c r="C40" s="5" t="n">
        <v>150598</v>
      </c>
      <c r="D40" s="5" t="n">
        <v>134204</v>
      </c>
      <c r="E40" s="5" t="n">
        <v>109928</v>
      </c>
      <c r="F40" s="5" t="n">
        <v>75204</v>
      </c>
    </row>
    <row r="41">
      <c r="A41" s="5" t="inlineStr">
        <is>
          <t>Total liabilities and equity</t>
        </is>
      </c>
      <c r="B41" s="5" t="n">
        <v>1670569</v>
      </c>
      <c r="C41" s="5" t="n">
        <v>1818011</v>
      </c>
      <c r="D41" s="5" t="n">
        <v>1747981</v>
      </c>
      <c r="E41" s="5" t="n">
        <v>1482442</v>
      </c>
      <c r="F41" s="5" t="n">
        <v>1311970</v>
      </c>
    </row>
    <row r="43" ht="340" customHeight="1">
      <c r="A43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Profit &amp; Loss</t>
        </is>
      </c>
    </row>
    <row r="2">
      <c r="A2" s="2" t="inlineStr">
        <is>
          <t>Bank-solo basis, £'000. See source note at bottom (genuine presentation changes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55772</v>
      </c>
      <c r="C5" s="6" t="n">
        <v>58831</v>
      </c>
      <c r="D5" s="6" t="n">
        <v>52309</v>
      </c>
      <c r="E5" s="6" t="n">
        <v>17163</v>
      </c>
      <c r="F5" s="6" t="n">
        <v>3584</v>
      </c>
    </row>
    <row r="6">
      <c r="A6" s="6" t="inlineStr">
        <is>
          <t>Interest expense</t>
        </is>
      </c>
      <c r="B6" s="6" t="n">
        <v>-29770</v>
      </c>
      <c r="C6" s="6" t="n">
        <v>-38403</v>
      </c>
      <c r="D6" s="6" t="n">
        <v>-30854</v>
      </c>
      <c r="E6" s="6" t="n">
        <v>-10398</v>
      </c>
      <c r="F6" s="6" t="n">
        <v>-1376</v>
      </c>
    </row>
    <row r="7">
      <c r="A7" s="5" t="inlineStr">
        <is>
          <t>Net interest income</t>
        </is>
      </c>
      <c r="B7" s="5" t="n">
        <v>26002</v>
      </c>
      <c r="C7" s="5" t="n">
        <v>20428</v>
      </c>
      <c r="D7" s="5" t="n">
        <v>21455</v>
      </c>
      <c r="E7" s="5" t="n">
        <v>6765</v>
      </c>
      <c r="F7" s="5" t="n">
        <v>2208</v>
      </c>
    </row>
    <row r="8">
      <c r="A8" s="6" t="inlineStr">
        <is>
          <t>Gains on money market funds</t>
        </is>
      </c>
      <c r="B8" s="6" t="n">
        <v>14688</v>
      </c>
      <c r="C8" s="6" t="n">
        <v>16070</v>
      </c>
      <c r="D8" s="6" t="n">
        <v>11034</v>
      </c>
      <c r="E8" s="6" t="n">
        <v>3585</v>
      </c>
      <c r="F8" s="6" t="n"/>
    </row>
    <row r="9">
      <c r="A9" s="6" t="inlineStr">
        <is>
          <t>Net (loss)/gain on financial instruments at FVTPL</t>
        </is>
      </c>
      <c r="B9" s="6" t="n">
        <v>-1616</v>
      </c>
      <c r="C9" s="6" t="n">
        <v>-247</v>
      </c>
      <c r="D9" s="6" t="n">
        <v>1232</v>
      </c>
      <c r="E9" s="6" t="n">
        <v>1009</v>
      </c>
      <c r="F9" s="6" t="n"/>
    </row>
    <row r="10">
      <c r="A10" s="6" t="inlineStr">
        <is>
          <t>Fees and commission income</t>
        </is>
      </c>
      <c r="B10" s="6" t="n">
        <v>16429</v>
      </c>
      <c r="C10" s="6" t="n">
        <v>15835</v>
      </c>
      <c r="D10" s="6" t="n">
        <v>14647</v>
      </c>
      <c r="E10" s="6" t="n">
        <v>15831</v>
      </c>
      <c r="F10" s="6" t="n">
        <v>11755</v>
      </c>
    </row>
    <row r="11">
      <c r="A11" s="6" t="inlineStr">
        <is>
          <t>Net foreign exchange gain</t>
        </is>
      </c>
      <c r="B11" s="6" t="n">
        <v>61965</v>
      </c>
      <c r="C11" s="6" t="n">
        <v>53797</v>
      </c>
      <c r="D11" s="6" t="n">
        <v>88742</v>
      </c>
      <c r="E11" s="6" t="n">
        <v>82682</v>
      </c>
      <c r="F11" s="6" t="n">
        <v>39133</v>
      </c>
    </row>
    <row r="12">
      <c r="A12" s="6" t="inlineStr">
        <is>
          <t>Write-off of doubtful debts</t>
        </is>
      </c>
      <c r="B12" s="6" t="n"/>
      <c r="C12" s="6" t="n"/>
      <c r="D12" s="6" t="n"/>
      <c r="E12" s="6" t="n"/>
      <c r="F12" s="6" t="n">
        <v>-38</v>
      </c>
    </row>
    <row r="13">
      <c r="A13" s="6" t="inlineStr">
        <is>
          <t>Other operating income/(loss)</t>
        </is>
      </c>
      <c r="B13" s="6" t="n">
        <v>735</v>
      </c>
      <c r="C13" s="6" t="n">
        <v>616</v>
      </c>
      <c r="D13" s="6" t="n">
        <v>313</v>
      </c>
      <c r="E13" s="6" t="n">
        <v>-484</v>
      </c>
      <c r="F13" s="6" t="n">
        <v>347</v>
      </c>
    </row>
    <row r="14">
      <c r="A14" s="5" t="inlineStr">
        <is>
          <t>Total income / operating income</t>
        </is>
      </c>
      <c r="B14" s="5" t="n">
        <v>118203</v>
      </c>
      <c r="C14" s="5" t="n">
        <v>106499</v>
      </c>
      <c r="D14" s="5" t="n">
        <v>137423</v>
      </c>
      <c r="E14" s="5" t="n">
        <v>109388</v>
      </c>
      <c r="F14" s="5" t="n">
        <v>53405</v>
      </c>
    </row>
    <row r="15">
      <c r="A15" s="5" t="inlineStr">
        <is>
          <t>Expenses</t>
        </is>
      </c>
      <c r="B15" s="6" t="n"/>
      <c r="C15" s="6" t="n"/>
      <c r="D15" s="6" t="n"/>
      <c r="E15" s="6" t="n"/>
      <c r="F15" s="6" t="n"/>
    </row>
    <row r="16">
      <c r="A16" s="6" t="inlineStr">
        <is>
          <t>Operating expenses (recurring + non-recurring / before &amp; after non-underlying items)</t>
        </is>
      </c>
      <c r="B16" s="6" t="n">
        <v>-97050</v>
      </c>
      <c r="C16" s="6" t="n">
        <v>-85931</v>
      </c>
      <c r="D16" s="6" t="n">
        <v>-79472</v>
      </c>
      <c r="E16" s="6" t="n">
        <v>-64357</v>
      </c>
      <c r="F16" s="6" t="n"/>
    </row>
    <row r="17">
      <c r="A17" s="6" t="inlineStr">
        <is>
          <t>Administrative expenses</t>
        </is>
      </c>
      <c r="B17" s="6" t="n"/>
      <c r="C17" s="6" t="n"/>
      <c r="D17" s="6" t="n"/>
      <c r="E17" s="6" t="n"/>
      <c r="F17" s="6" t="n">
        <v>-37122</v>
      </c>
    </row>
    <row r="18">
      <c r="A18" s="6" t="inlineStr">
        <is>
          <t>Amortisation</t>
        </is>
      </c>
      <c r="B18" s="6" t="n"/>
      <c r="C18" s="6" t="n"/>
      <c r="D18" s="6" t="n"/>
      <c r="E18" s="6" t="n"/>
      <c r="F18" s="6" t="n">
        <v>-4775</v>
      </c>
    </row>
    <row r="19">
      <c r="A19" s="6" t="inlineStr">
        <is>
          <t>Depreciation</t>
        </is>
      </c>
      <c r="B19" s="6" t="n"/>
      <c r="C19" s="6" t="n"/>
      <c r="D19" s="6" t="n"/>
      <c r="E19" s="6" t="n"/>
      <c r="F19" s="6" t="n">
        <v>-836</v>
      </c>
    </row>
    <row r="20">
      <c r="A20" s="6" t="inlineStr">
        <is>
          <t>Other finance costs</t>
        </is>
      </c>
      <c r="B20" s="6" t="n">
        <v>-1339</v>
      </c>
      <c r="C20" s="6" t="n">
        <v>-876</v>
      </c>
      <c r="D20" s="6" t="n"/>
      <c r="E20" s="6" t="n"/>
      <c r="F20" s="6" t="n"/>
    </row>
    <row r="21">
      <c r="A21" s="6" t="inlineStr">
        <is>
          <t>Impairment reversal/(loss) on financial assets at amortised cost</t>
        </is>
      </c>
      <c r="B21" s="6" t="n">
        <v>154</v>
      </c>
      <c r="C21" s="6" t="n">
        <v>377</v>
      </c>
      <c r="D21" s="6" t="n">
        <v>-454</v>
      </c>
      <c r="E21" s="6" t="n">
        <v>-329</v>
      </c>
      <c r="F21" s="6" t="n"/>
    </row>
    <row r="22">
      <c r="A22" s="5" t="inlineStr">
        <is>
          <t>Profit before taxation</t>
        </is>
      </c>
      <c r="B22" s="5" t="n">
        <v>19968</v>
      </c>
      <c r="C22" s="5" t="n">
        <v>20069</v>
      </c>
      <c r="D22" s="5" t="n">
        <v>57497</v>
      </c>
      <c r="E22" s="5" t="n">
        <v>44702</v>
      </c>
      <c r="F22" s="5" t="n">
        <v>10672</v>
      </c>
    </row>
    <row r="23">
      <c r="A23" s="6" t="inlineStr">
        <is>
          <t>Tax expense</t>
        </is>
      </c>
      <c r="B23" s="6" t="n">
        <v>-5459</v>
      </c>
      <c r="C23" s="6" t="n">
        <v>-4678</v>
      </c>
      <c r="D23" s="6" t="n">
        <v>-14708</v>
      </c>
      <c r="E23" s="6" t="n">
        <v>-10444</v>
      </c>
      <c r="F23" s="6" t="n">
        <v>-2014</v>
      </c>
    </row>
    <row r="24">
      <c r="A24" s="5" t="inlineStr">
        <is>
          <t>Profit for the year</t>
        </is>
      </c>
      <c r="B24" s="5" t="n">
        <v>14509</v>
      </c>
      <c r="C24" s="5" t="n">
        <v>15391</v>
      </c>
      <c r="D24" s="5" t="n">
        <v>42789</v>
      </c>
      <c r="E24" s="5" t="n">
        <v>34258</v>
      </c>
      <c r="F24" s="5" t="n">
        <v>8658</v>
      </c>
    </row>
    <row r="25">
      <c r="A25" s="5" t="inlineStr">
        <is>
          <t>Other comprehensive income</t>
        </is>
      </c>
      <c r="B25" s="6" t="n"/>
      <c r="C25" s="6" t="n"/>
      <c r="D25" s="6" t="n"/>
      <c r="E25" s="6" t="n"/>
      <c r="F25" s="6" t="n"/>
    </row>
    <row r="26">
      <c r="A26" s="6" t="inlineStr">
        <is>
          <t>Movement in investment revaluation reserve (equity instruments at FVOCI)</t>
        </is>
      </c>
      <c r="B26" s="6" t="n">
        <v>98</v>
      </c>
      <c r="C26" s="6" t="n">
        <v>20</v>
      </c>
      <c r="D26" s="6" t="n">
        <v>27</v>
      </c>
      <c r="E26" s="6" t="n">
        <v>88</v>
      </c>
      <c r="F26" s="6" t="n"/>
    </row>
    <row r="27">
      <c r="A27" s="6" t="inlineStr">
        <is>
          <t>Cash flow hedge reserve movement</t>
        </is>
      </c>
      <c r="B27" s="6" t="n">
        <v>-244</v>
      </c>
      <c r="C27" s="6" t="n"/>
      <c r="D27" s="6" t="n"/>
      <c r="E27" s="6" t="n"/>
      <c r="F27" s="6" t="n"/>
    </row>
    <row r="28">
      <c r="A28" s="6" t="inlineStr">
        <is>
          <t>Movement in debt securities at fair value through OCI</t>
        </is>
      </c>
      <c r="B28" s="6" t="n">
        <v>73</v>
      </c>
      <c r="C28" s="6" t="n"/>
      <c r="D28" s="6" t="n"/>
      <c r="E28" s="6" t="n"/>
      <c r="F28" s="6" t="n"/>
    </row>
    <row r="29">
      <c r="A29" s="6" t="inlineStr">
        <is>
          <t>Income tax relating to these items</t>
        </is>
      </c>
      <c r="B29" s="6" t="n">
        <v>-25</v>
      </c>
      <c r="C29" s="6" t="n">
        <v>-5</v>
      </c>
      <c r="D29" s="6" t="n">
        <v>-12</v>
      </c>
      <c r="E29" s="6" t="n">
        <v>-17</v>
      </c>
      <c r="F29" s="6" t="n"/>
    </row>
    <row r="30">
      <c r="A30" s="5" t="inlineStr">
        <is>
          <t>Other comprehensive income, net of tax</t>
        </is>
      </c>
      <c r="B30" s="5" t="n">
        <v>-98</v>
      </c>
      <c r="C30" s="5" t="n">
        <v>15</v>
      </c>
      <c r="D30" s="5" t="n">
        <v>15</v>
      </c>
      <c r="E30" s="5" t="n">
        <v>71</v>
      </c>
      <c r="F30" s="5" t="n"/>
    </row>
    <row r="31">
      <c r="A31" s="5" t="inlineStr">
        <is>
          <t>Total comprehensive income for the year</t>
        </is>
      </c>
      <c r="B31" s="5" t="n">
        <v>14411</v>
      </c>
      <c r="C31" s="5" t="n">
        <v>15406</v>
      </c>
      <c r="D31" s="5" t="n">
        <v>42804</v>
      </c>
      <c r="E31" s="5" t="n">
        <v>34329</v>
      </c>
      <c r="F31" s="5" t="n">
        <v>8658</v>
      </c>
    </row>
    <row r="33" ht="340" customHeight="1">
      <c r="A33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33:F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Crown Agents Bank Limited — Statement of Changes in Equity</t>
        </is>
      </c>
    </row>
    <row r="2">
      <c r="A2" s="2" t="inlineStr">
        <is>
          <t>Bank-solo basis, £'000, chronological (oldest to newest). See source note at bottom - a genuine £54k restatement gap exists between the FY2021 and FY2022 columns (documented, not plugged).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Retained earnings</t>
        </is>
      </c>
      <c r="D3" s="4" t="inlineStr">
        <is>
          <t>Investment revaluation reserve</t>
        </is>
      </c>
      <c r="E3" s="4" t="inlineStr">
        <is>
          <t>Debt securities revaluation reserve</t>
        </is>
      </c>
      <c r="F3" s="4" t="inlineStr">
        <is>
          <t>Cash flow hedge reserve</t>
        </is>
      </c>
      <c r="G3" s="4" t="inlineStr">
        <is>
          <t>Total</t>
        </is>
      </c>
    </row>
    <row r="4">
      <c r="A4" s="5" t="inlineStr">
        <is>
          <t>At 1 January 2021 (own report)</t>
        </is>
      </c>
      <c r="B4" s="5" t="n">
        <v>41200</v>
      </c>
      <c r="C4" s="5" t="n">
        <v>25088</v>
      </c>
      <c r="D4" s="5" t="n"/>
      <c r="E4" s="5" t="n"/>
      <c r="F4" s="5" t="n"/>
      <c r="G4" s="5" t="n">
        <v>66288</v>
      </c>
    </row>
    <row r="5">
      <c r="A5" s="6" t="inlineStr">
        <is>
          <t>Profit for the financial year</t>
        </is>
      </c>
      <c r="B5" s="6" t="n"/>
      <c r="C5" s="6" t="n">
        <v>8658</v>
      </c>
      <c r="D5" s="6" t="n"/>
      <c r="E5" s="6" t="n"/>
      <c r="F5" s="6" t="n"/>
      <c r="G5" s="6" t="n">
        <v>8658</v>
      </c>
    </row>
    <row r="6">
      <c r="A6" s="6" t="inlineStr">
        <is>
          <t>Share based payment expense</t>
        </is>
      </c>
      <c r="B6" s="6" t="n"/>
      <c r="C6" s="6" t="n">
        <v>258</v>
      </c>
      <c r="D6" s="6" t="n"/>
      <c r="E6" s="6" t="n"/>
      <c r="F6" s="6" t="n"/>
      <c r="G6" s="6" t="n">
        <v>258</v>
      </c>
    </row>
    <row r="7">
      <c r="A7" s="5" t="inlineStr">
        <is>
          <t>At 31 December 2021</t>
        </is>
      </c>
      <c r="B7" s="5" t="n">
        <v>41200</v>
      </c>
      <c r="C7" s="5" t="n">
        <v>34004</v>
      </c>
      <c r="D7" s="5" t="n"/>
      <c r="E7" s="5" t="n"/>
      <c r="F7" s="5" t="n"/>
      <c r="G7" s="5" t="n">
        <v>75204</v>
      </c>
    </row>
    <row r="8">
      <c r="A8" s="5" t="inlineStr">
        <is>
          <t>At 1 January 2022 (own report - see restatement note re: FY2021 close)</t>
        </is>
      </c>
      <c r="B8" s="5" t="n">
        <v>41200</v>
      </c>
      <c r="C8" s="5" t="n">
        <v>33917</v>
      </c>
      <c r="D8" s="5" t="n">
        <v>33</v>
      </c>
      <c r="E8" s="5" t="n"/>
      <c r="F8" s="5" t="n"/>
      <c r="G8" s="5" t="n">
        <v>75150</v>
      </c>
    </row>
    <row r="9">
      <c r="A9" s="6" t="inlineStr">
        <is>
          <t>Profit for the year</t>
        </is>
      </c>
      <c r="B9" s="6" t="n"/>
      <c r="C9" s="6" t="n">
        <v>34258</v>
      </c>
      <c r="D9" s="6" t="n"/>
      <c r="E9" s="6" t="n"/>
      <c r="F9" s="6" t="n"/>
      <c r="G9" s="6" t="n">
        <v>34258</v>
      </c>
    </row>
    <row r="10">
      <c r="A10" s="6" t="inlineStr">
        <is>
          <t>Movement in investment revaluation reserve</t>
        </is>
      </c>
      <c r="B10" s="6" t="n"/>
      <c r="C10" s="6" t="n"/>
      <c r="D10" s="6" t="n">
        <v>88</v>
      </c>
      <c r="E10" s="6" t="n"/>
      <c r="F10" s="6" t="n"/>
      <c r="G10" s="6" t="n">
        <v>88</v>
      </c>
    </row>
    <row r="11">
      <c r="A11" s="6" t="inlineStr">
        <is>
          <t>Income tax relating to these items</t>
        </is>
      </c>
      <c r="B11" s="6" t="n"/>
      <c r="C11" s="6" t="n"/>
      <c r="D11" s="6" t="n">
        <v>-17</v>
      </c>
      <c r="E11" s="6" t="n"/>
      <c r="F11" s="6" t="n"/>
      <c r="G11" s="6" t="n">
        <v>-17</v>
      </c>
    </row>
    <row r="12">
      <c r="A12" s="6" t="inlineStr">
        <is>
          <t>Share based payment expense</t>
        </is>
      </c>
      <c r="B12" s="6" t="n"/>
      <c r="C12" s="6" t="n">
        <v>449</v>
      </c>
      <c r="D12" s="6" t="n"/>
      <c r="E12" s="6" t="n"/>
      <c r="F12" s="6" t="n"/>
      <c r="G12" s="6" t="n">
        <v>449</v>
      </c>
    </row>
    <row r="13">
      <c r="A13" s="5" t="inlineStr">
        <is>
          <t>At 31 December 2022</t>
        </is>
      </c>
      <c r="B13" s="5" t="n">
        <v>41200</v>
      </c>
      <c r="C13" s="5" t="n">
        <v>68624</v>
      </c>
      <c r="D13" s="5" t="n">
        <v>104</v>
      </c>
      <c r="E13" s="5" t="n"/>
      <c r="F13" s="5" t="n"/>
      <c r="G13" s="5" t="n">
        <v>109928</v>
      </c>
    </row>
    <row r="14">
      <c r="A14" s="5" t="inlineStr">
        <is>
          <t>At 1 January 2023</t>
        </is>
      </c>
      <c r="B14" s="5" t="n">
        <v>41200</v>
      </c>
      <c r="C14" s="5" t="n">
        <v>68624</v>
      </c>
      <c r="D14" s="5" t="n">
        <v>104</v>
      </c>
      <c r="E14" s="5" t="n"/>
      <c r="F14" s="5" t="n"/>
      <c r="G14" s="5" t="n">
        <v>109928</v>
      </c>
    </row>
    <row r="15">
      <c r="A15" s="6" t="inlineStr">
        <is>
          <t>Profit for the year</t>
        </is>
      </c>
      <c r="B15" s="6" t="n"/>
      <c r="C15" s="6" t="n">
        <v>42789</v>
      </c>
      <c r="D15" s="6" t="n"/>
      <c r="E15" s="6" t="n"/>
      <c r="F15" s="6" t="n"/>
      <c r="G15" s="6" t="n">
        <v>42789</v>
      </c>
    </row>
    <row r="16">
      <c r="A16" s="6" t="inlineStr">
        <is>
          <t>Movement in investment revaluation reserve</t>
        </is>
      </c>
      <c r="B16" s="6" t="n"/>
      <c r="C16" s="6" t="n"/>
      <c r="D16" s="6" t="n">
        <v>27</v>
      </c>
      <c r="E16" s="6" t="n"/>
      <c r="F16" s="6" t="n"/>
      <c r="G16" s="6" t="n">
        <v>27</v>
      </c>
    </row>
    <row r="17">
      <c r="A17" s="6" t="inlineStr">
        <is>
          <t>Income tax relating to these items</t>
        </is>
      </c>
      <c r="B17" s="6" t="n"/>
      <c r="C17" s="6" t="n"/>
      <c r="D17" s="6" t="n">
        <v>-12</v>
      </c>
      <c r="E17" s="6" t="n"/>
      <c r="F17" s="6" t="n"/>
      <c r="G17" s="6" t="n">
        <v>-12</v>
      </c>
    </row>
    <row r="18">
      <c r="A18" s="6" t="inlineStr">
        <is>
          <t>Share based payment expense</t>
        </is>
      </c>
      <c r="B18" s="6" t="n"/>
      <c r="C18" s="6" t="n">
        <v>972</v>
      </c>
      <c r="D18" s="6" t="n"/>
      <c r="E18" s="6" t="n"/>
      <c r="F18" s="6" t="n"/>
      <c r="G18" s="6" t="n">
        <v>972</v>
      </c>
    </row>
    <row r="19">
      <c r="A19" s="6" t="inlineStr">
        <is>
          <t>Dividends declared</t>
        </is>
      </c>
      <c r="B19" s="6" t="n"/>
      <c r="C19" s="6" t="n">
        <v>-19500</v>
      </c>
      <c r="D19" s="6" t="n"/>
      <c r="E19" s="6" t="n"/>
      <c r="F19" s="6" t="n"/>
      <c r="G19" s="6" t="n">
        <v>-19500</v>
      </c>
    </row>
    <row r="20">
      <c r="A20" s="5" t="inlineStr">
        <is>
          <t>At 31 December 2023</t>
        </is>
      </c>
      <c r="B20" s="5" t="n">
        <v>41200</v>
      </c>
      <c r="C20" s="5" t="n">
        <v>92885</v>
      </c>
      <c r="D20" s="5" t="n">
        <v>119</v>
      </c>
      <c r="E20" s="5" t="n"/>
      <c r="F20" s="5" t="n"/>
      <c r="G20" s="5" t="n">
        <v>134204</v>
      </c>
    </row>
    <row r="21">
      <c r="A21" s="5" t="inlineStr">
        <is>
          <t>At 1 January 2024</t>
        </is>
      </c>
      <c r="B21" s="5" t="n">
        <v>41200</v>
      </c>
      <c r="C21" s="5" t="n">
        <v>92885</v>
      </c>
      <c r="D21" s="5" t="n">
        <v>119</v>
      </c>
      <c r="E21" s="5" t="n"/>
      <c r="F21" s="5" t="n"/>
      <c r="G21" s="5" t="n">
        <v>134204</v>
      </c>
    </row>
    <row r="22">
      <c r="A22" s="6" t="inlineStr">
        <is>
          <t>Profit for the year</t>
        </is>
      </c>
      <c r="B22" s="6" t="n"/>
      <c r="C22" s="6" t="n">
        <v>15391</v>
      </c>
      <c r="D22" s="6" t="n"/>
      <c r="E22" s="6" t="n"/>
      <c r="F22" s="6" t="n"/>
      <c r="G22" s="6" t="n">
        <v>15391</v>
      </c>
    </row>
    <row r="23">
      <c r="A23" s="6" t="inlineStr">
        <is>
          <t>Movement in investment revaluation reserve</t>
        </is>
      </c>
      <c r="B23" s="6" t="n"/>
      <c r="C23" s="6" t="n"/>
      <c r="D23" s="6" t="n">
        <v>20</v>
      </c>
      <c r="E23" s="6" t="n"/>
      <c r="F23" s="6" t="n"/>
      <c r="G23" s="6" t="n">
        <v>20</v>
      </c>
    </row>
    <row r="24">
      <c r="A24" s="6" t="inlineStr">
        <is>
          <t>Income tax relating to these items</t>
        </is>
      </c>
      <c r="B24" s="6" t="n"/>
      <c r="C24" s="6" t="n"/>
      <c r="D24" s="6" t="n">
        <v>-5</v>
      </c>
      <c r="E24" s="6" t="n"/>
      <c r="F24" s="6" t="n"/>
      <c r="G24" s="6" t="n">
        <v>-5</v>
      </c>
    </row>
    <row r="25">
      <c r="A25" s="6" t="inlineStr">
        <is>
          <t>Share based payment expense</t>
        </is>
      </c>
      <c r="B25" s="6" t="n"/>
      <c r="C25" s="6" t="n">
        <v>988</v>
      </c>
      <c r="D25" s="6" t="n"/>
      <c r="E25" s="6" t="n"/>
      <c r="F25" s="6" t="n"/>
      <c r="G25" s="6" t="n">
        <v>988</v>
      </c>
    </row>
    <row r="26">
      <c r="A26" s="6" t="inlineStr">
        <is>
          <t>Dividends declared</t>
        </is>
      </c>
      <c r="B26" s="6" t="n"/>
      <c r="C26" s="6" t="n">
        <v>0</v>
      </c>
      <c r="D26" s="6" t="n"/>
      <c r="E26" s="6" t="n"/>
      <c r="F26" s="6" t="n"/>
      <c r="G26" s="6" t="n">
        <v>0</v>
      </c>
    </row>
    <row r="27">
      <c r="A27" s="5" t="inlineStr">
        <is>
          <t>At 31 December 2024</t>
        </is>
      </c>
      <c r="B27" s="5" t="n">
        <v>41200</v>
      </c>
      <c r="C27" s="5" t="n">
        <v>109264</v>
      </c>
      <c r="D27" s="5" t="n">
        <v>134</v>
      </c>
      <c r="E27" s="5" t="n"/>
      <c r="F27" s="5" t="n"/>
      <c r="G27" s="5" t="n">
        <v>150598</v>
      </c>
    </row>
    <row r="28">
      <c r="A28" s="5" t="inlineStr">
        <is>
          <t>At 1 January 2025</t>
        </is>
      </c>
      <c r="B28" s="5" t="n">
        <v>41200</v>
      </c>
      <c r="C28" s="5" t="n">
        <v>109264</v>
      </c>
      <c r="D28" s="5" t="n">
        <v>134</v>
      </c>
      <c r="E28" s="5" t="n"/>
      <c r="F28" s="5" t="n"/>
      <c r="G28" s="5" t="n">
        <v>150598</v>
      </c>
    </row>
    <row r="29">
      <c r="A29" s="6" t="inlineStr">
        <is>
          <t>Profit for the year</t>
        </is>
      </c>
      <c r="B29" s="6" t="n"/>
      <c r="C29" s="6" t="n">
        <v>14509</v>
      </c>
      <c r="D29" s="6" t="n"/>
      <c r="E29" s="6" t="n"/>
      <c r="F29" s="6" t="n"/>
      <c r="G29" s="6" t="n">
        <v>14509</v>
      </c>
    </row>
    <row r="30">
      <c r="A30" s="6" t="inlineStr">
        <is>
          <t>Movement in investment revaluation reserve</t>
        </is>
      </c>
      <c r="B30" s="6" t="n"/>
      <c r="C30" s="6" t="n"/>
      <c r="D30" s="6" t="n">
        <v>98</v>
      </c>
      <c r="E30" s="6" t="n"/>
      <c r="F30" s="6" t="n"/>
      <c r="G30" s="6" t="n">
        <v>98</v>
      </c>
    </row>
    <row r="31">
      <c r="A31" s="6" t="inlineStr">
        <is>
          <t>Cash flow hedge reserve</t>
        </is>
      </c>
      <c r="B31" s="6" t="n"/>
      <c r="C31" s="6" t="n"/>
      <c r="D31" s="6" t="n"/>
      <c r="E31" s="6" t="n"/>
      <c r="F31" s="6" t="n">
        <v>-244</v>
      </c>
      <c r="G31" s="6" t="n">
        <v>-244</v>
      </c>
    </row>
    <row r="32">
      <c r="A32" s="6" t="inlineStr">
        <is>
          <t>Movement in debt securities at fair value through OCI</t>
        </is>
      </c>
      <c r="B32" s="6" t="n"/>
      <c r="C32" s="6" t="n"/>
      <c r="D32" s="6" t="n"/>
      <c r="E32" s="6" t="n">
        <v>73</v>
      </c>
      <c r="F32" s="6" t="n"/>
      <c r="G32" s="6" t="n">
        <v>73</v>
      </c>
    </row>
    <row r="33">
      <c r="A33" s="6" t="inlineStr">
        <is>
          <t>Income tax relating to these items</t>
        </is>
      </c>
      <c r="B33" s="6" t="n"/>
      <c r="C33" s="6" t="n"/>
      <c r="D33" s="6" t="n">
        <v>-25</v>
      </c>
      <c r="E33" s="6" t="n"/>
      <c r="F33" s="6" t="n"/>
      <c r="G33" s="6" t="n">
        <v>-25</v>
      </c>
    </row>
    <row r="34">
      <c r="A34" s="6" t="inlineStr">
        <is>
          <t>Share-based payment expense</t>
        </is>
      </c>
      <c r="B34" s="6" t="n"/>
      <c r="C34" s="6" t="n">
        <v>620</v>
      </c>
      <c r="D34" s="6" t="n"/>
      <c r="E34" s="6" t="n"/>
      <c r="F34" s="6" t="n"/>
      <c r="G34" s="6" t="n">
        <v>620</v>
      </c>
    </row>
    <row r="35">
      <c r="A35" s="6" t="inlineStr">
        <is>
          <t>Deferred tax on share-based payment expense</t>
        </is>
      </c>
      <c r="B35" s="6" t="n"/>
      <c r="C35" s="6" t="n">
        <v>170</v>
      </c>
      <c r="D35" s="6" t="n"/>
      <c r="E35" s="6" t="n"/>
      <c r="F35" s="6" t="n"/>
      <c r="G35" s="6" t="n">
        <v>170</v>
      </c>
    </row>
    <row r="36">
      <c r="A36" s="5" t="inlineStr">
        <is>
          <t>At 31 December 2025</t>
        </is>
      </c>
      <c r="B36" s="5" t="n">
        <v>41200</v>
      </c>
      <c r="C36" s="5" t="n">
        <v>124563</v>
      </c>
      <c r="D36" s="5" t="n">
        <v>207</v>
      </c>
      <c r="E36" s="5" t="n">
        <v>73</v>
      </c>
      <c r="F36" s="5" t="n">
        <v>-244</v>
      </c>
      <c r="G36" s="5" t="n">
        <v>165799</v>
      </c>
    </row>
    <row r="38" ht="340" customHeight="1">
      <c r="A38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38:G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Statement of Cash Flows</t>
        </is>
      </c>
    </row>
    <row r="2">
      <c r="A2" s="2" t="inlineStr">
        <is>
          <t>Bank-solo basis, £'000. See source note at bottom (genuine restatements and cross-vintage gaps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Cash (outflow)/inflow from operating activities (before tax/lease interest)</t>
        </is>
      </c>
      <c r="B5" s="6" t="n">
        <v>-614029</v>
      </c>
      <c r="C5" s="6" t="n">
        <v>99180</v>
      </c>
      <c r="D5" s="6" t="n">
        <v>308912</v>
      </c>
      <c r="E5" s="6" t="n">
        <v>-242642</v>
      </c>
      <c r="F5" s="6" t="n">
        <v>321062</v>
      </c>
    </row>
    <row r="6">
      <c r="A6" s="6" t="inlineStr">
        <is>
          <t>Tax paid</t>
        </is>
      </c>
      <c r="B6" s="6" t="n">
        <v>-4687</v>
      </c>
      <c r="C6" s="6" t="n">
        <v>-11766</v>
      </c>
      <c r="D6" s="6" t="n">
        <v>-14084</v>
      </c>
      <c r="E6" s="6" t="n">
        <v>-9583</v>
      </c>
      <c r="F6" s="6" t="n">
        <v>-2112</v>
      </c>
    </row>
    <row r="7">
      <c r="A7" s="6" t="inlineStr">
        <is>
          <t>Payments for interest on lease liabilities</t>
        </is>
      </c>
      <c r="B7" s="6" t="n">
        <v>0</v>
      </c>
      <c r="C7" s="6" t="n">
        <v>-33</v>
      </c>
      <c r="D7" s="6" t="n">
        <v>-65</v>
      </c>
      <c r="E7" s="6" t="n">
        <v>-19</v>
      </c>
      <c r="F7" s="6" t="n"/>
    </row>
    <row r="8">
      <c r="A8" s="5" t="inlineStr">
        <is>
          <t>Net cash (used in)/generated from operating activities</t>
        </is>
      </c>
      <c r="B8" s="5" t="n">
        <v>-618716</v>
      </c>
      <c r="C8" s="5" t="n">
        <v>87381</v>
      </c>
      <c r="D8" s="5" t="n">
        <v>294763</v>
      </c>
      <c r="E8" s="5" t="n">
        <v>-252244</v>
      </c>
      <c r="F8" s="5" t="n">
        <v>318950</v>
      </c>
    </row>
    <row r="9">
      <c r="A9" s="5" t="inlineStr">
        <is>
          <t>Investing activities</t>
        </is>
      </c>
      <c r="B9" s="6" t="n"/>
      <c r="C9" s="6" t="n"/>
      <c r="D9" s="6" t="n"/>
      <c r="E9" s="6" t="n"/>
      <c r="F9" s="6" t="n"/>
    </row>
    <row r="10">
      <c r="A10" s="6" t="inlineStr">
        <is>
          <t>Purchase of property, plant and equipment</t>
        </is>
      </c>
      <c r="B10" s="6" t="n">
        <v>-108</v>
      </c>
      <c r="C10" s="6" t="n">
        <v>-2334</v>
      </c>
      <c r="D10" s="6" t="n">
        <v>-416</v>
      </c>
      <c r="E10" s="6" t="n">
        <v>-346</v>
      </c>
      <c r="F10" s="6" t="n">
        <v>-302</v>
      </c>
    </row>
    <row r="11">
      <c r="A11" s="6" t="inlineStr">
        <is>
          <t>Purchase/capitalisation of intangible assets</t>
        </is>
      </c>
      <c r="B11" s="6" t="n">
        <v>-6778</v>
      </c>
      <c r="C11" s="6" t="n">
        <v>-12141</v>
      </c>
      <c r="D11" s="6" t="n">
        <v>-6642</v>
      </c>
      <c r="E11" s="6" t="n">
        <v>-4375</v>
      </c>
      <c r="F11" s="6" t="n">
        <v>-4313</v>
      </c>
    </row>
    <row r="12">
      <c r="A12" s="6" t="inlineStr">
        <is>
          <t>Sale/(purchase) of equity investments/shares/exchange traded funds</t>
        </is>
      </c>
      <c r="B12" s="6" t="n"/>
      <c r="C12" s="6" t="n">
        <v>-53</v>
      </c>
      <c r="D12" s="6" t="n"/>
      <c r="E12" s="6" t="n"/>
      <c r="F12" s="6" t="n">
        <v>-228</v>
      </c>
    </row>
    <row r="13">
      <c r="A13" s="6" t="inlineStr">
        <is>
          <t>Purchase of investments in subsidiary undertakings</t>
        </is>
      </c>
      <c r="B13" s="6" t="n">
        <v>-2577</v>
      </c>
      <c r="C13" s="6" t="n">
        <v>-1269</v>
      </c>
      <c r="D13" s="6" t="n">
        <v>-543</v>
      </c>
      <c r="E13" s="6" t="n"/>
      <c r="F13" s="6" t="n"/>
    </row>
    <row r="14">
      <c r="A14" s="5" t="inlineStr">
        <is>
          <t>Net cash used in investing activities</t>
        </is>
      </c>
      <c r="B14" s="5" t="n">
        <v>-9463</v>
      </c>
      <c r="C14" s="5" t="n">
        <v>-15797</v>
      </c>
      <c r="D14" s="5" t="n">
        <v>-7601</v>
      </c>
      <c r="E14" s="5" t="n">
        <v>-4721</v>
      </c>
      <c r="F14" s="5" t="n">
        <v>-4843</v>
      </c>
    </row>
    <row r="15">
      <c r="A15" s="5" t="inlineStr">
        <is>
          <t>Financing activities</t>
        </is>
      </c>
      <c r="B15" s="6" t="n"/>
      <c r="C15" s="6" t="n"/>
      <c r="D15" s="6" t="n"/>
      <c r="E15" s="6" t="n"/>
      <c r="F15" s="6" t="n"/>
    </row>
    <row r="16">
      <c r="A16" s="6" t="inlineStr">
        <is>
          <t>Repayment of principal portion of lease liability</t>
        </is>
      </c>
      <c r="B16" s="6" t="n"/>
      <c r="C16" s="6" t="n">
        <v>-257</v>
      </c>
      <c r="D16" s="6" t="n">
        <v>-462</v>
      </c>
      <c r="E16" s="6" t="n">
        <v>-233</v>
      </c>
      <c r="F16" s="6" t="n"/>
    </row>
    <row r="17">
      <c r="A17" s="6" t="inlineStr">
        <is>
          <t>Reduction in overdraft</t>
        </is>
      </c>
      <c r="B17" s="6" t="n"/>
      <c r="C17" s="6" t="n"/>
      <c r="D17" s="6" t="n"/>
      <c r="E17" s="6" t="n"/>
      <c r="F17" s="6" t="n"/>
    </row>
    <row r="18">
      <c r="A18" s="5" t="inlineStr">
        <is>
          <t>Net cash (used in)/generated from financing activities</t>
        </is>
      </c>
      <c r="B18" s="5" t="n">
        <v>0</v>
      </c>
      <c r="C18" s="5" t="n">
        <v>-257</v>
      </c>
      <c r="D18" s="5" t="n">
        <v>-462</v>
      </c>
      <c r="E18" s="5" t="n">
        <v>-233</v>
      </c>
      <c r="F18" s="5" t="n">
        <v>0</v>
      </c>
    </row>
    <row r="19">
      <c r="A19" s="5" t="inlineStr">
        <is>
          <t>Net (decrease)/increase in cash and cash equivalents</t>
        </is>
      </c>
      <c r="B19" s="5" t="n">
        <v>-628179</v>
      </c>
      <c r="C19" s="5" t="n">
        <v>71327</v>
      </c>
      <c r="D19" s="5" t="n">
        <v>286700</v>
      </c>
      <c r="E19" s="5" t="n">
        <v>-257198</v>
      </c>
      <c r="F19" s="5" t="n">
        <v>314107</v>
      </c>
    </row>
    <row r="20">
      <c r="A20" s="6" t="inlineStr">
        <is>
          <t>Cash and cash equivalents at the beginning of the year</t>
        </is>
      </c>
      <c r="B20" s="6" t="n">
        <v>1257559</v>
      </c>
      <c r="C20" s="6" t="n">
        <v>1181046</v>
      </c>
      <c r="D20" s="6" t="n">
        <v>906801</v>
      </c>
      <c r="E20" s="6" t="n">
        <v>1113467</v>
      </c>
      <c r="F20" s="6" t="n">
        <v>803412</v>
      </c>
    </row>
    <row r="21">
      <c r="A21" s="6" t="inlineStr">
        <is>
          <t>Effect of exchange rate changes on cash and cash equivalents</t>
        </is>
      </c>
      <c r="B21" s="6" t="n">
        <v>-26321</v>
      </c>
      <c r="C21" s="6" t="n">
        <v>5186</v>
      </c>
      <c r="D21" s="6" t="n">
        <v>-13894</v>
      </c>
      <c r="E21" s="6" t="n">
        <v>50531</v>
      </c>
      <c r="F21" s="6" t="n">
        <v>1302</v>
      </c>
    </row>
    <row r="22">
      <c r="A22" s="5" t="inlineStr">
        <is>
          <t>Cash and cash equivalents at the end of the year</t>
        </is>
      </c>
      <c r="B22" s="5" t="n">
        <v>603059</v>
      </c>
      <c r="C22" s="5" t="n">
        <v>1257559</v>
      </c>
      <c r="D22" s="5" t="n">
        <v>1179607</v>
      </c>
      <c r="E22" s="5" t="n">
        <v>906801</v>
      </c>
      <c r="F22" s="5" t="n">
        <v>1118821</v>
      </c>
    </row>
    <row r="24" ht="340" customHeight="1">
      <c r="A24" s="8" t="inlineStr">
        <is>
          <t>Sources - all figures are Crown Agents Bank Limited's own Statement of Cash Flows (Bank-solo, no subsidiaries consolidated):
FY2025/FY2024: Annual Report and Financial Statements 2025, p.56-57 &amp; p.105-106 (Statement of Cash Flows + Note 28 reconciliation) - https://www.crownagentsbank.com/wp-content/uploads/2026/04/Crown-Agents-Bank-2025-Annual-Report.pdf
FY2023: Annual Report and Financial Statements 2023, p.59 (Statement of cash flows) - http://www.crownagentsbank.com/wp-content/uploads/2025/09/cab_fs_ye_2023_signed_3_april_2024_audited.pdf
FY2022/FY2021 (own originally-published figures, not FY2023's or FY2022's restated comparatives): Annual Report and Financial Statements 2022, p.41 (Statement of Cash Flows) - http://www.crownagentsbank.com/wp-content/uploads/2025/09/cab_financial_statements_2022_signed_19_april_formatted_version.pdf; Annual Report and Financial Statements 2021, p.38 (Cash Flow Statement)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</t>
        </is>
      </c>
    </row>
  </sheetData>
  <mergeCells count="1">
    <mergeCell ref="A24:F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Asset Quality</t>
        </is>
      </c>
    </row>
    <row r="2">
      <c r="A2" s="2" t="inlineStr">
        <is>
          <t>Bank-solo basis, £'000 (ratios as calculated). This is a treasury/correspondent-banking-led balance sheet with minimal customer lending - the credit risk note covers all financial asset classes (cash, interbank placements, debt securities, loans and advances), not customer loans alone.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Maximum credit exposure by IFRS 9 stage (on- and off-balance sheet)</t>
        </is>
      </c>
      <c r="B4" s="6" t="n"/>
      <c r="C4" s="6" t="n"/>
      <c r="D4" s="6" t="n"/>
      <c r="E4" s="6" t="n"/>
      <c r="F4" s="6" t="n"/>
    </row>
    <row r="5">
      <c r="A5" s="6" t="inlineStr">
        <is>
          <t>Stage 1 exposure</t>
        </is>
      </c>
      <c r="B5" s="6" t="n">
        <v>1400040</v>
      </c>
      <c r="C5" s="6" t="n">
        <v>1242511</v>
      </c>
      <c r="D5" s="6" t="n">
        <v>1203697</v>
      </c>
      <c r="E5" s="6" t="n">
        <v>1290241</v>
      </c>
      <c r="F5" s="6" t="n"/>
    </row>
    <row r="6">
      <c r="A6" s="6" t="inlineStr">
        <is>
          <t>Stage 2 exposure</t>
        </is>
      </c>
      <c r="B6" s="6" t="n">
        <v>6097</v>
      </c>
      <c r="C6" s="6" t="n">
        <v>61435</v>
      </c>
      <c r="D6" s="6" t="n">
        <v>25033</v>
      </c>
      <c r="E6" s="6" t="n">
        <v>1163</v>
      </c>
      <c r="F6" s="6" t="n"/>
    </row>
    <row r="7">
      <c r="A7" s="6" t="inlineStr">
        <is>
          <t>Stage 3 exposure</t>
        </is>
      </c>
      <c r="B7" s="6" t="n">
        <v>94</v>
      </c>
      <c r="C7" s="6" t="n">
        <v>94</v>
      </c>
      <c r="D7" s="6" t="n">
        <v>184</v>
      </c>
      <c r="E7" s="6" t="n">
        <v>0</v>
      </c>
      <c r="F7" s="6" t="n"/>
    </row>
    <row r="8">
      <c r="A8" s="5" t="inlineStr">
        <is>
          <t>Total maximum credit exposure</t>
        </is>
      </c>
      <c r="B8" s="5" t="n">
        <v>1406231</v>
      </c>
      <c r="C8" s="5" t="n">
        <v>1304040</v>
      </c>
      <c r="D8" s="5" t="n">
        <v>1228914</v>
      </c>
      <c r="E8" s="5" t="n">
        <v>1291404</v>
      </c>
      <c r="F8" s="5" t="n"/>
    </row>
    <row r="9">
      <c r="A9" s="6" t="inlineStr">
        <is>
          <t>Total expected credit loss (ECL) allowance</t>
        </is>
      </c>
      <c r="B9" s="6" t="n">
        <v>324</v>
      </c>
      <c r="C9" s="6" t="n">
        <v>475</v>
      </c>
      <c r="D9" s="6" t="n">
        <v>854</v>
      </c>
      <c r="E9" s="6" t="n">
        <v>400</v>
      </c>
      <c r="F9" s="6" t="n"/>
    </row>
    <row r="10">
      <c r="A10" s="5" t="inlineStr">
        <is>
          <t>Derived ratios</t>
        </is>
      </c>
      <c r="B10" s="6" t="n"/>
      <c r="C10" s="6" t="n"/>
      <c r="D10" s="6" t="n"/>
      <c r="E10" s="6" t="n"/>
      <c r="F10" s="6" t="n"/>
    </row>
    <row r="11">
      <c r="A11" s="6" t="inlineStr">
        <is>
          <t>Stage 3 / total exposure ratio</t>
        </is>
      </c>
      <c r="B11" s="6" t="inlineStr">
        <is>
          <t>0.007%</t>
        </is>
      </c>
      <c r="C11" s="6" t="inlineStr">
        <is>
          <t>0.007%</t>
        </is>
      </c>
      <c r="D11" s="6" t="inlineStr">
        <is>
          <t>0.015%</t>
        </is>
      </c>
      <c r="E11" s="6" t="inlineStr">
        <is>
          <t>0.000%</t>
        </is>
      </c>
      <c r="F11" s="6" t="n"/>
    </row>
    <row r="12">
      <c r="A12" s="6" t="inlineStr">
        <is>
          <t>Total ECL / total exposure (overall coverage)</t>
        </is>
      </c>
      <c r="B12" s="6" t="inlineStr">
        <is>
          <t>0.023%</t>
        </is>
      </c>
      <c r="C12" s="6" t="inlineStr">
        <is>
          <t>0.036%</t>
        </is>
      </c>
      <c r="D12" s="6" t="inlineStr">
        <is>
          <t>0.069%</t>
        </is>
      </c>
      <c r="E12" s="6" t="inlineStr">
        <is>
          <t>0.031%</t>
        </is>
      </c>
      <c r="F12" s="6" t="n"/>
    </row>
    <row r="14" ht="280" customHeight="1">
      <c r="A14" s="8" t="inlineStr">
        <is>
          <t>Sources - Crown Agents Bank Limited's own Credit Risk note (IFRS 9 staging), Bank-solo basis:
FY2025/FY2024: Annual Report and Financial Statements 2025, Note 31(v) 'Breakdown as a function of staging', p.121-122 (on-balance-sheet maximum exposure per stage and total ECL) - https://www.crownagentsbank.com/wp-content/uploads/2026/04/Crown-Agents-Bank-2025-Annual-Report.pdf
FY2023/FY2022: Annual Report and Financial Statements 2023, Note 31(v), p.138-139 (total maximum exposure per stage and total ECL, on- and off-balance-sheet combined) - http://www.crownagentsbank.com/wp-content/uploads/2025/09/cab_fs_ye_2023_signed_3_april_2024_audited.pdf
FY2021: no IFRS 9 staging/expected-credit-loss table was located in the FY2021 Annual Report (it predates the Bank's IFRS-style statement presentation adopted from FY2022 onward, and its own P&amp;L shows a nominal 'Write-off of doubtful debts' rather than an ECL/staging disclosure) - confirmed absent by checking, not assumed; left blank rather than guessed.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</t>
        </is>
      </c>
    </row>
  </sheetData>
  <mergeCells count="1">
    <mergeCell ref="A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56661</v>
      </c>
    </row>
    <row r="5" ht="60" customHeight="1">
      <c r="A5" s="7" t="inlineStr">
        <is>
          <t>Note: FY2021's CET1/Tier1/Total Capital (£56,661k) is CALCULATED (RWA £187,000k x CET1 Ratio 30.3%) since no absolute capital figure was directly disclosed for FY2021, only the ratio and RWA - flagged, not guessed.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30.3%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Tier 1 Capital</t>
        </is>
      </c>
    </row>
    <row r="2">
      <c r="A2" s="2" t="inlineStr">
        <is>
          <t>£'000 (= CET1 Capital; no AT1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56661</v>
      </c>
    </row>
    <row r="5" ht="60" customHeight="1">
      <c r="A5" s="7" t="inlineStr">
        <is>
          <t>Note: FY2021's CET1/Tier1/Total Capital (£56,661k) is CALCULATED (RWA £187,000k x CET1 Ratio 30.3%) since no absolute capital figure was directly disclosed for FY2021, only the ratio and RWA - flagged, not guessed.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30.3%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Capital</t>
        </is>
      </c>
    </row>
    <row r="2">
      <c r="A2" s="2" t="inlineStr">
        <is>
          <t>£'000 (= CET1 Capital; no Tier 2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56661</v>
      </c>
    </row>
    <row r="5" ht="60" customHeight="1">
      <c r="A5" s="7" t="inlineStr">
        <is>
          <t>Note: FY2021's CET1/Tier1/Total Capital (£56,661k) is CALCULATED (RWA £187,000k x CET1 Ratio 30.3%) since no absolute capital figure was directly disclosed for FY2021, only the ratio and RWA - flagged, not guessed.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30.3%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619414</v>
      </c>
      <c r="C4" s="6" t="n">
        <v>627016</v>
      </c>
      <c r="D4" s="6" t="n">
        <v>436220</v>
      </c>
      <c r="E4" s="6" t="n">
        <v>269258</v>
      </c>
      <c r="F4" s="6" t="n">
        <v>187000</v>
      </c>
    </row>
    <row r="5" ht="60" customHeight="1">
      <c r="A5" s="7" t="inlineStr">
        <is>
          <t>Note: FY2021's RWA (£187m) is directly stated in the FY2022 document's own comparative column (rounded to the nearest £m, not disclosed to the £'000). All other years disclosed to the £'000 in their own KM1 tables.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RWA Breakdown</t>
        </is>
      </c>
    </row>
    <row r="2">
      <c r="A2" s="2" t="inlineStr">
        <is>
          <t>Not publicly disclosed.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6" t="inlineStr">
        <is>
          <t>Not publicly disclosed</t>
        </is>
      </c>
      <c r="B4" s="6" t="n"/>
      <c r="C4" s="6" t="n"/>
      <c r="D4" s="6" t="n"/>
      <c r="E4" s="6" t="n"/>
      <c r="F4" s="6" t="n"/>
    </row>
    <row r="6" ht="280" customHeight="1">
      <c r="A6" s="8" t="inlineStr">
        <is>
          <t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Not publicly disclosed in any of the 5 years reviewed - each year's own Pillar 3 document's UK KM1 Key Metrics table (and, for FY2025, the narrative on Regulatory Capital and RWAs) discloses only the aggregate Total RWA figure, with no risk-category (credit/counterparty credit/market/operational risk) breakdown table found - confirmed by reading each document's Key Metrics, Credit Risk, Market Risk and Operational Risk sections in full, not assumed absent.</t>
        </is>
      </c>
    </row>
  </sheetData>
  <mergeCells count="1">
    <mergeCell ref="A6:F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Leverage Ratio</t>
        </is>
      </c>
    </row>
    <row r="2">
      <c r="A2" s="2" t="inlineStr">
        <is>
          <t>%, excluding claims on central banks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9.5%</t>
        </is>
      </c>
      <c r="C4" s="6" t="inlineStr">
        <is>
          <t>7.4%</t>
        </is>
      </c>
      <c r="D4" s="6" t="inlineStr">
        <is>
          <t>7.3%</t>
        </is>
      </c>
      <c r="E4" s="6" t="inlineStr">
        <is>
          <t>6.9%</t>
        </is>
      </c>
      <c r="F4" s="6" t="inlineStr">
        <is>
          <t>5.0%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134.7%</t>
        </is>
      </c>
      <c r="C4" s="6" t="inlineStr">
        <is>
          <t>136.4%</t>
        </is>
      </c>
      <c r="D4" s="6" t="inlineStr">
        <is>
          <t>149.7%</t>
        </is>
      </c>
      <c r="E4" s="6" t="inlineStr">
        <is>
          <t>143.2%</t>
        </is>
      </c>
      <c r="F4" s="6" t="inlineStr">
        <is>
          <t>132%</t>
        </is>
      </c>
    </row>
    <row r="5" ht="60" customHeight="1">
      <c r="A5" s="7" t="inlineStr">
        <is>
          <t>Note: LIQUIDITY RATIO BASIS CAVEAT: the FY2022 Pillar 3 document's own "Summary of Key Ratios" table shows LCR 158% and NSFR 213% for FY2022, and LCR 132%/NSFR 211% for FY2021 - but the FY2023 document's own KM1 table, which explicitly states its LCR is a "12 month average" and NSFR a "4 quarter average", gives a materially different Dec-2022 comparative (LCR 143.2%, NSFR 206.6%). This is the same spot-vs-average LCR/NSFR basis trap seen elsewhere in this project (e.g. ALRAYAN Bank, Bank of Africa UK) - the FY2022 document's own summary table doesn't state its methodology explicitly, but the gap strongly suggests a different (likely point-in-time/spot) basis. Used the KM1/average-basis figure for FY2022 (143.2%/206.6%) for consistency with every other bank in this project; the FY2022 document's own 158%/213% figures are documented here for reference. FY2021 has no KM1-basis alternative available (predates the KM1 template rollout, per the FY2022 document's own note that UK banks became subject to the current regime from 1 January 2022) - FY2021's 132%/211% are used as the only figures found, flagged as likely not directly comparable to FY2022-onward's KM1-basis figures.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130.0%</t>
        </is>
      </c>
      <c r="C4" s="6" t="inlineStr">
        <is>
          <t>130.9%</t>
        </is>
      </c>
      <c r="D4" s="6" t="inlineStr">
        <is>
          <t>159.4%</t>
        </is>
      </c>
      <c r="E4" s="6" t="inlineStr">
        <is>
          <t>206.6%</t>
        </is>
      </c>
      <c r="F4" s="6" t="inlineStr">
        <is>
          <t>211%</t>
        </is>
      </c>
    </row>
    <row r="5" ht="60" customHeight="1">
      <c r="A5" s="7" t="inlineStr">
        <is>
          <t>Note: LIQUIDITY RATIO BASIS CAVEAT: the FY2022 Pillar 3 document's own "Summary of Key Ratios" table shows LCR 158% and NSFR 213% for FY2022, and LCR 132%/NSFR 211% for FY2021 - but the FY2023 document's own KM1 table, which explicitly states its LCR is a "12 month average" and NSFR a "4 quarter average", gives a materially different Dec-2022 comparative (LCR 143.2%, NSFR 206.6%). This is the same spot-vs-average LCR/NSFR basis trap seen elsewhere in this project (e.g. ALRAYAN Bank, Bank of Africa UK) - the FY2022 document's own summary table doesn't state its methodology explicitly, but the gap strongly suggests a different (likely point-in-time/spot) basis. Used the KM1/average-basis figure for FY2022 (143.2%/206.6%) for consistency with every other bank in this project; the FY2022 document's own 158%/213% figures are documented here for reference. FY2021 has no KM1-basis alternative available (predates the KM1 template rollout, per the FY2022 document's own note that UK banks became subject to the current regime from 1 January 2022) - FY2021's 132%/211% are used as the only figures found, flagged as likely not directly comparable to FY2022-onward's KM1-basis figures.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no MREL figure or exemption statement found in any of the 5 years' Pillar 3 documents reviewed.</t>
        </is>
      </c>
    </row>
    <row r="7" ht="15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2026-09-02T21:16:47Z</dcterms:created>
  <dcterms:modified xmlns:dcterms="http://purl.org/dc/terms/" xmlns:xsi="http://www.w3.org/2001/XMLSchema-instance" xsi:type="dcterms:W3CDTF">2026-09-02T21:16:47Z</dcterms:modified>
</cp:coreProperties>
</file>