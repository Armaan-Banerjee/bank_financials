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D6A9F"/>
        <bgColor rgb="008D6A9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Ceylon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Ceylon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Ceylon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Ceylon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'Overview'!AS26</f>
            </strRef>
          </tx>
          <spPr>
            <a:ln xmlns:a="http://schemas.openxmlformats.org/drawingml/2006/main">
              <a:prstDash val="solid"/>
            </a:ln>
          </spPr>
          <cat>
            <numRef>
              <f>'Overview'!$AT$25:$BA$25</f>
            </numRef>
          </cat>
          <val>
            <numRef>
              <f>'Overview'!$AT$26:$BA$26</f>
            </numRef>
          </val>
        </ser>
        <ser>
          <idx val="1"/>
          <order val="1"/>
          <tx>
            <strRef>
              <f>'Overview'!AS27</f>
            </strRef>
          </tx>
          <spPr>
            <a:ln xmlns:a="http://schemas.openxmlformats.org/drawingml/2006/main">
              <a:prstDash val="solid"/>
            </a:ln>
          </spPr>
          <cat>
            <numRef>
              <f>'Overview'!$AT$25:$BA$25</f>
            </numRef>
          </cat>
          <val>
            <numRef>
              <f>'Overview'!$AT$27:$BA$27</f>
            </numRef>
          </val>
        </ser>
        <ser>
          <idx val="2"/>
          <order val="2"/>
          <tx>
            <strRef>
              <f>'Overview'!AS28</f>
            </strRef>
          </tx>
          <spPr>
            <a:ln xmlns:a="http://schemas.openxmlformats.org/drawingml/2006/main">
              <a:prstDash val="solid"/>
            </a:ln>
          </spPr>
          <cat>
            <numRef>
              <f>'Overview'!$AT$25:$BA$25</f>
            </numRef>
          </cat>
          <val>
            <numRef>
              <f>'Overview'!$AT$28:$BA$28</f>
            </numRef>
          </val>
        </ser>
        <ser>
          <idx val="3"/>
          <order val="3"/>
          <tx>
            <strRef>
              <f>'Overview'!AS29</f>
            </strRef>
          </tx>
          <spPr>
            <a:ln xmlns:a="http://schemas.openxmlformats.org/drawingml/2006/main">
              <a:prstDash val="solid"/>
            </a:ln>
          </spPr>
          <cat>
            <numRef>
              <f>'Overview'!$AT$25:$BA$25</f>
            </numRef>
          </cat>
          <val>
            <numRef>
              <f>'Overview'!$AT$29:$BA$29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Ceylon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Bank of Ceylon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195113</v>
      </c>
      <c r="C6" s="5" t="n">
        <v>172860</v>
      </c>
      <c r="D6" s="5" t="n">
        <v>156353</v>
      </c>
      <c r="E6" s="5" t="n">
        <v>117599</v>
      </c>
      <c r="F6" s="5" t="n">
        <v>48630</v>
      </c>
      <c r="G6" s="5" t="n">
        <v>143850</v>
      </c>
      <c r="H6" s="5" t="n">
        <v>170285</v>
      </c>
      <c r="I6" s="5" t="n">
        <v>158315</v>
      </c>
      <c r="L6" t="inlineStr">
        <is>
          <t>Total assets</t>
        </is>
      </c>
      <c r="M6" t="n">
        <v>158315</v>
      </c>
      <c r="N6" t="n">
        <v>170285</v>
      </c>
      <c r="O6" t="n">
        <v>143850</v>
      </c>
      <c r="P6" t="n">
        <v>48630</v>
      </c>
      <c r="Q6" t="n">
        <v>117599</v>
      </c>
      <c r="R6" t="n">
        <v>156353</v>
      </c>
      <c r="S6" t="n">
        <v>172860</v>
      </c>
      <c r="T6" t="n">
        <v>195113</v>
      </c>
      <c r="BD6" t="inlineStr">
        <is>
          <t>CET1 Ratio</t>
        </is>
      </c>
      <c r="BE6" t="n">
        <v>46.9</v>
      </c>
      <c r="BF6" t="n">
        <v>57.5</v>
      </c>
      <c r="BG6" t="n">
        <v>34.3</v>
      </c>
      <c r="BH6" t="n">
        <v>54.8</v>
      </c>
      <c r="BJ6" t="n">
        <v>42.5</v>
      </c>
      <c r="BK6" t="n">
        <v>22.7</v>
      </c>
      <c r="BL6" t="n">
        <v>20.1</v>
      </c>
    </row>
    <row r="7">
      <c r="A7" s="5" t="inlineStr">
        <is>
          <t>Loans and advances to customers</t>
        </is>
      </c>
      <c r="B7" s="5" t="n">
        <v>76043</v>
      </c>
      <c r="C7" s="5" t="n">
        <v>56807</v>
      </c>
      <c r="D7" s="5" t="n">
        <v>34032</v>
      </c>
      <c r="E7" s="5" t="n">
        <v>18096</v>
      </c>
      <c r="F7" s="5" t="n">
        <v>19359</v>
      </c>
      <c r="G7" s="5" t="n">
        <v>20364</v>
      </c>
      <c r="H7" s="5" t="n">
        <v>17577</v>
      </c>
      <c r="I7" s="5" t="n">
        <v>12708</v>
      </c>
      <c r="L7" t="inlineStr">
        <is>
          <t>Loans and advances to customers</t>
        </is>
      </c>
      <c r="M7" t="n">
        <v>12708</v>
      </c>
      <c r="N7" t="n">
        <v>17577</v>
      </c>
      <c r="O7" t="n">
        <v>20364</v>
      </c>
      <c r="P7" t="n">
        <v>19359</v>
      </c>
      <c r="Q7" t="n">
        <v>18096</v>
      </c>
      <c r="R7" t="n">
        <v>34032</v>
      </c>
      <c r="S7" t="n">
        <v>56807</v>
      </c>
      <c r="T7" t="n">
        <v>76043</v>
      </c>
      <c r="BD7" t="inlineStr">
        <is>
          <t>Total Capital Ratio</t>
        </is>
      </c>
      <c r="BE7" t="n">
        <v>46.9</v>
      </c>
      <c r="BF7" t="n">
        <v>57.5</v>
      </c>
      <c r="BG7" t="n">
        <v>36.7</v>
      </c>
      <c r="BH7" t="n">
        <v>57.8</v>
      </c>
      <c r="BJ7" t="n">
        <v>45.9</v>
      </c>
      <c r="BK7" t="n">
        <v>24.6</v>
      </c>
      <c r="BL7" t="n">
        <v>21.7</v>
      </c>
    </row>
    <row r="8">
      <c r="A8" s="5" t="inlineStr">
        <is>
          <t>Customer account deposits</t>
        </is>
      </c>
      <c r="B8" s="5" t="n">
        <v>76703</v>
      </c>
      <c r="C8" s="5" t="n">
        <v>44538</v>
      </c>
      <c r="D8" s="5" t="n">
        <v>19229</v>
      </c>
      <c r="E8" s="5" t="n">
        <v>11427</v>
      </c>
      <c r="F8" s="5" t="n">
        <v>5811</v>
      </c>
      <c r="G8" s="5" t="n">
        <v>4732</v>
      </c>
      <c r="H8" s="5" t="n">
        <v>6545</v>
      </c>
      <c r="I8" s="5" t="n">
        <v>5367</v>
      </c>
      <c r="L8" t="inlineStr">
        <is>
          <t>Customer account deposits</t>
        </is>
      </c>
      <c r="M8" t="n">
        <v>5367</v>
      </c>
      <c r="N8" t="n">
        <v>6545</v>
      </c>
      <c r="O8" t="n">
        <v>4732</v>
      </c>
      <c r="P8" t="n">
        <v>5811</v>
      </c>
      <c r="Q8" t="n">
        <v>11427</v>
      </c>
      <c r="R8" t="n">
        <v>19229</v>
      </c>
      <c r="S8" t="n">
        <v>44538</v>
      </c>
      <c r="T8" t="n">
        <v>76703</v>
      </c>
      <c r="BD8" t="inlineStr">
        <is>
          <t>Leverage Ratio</t>
        </is>
      </c>
      <c r="BE8" t="n">
        <v>46.6</v>
      </c>
      <c r="BF8" t="n">
        <v>34.2</v>
      </c>
      <c r="BG8" t="n">
        <v>35.3</v>
      </c>
      <c r="BH8" t="n">
        <v>46.2</v>
      </c>
      <c r="BJ8" t="n">
        <v>28.8</v>
      </c>
      <c r="BK8" t="n">
        <v>18.5</v>
      </c>
      <c r="BL8" t="n">
        <v>14.3</v>
      </c>
    </row>
    <row r="9">
      <c r="A9" s="5" t="inlineStr">
        <is>
          <t>Total equity</t>
        </is>
      </c>
      <c r="B9" s="5" t="n">
        <v>15493</v>
      </c>
      <c r="C9" s="5" t="n">
        <v>15170</v>
      </c>
      <c r="D9" s="5" t="n">
        <v>14811</v>
      </c>
      <c r="E9" s="5" t="n">
        <v>13831</v>
      </c>
      <c r="F9" s="5" t="n">
        <v>13902</v>
      </c>
      <c r="G9" s="5" t="n">
        <v>13949</v>
      </c>
      <c r="H9" s="5" t="n">
        <v>13476</v>
      </c>
      <c r="I9" s="5" t="n">
        <v>13380</v>
      </c>
      <c r="L9" t="inlineStr">
        <is>
          <t>Total equity</t>
        </is>
      </c>
      <c r="M9" t="n">
        <v>13380</v>
      </c>
      <c r="N9" t="n">
        <v>13476</v>
      </c>
      <c r="O9" t="n">
        <v>13949</v>
      </c>
      <c r="P9" t="n">
        <v>13902</v>
      </c>
      <c r="Q9" t="n">
        <v>13831</v>
      </c>
      <c r="R9" t="n">
        <v>14811</v>
      </c>
      <c r="S9" t="n">
        <v>15170</v>
      </c>
      <c r="T9" t="n">
        <v>15493</v>
      </c>
      <c r="BD9" t="inlineStr">
        <is>
          <t>LCR</t>
        </is>
      </c>
      <c r="BE9" t="n">
        <v>111</v>
      </c>
      <c r="BF9" t="n">
        <v>112</v>
      </c>
      <c r="BG9" t="n">
        <v>109</v>
      </c>
      <c r="BJ9" t="n">
        <v>125</v>
      </c>
      <c r="BK9" t="n">
        <v>149</v>
      </c>
      <c r="BL9" t="n">
        <v>131</v>
      </c>
    </row>
    <row r="10">
      <c r="BD10" t="inlineStr">
        <is>
          <t>NSFR</t>
        </is>
      </c>
      <c r="BJ10" t="n">
        <v>141</v>
      </c>
      <c r="BK10" t="n">
        <v>141</v>
      </c>
      <c r="BL10" t="n">
        <v>185</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3161</v>
      </c>
      <c r="C13" s="5" t="n">
        <v>3041</v>
      </c>
      <c r="D13" s="5" t="n">
        <v>3145</v>
      </c>
      <c r="E13" s="5" t="n">
        <v>2378</v>
      </c>
      <c r="F13" s="5" t="n">
        <v>2100</v>
      </c>
      <c r="G13" s="5" t="n">
        <v>2159</v>
      </c>
      <c r="H13" s="5" t="n">
        <v>2327</v>
      </c>
      <c r="I13" s="5" t="n">
        <v>2301</v>
      </c>
      <c r="W13" t="inlineStr">
        <is>
          <t>Net operating income</t>
        </is>
      </c>
      <c r="X13" t="n">
        <v>2301</v>
      </c>
      <c r="Y13" t="n">
        <v>2327</v>
      </c>
      <c r="Z13" t="n">
        <v>2159</v>
      </c>
      <c r="AA13" t="n">
        <v>2100</v>
      </c>
      <c r="AB13" t="n">
        <v>2378</v>
      </c>
      <c r="AC13" t="n">
        <v>3145</v>
      </c>
      <c r="AD13" t="n">
        <v>3041</v>
      </c>
      <c r="AE13" t="n">
        <v>3161</v>
      </c>
    </row>
    <row r="14">
      <c r="A14" s="5" t="inlineStr">
        <is>
          <t>Total operating expenses</t>
        </is>
      </c>
      <c r="B14" s="5" t="n">
        <v>-2793</v>
      </c>
      <c r="C14" s="5" t="n">
        <v>-2629</v>
      </c>
      <c r="D14" s="5" t="n">
        <v>-2077</v>
      </c>
      <c r="E14" s="5" t="n">
        <v>-2525</v>
      </c>
      <c r="F14" s="5" t="n">
        <v>-1986</v>
      </c>
      <c r="G14" s="5" t="n">
        <v>-2185</v>
      </c>
      <c r="H14" s="5" t="n">
        <v>-2219</v>
      </c>
      <c r="I14" s="5" t="n">
        <v>-2216</v>
      </c>
      <c r="W14" t="inlineStr">
        <is>
          <t>Total operating expenses</t>
        </is>
      </c>
      <c r="X14" t="n">
        <v>-2216</v>
      </c>
      <c r="Y14" t="n">
        <v>-2219</v>
      </c>
      <c r="Z14" t="n">
        <v>-2185</v>
      </c>
      <c r="AA14" t="n">
        <v>-1986</v>
      </c>
      <c r="AB14" t="n">
        <v>-2525</v>
      </c>
      <c r="AC14" t="n">
        <v>-2077</v>
      </c>
      <c r="AD14" t="n">
        <v>-2629</v>
      </c>
      <c r="AE14" t="n">
        <v>-2793</v>
      </c>
    </row>
    <row r="15">
      <c r="A15" s="5" t="inlineStr">
        <is>
          <t>Profit/(loss) for the year</t>
        </is>
      </c>
      <c r="B15" s="5" t="n">
        <v>323</v>
      </c>
      <c r="C15" s="5" t="n">
        <v>327</v>
      </c>
      <c r="D15" s="5" t="n">
        <v>889</v>
      </c>
      <c r="E15" s="5" t="n">
        <v>-146</v>
      </c>
      <c r="F15" s="5" t="n">
        <v>112</v>
      </c>
      <c r="G15" s="5" t="n">
        <v>-23</v>
      </c>
      <c r="H15" s="5" t="n">
        <v>105</v>
      </c>
      <c r="I15" s="5" t="n">
        <v>85</v>
      </c>
      <c r="W15" t="inlineStr">
        <is>
          <t>Profit/(loss) for the year</t>
        </is>
      </c>
      <c r="X15" t="n">
        <v>85</v>
      </c>
      <c r="Y15" t="n">
        <v>105</v>
      </c>
      <c r="Z15" t="n">
        <v>-23</v>
      </c>
      <c r="AA15" t="n">
        <v>112</v>
      </c>
      <c r="AB15" t="n">
        <v>-146</v>
      </c>
      <c r="AC15" t="n">
        <v>889</v>
      </c>
      <c r="AD15" t="n">
        <v>327</v>
      </c>
      <c r="AE15" t="n">
        <v>323</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Opening equity</t>
        </is>
      </c>
      <c r="B19" s="5" t="n">
        <v>15170</v>
      </c>
      <c r="C19" s="5" t="n">
        <v>14811</v>
      </c>
      <c r="D19" s="5" t="n">
        <v>13831</v>
      </c>
      <c r="E19" s="5" t="n">
        <v>13902</v>
      </c>
      <c r="F19" s="5" t="n">
        <v>13949</v>
      </c>
      <c r="G19" s="5" t="n">
        <v>13982</v>
      </c>
      <c r="H19" s="5" t="n">
        <v>13380</v>
      </c>
      <c r="I19" s="5" t="n">
        <v>13339</v>
      </c>
      <c r="AH19" t="inlineStr">
        <is>
          <t>Opening equity</t>
        </is>
      </c>
      <c r="AI19" t="n">
        <v>13339</v>
      </c>
      <c r="AJ19" t="n">
        <v>13380</v>
      </c>
      <c r="AK19" t="n">
        <v>13982</v>
      </c>
      <c r="AL19" t="n">
        <v>13949</v>
      </c>
      <c r="AM19" t="n">
        <v>13902</v>
      </c>
      <c r="AN19" t="n">
        <v>13831</v>
      </c>
      <c r="AO19" t="n">
        <v>14811</v>
      </c>
      <c r="AP19" t="n">
        <v>15170</v>
      </c>
    </row>
    <row r="20">
      <c r="A20" s="5" t="inlineStr">
        <is>
          <t>Total comprehensive income</t>
        </is>
      </c>
      <c r="B20" s="5" t="n">
        <v>323</v>
      </c>
      <c r="C20" s="5" t="n">
        <v>359</v>
      </c>
      <c r="D20" s="5" t="n">
        <v>1173</v>
      </c>
      <c r="E20" s="5" t="n">
        <v>-146</v>
      </c>
      <c r="F20" s="5" t="n">
        <v>112</v>
      </c>
      <c r="G20" s="5" t="n">
        <v>-23</v>
      </c>
      <c r="H20" s="5" t="n">
        <v>105</v>
      </c>
      <c r="I20" s="5" t="n">
        <v>85</v>
      </c>
      <c r="AH20" t="inlineStr">
        <is>
          <t>Total comprehensive income</t>
        </is>
      </c>
      <c r="AI20" t="n">
        <v>85</v>
      </c>
      <c r="AJ20" t="n">
        <v>105</v>
      </c>
      <c r="AK20" t="n">
        <v>-23</v>
      </c>
      <c r="AL20" t="n">
        <v>112</v>
      </c>
      <c r="AM20" t="n">
        <v>-146</v>
      </c>
      <c r="AN20" t="n">
        <v>1173</v>
      </c>
      <c r="AO20" t="n">
        <v>359</v>
      </c>
      <c r="AP20" t="n">
        <v>323</v>
      </c>
    </row>
    <row r="21">
      <c r="A21" s="5" t="inlineStr">
        <is>
          <t>Other movements, net</t>
        </is>
      </c>
      <c r="B21" s="5" t="n">
        <v>0</v>
      </c>
      <c r="C21" s="5" t="n">
        <v>0</v>
      </c>
      <c r="D21" s="5" t="n">
        <v>-193</v>
      </c>
      <c r="E21" s="5" t="n">
        <v>75</v>
      </c>
      <c r="F21" s="5" t="n">
        <v>-159</v>
      </c>
      <c r="G21" s="5" t="n">
        <v>-10</v>
      </c>
      <c r="H21" s="5" t="n">
        <v>-9</v>
      </c>
      <c r="I21" s="5" t="n">
        <v>-44</v>
      </c>
      <c r="AH21" t="inlineStr">
        <is>
          <t>Other movements, net</t>
        </is>
      </c>
      <c r="AI21" t="n">
        <v>-44</v>
      </c>
      <c r="AJ21" t="n">
        <v>-9</v>
      </c>
      <c r="AK21" t="n">
        <v>-10</v>
      </c>
      <c r="AL21" t="n">
        <v>-159</v>
      </c>
      <c r="AM21" t="n">
        <v>75</v>
      </c>
      <c r="AN21" t="n">
        <v>-193</v>
      </c>
      <c r="AO21" t="n">
        <v>0</v>
      </c>
      <c r="AP21" t="n">
        <v>0</v>
      </c>
    </row>
    <row r="22">
      <c r="A22" s="5" t="inlineStr">
        <is>
          <t>Closing equity</t>
        </is>
      </c>
      <c r="B22" s="5" t="n">
        <v>15493</v>
      </c>
      <c r="C22" s="5" t="n">
        <v>15170</v>
      </c>
      <c r="D22" s="5" t="n">
        <v>14811</v>
      </c>
      <c r="E22" s="5" t="n">
        <v>13831</v>
      </c>
      <c r="F22" s="5" t="n">
        <v>13902</v>
      </c>
      <c r="G22" s="5" t="n">
        <v>13949</v>
      </c>
      <c r="H22" s="5" t="n">
        <v>13476</v>
      </c>
      <c r="I22" s="5" t="n">
        <v>13380</v>
      </c>
      <c r="AH22" t="inlineStr">
        <is>
          <t>Closing equity</t>
        </is>
      </c>
      <c r="AI22" t="n">
        <v>13380</v>
      </c>
      <c r="AJ22" t="n">
        <v>13476</v>
      </c>
      <c r="AK22" t="n">
        <v>13949</v>
      </c>
      <c r="AL22" t="n">
        <v>13902</v>
      </c>
      <c r="AM22" t="n">
        <v>13831</v>
      </c>
      <c r="AN22" t="n">
        <v>14811</v>
      </c>
      <c r="AO22" t="n">
        <v>15170</v>
      </c>
      <c r="AP22" t="n">
        <v>15493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AT25" t="inlineStr">
        <is>
          <t>FY2018</t>
        </is>
      </c>
      <c r="AU25" t="inlineStr">
        <is>
          <t>FY2019</t>
        </is>
      </c>
      <c r="AV25" t="inlineStr">
        <is>
          <t>FY2020</t>
        </is>
      </c>
      <c r="AW25" t="inlineStr">
        <is>
          <t>FY2021</t>
        </is>
      </c>
      <c r="AX25" t="inlineStr">
        <is>
          <t>FY2022</t>
        </is>
      </c>
      <c r="AY25" t="inlineStr">
        <is>
          <t>FY2023</t>
        </is>
      </c>
      <c r="AZ25" t="inlineStr">
        <is>
          <t>FY2024</t>
        </is>
      </c>
      <c r="BA25" t="inlineStr">
        <is>
          <t>FY2025</t>
        </is>
      </c>
    </row>
    <row r="26">
      <c r="A26" s="5" t="inlineStr">
        <is>
          <t>Net cash flow from operating activities</t>
        </is>
      </c>
      <c r="B26" s="5" t="n">
        <v>8361</v>
      </c>
      <c r="C26" s="5" t="n">
        <v>-14423</v>
      </c>
      <c r="D26" s="5" t="n">
        <v>29059</v>
      </c>
      <c r="E26" s="5" t="n">
        <v>83148</v>
      </c>
      <c r="F26" s="5" t="n">
        <v>927</v>
      </c>
      <c r="G26" s="5" t="n">
        <v>1318</v>
      </c>
      <c r="H26" s="5" t="n">
        <v>-60</v>
      </c>
      <c r="I26" s="5" t="n">
        <v>-129</v>
      </c>
      <c r="AS26" t="inlineStr">
        <is>
          <t>Net cash flow from operating activities</t>
        </is>
      </c>
      <c r="AT26" t="n">
        <v>-129</v>
      </c>
      <c r="AU26" t="n">
        <v>-60</v>
      </c>
      <c r="AV26" t="n">
        <v>1318</v>
      </c>
      <c r="AW26" t="n">
        <v>927</v>
      </c>
      <c r="AX26" t="n">
        <v>83148</v>
      </c>
      <c r="AY26" t="n">
        <v>29059</v>
      </c>
      <c r="AZ26" t="n">
        <v>-14423</v>
      </c>
      <c r="BA26" t="n">
        <v>8361</v>
      </c>
    </row>
    <row r="27">
      <c r="A27" s="5" t="inlineStr">
        <is>
          <t>Net cash flow from investing activities</t>
        </is>
      </c>
      <c r="B27" s="5" t="n">
        <v>-152</v>
      </c>
      <c r="C27" s="5" t="n">
        <v>-461</v>
      </c>
      <c r="D27" s="5" t="n">
        <v>-116</v>
      </c>
      <c r="E27" s="5" t="n">
        <v>-2</v>
      </c>
      <c r="F27" s="5" t="n">
        <v>0</v>
      </c>
      <c r="G27" s="5" t="n">
        <v>-149</v>
      </c>
      <c r="H27" s="5" t="n">
        <v>-162</v>
      </c>
      <c r="I27" s="5" t="n">
        <v>-21</v>
      </c>
      <c r="AS27" t="inlineStr">
        <is>
          <t>Net cash flow from investing activities</t>
        </is>
      </c>
      <c r="AT27" t="n">
        <v>-21</v>
      </c>
      <c r="AU27" t="n">
        <v>-162</v>
      </c>
      <c r="AV27" t="n">
        <v>-149</v>
      </c>
      <c r="AW27" t="n">
        <v>0</v>
      </c>
      <c r="AX27" t="n">
        <v>-2</v>
      </c>
      <c r="AY27" t="n">
        <v>-116</v>
      </c>
      <c r="AZ27" t="n">
        <v>-461</v>
      </c>
      <c r="BA27" t="n">
        <v>-152</v>
      </c>
    </row>
    <row r="28">
      <c r="A28" s="5" t="inlineStr">
        <is>
          <t>Net cash flow from financing activities</t>
        </is>
      </c>
      <c r="B28" s="5" t="n">
        <v>0</v>
      </c>
      <c r="C28" s="5" t="n">
        <v>0</v>
      </c>
      <c r="D28" s="5" t="n">
        <v>0</v>
      </c>
      <c r="E28" s="5" t="n">
        <v>747</v>
      </c>
      <c r="F28" s="5" t="n">
        <v>0</v>
      </c>
      <c r="G28" s="5" t="n">
        <v>0</v>
      </c>
      <c r="H28" s="5" t="n">
        <v>0</v>
      </c>
      <c r="I28" s="5" t="n">
        <v>0</v>
      </c>
      <c r="AS28" t="inlineStr">
        <is>
          <t>Net cash flow from financing activities</t>
        </is>
      </c>
      <c r="AT28" t="n">
        <v>0</v>
      </c>
      <c r="AU28" t="n">
        <v>0</v>
      </c>
      <c r="AV28" t="n">
        <v>0</v>
      </c>
      <c r="AW28" t="n">
        <v>0</v>
      </c>
      <c r="AX28" t="n">
        <v>747</v>
      </c>
      <c r="AY28" t="n">
        <v>0</v>
      </c>
      <c r="AZ28" t="n">
        <v>0</v>
      </c>
      <c r="BA28" t="n">
        <v>0</v>
      </c>
    </row>
    <row r="29">
      <c r="A29" s="5" t="inlineStr">
        <is>
          <t>Closing cash and cash equivalents</t>
        </is>
      </c>
      <c r="B29" s="5" t="n">
        <v>109027</v>
      </c>
      <c r="C29" s="5" t="n">
        <v>100818</v>
      </c>
      <c r="D29" s="5" t="n">
        <v>115702</v>
      </c>
      <c r="E29" s="5" t="n">
        <v>86759</v>
      </c>
      <c r="F29" s="5" t="n">
        <v>2866</v>
      </c>
      <c r="G29" s="5" t="n">
        <v>1939</v>
      </c>
      <c r="H29" s="5" t="n">
        <v>770</v>
      </c>
      <c r="I29" s="5" t="n">
        <v>992</v>
      </c>
      <c r="AS29" t="inlineStr">
        <is>
          <t>Closing cash and cash equivalents</t>
        </is>
      </c>
      <c r="AT29" t="n">
        <v>992</v>
      </c>
      <c r="AU29" t="n">
        <v>770</v>
      </c>
      <c r="AV29" t="n">
        <v>1939</v>
      </c>
      <c r="AW29" t="n">
        <v>2866</v>
      </c>
      <c r="AX29" t="n">
        <v>86759</v>
      </c>
      <c r="AY29" t="n">
        <v>115702</v>
      </c>
      <c r="AZ29" t="n">
        <v>100818</v>
      </c>
      <c r="BA29" t="n">
        <v>109027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row>
    <row r="33">
      <c r="A33" s="6" t="inlineStr">
        <is>
          <t>CET1 Ratio</t>
        </is>
      </c>
      <c r="B33" s="6" t="inlineStr">
        <is>
          <t>20.1%</t>
        </is>
      </c>
      <c r="C33" s="6" t="inlineStr">
        <is>
          <t>22.7%</t>
        </is>
      </c>
      <c r="D33" s="6" t="inlineStr">
        <is>
          <t>42.5%</t>
        </is>
      </c>
      <c r="E33" s="6" t="n"/>
      <c r="F33" s="6" t="inlineStr">
        <is>
          <t>54.8%</t>
        </is>
      </c>
      <c r="G33" s="6" t="inlineStr">
        <is>
          <t>34.3%</t>
        </is>
      </c>
      <c r="H33" s="6" t="inlineStr">
        <is>
          <t>57.5%</t>
        </is>
      </c>
      <c r="I33" s="6" t="inlineStr">
        <is>
          <t>46.9%</t>
        </is>
      </c>
    </row>
    <row r="34">
      <c r="A34" s="6" t="inlineStr">
        <is>
          <t>Total Capital Ratio</t>
        </is>
      </c>
      <c r="B34" s="6" t="inlineStr">
        <is>
          <t>21.7%</t>
        </is>
      </c>
      <c r="C34" s="6" t="inlineStr">
        <is>
          <t>24.6%</t>
        </is>
      </c>
      <c r="D34" s="6" t="inlineStr">
        <is>
          <t>45.9%</t>
        </is>
      </c>
      <c r="E34" s="6" t="n"/>
      <c r="F34" s="6" t="inlineStr">
        <is>
          <t>57.8%</t>
        </is>
      </c>
      <c r="G34" s="6" t="inlineStr">
        <is>
          <t>36.7%</t>
        </is>
      </c>
      <c r="H34" s="6" t="inlineStr">
        <is>
          <t>57.5%</t>
        </is>
      </c>
      <c r="I34" s="6" t="inlineStr">
        <is>
          <t>46.9%</t>
        </is>
      </c>
    </row>
    <row r="35">
      <c r="A35" s="6" t="inlineStr">
        <is>
          <t>Leverage Ratio</t>
        </is>
      </c>
      <c r="B35" s="6" t="inlineStr">
        <is>
          <t>14.3%</t>
        </is>
      </c>
      <c r="C35" s="6" t="inlineStr">
        <is>
          <t>18.5%</t>
        </is>
      </c>
      <c r="D35" s="6" t="inlineStr">
        <is>
          <t>28.8%</t>
        </is>
      </c>
      <c r="E35" s="6" t="n"/>
      <c r="F35" s="6" t="inlineStr">
        <is>
          <t>46.2%</t>
        </is>
      </c>
      <c r="G35" s="6" t="inlineStr">
        <is>
          <t>35.3%</t>
        </is>
      </c>
      <c r="H35" s="6" t="inlineStr">
        <is>
          <t>34.2%</t>
        </is>
      </c>
      <c r="I35" s="6" t="inlineStr">
        <is>
          <t>46.6%</t>
        </is>
      </c>
    </row>
    <row r="36">
      <c r="A36" s="6" t="inlineStr">
        <is>
          <t>LCR</t>
        </is>
      </c>
      <c r="B36" s="6" t="inlineStr">
        <is>
          <t>131%</t>
        </is>
      </c>
      <c r="C36" s="6" t="inlineStr">
        <is>
          <t>149%</t>
        </is>
      </c>
      <c r="D36" s="6" t="inlineStr">
        <is>
          <t>125%</t>
        </is>
      </c>
      <c r="E36" s="6" t="n"/>
      <c r="F36" s="6" t="n"/>
      <c r="G36" s="6" t="inlineStr">
        <is>
          <t>109%</t>
        </is>
      </c>
      <c r="H36" s="6" t="inlineStr">
        <is>
          <t>112%</t>
        </is>
      </c>
      <c r="I36" s="6" t="inlineStr">
        <is>
          <t>111%</t>
        </is>
      </c>
    </row>
    <row r="37">
      <c r="A37" s="6" t="inlineStr">
        <is>
          <t>NSFR</t>
        </is>
      </c>
      <c r="B37" s="6" t="inlineStr">
        <is>
          <t>185%</t>
        </is>
      </c>
      <c r="C37" s="6" t="inlineStr">
        <is>
          <t>141%</t>
        </is>
      </c>
      <c r="D37" s="6" t="inlineStr">
        <is>
          <t>141%</t>
        </is>
      </c>
      <c r="E37" s="6" t="n"/>
      <c r="F37" s="6" t="n"/>
      <c r="G37" s="6" t="n"/>
      <c r="H37" s="6" t="n"/>
      <c r="I37" s="6" t="n"/>
    </row>
    <row r="39" ht="45" customHeight="1">
      <c r="A39" s="7" t="inlineStr">
        <is>
          <t>Note: Figures are duplicated from the detail sheets for at-a-glance trend viewing; see each sheet's own source citation for the underlying document/page. FY2022 Pillar 3 data (all ratios) and FY2021/FY2022/FY2020/FY2019/FY2018 NSFR are genuinely absent from the source documents, not omitted in error. FY2020's opening equity (13,982) reflects a prior-year restatement (office building revaluation) disclosed in the FY2020 filing itself, not FY2019's own originally-published closing equity (13,476) - see the Statement of Changes in Equity sheet for the full bridge.</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Financial Position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cash equivalents</t>
        </is>
      </c>
      <c r="B5" s="6" t="n">
        <v>109027</v>
      </c>
      <c r="C5" s="6" t="n">
        <v>100818</v>
      </c>
      <c r="D5" s="6" t="n">
        <v>115702</v>
      </c>
      <c r="E5" s="6" t="n">
        <v>86759</v>
      </c>
      <c r="F5" s="6" t="n">
        <v>2866</v>
      </c>
      <c r="G5" s="6" t="n">
        <v>1939</v>
      </c>
      <c r="H5" s="6" t="n">
        <v>770</v>
      </c>
      <c r="I5" s="6" t="n">
        <v>992</v>
      </c>
    </row>
    <row r="6">
      <c r="A6" s="6" t="inlineStr">
        <is>
          <t>Loans and advances to banks</t>
        </is>
      </c>
      <c r="B6" s="6" t="n">
        <v>4053</v>
      </c>
      <c r="C6" s="6" t="n">
        <v>7121</v>
      </c>
      <c r="D6" s="6" t="n">
        <v>1831</v>
      </c>
      <c r="E6" s="6" t="n">
        <v>7501</v>
      </c>
      <c r="F6" s="6" t="n">
        <v>21104</v>
      </c>
      <c r="G6" s="6" t="n">
        <v>113717</v>
      </c>
      <c r="H6" s="6" t="n">
        <v>143924</v>
      </c>
      <c r="I6" s="6" t="n">
        <v>136517</v>
      </c>
    </row>
    <row r="7">
      <c r="A7" s="6" t="inlineStr">
        <is>
          <t>Loans and advances to customers</t>
        </is>
      </c>
      <c r="B7" s="6" t="n">
        <v>76043</v>
      </c>
      <c r="C7" s="6" t="n">
        <v>56807</v>
      </c>
      <c r="D7" s="6" t="n">
        <v>34032</v>
      </c>
      <c r="E7" s="6" t="n">
        <v>18096</v>
      </c>
      <c r="F7" s="6" t="n">
        <v>19359</v>
      </c>
      <c r="G7" s="6" t="n">
        <v>20364</v>
      </c>
      <c r="H7" s="6" t="n">
        <v>17577</v>
      </c>
      <c r="I7" s="6" t="n">
        <v>12708</v>
      </c>
    </row>
    <row r="8">
      <c r="A8" s="6" t="inlineStr">
        <is>
          <t>Derivatives</t>
        </is>
      </c>
      <c r="B8" s="6" t="n"/>
      <c r="C8" s="6" t="n"/>
      <c r="D8" s="6" t="n">
        <v>268</v>
      </c>
      <c r="E8" s="6" t="n">
        <v>1146</v>
      </c>
      <c r="F8" s="6" t="n">
        <v>88</v>
      </c>
      <c r="G8" s="6" t="n">
        <v>657</v>
      </c>
      <c r="H8" s="6" t="n"/>
      <c r="I8" s="6" t="n"/>
    </row>
    <row r="9">
      <c r="A9" s="6" t="inlineStr">
        <is>
          <t>Prepayments and accrued income</t>
        </is>
      </c>
      <c r="B9" s="6" t="n">
        <v>300</v>
      </c>
      <c r="C9" s="6" t="n">
        <v>154</v>
      </c>
      <c r="D9" s="6" t="n">
        <v>103</v>
      </c>
      <c r="E9" s="6" t="n">
        <v>68</v>
      </c>
      <c r="F9" s="6" t="n"/>
      <c r="G9" s="6" t="n"/>
      <c r="H9" s="6" t="n"/>
      <c r="I9" s="6" t="n"/>
    </row>
    <row r="10">
      <c r="A10" s="6" t="inlineStr">
        <is>
          <t>Other assets</t>
        </is>
      </c>
      <c r="B10" s="6" t="n">
        <v>57</v>
      </c>
      <c r="C10" s="6" t="n">
        <v>83</v>
      </c>
      <c r="D10" s="6" t="n">
        <v>148</v>
      </c>
      <c r="E10" s="6" t="n">
        <v>115</v>
      </c>
      <c r="F10" s="6" t="n">
        <v>129</v>
      </c>
      <c r="G10" s="6" t="n">
        <v>321</v>
      </c>
      <c r="H10" s="6" t="n">
        <v>217</v>
      </c>
      <c r="I10" s="6" t="n">
        <v>538</v>
      </c>
    </row>
    <row r="11">
      <c r="A11" s="6" t="inlineStr">
        <is>
          <t>Investments</t>
        </is>
      </c>
      <c r="B11" s="6" t="n">
        <v>1414</v>
      </c>
      <c r="C11" s="6" t="n">
        <v>3712</v>
      </c>
      <c r="D11" s="6" t="n">
        <v>435</v>
      </c>
      <c r="E11" s="6" t="n">
        <v>453</v>
      </c>
      <c r="F11" s="6" t="n">
        <v>1499</v>
      </c>
      <c r="G11" s="6" t="n">
        <v>3139</v>
      </c>
      <c r="H11" s="6" t="n">
        <v>4798</v>
      </c>
      <c r="I11" s="6" t="n">
        <v>4642</v>
      </c>
    </row>
    <row r="12">
      <c r="A12" s="6" t="inlineStr">
        <is>
          <t>Property, plant and equipment</t>
        </is>
      </c>
      <c r="B12" s="6" t="n">
        <v>4079</v>
      </c>
      <c r="C12" s="6" t="n">
        <v>4071</v>
      </c>
      <c r="D12" s="6" t="n">
        <v>3812</v>
      </c>
      <c r="E12" s="6" t="n">
        <v>3450</v>
      </c>
      <c r="F12" s="6" t="n">
        <v>3563</v>
      </c>
      <c r="G12" s="6" t="n">
        <v>3679</v>
      </c>
      <c r="H12" s="6" t="n">
        <v>2981</v>
      </c>
      <c r="I12" s="6" t="n">
        <v>2885</v>
      </c>
    </row>
    <row r="13">
      <c r="A13" s="6" t="inlineStr">
        <is>
          <t>Intangible assets</t>
        </is>
      </c>
      <c r="B13" s="6" t="n">
        <v>140</v>
      </c>
      <c r="C13" s="6" t="n">
        <v>94</v>
      </c>
      <c r="D13" s="6" t="n">
        <v>22</v>
      </c>
      <c r="E13" s="6" t="n">
        <v>11</v>
      </c>
      <c r="F13" s="6" t="n">
        <v>22</v>
      </c>
      <c r="G13" s="6" t="n">
        <v>34</v>
      </c>
      <c r="H13" s="6" t="n">
        <v>18</v>
      </c>
      <c r="I13" s="6" t="n">
        <v>33</v>
      </c>
    </row>
    <row r="14">
      <c r="A14" s="5" t="inlineStr">
        <is>
          <t>Total assets</t>
        </is>
      </c>
      <c r="B14" s="5" t="n">
        <v>195113</v>
      </c>
      <c r="C14" s="5" t="n">
        <v>172860</v>
      </c>
      <c r="D14" s="5" t="n">
        <v>156353</v>
      </c>
      <c r="E14" s="5" t="n">
        <v>117599</v>
      </c>
      <c r="F14" s="5" t="n">
        <v>48630</v>
      </c>
      <c r="G14" s="5" t="n">
        <v>143850</v>
      </c>
      <c r="H14" s="5" t="n">
        <v>170285</v>
      </c>
      <c r="I14" s="5" t="n">
        <v>158315</v>
      </c>
    </row>
    <row r="15">
      <c r="A15" s="5" t="inlineStr">
        <is>
          <t>Liabilities</t>
        </is>
      </c>
      <c r="B15" s="6" t="n"/>
      <c r="C15" s="6" t="n"/>
      <c r="D15" s="6" t="n"/>
      <c r="E15" s="6" t="n"/>
      <c r="F15" s="6" t="n"/>
      <c r="G15" s="6" t="n"/>
      <c r="H15" s="6" t="n"/>
      <c r="I15" s="6" t="n"/>
    </row>
    <row r="16">
      <c r="A16" s="6" t="inlineStr">
        <is>
          <t>Deposits by banks</t>
        </is>
      </c>
      <c r="B16" s="6" t="n">
        <v>100091</v>
      </c>
      <c r="C16" s="6" t="n">
        <v>111334</v>
      </c>
      <c r="D16" s="6" t="n">
        <v>120815</v>
      </c>
      <c r="E16" s="6" t="n">
        <v>90034</v>
      </c>
      <c r="F16" s="6" t="n">
        <v>28123</v>
      </c>
      <c r="G16" s="6" t="n">
        <v>124016</v>
      </c>
      <c r="H16" s="6" t="n">
        <v>149400</v>
      </c>
      <c r="I16" s="6" t="n">
        <v>138890</v>
      </c>
    </row>
    <row r="17">
      <c r="A17" s="6" t="inlineStr">
        <is>
          <t>Customer account deposits</t>
        </is>
      </c>
      <c r="B17" s="6" t="n">
        <v>76703</v>
      </c>
      <c r="C17" s="6" t="n">
        <v>44538</v>
      </c>
      <c r="D17" s="6" t="n">
        <v>19229</v>
      </c>
      <c r="E17" s="6" t="n">
        <v>11427</v>
      </c>
      <c r="F17" s="6" t="n">
        <v>5811</v>
      </c>
      <c r="G17" s="6" t="n">
        <v>4732</v>
      </c>
      <c r="H17" s="6" t="n">
        <v>6545</v>
      </c>
      <c r="I17" s="6" t="n">
        <v>5367</v>
      </c>
    </row>
    <row r="18">
      <c r="A18" s="6" t="inlineStr">
        <is>
          <t>Derivatives</t>
        </is>
      </c>
      <c r="B18" s="6" t="n"/>
      <c r="C18" s="6" t="n"/>
      <c r="D18" s="6" t="n">
        <v>189</v>
      </c>
      <c r="E18" s="6" t="n">
        <v>852</v>
      </c>
      <c r="F18" s="6" t="n">
        <v>86</v>
      </c>
      <c r="G18" s="6" t="n">
        <v>573</v>
      </c>
      <c r="H18" s="6" t="n"/>
      <c r="I18" s="6" t="n"/>
    </row>
    <row r="19">
      <c r="A19" s="6" t="inlineStr">
        <is>
          <t>Accruals</t>
        </is>
      </c>
      <c r="B19" s="6" t="n">
        <v>162</v>
      </c>
      <c r="C19" s="6" t="n">
        <v>258</v>
      </c>
      <c r="D19" s="6" t="n">
        <v>357</v>
      </c>
      <c r="E19" s="6" t="n">
        <v>236</v>
      </c>
      <c r="F19" s="6" t="n"/>
      <c r="G19" s="6" t="n"/>
      <c r="H19" s="6" t="n"/>
      <c r="I19" s="6" t="n"/>
    </row>
    <row r="20">
      <c r="A20" s="6" t="inlineStr">
        <is>
          <t>Other liabilities</t>
        </is>
      </c>
      <c r="B20" s="6" t="n">
        <v>2082</v>
      </c>
      <c r="C20" s="6" t="n">
        <v>973</v>
      </c>
      <c r="D20" s="6" t="n">
        <v>239</v>
      </c>
      <c r="E20" s="6" t="n">
        <v>974</v>
      </c>
      <c r="F20" s="6" t="n">
        <v>377</v>
      </c>
      <c r="G20" s="6" t="n">
        <v>401</v>
      </c>
      <c r="H20" s="6" t="n">
        <v>864</v>
      </c>
      <c r="I20" s="6" t="n">
        <v>678</v>
      </c>
    </row>
    <row r="21">
      <c r="A21" s="5" t="inlineStr">
        <is>
          <t>Current liabilities</t>
        </is>
      </c>
      <c r="B21" s="5" t="n">
        <v>179038</v>
      </c>
      <c r="C21" s="5" t="n">
        <v>157103</v>
      </c>
      <c r="D21" s="5" t="n">
        <v>140829</v>
      </c>
      <c r="E21" s="5" t="n">
        <v>103523</v>
      </c>
      <c r="F21" s="5" t="n">
        <v>34397</v>
      </c>
      <c r="G21" s="5" t="n">
        <v>129722</v>
      </c>
      <c r="H21" s="5" t="n"/>
      <c r="I21" s="5" t="n"/>
    </row>
    <row r="22">
      <c r="A22" s="6" t="inlineStr">
        <is>
          <t>Current tax</t>
        </is>
      </c>
      <c r="B22" s="6" t="n">
        <v>80</v>
      </c>
      <c r="C22" s="6" t="n">
        <v>85</v>
      </c>
      <c r="D22" s="6" t="n">
        <v>179</v>
      </c>
      <c r="E22" s="6" t="n"/>
      <c r="F22" s="6" t="n"/>
      <c r="G22" s="6" t="n"/>
      <c r="H22" s="6" t="n"/>
      <c r="I22" s="6" t="n"/>
    </row>
    <row r="23">
      <c r="A23" s="6" t="inlineStr">
        <is>
          <t>Deferred tax</t>
        </is>
      </c>
      <c r="B23" s="6" t="n">
        <v>502</v>
      </c>
      <c r="C23" s="6" t="n">
        <v>502</v>
      </c>
      <c r="D23" s="6" t="n">
        <v>534</v>
      </c>
      <c r="E23" s="6" t="n">
        <v>245</v>
      </c>
      <c r="F23" s="6" t="n">
        <v>331</v>
      </c>
      <c r="G23" s="6" t="n">
        <v>179</v>
      </c>
      <c r="H23" s="6" t="n"/>
      <c r="I23" s="6" t="n"/>
    </row>
    <row r="24">
      <c r="A24" s="5" t="inlineStr">
        <is>
          <t>Total liabilities</t>
        </is>
      </c>
      <c r="B24" s="5" t="n">
        <v>179620</v>
      </c>
      <c r="C24" s="5" t="n">
        <v>157690</v>
      </c>
      <c r="D24" s="5" t="n">
        <v>141542</v>
      </c>
      <c r="E24" s="5" t="n">
        <v>103768</v>
      </c>
      <c r="F24" s="5" t="n">
        <v>34728</v>
      </c>
      <c r="G24" s="5" t="n">
        <v>129901</v>
      </c>
      <c r="H24" s="5" t="n">
        <v>156809</v>
      </c>
      <c r="I24" s="5" t="n">
        <v>144935</v>
      </c>
    </row>
    <row r="25">
      <c r="A25" s="5" t="inlineStr">
        <is>
          <t>Equity</t>
        </is>
      </c>
      <c r="B25" s="6" t="n"/>
      <c r="C25" s="6" t="n"/>
      <c r="D25" s="6" t="n"/>
      <c r="E25" s="6" t="n"/>
      <c r="F25" s="6" t="n"/>
      <c r="G25" s="6" t="n"/>
      <c r="H25" s="6" t="n"/>
      <c r="I25" s="6" t="n"/>
    </row>
    <row r="26">
      <c r="A26" s="6" t="inlineStr">
        <is>
          <t>Share capital</t>
        </is>
      </c>
      <c r="B26" s="6" t="n">
        <v>15000</v>
      </c>
      <c r="C26" s="6" t="n">
        <v>15000</v>
      </c>
      <c r="D26" s="6" t="n">
        <v>15000</v>
      </c>
      <c r="E26" s="6" t="n">
        <v>15000</v>
      </c>
      <c r="F26" s="6" t="n">
        <v>15000</v>
      </c>
      <c r="G26" s="6" t="n">
        <v>15000</v>
      </c>
      <c r="H26" s="6" t="n">
        <v>15000</v>
      </c>
      <c r="I26" s="6" t="n">
        <v>15000</v>
      </c>
    </row>
    <row r="27">
      <c r="A27" s="6" t="inlineStr">
        <is>
          <t>Revaluation reserve</t>
        </is>
      </c>
      <c r="B27" s="6" t="n">
        <v>1136</v>
      </c>
      <c r="C27" s="6" t="n">
        <v>1136</v>
      </c>
      <c r="D27" s="6" t="n">
        <v>1104</v>
      </c>
      <c r="E27" s="6" t="n">
        <v>820</v>
      </c>
      <c r="F27" s="6" t="n">
        <v>745</v>
      </c>
      <c r="G27" s="6" t="n">
        <v>904</v>
      </c>
      <c r="H27" s="6" t="n">
        <v>408</v>
      </c>
      <c r="I27" s="6" t="n">
        <v>417</v>
      </c>
    </row>
    <row r="28">
      <c r="A28" s="6" t="inlineStr">
        <is>
          <t>Accumulated losses</t>
        </is>
      </c>
      <c r="B28" s="6" t="n">
        <v>-643</v>
      </c>
      <c r="C28" s="6" t="n">
        <v>-966</v>
      </c>
      <c r="D28" s="6" t="n">
        <v>-1293</v>
      </c>
      <c r="E28" s="6" t="n">
        <v>-1989</v>
      </c>
      <c r="F28" s="6" t="n">
        <v>-1843</v>
      </c>
      <c r="G28" s="6" t="n">
        <v>-1955</v>
      </c>
      <c r="H28" s="6" t="n">
        <v>-1932</v>
      </c>
      <c r="I28" s="6" t="n">
        <v>-2037</v>
      </c>
    </row>
    <row r="29">
      <c r="A29" s="5" t="inlineStr">
        <is>
          <t>Equity shareholders' funds</t>
        </is>
      </c>
      <c r="B29" s="5" t="n">
        <v>15493</v>
      </c>
      <c r="C29" s="5" t="n">
        <v>15170</v>
      </c>
      <c r="D29" s="5" t="n">
        <v>14811</v>
      </c>
      <c r="E29" s="5" t="n">
        <v>13831</v>
      </c>
      <c r="F29" s="5" t="n">
        <v>13902</v>
      </c>
      <c r="G29" s="5" t="n">
        <v>13949</v>
      </c>
      <c r="H29" s="5" t="n">
        <v>13476</v>
      </c>
      <c r="I29" s="5" t="n">
        <v>13380</v>
      </c>
    </row>
    <row r="30">
      <c r="A30" s="5" t="inlineStr">
        <is>
          <t>Total liabilities and equity</t>
        </is>
      </c>
      <c r="B30" s="5" t="n">
        <v>195113</v>
      </c>
      <c r="C30" s="5" t="n">
        <v>172860</v>
      </c>
      <c r="D30" s="5" t="n">
        <v>156353</v>
      </c>
      <c r="E30" s="5" t="n">
        <v>117599</v>
      </c>
      <c r="F30" s="5" t="n">
        <v>48630</v>
      </c>
      <c r="G30" s="5" t="n">
        <v>143850</v>
      </c>
      <c r="H30" s="5" t="n">
        <v>170285</v>
      </c>
      <c r="I30" s="5" t="n">
        <v>158315</v>
      </c>
    </row>
    <row r="32" ht="260" customHeight="1">
      <c r="A32"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2:I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Comprehensive Income</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8926</v>
      </c>
      <c r="C5" s="6" t="n">
        <v>9265</v>
      </c>
      <c r="D5" s="6" t="n">
        <v>6466</v>
      </c>
      <c r="E5" s="6" t="n">
        <v>2795</v>
      </c>
      <c r="F5" s="6" t="n">
        <v>1918</v>
      </c>
      <c r="G5" s="6" t="n">
        <v>1788</v>
      </c>
      <c r="H5" s="6" t="n">
        <v>2348</v>
      </c>
      <c r="I5" s="6" t="n">
        <v>1835</v>
      </c>
    </row>
    <row r="6">
      <c r="A6" s="6" t="inlineStr">
        <is>
          <t>Interest expense</t>
        </is>
      </c>
      <c r="B6" s="6" t="n">
        <v>-6758</v>
      </c>
      <c r="C6" s="6" t="n">
        <v>-6885</v>
      </c>
      <c r="D6" s="6" t="n">
        <v>-4272</v>
      </c>
      <c r="E6" s="6" t="n">
        <v>-1084</v>
      </c>
      <c r="F6" s="6" t="n">
        <v>-229</v>
      </c>
      <c r="G6" s="6" t="n">
        <v>-382</v>
      </c>
      <c r="H6" s="6" t="n">
        <v>-918</v>
      </c>
      <c r="I6" s="6" t="n">
        <v>-467</v>
      </c>
    </row>
    <row r="7">
      <c r="A7" s="5" t="inlineStr">
        <is>
          <t>Net interest income</t>
        </is>
      </c>
      <c r="B7" s="5" t="n">
        <v>2168</v>
      </c>
      <c r="C7" s="5" t="n">
        <v>2380</v>
      </c>
      <c r="D7" s="5" t="n">
        <v>2194</v>
      </c>
      <c r="E7" s="5" t="n">
        <v>1711</v>
      </c>
      <c r="F7" s="5" t="n">
        <v>1689</v>
      </c>
      <c r="G7" s="5" t="n">
        <v>1406</v>
      </c>
      <c r="H7" s="5" t="n">
        <v>1430</v>
      </c>
      <c r="I7" s="5" t="n">
        <v>1368</v>
      </c>
    </row>
    <row r="8">
      <c r="A8" s="6" t="inlineStr">
        <is>
          <t>Fees and commission income</t>
        </is>
      </c>
      <c r="B8" s="6" t="n">
        <v>885</v>
      </c>
      <c r="C8" s="6" t="n">
        <v>564</v>
      </c>
      <c r="D8" s="6" t="n">
        <v>530</v>
      </c>
      <c r="E8" s="6" t="n">
        <v>474</v>
      </c>
      <c r="F8" s="6" t="n">
        <v>361</v>
      </c>
      <c r="G8" s="6" t="n">
        <v>634</v>
      </c>
      <c r="H8" s="6" t="n">
        <v>816</v>
      </c>
      <c r="I8" s="6" t="n">
        <v>814</v>
      </c>
    </row>
    <row r="9">
      <c r="A9" s="6" t="inlineStr">
        <is>
          <t>Net gains from foreign exchange transactions</t>
        </is>
      </c>
      <c r="B9" s="6" t="n">
        <v>108</v>
      </c>
      <c r="C9" s="6" t="n">
        <v>97</v>
      </c>
      <c r="D9" s="6" t="n">
        <v>421</v>
      </c>
      <c r="E9" s="6" t="n">
        <v>193</v>
      </c>
      <c r="F9" s="6" t="n">
        <v>50</v>
      </c>
      <c r="G9" s="6" t="n">
        <v>119</v>
      </c>
      <c r="H9" s="6" t="n">
        <v>81</v>
      </c>
      <c r="I9" s="6" t="n">
        <v>119</v>
      </c>
    </row>
    <row r="10">
      <c r="A10" s="5" t="inlineStr">
        <is>
          <t>Net operating income</t>
        </is>
      </c>
      <c r="B10" s="5" t="n">
        <v>3161</v>
      </c>
      <c r="C10" s="5" t="n">
        <v>3041</v>
      </c>
      <c r="D10" s="5" t="n">
        <v>3145</v>
      </c>
      <c r="E10" s="5" t="n">
        <v>2378</v>
      </c>
      <c r="F10" s="5" t="n">
        <v>2100</v>
      </c>
      <c r="G10" s="5" t="n">
        <v>2159</v>
      </c>
      <c r="H10" s="5" t="n">
        <v>2327</v>
      </c>
      <c r="I10" s="5" t="n">
        <v>2301</v>
      </c>
    </row>
    <row r="11">
      <c r="A11" s="5" t="inlineStr">
        <is>
          <t>Operating expenses</t>
        </is>
      </c>
      <c r="B11" s="6" t="n"/>
      <c r="C11" s="6" t="n"/>
      <c r="D11" s="6" t="n"/>
      <c r="E11" s="6" t="n"/>
      <c r="F11" s="6" t="n"/>
      <c r="G11" s="6" t="n"/>
      <c r="H11" s="6" t="n"/>
      <c r="I11" s="6" t="n"/>
    </row>
    <row r="12">
      <c r="A12" s="6" t="inlineStr">
        <is>
          <t>Personnel expenses</t>
        </is>
      </c>
      <c r="B12" s="6" t="n">
        <v>-1512</v>
      </c>
      <c r="C12" s="6" t="n">
        <v>-1459</v>
      </c>
      <c r="D12" s="6" t="n">
        <v>-1302</v>
      </c>
      <c r="E12" s="6" t="n">
        <v>-1126</v>
      </c>
      <c r="F12" s="6" t="n">
        <v>-1085</v>
      </c>
      <c r="G12" s="6" t="n">
        <v>-1112</v>
      </c>
      <c r="H12" s="6" t="n"/>
      <c r="I12" s="6" t="n"/>
    </row>
    <row r="13">
      <c r="A13" s="6" t="inlineStr">
        <is>
          <t>Operational expenses</t>
        </is>
      </c>
      <c r="B13" s="6" t="n">
        <v>-1168</v>
      </c>
      <c r="C13" s="6" t="n">
        <v>-1133</v>
      </c>
      <c r="D13" s="6" t="n">
        <v>-940</v>
      </c>
      <c r="E13" s="6" t="n">
        <v>-877</v>
      </c>
      <c r="F13" s="6" t="n">
        <v>-723</v>
      </c>
      <c r="G13" s="6" t="n">
        <v>-766</v>
      </c>
      <c r="H13" s="6" t="n"/>
      <c r="I13" s="6" t="n"/>
    </row>
    <row r="14">
      <c r="A14" s="6" t="inlineStr">
        <is>
          <t>Administration expenses</t>
        </is>
      </c>
      <c r="B14" s="6" t="n"/>
      <c r="C14" s="6" t="n"/>
      <c r="D14" s="6" t="n"/>
      <c r="E14" s="6" t="n"/>
      <c r="F14" s="6" t="n"/>
      <c r="G14" s="6" t="n"/>
      <c r="H14" s="6" t="n">
        <v>-2065</v>
      </c>
      <c r="I14" s="6" t="n">
        <v>-2103</v>
      </c>
    </row>
    <row r="15">
      <c r="A15" s="6" t="inlineStr">
        <is>
          <t>Depreciation</t>
        </is>
      </c>
      <c r="B15" s="6" t="n">
        <v>-84</v>
      </c>
      <c r="C15" s="6" t="n">
        <v>-120</v>
      </c>
      <c r="D15" s="6" t="n">
        <v>-116</v>
      </c>
      <c r="E15" s="6" t="n">
        <v>-106</v>
      </c>
      <c r="F15" s="6" t="n">
        <v>-107</v>
      </c>
      <c r="G15" s="6" t="n">
        <v>-97</v>
      </c>
      <c r="H15" s="6" t="n">
        <v>-57</v>
      </c>
      <c r="I15" s="6" t="n">
        <v>-56</v>
      </c>
    </row>
    <row r="16">
      <c r="A16" s="6" t="inlineStr">
        <is>
          <t>Amortisation</t>
        </is>
      </c>
      <c r="B16" s="6" t="n">
        <v>-14</v>
      </c>
      <c r="C16" s="6" t="n">
        <v>-10</v>
      </c>
      <c r="D16" s="6" t="n">
        <v>-9</v>
      </c>
      <c r="E16" s="6" t="n">
        <v>-11</v>
      </c>
      <c r="F16" s="6" t="n">
        <v>-12</v>
      </c>
      <c r="G16" s="6" t="n">
        <v>-14</v>
      </c>
      <c r="H16" s="6" t="n">
        <v>-15</v>
      </c>
      <c r="I16" s="6" t="n">
        <v>-44</v>
      </c>
    </row>
    <row r="17">
      <c r="A17" s="6" t="inlineStr">
        <is>
          <t>Impairment (charge)/gain on credit exposure</t>
        </is>
      </c>
      <c r="B17" s="6" t="n">
        <v>-15</v>
      </c>
      <c r="C17" s="6" t="n">
        <v>93</v>
      </c>
      <c r="D17" s="6" t="n">
        <v>290</v>
      </c>
      <c r="E17" s="6" t="n">
        <v>-405</v>
      </c>
      <c r="F17" s="6" t="n">
        <v>-59</v>
      </c>
      <c r="G17" s="6" t="n">
        <v>-196</v>
      </c>
      <c r="H17" s="6" t="n">
        <v>-82</v>
      </c>
      <c r="I17" s="6" t="n">
        <v>-13</v>
      </c>
    </row>
    <row r="18">
      <c r="A18" s="5" t="inlineStr">
        <is>
          <t>Total operating expenses</t>
        </is>
      </c>
      <c r="B18" s="5" t="n">
        <v>-2793</v>
      </c>
      <c r="C18" s="5" t="n">
        <v>-2629</v>
      </c>
      <c r="D18" s="5" t="n">
        <v>-2077</v>
      </c>
      <c r="E18" s="5" t="n">
        <v>-2525</v>
      </c>
      <c r="F18" s="5" t="n">
        <v>-1986</v>
      </c>
      <c r="G18" s="5" t="n">
        <v>-2185</v>
      </c>
      <c r="H18" s="5" t="n">
        <v>-2219</v>
      </c>
      <c r="I18" s="5" t="n">
        <v>-2216</v>
      </c>
    </row>
    <row r="19">
      <c r="A19" s="5" t="inlineStr">
        <is>
          <t>Profit/(loss) from ordinary activities before tax</t>
        </is>
      </c>
      <c r="B19" s="5" t="n">
        <v>368</v>
      </c>
      <c r="C19" s="5" t="n">
        <v>412</v>
      </c>
      <c r="D19" s="5" t="n">
        <v>1068</v>
      </c>
      <c r="E19" s="5" t="n">
        <v>-147</v>
      </c>
      <c r="F19" s="5" t="n">
        <v>114</v>
      </c>
      <c r="G19" s="5" t="n">
        <v>-26</v>
      </c>
      <c r="H19" s="5" t="n">
        <v>108</v>
      </c>
      <c r="I19" s="5" t="n">
        <v>85</v>
      </c>
    </row>
    <row r="20">
      <c r="A20" s="6" t="inlineStr">
        <is>
          <t>Tax charge/(credit) on profit</t>
        </is>
      </c>
      <c r="B20" s="6" t="n">
        <v>-45</v>
      </c>
      <c r="C20" s="6" t="n">
        <v>-85</v>
      </c>
      <c r="D20" s="6" t="n">
        <v>-179</v>
      </c>
      <c r="E20" s="6" t="n">
        <v>1</v>
      </c>
      <c r="F20" s="6" t="n">
        <v>-2</v>
      </c>
      <c r="G20" s="6" t="n">
        <v>3</v>
      </c>
      <c r="H20" s="6" t="n">
        <v>-3</v>
      </c>
      <c r="I20" s="6" t="n">
        <v>0</v>
      </c>
    </row>
    <row r="21">
      <c r="A21" s="5" t="inlineStr">
        <is>
          <t>Profit/(loss) from ordinary activities after tax</t>
        </is>
      </c>
      <c r="B21" s="5" t="n">
        <v>323</v>
      </c>
      <c r="C21" s="5" t="n">
        <v>327</v>
      </c>
      <c r="D21" s="5" t="n">
        <v>889</v>
      </c>
      <c r="E21" s="5" t="n">
        <v>-146</v>
      </c>
      <c r="F21" s="5" t="n">
        <v>112</v>
      </c>
      <c r="G21" s="5" t="n">
        <v>-23</v>
      </c>
      <c r="H21" s="5" t="n">
        <v>105</v>
      </c>
      <c r="I21" s="5" t="n">
        <v>85</v>
      </c>
    </row>
    <row r="22">
      <c r="A22" s="5" t="inlineStr">
        <is>
          <t>Other comprehensive income</t>
        </is>
      </c>
      <c r="B22" s="6" t="n"/>
      <c r="C22" s="6" t="n"/>
      <c r="D22" s="6" t="n"/>
      <c r="E22" s="6" t="n"/>
      <c r="F22" s="6" t="n"/>
      <c r="G22" s="6" t="n"/>
      <c r="H22" s="6" t="n"/>
      <c r="I22" s="6" t="n"/>
    </row>
    <row r="23">
      <c r="A23" s="6" t="inlineStr">
        <is>
          <t>Fair value gain on revaluation of property</t>
        </is>
      </c>
      <c r="B23" s="6" t="n"/>
      <c r="C23" s="6" t="n"/>
      <c r="D23" s="6" t="n">
        <v>574</v>
      </c>
      <c r="E23" s="6" t="n"/>
      <c r="F23" s="6" t="n"/>
      <c r="G23" s="6" t="n"/>
      <c r="H23" s="6" t="n"/>
      <c r="I23" s="6" t="n"/>
    </row>
    <row r="24">
      <c r="A24" s="6" t="inlineStr">
        <is>
          <t>Deferred tax on revaluation</t>
        </is>
      </c>
      <c r="B24" s="6" t="n"/>
      <c r="C24" s="6" t="n">
        <v>32</v>
      </c>
      <c r="D24" s="6" t="n">
        <v>-290</v>
      </c>
      <c r="E24" s="6" t="n"/>
      <c r="F24" s="6" t="n"/>
      <c r="G24" s="6" t="n"/>
      <c r="H24" s="6" t="n"/>
      <c r="I24" s="6" t="n"/>
    </row>
    <row r="25">
      <c r="A25" s="5" t="inlineStr">
        <is>
          <t>Total other comprehensive income</t>
        </is>
      </c>
      <c r="B25" s="5" t="n">
        <v>0</v>
      </c>
      <c r="C25" s="5" t="n">
        <v>32</v>
      </c>
      <c r="D25" s="5" t="n">
        <v>284</v>
      </c>
      <c r="E25" s="5" t="n">
        <v>0</v>
      </c>
      <c r="F25" s="5" t="n">
        <v>0</v>
      </c>
      <c r="G25" s="5" t="n">
        <v>0</v>
      </c>
      <c r="H25" s="5" t="n">
        <v>0</v>
      </c>
      <c r="I25" s="5" t="n">
        <v>0</v>
      </c>
    </row>
    <row r="26">
      <c r="A26" s="5" t="inlineStr">
        <is>
          <t>Total comprehensive income/(loss) for the year</t>
        </is>
      </c>
      <c r="B26" s="5" t="n">
        <v>323</v>
      </c>
      <c r="C26" s="5" t="n">
        <v>359</v>
      </c>
      <c r="D26" s="5" t="n">
        <v>1173</v>
      </c>
      <c r="E26" s="5" t="n">
        <v>-146</v>
      </c>
      <c r="F26" s="5" t="n">
        <v>112</v>
      </c>
      <c r="G26" s="5" t="n">
        <v>-23</v>
      </c>
      <c r="H26" s="5" t="n">
        <v>105</v>
      </c>
      <c r="I26" s="5" t="n">
        <v>85</v>
      </c>
    </row>
    <row r="28" ht="260" customHeight="1">
      <c r="A28"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4"/>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Bank of Ceylon (UK) Limited — Statement of Changes to Equity</t>
        </is>
      </c>
    </row>
    <row r="2">
      <c r="A2" s="2" t="inlineStr">
        <is>
          <t>Bank of Ceylon (UK) Limited (own entity basis), £'000, chronological (oldest to newest)</t>
        </is>
      </c>
    </row>
    <row r="3">
      <c r="A3" s="4" t="inlineStr">
        <is>
          <t>Movement</t>
        </is>
      </c>
      <c r="B3" s="4" t="inlineStr">
        <is>
          <t>Share capital</t>
        </is>
      </c>
      <c r="C3" s="4" t="inlineStr">
        <is>
          <t>Accumulated losses</t>
        </is>
      </c>
      <c r="D3" s="4" t="inlineStr">
        <is>
          <t>Revaluation reserve</t>
        </is>
      </c>
      <c r="E3" s="4" t="inlineStr">
        <is>
          <t>Total equity</t>
        </is>
      </c>
    </row>
    <row r="4">
      <c r="A4" s="5" t="inlineStr">
        <is>
          <t>Balance at 31 December 2017</t>
        </is>
      </c>
      <c r="B4" s="5" t="n">
        <v>15000</v>
      </c>
      <c r="C4" s="5" t="n">
        <v>-2087</v>
      </c>
      <c r="D4" s="5" t="n">
        <v>426</v>
      </c>
      <c r="E4" s="5" t="n">
        <v>13339</v>
      </c>
    </row>
    <row r="5">
      <c r="A5" s="6" t="inlineStr">
        <is>
          <t>Adjustment on adoption of IFRS 9</t>
        </is>
      </c>
      <c r="B5" s="6" t="n"/>
      <c r="C5" s="6" t="n">
        <v>-35</v>
      </c>
      <c r="D5" s="6" t="n"/>
      <c r="E5" s="6" t="n">
        <v>-35</v>
      </c>
    </row>
    <row r="6">
      <c r="A6" s="5" t="inlineStr">
        <is>
          <t>Balance at 1 January 2018</t>
        </is>
      </c>
      <c r="B6" s="5" t="n">
        <v>15000</v>
      </c>
      <c r="C6" s="5" t="n">
        <v>-2122</v>
      </c>
      <c r="D6" s="5" t="n">
        <v>426</v>
      </c>
      <c r="E6" s="5" t="n">
        <v>13304</v>
      </c>
    </row>
    <row r="7">
      <c r="A7" s="6" t="inlineStr">
        <is>
          <t>Profit for the year</t>
        </is>
      </c>
      <c r="B7" s="6" t="n"/>
      <c r="C7" s="6" t="n">
        <v>85</v>
      </c>
      <c r="D7" s="6" t="n"/>
      <c r="E7" s="6" t="n">
        <v>85</v>
      </c>
    </row>
    <row r="8">
      <c r="A8" s="6" t="inlineStr">
        <is>
          <t>Revaluation reserve movement</t>
        </is>
      </c>
      <c r="B8" s="6" t="n"/>
      <c r="C8" s="6" t="n"/>
      <c r="D8" s="6" t="n">
        <v>-9</v>
      </c>
      <c r="E8" s="6" t="n">
        <v>-9</v>
      </c>
    </row>
    <row r="9">
      <c r="A9" s="5" t="inlineStr">
        <is>
          <t>Balance at 31 December 2018</t>
        </is>
      </c>
      <c r="B9" s="5" t="n">
        <v>15000</v>
      </c>
      <c r="C9" s="5" t="n">
        <v>-2037</v>
      </c>
      <c r="D9" s="5" t="n">
        <v>417</v>
      </c>
      <c r="E9" s="5" t="n">
        <v>13380</v>
      </c>
    </row>
    <row r="10">
      <c r="A10" s="6" t="inlineStr">
        <is>
          <t>Profit for the year</t>
        </is>
      </c>
      <c r="B10" s="6" t="n"/>
      <c r="C10" s="6" t="n">
        <v>105</v>
      </c>
      <c r="D10" s="6" t="n"/>
      <c r="E10" s="6" t="n">
        <v>105</v>
      </c>
    </row>
    <row r="11">
      <c r="A11" s="6" t="inlineStr">
        <is>
          <t>Revaluation reserve movement</t>
        </is>
      </c>
      <c r="B11" s="6" t="n"/>
      <c r="C11" s="6" t="n"/>
      <c r="D11" s="6" t="n">
        <v>-9</v>
      </c>
      <c r="E11" s="6" t="n">
        <v>-9</v>
      </c>
    </row>
    <row r="12">
      <c r="A12" s="5" t="inlineStr">
        <is>
          <t>Balance at 31 December 2019</t>
        </is>
      </c>
      <c r="B12" s="5" t="n">
        <v>15000</v>
      </c>
      <c r="C12" s="5" t="n">
        <v>-1932</v>
      </c>
      <c r="D12" s="5" t="n">
        <v>408</v>
      </c>
      <c r="E12" s="5" t="n">
        <v>13476</v>
      </c>
    </row>
    <row r="13">
      <c r="A13" s="6" t="inlineStr">
        <is>
          <t>Prior year restatement - revaluation of office building, net of deferred tax</t>
        </is>
      </c>
      <c r="B13" s="6" t="n"/>
      <c r="C13" s="6" t="n"/>
      <c r="D13" s="6" t="n">
        <v>506</v>
      </c>
      <c r="E13" s="6" t="n">
        <v>506</v>
      </c>
    </row>
    <row r="14">
      <c r="A14" s="5" t="inlineStr">
        <is>
          <t>Balance at 1 January 2020 (as restated)</t>
        </is>
      </c>
      <c r="B14" s="5" t="n">
        <v>15000</v>
      </c>
      <c r="C14" s="5" t="n">
        <v>-1932</v>
      </c>
      <c r="D14" s="5" t="n">
        <v>914</v>
      </c>
      <c r="E14" s="5" t="n">
        <v>13982</v>
      </c>
    </row>
    <row r="15">
      <c r="A15" s="6" t="inlineStr">
        <is>
          <t>Loss for the year</t>
        </is>
      </c>
      <c r="B15" s="6" t="n"/>
      <c r="C15" s="6" t="n">
        <v>-23</v>
      </c>
      <c r="D15" s="6" t="n"/>
      <c r="E15" s="6" t="n">
        <v>-23</v>
      </c>
    </row>
    <row r="16">
      <c r="A16" s="6" t="inlineStr">
        <is>
          <t>Revaluation reserve movement</t>
        </is>
      </c>
      <c r="B16" s="6" t="n"/>
      <c r="C16" s="6" t="n"/>
      <c r="D16" s="6" t="n">
        <v>-10</v>
      </c>
      <c r="E16" s="6" t="n">
        <v>-10</v>
      </c>
    </row>
    <row r="17">
      <c r="A17" s="5" t="inlineStr">
        <is>
          <t>Balance at 31 December 2020</t>
        </is>
      </c>
      <c r="B17" s="5" t="n">
        <v>15000</v>
      </c>
      <c r="C17" s="5" t="n">
        <v>-1955</v>
      </c>
      <c r="D17" s="5" t="n">
        <v>904</v>
      </c>
      <c r="E17" s="5" t="n">
        <v>13949</v>
      </c>
    </row>
    <row r="18">
      <c r="A18" s="6" t="inlineStr">
        <is>
          <t>Total comprehensive income</t>
        </is>
      </c>
      <c r="B18" s="6" t="n"/>
      <c r="C18" s="6" t="n">
        <v>112</v>
      </c>
      <c r="D18" s="6" t="n"/>
      <c r="E18" s="6" t="n">
        <v>112</v>
      </c>
    </row>
    <row r="19">
      <c r="A19" s="6" t="inlineStr">
        <is>
          <t>Revaluation reserve movement</t>
        </is>
      </c>
      <c r="B19" s="6" t="n"/>
      <c r="C19" s="6" t="n"/>
      <c r="D19" s="6" t="n">
        <v>-159</v>
      </c>
      <c r="E19" s="6" t="n">
        <v>-159</v>
      </c>
    </row>
    <row r="20">
      <c r="A20" s="5" t="inlineStr">
        <is>
          <t>Balance at 31 December 2021</t>
        </is>
      </c>
      <c r="B20" s="5" t="n">
        <v>15000</v>
      </c>
      <c r="C20" s="5" t="n">
        <v>-1843</v>
      </c>
      <c r="D20" s="5" t="n">
        <v>745</v>
      </c>
      <c r="E20" s="5" t="n">
        <v>13902</v>
      </c>
    </row>
    <row r="21">
      <c r="A21" s="6" t="inlineStr">
        <is>
          <t>Total comprehensive income</t>
        </is>
      </c>
      <c r="B21" s="6" t="n"/>
      <c r="C21" s="6" t="n">
        <v>-146</v>
      </c>
      <c r="D21" s="6" t="n"/>
      <c r="E21" s="6" t="n">
        <v>-146</v>
      </c>
    </row>
    <row r="22">
      <c r="A22" s="6" t="inlineStr">
        <is>
          <t>Revaluation reserve movement</t>
        </is>
      </c>
      <c r="B22" s="6" t="n"/>
      <c r="C22" s="6" t="n"/>
      <c r="D22" s="6" t="n">
        <v>75</v>
      </c>
      <c r="E22" s="6" t="n">
        <v>75</v>
      </c>
    </row>
    <row r="23">
      <c r="A23" s="5" t="inlineStr">
        <is>
          <t>Balance at 31 December 2022</t>
        </is>
      </c>
      <c r="B23" s="5" t="n">
        <v>15000</v>
      </c>
      <c r="C23" s="5" t="n">
        <v>-1989</v>
      </c>
      <c r="D23" s="5" t="n">
        <v>820</v>
      </c>
      <c r="E23" s="5" t="n">
        <v>13831</v>
      </c>
    </row>
    <row r="24">
      <c r="A24" s="6" t="inlineStr">
        <is>
          <t>Profit for the year</t>
        </is>
      </c>
      <c r="B24" s="6" t="n"/>
      <c r="C24" s="6" t="n">
        <v>889</v>
      </c>
      <c r="D24" s="6" t="n"/>
      <c r="E24" s="6" t="n">
        <v>889</v>
      </c>
    </row>
    <row r="25">
      <c r="A25" s="6" t="inlineStr">
        <is>
          <t>Retained earnings adjustment</t>
        </is>
      </c>
      <c r="B25" s="6" t="n"/>
      <c r="C25" s="6" t="n">
        <v>-193</v>
      </c>
      <c r="D25" s="6" t="n"/>
      <c r="E25" s="6" t="n">
        <v>-193</v>
      </c>
    </row>
    <row r="26">
      <c r="A26" s="6" t="inlineStr">
        <is>
          <t>Revaluation reserve movement</t>
        </is>
      </c>
      <c r="B26" s="6" t="n"/>
      <c r="C26" s="6" t="n"/>
      <c r="D26" s="6" t="n">
        <v>284</v>
      </c>
      <c r="E26" s="6" t="n">
        <v>284</v>
      </c>
    </row>
    <row r="27">
      <c r="A27" s="5" t="inlineStr">
        <is>
          <t>Balance at 31 December 2023</t>
        </is>
      </c>
      <c r="B27" s="5" t="n">
        <v>15000</v>
      </c>
      <c r="C27" s="5" t="n">
        <v>-1293</v>
      </c>
      <c r="D27" s="5" t="n">
        <v>1104</v>
      </c>
      <c r="E27" s="5" t="n">
        <v>14811</v>
      </c>
    </row>
    <row r="28">
      <c r="A28" s="6" t="inlineStr">
        <is>
          <t>Profit for the year</t>
        </is>
      </c>
      <c r="B28" s="6" t="n"/>
      <c r="C28" s="6" t="n">
        <v>327</v>
      </c>
      <c r="D28" s="6" t="n"/>
      <c r="E28" s="6" t="n">
        <v>327</v>
      </c>
    </row>
    <row r="29">
      <c r="A29" s="6" t="inlineStr">
        <is>
          <t>Other comprehensive income</t>
        </is>
      </c>
      <c r="B29" s="6" t="n"/>
      <c r="C29" s="6" t="n"/>
      <c r="D29" s="6" t="n">
        <v>32</v>
      </c>
      <c r="E29" s="6" t="n">
        <v>32</v>
      </c>
    </row>
    <row r="30">
      <c r="A30" s="5" t="inlineStr">
        <is>
          <t>Balance at 31 December 2024</t>
        </is>
      </c>
      <c r="B30" s="5" t="n">
        <v>15000</v>
      </c>
      <c r="C30" s="5" t="n">
        <v>-966</v>
      </c>
      <c r="D30" s="5" t="n">
        <v>1136</v>
      </c>
      <c r="E30" s="5" t="n">
        <v>15170</v>
      </c>
    </row>
    <row r="31">
      <c r="A31" s="6" t="inlineStr">
        <is>
          <t>Profit for the year</t>
        </is>
      </c>
      <c r="B31" s="6" t="n"/>
      <c r="C31" s="6" t="n">
        <v>323</v>
      </c>
      <c r="D31" s="6" t="n"/>
      <c r="E31" s="6" t="n">
        <v>323</v>
      </c>
    </row>
    <row r="32">
      <c r="A32" s="5" t="inlineStr">
        <is>
          <t>Balance at 31 December 2025</t>
        </is>
      </c>
      <c r="B32" s="5" t="n">
        <v>15000</v>
      </c>
      <c r="C32" s="5" t="n">
        <v>-643</v>
      </c>
      <c r="D32" s="5" t="n">
        <v>1136</v>
      </c>
      <c r="E32" s="5" t="n">
        <v>15493</v>
      </c>
    </row>
    <row r="34" ht="260" customHeight="1">
      <c r="A34" s="8" t="inlineStr">
        <is>
          <t>Sources - Bank of Ceylon (UK) Limited's own Statement of Financial Position / Statement of Comprehensive Income / Statement of Changes to Equity, £'000, as filed at Companies House (all 6 filings are fully scanned/image-only - visually transcribed by rendering each page to PNG at 150-200dpi and reading it directly, the same OCR-equivalent workflow used elsewhere in this project for image-only statutory filings, cross-checked against a tesseract OCR pass):
FY2025 &amp; FY2024: Full accounts made up to 31 December 2025, pp.24-26 - https://find-and-update.company-information.service.gov.uk/company/06736473/filing-history/MzUyMjY1MjQxM2FkaXF6a2N4/document?format=pdf&amp;download=0
FY2023 &amp; FY2022: Full accounts made up to 31 December 2023, pp.39-41,57 (Note 15) - https://find-and-update.company-information.service.gov.uk/company/06736473/filing-history/MzQyMTM2NzE0MWFkaXF6a2N4/document?format=pdf&amp;download=0
FY2021 (&amp; FY2020 comparative, not used): Full accounts made up to 31 December 2021, pp.26-28,43 (Note 14) - https://find-and-update.company-information.service.gov.uk/company/06736473/filing-history/MzMzODIzNzc0NWFkaXF6a2N4/document?format=pdf&amp;download=0
FY2020 (own year, as originally filed) &amp; FY2019 restated comparative: Full accounts made up to 31 December 2020, pp.28-30 - https://find-and-update.company-information.service.gov.uk/company/06736473/filing-history/MzMwNDA2MDQ0MmFkaXF6a2N4/document?format=pdf&amp;download=0
FY2019 (own year, as originally published) &amp; FY2018 comparative: Full accounts made up to 31 December 2019, pp.28-30,42 (Note 15) - https://find-and-update.company-information.service.gov.uk/company/06736473/filing-history/MzI2MzgzMDIxNWFkaXF6a2N4/document?format=pdf&amp;download=0
FY2018 (own year, as originally published) &amp; FY2017 comparative: Full accounts made up to 31 December 2018, pp.23-26,38 (Note 16) - https://find-and-update.company-information.service.gov.uk/company/06736473/filing-history/MzIzMDcwOTM1MGFkaXF6a2N4/document?format=pdf&amp;download=0
PRESENTATION NOTE: line items are not fully consistent year to year in these filings - Derivatives (assets and liabilities) appear as a separate line in the FY2020-FY2023 filings (introduced in FY2020, per that filing's own Notes 20a/20b/17a/17b), not FY2018/FY2019/FY2024/FY2025 (likely folded into Other assets/Other liabilities those years, not stated explicitly); Prepayments and accrued income and Accruals are separate lines FY2022-FY2025 but not disclosed separately FY2018-FY2021 (folded into Other assets/Other liabilities); Current tax is a separate line FY2023-FY2025 only; Deferred tax is a separate liability line FY2020-FY2025 but not FY2018/FY2019 (immaterial/not applicable those years - no deferred tax asset or liability recognised per Note 13 of the FY2019 filing). None of this affects Total assets/Total liabilities/Total equity, which tie out exactly every year.
STRUCTURAL BREAK (P&amp;L, FY2020 boundary): the FY2018 and FY2019 filings present operating expenses as a single 'Administration expenses' line (plus separately-disclosed Depreciation/Amortisation/ECL provisioning); from FY2020 on, this is split into 'Personnel expenses' and 'Operational expenses' as two separate lines. Both are genuine, not a transcription choice - reproduced as each source discloses; the 'Administration expenses' line is populated only for FY2018/FY2019, and 'Personnel expenses'/'Operational expenses' only from FY2020 on.
DATA CONSISTENCY NOTE: the FY2025 filing's own SOCE opening balance for 1 January 2024 (15,000/(1,293)/1,104/14,811) ties out exactly to the FY2023 filing's own closing balance for 31 December 2023, and similarly FY2023's opening 1 January 2022 balance (15,000/(1,989)/820/13,831) via the FY2023 filing itself, and FY2021's closing 31 December 2021 balance (15,000/(1,843)/745/13,902) matches the FY2023 filing's own '1 January 2022' opening row exactly, and FY2020's closing 31 December 2020 balance (15,000/(1,955)/904/13,949) matches FY2021's own '1 January 2021' opening row exactly, and FY2018's own filing chains correctly through FY2019's own filing (FY2018 close 15,000/(2,037)/417/13,380 = FY2019's own '1 January 2019' opening row) - full chain verified across 6 source documents EXCEPT at the FY2019/FY2020 boundary, where a genuine restatement breaks it (see below).
RESTATEMENT FLAGGED (FY2019/FY2020 boundary): the FY2020 filing's own Statement of Changes to Equity opens with 'Equity shareholder's funds 1 January 2020' of 15,000/(1,932)/914/13,982 - the revaluation reserve (914) and total equity (13,982) do NOT match FY2019's own originally-published 31 December 2019 closing balance (15,000/(1,932)/408/13,476, as filed a year earlier). The FY2020 filing explains this directly: 'Prior year restatement incorporates the revaluation surplus of the Bank's office building. The valuation was carried out during February 2020... The amount shown under revaluation reserves in 2019 is the value net of deferred tax liability' (revaluation reserve +506 net of the FY2020 P&amp;L's own disclosed 'Fair value gain on valuation of property' £685k less 'Deferred tax liability' £(179)k). This is a genuine one-off prior-year restatement, not a transcription error. This workbook uses each year's own originally-published closing figures for FY2018/FY2019 (per that year's own filing) and reproduces the restatement explicitly as a bridging row on the Statement of Changes in Equity sheet, rather than silently editing FY2019's own figures or silently absorbing the break.
P&amp;L NOTE: the FY2023 filing's Statement of Changes to Equity includes a 'Retained earnings Adjustment' of £(193)k for FY2023 that is NOT part of that year's Statement of Comprehensive Income (which shows Total comprehensive income of £1,173k) - this is a genuine one-off equity adjustment outside the P&amp;L, not a transcription error; it is captured in the Overview's equity bridge as part of 'Other movements, net'. Similarly, FY2018's, FY2019's, FY2021's and FY2022's Revaluation reserve movements ((9), (9), (159) and 75 respectively) bypass the P&amp;L's Other Comprehensive Income section entirely in the source document and are booked directly to equity via the Statement of Changes to Equity - reproduced as disclosed. FY2018 also carries a £(35)k 'Adjustment on adoption of IFRS 9' at 1 January 2018, likewise outside the P&amp;L.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34:E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Statement of Cash Flows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Cash flows from operating activities</t>
        </is>
      </c>
      <c r="B4" s="6" t="n"/>
      <c r="C4" s="6" t="n"/>
      <c r="D4" s="6" t="n"/>
      <c r="E4" s="6" t="n"/>
      <c r="F4" s="6" t="n"/>
      <c r="G4" s="6" t="n"/>
      <c r="H4" s="6" t="n"/>
      <c r="I4" s="6" t="n"/>
    </row>
    <row r="5">
      <c r="A5" s="6" t="inlineStr">
        <is>
          <t>Profit/(loss) before tax</t>
        </is>
      </c>
      <c r="B5" s="6" t="n">
        <v>368</v>
      </c>
      <c r="C5" s="6" t="n">
        <v>412</v>
      </c>
      <c r="D5" s="6" t="n">
        <v>1068</v>
      </c>
      <c r="E5" s="6" t="n">
        <v>-147</v>
      </c>
      <c r="F5" s="6" t="n">
        <v>114</v>
      </c>
      <c r="G5" s="6" t="n">
        <v>-26</v>
      </c>
      <c r="H5" s="6" t="n">
        <v>108</v>
      </c>
      <c r="I5" s="6" t="n">
        <v>85</v>
      </c>
    </row>
    <row r="6">
      <c r="A6" s="6" t="inlineStr">
        <is>
          <t>Depreciation of property, plant and equipment</t>
        </is>
      </c>
      <c r="B6" s="6" t="n">
        <v>84</v>
      </c>
      <c r="C6" s="6" t="n">
        <v>120</v>
      </c>
      <c r="D6" s="6" t="n">
        <v>116</v>
      </c>
      <c r="E6" s="6" t="n">
        <v>106</v>
      </c>
      <c r="F6" s="6" t="n">
        <v>107</v>
      </c>
      <c r="G6" s="6" t="n">
        <v>97</v>
      </c>
      <c r="H6" s="6" t="n">
        <v>57</v>
      </c>
      <c r="I6" s="6" t="n">
        <v>56</v>
      </c>
    </row>
    <row r="7">
      <c r="A7" s="6" t="inlineStr">
        <is>
          <t>Amortisation of intangible assets</t>
        </is>
      </c>
      <c r="B7" s="6" t="n">
        <v>14</v>
      </c>
      <c r="C7" s="6" t="n">
        <v>10</v>
      </c>
      <c r="D7" s="6" t="n">
        <v>9</v>
      </c>
      <c r="E7" s="6" t="n">
        <v>11</v>
      </c>
      <c r="F7" s="6" t="n">
        <v>12</v>
      </c>
      <c r="G7" s="6" t="n">
        <v>14</v>
      </c>
      <c r="H7" s="6" t="n">
        <v>15</v>
      </c>
      <c r="I7" s="6" t="n">
        <v>44</v>
      </c>
    </row>
    <row r="8">
      <c r="A8" s="6" t="inlineStr">
        <is>
          <t>Impairment charge/(gain) on loans</t>
        </is>
      </c>
      <c r="B8" s="6" t="n">
        <v>15</v>
      </c>
      <c r="C8" s="6" t="n">
        <v>-431</v>
      </c>
      <c r="D8" s="6" t="n">
        <v>-290</v>
      </c>
      <c r="E8" s="6" t="n">
        <v>392</v>
      </c>
      <c r="F8" s="6" t="n">
        <v>59</v>
      </c>
      <c r="G8" s="6" t="n">
        <v>196</v>
      </c>
      <c r="H8" s="6" t="n">
        <v>82</v>
      </c>
      <c r="I8" s="6" t="n">
        <v>13</v>
      </c>
    </row>
    <row r="9">
      <c r="A9" s="6" t="inlineStr">
        <is>
          <t>Loans to customers / Loans and advances to customers</t>
        </is>
      </c>
      <c r="B9" s="6" t="n">
        <v>-19255</v>
      </c>
      <c r="C9" s="6" t="n">
        <v>-22782</v>
      </c>
      <c r="D9" s="6" t="n">
        <v>-15946</v>
      </c>
      <c r="E9" s="6" t="n">
        <v>1260</v>
      </c>
      <c r="F9" s="6" t="n">
        <v>1001</v>
      </c>
      <c r="G9" s="6" t="n">
        <v>-2725</v>
      </c>
      <c r="H9" s="6" t="n">
        <v>-4869</v>
      </c>
      <c r="I9" s="6" t="n">
        <v>784</v>
      </c>
    </row>
    <row r="10">
      <c r="A10" s="6" t="inlineStr">
        <is>
          <t>Financial instruments (assets) / Investments</t>
        </is>
      </c>
      <c r="B10" s="6" t="n">
        <v>5370</v>
      </c>
      <c r="C10" s="6" t="n">
        <v>-7861</v>
      </c>
      <c r="D10" s="6" t="n">
        <v>6867</v>
      </c>
      <c r="E10" s="6" t="n">
        <v>13513</v>
      </c>
      <c r="F10" s="6" t="n">
        <v>1760</v>
      </c>
      <c r="G10" s="6" t="n">
        <v>1440</v>
      </c>
      <c r="H10" s="6" t="n">
        <v>-156</v>
      </c>
      <c r="I10" s="6" t="n">
        <v>755</v>
      </c>
    </row>
    <row r="11">
      <c r="A11" s="6" t="inlineStr">
        <is>
          <t>Other receivables / other assets and derivatives</t>
        </is>
      </c>
      <c r="B11" s="6" t="n">
        <v>-84</v>
      </c>
      <c r="C11" s="6" t="n">
        <v>14</v>
      </c>
      <c r="D11" s="6" t="n">
        <v>-68</v>
      </c>
      <c r="E11" s="6" t="n">
        <v>-1112</v>
      </c>
      <c r="F11" s="6" t="n">
        <v>761</v>
      </c>
      <c r="G11" s="6" t="n">
        <v>-304</v>
      </c>
      <c r="H11" s="6" t="n">
        <v>322</v>
      </c>
      <c r="I11" s="6" t="n">
        <v>-275</v>
      </c>
    </row>
    <row r="12">
      <c r="A12" s="6" t="inlineStr">
        <is>
          <t>Loans and advances to banks</t>
        </is>
      </c>
      <c r="B12" s="6" t="n"/>
      <c r="C12" s="6" t="n"/>
      <c r="D12" s="6" t="n"/>
      <c r="E12" s="6" t="n"/>
      <c r="F12" s="6" t="n">
        <v>92438</v>
      </c>
      <c r="G12" s="6" t="n">
        <v>30286</v>
      </c>
      <c r="H12" s="6" t="n">
        <v>-7409</v>
      </c>
      <c r="I12" s="6" t="n">
        <v>-60541</v>
      </c>
    </row>
    <row r="13">
      <c r="A13" s="6" t="inlineStr">
        <is>
          <t>Retail deposits / customer accounts</t>
        </is>
      </c>
      <c r="B13" s="6" t="n">
        <v>32166</v>
      </c>
      <c r="C13" s="6" t="n">
        <v>25309</v>
      </c>
      <c r="D13" s="6" t="n">
        <v>7802</v>
      </c>
      <c r="E13" s="6" t="n">
        <v>5616</v>
      </c>
      <c r="F13" s="6" t="n">
        <v>1079</v>
      </c>
      <c r="G13" s="6" t="n">
        <v>-1813</v>
      </c>
      <c r="H13" s="6" t="n">
        <v>1178</v>
      </c>
      <c r="I13" s="6" t="n">
        <v>653</v>
      </c>
    </row>
    <row r="14">
      <c r="A14" s="6" t="inlineStr">
        <is>
          <t>Financial instruments (liabilities) / deposits by bank</t>
        </is>
      </c>
      <c r="B14" s="6" t="n">
        <v>-11243</v>
      </c>
      <c r="C14" s="6" t="n">
        <v>-9670</v>
      </c>
      <c r="D14" s="6" t="n">
        <v>30118</v>
      </c>
      <c r="E14" s="6" t="n">
        <v>61911</v>
      </c>
      <c r="F14" s="6" t="n">
        <v>-95893</v>
      </c>
      <c r="G14" s="6" t="n">
        <v>-25384</v>
      </c>
      <c r="H14" s="6" t="n">
        <v>10510</v>
      </c>
      <c r="I14" s="6" t="n">
        <v>58056</v>
      </c>
    </row>
    <row r="15">
      <c r="A15" s="6" t="inlineStr">
        <is>
          <t>Other liabilities and derivatives</t>
        </is>
      </c>
      <c r="B15" s="6" t="n">
        <v>1013</v>
      </c>
      <c r="C15" s="6" t="n">
        <v>635</v>
      </c>
      <c r="D15" s="6" t="n">
        <v>-617</v>
      </c>
      <c r="E15" s="6" t="n">
        <v>1598</v>
      </c>
      <c r="F15" s="6" t="n">
        <v>-511</v>
      </c>
      <c r="G15" s="6" t="n">
        <v>-463</v>
      </c>
      <c r="H15" s="6" t="n">
        <v>102</v>
      </c>
      <c r="I15" s="6" t="n">
        <v>241</v>
      </c>
    </row>
    <row r="16">
      <c r="A16" s="6" t="inlineStr">
        <is>
          <t>Corporate tax paid</t>
        </is>
      </c>
      <c r="B16" s="6" t="n">
        <v>-87</v>
      </c>
      <c r="C16" s="6" t="n">
        <v>-179</v>
      </c>
      <c r="D16" s="6" t="n"/>
      <c r="E16" s="6" t="n"/>
      <c r="F16" s="6" t="n"/>
      <c r="G16" s="6" t="n"/>
      <c r="H16" s="6" t="n"/>
      <c r="I16" s="6" t="n"/>
    </row>
    <row r="17">
      <c r="A17" s="5" t="inlineStr">
        <is>
          <t>Net cash flow from operating activities</t>
        </is>
      </c>
      <c r="B17" s="5" t="n">
        <v>8361</v>
      </c>
      <c r="C17" s="5" t="n">
        <v>-14423</v>
      </c>
      <c r="D17" s="5" t="n">
        <v>29059</v>
      </c>
      <c r="E17" s="5" t="n">
        <v>83148</v>
      </c>
      <c r="F17" s="5" t="n">
        <v>927</v>
      </c>
      <c r="G17" s="5" t="n">
        <v>1318</v>
      </c>
      <c r="H17" s="5" t="n">
        <v>-60</v>
      </c>
      <c r="I17" s="5" t="n">
        <v>-129</v>
      </c>
    </row>
    <row r="18">
      <c r="A18" s="5" t="inlineStr">
        <is>
          <t>Cash flows from investing activities</t>
        </is>
      </c>
      <c r="B18" s="6" t="n"/>
      <c r="C18" s="6" t="n"/>
      <c r="D18" s="6" t="n"/>
      <c r="E18" s="6" t="n"/>
      <c r="F18" s="6" t="n"/>
      <c r="G18" s="6" t="n"/>
      <c r="H18" s="6" t="n"/>
      <c r="I18" s="6" t="n"/>
    </row>
    <row r="19">
      <c r="A19" s="6" t="inlineStr">
        <is>
          <t>Purchase of property, plant and equipment / acquisition of fixed assets</t>
        </is>
      </c>
      <c r="B19" s="6" t="n">
        <v>-152</v>
      </c>
      <c r="C19" s="6" t="n">
        <v>-461</v>
      </c>
      <c r="D19" s="6" t="n">
        <v>-116</v>
      </c>
      <c r="E19" s="6" t="n">
        <v>-2</v>
      </c>
      <c r="F19" s="6" t="n">
        <v>0</v>
      </c>
      <c r="G19" s="6" t="n">
        <v>-149</v>
      </c>
      <c r="H19" s="6" t="n">
        <v>-162</v>
      </c>
      <c r="I19" s="6" t="n">
        <v>-21</v>
      </c>
    </row>
    <row r="20">
      <c r="A20" s="5" t="inlineStr">
        <is>
          <t>Net cash flow from investing activities</t>
        </is>
      </c>
      <c r="B20" s="5" t="n">
        <v>-152</v>
      </c>
      <c r="C20" s="5" t="n">
        <v>-461</v>
      </c>
      <c r="D20" s="5" t="n">
        <v>-116</v>
      </c>
      <c r="E20" s="5" t="n">
        <v>-2</v>
      </c>
      <c r="F20" s="5" t="n">
        <v>0</v>
      </c>
      <c r="G20" s="5" t="n">
        <v>-149</v>
      </c>
      <c r="H20" s="5" t="n">
        <v>-162</v>
      </c>
      <c r="I20" s="5" t="n">
        <v>-21</v>
      </c>
    </row>
    <row r="21">
      <c r="A21" s="5" t="inlineStr">
        <is>
          <t>Cash flows from financing activities</t>
        </is>
      </c>
      <c r="B21" s="6" t="n"/>
      <c r="C21" s="6" t="n"/>
      <c r="D21" s="6" t="n"/>
      <c r="E21" s="6" t="n"/>
      <c r="F21" s="6" t="n"/>
      <c r="G21" s="6" t="n"/>
      <c r="H21" s="6" t="n"/>
      <c r="I21" s="6" t="n"/>
    </row>
    <row r="22">
      <c r="A22" s="6" t="inlineStr">
        <is>
          <t>Repayment on investments</t>
        </is>
      </c>
      <c r="B22" s="6" t="n"/>
      <c r="C22" s="6" t="n"/>
      <c r="D22" s="6" t="n">
        <v>0</v>
      </c>
      <c r="E22" s="6" t="n">
        <v>747</v>
      </c>
      <c r="F22" s="6" t="n"/>
      <c r="G22" s="6" t="n"/>
      <c r="H22" s="6" t="n"/>
      <c r="I22" s="6" t="n"/>
    </row>
    <row r="23">
      <c r="A23" s="5" t="inlineStr">
        <is>
          <t>Net cash flow from financing activities</t>
        </is>
      </c>
      <c r="B23" s="5" t="n">
        <v>0</v>
      </c>
      <c r="C23" s="5" t="n">
        <v>0</v>
      </c>
      <c r="D23" s="5" t="n">
        <v>0</v>
      </c>
      <c r="E23" s="5" t="n">
        <v>747</v>
      </c>
      <c r="F23" s="5" t="n">
        <v>0</v>
      </c>
      <c r="G23" s="5" t="n">
        <v>0</v>
      </c>
      <c r="H23" s="5" t="n">
        <v>0</v>
      </c>
      <c r="I23" s="5" t="n">
        <v>0</v>
      </c>
    </row>
    <row r="24">
      <c r="A24" s="5" t="inlineStr">
        <is>
          <t>Net increase/(decrease) in cash and cash equivalents</t>
        </is>
      </c>
      <c r="B24" s="5" t="n">
        <v>8209</v>
      </c>
      <c r="C24" s="5" t="n">
        <v>-14884</v>
      </c>
      <c r="D24" s="5" t="n">
        <v>28943</v>
      </c>
      <c r="E24" s="5" t="n">
        <v>83893</v>
      </c>
      <c r="F24" s="5" t="n">
        <v>927</v>
      </c>
      <c r="G24" s="5" t="n">
        <v>1169</v>
      </c>
      <c r="H24" s="5" t="n">
        <v>-222</v>
      </c>
      <c r="I24" s="5" t="n">
        <v>-150</v>
      </c>
    </row>
    <row r="25">
      <c r="A25" s="6" t="inlineStr">
        <is>
          <t>Opening cash and cash equivalents</t>
        </is>
      </c>
      <c r="B25" s="6" t="n">
        <v>100818</v>
      </c>
      <c r="C25" s="6" t="n">
        <v>115702</v>
      </c>
      <c r="D25" s="6" t="n">
        <v>86759</v>
      </c>
      <c r="E25" s="6" t="n">
        <v>2866</v>
      </c>
      <c r="F25" s="6" t="n">
        <v>1939</v>
      </c>
      <c r="G25" s="6" t="n">
        <v>770</v>
      </c>
      <c r="H25" s="6" t="n">
        <v>992</v>
      </c>
      <c r="I25" s="6" t="n">
        <v>1142</v>
      </c>
    </row>
    <row r="26">
      <c r="A26" s="5" t="inlineStr">
        <is>
          <t>Closing cash and cash equivalents</t>
        </is>
      </c>
      <c r="B26" s="5" t="n">
        <v>109027</v>
      </c>
      <c r="C26" s="5" t="n">
        <v>100818</v>
      </c>
      <c r="D26" s="5" t="n">
        <v>115702</v>
      </c>
      <c r="E26" s="5" t="n">
        <v>86759</v>
      </c>
      <c r="F26" s="5" t="n">
        <v>2866</v>
      </c>
      <c r="G26" s="5" t="n">
        <v>1939</v>
      </c>
      <c r="H26" s="5" t="n">
        <v>770</v>
      </c>
      <c r="I26" s="5" t="n">
        <v>992</v>
      </c>
    </row>
    <row r="28" ht="220" customHeight="1">
      <c r="A28" s="8" t="inlineStr">
        <is>
          <t>Sources - all figures are Bank of Ceylon (UK) Limited's own Statement of Cash Flows, £'000, as filed at Companies House (all 8 filings are fully scanned/image-only - OCR'd with tesseract, cross-verified against rendered page images at up to 400dpi):
FY2025 &amp; FY2024: Full accounts made up to 31 December 2025, p.27 (Statement of Cash Flows) - https://find-and-update.company-information.service.gov.uk/company/06736473/filing-history/MzUyMjY1MjQxM2FkaXF6a2N4/document?format=pdf&amp;download=0
FY2023 &amp; FY2022: Full accounts made up to 31 December 2023, p.42 (Statement of Cashflow) - https://find-and-update.company-information.service.gov.uk/company/06736473/filing-history/MzQyMTM2NzE0MWFkaXF6a2N4/document?format=pdf&amp;download=0
FY2021 (&amp; FY2020 comparative, not used): Full accounts made up to 31 December 2021, p.29 (Statement of Cashflow) - https://find-and-update.company-information.service.gov.uk/company/06736473/filing-history/MzMzODIzNzc0NWFkaXF6a2N4/document?format=pdf&amp;download=0
FY2020 (&amp; FY2019 comparative, not used): Full accounts made up to 31 December 2020, p.31 (Statement of Cash Flow) - https://find-and-update.company-information.service.gov.uk/company/06736473/filing-history/MzMwNDA2MDQ0MmFkaXF6a2N4/document?format=pdf&amp;download=0
FY2019 (&amp; FY2018 comparative, not used): Full accounts made up to 31 December 2019, p.31 (Statement of Cash Flows) - https://find-and-update.company-information.service.gov.uk/company/06736473/filing-history/MzI2MzgzMDIxNWFkaXF6a2N4/document?format=pdf&amp;download=0
FY2018 (&amp; FY2017 comparative, not used): Full accounts made up to 31 December 2018, p.26 (Statement of Cash Flows) - https://find-and-update.company-information.service.gov.uk/company/06736473/filing-history/MzIzMDcwOTM1MGFkaXF6a2N4/document?format=pdf&amp;download=0
DATA ERROR NOTE: the FY2021 filing's own printed 'Other assets and derivatives' line for 2021 reads '-761' (a bare minus sign, inconsistent with every other negative figure in the same column, which uses parentheses). This does not reconcile with that same document's own printed subtotals ('635' changes-in subtotal, '927' net operating cash flow) - summing the 7 itemised 'Changes in' lines with -761 gives -887, not 635. Using +761 instead reconciles exactly to both printed subtotals (635 and 927). +761 is used here; the original printed '-761' is preserved in this note for reference. The FY2020 comparative column's equivalent line (-304) is internally consistent as printed and was not changed.
PRESENTATION NOTE: the FY2021, FY2023 AND FY2020 filings all mislabel their investing/financing subtotal rows - the FY2021 filing's 'Net cash flow from financing activities' caption sits directly above the FY2020 column's investing-activities value (-149, which is actually 'Acquisition of fixed assets'), the FY2023 filing's 'Net cash flow from investing activities' caption sits directly above a value that is actually the operating-activities subtotal (matches 'Cash generated by operations' exactly), and the FY2020 filing itself (own year, both 2020 and 2019 columns) captions its only investing line item ('Acquisition of fixed assets') as 'Net cash flow from financing activities' with no separate financing section at all that year - the same recurring mislabeling pattern, now confirmed across 3 separate filings/vintages. Neither year discloses any financing activity beyond a single investing-classified line ('Acquisition of fixed assets' FY2021/FY2020/FY2019/FY2018, 'Purchase of operating property, plant and equipment' FY2023/FY2022) or, in FY2022, a genuine financing line ('Repayment on investments', £747k). This workbook places each line under its correct economic section (Operating/Investing/Financing) regardless of the source's caption placement; every section TOTAL and the full opening/closing cash chain reconciles exactly across all 8 years once corrected.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8:I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Asset Quality / Credit Risk Disclosures</t>
        </is>
      </c>
    </row>
    <row r="2">
      <c r="A2" s="2" t="inlineStr">
        <is>
          <t>Bank of Ceylon (UK) Limited (own entity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and advances to customers - by IFRS 9 stage (FY2024-FY2025 only)</t>
        </is>
      </c>
      <c r="B4" s="6" t="n"/>
      <c r="C4" s="6" t="n"/>
      <c r="D4" s="6" t="n"/>
      <c r="E4" s="6" t="n"/>
      <c r="F4" s="6" t="n"/>
      <c r="G4" s="6" t="n"/>
      <c r="H4" s="6" t="n"/>
      <c r="I4" s="6" t="n"/>
    </row>
    <row r="5">
      <c r="A5" s="6" t="inlineStr">
        <is>
          <t>Stage 1 (performing)</t>
        </is>
      </c>
      <c r="B5" s="6" t="n">
        <v>72088</v>
      </c>
      <c r="C5" s="6" t="n">
        <v>55739</v>
      </c>
      <c r="D5" s="6" t="n"/>
      <c r="E5" s="6" t="n"/>
      <c r="F5" s="6" t="n"/>
      <c r="G5" s="6" t="n"/>
      <c r="H5" s="6" t="n"/>
      <c r="I5" s="6" t="n"/>
    </row>
    <row r="6">
      <c r="A6" s="6" t="inlineStr">
        <is>
          <t>Stage 2 (significant increase in credit risk)</t>
        </is>
      </c>
      <c r="B6" s="6" t="n">
        <v>3646</v>
      </c>
      <c r="C6" s="6" t="n">
        <v>1094</v>
      </c>
      <c r="D6" s="6" t="n"/>
      <c r="E6" s="6" t="n"/>
      <c r="F6" s="6" t="n"/>
      <c r="G6" s="6" t="n"/>
      <c r="H6" s="6" t="n"/>
      <c r="I6" s="6" t="n"/>
    </row>
    <row r="7">
      <c r="A7" s="6" t="inlineStr">
        <is>
          <t>Stage 3 (credit-impaired)</t>
        </is>
      </c>
      <c r="B7" s="6" t="n">
        <v>354</v>
      </c>
      <c r="C7" s="6" t="n">
        <v>0</v>
      </c>
      <c r="D7" s="6" t="n"/>
      <c r="E7" s="6" t="n"/>
      <c r="F7" s="6" t="n"/>
      <c r="G7" s="6" t="n"/>
      <c r="H7" s="6" t="n"/>
      <c r="I7" s="6" t="n"/>
    </row>
    <row r="8">
      <c r="A8" s="5" t="inlineStr">
        <is>
          <t>Gross loans and advances to customers (by stage)</t>
        </is>
      </c>
      <c r="B8" s="5" t="n">
        <v>76088</v>
      </c>
      <c r="C8" s="5" t="n">
        <v>56833</v>
      </c>
      <c r="D8" s="5" t="n"/>
      <c r="E8" s="5" t="n"/>
      <c r="F8" s="5" t="n"/>
      <c r="G8" s="5" t="n"/>
      <c r="H8" s="5" t="n"/>
      <c r="I8" s="5" t="n"/>
    </row>
    <row r="9">
      <c r="A9" s="5" t="inlineStr">
        <is>
          <t>Loans and advances to customers - by product (FY2018-FY2023 only)</t>
        </is>
      </c>
      <c r="B9" s="6" t="n"/>
      <c r="C9" s="6" t="n"/>
      <c r="D9" s="6" t="n"/>
      <c r="E9" s="6" t="n"/>
      <c r="F9" s="6" t="n"/>
      <c r="G9" s="6" t="n"/>
      <c r="H9" s="6" t="n"/>
      <c r="I9" s="6" t="n"/>
    </row>
    <row r="10">
      <c r="A10" s="6" t="inlineStr">
        <is>
          <t>Personal loans and advances (gross)</t>
        </is>
      </c>
      <c r="B10" s="6" t="n"/>
      <c r="C10" s="6" t="n"/>
      <c r="D10" s="6" t="n">
        <v>30188</v>
      </c>
      <c r="E10" s="6" t="n">
        <v>10750</v>
      </c>
      <c r="F10" s="6" t="n">
        <v>11277</v>
      </c>
      <c r="G10" s="6" t="n">
        <v>10899</v>
      </c>
      <c r="H10" s="6" t="n">
        <v>8874</v>
      </c>
      <c r="I10" s="6" t="n">
        <v>5492</v>
      </c>
    </row>
    <row r="11">
      <c r="A11" s="6" t="inlineStr">
        <is>
          <t>Commercial loans and advances (gross)</t>
        </is>
      </c>
      <c r="B11" s="6" t="n"/>
      <c r="C11" s="6" t="n"/>
      <c r="D11" s="6" t="n">
        <v>3862</v>
      </c>
      <c r="E11" s="6" t="n">
        <v>7355</v>
      </c>
      <c r="F11" s="6" t="n">
        <v>8088</v>
      </c>
      <c r="G11" s="6" t="n">
        <v>9467</v>
      </c>
      <c r="H11" s="6" t="n">
        <v>8742</v>
      </c>
      <c r="I11" s="6" t="n">
        <v>7248</v>
      </c>
    </row>
    <row r="12">
      <c r="A12" s="5" t="inlineStr">
        <is>
          <t>Gross loans and advances to customers (by product)</t>
        </is>
      </c>
      <c r="B12" s="5" t="n"/>
      <c r="C12" s="5" t="n"/>
      <c r="D12" s="5" t="n">
        <v>34050</v>
      </c>
      <c r="E12" s="5" t="n">
        <v>18105</v>
      </c>
      <c r="F12" s="5" t="n">
        <v>19365</v>
      </c>
      <c r="G12" s="5" t="n">
        <v>20366</v>
      </c>
      <c r="H12" s="5" t="n">
        <v>17616</v>
      </c>
      <c r="I12" s="5" t="n">
        <v>12740</v>
      </c>
    </row>
    <row r="13">
      <c r="A13" s="5" t="inlineStr">
        <is>
          <t>Impairment</t>
        </is>
      </c>
      <c r="B13" s="6" t="n"/>
      <c r="C13" s="6" t="n"/>
      <c r="D13" s="6" t="n"/>
      <c r="E13" s="6" t="n"/>
      <c r="F13" s="6" t="n"/>
      <c r="G13" s="6" t="n"/>
      <c r="H13" s="6" t="n"/>
      <c r="I13" s="6" t="n"/>
    </row>
    <row r="14">
      <c r="A14" s="6" t="inlineStr">
        <is>
          <t>ECL allowance on loans and advances to customers</t>
        </is>
      </c>
      <c r="B14" s="6" t="n">
        <v>-45</v>
      </c>
      <c r="C14" s="6" t="n">
        <v>-26</v>
      </c>
      <c r="D14" s="6" t="n">
        <v>-18</v>
      </c>
      <c r="E14" s="6" t="n">
        <v>-9</v>
      </c>
      <c r="F14" s="6" t="n">
        <v>-6</v>
      </c>
      <c r="G14" s="6" t="n">
        <v>-2</v>
      </c>
      <c r="H14" s="6" t="n">
        <v>-39</v>
      </c>
      <c r="I14" s="6" t="n">
        <v>-32</v>
      </c>
    </row>
    <row r="15">
      <c r="A15" s="5" t="inlineStr">
        <is>
          <t>Net loans and advances to customers</t>
        </is>
      </c>
      <c r="B15" s="5" t="n">
        <v>76043</v>
      </c>
      <c r="C15" s="5" t="n">
        <v>56807</v>
      </c>
      <c r="D15" s="5" t="n">
        <v>34032</v>
      </c>
      <c r="E15" s="5" t="n">
        <v>18096</v>
      </c>
      <c r="F15" s="5" t="n">
        <v>19359</v>
      </c>
      <c r="G15" s="5" t="n">
        <v>20364</v>
      </c>
      <c r="H15" s="5" t="n">
        <v>17577</v>
      </c>
      <c r="I15" s="5" t="n">
        <v>12708</v>
      </c>
    </row>
    <row r="16">
      <c r="A16" s="5" t="inlineStr">
        <is>
          <t>Asset quality ratios</t>
        </is>
      </c>
      <c r="B16" s="6" t="n"/>
      <c r="C16" s="6" t="n"/>
      <c r="D16" s="6" t="n"/>
      <c r="E16" s="6" t="n"/>
      <c r="F16" s="6" t="n"/>
      <c r="G16" s="6" t="n"/>
      <c r="H16" s="6" t="n"/>
      <c r="I16" s="6" t="n"/>
    </row>
    <row r="17">
      <c r="A17" s="6" t="inlineStr">
        <is>
          <t>ECL coverage ratio (ECL allowance / gross loans)</t>
        </is>
      </c>
      <c r="B17" s="6" t="inlineStr">
        <is>
          <t>0.06%</t>
        </is>
      </c>
      <c r="C17" s="6" t="inlineStr">
        <is>
          <t>0.05%</t>
        </is>
      </c>
      <c r="D17" s="6" t="inlineStr">
        <is>
          <t>0.05%</t>
        </is>
      </c>
      <c r="E17" s="6" t="inlineStr">
        <is>
          <t>0.05%</t>
        </is>
      </c>
      <c r="F17" s="6" t="inlineStr">
        <is>
          <t>0.03%</t>
        </is>
      </c>
      <c r="G17" s="6" t="inlineStr">
        <is>
          <t>0.01%</t>
        </is>
      </c>
      <c r="H17" s="6" t="inlineStr">
        <is>
          <t>0.22%</t>
        </is>
      </c>
      <c r="I17" s="6" t="inlineStr">
        <is>
          <t>0.25%</t>
        </is>
      </c>
    </row>
    <row r="18">
      <c r="A18" s="6" t="inlineStr">
        <is>
          <t>Stage 3 / NPL ratio (Stage 3 gross / total gross)</t>
        </is>
      </c>
      <c r="B18" s="6" t="inlineStr">
        <is>
          <t>0.47%</t>
        </is>
      </c>
      <c r="C18" s="6" t="inlineStr">
        <is>
          <t>0.00%</t>
        </is>
      </c>
      <c r="D18" s="6" t="n"/>
      <c r="E18" s="6" t="n"/>
      <c r="F18" s="6" t="n"/>
      <c r="G18" s="6" t="n"/>
      <c r="H18" s="6" t="n"/>
      <c r="I18" s="6" t="n"/>
    </row>
    <row r="20" ht="220" customHeight="1">
      <c r="A20" s="8" t="inlineStr">
        <is>
          <t>Sources - Bank of Ceylon (UK) Limited's own Companies House filings (visually transcribed, see the Balance Sheet sheet's source note for the OCR-equivalent method):
FY2025 &amp; FY2024 (by IFRS 9 stage): Full accounts made up to 31 December 2025, p.39 ('Credit exposure by stage' note) - https://find-and-update.company-information.service.gov.uk/company/06736473/filing-history/MzUyMjY1MjQxM2FkaXF6a2N4/document?format=pdf&amp;download=0
FY2023 &amp; FY2022 (by product): Full accounts made up to 31 December 2023, p.57 (Note 15) - https://find-and-update.company-information.service.gov.uk/company/06736473/filing-history/MzQyMTM2NzE0MWFkaXF6a2N4/document?format=pdf&amp;download=0
FY2021 (by product): Full accounts made up to 31 December 2021, p.43 (Note 14) - https://find-and-update.company-information.service.gov.uk/company/06736473/filing-history/MzMzODIzNzc0NWFkaXF6a2N4/document?format=pdf&amp;download=0
FY2020 (by product, own year): Full accounts made up to 31 December 2020, p.44 (Note 13) - https://find-and-update.company-information.service.gov.uk/company/06736473/filing-history/MzMwNDA2MDQ0MmFkaXF6a2N4/document?format=pdf&amp;download=0
FY2019 (by product, own year): Full accounts made up to 31 December 2019, p.42 (Note 15) - https://find-and-update.company-information.service.gov.uk/company/06736473/filing-history/MzI2MzgzMDIxNWFkaXF6a2N4/document?format=pdf&amp;download=0
FY2018 (by product, own year): Full accounts made up to 31 December 2018, p.38 (Note 16) - https://find-and-update.company-information.service.gov.uk/company/06736473/filing-history/MzIzMDcwOTM1MGFkaXF6a2N4/document?format=pdf&amp;download=0
STRUCTURAL BREAK: the FY2025 filing introduced a new IFRS 9 stage-level credit exposure disclosure not present in the earlier filings - FY2025/FY2024 are shown by stage (Stage 1/2/3), FY2023/FY2022/FY2021/FY2020/FY2019/FY2018 are shown by product (Personal/Commercial) instead, since that is genuinely all that was disclosed those years. The two breakdowns are NOT additive across the table (different bases) - both are transcribed as their own source discloses, not forced into one shape.
FY2024's ECL allowance on loans and advances to customers (£26k) is DERIVED (gross £56,833k less carrying £56,807k per the Balance Sheet/Note 15), not a directly disclosed per-portfolio figure for that year - the FY2025 filing's reconciliation table (gross-&gt;ECL-&gt;net) is only given for FY2025 itself. FY2019's own filing's comparative FY2018 note-level gross/impairment figures (Personal 8,895/(16), Commercial 8,770/(23)) differ slightly from FY2018's own filing (Personal 8,874/(16), Commercial 8,742/(23)) - each year's own filing is used for its own year, consistent with this project's standard convention; the ~£49k difference is immaterial (&lt;0.3% of gross loans) and not separately flagged as a restatement.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20:I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14217</v>
      </c>
      <c r="C4" s="6" t="n">
        <v>13940</v>
      </c>
      <c r="D4" s="6" t="n">
        <v>13685</v>
      </c>
      <c r="E4" s="6" t="n"/>
      <c r="F4" s="6" t="n">
        <v>13424</v>
      </c>
      <c r="G4" s="6" t="n">
        <v>13338</v>
      </c>
      <c r="H4" s="6" t="n">
        <v>13569</v>
      </c>
      <c r="I4" s="6" t="n">
        <v>13393</v>
      </c>
    </row>
    <row r="6" ht="200" customHeight="1">
      <c r="A6"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6:I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20.1%</t>
        </is>
      </c>
      <c r="C4" s="6" t="inlineStr">
        <is>
          <t>22.7%</t>
        </is>
      </c>
      <c r="D4" s="6" t="inlineStr">
        <is>
          <t>42.5%</t>
        </is>
      </c>
      <c r="E4" s="6" t="n"/>
      <c r="F4" s="6" t="inlineStr">
        <is>
          <t>54.8%</t>
        </is>
      </c>
      <c r="G4" s="6" t="inlineStr">
        <is>
          <t>34.3%</t>
        </is>
      </c>
      <c r="H4" s="6" t="inlineStr">
        <is>
          <t>57.5%</t>
        </is>
      </c>
      <c r="I4" s="6" t="inlineStr">
        <is>
          <t>46.9%</t>
        </is>
      </c>
    </row>
    <row r="6" ht="200" customHeight="1">
      <c r="A6"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14217</v>
      </c>
      <c r="C4" s="6" t="n">
        <v>13940</v>
      </c>
      <c r="D4" s="6" t="n">
        <v>13685</v>
      </c>
      <c r="E4" s="6" t="n"/>
      <c r="F4" s="6" t="n">
        <v>13424</v>
      </c>
      <c r="G4" s="6" t="n">
        <v>13338</v>
      </c>
      <c r="H4" s="6" t="n">
        <v>13569</v>
      </c>
      <c r="I4" s="6" t="n">
        <v>13393</v>
      </c>
    </row>
    <row r="5" ht="60" customHeight="1">
      <c r="A5" s="7" t="inlineStr">
        <is>
          <t>Note: BOCUK has no Additional Tier 1 capital in any year - Tier 1 capital equals CET1 capital throughout.</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20.1%</t>
        </is>
      </c>
      <c r="C4" s="6" t="inlineStr">
        <is>
          <t>22.7%</t>
        </is>
      </c>
      <c r="D4" s="6" t="inlineStr">
        <is>
          <t>42.5%</t>
        </is>
      </c>
      <c r="E4" s="6" t="n"/>
      <c r="F4" s="6" t="inlineStr">
        <is>
          <t>54.8%</t>
        </is>
      </c>
      <c r="G4" s="6" t="inlineStr">
        <is>
          <t>34.3%</t>
        </is>
      </c>
      <c r="H4" s="6" t="inlineStr">
        <is>
          <t>57.5%</t>
        </is>
      </c>
      <c r="I4" s="6" t="inlineStr">
        <is>
          <t>46.9%</t>
        </is>
      </c>
    </row>
    <row r="5" ht="60" customHeight="1">
      <c r="A5" s="7" t="inlineStr">
        <is>
          <t>Note: Equal to the CET1 ratio - no Additional Tier 1 capital in any year.</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(own funds)</t>
        </is>
      </c>
      <c r="B4" s="6" t="n">
        <v>15353</v>
      </c>
      <c r="C4" s="6" t="n">
        <v>15076</v>
      </c>
      <c r="D4" s="6" t="n">
        <v>14789</v>
      </c>
      <c r="E4" s="6" t="n"/>
      <c r="F4" s="6" t="n">
        <v>14169</v>
      </c>
      <c r="G4" s="6" t="n">
        <v>14242</v>
      </c>
      <c r="H4" s="6" t="n">
        <v>13569</v>
      </c>
      <c r="I4" s="6" t="n">
        <v>13393</v>
      </c>
    </row>
    <row r="5" ht="60" customHeight="1">
      <c r="A5" s="7" t="inlineStr">
        <is>
          <t>Note: FY2018/FY2019: Total capital equals CET1 capital - the Pillar 3 documents for those years show no Tier 2 capital. From FY2020 on, the Bank's revaluation reserve is recognised as Tier 2 capital, adding to Total capital over and above CET1 - see the FY2020 Pillar 3 document's own Section 4.1. This is a genuine methodology change disclosed by the Bank, not a transcription inconsistency.</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21.7%</t>
        </is>
      </c>
      <c r="C4" s="6" t="inlineStr">
        <is>
          <t>24.6%</t>
        </is>
      </c>
      <c r="D4" s="6" t="inlineStr">
        <is>
          <t>45.9%</t>
        </is>
      </c>
      <c r="E4" s="6" t="n"/>
      <c r="F4" s="6" t="inlineStr">
        <is>
          <t>57.8%</t>
        </is>
      </c>
      <c r="G4" s="6" t="inlineStr">
        <is>
          <t>36.7%</t>
        </is>
      </c>
      <c r="H4" s="6" t="inlineStr">
        <is>
          <t>57.5%</t>
        </is>
      </c>
      <c r="I4" s="6" t="inlineStr">
        <is>
          <t>46.9%</t>
        </is>
      </c>
    </row>
    <row r="6" ht="200" customHeight="1">
      <c r="A6"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70733</v>
      </c>
      <c r="C4" s="6" t="n">
        <v>61344</v>
      </c>
      <c r="D4" s="6" t="n">
        <v>32187</v>
      </c>
      <c r="E4" s="6" t="n"/>
      <c r="F4" s="6" t="n">
        <v>24509</v>
      </c>
      <c r="G4" s="6" t="n">
        <v>38848</v>
      </c>
      <c r="H4" s="6" t="n">
        <v>23604</v>
      </c>
      <c r="I4" s="6" t="n">
        <v>24492</v>
      </c>
    </row>
    <row r="5" ht="60" customHeight="1">
      <c r="A5" s="7" t="inlineStr">
        <is>
          <t>Note: FY2018/FY2019/FY2021's own Pillar 3 'Total RWAs' figure equals only the Credit and Counterparty Credit Risk component of the Bank's own Own Funds Requirement table, excluding Market and Operational risk RWA - see the RWA Breakdown sheet's own note for the full, internally-corrected total each year. FY2020's own Pillar 3 document is the first to state a comprehensive Total RWA figure (matching the full Own Funds Requirement total) directly - this discrepancy pattern, present FY2018-FY2019 and FY2021, is resolved from FY2020 on.</t>
        </is>
      </c>
    </row>
    <row r="7" ht="20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RWA Breakdown</t>
        </is>
      </c>
    </row>
    <row r="2">
      <c r="A2" s="2" t="inlineStr">
        <is>
          <t>Bank of Ceylon (UK) Limited (own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Risk-weighted exposure amounts by risk type</t>
        </is>
      </c>
      <c r="B4" s="6" t="n"/>
      <c r="C4" s="6" t="n"/>
      <c r="D4" s="6" t="n"/>
      <c r="E4" s="6" t="n"/>
      <c r="F4" s="6" t="n"/>
      <c r="G4" s="6" t="n"/>
      <c r="H4" s="6" t="n"/>
      <c r="I4" s="6" t="n"/>
    </row>
    <row r="5">
      <c r="A5" s="6" t="inlineStr">
        <is>
          <t>Credit and counterparty credit risk</t>
        </is>
      </c>
      <c r="B5" s="6" t="n">
        <v>65343</v>
      </c>
      <c r="C5" s="6" t="n">
        <v>56022</v>
      </c>
      <c r="D5" s="6" t="n">
        <v>26888</v>
      </c>
      <c r="E5" s="6" t="n"/>
      <c r="F5" s="6" t="n">
        <v>24509</v>
      </c>
      <c r="G5" s="6" t="n">
        <v>34463</v>
      </c>
      <c r="H5" s="6" t="n">
        <v>23600</v>
      </c>
      <c r="I5" s="6" t="n">
        <v>24488</v>
      </c>
    </row>
    <row r="6">
      <c r="A6" s="6" t="inlineStr">
        <is>
          <t>Market risk</t>
        </is>
      </c>
      <c r="B6" s="6" t="n">
        <v>37</v>
      </c>
      <c r="C6" s="6" t="n">
        <v>557</v>
      </c>
      <c r="D6" s="6" t="n">
        <v>1150</v>
      </c>
      <c r="E6" s="6" t="n"/>
      <c r="F6" s="6" t="n">
        <v>302</v>
      </c>
      <c r="G6" s="6" t="n">
        <v>188</v>
      </c>
      <c r="H6" s="6" t="n">
        <v>88</v>
      </c>
      <c r="I6" s="6" t="n">
        <v>100</v>
      </c>
    </row>
    <row r="7">
      <c r="A7" s="6" t="inlineStr">
        <is>
          <t>Operational risk (Basic Indicator Approach)</t>
        </is>
      </c>
      <c r="B7" s="6" t="n">
        <v>5353</v>
      </c>
      <c r="C7" s="6" t="n">
        <v>4765</v>
      </c>
      <c r="D7" s="6" t="n">
        <v>4150</v>
      </c>
      <c r="E7" s="6" t="n"/>
      <c r="F7" s="6" t="n">
        <v>4241</v>
      </c>
      <c r="G7" s="6" t="n">
        <v>4188</v>
      </c>
      <c r="H7" s="6" t="n">
        <v>4188</v>
      </c>
      <c r="I7" s="6" t="n">
        <v>3950</v>
      </c>
    </row>
    <row r="8">
      <c r="A8" s="5" t="inlineStr">
        <is>
          <t>Total risk-weighted exposure amount</t>
        </is>
      </c>
      <c r="B8" s="5" t="n">
        <v>70733</v>
      </c>
      <c r="C8" s="5" t="n">
        <v>61344</v>
      </c>
      <c r="D8" s="5" t="n">
        <v>32188</v>
      </c>
      <c r="E8" s="5" t="n"/>
      <c r="F8" s="5" t="n">
        <v>29052</v>
      </c>
      <c r="G8" s="5" t="n">
        <v>38839</v>
      </c>
      <c r="H8" s="5" t="n">
        <v>27876</v>
      </c>
      <c r="I8" s="5" t="n">
        <v>28538</v>
      </c>
    </row>
    <row r="10" ht="260" customHeight="1">
      <c r="A10" s="8" t="inlineStr">
        <is>
          <t>Sources - Bank of Ceylon (UK) Limited Pillar 3 disclosures, UK OV1-equivalent 'Own Funds Requirement' exposure-class table (own entity-level basis), £'000:
FY2025: Pillar 3 Disclosures 31 December 2025, p.13 (5.4 Own Funds Requirement) - https://www.bankofceylon.co.uk/downloads/corporate/BOCUK_Pillar%203%20Disclosures%2031%20December%202025.pdf
FY2024: Pillar 3 Disclosures 31 December 2024, p.25 (5.4 Own Funds Requirement) - https://www.bankofceylon.co.uk/downloads/corporate/BOCUK_Pillar%203%20Disclosures%2031%20December%202024.pdf
FY2023: DERIVED from the FY2024 Pillar 3 document's own '2023 Capital Requirement' comparative column (RWA = capital requirement / 8%, the standard Pillar 1 minimum capital ratio) - https://www.bankofceylon.co.uk/downloads/corporate/BOCUK_Pillar%203%20Disclosures%2031%20December%202024.pdf. No standalone FY2023 Pillar 3 document was found (consistent with the other Pillar 3 sheets' note). The derived total (£32,188k) is £1k above the pre-existing Total RWAs sheet's FY2023 figure (£32,187k) due to rounding in this back-calculation - not treated as an error, both are within £1k of each other.
FY2021: Pillar 3 Disclosures as at 31st December 2021, p.16 (5.4 Own Funds Requirement) - https://www.bankofceylon.co.uk/downloads/corporate/BOCUK_Pillar%203%20Disclosures%2031%20December%202021.pdf
FY2020: Pillar 3 Disclosures as at 31st December 2020, p.15 (5.3 Pillar 1 Capital Requirement / Own Funds Requirement) - https://www.bankofceylon.co.uk/downloads/corporate/BOCUK_Pillar%203%20Disclosures%2031%20December%202020.pdf. RWA per risk type DERIVED from the document's own capital-requirement figures (RWA = capital requirement / 8%); the resulting total (£38,839k) is within £9k (0.02%) of the document's own directly-reported Total RWA (£38,848k, from Section 4.1, presumably from the Bank's regulatory returns rather than a simple /8% back-calculation) - immaterial, not treated as an error.
FY2019: DERIVED the same way from the Pillar 3 Disclosures as at 31st December 2019, p.13 (Own funds Requirement) - https://www.bankofceylon.co.uk/downloads/corporate/BOCUK_Pillar%203%20Disclosures%2031%20December%202019.pdf. Derived total £27,876k.
FY2018: DERIVED the same way from the Pillar 3 Disclosures as at 31st December 2018, p.12 (Own funds Requirement) - https://www.bankofceylon.co.uk/downloads/corporate/BOCUK_Pillar%203%20Disclosures%2031%20December%202018.pdf. Derived total £28,538k.
FY2022: no standalone Pillar 3 document was found (see other Pillar 3 sheets' note) - left blank rather than guessed.
DISCREPANCY FLAGGED (FY2018, FY2019 and FY2021): the pre-existing/Total RWAs sheet's figure for each of these years (£24,492k FY2018, £23,604k FY2019, £24,509k FY2021) equals only the Credit and Counterparty Credit Risk subtotal from that year's own Pillar 3 table - it does NOT include that same table's Market Risk and Operational Risk RWA, whose sum is each document's own printed 'Total Pillar 1 Requirement' (£28,538k FY2018, £27,876k FY2019, £29,052k FY2021 - see derivations above). This RWA Breakdown sheet uses the correct full total for each year, which is materially higher than the pre-existing Total RWAs sheet's value - flagged here for correction there rather than silently matched to the (apparently understated) existing figures. FY2020 on, the Bank's own Pillar 3 'Total RWAs' figure is already the full Pillar 1 total (see the Total RWAs sheet's own note) - this discrepancy resolves itself from FY2020.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1">
    <mergeCell ref="A10:I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 available (£'000)</t>
        </is>
      </c>
      <c r="B4" s="6" t="n">
        <v>14217</v>
      </c>
      <c r="C4" s="6" t="n">
        <v>13940</v>
      </c>
      <c r="D4" s="6" t="n">
        <v>13685</v>
      </c>
      <c r="E4" s="6" t="n"/>
      <c r="F4" s="6" t="n">
        <v>13424</v>
      </c>
      <c r="G4" s="6" t="n">
        <v>13338</v>
      </c>
      <c r="H4" s="6" t="n">
        <v>13569</v>
      </c>
      <c r="I4" s="6" t="n">
        <v>13393</v>
      </c>
    </row>
    <row r="5">
      <c r="A5" s="6" t="inlineStr">
        <is>
          <t>Total leverage ratio exposure measure (£'000)</t>
        </is>
      </c>
      <c r="B5" s="6" t="n">
        <v>99213</v>
      </c>
      <c r="C5" s="6" t="n">
        <v>75247</v>
      </c>
      <c r="D5" s="6" t="n">
        <v>47579</v>
      </c>
      <c r="E5" s="6" t="n"/>
      <c r="F5" s="6" t="n">
        <v>29072</v>
      </c>
      <c r="G5" s="6" t="n">
        <v>37808</v>
      </c>
      <c r="H5" s="6" t="n">
        <v>39619</v>
      </c>
      <c r="I5" s="6" t="n">
        <v>28733</v>
      </c>
    </row>
    <row r="6">
      <c r="A6" s="6" t="inlineStr">
        <is>
          <t>Leverage ratio (%)</t>
        </is>
      </c>
      <c r="B6" s="6" t="inlineStr">
        <is>
          <t>14.3%</t>
        </is>
      </c>
      <c r="C6" s="6" t="inlineStr">
        <is>
          <t>18.5%</t>
        </is>
      </c>
      <c r="D6" s="6" t="inlineStr">
        <is>
          <t>28.8%</t>
        </is>
      </c>
      <c r="E6" s="6" t="n"/>
      <c r="F6" s="6" t="inlineStr">
        <is>
          <t>46.2%</t>
        </is>
      </c>
      <c r="G6" s="6" t="inlineStr">
        <is>
          <t>35.3%</t>
        </is>
      </c>
      <c r="H6" s="6" t="inlineStr">
        <is>
          <t>34.2%</t>
        </is>
      </c>
      <c r="I6" s="6" t="inlineStr">
        <is>
          <t>46.6%</t>
        </is>
      </c>
    </row>
    <row r="7" ht="60" customHeight="1">
      <c r="A7" s="7" t="inlineStr">
        <is>
          <t>Note: FY2024 uses the FY2024 Pillar 3 document's own originally-published figures; see the source note above for the slightly different restated FY2024 comparative (£76,247k / 18.3%) published a year later in the FY2025 document, and for the FY2025 document's separate self-contradictory narrative text. FY2019 likewise uses the FY2019 document's own originally-published figures (£39,619k / 34.2%); the FY2020 document's own restated FY2019 comparative (£40,135k / 32.7%, alongside a restated Tier 1 capital of £13,143k) is materially different, driven by the office-building revaluation restatement described on the Statement of Changes in Equity sheet - see the p3_sources cross-vintage note.</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I7"/>
    <mergeCell ref="A9:I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(£'000)</t>
        </is>
      </c>
      <c r="B4" s="6" t="n">
        <v>101212</v>
      </c>
      <c r="C4" s="6" t="n">
        <v>99206</v>
      </c>
      <c r="D4" s="6" t="n">
        <v>108880</v>
      </c>
      <c r="E4" s="6" t="n"/>
      <c r="F4" s="6" t="n"/>
      <c r="G4" s="6" t="n"/>
      <c r="H4" s="6" t="n">
        <v>131851</v>
      </c>
      <c r="I4" s="6" t="n">
        <v>130130</v>
      </c>
    </row>
    <row r="5">
      <c r="A5" s="6" t="inlineStr">
        <is>
          <t>Total net cash outflows (£'000)</t>
        </is>
      </c>
      <c r="B5" s="6" t="n">
        <v>77081</v>
      </c>
      <c r="C5" s="6" t="n">
        <v>66349</v>
      </c>
      <c r="D5" s="6" t="n">
        <v>86856</v>
      </c>
      <c r="E5" s="6" t="n"/>
      <c r="F5" s="6" t="n"/>
      <c r="G5" s="6" t="n"/>
      <c r="H5" s="6" t="n">
        <v>118123</v>
      </c>
      <c r="I5" s="6" t="n">
        <v>116560</v>
      </c>
    </row>
    <row r="6">
      <c r="A6" s="6" t="inlineStr">
        <is>
          <t>Liquidity Coverage Ratio (%)</t>
        </is>
      </c>
      <c r="B6" s="6" t="inlineStr">
        <is>
          <t>131%</t>
        </is>
      </c>
      <c r="C6" s="6" t="inlineStr">
        <is>
          <t>149%</t>
        </is>
      </c>
      <c r="D6" s="6" t="inlineStr">
        <is>
          <t>125%</t>
        </is>
      </c>
      <c r="E6" s="6" t="n"/>
      <c r="F6" s="6" t="n"/>
      <c r="G6" s="6" t="inlineStr">
        <is>
          <t>109%</t>
        </is>
      </c>
      <c r="H6" s="6" t="inlineStr">
        <is>
          <t>112%</t>
        </is>
      </c>
      <c r="I6" s="6" t="inlineStr">
        <is>
          <t>111%</t>
        </is>
      </c>
    </row>
    <row r="7" ht="60" customHeight="1">
      <c r="A7" s="7" t="inlineStr">
        <is>
          <t>Note: Not disclosed for FY2021/FY2022 - the Key Metrics/KM1-style LCR template was not yet used in BOCUK's FY2021 Pillar 3 disclosure, and no FY2022 document was found (see source note). FY2020's Pillar 3 document discloses only the headline Liquidity Ratio (109%, from its infographic-style 'Key Metrics' summary) with no HQLA/net cash outflow breakdown anywhere in that document - the two absolute £'000 rows are left blank for FY2020 rather than guessed, while the ratio itself is populated.</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I7"/>
    <mergeCell ref="A9:I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required stable funds (£'000)</t>
        </is>
      </c>
      <c r="B4" s="6" t="n">
        <v>65823</v>
      </c>
      <c r="C4" s="6" t="n">
        <v>64648</v>
      </c>
      <c r="D4" s="6" t="n">
        <v>35141</v>
      </c>
      <c r="E4" s="6" t="n"/>
      <c r="F4" s="6" t="n"/>
      <c r="G4" s="6" t="n"/>
      <c r="H4" s="6" t="n"/>
      <c r="I4" s="6" t="n"/>
    </row>
    <row r="5">
      <c r="A5" s="6" t="inlineStr">
        <is>
          <t>Total available stable funds (£'000)</t>
        </is>
      </c>
      <c r="B5" s="6" t="n">
        <v>121764</v>
      </c>
      <c r="C5" s="6" t="n">
        <v>91457</v>
      </c>
      <c r="D5" s="6" t="n">
        <v>49594</v>
      </c>
      <c r="E5" s="6" t="n"/>
      <c r="F5" s="6" t="n"/>
      <c r="G5" s="6" t="n"/>
      <c r="H5" s="6" t="n"/>
      <c r="I5" s="6" t="n"/>
    </row>
    <row r="6">
      <c r="A6" s="6" t="inlineStr">
        <is>
          <t>Net Stable Funding Ratio (%)</t>
        </is>
      </c>
      <c r="B6" s="6" t="inlineStr">
        <is>
          <t>185%</t>
        </is>
      </c>
      <c r="C6" s="6" t="inlineStr">
        <is>
          <t>141%</t>
        </is>
      </c>
      <c r="D6" s="6" t="inlineStr">
        <is>
          <t>141%</t>
        </is>
      </c>
      <c r="E6" s="6" t="n"/>
      <c r="F6" s="6" t="n"/>
      <c r="G6" s="6" t="n"/>
      <c r="H6" s="6" t="n"/>
      <c r="I6" s="6" t="n"/>
    </row>
    <row r="7" ht="60" customHeight="1">
      <c r="A7" s="7" t="inlineStr">
        <is>
          <t>Note: FY2023 and FY2024 NSFR ratios are both printed as 141% in the source document despite different underlying £'000 figures for both years - transcribed as printed, not treated as an error since the absolute figures genuinely differ. Not disclosed for FY2018/FY2019/FY2020/FY2021/FY2022 - no NSFR line appears in any of the Key Metrics/Own Funds/Leverage sections of the FY2018, FY2019, FY2020 or FY2021 Pillar 3 documents, and no FY2022 document was found (see LCR sheet note for the same cause re FY2021/FY2022).</t>
        </is>
      </c>
    </row>
    <row r="9" ht="200" customHeight="1">
      <c r="A9"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Ceylon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Not disclosed in any of the 7 available Pillar 3 editions (FY2018, FY2019, FY2020, FY2021, FY2023 via comparative, FY2024, FY2025), any year - no numeric ratio or explicit exemption statement found.</t>
        </is>
      </c>
    </row>
    <row r="7" ht="150" customHeight="1">
      <c r="A7" s="8" t="inlineStr">
        <is>
          <t>Sources - Bank of Ceylon (UK) Limited Pillar 3 disclosures (own entity-level basis; UK KM1-style Key Metrics template FY2018-FY2019 and again from FY2022 on, PRA's pre-2022 own-funds/leverage tables for FY2021, an infographic-style 'Key Metrics' summary plus a differently-laid-out Own Funds/Leverage section for FY2020), £'000 unless stated:
FY2025 &amp; FY2024 comparative: Pillar 3 Disclosures 31 December 2025, p.3 (1.1 Key Metrics) - https://www.bankofceylon.co.uk/downloads/corporate/BOCUK_Pillar%203%20Disclosures%2031%20December%202025.pdf
FY2024 (own year) &amp; FY2023 comparative: Pillar 3 Disclosures 31 December 2024, p.4 (1.1 Key Metrics) - https://www.bankofceylon.co.uk/downloads/corporate/BOCUK_Pillar%203%20Disclosures%2031%20December%202024.pdf
FY2021 (own year): Pillar 3 Disclosures as at 31st December 2021, p.12 (4.1 Total Available Capital) - https://www.bankofceylon.co.uk/downloads/corporate/BOCUK_Pillar%203%20Disclosures%2031%20December%202021.pdf
FY2020 (own year) &amp; FY2019 restated comparative: Pillar 3 Disclosures as at 31st December 2020, p.12 (4.1 Total Available Capital) and p.19 (7. Leverage) - https://www.bankofceylon.co.uk/downloads/corporate/BOCUK_Pillar%203%20Disclosures%2031%20December%202020.pdf
FY2019 (own year, as originally published) &amp; FY2018 comparative: Pillar 3 Disclosures as at 31st December 2019, p.6 (Key metrics) - https://www.bankofceylon.co.uk/downloads/corporate/BOCUK_Pillar%203%20Disclosures%2031%20December%202019.pdf
FY2018 (own year, as originally published) &amp; FY2017 comparative: Pillar 3 Disclosures as at 31st December 2018, p.5 (Key metrics) - https://www.bankofceylon.co.uk/downloads/corporate/BOCUK_Pillar%203%20Disclosures%2031%20December%202018.pdf
FY2022: no standalone Pillar 3 document was found on the bank's site (2022 and 2023 editions are both absent from its published list; FY2023 is covered here only via FY2024's own comparative column) - left blank rather than guessed.
CROSS-VINTAGE NOTE (Leverage Ratio only): the FY2024 Pillar 3 document's own figures for FY2024 (Total exposure £75,247k, Leverage ratio 18.5%) differ slightly from the FY2025 document's restated FY2024 comparative (£76,247k, 18.3%). This workbook uses each year's own originally-published figure as the primary column (FY2024 = 18.5%, from the FY2024 document); the restatement is noted here, not silently blended. Separately, the FY2025 document's own narrative text states the leverage ratio 'declined from 18.5% to 15.2%' in 2025 - this contradicts both that same document's Key Metrics table and its own Section 7 reconciliation table, which independently agree at 14.3% (FY2025) / 18.3% (FY2024 restated). The two internally-consistent tables are used; the narrative sentence appears to be a drafting error.
CROSS-VINTAGE RESTATEMENT (FY2019, all capital/leverage metrics): the FY2020 Pillar 3 document's own 'restated' FY2019 comparative (CET1/Total capital £13,143k, Total RWAs £28,513k, CET1/Total capital ratio 46.1%/49.3%, leverage exposure £40,135k, leverage ratio 32.7%) differs materially from the FY2019 document's own originally-published FY2019 figures (£13,569k / £23,604k / 57.5% both ratios / £39,619k exposure / 34.2% leverage) - driven by the same office-building revaluation restatement documented on the Statement of Changes in Equity sheet (the FY2020 document explicitly states '2019 comparative numbers have been restated in 2020, following the decision to include the revaluation of the office building in the 2019 accounts'), plus an apparent change in how RWA is computed (the FY2019 document's own £23,604k appears to be credit-risk RWA only - see the RWA Breakdown sheet's note - while the FY2020 document's £28,513k restated figure is the fuller Pillar 1 total). This workbook uses each year's own originally-published figure as the primary column, per this project's standard convention; the restated comparative is not silently blended in.
Entity note: Bank of Ceylon (UK) Limited (company 06736473, FRN 514744) is a wholly-owned UK subsidiary of Bank of Ceylon (Sri Lanka, state-owned). Unlike several other single-country foreign-parented subsidiaries in this project, it does NOT take the FRS 101/102 cash-flow-statement exemption - a full Statement of Cash Flows is filed every year, in GBP (no FX conversion needed).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2026-09-07T01:44:13Z</dcterms:created>
  <dcterms:modified xmlns:dcterms="http://purl.org/dc/terms/" xmlns:xsi="http://www.w3.org/2001/XMLSchema-instance" xsi:type="dcterms:W3CDTF">2026-09-07T01:44:13Z</dcterms:modified>
</cp:coreProperties>
</file>