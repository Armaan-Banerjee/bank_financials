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Balance Sheet" sheetId="2" state="visible" r:id="rId2"/>
    <sheet xmlns:r="http://schemas.openxmlformats.org/officeDocument/2006/relationships" name="Profit &amp; Loss" sheetId="3" state="visible" r:id="rId3"/>
    <sheet xmlns:r="http://schemas.openxmlformats.org/officeDocument/2006/relationships" name="Statement of Changes in Equity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Asset Quality" sheetId="6" state="visible" r:id="rId6"/>
    <sheet xmlns:r="http://schemas.openxmlformats.org/officeDocument/2006/relationships" name="CET1 Capital" sheetId="7" state="visible" r:id="rId7"/>
    <sheet xmlns:r="http://schemas.openxmlformats.org/officeDocument/2006/relationships" name="CET1 Ratio" sheetId="8" state="visible" r:id="rId8"/>
    <sheet xmlns:r="http://schemas.openxmlformats.org/officeDocument/2006/relationships" name="Tier 1 Capital" sheetId="9" state="visible" r:id="rId9"/>
    <sheet xmlns:r="http://schemas.openxmlformats.org/officeDocument/2006/relationships" name="Tier 1 Ratio" sheetId="10" state="visible" r:id="rId10"/>
    <sheet xmlns:r="http://schemas.openxmlformats.org/officeDocument/2006/relationships" name="Total Capital" sheetId="11" state="visible" r:id="rId11"/>
    <sheet xmlns:r="http://schemas.openxmlformats.org/officeDocument/2006/relationships" name="Total Capital Ratio" sheetId="12" state="visible" r:id="rId12"/>
    <sheet xmlns:r="http://schemas.openxmlformats.org/officeDocument/2006/relationships" name="Total RWAs" sheetId="13" state="visible" r:id="rId13"/>
    <sheet xmlns:r="http://schemas.openxmlformats.org/officeDocument/2006/relationships" name="RWA Breakdown" sheetId="14" state="visible" r:id="rId14"/>
    <sheet xmlns:r="http://schemas.openxmlformats.org/officeDocument/2006/relationships" name="Leverage Ratio" sheetId="15" state="visible" r:id="rId15"/>
    <sheet xmlns:r="http://schemas.openxmlformats.org/officeDocument/2006/relationships" name="LCR" sheetId="16" state="visible" r:id="rId16"/>
    <sheet xmlns:r="http://schemas.openxmlformats.org/officeDocument/2006/relationships" name="NSFR" sheetId="17" state="visible" r:id="rId17"/>
    <sheet xmlns:r="http://schemas.openxmlformats.org/officeDocument/2006/relationships" name="MREL Ratio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  <color rgb="00FFFFFF"/>
    </font>
    <font>
      <b val="1"/>
    </font>
    <font>
      <i val="1"/>
      <color rgb="00444444"/>
      <sz val="9"/>
    </font>
  </fonts>
  <fills count="3">
    <fill>
      <patternFill/>
    </fill>
    <fill>
      <patternFill patternType="gray125"/>
    </fill>
    <fill>
      <patternFill patternType="solid">
        <fgColor rgb="008D6A9F"/>
        <bgColor rgb="008D6A9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0" applyAlignment="1" pivotButton="0" quotePrefix="0" xfId="0">
      <alignment horizontal="left" vertical="center" wrapText="1"/>
    </xf>
    <xf numFmtId="0" fontId="4" fillId="0" borderId="1" pivotButton="0" quotePrefix="0" xfId="0"/>
    <xf numFmtId="0" fontId="0" fillId="0" borderId="1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Bank of Ceylon (UK) Limited — Balance Sheet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'Overview'!I6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'Overview'!$J$6:$N$6</f>
            </numRef>
          </val>
        </ser>
        <ser>
          <idx val="1"/>
          <order val="1"/>
          <tx>
            <strRef>
              <f>'Overview'!I7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'Overview'!$J$7:$N$7</f>
            </numRef>
          </val>
        </ser>
        <ser>
          <idx val="2"/>
          <order val="2"/>
          <tx>
            <strRef>
              <f>'Overview'!I8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'Overview'!$J$8:$N$8</f>
            </numRef>
          </val>
        </ser>
        <ser>
          <idx val="3"/>
          <order val="3"/>
          <tx>
            <strRef>
              <f>'Overview'!I9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'Overview'!$J$9:$N$9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£'000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Bank of Ceylon (UK) Limited — Profit &amp; Loss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'Overview'!Q13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'Overview'!$R$12:$V$12</f>
            </numRef>
          </cat>
          <val>
            <numRef>
              <f>'Overview'!$R$13:$V$13</f>
            </numRef>
          </val>
        </ser>
        <ser>
          <idx val="1"/>
          <order val="1"/>
          <tx>
            <strRef>
              <f>'Overview'!Q14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'Overview'!$R$12:$V$12</f>
            </numRef>
          </cat>
          <val>
            <numRef>
              <f>'Overview'!$R$14:$V$14</f>
            </numRef>
          </val>
        </ser>
        <ser>
          <idx val="2"/>
          <order val="2"/>
          <tx>
            <strRef>
              <f>'Overview'!Q15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'Overview'!$R$12:$V$12</f>
            </numRef>
          </cat>
          <val>
            <numRef>
              <f>'Overview'!$R$15:$V$15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£'000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Bank of Ceylon (UK) Limited — Statement of Changes in Equity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'Overview'!Y19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'Overview'!$Z$18:$AD$18</f>
            </numRef>
          </cat>
          <val>
            <numRef>
              <f>'Overview'!$Z$19:$AD$19</f>
            </numRef>
          </val>
        </ser>
        <ser>
          <idx val="1"/>
          <order val="1"/>
          <tx>
            <strRef>
              <f>'Overview'!Y20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'Overview'!$Z$18:$AD$18</f>
            </numRef>
          </cat>
          <val>
            <numRef>
              <f>'Overview'!$Z$20:$AD$20</f>
            </numRef>
          </val>
        </ser>
        <ser>
          <idx val="2"/>
          <order val="2"/>
          <tx>
            <strRef>
              <f>'Overview'!Y21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'Overview'!$Z$18:$AD$18</f>
            </numRef>
          </cat>
          <val>
            <numRef>
              <f>'Overview'!$Z$21:$AD$21</f>
            </numRef>
          </val>
        </ser>
        <ser>
          <idx val="3"/>
          <order val="3"/>
          <tx>
            <strRef>
              <f>'Overview'!Y22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'Overview'!$Z$18:$AD$18</f>
            </numRef>
          </cat>
          <val>
            <numRef>
              <f>'Overview'!$Z$22:$AD$22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£'000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Bank of Ceylon (UK) Limited — Cash Flow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'Overview'!AG26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'Overview'!$AH$25:$AL$25</f>
            </numRef>
          </cat>
          <val>
            <numRef>
              <f>'Overview'!$AH$26:$AL$26</f>
            </numRef>
          </val>
        </ser>
        <ser>
          <idx val="1"/>
          <order val="1"/>
          <tx>
            <strRef>
              <f>'Overview'!AG27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'Overview'!$AH$25:$AL$25</f>
            </numRef>
          </cat>
          <val>
            <numRef>
              <f>'Overview'!$AH$27:$AL$27</f>
            </numRef>
          </val>
        </ser>
        <ser>
          <idx val="2"/>
          <order val="2"/>
          <tx>
            <strRef>
              <f>'Overview'!AG28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'Overview'!$AH$25:$AL$25</f>
            </numRef>
          </cat>
          <val>
            <numRef>
              <f>'Overview'!$AH$28:$AL$28</f>
            </numRef>
          </val>
        </ser>
        <ser>
          <idx val="3"/>
          <order val="3"/>
          <tx>
            <strRef>
              <f>'Overview'!AG29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'Overview'!$AH$25:$AL$25</f>
            </numRef>
          </cat>
          <val>
            <numRef>
              <f>'Overview'!$AH$29:$AL$29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£'000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Bank of Ceylon (UK) Limited — Pillar 3 Key Metrics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2"/>
          <w val="0.85"/>
          <h val="0.5"/>
        </manualLayout>
      </layout>
      <lineChart>
        <grouping val="standard"/>
        <ser>
          <idx val="0"/>
          <order val="0"/>
          <tx>
            <strRef>
              <f>'Overview'!AO6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'Overview'!$AP$5:$AT$5</f>
            </numRef>
          </cat>
          <val>
            <numRef>
              <f>'Overview'!$AP$6:$AT$6</f>
            </numRef>
          </val>
          <smooth val="0"/>
        </ser>
        <ser>
          <idx val="1"/>
          <order val="1"/>
          <tx>
            <strRef>
              <f>'Overview'!AO7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'Overview'!$AP$5:$AT$5</f>
            </numRef>
          </cat>
          <val>
            <numRef>
              <f>'Overview'!$AP$7:$AT$7</f>
            </numRef>
          </val>
          <smooth val="0"/>
        </ser>
        <ser>
          <idx val="2"/>
          <order val="2"/>
          <tx>
            <strRef>
              <f>'Overview'!AO8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'Overview'!$AP$5:$AT$5</f>
            </numRef>
          </cat>
          <val>
            <numRef>
              <f>'Overview'!$AP$8:$AT$8</f>
            </numRef>
          </val>
          <smooth val="0"/>
        </ser>
        <ser>
          <idx val="3"/>
          <order val="3"/>
          <tx>
            <strRef>
              <f>'Overview'!AO9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'Overview'!$AP$5:$AT$5</f>
            </numRef>
          </cat>
          <val>
            <numRef>
              <f>'Overview'!$AP$9:$AT$9</f>
            </numRef>
          </val>
          <smooth val="0"/>
        </ser>
        <ser>
          <idx val="4"/>
          <order val="4"/>
          <tx>
            <strRef>
              <f>'Overview'!AO10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'Overview'!$AP$5:$AT$5</f>
            </numRef>
          </cat>
          <val>
            <numRef>
              <f>'Overview'!$AP$10:$AT$10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78"/>
          <w val="0.96"/>
          <h val="0.22"/>
        </manualLayout>
      </layout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/Relationships>
</file>

<file path=xl/drawings/drawing1.xml><?xml version="1.0" encoding="utf-8"?>
<wsDr xmlns="http://schemas.openxmlformats.org/drawingml/2006/spreadsheetDrawing">
  <oneCellAnchor>
    <from>
      <col>0</col>
      <colOff>0</colOff>
      <row>41</row>
      <rowOff>0</rowOff>
    </from>
    <ext cx="864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63</row>
      <rowOff>0</rowOff>
    </from>
    <ext cx="8640000" cy="46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85</row>
      <rowOff>0</rowOff>
    </from>
    <ext cx="8640000" cy="46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107</row>
      <rowOff>0</rowOff>
    </from>
    <ext cx="8640000" cy="46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129</row>
      <rowOff>0</rowOff>
    </from>
    <ext cx="8640000" cy="576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39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</cols>
  <sheetData>
    <row r="1">
      <c r="A1" s="1" t="inlineStr">
        <is>
          <t>Bank of Ceylon (UK) Limited — Overview</t>
        </is>
      </c>
    </row>
    <row r="2">
      <c r="A2" s="2" t="inlineStr">
        <is>
          <t>Headline balance sheet, profit &amp; loss, cash flow and Pillar 3 figures across all years covered in this workbook - how the bank is using its money and the risk it is taking with it</t>
        </is>
      </c>
    </row>
    <row r="4">
      <c r="A4" s="3" t="inlineStr">
        <is>
          <t>Balance Sheet Summary (£'000)</t>
        </is>
      </c>
    </row>
    <row r="5">
      <c r="A5" s="4" t="inlineStr">
        <is>
          <t>Line item</t>
        </is>
      </c>
      <c r="B5" s="4" t="inlineStr">
        <is>
          <t>FY2025</t>
        </is>
      </c>
      <c r="C5" s="4" t="inlineStr">
        <is>
          <t>FY2024</t>
        </is>
      </c>
      <c r="D5" s="4" t="inlineStr">
        <is>
          <t>FY2023</t>
        </is>
      </c>
      <c r="E5" s="4" t="inlineStr">
        <is>
          <t>FY2022</t>
        </is>
      </c>
      <c r="F5" s="4" t="inlineStr">
        <is>
          <t>FY2021</t>
        </is>
      </c>
      <c r="J5" t="inlineStr">
        <is>
          <t>FY2021</t>
        </is>
      </c>
      <c r="K5" t="inlineStr">
        <is>
          <t>FY2022</t>
        </is>
      </c>
      <c r="L5" t="inlineStr">
        <is>
          <t>FY2023</t>
        </is>
      </c>
      <c r="M5" t="inlineStr">
        <is>
          <t>FY2024</t>
        </is>
      </c>
      <c r="N5" t="inlineStr">
        <is>
          <t>FY2025</t>
        </is>
      </c>
      <c r="AP5" t="inlineStr">
        <is>
          <t>FY2021</t>
        </is>
      </c>
      <c r="AQ5" t="inlineStr">
        <is>
          <t>FY2022</t>
        </is>
      </c>
      <c r="AR5" t="inlineStr">
        <is>
          <t>FY2023</t>
        </is>
      </c>
      <c r="AS5" t="inlineStr">
        <is>
          <t>FY2024</t>
        </is>
      </c>
      <c r="AT5" t="inlineStr">
        <is>
          <t>FY2025</t>
        </is>
      </c>
    </row>
    <row r="6">
      <c r="A6" s="5" t="inlineStr">
        <is>
          <t>Total assets</t>
        </is>
      </c>
      <c r="B6" s="5" t="n">
        <v>195113</v>
      </c>
      <c r="C6" s="5" t="n">
        <v>172860</v>
      </c>
      <c r="D6" s="5" t="n">
        <v>156353</v>
      </c>
      <c r="E6" s="5" t="n">
        <v>117599</v>
      </c>
      <c r="F6" s="5" t="n">
        <v>48630</v>
      </c>
      <c r="I6" t="inlineStr">
        <is>
          <t>Total assets</t>
        </is>
      </c>
      <c r="J6" t="n">
        <v>48630</v>
      </c>
      <c r="K6" t="n">
        <v>117599</v>
      </c>
      <c r="L6" t="n">
        <v>156353</v>
      </c>
      <c r="M6" t="n">
        <v>172860</v>
      </c>
      <c r="N6" t="n">
        <v>195113</v>
      </c>
      <c r="AO6" t="inlineStr">
        <is>
          <t>CET1 Ratio</t>
        </is>
      </c>
      <c r="AP6" t="n">
        <v>54.8</v>
      </c>
      <c r="AR6" t="n">
        <v>42.5</v>
      </c>
      <c r="AS6" t="n">
        <v>22.7</v>
      </c>
      <c r="AT6" t="n">
        <v>20.1</v>
      </c>
    </row>
    <row r="7">
      <c r="A7" s="5" t="inlineStr">
        <is>
          <t>Loans and advances to customers</t>
        </is>
      </c>
      <c r="B7" s="5" t="n">
        <v>76043</v>
      </c>
      <c r="C7" s="5" t="n">
        <v>56807</v>
      </c>
      <c r="D7" s="5" t="n">
        <v>34032</v>
      </c>
      <c r="E7" s="5" t="n">
        <v>18096</v>
      </c>
      <c r="F7" s="5" t="n">
        <v>19359</v>
      </c>
      <c r="I7" t="inlineStr">
        <is>
          <t>Loans and advances to customers</t>
        </is>
      </c>
      <c r="J7" t="n">
        <v>19359</v>
      </c>
      <c r="K7" t="n">
        <v>18096</v>
      </c>
      <c r="L7" t="n">
        <v>34032</v>
      </c>
      <c r="M7" t="n">
        <v>56807</v>
      </c>
      <c r="N7" t="n">
        <v>76043</v>
      </c>
      <c r="AO7" t="inlineStr">
        <is>
          <t>Total Capital Ratio</t>
        </is>
      </c>
      <c r="AP7" t="n">
        <v>57.8</v>
      </c>
      <c r="AR7" t="n">
        <v>45.9</v>
      </c>
      <c r="AS7" t="n">
        <v>24.6</v>
      </c>
      <c r="AT7" t="n">
        <v>21.7</v>
      </c>
    </row>
    <row r="8">
      <c r="A8" s="5" t="inlineStr">
        <is>
          <t>Customer account deposits</t>
        </is>
      </c>
      <c r="B8" s="5" t="n">
        <v>76703</v>
      </c>
      <c r="C8" s="5" t="n">
        <v>44538</v>
      </c>
      <c r="D8" s="5" t="n">
        <v>19229</v>
      </c>
      <c r="E8" s="5" t="n">
        <v>11427</v>
      </c>
      <c r="F8" s="5" t="n">
        <v>5811</v>
      </c>
      <c r="I8" t="inlineStr">
        <is>
          <t>Customer account deposits</t>
        </is>
      </c>
      <c r="J8" t="n">
        <v>5811</v>
      </c>
      <c r="K8" t="n">
        <v>11427</v>
      </c>
      <c r="L8" t="n">
        <v>19229</v>
      </c>
      <c r="M8" t="n">
        <v>44538</v>
      </c>
      <c r="N8" t="n">
        <v>76703</v>
      </c>
      <c r="AO8" t="inlineStr">
        <is>
          <t>Leverage Ratio</t>
        </is>
      </c>
      <c r="AP8" t="n">
        <v>46.2</v>
      </c>
      <c r="AR8" t="n">
        <v>28.8</v>
      </c>
      <c r="AS8" t="n">
        <v>18.5</v>
      </c>
      <c r="AT8" t="n">
        <v>14.3</v>
      </c>
    </row>
    <row r="9">
      <c r="A9" s="5" t="inlineStr">
        <is>
          <t>Total equity</t>
        </is>
      </c>
      <c r="B9" s="5" t="n">
        <v>15493</v>
      </c>
      <c r="C9" s="5" t="n">
        <v>15170</v>
      </c>
      <c r="D9" s="5" t="n">
        <v>14811</v>
      </c>
      <c r="E9" s="5" t="n">
        <v>13831</v>
      </c>
      <c r="F9" s="5" t="n">
        <v>13902</v>
      </c>
      <c r="I9" t="inlineStr">
        <is>
          <t>Total equity</t>
        </is>
      </c>
      <c r="J9" t="n">
        <v>13902</v>
      </c>
      <c r="K9" t="n">
        <v>13831</v>
      </c>
      <c r="L9" t="n">
        <v>14811</v>
      </c>
      <c r="M9" t="n">
        <v>15170</v>
      </c>
      <c r="N9" t="n">
        <v>15493</v>
      </c>
      <c r="AO9" t="inlineStr">
        <is>
          <t>LCR</t>
        </is>
      </c>
      <c r="AR9" t="n">
        <v>125</v>
      </c>
      <c r="AS9" t="n">
        <v>149</v>
      </c>
      <c r="AT9" t="n">
        <v>131</v>
      </c>
    </row>
    <row r="10">
      <c r="AO10" t="inlineStr">
        <is>
          <t>NSFR</t>
        </is>
      </c>
      <c r="AR10" t="n">
        <v>141</v>
      </c>
      <c r="AS10" t="n">
        <v>141</v>
      </c>
      <c r="AT10" t="n">
        <v>185</v>
      </c>
    </row>
    <row r="11">
      <c r="A11" s="3" t="inlineStr">
        <is>
          <t>Profit &amp; Loss Summary (£'000)</t>
        </is>
      </c>
    </row>
    <row r="12">
      <c r="A12" s="4" t="inlineStr">
        <is>
          <t>Line item</t>
        </is>
      </c>
      <c r="B12" s="4" t="inlineStr">
        <is>
          <t>FY2025</t>
        </is>
      </c>
      <c r="C12" s="4" t="inlineStr">
        <is>
          <t>FY2024</t>
        </is>
      </c>
      <c r="D12" s="4" t="inlineStr">
        <is>
          <t>FY2023</t>
        </is>
      </c>
      <c r="E12" s="4" t="inlineStr">
        <is>
          <t>FY2022</t>
        </is>
      </c>
      <c r="F12" s="4" t="inlineStr">
        <is>
          <t>FY2021</t>
        </is>
      </c>
      <c r="R12" t="inlineStr">
        <is>
          <t>FY2021</t>
        </is>
      </c>
      <c r="S12" t="inlineStr">
        <is>
          <t>FY2022</t>
        </is>
      </c>
      <c r="T12" t="inlineStr">
        <is>
          <t>FY2023</t>
        </is>
      </c>
      <c r="U12" t="inlineStr">
        <is>
          <t>FY2024</t>
        </is>
      </c>
      <c r="V12" t="inlineStr">
        <is>
          <t>FY2025</t>
        </is>
      </c>
    </row>
    <row r="13">
      <c r="A13" s="5" t="inlineStr">
        <is>
          <t>Net operating income</t>
        </is>
      </c>
      <c r="B13" s="5" t="n">
        <v>3161</v>
      </c>
      <c r="C13" s="5" t="n">
        <v>3041</v>
      </c>
      <c r="D13" s="5" t="n">
        <v>3145</v>
      </c>
      <c r="E13" s="5" t="n">
        <v>2378</v>
      </c>
      <c r="F13" s="5" t="n">
        <v>2100</v>
      </c>
      <c r="Q13" t="inlineStr">
        <is>
          <t>Net operating income</t>
        </is>
      </c>
      <c r="R13" t="n">
        <v>2100</v>
      </c>
      <c r="S13" t="n">
        <v>2378</v>
      </c>
      <c r="T13" t="n">
        <v>3145</v>
      </c>
      <c r="U13" t="n">
        <v>3041</v>
      </c>
      <c r="V13" t="n">
        <v>3161</v>
      </c>
    </row>
    <row r="14">
      <c r="A14" s="5" t="inlineStr">
        <is>
          <t>Total operating expenses</t>
        </is>
      </c>
      <c r="B14" s="5" t="n">
        <v>-2793</v>
      </c>
      <c r="C14" s="5" t="n">
        <v>-2629</v>
      </c>
      <c r="D14" s="5" t="n">
        <v>-2077</v>
      </c>
      <c r="E14" s="5" t="n">
        <v>-2525</v>
      </c>
      <c r="F14" s="5" t="n">
        <v>-1986</v>
      </c>
      <c r="Q14" t="inlineStr">
        <is>
          <t>Total operating expenses</t>
        </is>
      </c>
      <c r="R14" t="n">
        <v>-1986</v>
      </c>
      <c r="S14" t="n">
        <v>-2525</v>
      </c>
      <c r="T14" t="n">
        <v>-2077</v>
      </c>
      <c r="U14" t="n">
        <v>-2629</v>
      </c>
      <c r="V14" t="n">
        <v>-2793</v>
      </c>
    </row>
    <row r="15">
      <c r="A15" s="5" t="inlineStr">
        <is>
          <t>Profit/(loss) for the year</t>
        </is>
      </c>
      <c r="B15" s="5" t="n">
        <v>323</v>
      </c>
      <c r="C15" s="5" t="n">
        <v>327</v>
      </c>
      <c r="D15" s="5" t="n">
        <v>889</v>
      </c>
      <c r="E15" s="5" t="n">
        <v>-146</v>
      </c>
      <c r="F15" s="5" t="n">
        <v>112</v>
      </c>
      <c r="Q15" t="inlineStr">
        <is>
          <t>Profit/(loss) for the year</t>
        </is>
      </c>
      <c r="R15" t="n">
        <v>112</v>
      </c>
      <c r="S15" t="n">
        <v>-146</v>
      </c>
      <c r="T15" t="n">
        <v>889</v>
      </c>
      <c r="U15" t="n">
        <v>327</v>
      </c>
      <c r="V15" t="n">
        <v>323</v>
      </c>
    </row>
    <row r="17">
      <c r="A17" s="3" t="inlineStr">
        <is>
          <t>Statement of Changes in Equity Summary (£'000)</t>
        </is>
      </c>
    </row>
    <row r="18">
      <c r="A18" s="4" t="inlineStr">
        <is>
          <t>Line item</t>
        </is>
      </c>
      <c r="B18" s="4" t="inlineStr">
        <is>
          <t>FY2025</t>
        </is>
      </c>
      <c r="C18" s="4" t="inlineStr">
        <is>
          <t>FY2024</t>
        </is>
      </c>
      <c r="D18" s="4" t="inlineStr">
        <is>
          <t>FY2023</t>
        </is>
      </c>
      <c r="E18" s="4" t="inlineStr">
        <is>
          <t>FY2022</t>
        </is>
      </c>
      <c r="F18" s="4" t="inlineStr">
        <is>
          <t>FY2021</t>
        </is>
      </c>
      <c r="Z18" t="inlineStr">
        <is>
          <t>FY2021</t>
        </is>
      </c>
      <c r="AA18" t="inlineStr">
        <is>
          <t>FY2022</t>
        </is>
      </c>
      <c r="AB18" t="inlineStr">
        <is>
          <t>FY2023</t>
        </is>
      </c>
      <c r="AC18" t="inlineStr">
        <is>
          <t>FY2024</t>
        </is>
      </c>
      <c r="AD18" t="inlineStr">
        <is>
          <t>FY2025</t>
        </is>
      </c>
    </row>
    <row r="19">
      <c r="A19" s="5" t="inlineStr">
        <is>
          <t>Opening equity</t>
        </is>
      </c>
      <c r="B19" s="5" t="n">
        <v>15170</v>
      </c>
      <c r="C19" s="5" t="n">
        <v>14811</v>
      </c>
      <c r="D19" s="5" t="n">
        <v>13831</v>
      </c>
      <c r="E19" s="5" t="n">
        <v>13902</v>
      </c>
      <c r="F19" s="5" t="n">
        <v>13949</v>
      </c>
      <c r="Y19" t="inlineStr">
        <is>
          <t>Opening equity</t>
        </is>
      </c>
      <c r="Z19" t="n">
        <v>13949</v>
      </c>
      <c r="AA19" t="n">
        <v>13902</v>
      </c>
      <c r="AB19" t="n">
        <v>13831</v>
      </c>
      <c r="AC19" t="n">
        <v>14811</v>
      </c>
      <c r="AD19" t="n">
        <v>15170</v>
      </c>
    </row>
    <row r="20">
      <c r="A20" s="5" t="inlineStr">
        <is>
          <t>Total comprehensive income</t>
        </is>
      </c>
      <c r="B20" s="5" t="n">
        <v>323</v>
      </c>
      <c r="C20" s="5" t="n">
        <v>359</v>
      </c>
      <c r="D20" s="5" t="n">
        <v>1173</v>
      </c>
      <c r="E20" s="5" t="n">
        <v>-146</v>
      </c>
      <c r="F20" s="5" t="n">
        <v>112</v>
      </c>
      <c r="Y20" t="inlineStr">
        <is>
          <t>Total comprehensive income</t>
        </is>
      </c>
      <c r="Z20" t="n">
        <v>112</v>
      </c>
      <c r="AA20" t="n">
        <v>-146</v>
      </c>
      <c r="AB20" t="n">
        <v>1173</v>
      </c>
      <c r="AC20" t="n">
        <v>359</v>
      </c>
      <c r="AD20" t="n">
        <v>323</v>
      </c>
    </row>
    <row r="21">
      <c r="A21" s="5" t="inlineStr">
        <is>
          <t>Other movements, net</t>
        </is>
      </c>
      <c r="B21" s="5" t="n">
        <v>0</v>
      </c>
      <c r="C21" s="5" t="n">
        <v>0</v>
      </c>
      <c r="D21" s="5" t="n">
        <v>-193</v>
      </c>
      <c r="E21" s="5" t="n">
        <v>75</v>
      </c>
      <c r="F21" s="5" t="n">
        <v>-159</v>
      </c>
      <c r="Y21" t="inlineStr">
        <is>
          <t>Other movements, net</t>
        </is>
      </c>
      <c r="Z21" t="n">
        <v>-159</v>
      </c>
      <c r="AA21" t="n">
        <v>75</v>
      </c>
      <c r="AB21" t="n">
        <v>-193</v>
      </c>
      <c r="AC21" t="n">
        <v>0</v>
      </c>
      <c r="AD21" t="n">
        <v>0</v>
      </c>
    </row>
    <row r="22">
      <c r="A22" s="5" t="inlineStr">
        <is>
          <t>Closing equity</t>
        </is>
      </c>
      <c r="B22" s="5" t="n">
        <v>15493</v>
      </c>
      <c r="C22" s="5" t="n">
        <v>15170</v>
      </c>
      <c r="D22" s="5" t="n">
        <v>14811</v>
      </c>
      <c r="E22" s="5" t="n">
        <v>13831</v>
      </c>
      <c r="F22" s="5" t="n">
        <v>13902</v>
      </c>
      <c r="Y22" t="inlineStr">
        <is>
          <t>Closing equity</t>
        </is>
      </c>
      <c r="Z22" t="n">
        <v>13902</v>
      </c>
      <c r="AA22" t="n">
        <v>13831</v>
      </c>
      <c r="AB22" t="n">
        <v>14811</v>
      </c>
      <c r="AC22" t="n">
        <v>15170</v>
      </c>
      <c r="AD22" t="n">
        <v>15493</v>
      </c>
    </row>
    <row r="24">
      <c r="A24" s="3" t="inlineStr">
        <is>
          <t>Cash Flow Summary (£'000)</t>
        </is>
      </c>
    </row>
    <row r="25">
      <c r="A25" s="4" t="inlineStr">
        <is>
          <t>Line item</t>
        </is>
      </c>
      <c r="B25" s="4" t="inlineStr">
        <is>
          <t>FY2025</t>
        </is>
      </c>
      <c r="C25" s="4" t="inlineStr">
        <is>
          <t>FY2024</t>
        </is>
      </c>
      <c r="D25" s="4" t="inlineStr">
        <is>
          <t>FY2023</t>
        </is>
      </c>
      <c r="E25" s="4" t="inlineStr">
        <is>
          <t>FY2022</t>
        </is>
      </c>
      <c r="F25" s="4" t="inlineStr">
        <is>
          <t>FY2021</t>
        </is>
      </c>
      <c r="AH25" t="inlineStr">
        <is>
          <t>FY2021</t>
        </is>
      </c>
      <c r="AI25" t="inlineStr">
        <is>
          <t>FY2022</t>
        </is>
      </c>
      <c r="AJ25" t="inlineStr">
        <is>
          <t>FY2023</t>
        </is>
      </c>
      <c r="AK25" t="inlineStr">
        <is>
          <t>FY2024</t>
        </is>
      </c>
      <c r="AL25" t="inlineStr">
        <is>
          <t>FY2025</t>
        </is>
      </c>
    </row>
    <row r="26">
      <c r="A26" s="5" t="inlineStr">
        <is>
          <t>Net cash flow from operating activities</t>
        </is>
      </c>
      <c r="B26" s="5" t="n">
        <v>8361</v>
      </c>
      <c r="C26" s="5" t="n">
        <v>-14423</v>
      </c>
      <c r="D26" s="5" t="n">
        <v>29059</v>
      </c>
      <c r="E26" s="5" t="n">
        <v>83148</v>
      </c>
      <c r="F26" s="5" t="n">
        <v>927</v>
      </c>
      <c r="AG26" t="inlineStr">
        <is>
          <t>Net cash flow from operating activities</t>
        </is>
      </c>
      <c r="AH26" t="n">
        <v>927</v>
      </c>
      <c r="AI26" t="n">
        <v>83148</v>
      </c>
      <c r="AJ26" t="n">
        <v>29059</v>
      </c>
      <c r="AK26" t="n">
        <v>-14423</v>
      </c>
      <c r="AL26" t="n">
        <v>8361</v>
      </c>
    </row>
    <row r="27">
      <c r="A27" s="5" t="inlineStr">
        <is>
          <t>Net cash flow from investing activities</t>
        </is>
      </c>
      <c r="B27" s="5" t="n">
        <v>-152</v>
      </c>
      <c r="C27" s="5" t="n">
        <v>-461</v>
      </c>
      <c r="D27" s="5" t="n">
        <v>-116</v>
      </c>
      <c r="E27" s="5" t="n">
        <v>-2</v>
      </c>
      <c r="F27" s="5" t="n">
        <v>0</v>
      </c>
      <c r="AG27" t="inlineStr">
        <is>
          <t>Net cash flow from investing activities</t>
        </is>
      </c>
      <c r="AH27" t="n">
        <v>0</v>
      </c>
      <c r="AI27" t="n">
        <v>-2</v>
      </c>
      <c r="AJ27" t="n">
        <v>-116</v>
      </c>
      <c r="AK27" t="n">
        <v>-461</v>
      </c>
      <c r="AL27" t="n">
        <v>-152</v>
      </c>
    </row>
    <row r="28">
      <c r="A28" s="5" t="inlineStr">
        <is>
          <t>Net cash flow from financing activities</t>
        </is>
      </c>
      <c r="B28" s="5" t="n">
        <v>0</v>
      </c>
      <c r="C28" s="5" t="n">
        <v>0</v>
      </c>
      <c r="D28" s="5" t="n">
        <v>0</v>
      </c>
      <c r="E28" s="5" t="n">
        <v>747</v>
      </c>
      <c r="F28" s="5" t="n">
        <v>0</v>
      </c>
      <c r="AG28" t="inlineStr">
        <is>
          <t>Net cash flow from financing activities</t>
        </is>
      </c>
      <c r="AH28" t="n">
        <v>0</v>
      </c>
      <c r="AI28" t="n">
        <v>747</v>
      </c>
      <c r="AJ28" t="n">
        <v>0</v>
      </c>
      <c r="AK28" t="n">
        <v>0</v>
      </c>
      <c r="AL28" t="n">
        <v>0</v>
      </c>
    </row>
    <row r="29">
      <c r="A29" s="5" t="inlineStr">
        <is>
          <t>Closing cash and cash equivalents</t>
        </is>
      </c>
      <c r="B29" s="5" t="n">
        <v>109027</v>
      </c>
      <c r="C29" s="5" t="n">
        <v>100818</v>
      </c>
      <c r="D29" s="5" t="n">
        <v>115702</v>
      </c>
      <c r="E29" s="5" t="n">
        <v>86759</v>
      </c>
      <c r="F29" s="5" t="n">
        <v>2866</v>
      </c>
      <c r="AG29" t="inlineStr">
        <is>
          <t>Closing cash and cash equivalents</t>
        </is>
      </c>
      <c r="AH29" t="n">
        <v>2866</v>
      </c>
      <c r="AI29" t="n">
        <v>86759</v>
      </c>
      <c r="AJ29" t="n">
        <v>115702</v>
      </c>
      <c r="AK29" t="n">
        <v>100818</v>
      </c>
      <c r="AL29" t="n">
        <v>109027</v>
      </c>
    </row>
    <row r="31">
      <c r="A31" s="3" t="inlineStr">
        <is>
          <t>Pillar 3 Key Metrics</t>
        </is>
      </c>
    </row>
    <row r="32">
      <c r="A32" s="4" t="inlineStr">
        <is>
          <t>Line item</t>
        </is>
      </c>
      <c r="B32" s="4" t="inlineStr">
        <is>
          <t>FY2025</t>
        </is>
      </c>
      <c r="C32" s="4" t="inlineStr">
        <is>
          <t>FY2024</t>
        </is>
      </c>
      <c r="D32" s="4" t="inlineStr">
        <is>
          <t>FY2023</t>
        </is>
      </c>
      <c r="E32" s="4" t="inlineStr">
        <is>
          <t>FY2022</t>
        </is>
      </c>
      <c r="F32" s="4" t="inlineStr">
        <is>
          <t>FY2021</t>
        </is>
      </c>
    </row>
    <row r="33">
      <c r="A33" s="6" t="inlineStr">
        <is>
          <t>CET1 Ratio</t>
        </is>
      </c>
      <c r="B33" s="6" t="inlineStr">
        <is>
          <t>20.1%</t>
        </is>
      </c>
      <c r="C33" s="6" t="inlineStr">
        <is>
          <t>22.7%</t>
        </is>
      </c>
      <c r="D33" s="6" t="inlineStr">
        <is>
          <t>42.5%</t>
        </is>
      </c>
      <c r="E33" s="6" t="n"/>
      <c r="F33" s="6" t="inlineStr">
        <is>
          <t>54.8%</t>
        </is>
      </c>
    </row>
    <row r="34">
      <c r="A34" s="6" t="inlineStr">
        <is>
          <t>Total Capital Ratio</t>
        </is>
      </c>
      <c r="B34" s="6" t="inlineStr">
        <is>
          <t>21.7%</t>
        </is>
      </c>
      <c r="C34" s="6" t="inlineStr">
        <is>
          <t>24.6%</t>
        </is>
      </c>
      <c r="D34" s="6" t="inlineStr">
        <is>
          <t>45.9%</t>
        </is>
      </c>
      <c r="E34" s="6" t="n"/>
      <c r="F34" s="6" t="inlineStr">
        <is>
          <t>57.8%</t>
        </is>
      </c>
    </row>
    <row r="35">
      <c r="A35" s="6" t="inlineStr">
        <is>
          <t>Leverage Ratio</t>
        </is>
      </c>
      <c r="B35" s="6" t="inlineStr">
        <is>
          <t>14.3%</t>
        </is>
      </c>
      <c r="C35" s="6" t="inlineStr">
        <is>
          <t>18.5%</t>
        </is>
      </c>
      <c r="D35" s="6" t="inlineStr">
        <is>
          <t>28.8%</t>
        </is>
      </c>
      <c r="E35" s="6" t="n"/>
      <c r="F35" s="6" t="inlineStr">
        <is>
          <t>46.2%</t>
        </is>
      </c>
    </row>
    <row r="36">
      <c r="A36" s="6" t="inlineStr">
        <is>
          <t>LCR</t>
        </is>
      </c>
      <c r="B36" s="6" t="inlineStr">
        <is>
          <t>131%</t>
        </is>
      </c>
      <c r="C36" s="6" t="inlineStr">
        <is>
          <t>149%</t>
        </is>
      </c>
      <c r="D36" s="6" t="inlineStr">
        <is>
          <t>125%</t>
        </is>
      </c>
      <c r="E36" s="6" t="n"/>
      <c r="F36" s="6" t="n"/>
    </row>
    <row r="37">
      <c r="A37" s="6" t="inlineStr">
        <is>
          <t>NSFR</t>
        </is>
      </c>
      <c r="B37" s="6" t="inlineStr">
        <is>
          <t>185%</t>
        </is>
      </c>
      <c r="C37" s="6" t="inlineStr">
        <is>
          <t>141%</t>
        </is>
      </c>
      <c r="D37" s="6" t="inlineStr">
        <is>
          <t>141%</t>
        </is>
      </c>
      <c r="E37" s="6" t="n"/>
      <c r="F37" s="6" t="n"/>
    </row>
    <row r="39" ht="45" customHeight="1">
      <c r="A39" s="7" t="inlineStr">
        <is>
          <t>Note: Figures are duplicated from the detail sheets for at-a-glance trend viewing; see each sheet's own source citation for the underlying document/page. FY2022 Pillar 3 data (all ratios) and FY2021/FY2022 LCR/NSFR are genuinely absent from the source documents, not omitted in error.</t>
        </is>
      </c>
    </row>
  </sheetData>
  <mergeCells count="1">
    <mergeCell ref="A39:F39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Bank of Ceylon (UK) Limited — Statement of Financial Position</t>
        </is>
      </c>
    </row>
    <row r="2">
      <c r="A2" s="2" t="inlineStr">
        <is>
          <t>Bank of Ceylon (UK) Limited (own entity basis), £'000</t>
        </is>
      </c>
    </row>
    <row r="3">
      <c r="A3" s="4" t="inlineStr">
        <is>
          <t>Line item</t>
        </is>
      </c>
      <c r="B3" s="4" t="inlineStr">
        <is>
          <t>FY2025 (£'000)</t>
        </is>
      </c>
      <c r="C3" s="4" t="inlineStr">
        <is>
          <t>FY2024 (£'000)</t>
        </is>
      </c>
      <c r="D3" s="4" t="inlineStr">
        <is>
          <t>FY2023 (£'000)</t>
        </is>
      </c>
      <c r="E3" s="4" t="inlineStr">
        <is>
          <t>FY2022 (£'000)</t>
        </is>
      </c>
      <c r="F3" s="4" t="inlineStr">
        <is>
          <t>FY2021 (£'000)</t>
        </is>
      </c>
    </row>
    <row r="4">
      <c r="A4" s="5" t="inlineStr">
        <is>
          <t>Assets</t>
        </is>
      </c>
      <c r="B4" s="6" t="n"/>
      <c r="C4" s="6" t="n"/>
      <c r="D4" s="6" t="n"/>
      <c r="E4" s="6" t="n"/>
      <c r="F4" s="6" t="n"/>
    </row>
    <row r="5">
      <c r="A5" s="6" t="inlineStr">
        <is>
          <t>Cash and cash equivalents</t>
        </is>
      </c>
      <c r="B5" s="6" t="n">
        <v>109027</v>
      </c>
      <c r="C5" s="6" t="n">
        <v>100818</v>
      </c>
      <c r="D5" s="6" t="n">
        <v>115702</v>
      </c>
      <c r="E5" s="6" t="n">
        <v>86759</v>
      </c>
      <c r="F5" s="6" t="n">
        <v>2866</v>
      </c>
    </row>
    <row r="6">
      <c r="A6" s="6" t="inlineStr">
        <is>
          <t>Loans and advances to banks</t>
        </is>
      </c>
      <c r="B6" s="6" t="n">
        <v>4053</v>
      </c>
      <c r="C6" s="6" t="n">
        <v>7121</v>
      </c>
      <c r="D6" s="6" t="n">
        <v>1831</v>
      </c>
      <c r="E6" s="6" t="n">
        <v>7501</v>
      </c>
      <c r="F6" s="6" t="n">
        <v>21104</v>
      </c>
    </row>
    <row r="7">
      <c r="A7" s="6" t="inlineStr">
        <is>
          <t>Loans and advances to customers</t>
        </is>
      </c>
      <c r="B7" s="6" t="n">
        <v>76043</v>
      </c>
      <c r="C7" s="6" t="n">
        <v>56807</v>
      </c>
      <c r="D7" s="6" t="n">
        <v>34032</v>
      </c>
      <c r="E7" s="6" t="n">
        <v>18096</v>
      </c>
      <c r="F7" s="6" t="n">
        <v>19359</v>
      </c>
    </row>
    <row r="8">
      <c r="A8" s="6" t="inlineStr">
        <is>
          <t>Derivatives</t>
        </is>
      </c>
      <c r="B8" s="6" t="n"/>
      <c r="C8" s="6" t="n"/>
      <c r="D8" s="6" t="n">
        <v>268</v>
      </c>
      <c r="E8" s="6" t="n">
        <v>1146</v>
      </c>
      <c r="F8" s="6" t="n">
        <v>88</v>
      </c>
    </row>
    <row r="9">
      <c r="A9" s="6" t="inlineStr">
        <is>
          <t>Prepayments and accrued income</t>
        </is>
      </c>
      <c r="B9" s="6" t="n">
        <v>300</v>
      </c>
      <c r="C9" s="6" t="n">
        <v>154</v>
      </c>
      <c r="D9" s="6" t="n">
        <v>103</v>
      </c>
      <c r="E9" s="6" t="n">
        <v>68</v>
      </c>
      <c r="F9" s="6" t="n"/>
    </row>
    <row r="10">
      <c r="A10" s="6" t="inlineStr">
        <is>
          <t>Other assets</t>
        </is>
      </c>
      <c r="B10" s="6" t="n">
        <v>57</v>
      </c>
      <c r="C10" s="6" t="n">
        <v>83</v>
      </c>
      <c r="D10" s="6" t="n">
        <v>148</v>
      </c>
      <c r="E10" s="6" t="n">
        <v>115</v>
      </c>
      <c r="F10" s="6" t="n">
        <v>129</v>
      </c>
    </row>
    <row r="11">
      <c r="A11" s="6" t="inlineStr">
        <is>
          <t>Investments</t>
        </is>
      </c>
      <c r="B11" s="6" t="n">
        <v>1414</v>
      </c>
      <c r="C11" s="6" t="n">
        <v>3712</v>
      </c>
      <c r="D11" s="6" t="n">
        <v>435</v>
      </c>
      <c r="E11" s="6" t="n">
        <v>453</v>
      </c>
      <c r="F11" s="6" t="n">
        <v>1499</v>
      </c>
    </row>
    <row r="12">
      <c r="A12" s="6" t="inlineStr">
        <is>
          <t>Property, plant and equipment</t>
        </is>
      </c>
      <c r="B12" s="6" t="n">
        <v>4079</v>
      </c>
      <c r="C12" s="6" t="n">
        <v>4071</v>
      </c>
      <c r="D12" s="6" t="n">
        <v>3812</v>
      </c>
      <c r="E12" s="6" t="n">
        <v>3450</v>
      </c>
      <c r="F12" s="6" t="n">
        <v>3563</v>
      </c>
    </row>
    <row r="13">
      <c r="A13" s="6" t="inlineStr">
        <is>
          <t>Intangible assets</t>
        </is>
      </c>
      <c r="B13" s="6" t="n">
        <v>140</v>
      </c>
      <c r="C13" s="6" t="n">
        <v>94</v>
      </c>
      <c r="D13" s="6" t="n">
        <v>22</v>
      </c>
      <c r="E13" s="6" t="n">
        <v>11</v>
      </c>
      <c r="F13" s="6" t="n">
        <v>22</v>
      </c>
    </row>
    <row r="14">
      <c r="A14" s="5" t="inlineStr">
        <is>
          <t>Total assets</t>
        </is>
      </c>
      <c r="B14" s="5" t="n">
        <v>195113</v>
      </c>
      <c r="C14" s="5" t="n">
        <v>172860</v>
      </c>
      <c r="D14" s="5" t="n">
        <v>156353</v>
      </c>
      <c r="E14" s="5" t="n">
        <v>117599</v>
      </c>
      <c r="F14" s="5" t="n">
        <v>48630</v>
      </c>
    </row>
    <row r="15">
      <c r="A15" s="5" t="inlineStr">
        <is>
          <t>Liabilities</t>
        </is>
      </c>
      <c r="B15" s="6" t="n"/>
      <c r="C15" s="6" t="n"/>
      <c r="D15" s="6" t="n"/>
      <c r="E15" s="6" t="n"/>
      <c r="F15" s="6" t="n"/>
    </row>
    <row r="16">
      <c r="A16" s="6" t="inlineStr">
        <is>
          <t>Deposits by banks</t>
        </is>
      </c>
      <c r="B16" s="6" t="n">
        <v>100091</v>
      </c>
      <c r="C16" s="6" t="n">
        <v>111334</v>
      </c>
      <c r="D16" s="6" t="n">
        <v>120815</v>
      </c>
      <c r="E16" s="6" t="n">
        <v>90034</v>
      </c>
      <c r="F16" s="6" t="n">
        <v>28123</v>
      </c>
    </row>
    <row r="17">
      <c r="A17" s="6" t="inlineStr">
        <is>
          <t>Customer account deposits</t>
        </is>
      </c>
      <c r="B17" s="6" t="n">
        <v>76703</v>
      </c>
      <c r="C17" s="6" t="n">
        <v>44538</v>
      </c>
      <c r="D17" s="6" t="n">
        <v>19229</v>
      </c>
      <c r="E17" s="6" t="n">
        <v>11427</v>
      </c>
      <c r="F17" s="6" t="n">
        <v>5811</v>
      </c>
    </row>
    <row r="18">
      <c r="A18" s="6" t="inlineStr">
        <is>
          <t>Derivatives</t>
        </is>
      </c>
      <c r="B18" s="6" t="n"/>
      <c r="C18" s="6" t="n"/>
      <c r="D18" s="6" t="n">
        <v>189</v>
      </c>
      <c r="E18" s="6" t="n">
        <v>852</v>
      </c>
      <c r="F18" s="6" t="n">
        <v>86</v>
      </c>
    </row>
    <row r="19">
      <c r="A19" s="6" t="inlineStr">
        <is>
          <t>Accruals</t>
        </is>
      </c>
      <c r="B19" s="6" t="n">
        <v>162</v>
      </c>
      <c r="C19" s="6" t="n">
        <v>258</v>
      </c>
      <c r="D19" s="6" t="n">
        <v>357</v>
      </c>
      <c r="E19" s="6" t="n">
        <v>236</v>
      </c>
      <c r="F19" s="6" t="n"/>
    </row>
    <row r="20">
      <c r="A20" s="6" t="inlineStr">
        <is>
          <t>Other liabilities</t>
        </is>
      </c>
      <c r="B20" s="6" t="n">
        <v>2082</v>
      </c>
      <c r="C20" s="6" t="n">
        <v>973</v>
      </c>
      <c r="D20" s="6" t="n">
        <v>239</v>
      </c>
      <c r="E20" s="6" t="n">
        <v>974</v>
      </c>
      <c r="F20" s="6" t="n">
        <v>377</v>
      </c>
    </row>
    <row r="21">
      <c r="A21" s="5" t="inlineStr">
        <is>
          <t>Current liabilities</t>
        </is>
      </c>
      <c r="B21" s="5" t="n">
        <v>179038</v>
      </c>
      <c r="C21" s="5" t="n">
        <v>157103</v>
      </c>
      <c r="D21" s="5" t="n">
        <v>140829</v>
      </c>
      <c r="E21" s="5" t="n">
        <v>103523</v>
      </c>
      <c r="F21" s="5" t="n">
        <v>34397</v>
      </c>
    </row>
    <row r="22">
      <c r="A22" s="6" t="inlineStr">
        <is>
          <t>Current tax</t>
        </is>
      </c>
      <c r="B22" s="6" t="n">
        <v>80</v>
      </c>
      <c r="C22" s="6" t="n">
        <v>85</v>
      </c>
      <c r="D22" s="6" t="n">
        <v>179</v>
      </c>
      <c r="E22" s="6" t="n"/>
      <c r="F22" s="6" t="n"/>
    </row>
    <row r="23">
      <c r="A23" s="6" t="inlineStr">
        <is>
          <t>Deferred tax</t>
        </is>
      </c>
      <c r="B23" s="6" t="n">
        <v>502</v>
      </c>
      <c r="C23" s="6" t="n">
        <v>502</v>
      </c>
      <c r="D23" s="6" t="n">
        <v>534</v>
      </c>
      <c r="E23" s="6" t="n">
        <v>245</v>
      </c>
      <c r="F23" s="6" t="n">
        <v>331</v>
      </c>
    </row>
    <row r="24">
      <c r="A24" s="5" t="inlineStr">
        <is>
          <t>Total liabilities</t>
        </is>
      </c>
      <c r="B24" s="5" t="n">
        <v>179620</v>
      </c>
      <c r="C24" s="5" t="n">
        <v>157690</v>
      </c>
      <c r="D24" s="5" t="n">
        <v>141542</v>
      </c>
      <c r="E24" s="5" t="n">
        <v>103768</v>
      </c>
      <c r="F24" s="5" t="n">
        <v>34728</v>
      </c>
    </row>
    <row r="25">
      <c r="A25" s="5" t="inlineStr">
        <is>
          <t>Equity</t>
        </is>
      </c>
      <c r="B25" s="6" t="n"/>
      <c r="C25" s="6" t="n"/>
      <c r="D25" s="6" t="n"/>
      <c r="E25" s="6" t="n"/>
      <c r="F25" s="6" t="n"/>
    </row>
    <row r="26">
      <c r="A26" s="6" t="inlineStr">
        <is>
          <t>Share capital</t>
        </is>
      </c>
      <c r="B26" s="6" t="n">
        <v>15000</v>
      </c>
      <c r="C26" s="6" t="n">
        <v>15000</v>
      </c>
      <c r="D26" s="6" t="n">
        <v>15000</v>
      </c>
      <c r="E26" s="6" t="n">
        <v>15000</v>
      </c>
      <c r="F26" s="6" t="n">
        <v>15000</v>
      </c>
    </row>
    <row r="27">
      <c r="A27" s="6" t="inlineStr">
        <is>
          <t>Revaluation reserve</t>
        </is>
      </c>
      <c r="B27" s="6" t="n">
        <v>1136</v>
      </c>
      <c r="C27" s="6" t="n">
        <v>1136</v>
      </c>
      <c r="D27" s="6" t="n">
        <v>1104</v>
      </c>
      <c r="E27" s="6" t="n">
        <v>820</v>
      </c>
      <c r="F27" s="6" t="n">
        <v>745</v>
      </c>
    </row>
    <row r="28">
      <c r="A28" s="6" t="inlineStr">
        <is>
          <t>Accumulated losses</t>
        </is>
      </c>
      <c r="B28" s="6" t="n">
        <v>-643</v>
      </c>
      <c r="C28" s="6" t="n">
        <v>-966</v>
      </c>
      <c r="D28" s="6" t="n">
        <v>-1293</v>
      </c>
      <c r="E28" s="6" t="n">
        <v>-1989</v>
      </c>
      <c r="F28" s="6" t="n">
        <v>-1843</v>
      </c>
    </row>
    <row r="29">
      <c r="A29" s="5" t="inlineStr">
        <is>
          <t>Equity shareholders' funds</t>
        </is>
      </c>
      <c r="B29" s="5" t="n">
        <v>15493</v>
      </c>
      <c r="C29" s="5" t="n">
        <v>15170</v>
      </c>
      <c r="D29" s="5" t="n">
        <v>14811</v>
      </c>
      <c r="E29" s="5" t="n">
        <v>13831</v>
      </c>
      <c r="F29" s="5" t="n">
        <v>13902</v>
      </c>
    </row>
    <row r="30">
      <c r="A30" s="5" t="inlineStr">
        <is>
          <t>Total liabilities and equity</t>
        </is>
      </c>
      <c r="B30" s="5" t="n">
        <v>195113</v>
      </c>
      <c r="C30" s="5" t="n">
        <v>172860</v>
      </c>
      <c r="D30" s="5" t="n">
        <v>156353</v>
      </c>
      <c r="E30" s="5" t="n">
        <v>117599</v>
      </c>
      <c r="F30" s="5" t="n">
        <v>48630</v>
      </c>
    </row>
    <row r="32" ht="260" customHeight="1">
      <c r="A32" s="8" t="inlineStr">
        <is>
          <t>Sources - Bank of Ceylon (UK) Limited's own Statement of Financial Position / Statement of Comprehensive Income / Statement of Changes to Equity, £'000, as filed at Companies House (all 3 filings are fully scanned/image-only - visually transcribed by rendering each page to PNG at 200dpi and reading it directly, the same OCR-equivalent workflow used elsewhere in this project for image-only statutory filings):
FY2025 &amp; FY2024: Full accounts made up to 31 December 2025, pp.24-26 - https://find-and-update.company-information.service.gov.uk/company/06736473/filing-history/MzUyMjY1MjQxM2FkaXF6a2N4/document?format=pdf&amp;download=0
FY2023 &amp; FY2022: Full accounts made up to 31 December 2023, pp.39-41,57 (Note 15) - https://find-and-update.company-information.service.gov.uk/company/06736473/filing-history/MzQyMTM2NzE0MWFkaXF6a2N4/document?format=pdf&amp;download=0
FY2021 (&amp; FY2020 comparative, not used): Full accounts made up to 31 December 2021, pp.26-28,43 (Note 14) - https://find-and-update.company-information.service.gov.uk/company/06736473/filing-history/MzMzODIzNzc0NWFkaXF6a2N4/document?format=pdf&amp;download=0
PRESENTATION NOTE: line items are not fully consistent year to year in these filings - Derivatives (assets and liabilities) appear as a separate line only in the FY2021-FY2023 filings, not FY2024/FY2025 (likely folded into Other assets/Other liabilities those years, not stated explicitly); Prepayments and accrued income and Accruals are separate lines FY2022-FY2025 but not disclosed separately in FY2021 (folded into Other assets/Other liabilities that year); Current tax is a separate line FY2023-FY2025 only. None of this affects Total assets/Total liabilities/Total equity, which tie out exactly every year.
DATA CONSISTENCY NOTE: the FY2025 filing's own SOCE opening balance for 1 January 2024 (15,000/(1,293)/1,104/14,811) ties out exactly to the FY2023 filing's own closing balance for 31 December 2023, and similarly FY2023's opening 1 January 2022 balance (15,000/(1,989)/820/13,831) via the FY2023 filing itself, and FY2021's closing 31 December 2021 balance (15,000/(1,843)/745/13,902) matches the FY2023 filing's own '1 January 2022' opening row exactly - full chain verified across all 3 source documents, no restatement breaks found (unlike some other banks in this project).
P&amp;L NOTE: the FY2023 filing's Statement of Changes to Equity includes a 'Retained earnings Adjustment' of £(193)k for FY2023 that is NOT part of that year's Statement of Comprehensive Income (which shows Total comprehensive income of £1,173k) - this is a genuine one-off equity adjustment outside the P&amp;L, not a transcription error; it is captured in the Overview's equity bridge as part of 'Other movements, net'. Similarly, FY2021's and FY2022's Revaluation reserve movements ((159) and 75 respectively) bypass the P&amp;L's Other Comprehensive Income section entirely in the source document and are booked directly to equity via the Statement of Changes to Equity - reproduced as disclosed.
Entity note: Bank of Ceylon (UK) Limited (company 06736473, FRN 514744) is a wholly-owned UK subsidiary of Bank of Ceylon (Sri Lanka, state-owned). Unlike several other single-country foreign-parented subsidiaries in this project, it does NOT take the FRS 101/102 cash-flow-statement exemption - a full Statement of Cash Flows is filed every year, in GBP (no FX conversion needed).</t>
        </is>
      </c>
    </row>
  </sheetData>
  <mergeCells count="1">
    <mergeCell ref="A32:F3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Bank of Ceylon (UK) Limited — Statement of Comprehensive Income</t>
        </is>
      </c>
    </row>
    <row r="2">
      <c r="A2" s="2" t="inlineStr">
        <is>
          <t>Bank of Ceylon (UK) Limited (own entity basis), £'000</t>
        </is>
      </c>
    </row>
    <row r="3">
      <c r="A3" s="4" t="inlineStr">
        <is>
          <t>Line item</t>
        </is>
      </c>
      <c r="B3" s="4" t="inlineStr">
        <is>
          <t>FY2025 (£'000)</t>
        </is>
      </c>
      <c r="C3" s="4" t="inlineStr">
        <is>
          <t>FY2024 (£'000)</t>
        </is>
      </c>
      <c r="D3" s="4" t="inlineStr">
        <is>
          <t>FY2023 (£'000)</t>
        </is>
      </c>
      <c r="E3" s="4" t="inlineStr">
        <is>
          <t>FY2022 (£'000)</t>
        </is>
      </c>
      <c r="F3" s="4" t="inlineStr">
        <is>
          <t>FY2021 (£'000)</t>
        </is>
      </c>
    </row>
    <row r="4">
      <c r="A4" s="5" t="inlineStr">
        <is>
          <t>Income</t>
        </is>
      </c>
      <c r="B4" s="6" t="n"/>
      <c r="C4" s="6" t="n"/>
      <c r="D4" s="6" t="n"/>
      <c r="E4" s="6" t="n"/>
      <c r="F4" s="6" t="n"/>
    </row>
    <row r="5">
      <c r="A5" s="6" t="inlineStr">
        <is>
          <t>Interest income</t>
        </is>
      </c>
      <c r="B5" s="6" t="n">
        <v>8926</v>
      </c>
      <c r="C5" s="6" t="n">
        <v>9265</v>
      </c>
      <c r="D5" s="6" t="n">
        <v>6466</v>
      </c>
      <c r="E5" s="6" t="n">
        <v>2795</v>
      </c>
      <c r="F5" s="6" t="n">
        <v>1918</v>
      </c>
    </row>
    <row r="6">
      <c r="A6" s="6" t="inlineStr">
        <is>
          <t>Interest expense</t>
        </is>
      </c>
      <c r="B6" s="6" t="n">
        <v>-6758</v>
      </c>
      <c r="C6" s="6" t="n">
        <v>-6885</v>
      </c>
      <c r="D6" s="6" t="n">
        <v>-4272</v>
      </c>
      <c r="E6" s="6" t="n">
        <v>-1084</v>
      </c>
      <c r="F6" s="6" t="n">
        <v>-229</v>
      </c>
    </row>
    <row r="7">
      <c r="A7" s="5" t="inlineStr">
        <is>
          <t>Net interest income</t>
        </is>
      </c>
      <c r="B7" s="5" t="n">
        <v>2168</v>
      </c>
      <c r="C7" s="5" t="n">
        <v>2380</v>
      </c>
      <c r="D7" s="5" t="n">
        <v>2194</v>
      </c>
      <c r="E7" s="5" t="n">
        <v>1711</v>
      </c>
      <c r="F7" s="5" t="n">
        <v>1689</v>
      </c>
    </row>
    <row r="8">
      <c r="A8" s="6" t="inlineStr">
        <is>
          <t>Fees and commission income</t>
        </is>
      </c>
      <c r="B8" s="6" t="n">
        <v>885</v>
      </c>
      <c r="C8" s="6" t="n">
        <v>564</v>
      </c>
      <c r="D8" s="6" t="n">
        <v>530</v>
      </c>
      <c r="E8" s="6" t="n">
        <v>474</v>
      </c>
      <c r="F8" s="6" t="n">
        <v>361</v>
      </c>
    </row>
    <row r="9">
      <c r="A9" s="6" t="inlineStr">
        <is>
          <t>Net gains from foreign exchange transactions</t>
        </is>
      </c>
      <c r="B9" s="6" t="n">
        <v>108</v>
      </c>
      <c r="C9" s="6" t="n">
        <v>97</v>
      </c>
      <c r="D9" s="6" t="n">
        <v>421</v>
      </c>
      <c r="E9" s="6" t="n">
        <v>193</v>
      </c>
      <c r="F9" s="6" t="n">
        <v>50</v>
      </c>
    </row>
    <row r="10">
      <c r="A10" s="5" t="inlineStr">
        <is>
          <t>Net operating income</t>
        </is>
      </c>
      <c r="B10" s="5" t="n">
        <v>3161</v>
      </c>
      <c r="C10" s="5" t="n">
        <v>3041</v>
      </c>
      <c r="D10" s="5" t="n">
        <v>3145</v>
      </c>
      <c r="E10" s="5" t="n">
        <v>2378</v>
      </c>
      <c r="F10" s="5" t="n">
        <v>2100</v>
      </c>
    </row>
    <row r="11">
      <c r="A11" s="5" t="inlineStr">
        <is>
          <t>Operating expenses</t>
        </is>
      </c>
      <c r="B11" s="6" t="n"/>
      <c r="C11" s="6" t="n"/>
      <c r="D11" s="6" t="n"/>
      <c r="E11" s="6" t="n"/>
      <c r="F11" s="6" t="n"/>
    </row>
    <row r="12">
      <c r="A12" s="6" t="inlineStr">
        <is>
          <t>Personnel expenses</t>
        </is>
      </c>
      <c r="B12" s="6" t="n">
        <v>-1512</v>
      </c>
      <c r="C12" s="6" t="n">
        <v>-1459</v>
      </c>
      <c r="D12" s="6" t="n">
        <v>-1302</v>
      </c>
      <c r="E12" s="6" t="n">
        <v>-1126</v>
      </c>
      <c r="F12" s="6" t="n">
        <v>-1085</v>
      </c>
    </row>
    <row r="13">
      <c r="A13" s="6" t="inlineStr">
        <is>
          <t>Operational expenses</t>
        </is>
      </c>
      <c r="B13" s="6" t="n">
        <v>-1168</v>
      </c>
      <c r="C13" s="6" t="n">
        <v>-1133</v>
      </c>
      <c r="D13" s="6" t="n">
        <v>-940</v>
      </c>
      <c r="E13" s="6" t="n">
        <v>-877</v>
      </c>
      <c r="F13" s="6" t="n">
        <v>-723</v>
      </c>
    </row>
    <row r="14">
      <c r="A14" s="6" t="inlineStr">
        <is>
          <t>Depreciation</t>
        </is>
      </c>
      <c r="B14" s="6" t="n">
        <v>-84</v>
      </c>
      <c r="C14" s="6" t="n">
        <v>-120</v>
      </c>
      <c r="D14" s="6" t="n">
        <v>-116</v>
      </c>
      <c r="E14" s="6" t="n">
        <v>-106</v>
      </c>
      <c r="F14" s="6" t="n">
        <v>-107</v>
      </c>
    </row>
    <row r="15">
      <c r="A15" s="6" t="inlineStr">
        <is>
          <t>Amortisation</t>
        </is>
      </c>
      <c r="B15" s="6" t="n">
        <v>-14</v>
      </c>
      <c r="C15" s="6" t="n">
        <v>-10</v>
      </c>
      <c r="D15" s="6" t="n">
        <v>-9</v>
      </c>
      <c r="E15" s="6" t="n">
        <v>-11</v>
      </c>
      <c r="F15" s="6" t="n">
        <v>-12</v>
      </c>
    </row>
    <row r="16">
      <c r="A16" s="6" t="inlineStr">
        <is>
          <t>Impairment (charge)/gain on credit exposure</t>
        </is>
      </c>
      <c r="B16" s="6" t="n">
        <v>-15</v>
      </c>
      <c r="C16" s="6" t="n">
        <v>93</v>
      </c>
      <c r="D16" s="6" t="n">
        <v>290</v>
      </c>
      <c r="E16" s="6" t="n">
        <v>-405</v>
      </c>
      <c r="F16" s="6" t="n">
        <v>-59</v>
      </c>
    </row>
    <row r="17">
      <c r="A17" s="5" t="inlineStr">
        <is>
          <t>Total operating expenses</t>
        </is>
      </c>
      <c r="B17" s="5" t="n">
        <v>-2793</v>
      </c>
      <c r="C17" s="5" t="n">
        <v>-2629</v>
      </c>
      <c r="D17" s="5" t="n">
        <v>-2077</v>
      </c>
      <c r="E17" s="5" t="n">
        <v>-2525</v>
      </c>
      <c r="F17" s="5" t="n">
        <v>-1986</v>
      </c>
    </row>
    <row r="18">
      <c r="A18" s="5" t="inlineStr">
        <is>
          <t>Profit/(loss) from ordinary activities before tax</t>
        </is>
      </c>
      <c r="B18" s="5" t="n">
        <v>368</v>
      </c>
      <c r="C18" s="5" t="n">
        <v>412</v>
      </c>
      <c r="D18" s="5" t="n">
        <v>1068</v>
      </c>
      <c r="E18" s="5" t="n">
        <v>-147</v>
      </c>
      <c r="F18" s="5" t="n">
        <v>114</v>
      </c>
    </row>
    <row r="19">
      <c r="A19" s="6" t="inlineStr">
        <is>
          <t>Tax charge/(credit) on profit</t>
        </is>
      </c>
      <c r="B19" s="6" t="n">
        <v>-45</v>
      </c>
      <c r="C19" s="6" t="n">
        <v>-85</v>
      </c>
      <c r="D19" s="6" t="n">
        <v>-179</v>
      </c>
      <c r="E19" s="6" t="n">
        <v>1</v>
      </c>
      <c r="F19" s="6" t="n">
        <v>-2</v>
      </c>
    </row>
    <row r="20">
      <c r="A20" s="5" t="inlineStr">
        <is>
          <t>Profit/(loss) from ordinary activities after tax</t>
        </is>
      </c>
      <c r="B20" s="5" t="n">
        <v>323</v>
      </c>
      <c r="C20" s="5" t="n">
        <v>327</v>
      </c>
      <c r="D20" s="5" t="n">
        <v>889</v>
      </c>
      <c r="E20" s="5" t="n">
        <v>-146</v>
      </c>
      <c r="F20" s="5" t="n">
        <v>112</v>
      </c>
    </row>
    <row r="21">
      <c r="A21" s="5" t="inlineStr">
        <is>
          <t>Other comprehensive income</t>
        </is>
      </c>
      <c r="B21" s="6" t="n"/>
      <c r="C21" s="6" t="n"/>
      <c r="D21" s="6" t="n"/>
      <c r="E21" s="6" t="n"/>
      <c r="F21" s="6" t="n"/>
    </row>
    <row r="22">
      <c r="A22" s="6" t="inlineStr">
        <is>
          <t>Fair value gain on revaluation of property</t>
        </is>
      </c>
      <c r="B22" s="6" t="n"/>
      <c r="C22" s="6" t="n"/>
      <c r="D22" s="6" t="n">
        <v>574</v>
      </c>
      <c r="E22" s="6" t="n"/>
      <c r="F22" s="6" t="n"/>
    </row>
    <row r="23">
      <c r="A23" s="6" t="inlineStr">
        <is>
          <t>Deferred tax on revaluation</t>
        </is>
      </c>
      <c r="B23" s="6" t="n"/>
      <c r="C23" s="6" t="n">
        <v>32</v>
      </c>
      <c r="D23" s="6" t="n">
        <v>-290</v>
      </c>
      <c r="E23" s="6" t="n"/>
      <c r="F23" s="6" t="n"/>
    </row>
    <row r="24">
      <c r="A24" s="5" t="inlineStr">
        <is>
          <t>Total other comprehensive income</t>
        </is>
      </c>
      <c r="B24" s="5" t="n">
        <v>0</v>
      </c>
      <c r="C24" s="5" t="n">
        <v>32</v>
      </c>
      <c r="D24" s="5" t="n">
        <v>284</v>
      </c>
      <c r="E24" s="5" t="n">
        <v>0</v>
      </c>
      <c r="F24" s="5" t="n">
        <v>0</v>
      </c>
    </row>
    <row r="25">
      <c r="A25" s="5" t="inlineStr">
        <is>
          <t>Total comprehensive income/(loss) for the year</t>
        </is>
      </c>
      <c r="B25" s="5" t="n">
        <v>323</v>
      </c>
      <c r="C25" s="5" t="n">
        <v>359</v>
      </c>
      <c r="D25" s="5" t="n">
        <v>1173</v>
      </c>
      <c r="E25" s="5" t="n">
        <v>-146</v>
      </c>
      <c r="F25" s="5" t="n">
        <v>112</v>
      </c>
    </row>
    <row r="27" ht="260" customHeight="1">
      <c r="A27" s="8" t="inlineStr">
        <is>
          <t>Sources - Bank of Ceylon (UK) Limited's own Statement of Financial Position / Statement of Comprehensive Income / Statement of Changes to Equity, £'000, as filed at Companies House (all 3 filings are fully scanned/image-only - visually transcribed by rendering each page to PNG at 200dpi and reading it directly, the same OCR-equivalent workflow used elsewhere in this project for image-only statutory filings):
FY2025 &amp; FY2024: Full accounts made up to 31 December 2025, pp.24-26 - https://find-and-update.company-information.service.gov.uk/company/06736473/filing-history/MzUyMjY1MjQxM2FkaXF6a2N4/document?format=pdf&amp;download=0
FY2023 &amp; FY2022: Full accounts made up to 31 December 2023, pp.39-41,57 (Note 15) - https://find-and-update.company-information.service.gov.uk/company/06736473/filing-history/MzQyMTM2NzE0MWFkaXF6a2N4/document?format=pdf&amp;download=0
FY2021 (&amp; FY2020 comparative, not used): Full accounts made up to 31 December 2021, pp.26-28,43 (Note 14) - https://find-and-update.company-information.service.gov.uk/company/06736473/filing-history/MzMzODIzNzc0NWFkaXF6a2N4/document?format=pdf&amp;download=0
PRESENTATION NOTE: line items are not fully consistent year to year in these filings - Derivatives (assets and liabilities) appear as a separate line only in the FY2021-FY2023 filings, not FY2024/FY2025 (likely folded into Other assets/Other liabilities those years, not stated explicitly); Prepayments and accrued income and Accruals are separate lines FY2022-FY2025 but not disclosed separately in FY2021 (folded into Other assets/Other liabilities that year); Current tax is a separate line FY2023-FY2025 only. None of this affects Total assets/Total liabilities/Total equity, which tie out exactly every year.
DATA CONSISTENCY NOTE: the FY2025 filing's own SOCE opening balance for 1 January 2024 (15,000/(1,293)/1,104/14,811) ties out exactly to the FY2023 filing's own closing balance for 31 December 2023, and similarly FY2023's opening 1 January 2022 balance (15,000/(1,989)/820/13,831) via the FY2023 filing itself, and FY2021's closing 31 December 2021 balance (15,000/(1,843)/745/13,902) matches the FY2023 filing's own '1 January 2022' opening row exactly - full chain verified across all 3 source documents, no restatement breaks found (unlike some other banks in this project).
P&amp;L NOTE: the FY2023 filing's Statement of Changes to Equity includes a 'Retained earnings Adjustment' of £(193)k for FY2023 that is NOT part of that year's Statement of Comprehensive Income (which shows Total comprehensive income of £1,173k) - this is a genuine one-off equity adjustment outside the P&amp;L, not a transcription error; it is captured in the Overview's equity bridge as part of 'Other movements, net'. Similarly, FY2021's and FY2022's Revaluation reserve movements ((159) and 75 respectively) bypass the P&amp;L's Other Comprehensive Income section entirely in the source document and are booked directly to equity via the Statement of Changes to Equity - reproduced as disclosed.
Entity note: Bank of Ceylon (UK) Limited (company 06736473, FRN 514744) is a wholly-owned UK subsidiary of Bank of Ceylon (Sri Lanka, state-owned). Unlike several other single-country foreign-parented subsidiaries in this project, it does NOT take the FRS 101/102 cash-flow-statement exemption - a full Statement of Cash Flows is filed every year, in GBP (no FX conversion needed).</t>
        </is>
      </c>
    </row>
  </sheetData>
  <mergeCells count="1">
    <mergeCell ref="A27:F2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Bank of Ceylon (UK) Limited — Statement of Changes to Equity</t>
        </is>
      </c>
    </row>
    <row r="2">
      <c r="A2" s="2" t="inlineStr">
        <is>
          <t>Bank of Ceylon (UK) Limited (own entity basis), £'000, chronological (oldest to newest)</t>
        </is>
      </c>
    </row>
    <row r="3">
      <c r="A3" s="4" t="inlineStr">
        <is>
          <t>Movement</t>
        </is>
      </c>
      <c r="B3" s="4" t="inlineStr">
        <is>
          <t>Share capital</t>
        </is>
      </c>
      <c r="C3" s="4" t="inlineStr">
        <is>
          <t>Accumulated losses</t>
        </is>
      </c>
      <c r="D3" s="4" t="inlineStr">
        <is>
          <t>Revaluation reserve</t>
        </is>
      </c>
      <c r="E3" s="4" t="inlineStr">
        <is>
          <t>Total equity</t>
        </is>
      </c>
    </row>
    <row r="4">
      <c r="A4" s="5" t="inlineStr">
        <is>
          <t>Balance at 1 January 2021</t>
        </is>
      </c>
      <c r="B4" s="5" t="n">
        <v>15000</v>
      </c>
      <c r="C4" s="5" t="n">
        <v>-1955</v>
      </c>
      <c r="D4" s="5" t="n">
        <v>904</v>
      </c>
      <c r="E4" s="5" t="n">
        <v>13949</v>
      </c>
    </row>
    <row r="5">
      <c r="A5" s="6" t="inlineStr">
        <is>
          <t>Total comprehensive income</t>
        </is>
      </c>
      <c r="B5" s="6" t="n"/>
      <c r="C5" s="6" t="n">
        <v>112</v>
      </c>
      <c r="D5" s="6" t="n"/>
      <c r="E5" s="6" t="n">
        <v>112</v>
      </c>
    </row>
    <row r="6">
      <c r="A6" s="6" t="inlineStr">
        <is>
          <t>Revaluation reserve movement</t>
        </is>
      </c>
      <c r="B6" s="6" t="n"/>
      <c r="C6" s="6" t="n"/>
      <c r="D6" s="6" t="n">
        <v>-159</v>
      </c>
      <c r="E6" s="6" t="n">
        <v>-159</v>
      </c>
    </row>
    <row r="7">
      <c r="A7" s="5" t="inlineStr">
        <is>
          <t>Balance at 31 December 2021</t>
        </is>
      </c>
      <c r="B7" s="5" t="n">
        <v>15000</v>
      </c>
      <c r="C7" s="5" t="n">
        <v>-1843</v>
      </c>
      <c r="D7" s="5" t="n">
        <v>745</v>
      </c>
      <c r="E7" s="5" t="n">
        <v>13902</v>
      </c>
    </row>
    <row r="8">
      <c r="A8" s="6" t="inlineStr">
        <is>
          <t>Total comprehensive income</t>
        </is>
      </c>
      <c r="B8" s="6" t="n"/>
      <c r="C8" s="6" t="n">
        <v>-146</v>
      </c>
      <c r="D8" s="6" t="n"/>
      <c r="E8" s="6" t="n">
        <v>-146</v>
      </c>
    </row>
    <row r="9">
      <c r="A9" s="6" t="inlineStr">
        <is>
          <t>Revaluation reserve movement</t>
        </is>
      </c>
      <c r="B9" s="6" t="n"/>
      <c r="C9" s="6" t="n"/>
      <c r="D9" s="6" t="n">
        <v>75</v>
      </c>
      <c r="E9" s="6" t="n">
        <v>75</v>
      </c>
    </row>
    <row r="10">
      <c r="A10" s="5" t="inlineStr">
        <is>
          <t>Balance at 31 December 2022</t>
        </is>
      </c>
      <c r="B10" s="5" t="n">
        <v>15000</v>
      </c>
      <c r="C10" s="5" t="n">
        <v>-1989</v>
      </c>
      <c r="D10" s="5" t="n">
        <v>820</v>
      </c>
      <c r="E10" s="5" t="n">
        <v>13831</v>
      </c>
    </row>
    <row r="11">
      <c r="A11" s="6" t="inlineStr">
        <is>
          <t>Profit for the year</t>
        </is>
      </c>
      <c r="B11" s="6" t="n"/>
      <c r="C11" s="6" t="n">
        <v>889</v>
      </c>
      <c r="D11" s="6" t="n"/>
      <c r="E11" s="6" t="n">
        <v>889</v>
      </c>
    </row>
    <row r="12">
      <c r="A12" s="6" t="inlineStr">
        <is>
          <t>Retained earnings adjustment</t>
        </is>
      </c>
      <c r="B12" s="6" t="n"/>
      <c r="C12" s="6" t="n">
        <v>-193</v>
      </c>
      <c r="D12" s="6" t="n"/>
      <c r="E12" s="6" t="n">
        <v>-193</v>
      </c>
    </row>
    <row r="13">
      <c r="A13" s="6" t="inlineStr">
        <is>
          <t>Revaluation reserve movement</t>
        </is>
      </c>
      <c r="B13" s="6" t="n"/>
      <c r="C13" s="6" t="n"/>
      <c r="D13" s="6" t="n">
        <v>284</v>
      </c>
      <c r="E13" s="6" t="n">
        <v>284</v>
      </c>
    </row>
    <row r="14">
      <c r="A14" s="5" t="inlineStr">
        <is>
          <t>Balance at 31 December 2023</t>
        </is>
      </c>
      <c r="B14" s="5" t="n">
        <v>15000</v>
      </c>
      <c r="C14" s="5" t="n">
        <v>-1293</v>
      </c>
      <c r="D14" s="5" t="n">
        <v>1104</v>
      </c>
      <c r="E14" s="5" t="n">
        <v>14811</v>
      </c>
    </row>
    <row r="15">
      <c r="A15" s="6" t="inlineStr">
        <is>
          <t>Profit for the year</t>
        </is>
      </c>
      <c r="B15" s="6" t="n"/>
      <c r="C15" s="6" t="n">
        <v>327</v>
      </c>
      <c r="D15" s="6" t="n"/>
      <c r="E15" s="6" t="n">
        <v>327</v>
      </c>
    </row>
    <row r="16">
      <c r="A16" s="6" t="inlineStr">
        <is>
          <t>Other comprehensive income</t>
        </is>
      </c>
      <c r="B16" s="6" t="n"/>
      <c r="C16" s="6" t="n"/>
      <c r="D16" s="6" t="n">
        <v>32</v>
      </c>
      <c r="E16" s="6" t="n">
        <v>32</v>
      </c>
    </row>
    <row r="17">
      <c r="A17" s="5" t="inlineStr">
        <is>
          <t>Balance at 31 December 2024</t>
        </is>
      </c>
      <c r="B17" s="5" t="n">
        <v>15000</v>
      </c>
      <c r="C17" s="5" t="n">
        <v>-966</v>
      </c>
      <c r="D17" s="5" t="n">
        <v>1136</v>
      </c>
      <c r="E17" s="5" t="n">
        <v>15170</v>
      </c>
    </row>
    <row r="18">
      <c r="A18" s="6" t="inlineStr">
        <is>
          <t>Profit for the year</t>
        </is>
      </c>
      <c r="B18" s="6" t="n"/>
      <c r="C18" s="6" t="n">
        <v>323</v>
      </c>
      <c r="D18" s="6" t="n"/>
      <c r="E18" s="6" t="n">
        <v>323</v>
      </c>
    </row>
    <row r="19">
      <c r="A19" s="5" t="inlineStr">
        <is>
          <t>Balance at 31 December 2025</t>
        </is>
      </c>
      <c r="B19" s="5" t="n">
        <v>15000</v>
      </c>
      <c r="C19" s="5" t="n">
        <v>-643</v>
      </c>
      <c r="D19" s="5" t="n">
        <v>1136</v>
      </c>
      <c r="E19" s="5" t="n">
        <v>15493</v>
      </c>
    </row>
    <row r="21" ht="260" customHeight="1">
      <c r="A21" s="8" t="inlineStr">
        <is>
          <t>Sources - Bank of Ceylon (UK) Limited's own Statement of Financial Position / Statement of Comprehensive Income / Statement of Changes to Equity, £'000, as filed at Companies House (all 3 filings are fully scanned/image-only - visually transcribed by rendering each page to PNG at 200dpi and reading it directly, the same OCR-equivalent workflow used elsewhere in this project for image-only statutory filings):
FY2025 &amp; FY2024: Full accounts made up to 31 December 2025, pp.24-26 - https://find-and-update.company-information.service.gov.uk/company/06736473/filing-history/MzUyMjY1MjQxM2FkaXF6a2N4/document?format=pdf&amp;download=0
FY2023 &amp; FY2022: Full accounts made up to 31 December 2023, pp.39-41,57 (Note 15) - https://find-and-update.company-information.service.gov.uk/company/06736473/filing-history/MzQyMTM2NzE0MWFkaXF6a2N4/document?format=pdf&amp;download=0
FY2021 (&amp; FY2020 comparative, not used): Full accounts made up to 31 December 2021, pp.26-28,43 (Note 14) - https://find-and-update.company-information.service.gov.uk/company/06736473/filing-history/MzMzODIzNzc0NWFkaXF6a2N4/document?format=pdf&amp;download=0
PRESENTATION NOTE: line items are not fully consistent year to year in these filings - Derivatives (assets and liabilities) appear as a separate line only in the FY2021-FY2023 filings, not FY2024/FY2025 (likely folded into Other assets/Other liabilities those years, not stated explicitly); Prepayments and accrued income and Accruals are separate lines FY2022-FY2025 but not disclosed separately in FY2021 (folded into Other assets/Other liabilities that year); Current tax is a separate line FY2023-FY2025 only. None of this affects Total assets/Total liabilities/Total equity, which tie out exactly every year.
DATA CONSISTENCY NOTE: the FY2025 filing's own SOCE opening balance for 1 January 2024 (15,000/(1,293)/1,104/14,811) ties out exactly to the FY2023 filing's own closing balance for 31 December 2023, and similarly FY2023's opening 1 January 2022 balance (15,000/(1,989)/820/13,831) via the FY2023 filing itself, and FY2021's closing 31 December 2021 balance (15,000/(1,843)/745/13,902) matches the FY2023 filing's own '1 January 2022' opening row exactly - full chain verified across all 3 source documents, no restatement breaks found (unlike some other banks in this project).
P&amp;L NOTE: the FY2023 filing's Statement of Changes to Equity includes a 'Retained earnings Adjustment' of £(193)k for FY2023 that is NOT part of that year's Statement of Comprehensive Income (which shows Total comprehensive income of £1,173k) - this is a genuine one-off equity adjustment outside the P&amp;L, not a transcription error; it is captured in the Overview's equity bridge as part of 'Other movements, net'. Similarly, FY2021's and FY2022's Revaluation reserve movements ((159) and 75 respectively) bypass the P&amp;L's Other Comprehensive Income section entirely in the source document and are booked directly to equity via the Statement of Changes to Equity - reproduced as disclosed.
Entity note: Bank of Ceylon (UK) Limited (company 06736473, FRN 514744) is a wholly-owned UK subsidiary of Bank of Ceylon (Sri Lanka, state-owned). Unlike several other single-country foreign-parented subsidiaries in this project, it does NOT take the FRS 101/102 cash-flow-statement exemption - a full Statement of Cash Flows is filed every year, in GBP (no FX conversion needed).</t>
        </is>
      </c>
    </row>
  </sheetData>
  <mergeCells count="1">
    <mergeCell ref="A21:E2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Bank of Ceylon (UK) Limited — Statement of Cash Flows</t>
        </is>
      </c>
    </row>
    <row r="2">
      <c r="A2" s="2" t="inlineStr">
        <is>
          <t>Bank of Ceylon (UK) Limited (own entity basis), £'000 unless stated</t>
        </is>
      </c>
    </row>
    <row r="3">
      <c r="A3" s="4" t="inlineStr">
        <is>
          <t>Line item</t>
        </is>
      </c>
      <c r="B3" s="4" t="inlineStr">
        <is>
          <t>FY2025 (£'000)</t>
        </is>
      </c>
      <c r="C3" s="4" t="inlineStr">
        <is>
          <t>FY2024 (£'000)</t>
        </is>
      </c>
      <c r="D3" s="4" t="inlineStr">
        <is>
          <t>FY2023 (£'000)</t>
        </is>
      </c>
      <c r="E3" s="4" t="inlineStr">
        <is>
          <t>FY2022 (£'000)</t>
        </is>
      </c>
      <c r="F3" s="4" t="inlineStr">
        <is>
          <t>FY2021 (£'000)</t>
        </is>
      </c>
    </row>
    <row r="4">
      <c r="A4" s="5" t="inlineStr">
        <is>
          <t>Cash flows from operating activities</t>
        </is>
      </c>
      <c r="B4" s="6" t="n"/>
      <c r="C4" s="6" t="n"/>
      <c r="D4" s="6" t="n"/>
      <c r="E4" s="6" t="n"/>
      <c r="F4" s="6" t="n"/>
    </row>
    <row r="5">
      <c r="A5" s="6" t="inlineStr">
        <is>
          <t>Profit/(loss) before tax</t>
        </is>
      </c>
      <c r="B5" s="6" t="n">
        <v>368</v>
      </c>
      <c r="C5" s="6" t="n">
        <v>412</v>
      </c>
      <c r="D5" s="6" t="n">
        <v>1068</v>
      </c>
      <c r="E5" s="6" t="n">
        <v>-147</v>
      </c>
      <c r="F5" s="6" t="n">
        <v>114</v>
      </c>
    </row>
    <row r="6">
      <c r="A6" s="6" t="inlineStr">
        <is>
          <t>Depreciation of property, plant and equipment</t>
        </is>
      </c>
      <c r="B6" s="6" t="n">
        <v>84</v>
      </c>
      <c r="C6" s="6" t="n">
        <v>120</v>
      </c>
      <c r="D6" s="6" t="n">
        <v>116</v>
      </c>
      <c r="E6" s="6" t="n">
        <v>106</v>
      </c>
      <c r="F6" s="6" t="n">
        <v>107</v>
      </c>
    </row>
    <row r="7">
      <c r="A7" s="6" t="inlineStr">
        <is>
          <t>Amortisation of intangible assets</t>
        </is>
      </c>
      <c r="B7" s="6" t="n">
        <v>14</v>
      </c>
      <c r="C7" s="6" t="n">
        <v>10</v>
      </c>
      <c r="D7" s="6" t="n">
        <v>9</v>
      </c>
      <c r="E7" s="6" t="n">
        <v>11</v>
      </c>
      <c r="F7" s="6" t="n">
        <v>12</v>
      </c>
    </row>
    <row r="8">
      <c r="A8" s="6" t="inlineStr">
        <is>
          <t>Impairment charge/(gain) on loans</t>
        </is>
      </c>
      <c r="B8" s="6" t="n">
        <v>15</v>
      </c>
      <c r="C8" s="6" t="n">
        <v>-431</v>
      </c>
      <c r="D8" s="6" t="n">
        <v>-290</v>
      </c>
      <c r="E8" s="6" t="n">
        <v>392</v>
      </c>
      <c r="F8" s="6" t="n">
        <v>59</v>
      </c>
    </row>
    <row r="9">
      <c r="A9" s="6" t="inlineStr">
        <is>
          <t>Loans to customers / Loans and advances to customers</t>
        </is>
      </c>
      <c r="B9" s="6" t="n">
        <v>-19255</v>
      </c>
      <c r="C9" s="6" t="n">
        <v>-22782</v>
      </c>
      <c r="D9" s="6" t="n">
        <v>-15946</v>
      </c>
      <c r="E9" s="6" t="n">
        <v>1260</v>
      </c>
      <c r="F9" s="6" t="n">
        <v>1001</v>
      </c>
    </row>
    <row r="10">
      <c r="A10" s="6" t="inlineStr">
        <is>
          <t>Financial instruments (assets) / Investments</t>
        </is>
      </c>
      <c r="B10" s="6" t="n">
        <v>5370</v>
      </c>
      <c r="C10" s="6" t="n">
        <v>-7861</v>
      </c>
      <c r="D10" s="6" t="n">
        <v>6867</v>
      </c>
      <c r="E10" s="6" t="n">
        <v>13513</v>
      </c>
      <c r="F10" s="6" t="n">
        <v>1760</v>
      </c>
    </row>
    <row r="11">
      <c r="A11" s="6" t="inlineStr">
        <is>
          <t>Other receivables / other assets and derivatives</t>
        </is>
      </c>
      <c r="B11" s="6" t="n">
        <v>-84</v>
      </c>
      <c r="C11" s="6" t="n">
        <v>14</v>
      </c>
      <c r="D11" s="6" t="n">
        <v>-68</v>
      </c>
      <c r="E11" s="6" t="n">
        <v>-1112</v>
      </c>
      <c r="F11" s="6" t="n">
        <v>761</v>
      </c>
    </row>
    <row r="12">
      <c r="A12" s="6" t="inlineStr">
        <is>
          <t>Loans and advances to banks</t>
        </is>
      </c>
      <c r="B12" s="6" t="n"/>
      <c r="C12" s="6" t="n"/>
      <c r="D12" s="6" t="n"/>
      <c r="E12" s="6" t="n"/>
      <c r="F12" s="6" t="n">
        <v>92438</v>
      </c>
    </row>
    <row r="13">
      <c r="A13" s="6" t="inlineStr">
        <is>
          <t>Retail deposits / customer accounts</t>
        </is>
      </c>
      <c r="B13" s="6" t="n">
        <v>32166</v>
      </c>
      <c r="C13" s="6" t="n">
        <v>25309</v>
      </c>
      <c r="D13" s="6" t="n">
        <v>7802</v>
      </c>
      <c r="E13" s="6" t="n">
        <v>5616</v>
      </c>
      <c r="F13" s="6" t="n">
        <v>1079</v>
      </c>
    </row>
    <row r="14">
      <c r="A14" s="6" t="inlineStr">
        <is>
          <t>Financial instruments (liabilities) / deposits by bank</t>
        </is>
      </c>
      <c r="B14" s="6" t="n">
        <v>-11243</v>
      </c>
      <c r="C14" s="6" t="n">
        <v>-9670</v>
      </c>
      <c r="D14" s="6" t="n">
        <v>30118</v>
      </c>
      <c r="E14" s="6" t="n">
        <v>61911</v>
      </c>
      <c r="F14" s="6" t="n">
        <v>-95893</v>
      </c>
    </row>
    <row r="15">
      <c r="A15" s="6" t="inlineStr">
        <is>
          <t>Other liabilities and derivatives</t>
        </is>
      </c>
      <c r="B15" s="6" t="n">
        <v>1013</v>
      </c>
      <c r="C15" s="6" t="n">
        <v>635</v>
      </c>
      <c r="D15" s="6" t="n">
        <v>-617</v>
      </c>
      <c r="E15" s="6" t="n">
        <v>1598</v>
      </c>
      <c r="F15" s="6" t="n">
        <v>-511</v>
      </c>
    </row>
    <row r="16">
      <c r="A16" s="6" t="inlineStr">
        <is>
          <t>Corporate tax paid</t>
        </is>
      </c>
      <c r="B16" s="6" t="n">
        <v>-87</v>
      </c>
      <c r="C16" s="6" t="n">
        <v>-179</v>
      </c>
      <c r="D16" s="6" t="n"/>
      <c r="E16" s="6" t="n"/>
      <c r="F16" s="6" t="n"/>
    </row>
    <row r="17">
      <c r="A17" s="5" t="inlineStr">
        <is>
          <t>Net cash flow from operating activities</t>
        </is>
      </c>
      <c r="B17" s="5" t="n">
        <v>8361</v>
      </c>
      <c r="C17" s="5" t="n">
        <v>-14423</v>
      </c>
      <c r="D17" s="5" t="n">
        <v>29059</v>
      </c>
      <c r="E17" s="5" t="n">
        <v>83148</v>
      </c>
      <c r="F17" s="5" t="n">
        <v>927</v>
      </c>
    </row>
    <row r="18">
      <c r="A18" s="5" t="inlineStr">
        <is>
          <t>Cash flows from investing activities</t>
        </is>
      </c>
      <c r="B18" s="6" t="n"/>
      <c r="C18" s="6" t="n"/>
      <c r="D18" s="6" t="n"/>
      <c r="E18" s="6" t="n"/>
      <c r="F18" s="6" t="n"/>
    </row>
    <row r="19">
      <c r="A19" s="6" t="inlineStr">
        <is>
          <t>Purchase of property, plant and equipment / acquisition of fixed assets</t>
        </is>
      </c>
      <c r="B19" s="6" t="n">
        <v>-152</v>
      </c>
      <c r="C19" s="6" t="n">
        <v>-461</v>
      </c>
      <c r="D19" s="6" t="n">
        <v>-116</v>
      </c>
      <c r="E19" s="6" t="n">
        <v>-2</v>
      </c>
      <c r="F19" s="6" t="n">
        <v>0</v>
      </c>
    </row>
    <row r="20">
      <c r="A20" s="5" t="inlineStr">
        <is>
          <t>Net cash flow from investing activities</t>
        </is>
      </c>
      <c r="B20" s="5" t="n">
        <v>-152</v>
      </c>
      <c r="C20" s="5" t="n">
        <v>-461</v>
      </c>
      <c r="D20" s="5" t="n">
        <v>-116</v>
      </c>
      <c r="E20" s="5" t="n">
        <v>-2</v>
      </c>
      <c r="F20" s="5" t="n">
        <v>0</v>
      </c>
    </row>
    <row r="21">
      <c r="A21" s="5" t="inlineStr">
        <is>
          <t>Cash flows from financing activities</t>
        </is>
      </c>
      <c r="B21" s="6" t="n"/>
      <c r="C21" s="6" t="n"/>
      <c r="D21" s="6" t="n"/>
      <c r="E21" s="6" t="n"/>
      <c r="F21" s="6" t="n"/>
    </row>
    <row r="22">
      <c r="A22" s="6" t="inlineStr">
        <is>
          <t>Repayment on investments</t>
        </is>
      </c>
      <c r="B22" s="6" t="n"/>
      <c r="C22" s="6" t="n"/>
      <c r="D22" s="6" t="n">
        <v>0</v>
      </c>
      <c r="E22" s="6" t="n">
        <v>747</v>
      </c>
      <c r="F22" s="6" t="n"/>
    </row>
    <row r="23">
      <c r="A23" s="5" t="inlineStr">
        <is>
          <t>Net cash flow from financing activities</t>
        </is>
      </c>
      <c r="B23" s="5" t="n">
        <v>0</v>
      </c>
      <c r="C23" s="5" t="n">
        <v>0</v>
      </c>
      <c r="D23" s="5" t="n">
        <v>0</v>
      </c>
      <c r="E23" s="5" t="n">
        <v>747</v>
      </c>
      <c r="F23" s="5" t="n">
        <v>0</v>
      </c>
    </row>
    <row r="24">
      <c r="A24" s="5" t="inlineStr">
        <is>
          <t>Net increase/(decrease) in cash and cash equivalents</t>
        </is>
      </c>
      <c r="B24" s="5" t="n">
        <v>8209</v>
      </c>
      <c r="C24" s="5" t="n">
        <v>-14884</v>
      </c>
      <c r="D24" s="5" t="n">
        <v>28943</v>
      </c>
      <c r="E24" s="5" t="n">
        <v>83893</v>
      </c>
      <c r="F24" s="5" t="n">
        <v>927</v>
      </c>
    </row>
    <row r="25">
      <c r="A25" s="6" t="inlineStr">
        <is>
          <t>Opening cash and cash equivalents</t>
        </is>
      </c>
      <c r="B25" s="6" t="n">
        <v>100818</v>
      </c>
      <c r="C25" s="6" t="n">
        <v>115702</v>
      </c>
      <c r="D25" s="6" t="n">
        <v>86759</v>
      </c>
      <c r="E25" s="6" t="n">
        <v>2866</v>
      </c>
      <c r="F25" s="6" t="n">
        <v>1939</v>
      </c>
    </row>
    <row r="26">
      <c r="A26" s="5" t="inlineStr">
        <is>
          <t>Closing cash and cash equivalents</t>
        </is>
      </c>
      <c r="B26" s="5" t="n">
        <v>109027</v>
      </c>
      <c r="C26" s="5" t="n">
        <v>100818</v>
      </c>
      <c r="D26" s="5" t="n">
        <v>115702</v>
      </c>
      <c r="E26" s="5" t="n">
        <v>86759</v>
      </c>
      <c r="F26" s="5" t="n">
        <v>2866</v>
      </c>
    </row>
    <row r="28" ht="220" customHeight="1">
      <c r="A28" s="8" t="inlineStr">
        <is>
          <t>Sources - all figures are Bank of Ceylon (UK) Limited's own Statement of Cash Flows, £'000, as filed at Companies House (all 5 filings are fully scanned/image-only - OCR'd with tesseract, cross-verified against rendered page images at up to 400dpi):
FY2025 &amp; FY2024: Full accounts made up to 31 December 2025, p.27 (Statement of Cash Flows) - https://find-and-update.company-information.service.gov.uk/company/06736473/filing-history/MzUyMjY1MjQxM2FkaXF6a2N4/document?format=pdf&amp;download=0
FY2023 &amp; FY2022: Full accounts made up to 31 December 2023, p.42 (Statement of Cashflow) - https://find-and-update.company-information.service.gov.uk/company/06736473/filing-history/MzQyMTM2NzE0MWFkaXF6a2N4/document?format=pdf&amp;download=0
FY2021 (&amp; FY2020 comparative, not used): Full accounts made up to 31 December 2021, p.29 (Statement of Cashflow) - https://find-and-update.company-information.service.gov.uk/company/06736473/filing-history/MzMzODIzNzc0NWFkaXF6a2N4/document?format=pdf&amp;download=0
DATA ERROR NOTE: the FY2021 filing's own printed 'Other assets and derivatives' line for 2021 reads '-761' (a bare minus sign, inconsistent with every other negative figure in the same column, which uses parentheses). This does not reconcile with that same document's own printed subtotals ('635' changes-in subtotal, '927' net operating cash flow) - summing the 7 itemised 'Changes in' lines with -761 gives -887, not 635. Using +761 instead reconciles exactly to both printed subtotals (635 and 927). +761 is used here; the original printed '-761' is preserved in this note for reference. The FY2020 comparative column's equivalent line (-304) is internally consistent as printed and was not changed.
PRESENTATION NOTE: both the FY2021 and FY2023 filings mislabel their investing/financing subtotal rows - the FY2021 filing's 'Net cash flow from financing activities' caption sits directly above the FY2020 column's investing-activities value (-149, which is actually 'Acquisition of fixed assets'), and the FY2023 filing's 'Net cash flow from investing activities' caption sits directly above a value that is actually the operating-activities subtotal (matches 'Cash generated by operations' exactly). Neither year discloses any financing activity beyond a single investing-classified line ('Acquisition of fixed assets' FY2021, 'Purchase of operating property, plant and equipment' FY2023/FY2022) or, in FY2022, a genuine financing line ('Repayment on investments', £747k). This workbook places each line under its correct economic section (Operating/Investing/Financing) regardless of the source's caption placement; every section TOTAL and the full opening/closing cash chain reconciles exactly across all 5 years once corrected.
Entity note: Bank of Ceylon (UK) Limited (company 06736473, FRN 514744) is a wholly-owned UK subsidiary of Bank of Ceylon (Sri Lanka, state-owned). Unlike several other single-country foreign-parented subsidiaries in this project, it does NOT take the FRS 101/102 cash-flow-statement exemption - a full Statement of Cash Flows is filed every year, in GBP (no FX conversion needed).</t>
        </is>
      </c>
    </row>
  </sheetData>
  <mergeCells count="1">
    <mergeCell ref="A28:F2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Bank of Ceylon (UK) Limited — Asset Quality / Credit Risk Disclosures</t>
        </is>
      </c>
    </row>
    <row r="2">
      <c r="A2" s="2" t="inlineStr">
        <is>
          <t>Bank of Ceylon (UK) Limited (own entity basis), £'000 unless stated</t>
        </is>
      </c>
    </row>
    <row r="3">
      <c r="A3" s="4" t="inlineStr">
        <is>
          <t>Line item</t>
        </is>
      </c>
      <c r="B3" s="4" t="inlineStr">
        <is>
          <t>FY2025 (£'000)</t>
        </is>
      </c>
      <c r="C3" s="4" t="inlineStr">
        <is>
          <t>FY2024 (£'000)</t>
        </is>
      </c>
      <c r="D3" s="4" t="inlineStr">
        <is>
          <t>FY2023 (£'000)</t>
        </is>
      </c>
      <c r="E3" s="4" t="inlineStr">
        <is>
          <t>FY2022 (£'000)</t>
        </is>
      </c>
      <c r="F3" s="4" t="inlineStr">
        <is>
          <t>FY2021 (£'000)</t>
        </is>
      </c>
    </row>
    <row r="4">
      <c r="A4" s="5" t="inlineStr">
        <is>
          <t>Loans and advances to customers - by IFRS 9 stage (FY2024-FY2025 only)</t>
        </is>
      </c>
      <c r="B4" s="6" t="n"/>
      <c r="C4" s="6" t="n"/>
      <c r="D4" s="6" t="n"/>
      <c r="E4" s="6" t="n"/>
      <c r="F4" s="6" t="n"/>
    </row>
    <row r="5">
      <c r="A5" s="6" t="inlineStr">
        <is>
          <t>Stage 1 (performing)</t>
        </is>
      </c>
      <c r="B5" s="6" t="n">
        <v>72088</v>
      </c>
      <c r="C5" s="6" t="n">
        <v>55739</v>
      </c>
      <c r="D5" s="6" t="n"/>
      <c r="E5" s="6" t="n"/>
      <c r="F5" s="6" t="n"/>
    </row>
    <row r="6">
      <c r="A6" s="6" t="inlineStr">
        <is>
          <t>Stage 2 (significant increase in credit risk)</t>
        </is>
      </c>
      <c r="B6" s="6" t="n">
        <v>3646</v>
      </c>
      <c r="C6" s="6" t="n">
        <v>1094</v>
      </c>
      <c r="D6" s="6" t="n"/>
      <c r="E6" s="6" t="n"/>
      <c r="F6" s="6" t="n"/>
    </row>
    <row r="7">
      <c r="A7" s="6" t="inlineStr">
        <is>
          <t>Stage 3 (credit-impaired)</t>
        </is>
      </c>
      <c r="B7" s="6" t="n">
        <v>354</v>
      </c>
      <c r="C7" s="6" t="n">
        <v>0</v>
      </c>
      <c r="D7" s="6" t="n"/>
      <c r="E7" s="6" t="n"/>
      <c r="F7" s="6" t="n"/>
    </row>
    <row r="8">
      <c r="A8" s="5" t="inlineStr">
        <is>
          <t>Gross loans and advances to customers (by stage)</t>
        </is>
      </c>
      <c r="B8" s="5" t="n">
        <v>76088</v>
      </c>
      <c r="C8" s="5" t="n">
        <v>56833</v>
      </c>
      <c r="D8" s="5" t="n"/>
      <c r="E8" s="5" t="n"/>
      <c r="F8" s="5" t="n"/>
    </row>
    <row r="9">
      <c r="A9" s="5" t="inlineStr">
        <is>
          <t>Loans and advances to customers - by product (FY2021-FY2023 only)</t>
        </is>
      </c>
      <c r="B9" s="6" t="n"/>
      <c r="C9" s="6" t="n"/>
      <c r="D9" s="6" t="n"/>
      <c r="E9" s="6" t="n"/>
      <c r="F9" s="6" t="n"/>
    </row>
    <row r="10">
      <c r="A10" s="6" t="inlineStr">
        <is>
          <t>Personal loans and advances (gross)</t>
        </is>
      </c>
      <c r="B10" s="6" t="n"/>
      <c r="C10" s="6" t="n"/>
      <c r="D10" s="6" t="n">
        <v>30188</v>
      </c>
      <c r="E10" s="6" t="n">
        <v>10750</v>
      </c>
      <c r="F10" s="6" t="n">
        <v>11277</v>
      </c>
    </row>
    <row r="11">
      <c r="A11" s="6" t="inlineStr">
        <is>
          <t>Commercial loans and advances (gross)</t>
        </is>
      </c>
      <c r="B11" s="6" t="n"/>
      <c r="C11" s="6" t="n"/>
      <c r="D11" s="6" t="n">
        <v>3862</v>
      </c>
      <c r="E11" s="6" t="n">
        <v>7355</v>
      </c>
      <c r="F11" s="6" t="n">
        <v>8088</v>
      </c>
    </row>
    <row r="12">
      <c r="A12" s="5" t="inlineStr">
        <is>
          <t>Gross loans and advances to customers (by product)</t>
        </is>
      </c>
      <c r="B12" s="5" t="n"/>
      <c r="C12" s="5" t="n"/>
      <c r="D12" s="5" t="n">
        <v>34050</v>
      </c>
      <c r="E12" s="5" t="n">
        <v>18105</v>
      </c>
      <c r="F12" s="5" t="n">
        <v>19365</v>
      </c>
    </row>
    <row r="13">
      <c r="A13" s="5" t="inlineStr">
        <is>
          <t>Impairment</t>
        </is>
      </c>
      <c r="B13" s="6" t="n"/>
      <c r="C13" s="6" t="n"/>
      <c r="D13" s="6" t="n"/>
      <c r="E13" s="6" t="n"/>
      <c r="F13" s="6" t="n"/>
    </row>
    <row r="14">
      <c r="A14" s="6" t="inlineStr">
        <is>
          <t>ECL allowance on loans and advances to customers</t>
        </is>
      </c>
      <c r="B14" s="6" t="n">
        <v>-45</v>
      </c>
      <c r="C14" s="6" t="n">
        <v>-26</v>
      </c>
      <c r="D14" s="6" t="n">
        <v>-18</v>
      </c>
      <c r="E14" s="6" t="n">
        <v>-9</v>
      </c>
      <c r="F14" s="6" t="n">
        <v>-6</v>
      </c>
    </row>
    <row r="15">
      <c r="A15" s="5" t="inlineStr">
        <is>
          <t>Net loans and advances to customers</t>
        </is>
      </c>
      <c r="B15" s="5" t="n">
        <v>76043</v>
      </c>
      <c r="C15" s="5" t="n">
        <v>56807</v>
      </c>
      <c r="D15" s="5" t="n">
        <v>34032</v>
      </c>
      <c r="E15" s="5" t="n">
        <v>18096</v>
      </c>
      <c r="F15" s="5" t="n">
        <v>19359</v>
      </c>
    </row>
    <row r="16">
      <c r="A16" s="5" t="inlineStr">
        <is>
          <t>Asset quality ratios</t>
        </is>
      </c>
      <c r="B16" s="6" t="n"/>
      <c r="C16" s="6" t="n"/>
      <c r="D16" s="6" t="n"/>
      <c r="E16" s="6" t="n"/>
      <c r="F16" s="6" t="n"/>
    </row>
    <row r="17">
      <c r="A17" s="6" t="inlineStr">
        <is>
          <t>ECL coverage ratio (ECL allowance / gross loans)</t>
        </is>
      </c>
      <c r="B17" s="6" t="inlineStr">
        <is>
          <t>0.06%</t>
        </is>
      </c>
      <c r="C17" s="6" t="inlineStr">
        <is>
          <t>0.05%</t>
        </is>
      </c>
      <c r="D17" s="6" t="inlineStr">
        <is>
          <t>0.05%</t>
        </is>
      </c>
      <c r="E17" s="6" t="inlineStr">
        <is>
          <t>0.05%</t>
        </is>
      </c>
      <c r="F17" s="6" t="inlineStr">
        <is>
          <t>0.03%</t>
        </is>
      </c>
    </row>
    <row r="18">
      <c r="A18" s="6" t="inlineStr">
        <is>
          <t>Stage 3 / NPL ratio (Stage 3 gross / total gross)</t>
        </is>
      </c>
      <c r="B18" s="6" t="inlineStr">
        <is>
          <t>0.47%</t>
        </is>
      </c>
      <c r="C18" s="6" t="inlineStr">
        <is>
          <t>0.00%</t>
        </is>
      </c>
      <c r="D18" s="6" t="n"/>
      <c r="E18" s="6" t="n"/>
      <c r="F18" s="6" t="n"/>
    </row>
    <row r="20" ht="220" customHeight="1">
      <c r="A20" s="8" t="inlineStr">
        <is>
          <t>Sources - Bank of Ceylon (UK) Limited's own Companies House filings (visually transcribed, see the Balance Sheet sheet's source note for the OCR-equivalent method):
FY2025 &amp; FY2024 (by IFRS 9 stage): Full accounts made up to 31 December 2025, p.39 ('Credit exposure by stage' note) - https://find-and-update.company-information.service.gov.uk/company/06736473/filing-history/MzUyMjY1MjQxM2FkaXF6a2N4/document?format=pdf&amp;download=0
FY2023 &amp; FY2022 (by product): Full accounts made up to 31 December 2023, p.57 (Note 15) - https://find-and-update.company-information.service.gov.uk/company/06736473/filing-history/MzQyMTM2NzE0MWFkaXF6a2N4/document?format=pdf&amp;download=0
FY2021 (by product): Full accounts made up to 31 December 2021, p.43 (Note 14) - https://find-and-update.company-information.service.gov.uk/company/06736473/filing-history/MzMzODIzNzc0NWFkaXF6a2N4/document?format=pdf&amp;download=0
STRUCTURAL BREAK: the FY2025 filing introduced a new IFRS 9 stage-level credit exposure disclosure not present in the earlier filings - FY2025/FY2024 are shown by stage (Stage 1/2/3), FY2023/FY2022/FY2021 are shown by product (Personal/Commercial) instead, since that is genuinely all that was disclosed those years. The two breakdowns are NOT additive across the table (different bases) - both are transcribed as their own source discloses, not forced into one shape.
FY2024's ECL allowance on loans and advances to customers (£26k) is DERIVED (gross £56,833k less carrying £56,807k per the Balance Sheet/Note 15), not a directly disclosed per-portfolio figure for that year - the FY2025 filing's reconciliation table (gross-&gt;ECL-&gt;net) is only given for FY2025 itself.
Entity note: Bank of Ceylon (UK) Limited (company 06736473, FRN 514744) is a wholly-owned UK subsidiary of Bank of Ceylon (Sri Lanka, state-owned). Unlike several other single-country foreign-parented subsidiaries in this project, it does NOT take the FRS 101/102 cash-flow-statement exemption - a full Statement of Cash Flows is filed every year, in GBP (no FX conversion needed).</t>
        </is>
      </c>
    </row>
  </sheetData>
  <mergeCells count="1">
    <mergeCell ref="A20:F2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Bank of Ceylon (UK) Limited — CET1 Capital</t>
        </is>
      </c>
    </row>
    <row r="2">
      <c r="A2" s="2" t="inlineStr">
        <is>
          <t>£'000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Common Equity Tier 1 (CET1) capital</t>
        </is>
      </c>
      <c r="B4" s="6" t="n">
        <v>14217</v>
      </c>
      <c r="C4" s="6" t="n">
        <v>13940</v>
      </c>
      <c r="D4" s="6" t="n">
        <v>13685</v>
      </c>
      <c r="E4" s="6" t="n"/>
      <c r="F4" s="6" t="n">
        <v>13424</v>
      </c>
    </row>
    <row r="6" ht="200" customHeight="1">
      <c r="A6" s="8" t="inlineStr">
        <is>
          <t>Sources - Bank of Ceylon (UK) Limited Pillar 3 disclosures (own entity-level basis; UK KM1-style Key Metrics template from FY2022 on, PRA's pre-2022 own-funds/leverage tables for FY2021), £'000 unless stated:
FY2025 &amp; FY2024 comparative: Pillar 3 Disclosures 31 December 2025, p.3 (1.1 Key Metrics) - https://www.bankofceylon.co.uk/downloads/corporate/BOCUK_Pillar%203%20Disclosures%2031%20December%202025.pdf
FY2024 (own year) &amp; FY2023 comparative: Pillar 3 Disclosures 31 December 2024, p.4 (1.1 Key Metrics) - https://www.bankofceylon.co.uk/downloads/corporate/BOCUK_Pillar%203%20Disclosures%2031%20December%202024.pdf
FY2021 (own year): Pillar 3 Disclosures as at 31st December 2021, p.12 (4.1 Total Available Capital) - https://www.bankofceylon.co.uk/downloads/corporate/BOCUK_Pillar%203%20Disclosures%2031%20December%202021.pdf
FY2022: no standalone Pillar 3 document was found on the bank's site (2022 and 2023 editions are both absent from its published list; FY2023 is covered here only via FY2024's own comparative column) - left blank rather than guessed.
CROSS-VINTAGE NOTE (Leverage Ratio only): the FY2024 Pillar 3 document's own figures for FY2024 (Total exposure £75,247k, Leverage ratio 18.5%) differ slightly from the FY2025 document's restated FY2024 comparative (£76,247k, 18.3%). This workbook uses each year's own originally-published figure as the primary column (FY2024 = 18.5%, from the FY2024 document); the restatement is noted here, not silently blended. Separately, the FY2025 document's own narrative text states the leverage ratio 'declined from 18.5% to 15.2%' in 2025 - this contradicts both that same document's Key Metrics table and its own Section 7 reconciliation table, which independently agree at 14.3% (FY2025) / 18.3% (FY2024 restated). The two internally-consistent tables are used; the narrative sentence appears to be a drafting error.
Entity note: Bank of Ceylon (UK) Limited (company 06736473, FRN 514744) is a wholly-owned UK subsidiary of Bank of Ceylon (Sri Lanka, state-owned). Unlike several other single-country foreign-parented subsidiaries in this project, it does NOT take the FRS 101/102 cash-flow-statement exemption - a full Statement of Cash Flows is filed every year, in GBP (no FX conversion needed).</t>
        </is>
      </c>
    </row>
  </sheetData>
  <mergeCells count="1">
    <mergeCell ref="A6:F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Bank of Ceylon (UK) Limited — CET1 Ratio</t>
        </is>
      </c>
    </row>
    <row r="2">
      <c r="A2" s="2" t="inlineStr">
        <is>
          <t>% of RWA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Common Equity Tier 1 (CET1) ratio</t>
        </is>
      </c>
      <c r="B4" s="6" t="inlineStr">
        <is>
          <t>20.1%</t>
        </is>
      </c>
      <c r="C4" s="6" t="inlineStr">
        <is>
          <t>22.7%</t>
        </is>
      </c>
      <c r="D4" s="6" t="inlineStr">
        <is>
          <t>42.5%</t>
        </is>
      </c>
      <c r="E4" s="6" t="n"/>
      <c r="F4" s="6" t="inlineStr">
        <is>
          <t>54.8%</t>
        </is>
      </c>
    </row>
    <row r="6" ht="200" customHeight="1">
      <c r="A6" s="8" t="inlineStr">
        <is>
          <t>Sources - Bank of Ceylon (UK) Limited Pillar 3 disclosures (own entity-level basis; UK KM1-style Key Metrics template from FY2022 on, PRA's pre-2022 own-funds/leverage tables for FY2021), £'000 unless stated:
FY2025 &amp; FY2024 comparative: Pillar 3 Disclosures 31 December 2025, p.3 (1.1 Key Metrics) - https://www.bankofceylon.co.uk/downloads/corporate/BOCUK_Pillar%203%20Disclosures%2031%20December%202025.pdf
FY2024 (own year) &amp; FY2023 comparative: Pillar 3 Disclosures 31 December 2024, p.4 (1.1 Key Metrics) - https://www.bankofceylon.co.uk/downloads/corporate/BOCUK_Pillar%203%20Disclosures%2031%20December%202024.pdf
FY2021 (own year): Pillar 3 Disclosures as at 31st December 2021, p.12 (4.1 Total Available Capital) - https://www.bankofceylon.co.uk/downloads/corporate/BOCUK_Pillar%203%20Disclosures%2031%20December%202021.pdf
FY2022: no standalone Pillar 3 document was found on the bank's site (2022 and 2023 editions are both absent from its published list; FY2023 is covered here only via FY2024's own comparative column) - left blank rather than guessed.
CROSS-VINTAGE NOTE (Leverage Ratio only): the FY2024 Pillar 3 document's own figures for FY2024 (Total exposure £75,247k, Leverage ratio 18.5%) differ slightly from the FY2025 document's restated FY2024 comparative (£76,247k, 18.3%). This workbook uses each year's own originally-published figure as the primary column (FY2024 = 18.5%, from the FY2024 document); the restatement is noted here, not silently blended. Separately, the FY2025 document's own narrative text states the leverage ratio 'declined from 18.5% to 15.2%' in 2025 - this contradicts both that same document's Key Metrics table and its own Section 7 reconciliation table, which independently agree at 14.3% (FY2025) / 18.3% (FY2024 restated). The two internally-consistent tables are used; the narrative sentence appears to be a drafting error.
Entity note: Bank of Ceylon (UK) Limited (company 06736473, FRN 514744) is a wholly-owned UK subsidiary of Bank of Ceylon (Sri Lanka, state-owned). Unlike several other single-country foreign-parented subsidiaries in this project, it does NOT take the FRS 101/102 cash-flow-statement exemption - a full Statement of Cash Flows is filed every year, in GBP (no FX conversion needed).</t>
        </is>
      </c>
    </row>
  </sheetData>
  <mergeCells count="1">
    <mergeCell ref="A6:F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Bank of Ceylon (UK) Limited — Tier 1 Capital</t>
        </is>
      </c>
    </row>
    <row r="2">
      <c r="A2" s="2" t="inlineStr">
        <is>
          <t>£'000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Tier 1 capital</t>
        </is>
      </c>
      <c r="B4" s="6" t="n">
        <v>14217</v>
      </c>
      <c r="C4" s="6" t="n">
        <v>13940</v>
      </c>
      <c r="D4" s="6" t="n">
        <v>13685</v>
      </c>
      <c r="E4" s="6" t="n"/>
      <c r="F4" s="6" t="n">
        <v>13424</v>
      </c>
    </row>
    <row r="5" ht="60" customHeight="1">
      <c r="A5" s="7" t="inlineStr">
        <is>
          <t>Note: BOCUK has no Additional Tier 1 capital in any year - Tier 1 capital equals CET1 capital throughout.</t>
        </is>
      </c>
    </row>
    <row r="7" ht="200" customHeight="1">
      <c r="A7" s="8" t="inlineStr">
        <is>
          <t>Sources - Bank of Ceylon (UK) Limited Pillar 3 disclosures (own entity-level basis; UK KM1-style Key Metrics template from FY2022 on, PRA's pre-2022 own-funds/leverage tables for FY2021), £'000 unless stated:
FY2025 &amp; FY2024 comparative: Pillar 3 Disclosures 31 December 2025, p.3 (1.1 Key Metrics) - https://www.bankofceylon.co.uk/downloads/corporate/BOCUK_Pillar%203%20Disclosures%2031%20December%202025.pdf
FY2024 (own year) &amp; FY2023 comparative: Pillar 3 Disclosures 31 December 2024, p.4 (1.1 Key Metrics) - https://www.bankofceylon.co.uk/downloads/corporate/BOCUK_Pillar%203%20Disclosures%2031%20December%202024.pdf
FY2021 (own year): Pillar 3 Disclosures as at 31st December 2021, p.12 (4.1 Total Available Capital) - https://www.bankofceylon.co.uk/downloads/corporate/BOCUK_Pillar%203%20Disclosures%2031%20December%202021.pdf
FY2022: no standalone Pillar 3 document was found on the bank's site (2022 and 2023 editions are both absent from its published list; FY2023 is covered here only via FY2024's own comparative column) - left blank rather than guessed.
CROSS-VINTAGE NOTE (Leverage Ratio only): the FY2024 Pillar 3 document's own figures for FY2024 (Total exposure £75,247k, Leverage ratio 18.5%) differ slightly from the FY2025 document's restated FY2024 comparative (£76,247k, 18.3%). This workbook uses each year's own originally-published figure as the primary column (FY2024 = 18.5%, from the FY2024 document); the restatement is noted here, not silently blended. Separately, the FY2025 document's own narrative text states the leverage ratio 'declined from 18.5% to 15.2%' in 2025 - this contradicts both that same document's Key Metrics table and its own Section 7 reconciliation table, which independently agree at 14.3% (FY2025) / 18.3% (FY2024 restated). The two internally-consistent tables are used; the narrative sentence appears to be a drafting error.
Entity note: Bank of Ceylon (UK) Limited (company 06736473, FRN 514744) is a wholly-owned UK subsidiary of Bank of Ceylon (Sri Lanka, state-owned). Unlike several other single-country foreign-parented subsidiaries in this project, it does NOT take the FRS 101/102 cash-flow-statement exemption - a full Statement of Cash Flows is filed every year, in GBP (no FX conversion needed).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Bank of Ceylon (UK) Limited — Tier 1 Ratio</t>
        </is>
      </c>
    </row>
    <row r="2">
      <c r="A2" s="2" t="inlineStr">
        <is>
          <t>% of RWA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Tier 1 ratio</t>
        </is>
      </c>
      <c r="B4" s="6" t="inlineStr">
        <is>
          <t>20.1%</t>
        </is>
      </c>
      <c r="C4" s="6" t="inlineStr">
        <is>
          <t>22.7%</t>
        </is>
      </c>
      <c r="D4" s="6" t="inlineStr">
        <is>
          <t>42.5%</t>
        </is>
      </c>
      <c r="E4" s="6" t="n"/>
      <c r="F4" s="6" t="inlineStr">
        <is>
          <t>54.8%</t>
        </is>
      </c>
    </row>
    <row r="5" ht="60" customHeight="1">
      <c r="A5" s="7" t="inlineStr">
        <is>
          <t>Note: Equal to the CET1 ratio - no Additional Tier 1 capital in any year.</t>
        </is>
      </c>
    </row>
    <row r="7" ht="200" customHeight="1">
      <c r="A7" s="8" t="inlineStr">
        <is>
          <t>Sources - Bank of Ceylon (UK) Limited Pillar 3 disclosures (own entity-level basis; UK KM1-style Key Metrics template from FY2022 on, PRA's pre-2022 own-funds/leverage tables for FY2021), £'000 unless stated:
FY2025 &amp; FY2024 comparative: Pillar 3 Disclosures 31 December 2025, p.3 (1.1 Key Metrics) - https://www.bankofceylon.co.uk/downloads/corporate/BOCUK_Pillar%203%20Disclosures%2031%20December%202025.pdf
FY2024 (own year) &amp; FY2023 comparative: Pillar 3 Disclosures 31 December 2024, p.4 (1.1 Key Metrics) - https://www.bankofceylon.co.uk/downloads/corporate/BOCUK_Pillar%203%20Disclosures%2031%20December%202024.pdf
FY2021 (own year): Pillar 3 Disclosures as at 31st December 2021, p.12 (4.1 Total Available Capital) - https://www.bankofceylon.co.uk/downloads/corporate/BOCUK_Pillar%203%20Disclosures%2031%20December%202021.pdf
FY2022: no standalone Pillar 3 document was found on the bank's site (2022 and 2023 editions are both absent from its published list; FY2023 is covered here only via FY2024's own comparative column) - left blank rather than guessed.
CROSS-VINTAGE NOTE (Leverage Ratio only): the FY2024 Pillar 3 document's own figures for FY2024 (Total exposure £75,247k, Leverage ratio 18.5%) differ slightly from the FY2025 document's restated FY2024 comparative (£76,247k, 18.3%). This workbook uses each year's own originally-published figure as the primary column (FY2024 = 18.5%, from the FY2024 document); the restatement is noted here, not silently blended. Separately, the FY2025 document's own narrative text states the leverage ratio 'declined from 18.5% to 15.2%' in 2025 - this contradicts both that same document's Key Metrics table and its own Section 7 reconciliation table, which independently agree at 14.3% (FY2025) / 18.3% (FY2024 restated). The two internally-consistent tables are used; the narrative sentence appears to be a drafting error.
Entity note: Bank of Ceylon (UK) Limited (company 06736473, FRN 514744) is a wholly-owned UK subsidiary of Bank of Ceylon (Sri Lanka, state-owned). Unlike several other single-country foreign-parented subsidiaries in this project, it does NOT take the FRS 101/102 cash-flow-statement exemption - a full Statement of Cash Flows is filed every year, in GBP (no FX conversion needed).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Bank of Ceylon (UK) Limited — Total Capital</t>
        </is>
      </c>
    </row>
    <row r="2">
      <c r="A2" s="2" t="inlineStr">
        <is>
          <t>£'000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capital (own funds)</t>
        </is>
      </c>
      <c r="B4" s="6" t="n">
        <v>15353</v>
      </c>
      <c r="C4" s="6" t="n">
        <v>15076</v>
      </c>
      <c r="D4" s="6" t="n">
        <v>14789</v>
      </c>
      <c r="E4" s="6" t="n"/>
      <c r="F4" s="6" t="n">
        <v>14169</v>
      </c>
    </row>
    <row r="6" ht="200" customHeight="1">
      <c r="A6" s="8" t="inlineStr">
        <is>
          <t>Sources - Bank of Ceylon (UK) Limited Pillar 3 disclosures (own entity-level basis; UK KM1-style Key Metrics template from FY2022 on, PRA's pre-2022 own-funds/leverage tables for FY2021), £'000 unless stated:
FY2025 &amp; FY2024 comparative: Pillar 3 Disclosures 31 December 2025, p.3 (1.1 Key Metrics) - https://www.bankofceylon.co.uk/downloads/corporate/BOCUK_Pillar%203%20Disclosures%2031%20December%202025.pdf
FY2024 (own year) &amp; FY2023 comparative: Pillar 3 Disclosures 31 December 2024, p.4 (1.1 Key Metrics) - https://www.bankofceylon.co.uk/downloads/corporate/BOCUK_Pillar%203%20Disclosures%2031%20December%202024.pdf
FY2021 (own year): Pillar 3 Disclosures as at 31st December 2021, p.12 (4.1 Total Available Capital) - https://www.bankofceylon.co.uk/downloads/corporate/BOCUK_Pillar%203%20Disclosures%2031%20December%202021.pdf
FY2022: no standalone Pillar 3 document was found on the bank's site (2022 and 2023 editions are both absent from its published list; FY2023 is covered here only via FY2024's own comparative column) - left blank rather than guessed.
CROSS-VINTAGE NOTE (Leverage Ratio only): the FY2024 Pillar 3 document's own figures for FY2024 (Total exposure £75,247k, Leverage ratio 18.5%) differ slightly from the FY2025 document's restated FY2024 comparative (£76,247k, 18.3%). This workbook uses each year's own originally-published figure as the primary column (FY2024 = 18.5%, from the FY2024 document); the restatement is noted here, not silently blended. Separately, the FY2025 document's own narrative text states the leverage ratio 'declined from 18.5% to 15.2%' in 2025 - this contradicts both that same document's Key Metrics table and its own Section 7 reconciliation table, which independently agree at 14.3% (FY2025) / 18.3% (FY2024 restated). The two internally-consistent tables are used; the narrative sentence appears to be a drafting error.
Entity note: Bank of Ceylon (UK) Limited (company 06736473, FRN 514744) is a wholly-owned UK subsidiary of Bank of Ceylon (Sri Lanka, state-owned). Unlike several other single-country foreign-parented subsidiaries in this project, it does NOT take the FRS 101/102 cash-flow-statement exemption - a full Statement of Cash Flows is filed every year, in GBP (no FX conversion needed).</t>
        </is>
      </c>
    </row>
  </sheetData>
  <mergeCells count="1">
    <mergeCell ref="A6:F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Bank of Ceylon (UK) Limited — Total Capital Ratio</t>
        </is>
      </c>
    </row>
    <row r="2">
      <c r="A2" s="2" t="inlineStr">
        <is>
          <t>% of RWA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capital ratio</t>
        </is>
      </c>
      <c r="B4" s="6" t="inlineStr">
        <is>
          <t>21.7%</t>
        </is>
      </c>
      <c r="C4" s="6" t="inlineStr">
        <is>
          <t>24.6%</t>
        </is>
      </c>
      <c r="D4" s="6" t="inlineStr">
        <is>
          <t>45.9%</t>
        </is>
      </c>
      <c r="E4" s="6" t="n"/>
      <c r="F4" s="6" t="inlineStr">
        <is>
          <t>57.8%</t>
        </is>
      </c>
    </row>
    <row r="6" ht="200" customHeight="1">
      <c r="A6" s="8" t="inlineStr">
        <is>
          <t>Sources - Bank of Ceylon (UK) Limited Pillar 3 disclosures (own entity-level basis; UK KM1-style Key Metrics template from FY2022 on, PRA's pre-2022 own-funds/leverage tables for FY2021), £'000 unless stated:
FY2025 &amp; FY2024 comparative: Pillar 3 Disclosures 31 December 2025, p.3 (1.1 Key Metrics) - https://www.bankofceylon.co.uk/downloads/corporate/BOCUK_Pillar%203%20Disclosures%2031%20December%202025.pdf
FY2024 (own year) &amp; FY2023 comparative: Pillar 3 Disclosures 31 December 2024, p.4 (1.1 Key Metrics) - https://www.bankofceylon.co.uk/downloads/corporate/BOCUK_Pillar%203%20Disclosures%2031%20December%202024.pdf
FY2021 (own year): Pillar 3 Disclosures as at 31st December 2021, p.12 (4.1 Total Available Capital) - https://www.bankofceylon.co.uk/downloads/corporate/BOCUK_Pillar%203%20Disclosures%2031%20December%202021.pdf
FY2022: no standalone Pillar 3 document was found on the bank's site (2022 and 2023 editions are both absent from its published list; FY2023 is covered here only via FY2024's own comparative column) - left blank rather than guessed.
CROSS-VINTAGE NOTE (Leverage Ratio only): the FY2024 Pillar 3 document's own figures for FY2024 (Total exposure £75,247k, Leverage ratio 18.5%) differ slightly from the FY2025 document's restated FY2024 comparative (£76,247k, 18.3%). This workbook uses each year's own originally-published figure as the primary column (FY2024 = 18.5%, from the FY2024 document); the restatement is noted here, not silently blended. Separately, the FY2025 document's own narrative text states the leverage ratio 'declined from 18.5% to 15.2%' in 2025 - this contradicts both that same document's Key Metrics table and its own Section 7 reconciliation table, which independently agree at 14.3% (FY2025) / 18.3% (FY2024 restated). The two internally-consistent tables are used; the narrative sentence appears to be a drafting error.
Entity note: Bank of Ceylon (UK) Limited (company 06736473, FRN 514744) is a wholly-owned UK subsidiary of Bank of Ceylon (Sri Lanka, state-owned). Unlike several other single-country foreign-parented subsidiaries in this project, it does NOT take the FRS 101/102 cash-flow-statement exemption - a full Statement of Cash Flows is filed every year, in GBP (no FX conversion needed).</t>
        </is>
      </c>
    </row>
  </sheetData>
  <mergeCells count="1">
    <mergeCell ref="A6:F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Bank of Ceylon (UK) Limited — Total RWAs</t>
        </is>
      </c>
    </row>
    <row r="2">
      <c r="A2" s="2" t="inlineStr">
        <is>
          <t>£'000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risk-weighted exposure amount</t>
        </is>
      </c>
      <c r="B4" s="6" t="n">
        <v>70733</v>
      </c>
      <c r="C4" s="6" t="n">
        <v>61344</v>
      </c>
      <c r="D4" s="6" t="n">
        <v>32187</v>
      </c>
      <c r="E4" s="6" t="n"/>
      <c r="F4" s="6" t="n">
        <v>24509</v>
      </c>
    </row>
    <row r="6" ht="200" customHeight="1">
      <c r="A6" s="8" t="inlineStr">
        <is>
          <t>Sources - Bank of Ceylon (UK) Limited Pillar 3 disclosures (own entity-level basis; UK KM1-style Key Metrics template from FY2022 on, PRA's pre-2022 own-funds/leverage tables for FY2021), £'000 unless stated:
FY2025 &amp; FY2024 comparative: Pillar 3 Disclosures 31 December 2025, p.3 (1.1 Key Metrics) - https://www.bankofceylon.co.uk/downloads/corporate/BOCUK_Pillar%203%20Disclosures%2031%20December%202025.pdf
FY2024 (own year) &amp; FY2023 comparative: Pillar 3 Disclosures 31 December 2024, p.4 (1.1 Key Metrics) - https://www.bankofceylon.co.uk/downloads/corporate/BOCUK_Pillar%203%20Disclosures%2031%20December%202024.pdf
FY2021 (own year): Pillar 3 Disclosures as at 31st December 2021, p.12 (4.1 Total Available Capital) - https://www.bankofceylon.co.uk/downloads/corporate/BOCUK_Pillar%203%20Disclosures%2031%20December%202021.pdf
FY2022: no standalone Pillar 3 document was found on the bank's site (2022 and 2023 editions are both absent from its published list; FY2023 is covered here only via FY2024's own comparative column) - left blank rather than guessed.
CROSS-VINTAGE NOTE (Leverage Ratio only): the FY2024 Pillar 3 document's own figures for FY2024 (Total exposure £75,247k, Leverage ratio 18.5%) differ slightly from the FY2025 document's restated FY2024 comparative (£76,247k, 18.3%). This workbook uses each year's own originally-published figure as the primary column (FY2024 = 18.5%, from the FY2024 document); the restatement is noted here, not silently blended. Separately, the FY2025 document's own narrative text states the leverage ratio 'declined from 18.5% to 15.2%' in 2025 - this contradicts both that same document's Key Metrics table and its own Section 7 reconciliation table, which independently agree at 14.3% (FY2025) / 18.3% (FY2024 restated). The two internally-consistent tables are used; the narrative sentence appears to be a drafting error.
Entity note: Bank of Ceylon (UK) Limited (company 06736473, FRN 514744) is a wholly-owned UK subsidiary of Bank of Ceylon (Sri Lanka, state-owned). Unlike several other single-country foreign-parented subsidiaries in this project, it does NOT take the FRS 101/102 cash-flow-statement exemption - a full Statement of Cash Flows is filed every year, in GBP (no FX conversion needed).</t>
        </is>
      </c>
    </row>
  </sheetData>
  <mergeCells count="1">
    <mergeCell ref="A6:F6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Bank of Ceylon (UK) Limited — RWA Breakdown</t>
        </is>
      </c>
    </row>
    <row r="2">
      <c r="A2" s="2" t="inlineStr">
        <is>
          <t>Bank of Ceylon (UK) Limited (own entity basis), £'000</t>
        </is>
      </c>
    </row>
    <row r="3">
      <c r="A3" s="4" t="inlineStr">
        <is>
          <t>Line item</t>
        </is>
      </c>
      <c r="B3" s="4" t="inlineStr">
        <is>
          <t>FY2025 (£'000)</t>
        </is>
      </c>
      <c r="C3" s="4" t="inlineStr">
        <is>
          <t>FY2024 (£'000)</t>
        </is>
      </c>
      <c r="D3" s="4" t="inlineStr">
        <is>
          <t>FY2023 (£'000)</t>
        </is>
      </c>
      <c r="E3" s="4" t="inlineStr">
        <is>
          <t>FY2022 (£'000)</t>
        </is>
      </c>
      <c r="F3" s="4" t="inlineStr">
        <is>
          <t>FY2021 (£'000)</t>
        </is>
      </c>
    </row>
    <row r="4">
      <c r="A4" s="5" t="inlineStr">
        <is>
          <t>Risk-weighted exposure amounts by risk type</t>
        </is>
      </c>
      <c r="B4" s="6" t="n"/>
      <c r="C4" s="6" t="n"/>
      <c r="D4" s="6" t="n"/>
      <c r="E4" s="6" t="n"/>
      <c r="F4" s="6" t="n"/>
    </row>
    <row r="5">
      <c r="A5" s="6" t="inlineStr">
        <is>
          <t>Credit and counterparty credit risk</t>
        </is>
      </c>
      <c r="B5" s="6" t="n">
        <v>65343</v>
      </c>
      <c r="C5" s="6" t="n">
        <v>56022</v>
      </c>
      <c r="D5" s="6" t="n">
        <v>26888</v>
      </c>
      <c r="E5" s="6" t="n"/>
      <c r="F5" s="6" t="n">
        <v>24509</v>
      </c>
    </row>
    <row r="6">
      <c r="A6" s="6" t="inlineStr">
        <is>
          <t>Market risk</t>
        </is>
      </c>
      <c r="B6" s="6" t="n">
        <v>37</v>
      </c>
      <c r="C6" s="6" t="n">
        <v>557</v>
      </c>
      <c r="D6" s="6" t="n">
        <v>1150</v>
      </c>
      <c r="E6" s="6" t="n"/>
      <c r="F6" s="6" t="n">
        <v>302</v>
      </c>
    </row>
    <row r="7">
      <c r="A7" s="6" t="inlineStr">
        <is>
          <t>Operational risk (Basic Indicator Approach)</t>
        </is>
      </c>
      <c r="B7" s="6" t="n">
        <v>5353</v>
      </c>
      <c r="C7" s="6" t="n">
        <v>4765</v>
      </c>
      <c r="D7" s="6" t="n">
        <v>4150</v>
      </c>
      <c r="E7" s="6" t="n"/>
      <c r="F7" s="6" t="n">
        <v>4241</v>
      </c>
    </row>
    <row r="8">
      <c r="A8" s="5" t="inlineStr">
        <is>
          <t>Total risk-weighted exposure amount</t>
        </is>
      </c>
      <c r="B8" s="5" t="n">
        <v>70733</v>
      </c>
      <c r="C8" s="5" t="n">
        <v>61344</v>
      </c>
      <c r="D8" s="5" t="n">
        <v>32188</v>
      </c>
      <c r="E8" s="5" t="n"/>
      <c r="F8" s="5" t="n">
        <v>29052</v>
      </c>
    </row>
    <row r="10" ht="260" customHeight="1">
      <c r="A10" s="8" t="inlineStr">
        <is>
          <t>Sources - Bank of Ceylon (UK) Limited Pillar 3 disclosures, UK OV1-equivalent 'Own Funds Requirement' exposure-class table (own entity-level basis), £'000:
FY2025: Pillar 3 Disclosures 31 December 2025, p.13 (5.4 Own Funds Requirement) - https://www.bankofceylon.co.uk/downloads/corporate/BOCUK_Pillar%203%20Disclosures%2031%20December%202025.pdf
FY2024: Pillar 3 Disclosures 31 December 2024, p.25 (5.4 Own Funds Requirement) - https://www.bankofceylon.co.uk/downloads/corporate/BOCUK_Pillar%203%20Disclosures%2031%20December%202024.pdf
FY2023: DERIVED from the FY2024 Pillar 3 document's own '2023 Capital Requirement' comparative column (RWA = capital requirement / 8%, the standard Pillar 1 minimum capital ratio) - https://www.bankofceylon.co.uk/downloads/corporate/BOCUK_Pillar%203%20Disclosures%2031%20December%202024.pdf. No standalone FY2023 Pillar 3 document was found (consistent with the other Pillar 3 sheets' note). The derived total (£32,188k) is £1k above the pre-existing Total RWAs sheet's FY2023 figure (£32,187k) due to rounding in this back-calculation - not treated as an error, both are within £1k of each other.
FY2021: Pillar 3 Disclosures as at 31st December 2021, p.16 (5.4 Own Funds Requirement) - https://www.bankofceylon.co.uk/downloads/corporate/BOCUK_Pillar%203%20Disclosures%2031%20December%202021.pdf
FY2022: no standalone Pillar 3 document was found (see other Pillar 3 sheets' note) - left blank rather than guessed.
DISCREPANCY FLAGGED (FY2021): the pre-existing Total RWAs sheet's FY2021 figure (£24,509k) equals only the Credit and Counterparty Credit Risk subtotal from the FY2021 Pillar 3 document's own table - it does NOT include that same table's Market Risk (£302k) or Operational Risk (£4,241k) RWA, whose sum is the document's own printed 'Total Pillar 1 Requirement' of £29,052k. This RWA Breakdown sheet uses the correct full total (£29,052k), which is £4,543k higher than the pre-existing Total RWas sheet's FY2021 value - flagged here for correction there rather than silently matched to the (apparently understated) existing figure.
Entity note: Bank of Ceylon (UK) Limited (company 06736473, FRN 514744) is a wholly-owned UK subsidiary of Bank of Ceylon (Sri Lanka, state-owned). Unlike several other single-country foreign-parented subsidiaries in this project, it does NOT take the FRS 101/102 cash-flow-statement exemption - a full Statement of Cash Flows is filed every year, in GBP (no FX conversion needed).</t>
        </is>
      </c>
    </row>
  </sheetData>
  <mergeCells count="1">
    <mergeCell ref="A10:F10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Bank of Ceylon (UK) Limited — Leverage Ratio</t>
        </is>
      </c>
    </row>
    <row r="2">
      <c r="A2" s="2" t="inlineStr">
        <is>
          <t>£'000 / 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Tier 1 capital available (£'000)</t>
        </is>
      </c>
      <c r="B4" s="6" t="n">
        <v>14217</v>
      </c>
      <c r="C4" s="6" t="n">
        <v>13940</v>
      </c>
      <c r="D4" s="6" t="n">
        <v>13685</v>
      </c>
      <c r="E4" s="6" t="n"/>
      <c r="F4" s="6" t="n">
        <v>13424</v>
      </c>
    </row>
    <row r="5">
      <c r="A5" s="6" t="inlineStr">
        <is>
          <t>Total leverage ratio exposure measure (£'000)</t>
        </is>
      </c>
      <c r="B5" s="6" t="n">
        <v>99213</v>
      </c>
      <c r="C5" s="6" t="n">
        <v>75247</v>
      </c>
      <c r="D5" s="6" t="n">
        <v>47579</v>
      </c>
      <c r="E5" s="6" t="n"/>
      <c r="F5" s="6" t="n">
        <v>29072</v>
      </c>
    </row>
    <row r="6">
      <c r="A6" s="6" t="inlineStr">
        <is>
          <t>Leverage ratio (%)</t>
        </is>
      </c>
      <c r="B6" s="6" t="inlineStr">
        <is>
          <t>14.3%</t>
        </is>
      </c>
      <c r="C6" s="6" t="inlineStr">
        <is>
          <t>18.5%</t>
        </is>
      </c>
      <c r="D6" s="6" t="inlineStr">
        <is>
          <t>28.8%</t>
        </is>
      </c>
      <c r="E6" s="6" t="n"/>
      <c r="F6" s="6" t="inlineStr">
        <is>
          <t>46.2%</t>
        </is>
      </c>
    </row>
    <row r="7" ht="60" customHeight="1">
      <c r="A7" s="7" t="inlineStr">
        <is>
          <t>Note: FY2024 uses the FY2024 Pillar 3 document's own originally-published figures; see the source note above for the slightly different restated FY2024 comparative (£76,247k / 18.3%) published a year later in the FY2025 document, and for the FY2025 document's separate self-contradictory narrative text.</t>
        </is>
      </c>
    </row>
    <row r="9" ht="200" customHeight="1">
      <c r="A9" s="8" t="inlineStr">
        <is>
          <t>Sources - Bank of Ceylon (UK) Limited Pillar 3 disclosures (own entity-level basis; UK KM1-style Key Metrics template from FY2022 on, PRA's pre-2022 own-funds/leverage tables for FY2021), £'000 unless stated:
FY2025 &amp; FY2024 comparative: Pillar 3 Disclosures 31 December 2025, p.3 (1.1 Key Metrics) - https://www.bankofceylon.co.uk/downloads/corporate/BOCUK_Pillar%203%20Disclosures%2031%20December%202025.pdf
FY2024 (own year) &amp; FY2023 comparative: Pillar 3 Disclosures 31 December 2024, p.4 (1.1 Key Metrics) - https://www.bankofceylon.co.uk/downloads/corporate/BOCUK_Pillar%203%20Disclosures%2031%20December%202024.pdf
FY2021 (own year): Pillar 3 Disclosures as at 31st December 2021, p.12 (4.1 Total Available Capital) - https://www.bankofceylon.co.uk/downloads/corporate/BOCUK_Pillar%203%20Disclosures%2031%20December%202021.pdf
FY2022: no standalone Pillar 3 document was found on the bank's site (2022 and 2023 editions are both absent from its published list; FY2023 is covered here only via FY2024's own comparative column) - left blank rather than guessed.
CROSS-VINTAGE NOTE (Leverage Ratio only): the FY2024 Pillar 3 document's own figures for FY2024 (Total exposure £75,247k, Leverage ratio 18.5%) differ slightly from the FY2025 document's restated FY2024 comparative (£76,247k, 18.3%). This workbook uses each year's own originally-published figure as the primary column (FY2024 = 18.5%, from the FY2024 document); the restatement is noted here, not silently blended. Separately, the FY2025 document's own narrative text states the leverage ratio 'declined from 18.5% to 15.2%' in 2025 - this contradicts both that same document's Key Metrics table and its own Section 7 reconciliation table, which independently agree at 14.3% (FY2025) / 18.3% (FY2024 restated). The two internally-consistent tables are used; the narrative sentence appears to be a drafting error.
Entity note: Bank of Ceylon (UK) Limited (company 06736473, FRN 514744) is a wholly-owned UK subsidiary of Bank of Ceylon (Sri Lanka, state-owned). Unlike several other single-country foreign-parented subsidiaries in this project, it does NOT take the FRS 101/102 cash-flow-statement exemption - a full Statement of Cash Flows is filed every year, in GBP (no FX conversion needed).</t>
        </is>
      </c>
    </row>
  </sheetData>
  <mergeCells count="2">
    <mergeCell ref="A7:F7"/>
    <mergeCell ref="A9:F9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Bank of Ceylon (UK) Limited — LCR</t>
        </is>
      </c>
    </row>
    <row r="2">
      <c r="A2" s="2" t="inlineStr">
        <is>
          <t>£'000 / 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high-quality liquid assets (HQLA) (£'000)</t>
        </is>
      </c>
      <c r="B4" s="6" t="n">
        <v>101212</v>
      </c>
      <c r="C4" s="6" t="n">
        <v>99206</v>
      </c>
      <c r="D4" s="6" t="n">
        <v>108880</v>
      </c>
      <c r="E4" s="6" t="n"/>
      <c r="F4" s="6" t="n"/>
    </row>
    <row r="5">
      <c r="A5" s="6" t="inlineStr">
        <is>
          <t>Total net cash outflows (£'000)</t>
        </is>
      </c>
      <c r="B5" s="6" t="n">
        <v>77081</v>
      </c>
      <c r="C5" s="6" t="n">
        <v>66349</v>
      </c>
      <c r="D5" s="6" t="n">
        <v>86856</v>
      </c>
      <c r="E5" s="6" t="n"/>
      <c r="F5" s="6" t="n"/>
    </row>
    <row r="6">
      <c r="A6" s="6" t="inlineStr">
        <is>
          <t>Liquidity Coverage Ratio (%)</t>
        </is>
      </c>
      <c r="B6" s="6" t="inlineStr">
        <is>
          <t>131%</t>
        </is>
      </c>
      <c r="C6" s="6" t="inlineStr">
        <is>
          <t>149%</t>
        </is>
      </c>
      <c r="D6" s="6" t="inlineStr">
        <is>
          <t>125%</t>
        </is>
      </c>
      <c r="E6" s="6" t="n"/>
      <c r="F6" s="6" t="n"/>
    </row>
    <row r="7" ht="60" customHeight="1">
      <c r="A7" s="7" t="inlineStr">
        <is>
          <t>Note: Not disclosed for FY2021/FY2022 - the Key Metrics/KM1-style LCR template was not yet used in BOCUK's FY2021 Pillar 3 disclosure, and no FY2022 document was found (see source note).</t>
        </is>
      </c>
    </row>
    <row r="9" ht="200" customHeight="1">
      <c r="A9" s="8" t="inlineStr">
        <is>
          <t>Sources - Bank of Ceylon (UK) Limited Pillar 3 disclosures (own entity-level basis; UK KM1-style Key Metrics template from FY2022 on, PRA's pre-2022 own-funds/leverage tables for FY2021), £'000 unless stated:
FY2025 &amp; FY2024 comparative: Pillar 3 Disclosures 31 December 2025, p.3 (1.1 Key Metrics) - https://www.bankofceylon.co.uk/downloads/corporate/BOCUK_Pillar%203%20Disclosures%2031%20December%202025.pdf
FY2024 (own year) &amp; FY2023 comparative: Pillar 3 Disclosures 31 December 2024, p.4 (1.1 Key Metrics) - https://www.bankofceylon.co.uk/downloads/corporate/BOCUK_Pillar%203%20Disclosures%2031%20December%202024.pdf
FY2021 (own year): Pillar 3 Disclosures as at 31st December 2021, p.12 (4.1 Total Available Capital) - https://www.bankofceylon.co.uk/downloads/corporate/BOCUK_Pillar%203%20Disclosures%2031%20December%202021.pdf
FY2022: no standalone Pillar 3 document was found on the bank's site (2022 and 2023 editions are both absent from its published list; FY2023 is covered here only via FY2024's own comparative column) - left blank rather than guessed.
CROSS-VINTAGE NOTE (Leverage Ratio only): the FY2024 Pillar 3 document's own figures for FY2024 (Total exposure £75,247k, Leverage ratio 18.5%) differ slightly from the FY2025 document's restated FY2024 comparative (£76,247k, 18.3%). This workbook uses each year's own originally-published figure as the primary column (FY2024 = 18.5%, from the FY2024 document); the restatement is noted here, not silently blended. Separately, the FY2025 document's own narrative text states the leverage ratio 'declined from 18.5% to 15.2%' in 2025 - this contradicts both that same document's Key Metrics table and its own Section 7 reconciliation table, which independently agree at 14.3% (FY2025) / 18.3% (FY2024 restated). The two internally-consistent tables are used; the narrative sentence appears to be a drafting error.
Entity note: Bank of Ceylon (UK) Limited (company 06736473, FRN 514744) is a wholly-owned UK subsidiary of Bank of Ceylon (Sri Lanka, state-owned). Unlike several other single-country foreign-parented subsidiaries in this project, it does NOT take the FRS 101/102 cash-flow-statement exemption - a full Statement of Cash Flows is filed every year, in GBP (no FX conversion needed).</t>
        </is>
      </c>
    </row>
  </sheetData>
  <mergeCells count="2">
    <mergeCell ref="A7:F7"/>
    <mergeCell ref="A9:F9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Bank of Ceylon (UK) Limited — NSFR</t>
        </is>
      </c>
    </row>
    <row r="2">
      <c r="A2" s="2" t="inlineStr">
        <is>
          <t>£'000 / 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required stable funds (£'000)</t>
        </is>
      </c>
      <c r="B4" s="6" t="n">
        <v>65823</v>
      </c>
      <c r="C4" s="6" t="n">
        <v>64648</v>
      </c>
      <c r="D4" s="6" t="n">
        <v>35141</v>
      </c>
      <c r="E4" s="6" t="n"/>
      <c r="F4" s="6" t="n"/>
    </row>
    <row r="5">
      <c r="A5" s="6" t="inlineStr">
        <is>
          <t>Total available stable funds (£'000)</t>
        </is>
      </c>
      <c r="B5" s="6" t="n">
        <v>121764</v>
      </c>
      <c r="C5" s="6" t="n">
        <v>91457</v>
      </c>
      <c r="D5" s="6" t="n">
        <v>49594</v>
      </c>
      <c r="E5" s="6" t="n"/>
      <c r="F5" s="6" t="n"/>
    </row>
    <row r="6">
      <c r="A6" s="6" t="inlineStr">
        <is>
          <t>Net Stable Funding Ratio (%)</t>
        </is>
      </c>
      <c r="B6" s="6" t="inlineStr">
        <is>
          <t>185%</t>
        </is>
      </c>
      <c r="C6" s="6" t="inlineStr">
        <is>
          <t>141%</t>
        </is>
      </c>
      <c r="D6" s="6" t="inlineStr">
        <is>
          <t>141%</t>
        </is>
      </c>
      <c r="E6" s="6" t="n"/>
      <c r="F6" s="6" t="n"/>
    </row>
    <row r="7" ht="60" customHeight="1">
      <c r="A7" s="7" t="inlineStr">
        <is>
          <t>Note: FY2023 and FY2024 NSFR ratios are both printed as 141% in the source document despite different underlying £'000 figures for both years - transcribed as printed, not treated as an error since the absolute figures genuinely differ. Not disclosed for FY2021/FY2022 (see LCR sheet note; same cause).</t>
        </is>
      </c>
    </row>
    <row r="9" ht="200" customHeight="1">
      <c r="A9" s="8" t="inlineStr">
        <is>
          <t>Sources - Bank of Ceylon (UK) Limited Pillar 3 disclosures (own entity-level basis; UK KM1-style Key Metrics template from FY2022 on, PRA's pre-2022 own-funds/leverage tables for FY2021), £'000 unless stated:
FY2025 &amp; FY2024 comparative: Pillar 3 Disclosures 31 December 2025, p.3 (1.1 Key Metrics) - https://www.bankofceylon.co.uk/downloads/corporate/BOCUK_Pillar%203%20Disclosures%2031%20December%202025.pdf
FY2024 (own year) &amp; FY2023 comparative: Pillar 3 Disclosures 31 December 2024, p.4 (1.1 Key Metrics) - https://www.bankofceylon.co.uk/downloads/corporate/BOCUK_Pillar%203%20Disclosures%2031%20December%202024.pdf
FY2021 (own year): Pillar 3 Disclosures as at 31st December 2021, p.12 (4.1 Total Available Capital) - https://www.bankofceylon.co.uk/downloads/corporate/BOCUK_Pillar%203%20Disclosures%2031%20December%202021.pdf
FY2022: no standalone Pillar 3 document was found on the bank's site (2022 and 2023 editions are both absent from its published list; FY2023 is covered here only via FY2024's own comparative column) - left blank rather than guessed.
CROSS-VINTAGE NOTE (Leverage Ratio only): the FY2024 Pillar 3 document's own figures for FY2024 (Total exposure £75,247k, Leverage ratio 18.5%) differ slightly from the FY2025 document's restated FY2024 comparative (£76,247k, 18.3%). This workbook uses each year's own originally-published figure as the primary column (FY2024 = 18.5%, from the FY2024 document); the restatement is noted here, not silently blended. Separately, the FY2025 document's own narrative text states the leverage ratio 'declined from 18.5% to 15.2%' in 2025 - this contradicts both that same document's Key Metrics table and its own Section 7 reconciliation table, which independently agree at 14.3% (FY2025) / 18.3% (FY2024 restated). The two internally-consistent tables are used; the narrative sentence appears to be a drafting error.
Entity note: Bank of Ceylon (UK) Limited (company 06736473, FRN 514744) is a wholly-owned UK subsidiary of Bank of Ceylon (Sri Lanka, state-owned). Unlike several other single-country foreign-parented subsidiaries in this project, it does NOT take the FRS 101/102 cash-flow-statement exemption - a full Statement of Cash Flows is filed every year, in GBP (no FX conversion needed).</t>
        </is>
      </c>
    </row>
  </sheetData>
  <mergeCells count="2">
    <mergeCell ref="A7:F7"/>
    <mergeCell ref="A9:F9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Bank of Ceylon (UK) Limited — MREL Ratio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MREL Ratio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7" t="inlineStr">
        <is>
          <t>Note: Not disclosed in any of the 4 available Pillar 3 editions (FY2021, FY2023 via comparative, FY2024, FY2025), any year - no numeric ratio or explicit exemption statement found.</t>
        </is>
      </c>
    </row>
    <row r="7" ht="150" customHeight="1">
      <c r="A7" s="8" t="inlineStr">
        <is>
          <t>Sources - Bank of Ceylon (UK) Limited Pillar 3 disclosures (own entity-level basis; UK KM1-style Key Metrics template from FY2022 on, PRA's pre-2022 own-funds/leverage tables for FY2021), £'000 unless stated:
FY2025 &amp; FY2024 comparative: Pillar 3 Disclosures 31 December 2025, p.3 (1.1 Key Metrics) - https://www.bankofceylon.co.uk/downloads/corporate/BOCUK_Pillar%203%20Disclosures%2031%20December%202025.pdf
FY2024 (own year) &amp; FY2023 comparative: Pillar 3 Disclosures 31 December 2024, p.4 (1.1 Key Metrics) - https://www.bankofceylon.co.uk/downloads/corporate/BOCUK_Pillar%203%20Disclosures%2031%20December%202024.pdf
FY2021 (own year): Pillar 3 Disclosures as at 31st December 2021, p.12 (4.1 Total Available Capital) - https://www.bankofceylon.co.uk/downloads/corporate/BOCUK_Pillar%203%20Disclosures%2031%20December%202021.pdf
FY2022: no standalone Pillar 3 document was found on the bank's site (2022 and 2023 editions are both absent from its published list; FY2023 is covered here only via FY2024's own comparative column) - left blank rather than guessed.
CROSS-VINTAGE NOTE (Leverage Ratio only): the FY2024 Pillar 3 document's own figures for FY2024 (Total exposure £75,247k, Leverage ratio 18.5%) differ slightly from the FY2025 document's restated FY2024 comparative (£76,247k, 18.3%). This workbook uses each year's own originally-published figure as the primary column (FY2024 = 18.5%, from the FY2024 document); the restatement is noted here, not silently blended. Separately, the FY2025 document's own narrative text states the leverage ratio 'declined from 18.5% to 15.2%' in 2025 - this contradicts both that same document's Key Metrics table and its own Section 7 reconciliation table, which independently agree at 14.3% (FY2025) / 18.3% (FY2024 restated). The two internally-consistent tables are used; the narrative sentence appears to be a drafting error.
Entity note: Bank of Ceylon (UK) Limited (company 06736473, FRN 514744) is a wholly-owned UK subsidiary of Bank of Ceylon (Sri Lanka, state-owned). Unlike several other single-country foreign-parented subsidiaries in this project, it does NOT take the FRS 101/102 cash-flow-statement exemption - a full Statement of Cash Flows is filed every year, in GBP (no FX conversion needed).</t>
        </is>
      </c>
    </row>
  </sheetData>
  <mergeCells count="2">
    <mergeCell ref="A5:F5"/>
    <mergeCell ref="A7:F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2026-09-02T17:17:37Z</dcterms:created>
  <dcterms:modified xmlns:dcterms="http://purl.org/dc/terms/" xmlns:xsi="http://www.w3.org/2001/XMLSchema-instance" xsi:type="dcterms:W3CDTF">2026-09-02T17:17:37Z</dcterms:modified>
</cp:coreProperties>
</file>