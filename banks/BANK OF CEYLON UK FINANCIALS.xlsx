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195113</v>
      </c>
      <c r="C6" s="5" t="n">
        <v>172860</v>
      </c>
      <c r="D6" s="5" t="n">
        <v>156353</v>
      </c>
      <c r="E6" s="5" t="n">
        <v>117599</v>
      </c>
      <c r="F6" s="5" t="n">
        <v>48630</v>
      </c>
      <c r="G6" s="5" t="n">
        <v>143850</v>
      </c>
      <c r="H6" s="5" t="n">
        <v>170285</v>
      </c>
      <c r="I6" s="5" t="n">
        <v>158315</v>
      </c>
      <c r="L6" t="inlineStr">
        <is>
          <t>Total assets</t>
        </is>
      </c>
      <c r="M6" t="n">
        <v>158315</v>
      </c>
      <c r="N6" t="n">
        <v>170285</v>
      </c>
      <c r="O6" t="n">
        <v>143850</v>
      </c>
      <c r="P6" t="n">
        <v>48630</v>
      </c>
      <c r="Q6" t="n">
        <v>117599</v>
      </c>
      <c r="R6" t="n">
        <v>156353</v>
      </c>
      <c r="S6" t="n">
        <v>172860</v>
      </c>
      <c r="T6" t="n">
        <v>195113</v>
      </c>
      <c r="BD6" t="inlineStr">
        <is>
          <t>CET1 Ratio</t>
        </is>
      </c>
      <c r="BE6" t="n">
        <v>46.9</v>
      </c>
      <c r="BF6" t="n">
        <v>57.5</v>
      </c>
      <c r="BG6" t="n">
        <v>34.3</v>
      </c>
      <c r="BH6" t="n">
        <v>54.8</v>
      </c>
      <c r="BJ6" t="n">
        <v>42.5</v>
      </c>
      <c r="BK6" t="n">
        <v>22.7</v>
      </c>
      <c r="BL6" t="n">
        <v>20.1</v>
      </c>
    </row>
    <row r="7">
      <c r="A7" s="5" t="inlineStr">
        <is>
          <t>Loans and advances to customers</t>
        </is>
      </c>
      <c r="B7" s="5" t="n">
        <v>76043</v>
      </c>
      <c r="C7" s="5" t="n">
        <v>56807</v>
      </c>
      <c r="D7" s="5" t="n">
        <v>34032</v>
      </c>
      <c r="E7" s="5" t="n">
        <v>18096</v>
      </c>
      <c r="F7" s="5" t="n">
        <v>19359</v>
      </c>
      <c r="G7" s="5" t="n">
        <v>20364</v>
      </c>
      <c r="H7" s="5" t="n">
        <v>17577</v>
      </c>
      <c r="I7" s="5" t="n">
        <v>12708</v>
      </c>
      <c r="L7" t="inlineStr">
        <is>
          <t>Loans and advances to customers</t>
        </is>
      </c>
      <c r="M7" t="n">
        <v>12708</v>
      </c>
      <c r="N7" t="n">
        <v>17577</v>
      </c>
      <c r="O7" t="n">
        <v>20364</v>
      </c>
      <c r="P7" t="n">
        <v>19359</v>
      </c>
      <c r="Q7" t="n">
        <v>18096</v>
      </c>
      <c r="R7" t="n">
        <v>34032</v>
      </c>
      <c r="S7" t="n">
        <v>56807</v>
      </c>
      <c r="T7" t="n">
        <v>76043</v>
      </c>
      <c r="BD7" t="inlineStr">
        <is>
          <t>Total Capital Ratio</t>
        </is>
      </c>
      <c r="BE7" t="n">
        <v>46.9</v>
      </c>
      <c r="BF7" t="n">
        <v>57.5</v>
      </c>
      <c r="BG7" t="n">
        <v>36.7</v>
      </c>
      <c r="BH7" t="n">
        <v>57.8</v>
      </c>
      <c r="BJ7" t="n">
        <v>45.9</v>
      </c>
      <c r="BK7" t="n">
        <v>24.6</v>
      </c>
      <c r="BL7" t="n">
        <v>21.7</v>
      </c>
    </row>
    <row r="8">
      <c r="A8" s="5" t="inlineStr">
        <is>
          <t>Customer account deposits</t>
        </is>
      </c>
      <c r="B8" s="5" t="n">
        <v>76703</v>
      </c>
      <c r="C8" s="5" t="n">
        <v>44538</v>
      </c>
      <c r="D8" s="5" t="n">
        <v>19229</v>
      </c>
      <c r="E8" s="5" t="n">
        <v>11427</v>
      </c>
      <c r="F8" s="5" t="n">
        <v>5811</v>
      </c>
      <c r="G8" s="5" t="n">
        <v>4732</v>
      </c>
      <c r="H8" s="5" t="n">
        <v>6545</v>
      </c>
      <c r="I8" s="5" t="n">
        <v>5367</v>
      </c>
      <c r="L8" t="inlineStr">
        <is>
          <t>Customer account deposits</t>
        </is>
      </c>
      <c r="M8" t="n">
        <v>5367</v>
      </c>
      <c r="N8" t="n">
        <v>6545</v>
      </c>
      <c r="O8" t="n">
        <v>4732</v>
      </c>
      <c r="P8" t="n">
        <v>5811</v>
      </c>
      <c r="Q8" t="n">
        <v>11427</v>
      </c>
      <c r="R8" t="n">
        <v>19229</v>
      </c>
      <c r="S8" t="n">
        <v>44538</v>
      </c>
      <c r="T8" t="n">
        <v>76703</v>
      </c>
      <c r="BD8" t="inlineStr">
        <is>
          <t>Leverage Ratio</t>
        </is>
      </c>
      <c r="BE8" t="n">
        <v>46.6</v>
      </c>
      <c r="BF8" t="n">
        <v>34.2</v>
      </c>
      <c r="BG8" t="n">
        <v>35.3</v>
      </c>
      <c r="BH8" t="n">
        <v>46.2</v>
      </c>
      <c r="BJ8" t="n">
        <v>28.8</v>
      </c>
      <c r="BK8" t="n">
        <v>18.5</v>
      </c>
      <c r="BL8" t="n">
        <v>14.3</v>
      </c>
    </row>
    <row r="9">
      <c r="A9" s="5" t="inlineStr">
        <is>
          <t>Total equity</t>
        </is>
      </c>
      <c r="B9" s="5" t="n">
        <v>15493</v>
      </c>
      <c r="C9" s="5" t="n">
        <v>15170</v>
      </c>
      <c r="D9" s="5" t="n">
        <v>14811</v>
      </c>
      <c r="E9" s="5" t="n">
        <v>13831</v>
      </c>
      <c r="F9" s="5" t="n">
        <v>13902</v>
      </c>
      <c r="G9" s="5" t="n">
        <v>13949</v>
      </c>
      <c r="H9" s="5" t="n">
        <v>13476</v>
      </c>
      <c r="I9" s="5" t="n">
        <v>13380</v>
      </c>
      <c r="L9" t="inlineStr">
        <is>
          <t>Total equity</t>
        </is>
      </c>
      <c r="M9" t="n">
        <v>13380</v>
      </c>
      <c r="N9" t="n">
        <v>13476</v>
      </c>
      <c r="O9" t="n">
        <v>13949</v>
      </c>
      <c r="P9" t="n">
        <v>13902</v>
      </c>
      <c r="Q9" t="n">
        <v>13831</v>
      </c>
      <c r="R9" t="n">
        <v>14811</v>
      </c>
      <c r="S9" t="n">
        <v>15170</v>
      </c>
      <c r="T9" t="n">
        <v>15493</v>
      </c>
      <c r="BD9" t="inlineStr">
        <is>
          <t>LCR</t>
        </is>
      </c>
      <c r="BE9" t="n">
        <v>111</v>
      </c>
      <c r="BF9" t="n">
        <v>112</v>
      </c>
      <c r="BG9" t="n">
        <v>109</v>
      </c>
      <c r="BJ9" t="n">
        <v>125</v>
      </c>
      <c r="BK9" t="n">
        <v>149</v>
      </c>
      <c r="BL9" t="n">
        <v>131</v>
      </c>
    </row>
    <row r="10">
      <c r="BD10" t="inlineStr">
        <is>
          <t>NSFR</t>
        </is>
      </c>
      <c r="BJ10" t="n">
        <v>141</v>
      </c>
      <c r="BK10" t="n">
        <v>141</v>
      </c>
      <c r="BL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3161</v>
      </c>
      <c r="C13" s="5" t="n">
        <v>3041</v>
      </c>
      <c r="D13" s="5" t="n">
        <v>3145</v>
      </c>
      <c r="E13" s="5" t="n">
        <v>2378</v>
      </c>
      <c r="F13" s="5" t="n">
        <v>2100</v>
      </c>
      <c r="G13" s="5" t="n">
        <v>2159</v>
      </c>
      <c r="H13" s="5" t="n">
        <v>2327</v>
      </c>
      <c r="I13" s="5" t="n">
        <v>2301</v>
      </c>
      <c r="W13" t="inlineStr">
        <is>
          <t>Net operating income</t>
        </is>
      </c>
      <c r="X13" t="n">
        <v>2301</v>
      </c>
      <c r="Y13" t="n">
        <v>2327</v>
      </c>
      <c r="Z13" t="n">
        <v>2159</v>
      </c>
      <c r="AA13" t="n">
        <v>2100</v>
      </c>
      <c r="AB13" t="n">
        <v>2378</v>
      </c>
      <c r="AC13" t="n">
        <v>3145</v>
      </c>
      <c r="AD13" t="n">
        <v>3041</v>
      </c>
      <c r="AE13" t="n">
        <v>3161</v>
      </c>
    </row>
    <row r="14">
      <c r="A14" s="5" t="inlineStr">
        <is>
          <t>Total operating expenses</t>
        </is>
      </c>
      <c r="B14" s="5" t="n">
        <v>-2793</v>
      </c>
      <c r="C14" s="5" t="n">
        <v>-2629</v>
      </c>
      <c r="D14" s="5" t="n">
        <v>-2077</v>
      </c>
      <c r="E14" s="5" t="n">
        <v>-2525</v>
      </c>
      <c r="F14" s="5" t="n">
        <v>-1986</v>
      </c>
      <c r="G14" s="5" t="n">
        <v>-2185</v>
      </c>
      <c r="H14" s="5" t="n">
        <v>-2219</v>
      </c>
      <c r="I14" s="5" t="n">
        <v>-2216</v>
      </c>
      <c r="W14" t="inlineStr">
        <is>
          <t>Total operating expenses</t>
        </is>
      </c>
      <c r="X14" t="n">
        <v>-2216</v>
      </c>
      <c r="Y14" t="n">
        <v>-2219</v>
      </c>
      <c r="Z14" t="n">
        <v>-2185</v>
      </c>
      <c r="AA14" t="n">
        <v>-1986</v>
      </c>
      <c r="AB14" t="n">
        <v>-2525</v>
      </c>
      <c r="AC14" t="n">
        <v>-2077</v>
      </c>
      <c r="AD14" t="n">
        <v>-2629</v>
      </c>
      <c r="AE14" t="n">
        <v>-2793</v>
      </c>
    </row>
    <row r="15">
      <c r="A15" s="5" t="inlineStr">
        <is>
          <t>Profit/(loss) for the year</t>
        </is>
      </c>
      <c r="B15" s="5" t="n">
        <v>323</v>
      </c>
      <c r="C15" s="5" t="n">
        <v>327</v>
      </c>
      <c r="D15" s="5" t="n">
        <v>889</v>
      </c>
      <c r="E15" s="5" t="n">
        <v>-146</v>
      </c>
      <c r="F15" s="5" t="n">
        <v>112</v>
      </c>
      <c r="G15" s="5" t="n">
        <v>-23</v>
      </c>
      <c r="H15" s="5" t="n">
        <v>105</v>
      </c>
      <c r="I15" s="5" t="n">
        <v>85</v>
      </c>
      <c r="W15" t="inlineStr">
        <is>
          <t>Profit/(loss) for the year</t>
        </is>
      </c>
      <c r="X15" t="n">
        <v>85</v>
      </c>
      <c r="Y15" t="n">
        <v>105</v>
      </c>
      <c r="Z15" t="n">
        <v>-23</v>
      </c>
      <c r="AA15" t="n">
        <v>112</v>
      </c>
      <c r="AB15" t="n">
        <v>-146</v>
      </c>
      <c r="AC15" t="n">
        <v>889</v>
      </c>
      <c r="AD15" t="n">
        <v>327</v>
      </c>
      <c r="AE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15170</v>
      </c>
      <c r="C19" s="5" t="n">
        <v>14811</v>
      </c>
      <c r="D19" s="5" t="n">
        <v>13831</v>
      </c>
      <c r="E19" s="5" t="n">
        <v>13902</v>
      </c>
      <c r="F19" s="5" t="n">
        <v>13949</v>
      </c>
      <c r="G19" s="5" t="n">
        <v>13982</v>
      </c>
      <c r="H19" s="5" t="n">
        <v>13380</v>
      </c>
      <c r="I19" s="5" t="n">
        <v>13339</v>
      </c>
      <c r="AH19" t="inlineStr">
        <is>
          <t>Opening equity</t>
        </is>
      </c>
      <c r="AI19" t="n">
        <v>13339</v>
      </c>
      <c r="AJ19" t="n">
        <v>13380</v>
      </c>
      <c r="AK19" t="n">
        <v>13982</v>
      </c>
      <c r="AL19" t="n">
        <v>13949</v>
      </c>
      <c r="AM19" t="n">
        <v>13902</v>
      </c>
      <c r="AN19" t="n">
        <v>13831</v>
      </c>
      <c r="AO19" t="n">
        <v>14811</v>
      </c>
      <c r="AP19" t="n">
        <v>15170</v>
      </c>
    </row>
    <row r="20">
      <c r="A20" s="5" t="inlineStr">
        <is>
          <t>Total comprehensive income</t>
        </is>
      </c>
      <c r="B20" s="5" t="n">
        <v>323</v>
      </c>
      <c r="C20" s="5" t="n">
        <v>359</v>
      </c>
      <c r="D20" s="5" t="n">
        <v>1173</v>
      </c>
      <c r="E20" s="5" t="n">
        <v>-146</v>
      </c>
      <c r="F20" s="5" t="n">
        <v>112</v>
      </c>
      <c r="G20" s="5" t="n">
        <v>-23</v>
      </c>
      <c r="H20" s="5" t="n">
        <v>105</v>
      </c>
      <c r="I20" s="5" t="n">
        <v>85</v>
      </c>
      <c r="AH20" t="inlineStr">
        <is>
          <t>Total comprehensive income</t>
        </is>
      </c>
      <c r="AI20" t="n">
        <v>85</v>
      </c>
      <c r="AJ20" t="n">
        <v>105</v>
      </c>
      <c r="AK20" t="n">
        <v>-23</v>
      </c>
      <c r="AL20" t="n">
        <v>112</v>
      </c>
      <c r="AM20" t="n">
        <v>-146</v>
      </c>
      <c r="AN20" t="n">
        <v>1173</v>
      </c>
      <c r="AO20" t="n">
        <v>359</v>
      </c>
      <c r="AP20" t="n">
        <v>323</v>
      </c>
    </row>
    <row r="21">
      <c r="A21" s="5" t="inlineStr">
        <is>
          <t>Other movements, net</t>
        </is>
      </c>
      <c r="B21" s="5" t="n">
        <v>0</v>
      </c>
      <c r="C21" s="5" t="n">
        <v>0</v>
      </c>
      <c r="D21" s="5" t="n">
        <v>-193</v>
      </c>
      <c r="E21" s="5" t="n">
        <v>75</v>
      </c>
      <c r="F21" s="5" t="n">
        <v>-159</v>
      </c>
      <c r="G21" s="5" t="n">
        <v>-10</v>
      </c>
      <c r="H21" s="5" t="n">
        <v>-9</v>
      </c>
      <c r="I21" s="5" t="n">
        <v>-44</v>
      </c>
      <c r="AH21" t="inlineStr">
        <is>
          <t>Other movements, net</t>
        </is>
      </c>
      <c r="AI21" t="n">
        <v>-44</v>
      </c>
      <c r="AJ21" t="n">
        <v>-9</v>
      </c>
      <c r="AK21" t="n">
        <v>-10</v>
      </c>
      <c r="AL21" t="n">
        <v>-159</v>
      </c>
      <c r="AM21" t="n">
        <v>75</v>
      </c>
      <c r="AN21" t="n">
        <v>-193</v>
      </c>
      <c r="AO21" t="n">
        <v>0</v>
      </c>
      <c r="AP21" t="n">
        <v>0</v>
      </c>
    </row>
    <row r="22">
      <c r="A22" s="5" t="inlineStr">
        <is>
          <t>Closing equity</t>
        </is>
      </c>
      <c r="B22" s="5" t="n">
        <v>15493</v>
      </c>
      <c r="C22" s="5" t="n">
        <v>15170</v>
      </c>
      <c r="D22" s="5" t="n">
        <v>14811</v>
      </c>
      <c r="E22" s="5" t="n">
        <v>13831</v>
      </c>
      <c r="F22" s="5" t="n">
        <v>13902</v>
      </c>
      <c r="G22" s="5" t="n">
        <v>13949</v>
      </c>
      <c r="H22" s="5" t="n">
        <v>13476</v>
      </c>
      <c r="I22" s="5" t="n">
        <v>13380</v>
      </c>
      <c r="AH22" t="inlineStr">
        <is>
          <t>Closing equity</t>
        </is>
      </c>
      <c r="AI22" t="n">
        <v>13380</v>
      </c>
      <c r="AJ22" t="n">
        <v>13476</v>
      </c>
      <c r="AK22" t="n">
        <v>13949</v>
      </c>
      <c r="AL22" t="n">
        <v>13902</v>
      </c>
      <c r="AM22" t="n">
        <v>13831</v>
      </c>
      <c r="AN22" t="n">
        <v>14811</v>
      </c>
      <c r="AO22" t="n">
        <v>15170</v>
      </c>
      <c r="AP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AS26" t="inlineStr">
        <is>
          <t>Net cash flow from operating activities</t>
        </is>
      </c>
      <c r="AT26" t="n">
        <v>-129</v>
      </c>
      <c r="AU26" t="n">
        <v>-60</v>
      </c>
      <c r="AV26" t="n">
        <v>1318</v>
      </c>
      <c r="AW26" t="n">
        <v>927</v>
      </c>
      <c r="AX26" t="n">
        <v>83148</v>
      </c>
      <c r="AY26" t="n">
        <v>29059</v>
      </c>
      <c r="AZ26" t="n">
        <v>-14423</v>
      </c>
      <c r="BA26" t="n">
        <v>8361</v>
      </c>
    </row>
    <row r="27">
      <c r="A27" s="5" t="inlineStr">
        <is>
          <t>Net cash flow from investing activities</t>
        </is>
      </c>
      <c r="B27" s="5" t="n">
        <v>-152</v>
      </c>
      <c r="C27" s="5" t="n">
        <v>-461</v>
      </c>
      <c r="D27" s="5" t="n">
        <v>-116</v>
      </c>
      <c r="E27" s="5" t="n">
        <v>-2</v>
      </c>
      <c r="F27" s="5" t="n">
        <v>0</v>
      </c>
      <c r="G27" s="5" t="n">
        <v>-149</v>
      </c>
      <c r="H27" s="5" t="n">
        <v>-162</v>
      </c>
      <c r="I27" s="5" t="n">
        <v>-21</v>
      </c>
      <c r="AS27" t="inlineStr">
        <is>
          <t>Net cash flow from investing activities</t>
        </is>
      </c>
      <c r="AT27" t="n">
        <v>-21</v>
      </c>
      <c r="AU27" t="n">
        <v>-162</v>
      </c>
      <c r="AV27" t="n">
        <v>-149</v>
      </c>
      <c r="AW27" t="n">
        <v>0</v>
      </c>
      <c r="AX27" t="n">
        <v>-2</v>
      </c>
      <c r="AY27" t="n">
        <v>-116</v>
      </c>
      <c r="AZ27" t="n">
        <v>-461</v>
      </c>
      <c r="BA27" t="n">
        <v>-152</v>
      </c>
    </row>
    <row r="28">
      <c r="A28" s="5" t="inlineStr">
        <is>
          <t>Net cash flow from financing activities</t>
        </is>
      </c>
      <c r="B28" s="5" t="n">
        <v>0</v>
      </c>
      <c r="C28" s="5" t="n">
        <v>0</v>
      </c>
      <c r="D28" s="5" t="n">
        <v>0</v>
      </c>
      <c r="E28" s="5" t="n">
        <v>747</v>
      </c>
      <c r="F28" s="5" t="n">
        <v>0</v>
      </c>
      <c r="G28" s="5" t="n">
        <v>0</v>
      </c>
      <c r="H28" s="5" t="n">
        <v>0</v>
      </c>
      <c r="I28" s="5" t="n">
        <v>0</v>
      </c>
      <c r="AS28" t="inlineStr">
        <is>
          <t>Net cash flow from financing activities</t>
        </is>
      </c>
      <c r="AT28" t="n">
        <v>0</v>
      </c>
      <c r="AU28" t="n">
        <v>0</v>
      </c>
      <c r="AV28" t="n">
        <v>0</v>
      </c>
      <c r="AW28" t="n">
        <v>0</v>
      </c>
      <c r="AX28" t="n">
        <v>747</v>
      </c>
      <c r="AY28" t="n">
        <v>0</v>
      </c>
      <c r="AZ28" t="n">
        <v>0</v>
      </c>
      <c r="BA28" t="n">
        <v>0</v>
      </c>
    </row>
    <row r="29">
      <c r="A29" s="5" t="inlineStr">
        <is>
          <t>Closing cash and cash equivalents</t>
        </is>
      </c>
      <c r="B29" s="5" t="n">
        <v>109027</v>
      </c>
      <c r="C29" s="5" t="n">
        <v>100818</v>
      </c>
      <c r="D29" s="5" t="n">
        <v>115702</v>
      </c>
      <c r="E29" s="5" t="n">
        <v>86759</v>
      </c>
      <c r="F29" s="5" t="n">
        <v>2866</v>
      </c>
      <c r="G29" s="5" t="n">
        <v>1939</v>
      </c>
      <c r="H29" s="5" t="n">
        <v>770</v>
      </c>
      <c r="I29" s="5" t="n">
        <v>992</v>
      </c>
      <c r="AS29" t="inlineStr">
        <is>
          <t>Closing cash and cash equivalents</t>
        </is>
      </c>
      <c r="AT29" t="n">
        <v>992</v>
      </c>
      <c r="AU29" t="n">
        <v>770</v>
      </c>
      <c r="AV29" t="n">
        <v>1939</v>
      </c>
      <c r="AW29" t="n">
        <v>2866</v>
      </c>
      <c r="AX29" t="n">
        <v>86759</v>
      </c>
      <c r="AY29" t="n">
        <v>115702</v>
      </c>
      <c r="AZ29" t="n">
        <v>100818</v>
      </c>
      <c r="BA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row>
    <row r="36">
      <c r="A36" s="6" t="inlineStr">
        <is>
          <t>LCR</t>
        </is>
      </c>
      <c r="B36" s="6" t="inlineStr">
        <is>
          <t>131%</t>
        </is>
      </c>
      <c r="C36" s="6" t="inlineStr">
        <is>
          <t>149%</t>
        </is>
      </c>
      <c r="D36" s="6" t="inlineStr">
        <is>
          <t>125%</t>
        </is>
      </c>
      <c r="E36" s="6" t="n"/>
      <c r="F36" s="6" t="n"/>
      <c r="G36" s="6" t="inlineStr">
        <is>
          <t>109%</t>
        </is>
      </c>
      <c r="H36" s="6" t="inlineStr">
        <is>
          <t>112%</t>
        </is>
      </c>
      <c r="I36" s="6" t="inlineStr">
        <is>
          <t>111%</t>
        </is>
      </c>
    </row>
    <row r="37">
      <c r="A37" s="6" t="inlineStr">
        <is>
          <t>NSFR</t>
        </is>
      </c>
      <c r="B37" s="6" t="inlineStr">
        <is>
          <t>185%</t>
        </is>
      </c>
      <c r="C37" s="6" t="inlineStr">
        <is>
          <t>141%</t>
        </is>
      </c>
      <c r="D37" s="6" t="inlineStr">
        <is>
          <t>141%</t>
        </is>
      </c>
      <c r="E37" s="6" t="n"/>
      <c r="F37" s="6" t="n"/>
      <c r="G37" s="6" t="n"/>
      <c r="H37" s="6" t="n"/>
      <c r="I37" s="6" t="n"/>
    </row>
    <row r="39" ht="45" customHeight="1">
      <c r="A39" s="7" t="inlineStr">
        <is>
          <t>Note: Figures are duplicated from the detail sheets for at-a-glance trend viewing; see each sheet's own source citation for the underlying document/page. FY2022 Pillar 3 data (all ratios) and FY2021/FY2022/FY2020/FY2019/FY2018 NSFR are genuinely absent from the source documents, not omitted in error.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14217</v>
      </c>
      <c r="C4" s="6" t="n">
        <v>13940</v>
      </c>
      <c r="D4" s="6" t="n">
        <v>13685</v>
      </c>
      <c r="E4" s="6" t="n"/>
      <c r="F4" s="6" t="n">
        <v>13424</v>
      </c>
      <c r="G4" s="6" t="n">
        <v>13338</v>
      </c>
      <c r="H4" s="6" t="n">
        <v>13569</v>
      </c>
      <c r="I4" s="6" t="n">
        <v>13393</v>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14217</v>
      </c>
      <c r="C4" s="6" t="n">
        <v>13940</v>
      </c>
      <c r="D4" s="6" t="n">
        <v>13685</v>
      </c>
      <c r="E4" s="6" t="n"/>
      <c r="F4" s="6" t="n">
        <v>13424</v>
      </c>
      <c r="G4" s="6" t="n">
        <v>13338</v>
      </c>
      <c r="H4" s="6" t="n">
        <v>13569</v>
      </c>
      <c r="I4" s="6" t="n">
        <v>13393</v>
      </c>
    </row>
    <row r="5" ht="60" customHeight="1">
      <c r="A5" s="7" t="inlineStr">
        <is>
          <t>Note: BOCUK has no Additional Tier 1 capital in any year - Tier 1 capital equals CET1 capital throughout.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row>
    <row r="5" ht="60" customHeight="1">
      <c r="A5" s="7" t="inlineStr">
        <is>
          <t>Note: Equal to the CET1 ratio - no Additional Tier 1 capital in any year.</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(own funds)</t>
        </is>
      </c>
      <c r="B4" s="6" t="n">
        <v>15353</v>
      </c>
      <c r="C4" s="6" t="n">
        <v>15076</v>
      </c>
      <c r="D4" s="6" t="n">
        <v>14789</v>
      </c>
      <c r="E4" s="6" t="n"/>
      <c r="F4" s="6" t="n">
        <v>14169</v>
      </c>
      <c r="G4" s="6" t="n">
        <v>14242</v>
      </c>
      <c r="H4" s="6" t="n">
        <v>13569</v>
      </c>
      <c r="I4" s="6" t="n">
        <v>13393</v>
      </c>
    </row>
    <row r="5" ht="60" customHeight="1">
      <c r="A5" s="7" t="inlineStr">
        <is>
          <t>Note: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n"/>
      <c r="F4" s="6" t="n">
        <v>24509</v>
      </c>
      <c r="G4" s="6" t="n">
        <v>38848</v>
      </c>
      <c r="H4" s="6" t="n">
        <v>23604</v>
      </c>
      <c r="I4" s="6" t="n">
        <v>24492</v>
      </c>
    </row>
    <row r="5" ht="60" customHeight="1">
      <c r="A5" s="7" t="inlineStr">
        <is>
          <t>Note: FY2018/FY2019/FY2021's own Pillar 3 'Total RWAs' figure equals only the Credit and Counterparty Credit Risk component of the Bank's own Own Funds Requirement table, excluding Market and Operational risk RWA - see the RWA Breakdown sheet's own note for the full, internally-corrected total each year. FY2020's own Pillar 3 document is the first to state a comprehensive Total RWA figure (matching the full Own Funds Requirement total) directly - this discrepancy pattern, present FY2018-FY2019 and FY2021, is resolved from FY2020 on.</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Risk-weighted exposure amounts by risk type</t>
        </is>
      </c>
      <c r="B4" s="6" t="n"/>
      <c r="C4" s="6" t="n"/>
      <c r="D4" s="6" t="n"/>
      <c r="E4" s="6" t="n"/>
      <c r="F4" s="6" t="n"/>
      <c r="G4" s="6" t="n"/>
      <c r="H4" s="6" t="n"/>
      <c r="I4" s="6" t="n"/>
    </row>
    <row r="5">
      <c r="A5" s="6" t="inlineStr">
        <is>
          <t>Credit and counterparty credit risk</t>
        </is>
      </c>
      <c r="B5" s="6" t="n">
        <v>65343</v>
      </c>
      <c r="C5" s="6" t="n">
        <v>56022</v>
      </c>
      <c r="D5" s="6" t="n">
        <v>26888</v>
      </c>
      <c r="E5" s="6" t="n"/>
      <c r="F5" s="6" t="n">
        <v>24509</v>
      </c>
      <c r="G5" s="6" t="n">
        <v>34463</v>
      </c>
      <c r="H5" s="6" t="n">
        <v>23600</v>
      </c>
      <c r="I5" s="6" t="n">
        <v>24488</v>
      </c>
    </row>
    <row r="6">
      <c r="A6" s="6" t="inlineStr">
        <is>
          <t>Market risk</t>
        </is>
      </c>
      <c r="B6" s="6" t="n">
        <v>37</v>
      </c>
      <c r="C6" s="6" t="n">
        <v>557</v>
      </c>
      <c r="D6" s="6" t="n">
        <v>1150</v>
      </c>
      <c r="E6" s="6" t="n"/>
      <c r="F6" s="6" t="n">
        <v>302</v>
      </c>
      <c r="G6" s="6" t="n">
        <v>188</v>
      </c>
      <c r="H6" s="6" t="n">
        <v>88</v>
      </c>
      <c r="I6" s="6" t="n">
        <v>100</v>
      </c>
    </row>
    <row r="7">
      <c r="A7" s="6" t="inlineStr">
        <is>
          <t>Operational risk (Basic Indicator Approach)</t>
        </is>
      </c>
      <c r="B7" s="6" t="n">
        <v>5353</v>
      </c>
      <c r="C7" s="6" t="n">
        <v>4765</v>
      </c>
      <c r="D7" s="6" t="n">
        <v>4150</v>
      </c>
      <c r="E7" s="6" t="n"/>
      <c r="F7" s="6" t="n">
        <v>4241</v>
      </c>
      <c r="G7" s="6" t="n">
        <v>4188</v>
      </c>
      <c r="H7" s="6" t="n">
        <v>4188</v>
      </c>
      <c r="I7" s="6" t="n">
        <v>3950</v>
      </c>
    </row>
    <row r="8">
      <c r="A8" s="5" t="inlineStr">
        <is>
          <t>Total risk-weighted exposure amount</t>
        </is>
      </c>
      <c r="B8" s="5" t="n">
        <v>70733</v>
      </c>
      <c r="C8" s="5" t="n">
        <v>61344</v>
      </c>
      <c r="D8" s="5" t="n">
        <v>32188</v>
      </c>
      <c r="E8" s="5" t="n"/>
      <c r="F8" s="5" t="n">
        <v>29052</v>
      </c>
      <c r="G8" s="5" t="n">
        <v>38839</v>
      </c>
      <c r="H8" s="5" t="n">
        <v>27876</v>
      </c>
      <c r="I8" s="5" t="n">
        <v>28538</v>
      </c>
    </row>
    <row r="10" ht="260" customHeight="1">
      <c r="A10"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p.15 (5.3 Pillar 1 Capital Requirement / Own Funds Requirement) - https://www.bankofceylon.co.uk/downloads/corporate/BOCUK_Pillar%203%20Disclosures%2031%20December%202020.pdf. RWA per risk type DERIVED from the document's own capital-requirement figures (RWA = capital requirement / 8%); the resulting total (£38,839k) is within £9k (0.02%) of the document's own directly-reported Total RWA (£38,848k, from Section 4.1, presumably from the Bank's regulatory returns rather than a simple /8% back-calculation) - immaterial, not treated as an error.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DISCREPANCY FLAGGED (FY2018, FY2019 and FY2021): the pre-existing/Total RWAs sheet's figure for each of these years (£24,492k FY2018, £23,604k FY2019, £24,509k FY2021) equals only the Credit and Counterparty Credit Risk subtotal from that year's own Pillar 3 table - it does NOT include that same table's Market Risk and Operational Risk RWA, whose sum is each document's own printed 'Total Pillar 1 Requirement' (£28,538k FY2018, £27,876k FY2019, £29,052k FY2021 - see derivations above). This RWA Breakdown sheet uses the correct full total for each year, which is materially higher than the pre-existing Total RWAs sheet's value - flagged here for correction there rather than silently matched to the (apparently understated) existing figures. FY2020 on, the Bank's own Pillar 3 'Total RWAs' figure is already the full Pillar 1 total (see the Total RWAs sheet's own note) - this discrepancy resolves itself from FY2020.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10:I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 available (£'000)</t>
        </is>
      </c>
      <c r="B4" s="6" t="n">
        <v>14217</v>
      </c>
      <c r="C4" s="6" t="n">
        <v>13940</v>
      </c>
      <c r="D4" s="6" t="n">
        <v>13685</v>
      </c>
      <c r="E4" s="6" t="n"/>
      <c r="F4" s="6" t="n">
        <v>13424</v>
      </c>
      <c r="G4" s="6" t="n">
        <v>13338</v>
      </c>
      <c r="H4" s="6" t="n">
        <v>13569</v>
      </c>
      <c r="I4" s="6" t="n">
        <v>13393</v>
      </c>
    </row>
    <row r="5">
      <c r="A5" s="6" t="inlineStr">
        <is>
          <t>Total leverage ratio exposure measure (£'000)</t>
        </is>
      </c>
      <c r="B5" s="6" t="n">
        <v>99213</v>
      </c>
      <c r="C5" s="6" t="n">
        <v>75247</v>
      </c>
      <c r="D5" s="6" t="n">
        <v>47579</v>
      </c>
      <c r="E5" s="6" t="n"/>
      <c r="F5" s="6" t="n">
        <v>29072</v>
      </c>
      <c r="G5" s="6" t="n">
        <v>37808</v>
      </c>
      <c r="H5" s="6" t="n">
        <v>39619</v>
      </c>
      <c r="I5" s="6" t="n">
        <v>28733</v>
      </c>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n"/>
      <c r="F6" s="6" t="n"/>
      <c r="G6" s="6" t="inlineStr">
        <is>
          <t>109%</t>
        </is>
      </c>
      <c r="H6" s="6" t="inlineStr">
        <is>
          <t>112%</t>
        </is>
      </c>
      <c r="I6" s="6" t="inlineStr">
        <is>
          <t>111%</t>
        </is>
      </c>
    </row>
    <row r="7" ht="60" customHeight="1">
      <c r="A7" s="7" t="inlineStr">
        <is>
          <t>Note: Not disclosed for FY2021/FY2022 - the Key Metrics/KM1-style LCR template was not yet used in BOCUK's FY2021 Pillar 3 disclosure, and no FY2022 document was found (see source note). FY2020's Pillar 3 document discloses only the headline Liquidity Ratio (109%, from its infographic-style 'Key Metrics' summary) with no HQLA/net cash outflow breakdown anywhere in that document - the two absolute £'000 rows are left blank for FY2020 rather than guessed, while the ratio itself is populated.</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required stable funds (£'000)</t>
        </is>
      </c>
      <c r="B4" s="6" t="n">
        <v>65823</v>
      </c>
      <c r="C4" s="6" t="n">
        <v>64648</v>
      </c>
      <c r="D4" s="6" t="n">
        <v>35141</v>
      </c>
      <c r="E4" s="6" t="n"/>
      <c r="F4" s="6" t="n"/>
      <c r="G4" s="6" t="n"/>
      <c r="H4" s="6" t="n"/>
      <c r="I4" s="6" t="n"/>
    </row>
    <row r="5">
      <c r="A5" s="6" t="inlineStr">
        <is>
          <t>Total available stable funds (£'000)</t>
        </is>
      </c>
      <c r="B5" s="6" t="n">
        <v>121764</v>
      </c>
      <c r="C5" s="6" t="n">
        <v>91457</v>
      </c>
      <c r="D5" s="6" t="n">
        <v>49594</v>
      </c>
      <c r="E5" s="6" t="n"/>
      <c r="F5" s="6" t="n"/>
      <c r="G5" s="6" t="n"/>
      <c r="H5" s="6" t="n"/>
      <c r="I5" s="6" t="n"/>
    </row>
    <row r="6">
      <c r="A6" s="6" t="inlineStr">
        <is>
          <t>Net Stable Funding Ratio (%)</t>
        </is>
      </c>
      <c r="B6" s="6" t="inlineStr">
        <is>
          <t>185%</t>
        </is>
      </c>
      <c r="C6" s="6" t="inlineStr">
        <is>
          <t>141%</t>
        </is>
      </c>
      <c r="D6" s="6" t="inlineStr">
        <is>
          <t>141%</t>
        </is>
      </c>
      <c r="E6" s="6" t="n"/>
      <c r="F6" s="6" t="n"/>
      <c r="G6" s="6" t="n"/>
      <c r="H6" s="6" t="n"/>
      <c r="I6" s="6" t="n"/>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2026-09-06T01:35:02Z</dcterms:created>
  <dcterms:modified xmlns:dcterms="http://purl.org/dc/terms/" xmlns:xsi="http://www.w3.org/2001/XMLSchema-instance" xsi:type="dcterms:W3CDTF">2026-09-06T01:35:02Z</dcterms:modified>
</cp:coreProperties>
</file>