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8D6A9F"/>
        <bgColor rgb="008D6A9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Ceylon (UK)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Bank of Ceylon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Bank of Ceylon (UK)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flow from operating activities</t>
        </is>
      </c>
      <c r="B6" s="5" t="n">
        <v>8361</v>
      </c>
      <c r="C6" s="5" t="n">
        <v>-14423</v>
      </c>
      <c r="D6" s="5" t="n">
        <v>29059</v>
      </c>
      <c r="E6" s="5" t="n">
        <v>83148</v>
      </c>
      <c r="F6" s="5" t="n">
        <v>927</v>
      </c>
      <c r="I6" t="inlineStr">
        <is>
          <t>Net cash flow from operating activities</t>
        </is>
      </c>
      <c r="J6" t="n">
        <v>927</v>
      </c>
      <c r="K6" t="n">
        <v>83148</v>
      </c>
      <c r="L6" t="n">
        <v>29059</v>
      </c>
      <c r="M6" t="n">
        <v>-14423</v>
      </c>
      <c r="N6" t="n">
        <v>8361</v>
      </c>
      <c r="Q6" t="inlineStr">
        <is>
          <t>CET1 Ratio</t>
        </is>
      </c>
      <c r="R6" t="n">
        <v>54.8</v>
      </c>
      <c r="T6" t="n">
        <v>42.5</v>
      </c>
      <c r="U6" t="n">
        <v>22.7</v>
      </c>
      <c r="V6" t="n">
        <v>20.1</v>
      </c>
    </row>
    <row r="7">
      <c r="A7" s="5" t="inlineStr">
        <is>
          <t>Net cash flow from investing activities</t>
        </is>
      </c>
      <c r="B7" s="5" t="n">
        <v>-152</v>
      </c>
      <c r="C7" s="5" t="n">
        <v>-461</v>
      </c>
      <c r="D7" s="5" t="n">
        <v>-116</v>
      </c>
      <c r="E7" s="5" t="n">
        <v>-2</v>
      </c>
      <c r="F7" s="5" t="n">
        <v>0</v>
      </c>
      <c r="I7" t="inlineStr">
        <is>
          <t>Net cash flow from investing activities</t>
        </is>
      </c>
      <c r="J7" t="n">
        <v>0</v>
      </c>
      <c r="K7" t="n">
        <v>-2</v>
      </c>
      <c r="L7" t="n">
        <v>-116</v>
      </c>
      <c r="M7" t="n">
        <v>-461</v>
      </c>
      <c r="N7" t="n">
        <v>-152</v>
      </c>
      <c r="Q7" t="inlineStr">
        <is>
          <t>Total Capital Ratio</t>
        </is>
      </c>
      <c r="R7" t="n">
        <v>57.8</v>
      </c>
      <c r="T7" t="n">
        <v>45.9</v>
      </c>
      <c r="U7" t="n">
        <v>24.6</v>
      </c>
      <c r="V7" t="n">
        <v>21.7</v>
      </c>
    </row>
    <row r="8">
      <c r="A8" s="5" t="inlineStr">
        <is>
          <t>Net cash flow from financing activities</t>
        </is>
      </c>
      <c r="B8" s="5" t="n">
        <v>0</v>
      </c>
      <c r="C8" s="5" t="n">
        <v>0</v>
      </c>
      <c r="D8" s="5" t="n">
        <v>0</v>
      </c>
      <c r="E8" s="5" t="n">
        <v>747</v>
      </c>
      <c r="F8" s="5" t="n">
        <v>0</v>
      </c>
      <c r="I8" t="inlineStr">
        <is>
          <t>Net cash flow from financing activities</t>
        </is>
      </c>
      <c r="J8" t="n">
        <v>0</v>
      </c>
      <c r="K8" t="n">
        <v>747</v>
      </c>
      <c r="L8" t="n">
        <v>0</v>
      </c>
      <c r="M8" t="n">
        <v>0</v>
      </c>
      <c r="N8" t="n">
        <v>0</v>
      </c>
      <c r="Q8" t="inlineStr">
        <is>
          <t>Leverage Ratio</t>
        </is>
      </c>
      <c r="R8" t="n">
        <v>46.2</v>
      </c>
      <c r="T8" t="n">
        <v>28.8</v>
      </c>
      <c r="U8" t="n">
        <v>18.5</v>
      </c>
      <c r="V8" t="n">
        <v>14.3</v>
      </c>
    </row>
    <row r="9">
      <c r="A9" s="5" t="inlineStr">
        <is>
          <t>Closing cash and cash equivalents</t>
        </is>
      </c>
      <c r="B9" s="5" t="n">
        <v>109027</v>
      </c>
      <c r="C9" s="5" t="n">
        <v>100818</v>
      </c>
      <c r="D9" s="5" t="n">
        <v>115702</v>
      </c>
      <c r="E9" s="5" t="n">
        <v>86759</v>
      </c>
      <c r="F9" s="5" t="n">
        <v>2866</v>
      </c>
      <c r="I9" t="inlineStr">
        <is>
          <t>Closing cash and cash equivalents</t>
        </is>
      </c>
      <c r="J9" t="n">
        <v>2866</v>
      </c>
      <c r="K9" t="n">
        <v>86759</v>
      </c>
      <c r="L9" t="n">
        <v>115702</v>
      </c>
      <c r="M9" t="n">
        <v>100818</v>
      </c>
      <c r="N9" t="n">
        <v>109027</v>
      </c>
      <c r="Q9" t="inlineStr">
        <is>
          <t>LCR</t>
        </is>
      </c>
      <c r="T9" t="n">
        <v>125</v>
      </c>
      <c r="U9" t="n">
        <v>149</v>
      </c>
      <c r="V9" t="n">
        <v>131</v>
      </c>
    </row>
    <row r="10">
      <c r="Q10" t="inlineStr">
        <is>
          <t>NSFR</t>
        </is>
      </c>
      <c r="T10" t="n">
        <v>141</v>
      </c>
      <c r="U10" t="n">
        <v>141</v>
      </c>
      <c r="V10" t="n">
        <v>185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20.1%</t>
        </is>
      </c>
      <c r="C13" s="6" t="inlineStr">
        <is>
          <t>22.7%</t>
        </is>
      </c>
      <c r="D13" s="6" t="inlineStr">
        <is>
          <t>42.5%</t>
        </is>
      </c>
      <c r="E13" s="6" t="n"/>
      <c r="F13" s="6" t="inlineStr">
        <is>
          <t>54.8%</t>
        </is>
      </c>
    </row>
    <row r="14">
      <c r="A14" s="6" t="inlineStr">
        <is>
          <t>Total Capital Ratio</t>
        </is>
      </c>
      <c r="B14" s="6" t="inlineStr">
        <is>
          <t>21.7%</t>
        </is>
      </c>
      <c r="C14" s="6" t="inlineStr">
        <is>
          <t>24.6%</t>
        </is>
      </c>
      <c r="D14" s="6" t="inlineStr">
        <is>
          <t>45.9%</t>
        </is>
      </c>
      <c r="E14" s="6" t="n"/>
      <c r="F14" s="6" t="inlineStr">
        <is>
          <t>57.8%</t>
        </is>
      </c>
    </row>
    <row r="15">
      <c r="A15" s="6" t="inlineStr">
        <is>
          <t>Leverage Ratio</t>
        </is>
      </c>
      <c r="B15" s="6" t="inlineStr">
        <is>
          <t>14.3%</t>
        </is>
      </c>
      <c r="C15" s="6" t="inlineStr">
        <is>
          <t>18.5%</t>
        </is>
      </c>
      <c r="D15" s="6" t="inlineStr">
        <is>
          <t>28.8%</t>
        </is>
      </c>
      <c r="E15" s="6" t="n"/>
      <c r="F15" s="6" t="inlineStr">
        <is>
          <t>46.2%</t>
        </is>
      </c>
    </row>
    <row r="16">
      <c r="A16" s="6" t="inlineStr">
        <is>
          <t>LCR</t>
        </is>
      </c>
      <c r="B16" s="6" t="inlineStr">
        <is>
          <t>131%</t>
        </is>
      </c>
      <c r="C16" s="6" t="inlineStr">
        <is>
          <t>149%</t>
        </is>
      </c>
      <c r="D16" s="6" t="inlineStr">
        <is>
          <t>125%</t>
        </is>
      </c>
      <c r="E16" s="6" t="n"/>
      <c r="F16" s="6" t="n"/>
    </row>
    <row r="17">
      <c r="A17" s="6" t="inlineStr">
        <is>
          <t>NSFR</t>
        </is>
      </c>
      <c r="B17" s="6" t="inlineStr">
        <is>
          <t>185%</t>
        </is>
      </c>
      <c r="C17" s="6" t="inlineStr">
        <is>
          <t>141%</t>
        </is>
      </c>
      <c r="D17" s="6" t="inlineStr">
        <is>
          <t>141%</t>
        </is>
      </c>
      <c r="E17" s="6" t="n"/>
      <c r="F17" s="6" t="n"/>
    </row>
    <row r="19" ht="45" customHeight="1">
      <c r="A19" s="7" t="inlineStr">
        <is>
          <t>Note: Figures are duplicated from the detail sheets for at-a-glance trend viewing; see each sheet's own source citation for the underlying document/page. FY2022 Pillar 3 data (all ratios) and FY2021/FY2022 LCR/NSFR are genuinely absent from the source documents, not omitted in error.</t>
        </is>
      </c>
    </row>
  </sheetData>
  <mergeCells count="1">
    <mergeCell ref="A19:F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Statement of Cash Flows</t>
        </is>
      </c>
    </row>
    <row r="2">
      <c r="A2" s="2" t="inlineStr">
        <is>
          <t>Bank of Ceylon (UK) Limited (own entity basis), £'000 unless stated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368</v>
      </c>
      <c r="C5" s="6" t="n">
        <v>412</v>
      </c>
      <c r="D5" s="6" t="n">
        <v>1068</v>
      </c>
      <c r="E5" s="6" t="n">
        <v>-147</v>
      </c>
      <c r="F5" s="6" t="n">
        <v>114</v>
      </c>
    </row>
    <row r="6">
      <c r="A6" s="6" t="inlineStr">
        <is>
          <t>Depreciation of property, plant and equipment</t>
        </is>
      </c>
      <c r="B6" s="6" t="n">
        <v>84</v>
      </c>
      <c r="C6" s="6" t="n">
        <v>120</v>
      </c>
      <c r="D6" s="6" t="n">
        <v>116</v>
      </c>
      <c r="E6" s="6" t="n">
        <v>106</v>
      </c>
      <c r="F6" s="6" t="n">
        <v>107</v>
      </c>
    </row>
    <row r="7">
      <c r="A7" s="6" t="inlineStr">
        <is>
          <t>Amortisation of intangible assets</t>
        </is>
      </c>
      <c r="B7" s="6" t="n">
        <v>14</v>
      </c>
      <c r="C7" s="6" t="n">
        <v>10</v>
      </c>
      <c r="D7" s="6" t="n">
        <v>9</v>
      </c>
      <c r="E7" s="6" t="n">
        <v>11</v>
      </c>
      <c r="F7" s="6" t="n">
        <v>12</v>
      </c>
    </row>
    <row r="8">
      <c r="A8" s="6" t="inlineStr">
        <is>
          <t>Impairment charge/(gain) on loans</t>
        </is>
      </c>
      <c r="B8" s="6" t="n">
        <v>15</v>
      </c>
      <c r="C8" s="6" t="n">
        <v>-431</v>
      </c>
      <c r="D8" s="6" t="n">
        <v>-290</v>
      </c>
      <c r="E8" s="6" t="n">
        <v>392</v>
      </c>
      <c r="F8" s="6" t="n">
        <v>59</v>
      </c>
    </row>
    <row r="9">
      <c r="A9" s="6" t="inlineStr">
        <is>
          <t>Loans to customers / Loans and advances to customers</t>
        </is>
      </c>
      <c r="B9" s="6" t="n">
        <v>-19255</v>
      </c>
      <c r="C9" s="6" t="n">
        <v>-22782</v>
      </c>
      <c r="D9" s="6" t="n">
        <v>-15946</v>
      </c>
      <c r="E9" s="6" t="n">
        <v>1260</v>
      </c>
      <c r="F9" s="6" t="n">
        <v>1001</v>
      </c>
    </row>
    <row r="10">
      <c r="A10" s="6" t="inlineStr">
        <is>
          <t>Financial instruments (assets) / Investments</t>
        </is>
      </c>
      <c r="B10" s="6" t="n">
        <v>5370</v>
      </c>
      <c r="C10" s="6" t="n">
        <v>-7861</v>
      </c>
      <c r="D10" s="6" t="n">
        <v>6867</v>
      </c>
      <c r="E10" s="6" t="n">
        <v>13513</v>
      </c>
      <c r="F10" s="6" t="n">
        <v>1760</v>
      </c>
    </row>
    <row r="11">
      <c r="A11" s="6" t="inlineStr">
        <is>
          <t>Other receivables / other assets and derivatives</t>
        </is>
      </c>
      <c r="B11" s="6" t="n">
        <v>-84</v>
      </c>
      <c r="C11" s="6" t="n">
        <v>14</v>
      </c>
      <c r="D11" s="6" t="n">
        <v>-68</v>
      </c>
      <c r="E11" s="6" t="n">
        <v>-1112</v>
      </c>
      <c r="F11" s="6" t="n">
        <v>761</v>
      </c>
    </row>
    <row r="12">
      <c r="A12" s="6" t="inlineStr">
        <is>
          <t>Loans and advances to banks</t>
        </is>
      </c>
      <c r="B12" s="6" t="n"/>
      <c r="C12" s="6" t="n"/>
      <c r="D12" s="6" t="n"/>
      <c r="E12" s="6" t="n"/>
      <c r="F12" s="6" t="n">
        <v>92438</v>
      </c>
    </row>
    <row r="13">
      <c r="A13" s="6" t="inlineStr">
        <is>
          <t>Retail deposits / customer accounts</t>
        </is>
      </c>
      <c r="B13" s="6" t="n">
        <v>32166</v>
      </c>
      <c r="C13" s="6" t="n">
        <v>25309</v>
      </c>
      <c r="D13" s="6" t="n">
        <v>7802</v>
      </c>
      <c r="E13" s="6" t="n">
        <v>5616</v>
      </c>
      <c r="F13" s="6" t="n">
        <v>1079</v>
      </c>
    </row>
    <row r="14">
      <c r="A14" s="6" t="inlineStr">
        <is>
          <t>Financial instruments (liabilities) / deposits by bank</t>
        </is>
      </c>
      <c r="B14" s="6" t="n">
        <v>-11243</v>
      </c>
      <c r="C14" s="6" t="n">
        <v>-9670</v>
      </c>
      <c r="D14" s="6" t="n">
        <v>30118</v>
      </c>
      <c r="E14" s="6" t="n">
        <v>61911</v>
      </c>
      <c r="F14" s="6" t="n">
        <v>-95893</v>
      </c>
    </row>
    <row r="15">
      <c r="A15" s="6" t="inlineStr">
        <is>
          <t>Other liabilities and derivatives</t>
        </is>
      </c>
      <c r="B15" s="6" t="n">
        <v>1013</v>
      </c>
      <c r="C15" s="6" t="n">
        <v>635</v>
      </c>
      <c r="D15" s="6" t="n">
        <v>-617</v>
      </c>
      <c r="E15" s="6" t="n">
        <v>1598</v>
      </c>
      <c r="F15" s="6" t="n">
        <v>-511</v>
      </c>
    </row>
    <row r="16">
      <c r="A16" s="6" t="inlineStr">
        <is>
          <t>Corporate tax paid</t>
        </is>
      </c>
      <c r="B16" s="6" t="n">
        <v>-87</v>
      </c>
      <c r="C16" s="6" t="n">
        <v>-179</v>
      </c>
      <c r="D16" s="6" t="n"/>
      <c r="E16" s="6" t="n"/>
      <c r="F16" s="6" t="n"/>
    </row>
    <row r="17">
      <c r="A17" s="5" t="inlineStr">
        <is>
          <t>Net cash flow from operating activities</t>
        </is>
      </c>
      <c r="B17" s="5" t="n">
        <v>8361</v>
      </c>
      <c r="C17" s="5" t="n">
        <v>-14423</v>
      </c>
      <c r="D17" s="5" t="n">
        <v>29059</v>
      </c>
      <c r="E17" s="5" t="n">
        <v>83148</v>
      </c>
      <c r="F17" s="5" t="n">
        <v>927</v>
      </c>
    </row>
    <row r="18">
      <c r="A18" s="5" t="inlineStr">
        <is>
          <t>Cash flows from investing activities</t>
        </is>
      </c>
      <c r="B18" s="6" t="n"/>
      <c r="C18" s="6" t="n"/>
      <c r="D18" s="6" t="n"/>
      <c r="E18" s="6" t="n"/>
      <c r="F18" s="6" t="n"/>
    </row>
    <row r="19">
      <c r="A19" s="6" t="inlineStr">
        <is>
          <t>Purchase of property, plant and equipment / acquisition of fixed assets</t>
        </is>
      </c>
      <c r="B19" s="6" t="n">
        <v>-152</v>
      </c>
      <c r="C19" s="6" t="n">
        <v>-461</v>
      </c>
      <c r="D19" s="6" t="n">
        <v>-116</v>
      </c>
      <c r="E19" s="6" t="n">
        <v>-2</v>
      </c>
      <c r="F19" s="6" t="n">
        <v>0</v>
      </c>
    </row>
    <row r="20">
      <c r="A20" s="5" t="inlineStr">
        <is>
          <t>Net cash flow from investing activities</t>
        </is>
      </c>
      <c r="B20" s="5" t="n">
        <v>-152</v>
      </c>
      <c r="C20" s="5" t="n">
        <v>-461</v>
      </c>
      <c r="D20" s="5" t="n">
        <v>-116</v>
      </c>
      <c r="E20" s="5" t="n">
        <v>-2</v>
      </c>
      <c r="F20" s="5" t="n">
        <v>0</v>
      </c>
    </row>
    <row r="21">
      <c r="A21" s="5" t="inlineStr">
        <is>
          <t>Cash flows from financing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Repayment on investments</t>
        </is>
      </c>
      <c r="B22" s="6" t="n"/>
      <c r="C22" s="6" t="n"/>
      <c r="D22" s="6" t="n">
        <v>0</v>
      </c>
      <c r="E22" s="6" t="n">
        <v>747</v>
      </c>
      <c r="F22" s="6" t="n"/>
    </row>
    <row r="23">
      <c r="A23" s="5" t="inlineStr">
        <is>
          <t>Net cash flow from financing activities</t>
        </is>
      </c>
      <c r="B23" s="5" t="n">
        <v>0</v>
      </c>
      <c r="C23" s="5" t="n">
        <v>0</v>
      </c>
      <c r="D23" s="5" t="n">
        <v>0</v>
      </c>
      <c r="E23" s="5" t="n">
        <v>747</v>
      </c>
      <c r="F23" s="5" t="n">
        <v>0</v>
      </c>
    </row>
    <row r="24">
      <c r="A24" s="5" t="inlineStr">
        <is>
          <t>Net increase/(decrease) in cash and cash equivalents</t>
        </is>
      </c>
      <c r="B24" s="5" t="n">
        <v>8209</v>
      </c>
      <c r="C24" s="5" t="n">
        <v>-14884</v>
      </c>
      <c r="D24" s="5" t="n">
        <v>28943</v>
      </c>
      <c r="E24" s="5" t="n">
        <v>83893</v>
      </c>
      <c r="F24" s="5" t="n">
        <v>927</v>
      </c>
    </row>
    <row r="25">
      <c r="A25" s="6" t="inlineStr">
        <is>
          <t>Opening cash and cash equivalents</t>
        </is>
      </c>
      <c r="B25" s="6" t="n">
        <v>100818</v>
      </c>
      <c r="C25" s="6" t="n">
        <v>115702</v>
      </c>
      <c r="D25" s="6" t="n">
        <v>86759</v>
      </c>
      <c r="E25" s="6" t="n">
        <v>2866</v>
      </c>
      <c r="F25" s="6" t="n">
        <v>1939</v>
      </c>
    </row>
    <row r="26">
      <c r="A26" s="5" t="inlineStr">
        <is>
          <t>Closing cash and cash equivalents</t>
        </is>
      </c>
      <c r="B26" s="5" t="n">
        <v>109027</v>
      </c>
      <c r="C26" s="5" t="n">
        <v>100818</v>
      </c>
      <c r="D26" s="5" t="n">
        <v>115702</v>
      </c>
      <c r="E26" s="5" t="n">
        <v>86759</v>
      </c>
      <c r="F26" s="5" t="n">
        <v>2866</v>
      </c>
    </row>
    <row r="28" ht="220" customHeight="1">
      <c r="A28" s="8" t="inlineStr">
        <is>
          <t>Sources - all figures are Bank of Ceylon (UK) Limited's own Statement of Cash Flows, £'000, as filed at Companies House (all 5 filings are fully scanned/image-only - OCR'd with tesseract, cross-verified against rendered page images at up to 400dpi):
FY2025 &amp; FY2024: Full accounts made up to 31 December 2025, p.27 (Statement of Cash Flows) - https://find-and-update.company-information.service.gov.uk/company/06736473/filing-history/MzUyMjY1MjQxM2FkaXF6a2N4/document?format=pdf&amp;download=0
FY2023 &amp; FY2022: Full accounts made up to 31 December 2023, p.42 (Statement of Cashflow) - https://find-and-update.company-information.service.gov.uk/company/06736473/filing-history/MzQyMTM2NzE0MWFkaXF6a2N4/document?format=pdf&amp;download=0
FY2021 (&amp; FY2020 comparative, not used): Full accounts made up to 31 December 2021, p.29 (Statement of Cashflow) - https://find-and-update.company-information.service.gov.uk/company/06736473/filing-history/MzMzODIzNzc0NWFkaXF6a2N4/document?format=pdf&amp;download=0
DATA ERROR NOTE: the FY2021 filing's own printed 'Other assets and derivatives' line for 2021 reads '-761' (a bare minus sign, inconsistent with every other negative figure in the same column, which uses parentheses). This does not reconcile with that same document's own printed subtotals ('635' changes-in subtotal, '927' net operating cash flow) - summing the 7 itemised 'Changes in' lines with -761 gives -887, not 635. Using +761 instead reconciles exactly to both printed subtotals (635 and 927). +761 is used here; the original printed '-761' is preserved in this note for reference. The FY2020 comparative column's equivalent line (-304) is internally consistent as printed and was not changed.
PRESENTATION NOTE: both the FY2021 and FY2023 filings mislabel their investing/financing subtotal rows - the FY2021 filing's 'Net cash flow from financing activities' caption sits directly above the FY2020 column's investing-activities value (-149, which is actually 'Acquisition of fixed assets'), and the FY2023 filing's 'Net cash flow from investing activities' caption sits directly above a value that is actually the operating-activities subtotal (matches 'Cash generated by operations' exactly). Neither year discloses any financing activity beyond a single investing-classified line ('Acquisition of fixed assets' FY2021, 'Purchase of operating property, plant and equipment' FY2023/FY2022) or, in FY2022, a genuine financing line ('Repayment on investments', £747k). This workbook places each line under its correct economic section (Operating/Investing/Financing) regardless of the source's caption placement; every section TOTAL and the full opening/closing cash chain reconciles exactly across all 5 years once corrected.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28:F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14217</v>
      </c>
      <c r="C4" s="6" t="n">
        <v>13940</v>
      </c>
      <c r="D4" s="6" t="n">
        <v>13685</v>
      </c>
      <c r="E4" s="6" t="n"/>
      <c r="F4" s="6" t="n">
        <v>13424</v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20.1%</t>
        </is>
      </c>
      <c r="C4" s="6" t="inlineStr">
        <is>
          <t>22.7%</t>
        </is>
      </c>
      <c r="D4" s="6" t="inlineStr">
        <is>
          <t>42.5%</t>
        </is>
      </c>
      <c r="E4" s="6" t="n"/>
      <c r="F4" s="6" t="inlineStr">
        <is>
          <t>54.8%</t>
        </is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14217</v>
      </c>
      <c r="C4" s="6" t="n">
        <v>13940</v>
      </c>
      <c r="D4" s="6" t="n">
        <v>13685</v>
      </c>
      <c r="E4" s="6" t="n"/>
      <c r="F4" s="6" t="n">
        <v>13424</v>
      </c>
    </row>
    <row r="5" ht="60" customHeight="1">
      <c r="A5" s="7" t="inlineStr">
        <is>
          <t>Note: BOCUK has no Additional Tier 1 capital in any year - Tier 1 capital equals CET1 capital throughout.</t>
        </is>
      </c>
    </row>
    <row r="7" ht="200" customHeight="1">
      <c r="A7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20.1%</t>
        </is>
      </c>
      <c r="C4" s="6" t="inlineStr">
        <is>
          <t>22.7%</t>
        </is>
      </c>
      <c r="D4" s="6" t="inlineStr">
        <is>
          <t>42.5%</t>
        </is>
      </c>
      <c r="E4" s="6" t="n"/>
      <c r="F4" s="6" t="inlineStr">
        <is>
          <t>54.8%</t>
        </is>
      </c>
    </row>
    <row r="5" ht="60" customHeight="1">
      <c r="A5" s="7" t="inlineStr">
        <is>
          <t>Note: Equal to the CET1 ratio - no Additional Tier 1 capital in any year.</t>
        </is>
      </c>
    </row>
    <row r="7" ht="200" customHeight="1">
      <c r="A7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(own funds)</t>
        </is>
      </c>
      <c r="B4" s="6" t="n">
        <v>15353</v>
      </c>
      <c r="C4" s="6" t="n">
        <v>15076</v>
      </c>
      <c r="D4" s="6" t="n">
        <v>14789</v>
      </c>
      <c r="E4" s="6" t="n"/>
      <c r="F4" s="6" t="n">
        <v>14169</v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21.7%</t>
        </is>
      </c>
      <c r="C4" s="6" t="inlineStr">
        <is>
          <t>24.6%</t>
        </is>
      </c>
      <c r="D4" s="6" t="inlineStr">
        <is>
          <t>45.9%</t>
        </is>
      </c>
      <c r="E4" s="6" t="n"/>
      <c r="F4" s="6" t="inlineStr">
        <is>
          <t>57.8%</t>
        </is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70733</v>
      </c>
      <c r="C4" s="6" t="n">
        <v>61344</v>
      </c>
      <c r="D4" s="6" t="n">
        <v>32187</v>
      </c>
      <c r="E4" s="6" t="n"/>
      <c r="F4" s="6" t="n">
        <v>24509</v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available (£'000)</t>
        </is>
      </c>
      <c r="B4" s="6" t="n">
        <v>14217</v>
      </c>
      <c r="C4" s="6" t="n">
        <v>13940</v>
      </c>
      <c r="D4" s="6" t="n">
        <v>13685</v>
      </c>
      <c r="E4" s="6" t="n"/>
      <c r="F4" s="6" t="n">
        <v>13424</v>
      </c>
    </row>
    <row r="5">
      <c r="A5" s="6" t="inlineStr">
        <is>
          <t>Total leverage ratio exposure measure (£'000)</t>
        </is>
      </c>
      <c r="B5" s="6" t="n">
        <v>99213</v>
      </c>
      <c r="C5" s="6" t="n">
        <v>75247</v>
      </c>
      <c r="D5" s="6" t="n">
        <v>47579</v>
      </c>
      <c r="E5" s="6" t="n"/>
      <c r="F5" s="6" t="n">
        <v>29072</v>
      </c>
    </row>
    <row r="6">
      <c r="A6" s="6" t="inlineStr">
        <is>
          <t>Leverage ratio (%)</t>
        </is>
      </c>
      <c r="B6" s="6" t="inlineStr">
        <is>
          <t>14.3%</t>
        </is>
      </c>
      <c r="C6" s="6" t="inlineStr">
        <is>
          <t>18.5%</t>
        </is>
      </c>
      <c r="D6" s="6" t="inlineStr">
        <is>
          <t>28.8%</t>
        </is>
      </c>
      <c r="E6" s="6" t="n"/>
      <c r="F6" s="6" t="inlineStr">
        <is>
          <t>46.2%</t>
        </is>
      </c>
    </row>
    <row r="7" ht="60" customHeight="1">
      <c r="A7" s="7" t="inlineStr">
        <is>
          <t>Note: FY2024 uses the FY2024 Pillar 3 document's own originally-published figures; see the source note above for the slightly different restated FY2024 comparative (£76,247k / 18.3%) published a year later in the FY2025 document, and for the FY2025 document's separate self-contradictory narrative text.</t>
        </is>
      </c>
    </row>
    <row r="9" ht="200" customHeight="1">
      <c r="A9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 (£'000)</t>
        </is>
      </c>
      <c r="B4" s="6" t="n">
        <v>101212</v>
      </c>
      <c r="C4" s="6" t="n">
        <v>99206</v>
      </c>
      <c r="D4" s="6" t="n">
        <v>108880</v>
      </c>
      <c r="E4" s="6" t="n"/>
      <c r="F4" s="6" t="n"/>
    </row>
    <row r="5">
      <c r="A5" s="6" t="inlineStr">
        <is>
          <t>Total net cash outflows (£'000)</t>
        </is>
      </c>
      <c r="B5" s="6" t="n">
        <v>77081</v>
      </c>
      <c r="C5" s="6" t="n">
        <v>66349</v>
      </c>
      <c r="D5" s="6" t="n">
        <v>86856</v>
      </c>
      <c r="E5" s="6" t="n"/>
      <c r="F5" s="6" t="n"/>
    </row>
    <row r="6">
      <c r="A6" s="6" t="inlineStr">
        <is>
          <t>Liquidity Coverage Ratio (%)</t>
        </is>
      </c>
      <c r="B6" s="6" t="inlineStr">
        <is>
          <t>131%</t>
        </is>
      </c>
      <c r="C6" s="6" t="inlineStr">
        <is>
          <t>149%</t>
        </is>
      </c>
      <c r="D6" s="6" t="inlineStr">
        <is>
          <t>125%</t>
        </is>
      </c>
      <c r="E6" s="6" t="n"/>
      <c r="F6" s="6" t="n"/>
    </row>
    <row r="7" ht="60" customHeight="1">
      <c r="A7" s="7" t="inlineStr">
        <is>
          <t>Note: Not disclosed for FY2021/FY2022 - the Key Metrics/KM1-style LCR template was not yet used in BOCUK's FY2021 Pillar 3 disclosure, and no FY2022 document was found (see source note).</t>
        </is>
      </c>
    </row>
    <row r="9" ht="200" customHeight="1">
      <c r="A9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required stable funds (£'000)</t>
        </is>
      </c>
      <c r="B4" s="6" t="n">
        <v>65823</v>
      </c>
      <c r="C4" s="6" t="n">
        <v>64648</v>
      </c>
      <c r="D4" s="6" t="n">
        <v>35141</v>
      </c>
      <c r="E4" s="6" t="n"/>
      <c r="F4" s="6" t="n"/>
    </row>
    <row r="5">
      <c r="A5" s="6" t="inlineStr">
        <is>
          <t>Total available stable funds (£'000)</t>
        </is>
      </c>
      <c r="B5" s="6" t="n">
        <v>121764</v>
      </c>
      <c r="C5" s="6" t="n">
        <v>91457</v>
      </c>
      <c r="D5" s="6" t="n">
        <v>49594</v>
      </c>
      <c r="E5" s="6" t="n"/>
      <c r="F5" s="6" t="n"/>
    </row>
    <row r="6">
      <c r="A6" s="6" t="inlineStr">
        <is>
          <t>Net Stable Funding Ratio (%)</t>
        </is>
      </c>
      <c r="B6" s="6" t="inlineStr">
        <is>
          <t>185%</t>
        </is>
      </c>
      <c r="C6" s="6" t="inlineStr">
        <is>
          <t>141%</t>
        </is>
      </c>
      <c r="D6" s="6" t="inlineStr">
        <is>
          <t>141%</t>
        </is>
      </c>
      <c r="E6" s="6" t="n"/>
      <c r="F6" s="6" t="n"/>
    </row>
    <row r="7" ht="60" customHeight="1">
      <c r="A7" s="7" t="inlineStr">
        <is>
          <t>Note: FY2023 and FY2024 NSFR ratios are both printed as 141% in the source document despite different underlying £'000 figures for both years - transcribed as printed, not treated as an error since the absolute figures genuinely differ. Not disclosed for FY2021/FY2022 (see LCR sheet note; same cause).</t>
        </is>
      </c>
    </row>
    <row r="9" ht="200" customHeight="1">
      <c r="A9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of the 4 available Pillar 3 editions (FY2021, FY2023 via comparative, FY2024, FY2025), any year - no numeric ratio or explicit exemption statement found.</t>
        </is>
      </c>
    </row>
    <row r="7" ht="150" customHeight="1">
      <c r="A7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2026-08-27T13:00:43Z</dcterms:created>
  <dcterms:modified xsi:type="dcterms:W3CDTF">2026-08-27T13:00:43Z</dcterms:modified>
</cp:coreProperties>
</file>