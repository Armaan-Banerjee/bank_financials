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P6" t="inlineStr">
        <is>
          <t>Total assets</t>
        </is>
      </c>
      <c r="Q6" t="n">
        <v>226.38</v>
      </c>
      <c r="R6" t="n">
        <v>428.19</v>
      </c>
      <c r="S6" t="n">
        <v>516.9299999999999</v>
      </c>
      <c r="T6" t="n">
        <v>529.77</v>
      </c>
      <c r="U6" t="n">
        <v>621.8099999999999</v>
      </c>
      <c r="V6" t="n">
        <v>676.17</v>
      </c>
      <c r="W6" t="n">
        <v>732.0599999999999</v>
      </c>
      <c r="X6" t="n">
        <v>894.73</v>
      </c>
      <c r="Y6" t="n">
        <v>1018.91</v>
      </c>
      <c r="Z6" t="n">
        <v>1070.48</v>
      </c>
      <c r="AA6" t="n">
        <v>1125.45</v>
      </c>
      <c r="AB6" t="n">
        <v>1250.25</v>
      </c>
      <c r="BX6" t="inlineStr">
        <is>
          <t>CET1 Ratio</t>
        </is>
      </c>
      <c r="CA6" t="n">
        <v>19</v>
      </c>
      <c r="CB6" t="n">
        <v>17</v>
      </c>
      <c r="CC6" t="n">
        <v>18</v>
      </c>
      <c r="CD6" t="n">
        <v>18.19</v>
      </c>
      <c r="CE6" t="n">
        <v>17.28</v>
      </c>
      <c r="CF6" t="n">
        <v>16.89</v>
      </c>
      <c r="CG6" t="n">
        <v>17.38</v>
      </c>
      <c r="CH6" t="n">
        <v>18.2</v>
      </c>
      <c r="CI6" t="n">
        <v>18.79</v>
      </c>
      <c r="CJ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P7" t="inlineStr">
        <is>
          <t>Financing arrangements</t>
        </is>
      </c>
      <c r="Q7" t="n">
        <v>88.98</v>
      </c>
      <c r="R7" t="n">
        <v>227.8</v>
      </c>
      <c r="S7" t="n">
        <v>293.01</v>
      </c>
      <c r="T7" t="n">
        <v>403.27</v>
      </c>
      <c r="U7" t="n">
        <v>482.37</v>
      </c>
      <c r="V7" t="n">
        <v>530.99</v>
      </c>
      <c r="W7" t="n">
        <v>593.88</v>
      </c>
      <c r="X7" t="n">
        <v>726.03</v>
      </c>
      <c r="Y7" t="n">
        <v>777.85</v>
      </c>
      <c r="Z7" t="n">
        <v>826.88</v>
      </c>
      <c r="AA7" t="n">
        <v>884.0599999999999</v>
      </c>
      <c r="AB7" t="n">
        <v>954.6799999999999</v>
      </c>
      <c r="BX7" t="inlineStr">
        <is>
          <t>Total Capital Ratio</t>
        </is>
      </c>
      <c r="CA7" t="n">
        <v>25</v>
      </c>
      <c r="CB7" t="n">
        <v>22</v>
      </c>
      <c r="CC7" t="n">
        <v>22</v>
      </c>
      <c r="CD7" t="n">
        <v>21.35</v>
      </c>
      <c r="CE7" t="n">
        <v>20.44</v>
      </c>
      <c r="CF7" t="n">
        <v>19.71</v>
      </c>
      <c r="CG7" t="n">
        <v>19.35</v>
      </c>
      <c r="CH7" t="n">
        <v>20.73</v>
      </c>
      <c r="CI7" t="n">
        <v>21.07</v>
      </c>
      <c r="CJ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P8" t="inlineStr">
        <is>
          <t>Due to customers</t>
        </is>
      </c>
      <c r="Q8" t="n">
        <v>153.14</v>
      </c>
      <c r="R8" t="n">
        <v>216.02</v>
      </c>
      <c r="S8" t="n">
        <v>388.38</v>
      </c>
      <c r="T8" t="n">
        <v>366.6</v>
      </c>
      <c r="U8" t="n">
        <v>434.54</v>
      </c>
      <c r="V8" t="n">
        <v>480.14</v>
      </c>
      <c r="W8" t="n">
        <v>495.17</v>
      </c>
      <c r="X8" t="n">
        <v>657.77</v>
      </c>
      <c r="Y8" t="n">
        <v>780.21</v>
      </c>
      <c r="Z8" t="n">
        <v>827.37</v>
      </c>
      <c r="AA8" t="n">
        <v>886.39</v>
      </c>
      <c r="AB8" t="n">
        <v>969.4</v>
      </c>
      <c r="BX8" t="inlineStr">
        <is>
          <t>Leverage Ratio</t>
        </is>
      </c>
      <c r="CD8" t="n">
        <v>10</v>
      </c>
      <c r="CE8" t="n">
        <v>9.85</v>
      </c>
      <c r="CF8" t="n">
        <v>8.75</v>
      </c>
      <c r="CG8" t="n">
        <v>8.5</v>
      </c>
      <c r="CH8" t="n">
        <v>9.609999999999999</v>
      </c>
      <c r="CI8" t="n">
        <v>10.53</v>
      </c>
      <c r="CJ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P9" t="inlineStr">
        <is>
          <t>Total equity</t>
        </is>
      </c>
      <c r="Q9" t="n">
        <v>30.51</v>
      </c>
      <c r="R9" t="n">
        <v>55.63</v>
      </c>
      <c r="S9" t="n">
        <v>51.89</v>
      </c>
      <c r="T9" t="n">
        <v>60.1</v>
      </c>
      <c r="U9" t="n">
        <v>62.81</v>
      </c>
      <c r="V9" t="n">
        <v>67.22</v>
      </c>
      <c r="W9" t="n">
        <v>71.93000000000001</v>
      </c>
      <c r="X9" t="n">
        <v>78.83</v>
      </c>
      <c r="Y9" t="n">
        <v>88.41</v>
      </c>
      <c r="Z9" t="n">
        <v>100.44</v>
      </c>
      <c r="AA9" t="n">
        <v>113.1</v>
      </c>
      <c r="AB9" t="n">
        <v>124.65</v>
      </c>
      <c r="BX9" t="inlineStr">
        <is>
          <t>LCR</t>
        </is>
      </c>
      <c r="CD9" t="n">
        <v>683.74</v>
      </c>
      <c r="CE9" t="n">
        <v>242.03</v>
      </c>
      <c r="CF9" t="n">
        <v>555.6</v>
      </c>
      <c r="CG9" t="n">
        <v>1236.14</v>
      </c>
      <c r="CH9" t="n">
        <v>1153.62</v>
      </c>
      <c r="CI9" t="n">
        <v>322.05</v>
      </c>
      <c r="CJ9" t="n">
        <v>345.59</v>
      </c>
    </row>
    <row r="10">
      <c r="BX10" t="inlineStr">
        <is>
          <t>NSFR</t>
        </is>
      </c>
      <c r="CF10" t="n">
        <v>119.68</v>
      </c>
      <c r="CG10" t="n">
        <v>129.18</v>
      </c>
      <c r="CH10" t="n">
        <v>130.56</v>
      </c>
      <c r="CI10" t="n">
        <v>128.2</v>
      </c>
      <c r="CJ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AE13" t="inlineStr">
        <is>
          <t>Total operating income</t>
        </is>
      </c>
      <c r="AF13" t="n">
        <v>5.25</v>
      </c>
      <c r="AG13" t="n">
        <v>9.33</v>
      </c>
      <c r="AH13" t="n">
        <v>8.630000000000001</v>
      </c>
      <c r="AI13" t="n">
        <v>11.34</v>
      </c>
      <c r="AJ13" t="n">
        <v>12.42</v>
      </c>
      <c r="AK13" t="n">
        <v>13.47</v>
      </c>
      <c r="AL13" t="n">
        <v>13.9</v>
      </c>
      <c r="AM13" t="n">
        <v>16.54</v>
      </c>
      <c r="AN13" t="n">
        <v>20.03</v>
      </c>
      <c r="AO13" t="n">
        <v>28.66</v>
      </c>
      <c r="AP13" t="n">
        <v>29.81</v>
      </c>
      <c r="AQ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AE14" t="inlineStr">
        <is>
          <t>Total operating expenses</t>
        </is>
      </c>
      <c r="AF14" t="n">
        <v>-5.73</v>
      </c>
      <c r="AG14" t="n">
        <v>-6.83</v>
      </c>
      <c r="AH14" t="n">
        <v>-7.87</v>
      </c>
      <c r="AI14" t="n">
        <v>-7.45</v>
      </c>
      <c r="AJ14" t="n">
        <v>-7.66</v>
      </c>
      <c r="AK14" t="n">
        <v>-7.56</v>
      </c>
      <c r="AL14" t="n">
        <v>-7.62</v>
      </c>
      <c r="AM14" t="n">
        <v>-8.65</v>
      </c>
      <c r="AN14" t="n">
        <v>-9.66</v>
      </c>
      <c r="AO14" t="n">
        <v>-10.64</v>
      </c>
      <c r="AP14" t="n">
        <v>-11.55</v>
      </c>
      <c r="AQ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AE15" t="inlineStr">
        <is>
          <t>Profit/(loss) for the year</t>
        </is>
      </c>
      <c r="AF15" t="n">
        <v>1.32</v>
      </c>
      <c r="AG15" t="n">
        <v>2.55</v>
      </c>
      <c r="AH15" t="n">
        <v>-3.09</v>
      </c>
      <c r="AI15" t="n">
        <v>1.76</v>
      </c>
      <c r="AJ15" t="n">
        <v>3.71</v>
      </c>
      <c r="AK15" t="n">
        <v>4.43</v>
      </c>
      <c r="AL15" t="n">
        <v>4.74</v>
      </c>
      <c r="AM15" t="n">
        <v>6.86</v>
      </c>
      <c r="AN15" t="n">
        <v>9.69</v>
      </c>
      <c r="AO15" t="n">
        <v>11.95</v>
      </c>
      <c r="AP15" t="n">
        <v>12.6</v>
      </c>
      <c r="AQ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AT19" t="inlineStr">
        <is>
          <t>Opening equity</t>
        </is>
      </c>
      <c r="AU19" t="n">
        <v>16.413</v>
      </c>
      <c r="AV19" t="n">
        <v>30.505</v>
      </c>
      <c r="AW19" t="n">
        <v>55.635</v>
      </c>
      <c r="AX19" t="n">
        <v>51.89</v>
      </c>
      <c r="AY19" t="n">
        <v>60.101</v>
      </c>
      <c r="AZ19" t="n">
        <v>62.815</v>
      </c>
      <c r="BA19" t="n">
        <v>67.217</v>
      </c>
      <c r="BB19" t="n">
        <v>71.93300000000001</v>
      </c>
      <c r="BC19" t="n">
        <v>78.827</v>
      </c>
      <c r="BD19" t="n">
        <v>88.411</v>
      </c>
      <c r="BE19" t="n">
        <v>100.441</v>
      </c>
      <c r="BF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AT20" t="inlineStr">
        <is>
          <t>Profit for the year</t>
        </is>
      </c>
      <c r="AU20" t="n">
        <v>1.317</v>
      </c>
      <c r="AV20" t="n">
        <v>2.548</v>
      </c>
      <c r="AW20" t="n">
        <v>-3.09</v>
      </c>
      <c r="AX20" t="n">
        <v>1.76</v>
      </c>
      <c r="AY20" t="n">
        <v>3.713</v>
      </c>
      <c r="AZ20" t="n">
        <v>4.427</v>
      </c>
      <c r="BA20" t="n">
        <v>4.744</v>
      </c>
      <c r="BB20" t="n">
        <v>6.856</v>
      </c>
      <c r="BC20" t="n">
        <v>9.692</v>
      </c>
      <c r="BD20" t="n">
        <v>11.95</v>
      </c>
      <c r="BE20" t="n">
        <v>12.603</v>
      </c>
      <c r="BF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AT21" t="inlineStr">
        <is>
          <t>Other equity movements, net</t>
        </is>
      </c>
      <c r="AU21" t="n">
        <v>12.775</v>
      </c>
      <c r="AV21" t="n">
        <v>22.582</v>
      </c>
      <c r="AW21" t="n">
        <v>-0.655</v>
      </c>
      <c r="AX21" t="n">
        <v>6.451</v>
      </c>
      <c r="AY21" t="n">
        <v>-0.999</v>
      </c>
      <c r="AZ21" t="n">
        <v>-0.024</v>
      </c>
      <c r="BA21" t="n">
        <v>-0.028</v>
      </c>
      <c r="BB21" t="n">
        <v>0.038</v>
      </c>
      <c r="BC21" t="n">
        <v>-0.108</v>
      </c>
      <c r="BD21" t="n">
        <v>0.081</v>
      </c>
      <c r="BE21" t="n">
        <v>0.058</v>
      </c>
      <c r="BF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AT22" t="inlineStr">
        <is>
          <t>Closing equity</t>
        </is>
      </c>
      <c r="AU22" t="n">
        <v>30.505</v>
      </c>
      <c r="AV22" t="n">
        <v>55.635</v>
      </c>
      <c r="AW22" t="n">
        <v>51.89</v>
      </c>
      <c r="AX22" t="n">
        <v>60.101</v>
      </c>
      <c r="AY22" t="n">
        <v>62.815</v>
      </c>
      <c r="AZ22" t="n">
        <v>67.217</v>
      </c>
      <c r="BA22" t="n">
        <v>71.93300000000001</v>
      </c>
      <c r="BB22" t="n">
        <v>78.827</v>
      </c>
      <c r="BC22" t="n">
        <v>88.411</v>
      </c>
      <c r="BD22" t="n">
        <v>100.441</v>
      </c>
      <c r="BE22" t="n">
        <v>113.102</v>
      </c>
      <c r="BF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BI26" t="inlineStr">
        <is>
          <t>Net cash inflow/(outflow) from operating activities</t>
        </is>
      </c>
      <c r="BJ26" t="n">
        <v>11.54</v>
      </c>
      <c r="BK26" t="n">
        <v>-23.59</v>
      </c>
      <c r="BL26" t="n">
        <v>10.8</v>
      </c>
      <c r="BM26" t="n">
        <v>8.27</v>
      </c>
      <c r="BN26" t="n">
        <v>6.44</v>
      </c>
      <c r="BO26" t="n">
        <v>3.91</v>
      </c>
      <c r="BP26" t="n">
        <v>0.99</v>
      </c>
      <c r="BQ26" t="n">
        <v>17.04</v>
      </c>
      <c r="BR26" t="n">
        <v>2.77</v>
      </c>
      <c r="BS26" t="n">
        <v>-9.9</v>
      </c>
      <c r="BT26" t="n">
        <v>-21.31</v>
      </c>
      <c r="BU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BI27" t="inlineStr">
        <is>
          <t>Net cash outflow from investing activities</t>
        </is>
      </c>
      <c r="BJ27" t="n">
        <v>-24.03</v>
      </c>
      <c r="BK27" t="n">
        <v>-2.66</v>
      </c>
      <c r="BL27" t="n">
        <v>-0.23</v>
      </c>
      <c r="BM27" t="n">
        <v>-0.18</v>
      </c>
      <c r="BN27" t="n">
        <v>-0.18</v>
      </c>
      <c r="BO27" t="n">
        <v>-0.15</v>
      </c>
      <c r="BP27" t="n">
        <v>-0.06</v>
      </c>
      <c r="BQ27" t="n">
        <v>-0.15</v>
      </c>
      <c r="BR27" t="n">
        <v>-0</v>
      </c>
      <c r="BS27" t="n">
        <v>-0.05</v>
      </c>
      <c r="BT27" t="n">
        <v>-0.6899999999999999</v>
      </c>
      <c r="BU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BI28" t="inlineStr">
        <is>
          <t>Net cash (outflow)/inflow from financing activities</t>
        </is>
      </c>
      <c r="BJ28" t="n">
        <v>15.5</v>
      </c>
      <c r="BK28" t="n">
        <v>26.5</v>
      </c>
      <c r="BL28" t="n">
        <v>0</v>
      </c>
      <c r="BM28" t="n">
        <v>6</v>
      </c>
      <c r="BN28" t="n">
        <v>0</v>
      </c>
      <c r="BO28" t="n">
        <v>0</v>
      </c>
      <c r="BP28" t="n">
        <v>0</v>
      </c>
      <c r="BQ28" t="n">
        <v>-2.25</v>
      </c>
      <c r="BR28" t="n">
        <v>0</v>
      </c>
      <c r="BS28" t="n">
        <v>0.1</v>
      </c>
      <c r="BT28" t="n">
        <v>-0.03</v>
      </c>
      <c r="BU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BI29" t="inlineStr">
        <is>
          <t>Cash and cash equivalents at end of year</t>
        </is>
      </c>
      <c r="BJ29" t="n">
        <v>5.84</v>
      </c>
      <c r="BK29" t="n">
        <v>6.1</v>
      </c>
      <c r="BL29" t="n">
        <v>16.66</v>
      </c>
      <c r="BM29" t="n">
        <v>30.75</v>
      </c>
      <c r="BN29" t="n">
        <v>37.02</v>
      </c>
      <c r="BO29" t="n">
        <v>40.78</v>
      </c>
      <c r="BP29" t="n">
        <v>41.71</v>
      </c>
      <c r="BQ29" t="n">
        <v>56.34</v>
      </c>
      <c r="BR29" t="n">
        <v>59.11</v>
      </c>
      <c r="BS29" t="n">
        <v>49.25</v>
      </c>
      <c r="BT29" t="n">
        <v>27.23</v>
      </c>
      <c r="BU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c r="L33" s="6" t="n"/>
      <c r="M33" s="6" t="n"/>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c r="L34" s="6" t="n"/>
      <c r="M34" s="6" t="n"/>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c r="L35" s="6" t="n"/>
      <c r="M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c r="L36" s="6" t="n"/>
      <c r="M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c r="L37" s="6" t="n"/>
      <c r="M37" s="6" t="n"/>
    </row>
    <row r="39" ht="45" customHeight="1">
      <c r="A39" s="7" t="inlineStr">
        <is>
          <t>Note: Figures are duplicated from detail sheets; see each detail sheet's source citation.</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Balance Sheet</t>
        </is>
      </c>
    </row>
    <row r="2">
      <c r="A2" s="2" t="inlineStr">
        <is>
          <t>Entity basis, £m, converted from the Bank's reported £ amounts; FY2014-FY2025. Each year's own originally-published figures are used - see RESTATEMENT NOTE / PRE-2018 PRESENTATION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row>
    <row r="6">
      <c r="A6" s="6" t="inlineStr">
        <is>
          <t>Due from banks</t>
        </is>
      </c>
      <c r="B6" s="6" t="n"/>
      <c r="C6" s="6" t="n"/>
      <c r="D6" s="6" t="n"/>
      <c r="E6" s="6" t="n"/>
      <c r="F6" s="6" t="n"/>
      <c r="G6" s="6" t="n"/>
      <c r="H6" s="6" t="n"/>
      <c r="I6" s="6" t="n"/>
      <c r="J6" s="6" t="n"/>
      <c r="K6" s="6" t="n">
        <v>90.86</v>
      </c>
      <c r="L6" s="6" t="n">
        <v>69.59999999999999</v>
      </c>
      <c r="M6" s="6" t="n">
        <v>23.58</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row>
    <row r="8">
      <c r="A8" s="6" t="inlineStr">
        <is>
          <t>Less: impairment on financing arrangements</t>
        </is>
      </c>
      <c r="B8" s="6" t="n"/>
      <c r="C8" s="6" t="n"/>
      <c r="D8" s="6" t="n"/>
      <c r="E8" s="6" t="n"/>
      <c r="F8" s="6" t="n"/>
      <c r="G8" s="6" t="n"/>
      <c r="H8" s="6" t="n"/>
      <c r="I8" s="6" t="n"/>
      <c r="J8" s="6" t="n">
        <v>-5</v>
      </c>
      <c r="K8" s="6" t="n">
        <v>-2.75</v>
      </c>
      <c r="L8" s="6" t="n">
        <v>-0.63</v>
      </c>
      <c r="M8" s="6" t="n">
        <v>-0.68</v>
      </c>
    </row>
    <row r="9">
      <c r="A9" s="6" t="inlineStr">
        <is>
          <t>Financial assets held to maturity</t>
        </is>
      </c>
      <c r="B9" s="6" t="n"/>
      <c r="C9" s="6" t="n"/>
      <c r="D9" s="6" t="n"/>
      <c r="E9" s="6" t="n"/>
      <c r="F9" s="6" t="n"/>
      <c r="G9" s="6" t="n"/>
      <c r="H9" s="6" t="n"/>
      <c r="I9" s="6" t="n"/>
      <c r="J9" s="6" t="n">
        <v>0</v>
      </c>
      <c r="K9" s="6" t="n">
        <v>2.42</v>
      </c>
      <c r="L9" s="6" t="n">
        <v>4.07</v>
      </c>
      <c r="M9" s="6" t="n">
        <v>6.81</v>
      </c>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row>
    <row r="12">
      <c r="A12" s="6" t="inlineStr">
        <is>
          <t>Derivative financial instruments</t>
        </is>
      </c>
      <c r="B12" s="6" t="n">
        <v>1.12</v>
      </c>
      <c r="C12" s="6" t="n">
        <v>1.6</v>
      </c>
      <c r="D12" s="6" t="n">
        <v>0.62</v>
      </c>
      <c r="E12" s="6" t="n">
        <v>0.99</v>
      </c>
      <c r="F12" s="6" t="n">
        <v>1.43</v>
      </c>
      <c r="G12" s="6" t="n">
        <v>0.09</v>
      </c>
      <c r="H12" s="6" t="n">
        <v>0.09</v>
      </c>
      <c r="I12" s="6" t="n">
        <v>5.37</v>
      </c>
      <c r="J12" s="6" t="n">
        <v>0</v>
      </c>
      <c r="K12" s="6" t="n">
        <v>8.130000000000001</v>
      </c>
      <c r="L12" s="6" t="n">
        <v>0.92</v>
      </c>
      <c r="M12" s="6" t="n">
        <v>0.65</v>
      </c>
    </row>
    <row r="13">
      <c r="A13" s="6" t="inlineStr">
        <is>
          <t>Fair value adjustment for portfolio hedged risk</t>
        </is>
      </c>
      <c r="B13" s="6" t="n">
        <v>-1.03</v>
      </c>
      <c r="C13" s="6" t="n">
        <v>-0.9</v>
      </c>
      <c r="D13" s="6" t="n"/>
      <c r="E13" s="6" t="n"/>
      <c r="F13" s="6" t="n"/>
      <c r="G13" s="6" t="n"/>
      <c r="H13" s="6" t="n"/>
      <c r="I13" s="6" t="n"/>
      <c r="J13" s="6" t="n"/>
      <c r="K13" s="6" t="n"/>
      <c r="L13" s="6" t="n"/>
      <c r="M13" s="6" t="n"/>
    </row>
    <row r="14">
      <c r="A14" s="6" t="inlineStr">
        <is>
          <t>Property and equipment</t>
        </is>
      </c>
      <c r="B14" s="6" t="n">
        <v>15.29</v>
      </c>
      <c r="C14" s="6" t="n">
        <v>12.81</v>
      </c>
      <c r="D14" s="6" t="n">
        <v>12.67</v>
      </c>
      <c r="E14" s="6" t="n">
        <v>14.13</v>
      </c>
      <c r="F14" s="6" t="n">
        <v>13</v>
      </c>
      <c r="G14" s="6" t="n">
        <v>13.55</v>
      </c>
      <c r="H14" s="6" t="n">
        <v>14.43</v>
      </c>
      <c r="I14" s="6" t="n">
        <v>14.84</v>
      </c>
      <c r="J14" s="6" t="n">
        <v>15.35</v>
      </c>
      <c r="K14" s="6" t="n">
        <v>15.83</v>
      </c>
      <c r="L14" s="6" t="n">
        <v>16.25</v>
      </c>
      <c r="M14" s="6" t="n">
        <v>14.72</v>
      </c>
    </row>
    <row r="15">
      <c r="A15" s="6" t="inlineStr">
        <is>
          <t>Intangible assets</t>
        </is>
      </c>
      <c r="B15" s="6" t="n">
        <v>0.38</v>
      </c>
      <c r="C15" s="6" t="n"/>
      <c r="D15" s="6" t="n">
        <v>0.02</v>
      </c>
      <c r="E15" s="6" t="n">
        <v>0.07000000000000001</v>
      </c>
      <c r="F15" s="6" t="n">
        <v>0.23</v>
      </c>
      <c r="G15" s="6" t="n">
        <v>0.25</v>
      </c>
      <c r="H15" s="6" t="n">
        <v>0</v>
      </c>
      <c r="I15" s="6" t="n">
        <v>0.01</v>
      </c>
      <c r="J15" s="6" t="n">
        <v>0.08</v>
      </c>
      <c r="K15" s="6" t="n">
        <v>0.2</v>
      </c>
      <c r="L15" s="6" t="n">
        <v>0.3</v>
      </c>
      <c r="M15" s="6" t="n">
        <v>0.06</v>
      </c>
    </row>
    <row r="16">
      <c r="A16" s="6" t="inlineStr">
        <is>
          <t>Investment property</t>
        </is>
      </c>
      <c r="B16" s="6" t="n">
        <v>3.1</v>
      </c>
      <c r="C16" s="6" t="n">
        <v>6.22</v>
      </c>
      <c r="D16" s="6" t="n">
        <v>6.22</v>
      </c>
      <c r="E16" s="6" t="n">
        <v>7.67</v>
      </c>
      <c r="F16" s="6" t="n">
        <v>10.24</v>
      </c>
      <c r="G16" s="6" t="n">
        <v>10.24</v>
      </c>
      <c r="H16" s="6" t="n">
        <v>10.24</v>
      </c>
      <c r="I16" s="6" t="n">
        <v>10.24</v>
      </c>
      <c r="J16" s="6" t="n">
        <v>10.24</v>
      </c>
      <c r="K16" s="6" t="n">
        <v>9.18</v>
      </c>
      <c r="L16" s="6" t="n">
        <v>9.51</v>
      </c>
      <c r="M16" s="6" t="n">
        <v>9.51</v>
      </c>
    </row>
    <row r="17">
      <c r="A17" s="6" t="inlineStr">
        <is>
          <t>Other assets</t>
        </is>
      </c>
      <c r="B17" s="6" t="n">
        <v>2.77</v>
      </c>
      <c r="C17" s="6" t="n">
        <v>1.53</v>
      </c>
      <c r="D17" s="6" t="n">
        <v>1</v>
      </c>
      <c r="E17" s="6" t="n">
        <v>7.11</v>
      </c>
      <c r="F17" s="6" t="n">
        <v>4.12</v>
      </c>
      <c r="G17" s="6" t="n">
        <v>3.93</v>
      </c>
      <c r="H17" s="6" t="n">
        <v>3.78</v>
      </c>
      <c r="I17" s="6" t="n">
        <v>3.65</v>
      </c>
      <c r="J17" s="6" t="n">
        <v>3.73</v>
      </c>
      <c r="K17" s="6" t="n">
        <v>3.03</v>
      </c>
      <c r="L17" s="6" t="n">
        <v>3.22</v>
      </c>
      <c r="M17" s="6" t="n">
        <v>3.15</v>
      </c>
    </row>
    <row r="18">
      <c r="A18" s="6" t="inlineStr">
        <is>
          <t>Deferred tax asset</t>
        </is>
      </c>
      <c r="B18" s="6" t="n"/>
      <c r="C18" s="6" t="n"/>
      <c r="D18" s="6" t="n">
        <v>1.5</v>
      </c>
      <c r="E18" s="6" t="n">
        <v>2.21</v>
      </c>
      <c r="F18" s="6" t="n">
        <v>1.79</v>
      </c>
      <c r="G18" s="6" t="n">
        <v>1.15</v>
      </c>
      <c r="H18" s="6" t="n">
        <v>1.03</v>
      </c>
      <c r="I18" s="6" t="n">
        <v>1.48</v>
      </c>
      <c r="J18" s="6" t="n">
        <v>2.27</v>
      </c>
      <c r="K18" s="6" t="n">
        <v>2.7</v>
      </c>
      <c r="L18" s="6" t="n">
        <v>3.32</v>
      </c>
      <c r="M18" s="6" t="n">
        <v>3.19</v>
      </c>
    </row>
    <row r="19">
      <c r="A19" s="5" t="inlineStr">
        <is>
          <t>Total assets</t>
        </is>
      </c>
      <c r="B19" s="5" t="n">
        <v>1250.25</v>
      </c>
      <c r="C19" s="5" t="n">
        <v>1125.45</v>
      </c>
      <c r="D19" s="5" t="n">
        <v>1070.48</v>
      </c>
      <c r="E19" s="5" t="n">
        <v>1018.91</v>
      </c>
      <c r="F19" s="5" t="n">
        <v>894.73</v>
      </c>
      <c r="G19" s="5" t="n">
        <v>732.0599999999999</v>
      </c>
      <c r="H19" s="5" t="n">
        <v>676.17</v>
      </c>
      <c r="I19" s="5" t="n">
        <v>621.8099999999999</v>
      </c>
      <c r="J19" s="5" t="n">
        <v>529.77</v>
      </c>
      <c r="K19" s="5" t="n">
        <v>516.9299999999999</v>
      </c>
      <c r="L19" s="5" t="n">
        <v>428.19</v>
      </c>
      <c r="M19" s="5" t="n">
        <v>226.38</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108.42</v>
      </c>
      <c r="C21" s="6" t="n">
        <v>83.64</v>
      </c>
      <c r="D21" s="6" t="n">
        <v>103.99</v>
      </c>
      <c r="E21" s="6" t="n">
        <v>105.27</v>
      </c>
      <c r="F21" s="6" t="n">
        <v>120.26</v>
      </c>
      <c r="G21" s="6" t="n">
        <v>125.33</v>
      </c>
      <c r="H21" s="6" t="n">
        <v>85.17</v>
      </c>
      <c r="I21" s="6" t="n">
        <v>91.5</v>
      </c>
      <c r="J21" s="6" t="n">
        <v>72.56999999999999</v>
      </c>
      <c r="K21" s="6" t="n">
        <v>49.44</v>
      </c>
      <c r="L21" s="6" t="n">
        <v>134.13</v>
      </c>
      <c r="M21" s="6" t="n">
        <v>27.36</v>
      </c>
    </row>
    <row r="22">
      <c r="A22" s="6" t="inlineStr">
        <is>
          <t>Due to customers</t>
        </is>
      </c>
      <c r="B22" s="6" t="n">
        <v>969.4</v>
      </c>
      <c r="C22" s="6" t="n">
        <v>886.39</v>
      </c>
      <c r="D22" s="6" t="n">
        <v>827.37</v>
      </c>
      <c r="E22" s="6" t="n">
        <v>780.21</v>
      </c>
      <c r="F22" s="6" t="n">
        <v>657.77</v>
      </c>
      <c r="G22" s="6" t="n">
        <v>495.17</v>
      </c>
      <c r="H22" s="6" t="n">
        <v>480.14</v>
      </c>
      <c r="I22" s="6" t="n">
        <v>434.54</v>
      </c>
      <c r="J22" s="6" t="n">
        <v>366.6</v>
      </c>
      <c r="K22" s="6" t="n">
        <v>388.38</v>
      </c>
      <c r="L22" s="6" t="n">
        <v>216.02</v>
      </c>
      <c r="M22" s="6" t="n">
        <v>153.14</v>
      </c>
    </row>
    <row r="23">
      <c r="A23" s="6" t="inlineStr">
        <is>
          <t>Other liabilities</t>
        </is>
      </c>
      <c r="B23" s="6" t="n">
        <v>31.88</v>
      </c>
      <c r="C23" s="6" t="n">
        <v>27.42</v>
      </c>
      <c r="D23" s="6" t="n">
        <v>23.7</v>
      </c>
      <c r="E23" s="6" t="n">
        <v>29.98</v>
      </c>
      <c r="F23" s="6" t="n">
        <v>22.89</v>
      </c>
      <c r="G23" s="6" t="n">
        <v>18.57</v>
      </c>
      <c r="H23" s="6" t="n">
        <v>24.28</v>
      </c>
      <c r="I23" s="6" t="n">
        <v>17</v>
      </c>
      <c r="J23" s="6" t="n">
        <v>12.85</v>
      </c>
      <c r="K23" s="6" t="n">
        <v>11.03</v>
      </c>
      <c r="L23" s="6" t="n">
        <v>6.21</v>
      </c>
      <c r="M23" s="6" t="n">
        <v>2.62</v>
      </c>
    </row>
    <row r="24">
      <c r="A24" s="6" t="inlineStr">
        <is>
          <t>Derivative financial instruments</t>
        </is>
      </c>
      <c r="B24" s="6" t="n">
        <v>1.65</v>
      </c>
      <c r="C24" s="6" t="n">
        <v>0.59</v>
      </c>
      <c r="D24" s="6" t="n">
        <v>0.82</v>
      </c>
      <c r="E24" s="6" t="n">
        <v>1.35</v>
      </c>
      <c r="F24" s="6" t="n">
        <v>1.29</v>
      </c>
      <c r="G24" s="6" t="n">
        <v>5.11</v>
      </c>
      <c r="H24" s="6" t="n">
        <v>3.41</v>
      </c>
      <c r="I24" s="6" t="n">
        <v>0</v>
      </c>
      <c r="J24" s="6" t="n">
        <v>1.69</v>
      </c>
      <c r="K24" s="6" t="n"/>
      <c r="L24" s="6" t="n"/>
      <c r="M24" s="6" t="n"/>
    </row>
    <row r="25">
      <c r="A25" s="6" t="inlineStr">
        <is>
          <t>Deferred tax liability</t>
        </is>
      </c>
      <c r="B25" s="6" t="n">
        <v>0.16</v>
      </c>
      <c r="C25" s="6" t="n">
        <v>0.16</v>
      </c>
      <c r="D25" s="6" t="n"/>
      <c r="E25" s="6" t="n"/>
      <c r="F25" s="6" t="n"/>
      <c r="G25" s="6" t="n"/>
      <c r="H25" s="6" t="n"/>
      <c r="I25" s="6" t="n"/>
      <c r="J25" s="6" t="n"/>
      <c r="K25" s="6" t="n"/>
      <c r="L25" s="6" t="n"/>
      <c r="M25" s="6" t="n"/>
    </row>
    <row r="26">
      <c r="A26" s="6" t="inlineStr">
        <is>
          <t>Subordinated Wakala</t>
        </is>
      </c>
      <c r="B26" s="6" t="n">
        <v>14.1</v>
      </c>
      <c r="C26" s="6" t="n">
        <v>14.13</v>
      </c>
      <c r="D26" s="6" t="n">
        <v>14.17</v>
      </c>
      <c r="E26" s="6" t="n">
        <v>13.7</v>
      </c>
      <c r="F26" s="6" t="n">
        <v>13.7</v>
      </c>
      <c r="G26" s="6" t="n">
        <v>15.95</v>
      </c>
      <c r="H26" s="6" t="n">
        <v>15.95</v>
      </c>
      <c r="I26" s="6" t="n">
        <v>15.95</v>
      </c>
      <c r="J26" s="6" t="n">
        <v>15.95</v>
      </c>
      <c r="K26" s="6" t="n">
        <v>16.2</v>
      </c>
      <c r="L26" s="6" t="n">
        <v>16.2</v>
      </c>
      <c r="M26" s="6" t="n">
        <v>12.76</v>
      </c>
    </row>
    <row r="27">
      <c r="A27" s="5" t="inlineStr">
        <is>
          <t>Total liabilities</t>
        </is>
      </c>
      <c r="B27" s="5" t="n">
        <v>1125.6</v>
      </c>
      <c r="C27" s="5" t="n">
        <v>1012.35</v>
      </c>
      <c r="D27" s="5" t="n">
        <v>970.04</v>
      </c>
      <c r="E27" s="5" t="n">
        <v>930.5</v>
      </c>
      <c r="F27" s="5" t="n">
        <v>815.9</v>
      </c>
      <c r="G27" s="5" t="n">
        <v>660.13</v>
      </c>
      <c r="H27" s="5" t="n">
        <v>608.95</v>
      </c>
      <c r="I27" s="5" t="n">
        <v>559</v>
      </c>
      <c r="J27" s="5" t="n">
        <v>469.67</v>
      </c>
      <c r="K27" s="5" t="n">
        <v>465.05</v>
      </c>
      <c r="L27" s="5" t="n">
        <v>372.56</v>
      </c>
      <c r="M27" s="5" t="n">
        <v>195.87</v>
      </c>
    </row>
    <row r="28">
      <c r="A28" s="5" t="inlineStr">
        <is>
          <t>Equity</t>
        </is>
      </c>
      <c r="B28" s="6" t="n"/>
      <c r="C28" s="6" t="n"/>
      <c r="D28" s="6" t="n"/>
      <c r="E28" s="6" t="n"/>
      <c r="F28" s="6" t="n"/>
      <c r="G28" s="6" t="n"/>
      <c r="H28" s="6" t="n"/>
      <c r="I28" s="6" t="n"/>
      <c r="J28" s="6" t="n"/>
      <c r="K28" s="6" t="n"/>
      <c r="L28" s="6" t="n"/>
      <c r="M28" s="6" t="n"/>
    </row>
    <row r="29">
      <c r="A29" s="6" t="inlineStr">
        <is>
          <t>Share capital</t>
        </is>
      </c>
      <c r="B29" s="6" t="n">
        <v>60.86</v>
      </c>
      <c r="C29" s="6" t="n">
        <v>60.86</v>
      </c>
      <c r="D29" s="6" t="n">
        <v>60.86</v>
      </c>
      <c r="E29" s="6" t="n">
        <v>60.86</v>
      </c>
      <c r="F29" s="6" t="n">
        <v>60.86</v>
      </c>
      <c r="G29" s="6" t="n">
        <v>60.86</v>
      </c>
      <c r="H29" s="6" t="n">
        <v>60.86</v>
      </c>
      <c r="I29" s="6" t="n">
        <v>60.86</v>
      </c>
      <c r="J29" s="6" t="n">
        <v>85.81</v>
      </c>
      <c r="K29" s="6" t="n">
        <v>79.56</v>
      </c>
      <c r="L29" s="6" t="n">
        <v>79.56</v>
      </c>
      <c r="M29" s="6" t="n">
        <v>56.5</v>
      </c>
    </row>
    <row r="30">
      <c r="A30" s="6" t="inlineStr">
        <is>
          <t>Fair value reserve on AFS financial assets</t>
        </is>
      </c>
      <c r="B30" s="6" t="n"/>
      <c r="C30" s="6" t="n"/>
      <c r="D30" s="6" t="n"/>
      <c r="E30" s="6" t="n"/>
      <c r="F30" s="6" t="n"/>
      <c r="G30" s="6" t="n"/>
      <c r="H30" s="6" t="n"/>
      <c r="I30" s="6" t="n"/>
      <c r="J30" s="6" t="n">
        <v>-0.46</v>
      </c>
      <c r="K30" s="6" t="n">
        <v>-0.6</v>
      </c>
      <c r="L30" s="6" t="n">
        <v>-0.31</v>
      </c>
      <c r="M30" s="6" t="n">
        <v>0.17</v>
      </c>
    </row>
    <row r="31">
      <c r="A31" s="6" t="inlineStr">
        <is>
          <t>Cash flow hedge reserve</t>
        </is>
      </c>
      <c r="B31" s="6" t="n">
        <v>-0.47</v>
      </c>
      <c r="C31" s="6" t="n">
        <v>-0.21</v>
      </c>
      <c r="D31" s="6" t="n">
        <v>-0.28</v>
      </c>
      <c r="E31" s="6" t="n">
        <v>-0.31</v>
      </c>
      <c r="F31" s="6" t="n">
        <v>-0.2</v>
      </c>
      <c r="G31" s="6" t="n">
        <v>-0.28</v>
      </c>
      <c r="H31" s="6" t="n">
        <v>-0.26</v>
      </c>
      <c r="I31" s="6" t="n">
        <v>-0.25</v>
      </c>
      <c r="J31" s="6" t="n">
        <v>-0.31</v>
      </c>
      <c r="K31" s="6" t="n">
        <v>-0.37</v>
      </c>
      <c r="L31" s="6" t="n"/>
      <c r="M31" s="6" t="n"/>
    </row>
    <row r="32">
      <c r="A32" s="6" t="inlineStr">
        <is>
          <t>Retained earnings</t>
        </is>
      </c>
      <c r="B32" s="6" t="n">
        <v>64.25</v>
      </c>
      <c r="C32" s="6" t="n">
        <v>52.44</v>
      </c>
      <c r="D32" s="6" t="n">
        <v>39.86</v>
      </c>
      <c r="E32" s="6" t="n">
        <v>27.86</v>
      </c>
      <c r="F32" s="6" t="n">
        <v>18.16</v>
      </c>
      <c r="G32" s="6" t="n">
        <v>11.35</v>
      </c>
      <c r="H32" s="6" t="n">
        <v>6.61</v>
      </c>
      <c r="I32" s="6" t="n">
        <v>2.2</v>
      </c>
      <c r="J32" s="6" t="n">
        <v>-24.94</v>
      </c>
      <c r="K32" s="6" t="n">
        <v>-26.7</v>
      </c>
      <c r="L32" s="6" t="n">
        <v>-23.61</v>
      </c>
      <c r="M32" s="6" t="n">
        <v>-26.16</v>
      </c>
    </row>
    <row r="33">
      <c r="A33" s="5" t="inlineStr">
        <is>
          <t>Total equity</t>
        </is>
      </c>
      <c r="B33" s="5" t="n">
        <v>124.65</v>
      </c>
      <c r="C33" s="5" t="n">
        <v>113.1</v>
      </c>
      <c r="D33" s="5" t="n">
        <v>100.44</v>
      </c>
      <c r="E33" s="5" t="n">
        <v>88.41</v>
      </c>
      <c r="F33" s="5" t="n">
        <v>78.83</v>
      </c>
      <c r="G33" s="5" t="n">
        <v>71.93000000000001</v>
      </c>
      <c r="H33" s="5" t="n">
        <v>67.22</v>
      </c>
      <c r="I33" s="5" t="n">
        <v>62.81</v>
      </c>
      <c r="J33" s="5" t="n">
        <v>60.1</v>
      </c>
      <c r="K33" s="5" t="n">
        <v>51.89</v>
      </c>
      <c r="L33" s="5" t="n">
        <v>55.63</v>
      </c>
      <c r="M33" s="5" t="n">
        <v>30.51</v>
      </c>
    </row>
    <row r="34">
      <c r="A34" s="5" t="inlineStr">
        <is>
          <t>Total liabilities and equity</t>
        </is>
      </c>
      <c r="B34" s="5" t="n">
        <v>1250.25</v>
      </c>
      <c r="C34" s="5" t="n">
        <v>1125.45</v>
      </c>
      <c r="D34" s="5" t="n">
        <v>1070.48</v>
      </c>
      <c r="E34" s="5" t="n">
        <v>1018.91</v>
      </c>
      <c r="F34" s="5" t="n">
        <v>894.73</v>
      </c>
      <c r="G34" s="5" t="n">
        <v>732.0599999999999</v>
      </c>
      <c r="H34" s="5" t="n">
        <v>676.17</v>
      </c>
      <c r="I34" s="5" t="n">
        <v>621.8099999999999</v>
      </c>
      <c r="J34" s="5" t="n">
        <v>529.77</v>
      </c>
      <c r="K34" s="5" t="n">
        <v>516.9299999999999</v>
      </c>
      <c r="L34" s="5" t="n">
        <v>428.19</v>
      </c>
      <c r="M34" s="5" t="n">
        <v>226.38</v>
      </c>
    </row>
    <row r="36" ht="520" customHeight="1">
      <c r="A36"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Profit &amp; Loss</t>
        </is>
      </c>
    </row>
    <row r="2">
      <c r="A2" s="2" t="inlineStr">
        <is>
          <t>Entity basis, £m, converted from the Bank's reported £ amounts; FY2014-FY2025. Each year's own originally-published figures are used - see PRESENTATION NOTE / PRE-2018 PRESENTATION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c r="C5" s="6" t="n"/>
      <c r="D5" s="6" t="n"/>
      <c r="E5" s="6" t="n"/>
      <c r="F5" s="6" t="n"/>
      <c r="G5" s="6" t="n"/>
      <c r="H5" s="6" t="n"/>
      <c r="I5" s="6" t="n"/>
      <c r="J5" s="6" t="n">
        <v>17.39</v>
      </c>
      <c r="K5" s="6" t="n">
        <v>13.6</v>
      </c>
      <c r="L5" s="6" t="n">
        <v>11.09</v>
      </c>
      <c r="M5" s="6" t="n">
        <v>5.79</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row>
    <row r="13">
      <c r="A13" s="6" t="inlineStr">
        <is>
          <t>Net gain/(loss) on financial assets at fair value</t>
        </is>
      </c>
      <c r="B13" s="6" t="n">
        <v>-0.32</v>
      </c>
      <c r="C13" s="6" t="n">
        <v>0.03</v>
      </c>
      <c r="D13" s="6" t="n"/>
      <c r="E13" s="6" t="n"/>
      <c r="F13" s="6" t="n"/>
      <c r="G13" s="6" t="n"/>
      <c r="H13" s="6" t="n"/>
      <c r="I13" s="6" t="n"/>
      <c r="J13" s="6" t="n"/>
      <c r="K13" s="6" t="n"/>
      <c r="L13" s="6" t="n"/>
      <c r="M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row>
    <row r="15">
      <c r="A15" s="6" t="inlineStr">
        <is>
          <t>Net gain/(loss) on financial assets at FVPL</t>
        </is>
      </c>
      <c r="B15" s="6" t="n"/>
      <c r="C15" s="6" t="n"/>
      <c r="D15" s="6" t="n"/>
      <c r="E15" s="6" t="n"/>
      <c r="F15" s="6" t="n">
        <v>0.1</v>
      </c>
      <c r="G15" s="6" t="n"/>
      <c r="H15" s="6" t="n"/>
      <c r="I15" s="6" t="n"/>
      <c r="J15" s="6" t="n"/>
      <c r="K15" s="6" t="n"/>
      <c r="L15" s="6" t="n"/>
      <c r="M15" s="6" t="n"/>
    </row>
    <row r="16">
      <c r="A16" s="6" t="inlineStr">
        <is>
          <t>Net gain/(loss) on financial assets classified as AFS</t>
        </is>
      </c>
      <c r="B16" s="6" t="n"/>
      <c r="C16" s="6" t="n"/>
      <c r="D16" s="6" t="n"/>
      <c r="E16" s="6" t="n"/>
      <c r="F16" s="6" t="n"/>
      <c r="G16" s="6" t="n"/>
      <c r="H16" s="6" t="n"/>
      <c r="I16" s="6" t="n"/>
      <c r="J16" s="6" t="n">
        <v>-0.15</v>
      </c>
      <c r="K16" s="6" t="n">
        <v>0.71</v>
      </c>
      <c r="L16" s="6" t="n">
        <v>0.66</v>
      </c>
      <c r="M16" s="6" t="n">
        <v>0.23</v>
      </c>
    </row>
    <row r="17">
      <c r="A17" s="6" t="inlineStr">
        <is>
          <t>Gain/(loss) on foreign exchange</t>
        </is>
      </c>
      <c r="B17" s="6" t="n">
        <v>0.33</v>
      </c>
      <c r="C17" s="6" t="n">
        <v>0.2</v>
      </c>
      <c r="D17" s="6" t="n">
        <v>0.25</v>
      </c>
      <c r="E17" s="6" t="n">
        <v>0.25</v>
      </c>
      <c r="F17" s="6" t="n">
        <v>0.08</v>
      </c>
      <c r="G17" s="6" t="n">
        <v>0.21</v>
      </c>
      <c r="H17" s="6" t="n">
        <v>0.1</v>
      </c>
      <c r="I17" s="6" t="n">
        <v>0.03</v>
      </c>
      <c r="J17" s="6" t="n">
        <v>0.03</v>
      </c>
      <c r="K17" s="6" t="n">
        <v>-0.01</v>
      </c>
      <c r="L17" s="6" t="n">
        <v>-0.14</v>
      </c>
      <c r="M17" s="6" t="n">
        <v>-0.85</v>
      </c>
    </row>
    <row r="18">
      <c r="A18" s="6" t="inlineStr">
        <is>
          <t>Fair value gain on forward foreign exchange</t>
        </is>
      </c>
      <c r="B18" s="6" t="n"/>
      <c r="C18" s="6" t="n"/>
      <c r="D18" s="6" t="n"/>
      <c r="E18" s="6" t="n"/>
      <c r="F18" s="6" t="n"/>
      <c r="G18" s="6" t="n"/>
      <c r="H18" s="6" t="n"/>
      <c r="I18" s="6" t="n"/>
      <c r="J18" s="6" t="n"/>
      <c r="K18" s="6" t="n"/>
      <c r="L18" s="6" t="n">
        <v>0.14</v>
      </c>
      <c r="M18" s="6" t="n">
        <v>0.84</v>
      </c>
    </row>
    <row r="19">
      <c r="A19" s="6" t="inlineStr">
        <is>
          <t>Rental income</t>
        </is>
      </c>
      <c r="B19" s="6" t="n"/>
      <c r="C19" s="6" t="n"/>
      <c r="D19" s="6" t="n"/>
      <c r="E19" s="6" t="n"/>
      <c r="F19" s="6" t="n"/>
      <c r="G19" s="6" t="n"/>
      <c r="H19" s="6" t="n"/>
      <c r="I19" s="6" t="n">
        <v>0.28</v>
      </c>
      <c r="J19" s="6" t="n">
        <v>0.11</v>
      </c>
      <c r="K19" s="6" t="n">
        <v>0.02</v>
      </c>
      <c r="L19" s="6" t="n"/>
      <c r="M19" s="6" t="n"/>
    </row>
    <row r="20">
      <c r="A20" s="6" t="inlineStr">
        <is>
          <t>Other income</t>
        </is>
      </c>
      <c r="B20" s="6" t="n">
        <v>0.12</v>
      </c>
      <c r="C20" s="6" t="n">
        <v>0.48</v>
      </c>
      <c r="D20" s="6" t="n">
        <v>0.17</v>
      </c>
      <c r="E20" s="6" t="n">
        <v>0.12</v>
      </c>
      <c r="F20" s="6" t="n">
        <v>0.09</v>
      </c>
      <c r="G20" s="6" t="n">
        <v>0.18</v>
      </c>
      <c r="H20" s="6" t="n">
        <v>0.26</v>
      </c>
      <c r="I20" s="6" t="n"/>
      <c r="J20" s="6" t="n"/>
      <c r="K20" s="6" t="n"/>
      <c r="L20" s="6" t="n">
        <v>0.39</v>
      </c>
      <c r="M20" s="6" t="n">
        <v>0.34</v>
      </c>
    </row>
    <row r="21">
      <c r="A21" s="6" t="inlineStr">
        <is>
          <t>FV loss on investment property</t>
        </is>
      </c>
      <c r="B21" s="6" t="n"/>
      <c r="C21" s="6" t="n"/>
      <c r="D21" s="6" t="n">
        <v>-1.44</v>
      </c>
      <c r="E21" s="6" t="n">
        <v>-0.91</v>
      </c>
      <c r="F21" s="6" t="n"/>
      <c r="G21" s="6" t="n"/>
      <c r="H21" s="6" t="n"/>
      <c r="I21" s="6" t="n"/>
      <c r="J21" s="6" t="n"/>
      <c r="K21" s="6" t="n"/>
      <c r="L21" s="6" t="n"/>
      <c r="M21" s="6" t="n"/>
    </row>
    <row r="22">
      <c r="A22" s="5" t="inlineStr">
        <is>
          <t>Total operating income</t>
        </is>
      </c>
      <c r="B22" s="5" t="n">
        <v>29.56</v>
      </c>
      <c r="C22" s="5" t="n">
        <v>29.81</v>
      </c>
      <c r="D22" s="5" t="n">
        <v>28.66</v>
      </c>
      <c r="E22" s="5" t="n">
        <v>20.03</v>
      </c>
      <c r="F22" s="5" t="n">
        <v>16.54</v>
      </c>
      <c r="G22" s="5" t="n">
        <v>13.9</v>
      </c>
      <c r="H22" s="5" t="n">
        <v>13.47</v>
      </c>
      <c r="I22" s="5" t="n">
        <v>12.42</v>
      </c>
      <c r="J22" s="5" t="n">
        <v>11.34</v>
      </c>
      <c r="K22" s="5" t="n">
        <v>8.630000000000001</v>
      </c>
      <c r="L22" s="5" t="n">
        <v>9.33</v>
      </c>
      <c r="M22" s="5" t="n">
        <v>5.25</v>
      </c>
    </row>
    <row r="23">
      <c r="A23" s="5" t="inlineStr">
        <is>
          <t>Expenses</t>
        </is>
      </c>
      <c r="B23" s="6" t="n"/>
      <c r="C23" s="6" t="n"/>
      <c r="D23" s="6" t="n"/>
      <c r="E23" s="6" t="n"/>
      <c r="F23" s="6" t="n"/>
      <c r="G23" s="6" t="n"/>
      <c r="H23" s="6" t="n"/>
      <c r="I23" s="6" t="n"/>
      <c r="J23" s="6" t="n"/>
      <c r="K23" s="6" t="n"/>
      <c r="L23" s="6" t="n"/>
      <c r="M23" s="6" t="n"/>
    </row>
    <row r="24">
      <c r="A24" s="6" t="inlineStr">
        <is>
          <t>Personnel expenses</t>
        </is>
      </c>
      <c r="B24" s="6" t="n">
        <v>-7.81</v>
      </c>
      <c r="C24" s="6" t="n">
        <v>-7.65</v>
      </c>
      <c r="D24" s="6" t="n">
        <v>-7.17</v>
      </c>
      <c r="E24" s="6" t="n">
        <v>-6.41</v>
      </c>
      <c r="F24" s="6" t="n">
        <v>-5.76</v>
      </c>
      <c r="G24" s="6" t="n">
        <v>-5.03</v>
      </c>
      <c r="H24" s="6" t="n">
        <v>-4.88</v>
      </c>
      <c r="I24" s="6" t="n">
        <v>-4.63</v>
      </c>
      <c r="J24" s="6" t="n">
        <v>-4.57</v>
      </c>
      <c r="K24" s="6" t="n">
        <v>-3.98</v>
      </c>
      <c r="L24" s="6" t="n">
        <v>-3.71</v>
      </c>
      <c r="M24" s="6" t="n">
        <v>-3.1</v>
      </c>
    </row>
    <row r="25">
      <c r="A25" s="6" t="inlineStr">
        <is>
          <t>Depreciation and amortisation</t>
        </is>
      </c>
      <c r="B25" s="6" t="n">
        <v>-0.38</v>
      </c>
      <c r="C25" s="6" t="n">
        <v>-0.57</v>
      </c>
      <c r="D25" s="6" t="n">
        <v>-0.61</v>
      </c>
      <c r="E25" s="6" t="n">
        <v>-0.6899999999999999</v>
      </c>
      <c r="F25" s="6" t="n">
        <v>-0.7</v>
      </c>
      <c r="G25" s="6" t="n">
        <v>-0.67</v>
      </c>
      <c r="H25" s="6" t="n">
        <v>-0.64</v>
      </c>
      <c r="I25" s="6" t="n">
        <v>-0.76</v>
      </c>
      <c r="J25" s="6" t="n">
        <v>-0.77</v>
      </c>
      <c r="K25" s="6" t="n">
        <v>-0.75</v>
      </c>
      <c r="L25" s="6" t="n">
        <v>-0.9</v>
      </c>
      <c r="M25" s="6" t="n">
        <v>-0.13</v>
      </c>
    </row>
    <row r="26">
      <c r="A26" s="6" t="inlineStr">
        <is>
          <t>Other expenses</t>
        </is>
      </c>
      <c r="B26" s="6" t="n">
        <v>-3.94</v>
      </c>
      <c r="C26" s="6" t="n">
        <v>-3.33</v>
      </c>
      <c r="D26" s="6" t="n">
        <v>-2.86</v>
      </c>
      <c r="E26" s="6" t="n">
        <v>-2.56</v>
      </c>
      <c r="F26" s="6" t="n">
        <v>-2.19</v>
      </c>
      <c r="G26" s="6" t="n">
        <v>-1.93</v>
      </c>
      <c r="H26" s="6" t="n">
        <v>-2.04</v>
      </c>
      <c r="I26" s="6" t="n">
        <v>-2.26</v>
      </c>
      <c r="J26" s="6" t="n">
        <v>-2.11</v>
      </c>
      <c r="K26" s="6" t="n">
        <v>-3.14</v>
      </c>
      <c r="L26" s="6" t="n">
        <v>-2.22</v>
      </c>
      <c r="M26" s="6" t="n">
        <v>-2.5</v>
      </c>
    </row>
    <row r="27">
      <c r="A27" s="6" t="inlineStr">
        <is>
          <t>Exceptional item</t>
        </is>
      </c>
      <c r="B27" s="6" t="n"/>
      <c r="C27" s="6" t="n"/>
      <c r="D27" s="6" t="n"/>
      <c r="E27" s="6" t="n"/>
      <c r="F27" s="6" t="n"/>
      <c r="G27" s="6" t="n"/>
      <c r="H27" s="6" t="n"/>
      <c r="I27" s="6" t="n"/>
      <c r="J27" s="6" t="n"/>
      <c r="K27" s="6" t="n">
        <v>-1.38</v>
      </c>
      <c r="L27" s="6" t="n"/>
      <c r="M27" s="6" t="n"/>
    </row>
    <row r="28">
      <c r="A28" s="5" t="inlineStr">
        <is>
          <t>Total operating expenses</t>
        </is>
      </c>
      <c r="B28" s="5" t="n">
        <v>-12.14</v>
      </c>
      <c r="C28" s="5" t="n">
        <v>-11.55</v>
      </c>
      <c r="D28" s="5" t="n">
        <v>-10.64</v>
      </c>
      <c r="E28" s="5" t="n">
        <v>-9.66</v>
      </c>
      <c r="F28" s="5" t="n">
        <v>-8.65</v>
      </c>
      <c r="G28" s="5" t="n">
        <v>-7.62</v>
      </c>
      <c r="H28" s="5" t="n">
        <v>-7.56</v>
      </c>
      <c r="I28" s="5" t="n">
        <v>-7.66</v>
      </c>
      <c r="J28" s="5" t="n">
        <v>-7.45</v>
      </c>
      <c r="K28" s="5" t="n">
        <v>-7.87</v>
      </c>
      <c r="L28" s="5" t="n">
        <v>-6.83</v>
      </c>
      <c r="M28" s="5" t="n">
        <v>-5.73</v>
      </c>
    </row>
    <row r="29">
      <c r="A29" s="5" t="inlineStr">
        <is>
          <t>Profit/(loss) before provisions for impairment</t>
        </is>
      </c>
      <c r="B29" s="5" t="n">
        <v>17.43</v>
      </c>
      <c r="C29" s="5" t="n">
        <v>18.26</v>
      </c>
      <c r="D29" s="5" t="n">
        <v>18.03</v>
      </c>
      <c r="E29" s="5" t="n">
        <v>10.37</v>
      </c>
      <c r="F29" s="5" t="n">
        <v>7.89</v>
      </c>
      <c r="G29" s="5" t="n">
        <v>6.27</v>
      </c>
      <c r="H29" s="5" t="n">
        <v>5.91</v>
      </c>
      <c r="I29" s="5" t="n">
        <v>4.76</v>
      </c>
      <c r="J29" s="5" t="n">
        <v>3.89</v>
      </c>
      <c r="K29" s="5" t="n">
        <v>-0.62</v>
      </c>
      <c r="L29" s="5" t="n">
        <v>2.5</v>
      </c>
      <c r="M29" s="5" t="n">
        <v>-0.48</v>
      </c>
    </row>
    <row r="30">
      <c r="A30" s="6" t="inlineStr">
        <is>
          <t>Credit (loss)/reversal expense on financial assets</t>
        </is>
      </c>
      <c r="B30" s="6" t="n">
        <v>-1.65</v>
      </c>
      <c r="C30" s="6" t="n">
        <v>-0.74</v>
      </c>
      <c r="D30" s="6" t="n">
        <v>-1.05</v>
      </c>
      <c r="E30" s="6" t="n">
        <v>0.64</v>
      </c>
      <c r="F30" s="6" t="n">
        <v>-0.66</v>
      </c>
      <c r="G30" s="6" t="n">
        <v>-0.83</v>
      </c>
      <c r="H30" s="6" t="n">
        <v>-0.5600000000000001</v>
      </c>
      <c r="I30" s="6" t="n">
        <v>-0</v>
      </c>
      <c r="J30" s="6" t="n"/>
      <c r="K30" s="6" t="n"/>
      <c r="L30" s="6" t="n"/>
      <c r="M30" s="6" t="n"/>
    </row>
    <row r="31">
      <c r="A31" s="6" t="inlineStr">
        <is>
          <t>Provisions for impairment</t>
        </is>
      </c>
      <c r="B31" s="6" t="n"/>
      <c r="C31" s="6" t="n"/>
      <c r="D31" s="6" t="n"/>
      <c r="E31" s="6" t="n"/>
      <c r="F31" s="6" t="n"/>
      <c r="G31" s="6" t="n"/>
      <c r="H31" s="6" t="n"/>
      <c r="I31" s="6" t="n"/>
      <c r="J31" s="6" t="n">
        <v>-1.72</v>
      </c>
      <c r="K31" s="6" t="n">
        <v>-1.82</v>
      </c>
      <c r="L31" s="6" t="n">
        <v>0.05</v>
      </c>
      <c r="M31" s="6" t="n">
        <v>1.73</v>
      </c>
    </row>
    <row r="32">
      <c r="A32" s="6" t="inlineStr">
        <is>
          <t>Impairment on building</t>
        </is>
      </c>
      <c r="B32" s="6" t="n"/>
      <c r="C32" s="6" t="n"/>
      <c r="D32" s="6" t="n">
        <v>-0.95</v>
      </c>
      <c r="E32" s="6" t="n"/>
      <c r="F32" s="6" t="n"/>
      <c r="G32" s="6" t="n"/>
      <c r="H32" s="6" t="n"/>
      <c r="I32" s="6" t="n"/>
      <c r="J32" s="6" t="n"/>
      <c r="K32" s="6" t="n"/>
      <c r="L32" s="6" t="n"/>
      <c r="M32" s="6" t="n"/>
    </row>
    <row r="33">
      <c r="A33" s="5" t="inlineStr">
        <is>
          <t>Profit/(loss) before taxation</t>
        </is>
      </c>
      <c r="B33" s="5" t="n">
        <v>15.78</v>
      </c>
      <c r="C33" s="5" t="n">
        <v>17.52</v>
      </c>
      <c r="D33" s="5" t="n">
        <v>16.03</v>
      </c>
      <c r="E33" s="5" t="n">
        <v>11.01</v>
      </c>
      <c r="F33" s="5" t="n">
        <v>7.23</v>
      </c>
      <c r="G33" s="5" t="n">
        <v>5.44</v>
      </c>
      <c r="H33" s="5" t="n">
        <v>5.35</v>
      </c>
      <c r="I33" s="5" t="n">
        <v>4.76</v>
      </c>
      <c r="J33" s="5" t="n">
        <v>2.16</v>
      </c>
      <c r="K33" s="5" t="n">
        <v>-2.45</v>
      </c>
      <c r="L33" s="5" t="n">
        <v>2.55</v>
      </c>
      <c r="M33" s="5" t="n">
        <v>1.25</v>
      </c>
    </row>
    <row r="34">
      <c r="A34" s="6" t="inlineStr">
        <is>
          <t>Taxation</t>
        </is>
      </c>
      <c r="B34" s="6" t="n">
        <v>-4.04</v>
      </c>
      <c r="C34" s="6" t="n">
        <v>-4.92</v>
      </c>
      <c r="D34" s="6" t="n">
        <v>-4.08</v>
      </c>
      <c r="E34" s="6" t="n">
        <v>-1.32</v>
      </c>
      <c r="F34" s="6" t="n">
        <v>-0.38</v>
      </c>
      <c r="G34" s="6" t="n">
        <v>-0.7</v>
      </c>
      <c r="H34" s="6" t="n">
        <v>-0.92</v>
      </c>
      <c r="I34" s="6" t="n">
        <v>-1.05</v>
      </c>
      <c r="J34" s="6" t="n">
        <v>-0.4</v>
      </c>
      <c r="K34" s="6" t="n">
        <v>-0.64</v>
      </c>
      <c r="L34" s="6" t="n">
        <v>0</v>
      </c>
      <c r="M34" s="6" t="n">
        <v>0.07000000000000001</v>
      </c>
    </row>
    <row r="35">
      <c r="A35" s="5" t="inlineStr">
        <is>
          <t>Profit/(loss) for the year</t>
        </is>
      </c>
      <c r="B35" s="5" t="n">
        <v>11.73</v>
      </c>
      <c r="C35" s="5" t="n">
        <v>12.6</v>
      </c>
      <c r="D35" s="5" t="n">
        <v>11.95</v>
      </c>
      <c r="E35" s="5" t="n">
        <v>9.69</v>
      </c>
      <c r="F35" s="5" t="n">
        <v>6.86</v>
      </c>
      <c r="G35" s="5" t="n">
        <v>4.74</v>
      </c>
      <c r="H35" s="5" t="n">
        <v>4.43</v>
      </c>
      <c r="I35" s="5" t="n">
        <v>3.71</v>
      </c>
      <c r="J35" s="5" t="n">
        <v>1.76</v>
      </c>
      <c r="K35" s="5" t="n">
        <v>-3.09</v>
      </c>
      <c r="L35" s="5" t="n">
        <v>2.55</v>
      </c>
      <c r="M35" s="5" t="n">
        <v>1.32</v>
      </c>
    </row>
    <row r="36">
      <c r="A36" s="5" t="inlineStr">
        <is>
          <t>Other comprehensive income</t>
        </is>
      </c>
      <c r="B36" s="6" t="n"/>
      <c r="C36" s="6" t="n"/>
      <c r="D36" s="6" t="n"/>
      <c r="E36" s="6" t="n"/>
      <c r="F36" s="6" t="n"/>
      <c r="G36" s="6" t="n"/>
      <c r="H36" s="6" t="n"/>
      <c r="I36" s="6" t="n"/>
      <c r="J36" s="6" t="n"/>
      <c r="K36" s="6" t="n"/>
      <c r="L36" s="6" t="n"/>
      <c r="M36" s="6" t="n"/>
    </row>
    <row r="37">
      <c r="A37" s="6" t="inlineStr">
        <is>
          <t>Change in fair value of AFS financial assets net of tax</t>
        </is>
      </c>
      <c r="B37" s="6" t="n"/>
      <c r="C37" s="6" t="n"/>
      <c r="D37" s="6" t="n"/>
      <c r="E37" s="6" t="n"/>
      <c r="F37" s="6" t="n"/>
      <c r="G37" s="6" t="n"/>
      <c r="H37" s="6" t="n"/>
      <c r="I37" s="6" t="n"/>
      <c r="J37" s="6" t="n">
        <v>0.14</v>
      </c>
      <c r="K37" s="6" t="n">
        <v>-0.29</v>
      </c>
      <c r="L37" s="6" t="n">
        <v>-0.48</v>
      </c>
      <c r="M37" s="6" t="n">
        <v>0.27</v>
      </c>
    </row>
    <row r="38">
      <c r="A38" s="6" t="inlineStr">
        <is>
          <t>Change in fair value of cash flow hedge</t>
        </is>
      </c>
      <c r="B38" s="6" t="n">
        <v>-0.26</v>
      </c>
      <c r="C38" s="6" t="n">
        <v>0.08</v>
      </c>
      <c r="D38" s="6" t="n">
        <v>0.03</v>
      </c>
      <c r="E38" s="6" t="n">
        <v>-0.11</v>
      </c>
      <c r="F38" s="6" t="n">
        <v>0.08</v>
      </c>
      <c r="G38" s="6" t="n">
        <v>-0.03</v>
      </c>
      <c r="H38" s="6" t="n">
        <v>-0</v>
      </c>
      <c r="I38" s="6" t="n">
        <v>0.05</v>
      </c>
      <c r="J38" s="6" t="n">
        <v>0.06</v>
      </c>
      <c r="K38" s="6" t="n">
        <v>-0.37</v>
      </c>
      <c r="L38" s="6" t="n"/>
      <c r="M38" s="6" t="n"/>
    </row>
    <row r="39">
      <c r="A39" s="5" t="inlineStr">
        <is>
          <t>Total comprehensive profit/(loss) for the year</t>
        </is>
      </c>
      <c r="B39" s="5" t="n">
        <v>11.47</v>
      </c>
      <c r="C39" s="5" t="n">
        <v>12.68</v>
      </c>
      <c r="D39" s="5" t="n">
        <v>11.98</v>
      </c>
      <c r="E39" s="5" t="n">
        <v>9.59</v>
      </c>
      <c r="F39" s="5" t="n">
        <v>6.94</v>
      </c>
      <c r="G39" s="5" t="n">
        <v>4.72</v>
      </c>
      <c r="H39" s="5" t="n">
        <v>4.42</v>
      </c>
      <c r="I39" s="5" t="n">
        <v>3.77</v>
      </c>
      <c r="J39" s="5" t="n">
        <v>1.96</v>
      </c>
      <c r="K39" s="5" t="n">
        <v>-3.74</v>
      </c>
      <c r="L39" s="5" t="n">
        <v>2.07</v>
      </c>
      <c r="M39" s="5" t="n">
        <v>1.59</v>
      </c>
    </row>
    <row r="41" ht="520" customHeight="1">
      <c r="A4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1:M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FY2014-FY2025.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12 years. The Fair Value Reserve on AFS Financial Assets column is only populated FY2014-FY2018 (blank thereafter,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2014 (FY2014 opening)</t>
        </is>
      </c>
      <c r="B4" s="6" t="n">
        <v>44</v>
      </c>
      <c r="C4" s="6" t="n">
        <v>-0.108</v>
      </c>
      <c r="D4" s="6" t="n"/>
      <c r="E4" s="6" t="n">
        <v>-27.479</v>
      </c>
      <c r="F4" s="6" t="n">
        <v>16.413</v>
      </c>
    </row>
    <row r="5">
      <c r="A5" s="6" t="inlineStr">
        <is>
          <t>Share issuance</t>
        </is>
      </c>
      <c r="B5" s="6" t="n">
        <v>12.5</v>
      </c>
      <c r="C5" s="6" t="n"/>
      <c r="D5" s="6" t="n"/>
      <c r="E5" s="6" t="n"/>
      <c r="F5" s="6" t="n">
        <v>12.5</v>
      </c>
    </row>
    <row r="6">
      <c r="A6" s="6" t="inlineStr">
        <is>
          <t>Change in fair value of AFS financial assets net of tax</t>
        </is>
      </c>
      <c r="B6" s="6" t="n"/>
      <c r="C6" s="6" t="n">
        <v>0.275</v>
      </c>
      <c r="D6" s="6" t="n"/>
      <c r="E6" s="6" t="n"/>
      <c r="F6" s="6" t="n">
        <v>0.275</v>
      </c>
    </row>
    <row r="7">
      <c r="A7" s="6" t="inlineStr">
        <is>
          <t>Profit for the year</t>
        </is>
      </c>
      <c r="B7" s="6" t="n"/>
      <c r="C7" s="6" t="n"/>
      <c r="D7" s="6" t="n"/>
      <c r="E7" s="6" t="n">
        <v>1.317</v>
      </c>
      <c r="F7" s="6" t="n">
        <v>1.317</v>
      </c>
    </row>
    <row r="8">
      <c r="A8" s="5" t="inlineStr">
        <is>
          <t>At 31 December 2014</t>
        </is>
      </c>
      <c r="B8" s="5" t="n">
        <v>56.5</v>
      </c>
      <c r="C8" s="5" t="n">
        <v>0.167</v>
      </c>
      <c r="D8" s="5" t="n"/>
      <c r="E8" s="5" t="n">
        <v>-26.162</v>
      </c>
      <c r="F8" s="5" t="n">
        <v>30.505</v>
      </c>
    </row>
    <row r="9">
      <c r="A9" s="6" t="inlineStr">
        <is>
          <t>Share issuance</t>
        </is>
      </c>
      <c r="B9" s="6" t="n">
        <v>23.058</v>
      </c>
      <c r="C9" s="6" t="n"/>
      <c r="D9" s="6" t="n"/>
      <c r="E9" s="6" t="n"/>
      <c r="F9" s="6" t="n">
        <v>23.058</v>
      </c>
    </row>
    <row r="10">
      <c r="A10" s="6" t="inlineStr">
        <is>
          <t>Change in fair value of AFS financial assets net of tax</t>
        </is>
      </c>
      <c r="B10" s="6" t="n"/>
      <c r="C10" s="6" t="n">
        <v>-0.476</v>
      </c>
      <c r="D10" s="6" t="n"/>
      <c r="E10" s="6" t="n"/>
      <c r="F10" s="6" t="n">
        <v>-0.476</v>
      </c>
    </row>
    <row r="11">
      <c r="A11" s="6" t="inlineStr">
        <is>
          <t>Profit for the year</t>
        </is>
      </c>
      <c r="B11" s="6" t="n"/>
      <c r="C11" s="6" t="n"/>
      <c r="D11" s="6" t="n"/>
      <c r="E11" s="6" t="n">
        <v>2.548</v>
      </c>
      <c r="F11" s="6" t="n">
        <v>2.548</v>
      </c>
    </row>
    <row r="12">
      <c r="A12" s="5" t="inlineStr">
        <is>
          <t>At 31 December 2015</t>
        </is>
      </c>
      <c r="B12" s="5" t="n">
        <v>79.55800000000001</v>
      </c>
      <c r="C12" s="5" t="n">
        <v>-0.309</v>
      </c>
      <c r="D12" s="5" t="n"/>
      <c r="E12" s="5" t="n">
        <v>-23.614</v>
      </c>
      <c r="F12" s="5" t="n">
        <v>55.635</v>
      </c>
    </row>
    <row r="13">
      <c r="A13" s="6" t="inlineStr">
        <is>
          <t>Change in fair value of AFS financial assets net of tax</t>
        </is>
      </c>
      <c r="B13" s="6" t="n"/>
      <c r="C13" s="6" t="n">
        <v>-0.289</v>
      </c>
      <c r="D13" s="6" t="n"/>
      <c r="E13" s="6" t="n"/>
      <c r="F13" s="6" t="n">
        <v>-0.289</v>
      </c>
    </row>
    <row r="14">
      <c r="A14" s="6" t="inlineStr">
        <is>
          <t>Changes in fair value of cash flow hedge foreign exchange</t>
        </is>
      </c>
      <c r="B14" s="6" t="n"/>
      <c r="C14" s="6" t="n"/>
      <c r="D14" s="6" t="n">
        <v>-0.366</v>
      </c>
      <c r="E14" s="6" t="n"/>
      <c r="F14" s="6" t="n">
        <v>-0.366</v>
      </c>
    </row>
    <row r="15">
      <c r="A15" s="6" t="inlineStr">
        <is>
          <t>Profit/(loss) for the year</t>
        </is>
      </c>
      <c r="B15" s="6" t="n"/>
      <c r="C15" s="6" t="n"/>
      <c r="D15" s="6" t="n"/>
      <c r="E15" s="6" t="n">
        <v>-3.09</v>
      </c>
      <c r="F15" s="6" t="n">
        <v>-3.09</v>
      </c>
    </row>
    <row r="16">
      <c r="A16" s="5" t="inlineStr">
        <is>
          <t>At 31 December 2016</t>
        </is>
      </c>
      <c r="B16" s="5" t="n">
        <v>79.55800000000001</v>
      </c>
      <c r="C16" s="5" t="n">
        <v>-0.599</v>
      </c>
      <c r="D16" s="5" t="n">
        <v>-0.366</v>
      </c>
      <c r="E16" s="5" t="n">
        <v>-26.704</v>
      </c>
      <c r="F16" s="5" t="n">
        <v>51.89</v>
      </c>
    </row>
    <row r="17">
      <c r="A17" s="6" t="inlineStr">
        <is>
          <t>Share issuance</t>
        </is>
      </c>
      <c r="B17" s="6" t="n">
        <v>6.25</v>
      </c>
      <c r="C17" s="6" t="n"/>
      <c r="D17" s="6" t="n"/>
      <c r="E17" s="6" t="n"/>
      <c r="F17" s="6" t="n">
        <v>6.25</v>
      </c>
    </row>
    <row r="18">
      <c r="A18" s="6" t="inlineStr">
        <is>
          <t>Change in fair value of AFS financial assets net of tax</t>
        </is>
      </c>
      <c r="B18" s="6" t="n"/>
      <c r="C18" s="6" t="n">
        <v>0.141</v>
      </c>
      <c r="D18" s="6" t="n"/>
      <c r="E18" s="6" t="n"/>
      <c r="F18" s="6" t="n">
        <v>0.141</v>
      </c>
    </row>
    <row r="19">
      <c r="A19" s="6" t="inlineStr">
        <is>
          <t>Changes in fair value of cash flow hedge foreign exchange</t>
        </is>
      </c>
      <c r="B19" s="6" t="n"/>
      <c r="C19" s="6" t="n"/>
      <c r="D19" s="6" t="n">
        <v>0.06</v>
      </c>
      <c r="E19" s="6" t="n"/>
      <c r="F19" s="6" t="n">
        <v>0.06</v>
      </c>
    </row>
    <row r="20">
      <c r="A20" s="6" t="inlineStr">
        <is>
          <t>Profit for the year</t>
        </is>
      </c>
      <c r="B20" s="6" t="n"/>
      <c r="C20" s="6" t="n"/>
      <c r="D20" s="6" t="n"/>
      <c r="E20" s="6" t="n">
        <v>1.76</v>
      </c>
      <c r="F20" s="6" t="n">
        <v>1.76</v>
      </c>
    </row>
    <row r="21">
      <c r="A21" s="5" t="inlineStr">
        <is>
          <t>At 31 December 2017</t>
        </is>
      </c>
      <c r="B21" s="5" t="n">
        <v>85.80800000000001</v>
      </c>
      <c r="C21" s="5" t="n">
        <v>-0.458</v>
      </c>
      <c r="D21" s="5" t="n">
        <v>-0.306</v>
      </c>
      <c r="E21" s="5" t="n">
        <v>-24.944</v>
      </c>
      <c r="F21" s="5" t="n">
        <v>60.101</v>
      </c>
    </row>
    <row r="22">
      <c r="A22" s="6" t="inlineStr">
        <is>
          <t>IFRS 9 ECL allowance (transition)</t>
        </is>
      </c>
      <c r="B22" s="6" t="n"/>
      <c r="C22" s="6" t="n"/>
      <c r="D22" s="6" t="n"/>
      <c r="E22" s="6" t="n">
        <v>-1.809</v>
      </c>
      <c r="F22" s="6" t="n">
        <v>-1.809</v>
      </c>
    </row>
    <row r="23">
      <c r="A23" s="6" t="inlineStr">
        <is>
          <t>Movement in deferred tax related to AFS reserve</t>
        </is>
      </c>
      <c r="B23" s="6" t="n"/>
      <c r="C23" s="6" t="n">
        <v>-0.049</v>
      </c>
      <c r="D23" s="6" t="n"/>
      <c r="E23" s="6" t="n">
        <v>0.049</v>
      </c>
      <c r="F23" s="6" t="n"/>
    </row>
    <row r="24">
      <c r="A24" s="6" t="inlineStr">
        <is>
          <t>Reclassification of AFS financial assets to amortised cost under IFRS 9</t>
        </is>
      </c>
      <c r="B24" s="6" t="n"/>
      <c r="C24" s="6" t="n">
        <v>0.507</v>
      </c>
      <c r="D24" s="6" t="n"/>
      <c r="E24" s="6" t="n"/>
      <c r="F24" s="6" t="n">
        <v>0.507</v>
      </c>
    </row>
    <row r="25">
      <c r="A25" s="6" t="inlineStr">
        <is>
          <t>Changes in deferred tax</t>
        </is>
      </c>
      <c r="B25" s="6" t="n"/>
      <c r="C25" s="6" t="n"/>
      <c r="D25" s="6" t="n"/>
      <c r="E25" s="6" t="n">
        <v>0.251</v>
      </c>
      <c r="F25" s="6" t="n">
        <v>0.251</v>
      </c>
    </row>
    <row r="26">
      <c r="A26" s="6" t="inlineStr">
        <is>
          <t>Capital restructuring</t>
        </is>
      </c>
      <c r="B26" s="6" t="n">
        <v>-24.944</v>
      </c>
      <c r="C26" s="6" t="n"/>
      <c r="D26" s="6" t="n"/>
      <c r="E26" s="6" t="n">
        <v>24.944</v>
      </c>
      <c r="F26" s="6" t="n"/>
    </row>
    <row r="27">
      <c r="A27" s="6" t="inlineStr">
        <is>
          <t>Changes in fair value of cash flow hedge foreign exchange</t>
        </is>
      </c>
      <c r="B27" s="6" t="n"/>
      <c r="C27" s="6" t="n"/>
      <c r="D27" s="6" t="n">
        <v>0.053</v>
      </c>
      <c r="E27" s="6" t="n"/>
      <c r="F27" s="6" t="n">
        <v>0.053</v>
      </c>
    </row>
    <row r="28">
      <c r="A28" s="6" t="inlineStr">
        <is>
          <t>Profit for the year</t>
        </is>
      </c>
      <c r="B28" s="6" t="n"/>
      <c r="C28" s="6" t="n"/>
      <c r="D28" s="6" t="n"/>
      <c r="E28" s="6" t="n">
        <v>3.713</v>
      </c>
      <c r="F28" s="6" t="n">
        <v>3.713</v>
      </c>
    </row>
    <row r="29">
      <c r="A29" s="5" t="inlineStr">
        <is>
          <t>At 31 December 2018</t>
        </is>
      </c>
      <c r="B29" s="5" t="n">
        <v>60.864</v>
      </c>
      <c r="C29" s="5" t="n"/>
      <c r="D29" s="5" t="n">
        <v>-0.253</v>
      </c>
      <c r="E29" s="5" t="n">
        <v>2.204</v>
      </c>
      <c r="F29" s="5" t="n">
        <v>62.815</v>
      </c>
    </row>
    <row r="30">
      <c r="A30" s="6" t="inlineStr">
        <is>
          <t>Restatement of FY2018 opening balance (per FY2019 Annual Report Note 2 - see RESTATEMENT NOTE)</t>
        </is>
      </c>
      <c r="B30" s="6" t="n"/>
      <c r="C30" s="6" t="n"/>
      <c r="D30" s="6" t="n"/>
      <c r="E30" s="6" t="n">
        <v>-0.021</v>
      </c>
      <c r="F30" s="6" t="n">
        <v>-0.021</v>
      </c>
    </row>
    <row r="31">
      <c r="A31" s="6" t="inlineStr">
        <is>
          <t>Changes in fair value of cash flow hedge foreign exchange</t>
        </is>
      </c>
      <c r="B31" s="6" t="n"/>
      <c r="C31" s="6" t="n"/>
      <c r="D31" s="6" t="n">
        <v>-0.003</v>
      </c>
      <c r="E31" s="6" t="n"/>
      <c r="F31" s="6" t="n">
        <v>-0.003</v>
      </c>
    </row>
    <row r="32">
      <c r="A32" s="6" t="inlineStr">
        <is>
          <t>Profit for the year</t>
        </is>
      </c>
      <c r="B32" s="6" t="n"/>
      <c r="C32" s="6" t="n"/>
      <c r="D32" s="6" t="n"/>
      <c r="E32" s="6" t="n">
        <v>4.427</v>
      </c>
      <c r="F32" s="6" t="n">
        <v>4.427</v>
      </c>
    </row>
    <row r="33">
      <c r="A33" s="5" t="inlineStr">
        <is>
          <t>At 31 December 2019</t>
        </is>
      </c>
      <c r="B33" s="5" t="n">
        <v>60.864</v>
      </c>
      <c r="C33" s="5" t="n"/>
      <c r="D33" s="5" t="n">
        <v>-0.256</v>
      </c>
      <c r="E33" s="5" t="n">
        <v>6.609</v>
      </c>
      <c r="F33" s="5" t="n">
        <v>67.217</v>
      </c>
    </row>
    <row r="34">
      <c r="A34" s="6" t="inlineStr">
        <is>
          <t>Changes in fair value of cash flow hedge foreign exchange</t>
        </is>
      </c>
      <c r="B34" s="6" t="n"/>
      <c r="C34" s="6" t="n"/>
      <c r="D34" s="6" t="n">
        <v>-0.028</v>
      </c>
      <c r="E34" s="6" t="n"/>
      <c r="F34" s="6" t="n">
        <v>-0.028</v>
      </c>
    </row>
    <row r="35">
      <c r="A35" s="6" t="inlineStr">
        <is>
          <t>Profit for the year</t>
        </is>
      </c>
      <c r="B35" s="6" t="n"/>
      <c r="C35" s="6" t="n"/>
      <c r="D35" s="6" t="n"/>
      <c r="E35" s="6" t="n">
        <v>4.744</v>
      </c>
      <c r="F35" s="6" t="n">
        <v>4.744</v>
      </c>
    </row>
    <row r="36">
      <c r="A36" s="5" t="inlineStr">
        <is>
          <t>At 31 December 2020</t>
        </is>
      </c>
      <c r="B36" s="5" t="n">
        <v>60.864</v>
      </c>
      <c r="C36" s="5" t="n"/>
      <c r="D36" s="5" t="n">
        <v>-0.284</v>
      </c>
      <c r="E36" s="5" t="n">
        <v>11.353</v>
      </c>
      <c r="F36" s="5" t="n">
        <v>71.93300000000001</v>
      </c>
    </row>
    <row r="37">
      <c r="A37" s="6" t="inlineStr">
        <is>
          <t>At 1 January 2021 (FY2021 opening)</t>
        </is>
      </c>
      <c r="B37" s="6" t="n">
        <v>60.864</v>
      </c>
      <c r="C37" s="6" t="n"/>
      <c r="D37" s="6" t="n">
        <v>-0.284</v>
      </c>
      <c r="E37" s="6" t="n">
        <v>11.353</v>
      </c>
      <c r="F37" s="6" t="n">
        <v>71.93300000000001</v>
      </c>
    </row>
    <row r="38">
      <c r="A38" s="6" t="inlineStr">
        <is>
          <t>Changes in FV of cash flow hedge</t>
        </is>
      </c>
      <c r="B38" s="6" t="n"/>
      <c r="C38" s="6" t="n"/>
      <c r="D38" s="6" t="n">
        <v>0.082</v>
      </c>
      <c r="E38" s="6" t="n"/>
      <c r="F38" s="6" t="n">
        <v>0.082</v>
      </c>
    </row>
    <row r="39">
      <c r="A39" s="6" t="inlineStr">
        <is>
          <t>Movement in deferred tax relating to change in tax rate</t>
        </is>
      </c>
      <c r="B39" s="6" t="n"/>
      <c r="C39" s="6" t="n"/>
      <c r="D39" s="6" t="n"/>
      <c r="E39" s="6" t="n">
        <v>-0.044</v>
      </c>
      <c r="F39" s="6" t="n">
        <v>-0.044</v>
      </c>
    </row>
    <row r="40">
      <c r="A40" s="6" t="inlineStr">
        <is>
          <t>Profit for the year</t>
        </is>
      </c>
      <c r="B40" s="6" t="n"/>
      <c r="C40" s="6" t="n"/>
      <c r="D40" s="6" t="n"/>
      <c r="E40" s="6" t="n">
        <v>6.856</v>
      </c>
      <c r="F40" s="6" t="n">
        <v>6.856</v>
      </c>
    </row>
    <row r="41">
      <c r="A41" s="5" t="inlineStr">
        <is>
          <t>At 31 December 2021</t>
        </is>
      </c>
      <c r="B41" s="5" t="n">
        <v>60.864</v>
      </c>
      <c r="C41" s="5" t="n"/>
      <c r="D41" s="5" t="n">
        <v>-0.202</v>
      </c>
      <c r="E41" s="5" t="n">
        <v>18.165</v>
      </c>
      <c r="F41" s="5" t="n">
        <v>78.827</v>
      </c>
    </row>
    <row r="42">
      <c r="A42" s="6" t="inlineStr">
        <is>
          <t>Changes in FV of cash flow hedge</t>
        </is>
      </c>
      <c r="B42" s="6" t="n"/>
      <c r="C42" s="6" t="n"/>
      <c r="D42" s="6" t="n">
        <v>-0.107</v>
      </c>
      <c r="E42" s="6" t="n"/>
      <c r="F42" s="6" t="n">
        <v>-0.107</v>
      </c>
    </row>
    <row r="43">
      <c r="A43" s="6" t="inlineStr">
        <is>
          <t>Movement in deferred tax relating to change in tax rate</t>
        </is>
      </c>
      <c r="B43" s="6" t="n"/>
      <c r="C43" s="6" t="n"/>
      <c r="D43" s="6" t="n"/>
      <c r="E43" s="6" t="n">
        <v>-0.001</v>
      </c>
      <c r="F43" s="6" t="n">
        <v>-0.001</v>
      </c>
    </row>
    <row r="44">
      <c r="A44" s="6" t="inlineStr">
        <is>
          <t>Profit for the year</t>
        </is>
      </c>
      <c r="B44" s="6" t="n"/>
      <c r="C44" s="6" t="n"/>
      <c r="D44" s="6" t="n"/>
      <c r="E44" s="6" t="n">
        <v>9.692</v>
      </c>
      <c r="F44" s="6" t="n">
        <v>9.692</v>
      </c>
    </row>
    <row r="45">
      <c r="A45" s="5" t="inlineStr">
        <is>
          <t>At 31 December 2022</t>
        </is>
      </c>
      <c r="B45" s="5" t="n">
        <v>60.864</v>
      </c>
      <c r="C45" s="5" t="n"/>
      <c r="D45" s="5" t="n">
        <v>-0.31</v>
      </c>
      <c r="E45" s="5" t="n">
        <v>27.856</v>
      </c>
      <c r="F45" s="5" t="n">
        <v>88.411</v>
      </c>
    </row>
    <row r="46">
      <c r="A46" s="6" t="inlineStr">
        <is>
          <t>Changes in FV of cash flow hedge</t>
        </is>
      </c>
      <c r="B46" s="6" t="n"/>
      <c r="C46" s="6" t="n"/>
      <c r="D46" s="6" t="n">
        <v>0.026</v>
      </c>
      <c r="E46" s="6" t="n"/>
      <c r="F46" s="6" t="n">
        <v>0.026</v>
      </c>
    </row>
    <row r="47">
      <c r="A47" s="6" t="inlineStr">
        <is>
          <t>Movement in deferred tax relating to recognition or change in tax rate</t>
        </is>
      </c>
      <c r="B47" s="6" t="n"/>
      <c r="C47" s="6" t="n"/>
      <c r="D47" s="6" t="n"/>
      <c r="E47" s="6" t="n">
        <v>0.055</v>
      </c>
      <c r="F47" s="6" t="n">
        <v>0.055</v>
      </c>
    </row>
    <row r="48">
      <c r="A48" s="6" t="inlineStr">
        <is>
          <t>Profit for the year</t>
        </is>
      </c>
      <c r="B48" s="6" t="n"/>
      <c r="C48" s="6" t="n"/>
      <c r="D48" s="6" t="n"/>
      <c r="E48" s="6" t="n">
        <v>11.95</v>
      </c>
      <c r="F48" s="6" t="n">
        <v>11.95</v>
      </c>
    </row>
    <row r="49">
      <c r="A49" s="5" t="inlineStr">
        <is>
          <t>At 31 December 2023</t>
        </is>
      </c>
      <c r="B49" s="5" t="n">
        <v>60.864</v>
      </c>
      <c r="C49" s="5" t="n"/>
      <c r="D49" s="5" t="n">
        <v>-0.283</v>
      </c>
      <c r="E49" s="5" t="n">
        <v>39.861</v>
      </c>
      <c r="F49" s="5" t="n">
        <v>100.441</v>
      </c>
    </row>
    <row r="50">
      <c r="A50" s="6" t="inlineStr">
        <is>
          <t>Changes in FV of cash flow hedge</t>
        </is>
      </c>
      <c r="B50" s="6" t="n"/>
      <c r="C50" s="6" t="n"/>
      <c r="D50" s="6" t="n">
        <v>0.077</v>
      </c>
      <c r="E50" s="6" t="n"/>
      <c r="F50" s="6" t="n">
        <v>0.077</v>
      </c>
    </row>
    <row r="51">
      <c r="A51" s="6" t="inlineStr">
        <is>
          <t>Movement in deferred tax relating to recognition or change in tax rate</t>
        </is>
      </c>
      <c r="B51" s="6" t="n"/>
      <c r="C51" s="6" t="n"/>
      <c r="D51" s="6" t="n"/>
      <c r="E51" s="6" t="n">
        <v>-0.019</v>
      </c>
      <c r="F51" s="6" t="n">
        <v>-0.019</v>
      </c>
    </row>
    <row r="52">
      <c r="A52" s="6" t="inlineStr">
        <is>
          <t>Profit for the year</t>
        </is>
      </c>
      <c r="B52" s="6" t="n"/>
      <c r="C52" s="6" t="n"/>
      <c r="D52" s="6" t="n"/>
      <c r="E52" s="6" t="n">
        <v>12.603</v>
      </c>
      <c r="F52" s="6" t="n">
        <v>12.603</v>
      </c>
    </row>
    <row r="53">
      <c r="A53" s="5" t="inlineStr">
        <is>
          <t>At 31 December 2024</t>
        </is>
      </c>
      <c r="B53" s="5" t="n">
        <v>60.864</v>
      </c>
      <c r="C53" s="5" t="n"/>
      <c r="D53" s="5" t="n">
        <v>-0.206</v>
      </c>
      <c r="E53" s="5" t="n">
        <v>52.444</v>
      </c>
      <c r="F53" s="5" t="n">
        <v>113.102</v>
      </c>
    </row>
    <row r="54">
      <c r="A54" s="6" t="inlineStr">
        <is>
          <t>Changes in FV of cash flow hedge</t>
        </is>
      </c>
      <c r="B54" s="6" t="n"/>
      <c r="C54" s="6" t="n"/>
      <c r="D54" s="6" t="n">
        <v>-0.264</v>
      </c>
      <c r="E54" s="6" t="n"/>
      <c r="F54" s="6" t="n">
        <v>-0.264</v>
      </c>
    </row>
    <row r="55">
      <c r="A55" s="6" t="inlineStr">
        <is>
          <t>Movement in deferred tax on cash flow hedge</t>
        </is>
      </c>
      <c r="B55" s="6" t="n"/>
      <c r="C55" s="6" t="n"/>
      <c r="D55" s="6" t="n"/>
      <c r="E55" s="6" t="n">
        <v>0.076</v>
      </c>
      <c r="F55" s="6" t="n">
        <v>0.076</v>
      </c>
    </row>
    <row r="56">
      <c r="A56" s="6" t="inlineStr">
        <is>
          <t>Profit for the year</t>
        </is>
      </c>
      <c r="B56" s="6" t="n"/>
      <c r="C56" s="6" t="n"/>
      <c r="D56" s="6" t="n"/>
      <c r="E56" s="6" t="n">
        <v>11.732</v>
      </c>
      <c r="F56" s="6" t="n">
        <v>11.732</v>
      </c>
    </row>
    <row r="57">
      <c r="A57" s="5" t="inlineStr">
        <is>
          <t>At 31 December 2025</t>
        </is>
      </c>
      <c r="B57" s="5" t="n">
        <v>60.864</v>
      </c>
      <c r="C57" s="5" t="n"/>
      <c r="D57" s="5" t="n">
        <v>-0.47</v>
      </c>
      <c r="E57" s="5" t="n">
        <v>64.252</v>
      </c>
      <c r="F57" s="5" t="n">
        <v>124.646</v>
      </c>
    </row>
    <row r="59" ht="150" customHeight="1">
      <c r="A59"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59:F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Statement of Cash Flows</t>
        </is>
      </c>
    </row>
    <row r="2">
      <c r="A2" s="2" t="inlineStr">
        <is>
          <t>Entity basis, £m, converted from the Bank's reported £ amounts; FY2014-FY2025.</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Operating activities</t>
        </is>
      </c>
      <c r="B4" s="6" t="n"/>
      <c r="C4" s="6" t="n"/>
      <c r="D4" s="6" t="n"/>
      <c r="E4" s="6" t="n"/>
      <c r="F4" s="6" t="n"/>
      <c r="G4" s="6" t="n"/>
      <c r="H4" s="6" t="n"/>
      <c r="I4" s="6" t="n"/>
      <c r="J4" s="6" t="n"/>
      <c r="K4" s="6" t="n"/>
      <c r="L4" s="6" t="n"/>
      <c r="M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row>
    <row r="8">
      <c r="A8" s="6" t="inlineStr">
        <is>
          <t>Fair Value on Building</t>
        </is>
      </c>
      <c r="B8" s="6" t="n"/>
      <c r="C8" s="6" t="n"/>
      <c r="D8" s="6" t="n"/>
      <c r="E8" s="6" t="n"/>
      <c r="F8" s="6" t="n"/>
      <c r="G8" s="6" t="n"/>
      <c r="H8" s="6" t="n"/>
      <c r="I8" s="6" t="n"/>
      <c r="J8" s="6" t="n">
        <v>-1.06</v>
      </c>
      <c r="K8" s="6" t="n">
        <v>0.34</v>
      </c>
      <c r="L8" s="6" t="n"/>
      <c r="M8" s="6" t="n"/>
    </row>
    <row r="9">
      <c r="A9" s="6" t="inlineStr">
        <is>
          <t>ECL loss allowance and write-offs</t>
        </is>
      </c>
      <c r="B9" s="6" t="n"/>
      <c r="C9" s="6" t="n"/>
      <c r="D9" s="6" t="n"/>
      <c r="E9" s="6" t="n"/>
      <c r="F9" s="6" t="n"/>
      <c r="G9" s="6" t="n">
        <v>0.88</v>
      </c>
      <c r="H9" s="6" t="n">
        <v>0.62</v>
      </c>
      <c r="I9" s="6" t="n">
        <v>-0.04</v>
      </c>
      <c r="J9" s="6" t="n"/>
      <c r="K9" s="6" t="n"/>
      <c r="L9" s="6" t="n"/>
      <c r="M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row>
    <row r="11">
      <c r="A11" s="6" t="inlineStr">
        <is>
          <t>Fair value / impairment adjustments</t>
        </is>
      </c>
      <c r="B11" s="6" t="n">
        <v>1.78</v>
      </c>
      <c r="C11" s="6" t="n">
        <v>0.9</v>
      </c>
      <c r="D11" s="6" t="n">
        <v>2.38</v>
      </c>
      <c r="E11" s="6" t="n">
        <v>1.49</v>
      </c>
      <c r="F11" s="6" t="n">
        <v>0.76</v>
      </c>
      <c r="G11" s="6" t="n"/>
      <c r="H11" s="6" t="n"/>
      <c r="I11" s="6" t="n"/>
      <c r="J11" s="6" t="n"/>
      <c r="K11" s="6" t="n"/>
      <c r="L11" s="6" t="n"/>
      <c r="M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row>
    <row r="15">
      <c r="A15" s="6" t="inlineStr">
        <is>
          <t>Stage 3 ECL recoveries</t>
        </is>
      </c>
      <c r="B15" s="6" t="n"/>
      <c r="C15" s="6" t="n">
        <v>0</v>
      </c>
      <c r="D15" s="6" t="n">
        <v>-0</v>
      </c>
      <c r="E15" s="6" t="n">
        <v>-1.22</v>
      </c>
      <c r="F15" s="6" t="n">
        <v>-0</v>
      </c>
      <c r="G15" s="6" t="n">
        <v>-0.05</v>
      </c>
      <c r="H15" s="6" t="n"/>
      <c r="I15" s="6" t="n"/>
      <c r="J15" s="6" t="n"/>
      <c r="K15" s="6" t="n"/>
      <c r="L15" s="6" t="n"/>
      <c r="M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row>
    <row r="23">
      <c r="A23" s="6" t="inlineStr">
        <is>
          <t>Increase/(decrease) in derivative financial instruments</t>
        </is>
      </c>
      <c r="B23" s="6" t="n">
        <v>1.27</v>
      </c>
      <c r="C23" s="6" t="n">
        <v>-1.13</v>
      </c>
      <c r="D23" s="6" t="n">
        <v>-0.13</v>
      </c>
      <c r="E23" s="6" t="n">
        <v>0.39</v>
      </c>
      <c r="F23" s="6" t="n">
        <v>-5.15</v>
      </c>
      <c r="G23" s="6" t="n">
        <v>1.7</v>
      </c>
      <c r="H23" s="6" t="n">
        <v>8.68</v>
      </c>
      <c r="I23" s="6" t="n">
        <v>-7.07</v>
      </c>
      <c r="J23" s="6" t="n">
        <v>9.82</v>
      </c>
      <c r="K23" s="6" t="n">
        <v>-7.2</v>
      </c>
      <c r="L23" s="6" t="n">
        <v>-0.27</v>
      </c>
      <c r="M23" s="6" t="n">
        <v>-0.65</v>
      </c>
    </row>
    <row r="24">
      <c r="A24" s="6" t="inlineStr">
        <is>
          <t>Source operating subtotal reconciliation (see source note)</t>
        </is>
      </c>
      <c r="B24" s="6" t="n"/>
      <c r="C24" s="6" t="n">
        <v>0.74</v>
      </c>
      <c r="D24" s="6" t="n">
        <v>1.05</v>
      </c>
      <c r="E24" s="6" t="n"/>
      <c r="F24" s="6" t="n"/>
      <c r="G24" s="6" t="n"/>
      <c r="H24" s="6" t="n"/>
      <c r="I24" s="6" t="n"/>
      <c r="J24" s="6" t="n"/>
      <c r="K24" s="6" t="n"/>
      <c r="L24" s="6" t="n"/>
      <c r="M24" s="6" t="n"/>
    </row>
    <row r="25">
      <c r="A25" s="5" t="inlineStr">
        <is>
          <t>Net cash inflow/(outflow) from operating activities</t>
        </is>
      </c>
      <c r="B25" s="5" t="n">
        <v>50.35</v>
      </c>
      <c r="C25" s="5" t="n">
        <v>-21.31</v>
      </c>
      <c r="D25" s="5" t="n">
        <v>-9.9</v>
      </c>
      <c r="E25" s="5" t="n">
        <v>2.77</v>
      </c>
      <c r="F25" s="5" t="n">
        <v>17.04</v>
      </c>
      <c r="G25" s="5" t="n">
        <v>0.99</v>
      </c>
      <c r="H25" s="5" t="n">
        <v>3.91</v>
      </c>
      <c r="I25" s="5" t="n">
        <v>6.44</v>
      </c>
      <c r="J25" s="5" t="n">
        <v>8.27</v>
      </c>
      <c r="K25" s="5" t="n">
        <v>10.8</v>
      </c>
      <c r="L25" s="5" t="n">
        <v>-23.59</v>
      </c>
      <c r="M25" s="5" t="n">
        <v>11.54</v>
      </c>
    </row>
    <row r="26">
      <c r="A26" s="5" t="inlineStr">
        <is>
          <t>Investing activities</t>
        </is>
      </c>
      <c r="B26" s="6" t="n"/>
      <c r="C26" s="6" t="n"/>
      <c r="D26" s="6" t="n"/>
      <c r="E26" s="6" t="n"/>
      <c r="F26" s="6" t="n"/>
      <c r="G26" s="6" t="n"/>
      <c r="H26" s="6" t="n"/>
      <c r="I26" s="6" t="n"/>
      <c r="J26" s="6" t="n"/>
      <c r="K26" s="6" t="n"/>
      <c r="L26" s="6" t="n"/>
      <c r="M26" s="6" t="n"/>
    </row>
    <row r="27">
      <c r="A27" s="6" t="inlineStr">
        <is>
          <t>Purchase of property, plant and equipment</t>
        </is>
      </c>
      <c r="B27" s="6" t="n">
        <v>-0.07000000000000001</v>
      </c>
      <c r="C27" s="6" t="n">
        <v>-0.6899999999999999</v>
      </c>
      <c r="D27" s="6" t="n">
        <v>-0.05</v>
      </c>
      <c r="E27" s="6" t="n">
        <v>-0</v>
      </c>
      <c r="F27" s="6" t="n">
        <v>-0.04</v>
      </c>
      <c r="G27" s="6" t="n">
        <v>0</v>
      </c>
      <c r="H27" s="6" t="n">
        <v>-0.15</v>
      </c>
      <c r="I27" s="6" t="n">
        <v>-0.17</v>
      </c>
      <c r="J27" s="6" t="n">
        <v>-0.16</v>
      </c>
      <c r="K27" s="6" t="n">
        <v>-0.18</v>
      </c>
      <c r="L27" s="6" t="n">
        <v>-2.39</v>
      </c>
      <c r="M27" s="6" t="n">
        <v>-23.97</v>
      </c>
    </row>
    <row r="28">
      <c r="A28" s="6" t="inlineStr">
        <is>
          <t>Purchase of intangible assets</t>
        </is>
      </c>
      <c r="B28" s="6" t="n">
        <v>-0.1</v>
      </c>
      <c r="C28" s="6" t="n"/>
      <c r="D28" s="6" t="n"/>
      <c r="E28" s="6" t="n"/>
      <c r="F28" s="6" t="n">
        <v>-0.12</v>
      </c>
      <c r="G28" s="6" t="n">
        <v>-0.06</v>
      </c>
      <c r="H28" s="6" t="n">
        <v>0</v>
      </c>
      <c r="I28" s="6" t="n">
        <v>-0</v>
      </c>
      <c r="J28" s="6" t="n">
        <v>-0.01</v>
      </c>
      <c r="K28" s="6" t="n">
        <v>-0.05</v>
      </c>
      <c r="L28" s="6" t="n">
        <v>-0.27</v>
      </c>
      <c r="M28" s="6" t="n">
        <v>-0.05</v>
      </c>
    </row>
    <row r="29">
      <c r="A29" s="5" t="inlineStr">
        <is>
          <t>Net cash outflow from investing activities</t>
        </is>
      </c>
      <c r="B29" s="5" t="n">
        <v>-0.17</v>
      </c>
      <c r="C29" s="5" t="n">
        <v>-0.6899999999999999</v>
      </c>
      <c r="D29" s="5" t="n">
        <v>-0.05</v>
      </c>
      <c r="E29" s="5" t="n">
        <v>-0</v>
      </c>
      <c r="F29" s="5" t="n">
        <v>-0.15</v>
      </c>
      <c r="G29" s="5" t="n">
        <v>-0.06</v>
      </c>
      <c r="H29" s="5" t="n">
        <v>-0.15</v>
      </c>
      <c r="I29" s="5" t="n">
        <v>-0.18</v>
      </c>
      <c r="J29" s="5" t="n">
        <v>-0.18</v>
      </c>
      <c r="K29" s="5" t="n">
        <v>-0.23</v>
      </c>
      <c r="L29" s="5" t="n">
        <v>-2.66</v>
      </c>
      <c r="M29" s="5" t="n">
        <v>-24.03</v>
      </c>
    </row>
    <row r="30">
      <c r="A30" s="5" t="inlineStr">
        <is>
          <t>Financing activities</t>
        </is>
      </c>
      <c r="B30" s="6" t="n"/>
      <c r="C30" s="6" t="n"/>
      <c r="D30" s="6" t="n"/>
      <c r="E30" s="6" t="n"/>
      <c r="F30" s="6" t="n"/>
      <c r="G30" s="6" t="n"/>
      <c r="H30" s="6" t="n"/>
      <c r="I30" s="6" t="n"/>
      <c r="J30" s="6" t="n"/>
      <c r="K30" s="6" t="n"/>
      <c r="L30" s="6" t="n"/>
      <c r="M30" s="6" t="n"/>
    </row>
    <row r="31">
      <c r="A31" s="6" t="inlineStr">
        <is>
          <t>Repayment/(increase) of subordinated Wakala</t>
        </is>
      </c>
      <c r="B31" s="6" t="n">
        <v>-0.04</v>
      </c>
      <c r="C31" s="6" t="n">
        <v>-0.03</v>
      </c>
      <c r="D31" s="6" t="n">
        <v>0.1</v>
      </c>
      <c r="E31" s="6" t="n"/>
      <c r="F31" s="6" t="n">
        <v>-2.25</v>
      </c>
      <c r="G31" s="6" t="n"/>
      <c r="H31" s="6" t="n"/>
      <c r="I31" s="6" t="n"/>
      <c r="J31" s="6" t="n">
        <v>-0.25</v>
      </c>
      <c r="K31" s="6" t="n"/>
      <c r="L31" s="6" t="n"/>
      <c r="M31" s="6" t="n"/>
    </row>
    <row r="32">
      <c r="A32" s="6" t="inlineStr">
        <is>
          <t>Proceeds from issuance of ordinary shares</t>
        </is>
      </c>
      <c r="B32" s="6" t="n"/>
      <c r="C32" s="6" t="n"/>
      <c r="D32" s="6" t="n"/>
      <c r="E32" s="6" t="n"/>
      <c r="F32" s="6" t="n"/>
      <c r="G32" s="6" t="n"/>
      <c r="H32" s="6" t="n"/>
      <c r="I32" s="6" t="n"/>
      <c r="J32" s="6" t="n">
        <v>6.25</v>
      </c>
      <c r="K32" s="6" t="n">
        <v>0</v>
      </c>
      <c r="L32" s="6" t="n">
        <v>23.06</v>
      </c>
      <c r="M32" s="6" t="n">
        <v>12.5</v>
      </c>
    </row>
    <row r="33">
      <c r="A33" s="6" t="inlineStr">
        <is>
          <t>Proceeds from subordinated loans/Wakala</t>
        </is>
      </c>
      <c r="B33" s="6" t="n"/>
      <c r="C33" s="6" t="n"/>
      <c r="D33" s="6" t="n"/>
      <c r="E33" s="6" t="n"/>
      <c r="F33" s="6" t="n"/>
      <c r="G33" s="6" t="n"/>
      <c r="H33" s="6" t="n"/>
      <c r="I33" s="6" t="n"/>
      <c r="J33" s="6" t="n"/>
      <c r="K33" s="6" t="n">
        <v>0</v>
      </c>
      <c r="L33" s="6" t="n">
        <v>3.44</v>
      </c>
      <c r="M33" s="6" t="n">
        <v>3</v>
      </c>
    </row>
    <row r="34">
      <c r="A34" s="5" t="inlineStr">
        <is>
          <t>Net cash (outflow)/inflow from financing activities</t>
        </is>
      </c>
      <c r="B34" s="5" t="n">
        <v>-0.04</v>
      </c>
      <c r="C34" s="5" t="n">
        <v>-0.03</v>
      </c>
      <c r="D34" s="5" t="n">
        <v>0.1</v>
      </c>
      <c r="E34" s="5" t="n">
        <v>0</v>
      </c>
      <c r="F34" s="5" t="n">
        <v>-2.25</v>
      </c>
      <c r="G34" s="5" t="n">
        <v>0</v>
      </c>
      <c r="H34" s="5" t="n">
        <v>0</v>
      </c>
      <c r="I34" s="5" t="n">
        <v>0</v>
      </c>
      <c r="J34" s="5" t="n">
        <v>6</v>
      </c>
      <c r="K34" s="5" t="n">
        <v>0</v>
      </c>
      <c r="L34" s="5" t="n">
        <v>26.5</v>
      </c>
      <c r="M34" s="5" t="n">
        <v>15.5</v>
      </c>
    </row>
    <row r="35">
      <c r="A35" s="5" t="inlineStr">
        <is>
          <t>Net increase/(decrease) in cash and cash equivalents</t>
        </is>
      </c>
      <c r="B35" s="5" t="n">
        <v>50.15</v>
      </c>
      <c r="C35" s="5" t="n">
        <v>-22.02</v>
      </c>
      <c r="D35" s="5" t="n">
        <v>-9.859999999999999</v>
      </c>
      <c r="E35" s="5" t="n">
        <v>2.77</v>
      </c>
      <c r="F35" s="5" t="n">
        <v>14.63</v>
      </c>
      <c r="G35" s="5" t="n">
        <v>0.93</v>
      </c>
      <c r="H35" s="5" t="n">
        <v>3.76</v>
      </c>
      <c r="I35" s="5" t="n">
        <v>6.27</v>
      </c>
      <c r="J35" s="5" t="n">
        <v>14.09</v>
      </c>
      <c r="K35" s="5" t="n">
        <v>10.57</v>
      </c>
      <c r="L35" s="5" t="n">
        <v>0.25</v>
      </c>
      <c r="M35" s="5" t="n">
        <v>3.01</v>
      </c>
    </row>
    <row r="36">
      <c r="A36" s="6" t="inlineStr">
        <is>
          <t>Cash and cash equivalents at start of year</t>
        </is>
      </c>
      <c r="B36" s="6" t="n">
        <v>82.31999999999999</v>
      </c>
      <c r="C36" s="6" t="n">
        <v>49.25</v>
      </c>
      <c r="D36" s="6" t="n">
        <v>59.11</v>
      </c>
      <c r="E36" s="6" t="n">
        <v>56.34</v>
      </c>
      <c r="F36" s="6" t="n">
        <v>41.71</v>
      </c>
      <c r="G36" s="6" t="n">
        <v>40.78</v>
      </c>
      <c r="H36" s="6" t="n">
        <v>37.02</v>
      </c>
      <c r="I36" s="6" t="n">
        <v>30.75</v>
      </c>
      <c r="J36" s="6" t="n">
        <v>16.66</v>
      </c>
      <c r="K36" s="6" t="n">
        <v>6.1</v>
      </c>
      <c r="L36" s="6" t="n">
        <v>5.84</v>
      </c>
      <c r="M36" s="6" t="n">
        <v>2.83</v>
      </c>
    </row>
    <row r="37">
      <c r="A37" s="5" t="inlineStr">
        <is>
          <t>Cash and cash equivalents at end of year</t>
        </is>
      </c>
      <c r="B37" s="5" t="n">
        <v>132.47</v>
      </c>
      <c r="C37" s="5" t="n">
        <v>27.23</v>
      </c>
      <c r="D37" s="5" t="n">
        <v>49.25</v>
      </c>
      <c r="E37" s="5" t="n">
        <v>59.11</v>
      </c>
      <c r="F37" s="5" t="n">
        <v>56.34</v>
      </c>
      <c r="G37" s="5" t="n">
        <v>41.71</v>
      </c>
      <c r="H37" s="5" t="n">
        <v>40.78</v>
      </c>
      <c r="I37" s="5" t="n">
        <v>37.02</v>
      </c>
      <c r="J37" s="5" t="n">
        <v>30.75</v>
      </c>
      <c r="K37" s="5" t="n">
        <v>16.66</v>
      </c>
      <c r="L37" s="5" t="n">
        <v>6.1</v>
      </c>
      <c r="M37" s="5" t="n">
        <v>5.84</v>
      </c>
    </row>
    <row r="39" ht="340" customHeight="1">
      <c r="A39"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39:M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Financing arrangements (Murabaha financing), gross carrying amount by IFRS 9 stage</t>
        </is>
      </c>
      <c r="B4" s="6" t="n"/>
      <c r="C4" s="6" t="n"/>
      <c r="D4" s="6" t="n"/>
      <c r="E4" s="6" t="n"/>
      <c r="F4" s="6" t="n"/>
      <c r="G4" s="6" t="n"/>
      <c r="H4" s="6" t="n"/>
      <c r="I4" s="6" t="n"/>
      <c r="J4" s="6" t="n"/>
      <c r="K4" s="6" t="n"/>
      <c r="L4" s="6" t="n"/>
      <c r="M4" s="6" t="n"/>
    </row>
    <row r="5">
      <c r="A5" s="6" t="inlineStr">
        <is>
          <t>Stage 1</t>
        </is>
      </c>
      <c r="B5" s="6" t="n">
        <v>849</v>
      </c>
      <c r="C5" s="6" t="n">
        <v>768.73</v>
      </c>
      <c r="D5" s="6" t="n">
        <v>768.6799999999999</v>
      </c>
      <c r="E5" s="6" t="n">
        <v>761.51</v>
      </c>
      <c r="F5" s="6" t="n">
        <v>719.08</v>
      </c>
      <c r="G5" s="6" t="n">
        <v>587.13</v>
      </c>
      <c r="H5" s="6" t="n">
        <v>524.0599999999999</v>
      </c>
      <c r="I5" s="6" t="n">
        <v>479.18</v>
      </c>
      <c r="J5" s="6" t="n"/>
      <c r="K5" s="6" t="n"/>
      <c r="L5" s="6" t="n"/>
      <c r="M5" s="6" t="n"/>
    </row>
    <row r="6">
      <c r="A6" s="6" t="inlineStr">
        <is>
          <t>Stage 2</t>
        </is>
      </c>
      <c r="B6" s="6" t="n">
        <v>94.12</v>
      </c>
      <c r="C6" s="6" t="n">
        <v>109.92</v>
      </c>
      <c r="D6" s="6" t="n">
        <v>60.85</v>
      </c>
      <c r="E6" s="6" t="n">
        <v>23.17</v>
      </c>
      <c r="F6" s="6" t="n">
        <v>5.86</v>
      </c>
      <c r="G6" s="6" t="n">
        <v>5.1</v>
      </c>
      <c r="H6" s="6" t="n">
        <v>11.72</v>
      </c>
      <c r="I6" s="6" t="n">
        <v>4.96</v>
      </c>
      <c r="J6" s="6" t="n"/>
      <c r="K6" s="6" t="n"/>
      <c r="L6" s="6" t="n"/>
      <c r="M6" s="6" t="n"/>
    </row>
    <row r="7">
      <c r="A7" s="6" t="inlineStr">
        <is>
          <t>Stage 3</t>
        </is>
      </c>
      <c r="B7" s="6" t="n">
        <v>16.61</v>
      </c>
      <c r="C7" s="6" t="n">
        <v>8.81</v>
      </c>
      <c r="D7" s="6" t="n">
        <v>0</v>
      </c>
      <c r="E7" s="6" t="n">
        <v>0.01</v>
      </c>
      <c r="F7" s="6" t="n">
        <v>7.81</v>
      </c>
      <c r="G7" s="6" t="n">
        <v>10.96</v>
      </c>
      <c r="H7" s="6" t="n">
        <v>4.75</v>
      </c>
      <c r="I7" s="6" t="n">
        <v>4.8</v>
      </c>
      <c r="J7" s="6" t="n"/>
      <c r="K7" s="6" t="n"/>
      <c r="L7" s="6" t="n"/>
      <c r="M7" s="6" t="n"/>
    </row>
    <row r="8">
      <c r="A8" s="5" t="inlineStr">
        <is>
          <t>Total gross carrying amount</t>
        </is>
      </c>
      <c r="B8" s="5" t="n">
        <v>959.73</v>
      </c>
      <c r="C8" s="5" t="n">
        <v>887.46</v>
      </c>
      <c r="D8" s="5" t="n">
        <v>829.54</v>
      </c>
      <c r="E8" s="5" t="n">
        <v>784.6900000000001</v>
      </c>
      <c r="F8" s="5" t="n">
        <v>732.75</v>
      </c>
      <c r="G8" s="5" t="n">
        <v>603.1900000000001</v>
      </c>
      <c r="H8" s="5" t="n">
        <v>540.53</v>
      </c>
      <c r="I8" s="5" t="n">
        <v>488.95</v>
      </c>
      <c r="J8" s="5" t="n"/>
      <c r="K8" s="5" t="n"/>
      <c r="L8" s="5" t="n"/>
      <c r="M8" s="5" t="n"/>
    </row>
    <row r="9">
      <c r="A9" s="5" t="inlineStr">
        <is>
          <t>ECL allowance by IFRS 9 stage</t>
        </is>
      </c>
      <c r="B9" s="6" t="n"/>
      <c r="C9" s="6" t="n"/>
      <c r="D9" s="6" t="n"/>
      <c r="E9" s="6" t="n"/>
      <c r="F9" s="6" t="n"/>
      <c r="G9" s="6" t="n"/>
      <c r="H9" s="6" t="n"/>
      <c r="I9" s="6" t="n"/>
      <c r="J9" s="6" t="n"/>
      <c r="K9" s="6" t="n"/>
      <c r="L9" s="6" t="n"/>
      <c r="M9" s="6" t="n"/>
    </row>
    <row r="10">
      <c r="A10" s="6" t="inlineStr">
        <is>
          <t>Stage 1</t>
        </is>
      </c>
      <c r="B10" s="6" t="n">
        <v>-0.83</v>
      </c>
      <c r="C10" s="6" t="n">
        <v>-0.93</v>
      </c>
      <c r="D10" s="6" t="n">
        <v>-1.08</v>
      </c>
      <c r="E10" s="6" t="n">
        <v>-0.89</v>
      </c>
      <c r="F10" s="6" t="n">
        <v>-0.75</v>
      </c>
      <c r="G10" s="6" t="n">
        <v>-1.71</v>
      </c>
      <c r="H10" s="6" t="n">
        <v>-0.55</v>
      </c>
      <c r="I10" s="6" t="n">
        <v>-1.29</v>
      </c>
      <c r="J10" s="6" t="n"/>
      <c r="K10" s="6" t="n"/>
      <c r="L10" s="6" t="n"/>
      <c r="M10" s="6" t="n"/>
    </row>
    <row r="11">
      <c r="A11" s="6" t="inlineStr">
        <is>
          <t>Stage 2</t>
        </is>
      </c>
      <c r="B11" s="6" t="n">
        <v>-0.55</v>
      </c>
      <c r="C11" s="6" t="n">
        <v>-2.46</v>
      </c>
      <c r="D11" s="6" t="n">
        <v>-1.58</v>
      </c>
      <c r="E11" s="6" t="n">
        <v>-0.72</v>
      </c>
      <c r="F11" s="6" t="n">
        <v>-0.28</v>
      </c>
      <c r="G11" s="6" t="n">
        <v>-0.08</v>
      </c>
      <c r="H11" s="6" t="n">
        <v>-1.77</v>
      </c>
      <c r="I11" s="6" t="n">
        <v>-0.48</v>
      </c>
      <c r="J11" s="6" t="n"/>
      <c r="K11" s="6" t="n"/>
      <c r="L11" s="6" t="n"/>
      <c r="M11" s="6" t="n"/>
    </row>
    <row r="12">
      <c r="A12" s="6" t="inlineStr">
        <is>
          <t>Stage 3</t>
        </is>
      </c>
      <c r="B12" s="6" t="n">
        <v>-3.66</v>
      </c>
      <c r="C12" s="6" t="n">
        <v>-0.01</v>
      </c>
      <c r="D12" s="6" t="n">
        <v>0</v>
      </c>
      <c r="E12" s="6" t="n">
        <v>-0.01</v>
      </c>
      <c r="F12" s="6" t="n">
        <v>-3.01</v>
      </c>
      <c r="G12" s="6" t="n">
        <v>-5.06</v>
      </c>
      <c r="H12" s="6" t="n">
        <v>-4.75</v>
      </c>
      <c r="I12" s="6" t="n">
        <v>-4.8</v>
      </c>
      <c r="J12" s="6" t="n"/>
      <c r="K12" s="6" t="n"/>
      <c r="L12" s="6" t="n"/>
      <c r="M12" s="6" t="n"/>
    </row>
    <row r="13">
      <c r="A13" s="5" t="inlineStr">
        <is>
          <t>Total ECL allowance</t>
        </is>
      </c>
      <c r="B13" s="5" t="n">
        <v>-5.05</v>
      </c>
      <c r="C13" s="5" t="n">
        <v>-3.4</v>
      </c>
      <c r="D13" s="5" t="n">
        <v>-2.66</v>
      </c>
      <c r="E13" s="5" t="n">
        <v>-1.61</v>
      </c>
      <c r="F13" s="5" t="n">
        <v>-4.04</v>
      </c>
      <c r="G13" s="5" t="n">
        <v>-6.85</v>
      </c>
      <c r="H13" s="5" t="n">
        <v>-7.06</v>
      </c>
      <c r="I13" s="5" t="n">
        <v>-6.57</v>
      </c>
      <c r="J13" s="5" t="n"/>
      <c r="K13" s="5" t="n"/>
      <c r="L13" s="5" t="n"/>
      <c r="M13" s="5" t="n"/>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c r="J14" s="5" t="n"/>
      <c r="K14" s="5" t="n"/>
      <c r="L14" s="5" t="n"/>
      <c r="M14" s="5" t="n"/>
    </row>
    <row r="15">
      <c r="A15" s="5" t="inlineStr">
        <is>
          <t>Asset quality ratios (derived)</t>
        </is>
      </c>
      <c r="B15" s="6" t="n"/>
      <c r="C15" s="6" t="n"/>
      <c r="D15" s="6" t="n"/>
      <c r="E15" s="6" t="n"/>
      <c r="F15" s="6" t="n"/>
      <c r="G15" s="6" t="n"/>
      <c r="H15" s="6" t="n"/>
      <c r="I15" s="6" t="n"/>
      <c r="J15" s="6" t="n"/>
      <c r="K15" s="6" t="n"/>
      <c r="L15" s="6" t="n"/>
      <c r="M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c r="J16" s="6" t="n"/>
      <c r="K16" s="6" t="n"/>
      <c r="L16" s="6" t="n"/>
      <c r="M16" s="6" t="n"/>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c r="J17" s="6" t="n"/>
      <c r="K17" s="6" t="n"/>
      <c r="L17" s="6" t="n"/>
      <c r="M17" s="6" t="n"/>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c r="L4" s="6" t="n"/>
      <c r="M4" s="6" t="n"/>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c r="L4" s="6" t="n"/>
      <c r="M4" s="6" t="n"/>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634.742</v>
      </c>
      <c r="C4" s="6" t="n">
        <v>548.789</v>
      </c>
      <c r="D4" s="6" t="n">
        <v>500.902</v>
      </c>
      <c r="E4" s="6" t="n">
        <v>465.681</v>
      </c>
      <c r="F4" s="6" t="n">
        <v>432.383</v>
      </c>
      <c r="G4" s="6" t="n"/>
      <c r="H4" s="6" t="n"/>
      <c r="I4" s="6" t="n"/>
      <c r="J4" s="6" t="n"/>
      <c r="K4" s="6" t="n"/>
      <c r="L4" s="6" t="n"/>
      <c r="M4" s="6" t="n"/>
    </row>
    <row r="5">
      <c r="A5" s="6" t="inlineStr">
        <is>
          <t>Counterparty credit risk (CCR, including CVA)</t>
        </is>
      </c>
      <c r="B5" s="6" t="n">
        <v>3.345</v>
      </c>
      <c r="C5" s="6" t="n">
        <v>4.023</v>
      </c>
      <c r="D5" s="6" t="n">
        <v>1.39</v>
      </c>
      <c r="E5" s="6" t="n">
        <v>1.852</v>
      </c>
      <c r="F5" s="6" t="n">
        <v>2.166</v>
      </c>
      <c r="G5" s="6" t="n"/>
      <c r="H5" s="6" t="n"/>
      <c r="I5" s="6" t="n"/>
      <c r="J5" s="6" t="n"/>
      <c r="K5" s="6" t="n"/>
      <c r="L5" s="6" t="n"/>
      <c r="M5" s="6" t="n"/>
    </row>
    <row r="6">
      <c r="A6" s="6" t="inlineStr">
        <is>
          <t>Position, foreign exchange and commodities risk (market risk)</t>
        </is>
      </c>
      <c r="B6" s="6" t="n">
        <v>0.049</v>
      </c>
      <c r="C6" s="6" t="n">
        <v>0.053</v>
      </c>
      <c r="D6" s="6" t="n">
        <v>0.122</v>
      </c>
      <c r="E6" s="6" t="n">
        <v>0.044</v>
      </c>
      <c r="F6" s="6" t="n">
        <v>0.031</v>
      </c>
      <c r="G6" s="6" t="n"/>
      <c r="H6" s="6" t="n"/>
      <c r="I6" s="6" t="n"/>
      <c r="J6" s="6" t="n"/>
      <c r="K6" s="6" t="n"/>
      <c r="L6" s="6" t="n"/>
      <c r="M6" s="6" t="n"/>
    </row>
    <row r="7">
      <c r="A7" s="6" t="inlineStr">
        <is>
          <t>Credit and counterparty credit risk, combined (pre-2021 template)</t>
        </is>
      </c>
      <c r="B7" s="6" t="n"/>
      <c r="C7" s="6" t="n"/>
      <c r="D7" s="6" t="n"/>
      <c r="E7" s="6" t="n"/>
      <c r="F7" s="6" t="n"/>
      <c r="G7" s="6" t="n">
        <v>392.457</v>
      </c>
      <c r="H7" s="6" t="n"/>
      <c r="I7" s="6" t="n">
        <v>336</v>
      </c>
      <c r="J7" s="6" t="n">
        <v>316</v>
      </c>
      <c r="K7" s="6" t="n">
        <v>249</v>
      </c>
      <c r="L7" s="6" t="n"/>
      <c r="M7" s="6" t="n"/>
    </row>
    <row r="8">
      <c r="A8" s="6" t="inlineStr">
        <is>
          <t>Market risk (pre-2021 template)</t>
        </is>
      </c>
      <c r="B8" s="6" t="n"/>
      <c r="C8" s="6" t="n"/>
      <c r="D8" s="6" t="n"/>
      <c r="E8" s="6" t="n"/>
      <c r="F8" s="6" t="n"/>
      <c r="G8" s="6" t="n">
        <v>0.026</v>
      </c>
      <c r="H8" s="6" t="n"/>
      <c r="I8" s="6" t="n">
        <v>0</v>
      </c>
      <c r="J8" s="6" t="n">
        <v>1</v>
      </c>
      <c r="K8" s="6" t="n">
        <v>1</v>
      </c>
      <c r="L8" s="6" t="n"/>
      <c r="M8" s="6" t="n"/>
    </row>
    <row r="9">
      <c r="A9" s="6" t="inlineStr">
        <is>
          <t>Credit valuation adjustment (CVA) (pre-2021 template)</t>
        </is>
      </c>
      <c r="B9" s="6" t="n"/>
      <c r="C9" s="6" t="n"/>
      <c r="D9" s="6" t="n"/>
      <c r="E9" s="6" t="n"/>
      <c r="F9" s="6" t="n"/>
      <c r="G9" s="6" t="n">
        <v>0.736</v>
      </c>
      <c r="H9" s="6" t="n"/>
      <c r="I9" s="6" t="n"/>
      <c r="J9" s="6" t="n"/>
      <c r="K9" s="6" t="n"/>
      <c r="L9" s="6" t="n"/>
      <c r="M9" s="6" t="n"/>
    </row>
    <row r="10">
      <c r="A10" s="6" t="inlineStr">
        <is>
          <t>Operational risk</t>
        </is>
      </c>
      <c r="B10" s="6" t="n">
        <v>55.017</v>
      </c>
      <c r="C10" s="6" t="n">
        <v>49.062</v>
      </c>
      <c r="D10" s="6" t="n">
        <v>40.771</v>
      </c>
      <c r="E10" s="6" t="n">
        <v>31.545</v>
      </c>
      <c r="F10" s="6" t="n">
        <v>27.44</v>
      </c>
      <c r="G10" s="6" t="n">
        <v>24.864</v>
      </c>
      <c r="H10" s="6" t="n"/>
      <c r="I10" s="6" t="n">
        <v>18</v>
      </c>
      <c r="J10" s="6" t="n">
        <v>18</v>
      </c>
      <c r="K10" s="6" t="n">
        <v>14</v>
      </c>
      <c r="L10" s="6" t="n"/>
      <c r="M10" s="6" t="n"/>
    </row>
    <row r="11">
      <c r="A11" s="5" t="inlineStr">
        <is>
          <t>Total risk-weighted exposure amount</t>
        </is>
      </c>
      <c r="B11" s="5" t="n">
        <v>693.154</v>
      </c>
      <c r="C11" s="5" t="n">
        <v>601.927</v>
      </c>
      <c r="D11" s="5" t="n">
        <v>543.1849999999999</v>
      </c>
      <c r="E11" s="5" t="n">
        <v>499.122</v>
      </c>
      <c r="F11" s="5" t="n">
        <v>462.02</v>
      </c>
      <c r="G11" s="5" t="n">
        <v>418.084</v>
      </c>
      <c r="H11" s="5" t="n">
        <v>375.285</v>
      </c>
      <c r="I11" s="5" t="n">
        <v>354</v>
      </c>
      <c r="J11" s="5" t="n">
        <v>335</v>
      </c>
      <c r="K11" s="5" t="n">
        <v>264</v>
      </c>
      <c r="L11" s="5" t="n"/>
      <c r="M11" s="5" t="n"/>
    </row>
    <row r="13" ht="360" customHeight="1">
      <c r="A13"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c r="I4" s="6" t="n"/>
      <c r="J4" s="6" t="n"/>
      <c r="K4" s="6" t="n"/>
      <c r="L4" s="6" t="n"/>
      <c r="M4" s="6" t="n"/>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c r="I4" s="6" t="n"/>
      <c r="J4" s="6" t="n"/>
      <c r="K4" s="6" t="n"/>
      <c r="L4" s="6" t="n"/>
      <c r="M4" s="6" t="n"/>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127.95%</t>
        </is>
      </c>
      <c r="C4" s="6" t="inlineStr">
        <is>
          <t>128.20%</t>
        </is>
      </c>
      <c r="D4" s="6" t="inlineStr">
        <is>
          <t>130.56%</t>
        </is>
      </c>
      <c r="E4" s="6" t="inlineStr">
        <is>
          <t>129.18%</t>
        </is>
      </c>
      <c r="F4" s="6" t="inlineStr">
        <is>
          <t>119.68%</t>
        </is>
      </c>
      <c r="G4" s="6" t="n"/>
      <c r="H4" s="6" t="n"/>
      <c r="I4" s="6" t="n"/>
      <c r="J4" s="6" t="n"/>
      <c r="K4" s="6" t="n"/>
      <c r="L4" s="6" t="n"/>
      <c r="M4" s="6" t="n"/>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requirement is disclosed in the reviewed QIB UK Pillar 3 documents.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2026-09-06T08:36:26Z</dcterms:created>
  <dcterms:modified xmlns:dcterms="http://purl.org/dc/terms/" xmlns:xsi="http://www.w3.org/2001/XMLSchema-instance" xsi:type="dcterms:W3CDTF">2026-09-06T08:36:26Z</dcterms:modified>
</cp:coreProperties>
</file>