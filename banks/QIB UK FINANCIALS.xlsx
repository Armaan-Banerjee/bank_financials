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'Overview'!$BG$18:$BV$18</f>
            </numRef>
          </cat>
          <val>
            <numRef>
              <f>'Overview'!$BG$19:$BV$19</f>
            </numRef>
          </val>
        </ser>
        <ser>
          <idx val="1"/>
          <order val="1"/>
          <tx>
            <strRef>
              <f>'Overview'!BF20</f>
            </strRef>
          </tx>
          <spPr>
            <a:ln xmlns:a="http://schemas.openxmlformats.org/drawingml/2006/main">
              <a:prstDash val="solid"/>
            </a:ln>
          </spPr>
          <cat>
            <numRef>
              <f>'Overview'!$BG$18:$BV$18</f>
            </numRef>
          </cat>
          <val>
            <numRef>
              <f>'Overview'!$BG$20:$BV$20</f>
            </numRef>
          </val>
        </ser>
        <ser>
          <idx val="2"/>
          <order val="2"/>
          <tx>
            <strRef>
              <f>'Overview'!BF21</f>
            </strRef>
          </tx>
          <spPr>
            <a:ln xmlns:a="http://schemas.openxmlformats.org/drawingml/2006/main">
              <a:prstDash val="solid"/>
            </a:ln>
          </spPr>
          <cat>
            <numRef>
              <f>'Overview'!$BG$18:$BV$18</f>
            </numRef>
          </cat>
          <val>
            <numRef>
              <f>'Overview'!$BG$21:$BV$21</f>
            </numRef>
          </val>
        </ser>
        <ser>
          <idx val="3"/>
          <order val="3"/>
          <tx>
            <strRef>
              <f>'Overview'!BF22</f>
            </strRef>
          </tx>
          <spPr>
            <a:ln xmlns:a="http://schemas.openxmlformats.org/drawingml/2006/main">
              <a:prstDash val="solid"/>
            </a:ln>
          </spPr>
          <cat>
            <numRef>
              <f>'Overview'!$BG$18:$BV$18</f>
            </numRef>
          </cat>
          <val>
            <numRef>
              <f>'Overview'!$BG$22:$BV$22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'Overview'!BY26</f>
            </strRef>
          </tx>
          <spPr>
            <a:ln xmlns:a="http://schemas.openxmlformats.org/drawingml/2006/main">
              <a:prstDash val="solid"/>
            </a:ln>
          </spPr>
          <cat>
            <numRef>
              <f>'Overview'!$BZ$25:$CO$25</f>
            </numRef>
          </cat>
          <val>
            <numRef>
              <f>'Overview'!$BZ$26:$CO$26</f>
            </numRef>
          </val>
        </ser>
        <ser>
          <idx val="1"/>
          <order val="1"/>
          <tx>
            <strRef>
              <f>'Overview'!BY27</f>
            </strRef>
          </tx>
          <spPr>
            <a:ln xmlns:a="http://schemas.openxmlformats.org/drawingml/2006/main">
              <a:prstDash val="solid"/>
            </a:ln>
          </spPr>
          <cat>
            <numRef>
              <f>'Overview'!$BZ$25:$CO$25</f>
            </numRef>
          </cat>
          <val>
            <numRef>
              <f>'Overview'!$BZ$27:$CO$27</f>
            </numRef>
          </val>
        </ser>
        <ser>
          <idx val="2"/>
          <order val="2"/>
          <tx>
            <strRef>
              <f>'Overview'!BY28</f>
            </strRef>
          </tx>
          <spPr>
            <a:ln xmlns:a="http://schemas.openxmlformats.org/drawingml/2006/main">
              <a:prstDash val="solid"/>
            </a:ln>
          </spPr>
          <cat>
            <numRef>
              <f>'Overview'!$BZ$25:$CO$25</f>
            </numRef>
          </cat>
          <val>
            <numRef>
              <f>'Overview'!$BZ$28:$CO$28</f>
            </numRef>
          </val>
        </ser>
        <ser>
          <idx val="3"/>
          <order val="3"/>
          <tx>
            <strRef>
              <f>'Overview'!BY29</f>
            </strRef>
          </tx>
          <spPr>
            <a:ln xmlns:a="http://schemas.openxmlformats.org/drawingml/2006/main">
              <a:prstDash val="solid"/>
            </a:ln>
          </spPr>
          <cat>
            <numRef>
              <f>'Overview'!$BZ$25:$CO$25</f>
            </numRef>
          </cat>
          <val>
            <numRef>
              <f>'Overview'!$BZ$29:$CO$29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R6" t="inlineStr">
        <is>
          <t>CET1 Ratio</t>
        </is>
      </c>
      <c r="CY6" t="n">
        <v>19</v>
      </c>
      <c r="CZ6" t="n">
        <v>17</v>
      </c>
      <c r="DA6" t="n">
        <v>18</v>
      </c>
      <c r="DB6" t="n">
        <v>18.19</v>
      </c>
      <c r="DC6" t="n">
        <v>17.28</v>
      </c>
      <c r="DD6" t="n">
        <v>16.89</v>
      </c>
      <c r="DE6" t="n">
        <v>17.38</v>
      </c>
      <c r="DF6" t="n">
        <v>18.2</v>
      </c>
      <c r="DG6" t="n">
        <v>18.79</v>
      </c>
      <c r="DH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R7" t="inlineStr">
        <is>
          <t>Total Capital Ratio</t>
        </is>
      </c>
      <c r="CY7" t="n">
        <v>25</v>
      </c>
      <c r="CZ7" t="n">
        <v>22</v>
      </c>
      <c r="DA7" t="n">
        <v>22</v>
      </c>
      <c r="DB7" t="n">
        <v>21.35</v>
      </c>
      <c r="DC7" t="n">
        <v>20.44</v>
      </c>
      <c r="DD7" t="n">
        <v>19.71</v>
      </c>
      <c r="DE7" t="n">
        <v>19.35</v>
      </c>
      <c r="DF7" t="n">
        <v>20.73</v>
      </c>
      <c r="DG7" t="n">
        <v>21.07</v>
      </c>
      <c r="DH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R8" t="inlineStr">
        <is>
          <t>Leverage Ratio</t>
        </is>
      </c>
      <c r="DB8" t="n">
        <v>10</v>
      </c>
      <c r="DC8" t="n">
        <v>9.85</v>
      </c>
      <c r="DD8" t="n">
        <v>8.75</v>
      </c>
      <c r="DE8" t="n">
        <v>8.5</v>
      </c>
      <c r="DF8" t="n">
        <v>9.609999999999999</v>
      </c>
      <c r="DG8" t="n">
        <v>10.53</v>
      </c>
      <c r="DH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R9" t="inlineStr">
        <is>
          <t>LCR</t>
        </is>
      </c>
      <c r="DB9" t="n">
        <v>683.74</v>
      </c>
      <c r="DC9" t="n">
        <v>242.03</v>
      </c>
      <c r="DD9" t="n">
        <v>555.6</v>
      </c>
      <c r="DE9" t="n">
        <v>1236.14</v>
      </c>
      <c r="DF9" t="n">
        <v>1153.62</v>
      </c>
      <c r="DG9" t="n">
        <v>322.05</v>
      </c>
      <c r="DH9" t="n">
        <v>345.59</v>
      </c>
    </row>
    <row r="10">
      <c r="CR10" t="inlineStr">
        <is>
          <t>NSFR</t>
        </is>
      </c>
      <c r="DD10" t="n">
        <v>119.68</v>
      </c>
      <c r="DE10" t="n">
        <v>129.18</v>
      </c>
      <c r="DF10" t="n">
        <v>130.56</v>
      </c>
      <c r="DG10" t="n">
        <v>128.2</v>
      </c>
      <c r="DH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BG18" t="inlineStr">
        <is>
          <t>FY2010</t>
        </is>
      </c>
      <c r="BH18" t="inlineStr">
        <is>
          <t>FY2011</t>
        </is>
      </c>
      <c r="BI18" t="inlineStr">
        <is>
          <t>FY2012</t>
        </is>
      </c>
      <c r="BJ18" t="inlineStr">
        <is>
          <t>FY2013</t>
        </is>
      </c>
      <c r="BK18" t="inlineStr">
        <is>
          <t>FY2014</t>
        </is>
      </c>
      <c r="BL18" t="inlineStr">
        <is>
          <t>FY2015</t>
        </is>
      </c>
      <c r="BM18" t="inlineStr">
        <is>
          <t>FY2016</t>
        </is>
      </c>
      <c r="BN18" t="inlineStr">
        <is>
          <t>FY2017</t>
        </is>
      </c>
      <c r="BO18" t="inlineStr">
        <is>
          <t>FY2018</t>
        </is>
      </c>
      <c r="BP18" t="inlineStr">
        <is>
          <t>FY2019</t>
        </is>
      </c>
      <c r="BQ18" t="inlineStr">
        <is>
          <t>FY2020</t>
        </is>
      </c>
      <c r="BR18" t="inlineStr">
        <is>
          <t>FY2021</t>
        </is>
      </c>
      <c r="BS18" t="inlineStr">
        <is>
          <t>FY2022</t>
        </is>
      </c>
      <c r="BT18" t="inlineStr">
        <is>
          <t>FY2023</t>
        </is>
      </c>
      <c r="BU18" t="inlineStr">
        <is>
          <t>FY2024</t>
        </is>
      </c>
      <c r="BV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N19" s="5" t="n"/>
      <c r="O19" s="5" t="n"/>
      <c r="P19" s="5" t="n"/>
      <c r="Q19" s="5" t="n"/>
      <c r="BF19" t="inlineStr">
        <is>
          <t>Opening equity</t>
        </is>
      </c>
      <c r="BK19" t="n">
        <v>16.413</v>
      </c>
      <c r="BL19" t="n">
        <v>30.505</v>
      </c>
      <c r="BM19" t="n">
        <v>55.635</v>
      </c>
      <c r="BN19" t="n">
        <v>51.89</v>
      </c>
      <c r="BO19" t="n">
        <v>60.101</v>
      </c>
      <c r="BP19" t="n">
        <v>62.815</v>
      </c>
      <c r="BQ19" t="n">
        <v>67.217</v>
      </c>
      <c r="BR19" t="n">
        <v>71.93300000000001</v>
      </c>
      <c r="BS19" t="n">
        <v>78.827</v>
      </c>
      <c r="BT19" t="n">
        <v>88.411</v>
      </c>
      <c r="BU19" t="n">
        <v>100.441</v>
      </c>
      <c r="BV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N20" s="5" t="n"/>
      <c r="O20" s="5" t="n"/>
      <c r="P20" s="5" t="n"/>
      <c r="Q20" s="5" t="n"/>
      <c r="BF20" t="inlineStr">
        <is>
          <t>Profit for the year</t>
        </is>
      </c>
      <c r="BK20" t="n">
        <v>1.317</v>
      </c>
      <c r="BL20" t="n">
        <v>2.548</v>
      </c>
      <c r="BM20" t="n">
        <v>-3.09</v>
      </c>
      <c r="BN20" t="n">
        <v>1.76</v>
      </c>
      <c r="BO20" t="n">
        <v>3.713</v>
      </c>
      <c r="BP20" t="n">
        <v>4.427</v>
      </c>
      <c r="BQ20" t="n">
        <v>4.744</v>
      </c>
      <c r="BR20" t="n">
        <v>6.856</v>
      </c>
      <c r="BS20" t="n">
        <v>9.692</v>
      </c>
      <c r="BT20" t="n">
        <v>11.95</v>
      </c>
      <c r="BU20" t="n">
        <v>12.603</v>
      </c>
      <c r="BV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N21" s="5" t="n"/>
      <c r="O21" s="5" t="n"/>
      <c r="P21" s="5" t="n"/>
      <c r="Q21" s="5" t="n"/>
      <c r="BF21" t="inlineStr">
        <is>
          <t>Other equity movements, net</t>
        </is>
      </c>
      <c r="BK21" t="n">
        <v>12.775</v>
      </c>
      <c r="BL21" t="n">
        <v>22.582</v>
      </c>
      <c r="BM21" t="n">
        <v>-0.655</v>
      </c>
      <c r="BN21" t="n">
        <v>6.451</v>
      </c>
      <c r="BO21" t="n">
        <v>-0.999</v>
      </c>
      <c r="BP21" t="n">
        <v>-0.024</v>
      </c>
      <c r="BQ21" t="n">
        <v>-0.028</v>
      </c>
      <c r="BR21" t="n">
        <v>0.038</v>
      </c>
      <c r="BS21" t="n">
        <v>-0.108</v>
      </c>
      <c r="BT21" t="n">
        <v>0.081</v>
      </c>
      <c r="BU21" t="n">
        <v>0.058</v>
      </c>
      <c r="BV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N22" s="5" t="n"/>
      <c r="O22" s="5" t="n"/>
      <c r="P22" s="5" t="n"/>
      <c r="Q22" s="5" t="n"/>
      <c r="BF22" t="inlineStr">
        <is>
          <t>Closing equity</t>
        </is>
      </c>
      <c r="BK22" t="n">
        <v>30.505</v>
      </c>
      <c r="BL22" t="n">
        <v>55.635</v>
      </c>
      <c r="BM22" t="n">
        <v>51.89</v>
      </c>
      <c r="BN22" t="n">
        <v>60.101</v>
      </c>
      <c r="BO22" t="n">
        <v>62.815</v>
      </c>
      <c r="BP22" t="n">
        <v>67.217</v>
      </c>
      <c r="BQ22" t="n">
        <v>71.93300000000001</v>
      </c>
      <c r="BR22" t="n">
        <v>78.827</v>
      </c>
      <c r="BS22" t="n">
        <v>88.411</v>
      </c>
      <c r="BT22" t="n">
        <v>100.441</v>
      </c>
      <c r="BU22" t="n">
        <v>113.102</v>
      </c>
      <c r="BV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FY2024</t>
        </is>
      </c>
      <c r="CO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Y26" t="inlineStr">
        <is>
          <t>Net cash inflow/(outflow) from operating activities</t>
        </is>
      </c>
      <c r="BZ26" t="n">
        <v>-1.18</v>
      </c>
      <c r="CA26" t="n">
        <v>-0.52</v>
      </c>
      <c r="CB26" t="n">
        <v>3.25</v>
      </c>
      <c r="CC26" t="n">
        <v>-25.78</v>
      </c>
      <c r="CD26" t="n">
        <v>11.54</v>
      </c>
      <c r="CE26" t="n">
        <v>-23.59</v>
      </c>
      <c r="CF26" t="n">
        <v>10.8</v>
      </c>
      <c r="CG26" t="n">
        <v>8.27</v>
      </c>
      <c r="CH26" t="n">
        <v>6.44</v>
      </c>
      <c r="CI26" t="n">
        <v>3.91</v>
      </c>
      <c r="CJ26" t="n">
        <v>0.99</v>
      </c>
      <c r="CK26" t="n">
        <v>17.04</v>
      </c>
      <c r="CL26" t="n">
        <v>2.77</v>
      </c>
      <c r="CM26" t="n">
        <v>-9.9</v>
      </c>
      <c r="CN26" t="n">
        <v>-21.31</v>
      </c>
      <c r="CO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Y27" t="inlineStr">
        <is>
          <t>Net cash outflow from investing activities</t>
        </is>
      </c>
      <c r="BZ27" t="n">
        <v>-0.07000000000000001</v>
      </c>
      <c r="CA27" t="n">
        <v>-0.06</v>
      </c>
      <c r="CB27" t="n">
        <v>-0.08</v>
      </c>
      <c r="CC27" t="n">
        <v>-0.02</v>
      </c>
      <c r="CD27" t="n">
        <v>-24.03</v>
      </c>
      <c r="CE27" t="n">
        <v>-2.66</v>
      </c>
      <c r="CF27" t="n">
        <v>-0.23</v>
      </c>
      <c r="CG27" t="n">
        <v>-0.18</v>
      </c>
      <c r="CH27" t="n">
        <v>-0.18</v>
      </c>
      <c r="CI27" t="n">
        <v>-0.15</v>
      </c>
      <c r="CJ27" t="n">
        <v>-0.06</v>
      </c>
      <c r="CK27" t="n">
        <v>-0.15</v>
      </c>
      <c r="CL27" t="n">
        <v>-0</v>
      </c>
      <c r="CM27" t="n">
        <v>-0.05</v>
      </c>
      <c r="CN27" t="n">
        <v>-0.6899999999999999</v>
      </c>
      <c r="CO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Y28" t="inlineStr">
        <is>
          <t>Net cash (outflow)/inflow from financing activities</t>
        </is>
      </c>
      <c r="BZ28" t="n">
        <v>0</v>
      </c>
      <c r="CA28" t="n">
        <v>0</v>
      </c>
      <c r="CB28" t="n">
        <v>0</v>
      </c>
      <c r="CC28" t="n">
        <v>24</v>
      </c>
      <c r="CD28" t="n">
        <v>15.5</v>
      </c>
      <c r="CE28" t="n">
        <v>26.5</v>
      </c>
      <c r="CF28" t="n">
        <v>0</v>
      </c>
      <c r="CG28" t="n">
        <v>6</v>
      </c>
      <c r="CH28" t="n">
        <v>0</v>
      </c>
      <c r="CI28" t="n">
        <v>0</v>
      </c>
      <c r="CJ28" t="n">
        <v>0</v>
      </c>
      <c r="CK28" t="n">
        <v>-2.25</v>
      </c>
      <c r="CL28" t="n">
        <v>0</v>
      </c>
      <c r="CM28" t="n">
        <v>0.1</v>
      </c>
      <c r="CN28" t="n">
        <v>-0.03</v>
      </c>
      <c r="CO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Y29" t="inlineStr">
        <is>
          <t>Cash and cash equivalents at end of year</t>
        </is>
      </c>
      <c r="BZ29" t="n">
        <v>2.03</v>
      </c>
      <c r="CA29" t="n">
        <v>1.46</v>
      </c>
      <c r="CB29" t="n">
        <v>4.63</v>
      </c>
      <c r="CC29" t="n">
        <v>2.83</v>
      </c>
      <c r="CD29" t="n">
        <v>5.84</v>
      </c>
      <c r="CE29" t="n">
        <v>6.1</v>
      </c>
      <c r="CF29" t="n">
        <v>16.66</v>
      </c>
      <c r="CG29" t="n">
        <v>30.75</v>
      </c>
      <c r="CH29" t="n">
        <v>37.02</v>
      </c>
      <c r="CI29" t="n">
        <v>40.78</v>
      </c>
      <c r="CJ29" t="n">
        <v>41.71</v>
      </c>
      <c r="CK29" t="n">
        <v>56.34</v>
      </c>
      <c r="CL29" t="n">
        <v>59.11</v>
      </c>
      <c r="CM29" t="n">
        <v>49.25</v>
      </c>
      <c r="CN29" t="n">
        <v>27.23</v>
      </c>
      <c r="CO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c r="L33" s="6" t="n"/>
      <c r="M33" s="6" t="n"/>
      <c r="N33" s="6" t="n"/>
      <c r="O33" s="6" t="n"/>
      <c r="P33" s="6" t="n"/>
      <c r="Q33" s="6" t="n"/>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c r="L34" s="6" t="n"/>
      <c r="M34" s="6" t="n"/>
      <c r="N34" s="6" t="n"/>
      <c r="O34" s="6" t="n"/>
      <c r="P34" s="6" t="n"/>
      <c r="Q34" s="6" t="n"/>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c r="L35" s="6" t="n"/>
      <c r="M35" s="6" t="n"/>
      <c r="N35" s="6" t="n"/>
      <c r="O35" s="6" t="n"/>
      <c r="P35" s="6" t="n"/>
      <c r="Q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c r="L36" s="6" t="n"/>
      <c r="M36" s="6" t="n"/>
      <c r="N36" s="6" t="n"/>
      <c r="O36" s="6" t="n"/>
      <c r="P36" s="6" t="n"/>
      <c r="Q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c r="L37" s="6" t="n"/>
      <c r="M37" s="6" t="n"/>
      <c r="N37" s="6" t="n"/>
      <c r="O37" s="6" t="n"/>
      <c r="P37" s="6" t="n"/>
      <c r="Q37" s="6" t="n"/>
    </row>
    <row r="39" ht="45"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520"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520"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150"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Financing arrangements (Murabaha financing), gross carrying amount by IFRS 9 stage</t>
        </is>
      </c>
      <c r="B4" s="6" t="n"/>
      <c r="C4" s="6" t="n"/>
      <c r="D4" s="6" t="n"/>
      <c r="E4" s="6" t="n"/>
      <c r="F4" s="6" t="n"/>
      <c r="G4" s="6" t="n"/>
      <c r="H4" s="6" t="n"/>
      <c r="I4" s="6" t="n"/>
      <c r="J4" s="6" t="n"/>
      <c r="K4" s="6" t="n"/>
      <c r="L4" s="6" t="n"/>
      <c r="M4" s="6" t="n"/>
    </row>
    <row r="5">
      <c r="A5" s="6" t="inlineStr">
        <is>
          <t>Stage 1</t>
        </is>
      </c>
      <c r="B5" s="6" t="n">
        <v>849</v>
      </c>
      <c r="C5" s="6" t="n">
        <v>768.73</v>
      </c>
      <c r="D5" s="6" t="n">
        <v>768.6799999999999</v>
      </c>
      <c r="E5" s="6" t="n">
        <v>761.51</v>
      </c>
      <c r="F5" s="6" t="n">
        <v>719.08</v>
      </c>
      <c r="G5" s="6" t="n">
        <v>587.13</v>
      </c>
      <c r="H5" s="6" t="n">
        <v>524.0599999999999</v>
      </c>
      <c r="I5" s="6" t="n">
        <v>479.18</v>
      </c>
      <c r="J5" s="6" t="n"/>
      <c r="K5" s="6" t="n"/>
      <c r="L5" s="6" t="n"/>
      <c r="M5" s="6" t="n"/>
    </row>
    <row r="6">
      <c r="A6" s="6" t="inlineStr">
        <is>
          <t>Stage 2</t>
        </is>
      </c>
      <c r="B6" s="6" t="n">
        <v>94.12</v>
      </c>
      <c r="C6" s="6" t="n">
        <v>109.92</v>
      </c>
      <c r="D6" s="6" t="n">
        <v>60.85</v>
      </c>
      <c r="E6" s="6" t="n">
        <v>23.17</v>
      </c>
      <c r="F6" s="6" t="n">
        <v>5.86</v>
      </c>
      <c r="G6" s="6" t="n">
        <v>5.1</v>
      </c>
      <c r="H6" s="6" t="n">
        <v>11.72</v>
      </c>
      <c r="I6" s="6" t="n">
        <v>4.96</v>
      </c>
      <c r="J6" s="6" t="n"/>
      <c r="K6" s="6" t="n"/>
      <c r="L6" s="6" t="n"/>
      <c r="M6" s="6" t="n"/>
    </row>
    <row r="7">
      <c r="A7" s="6" t="inlineStr">
        <is>
          <t>Stage 3</t>
        </is>
      </c>
      <c r="B7" s="6" t="n">
        <v>16.61</v>
      </c>
      <c r="C7" s="6" t="n">
        <v>8.81</v>
      </c>
      <c r="D7" s="6" t="n">
        <v>0</v>
      </c>
      <c r="E7" s="6" t="n">
        <v>0.01</v>
      </c>
      <c r="F7" s="6" t="n">
        <v>7.81</v>
      </c>
      <c r="G7" s="6" t="n">
        <v>10.96</v>
      </c>
      <c r="H7" s="6" t="n">
        <v>4.75</v>
      </c>
      <c r="I7" s="6" t="n">
        <v>4.8</v>
      </c>
      <c r="J7" s="6" t="n"/>
      <c r="K7" s="6" t="n"/>
      <c r="L7" s="6" t="n"/>
      <c r="M7" s="6" t="n"/>
    </row>
    <row r="8">
      <c r="A8" s="5" t="inlineStr">
        <is>
          <t>Total gross carrying amount</t>
        </is>
      </c>
      <c r="B8" s="5" t="n">
        <v>959.73</v>
      </c>
      <c r="C8" s="5" t="n">
        <v>887.46</v>
      </c>
      <c r="D8" s="5" t="n">
        <v>829.54</v>
      </c>
      <c r="E8" s="5" t="n">
        <v>784.6900000000001</v>
      </c>
      <c r="F8" s="5" t="n">
        <v>732.75</v>
      </c>
      <c r="G8" s="5" t="n">
        <v>603.1900000000001</v>
      </c>
      <c r="H8" s="5" t="n">
        <v>540.53</v>
      </c>
      <c r="I8" s="5" t="n">
        <v>488.95</v>
      </c>
      <c r="J8" s="5" t="n"/>
      <c r="K8" s="5" t="n"/>
      <c r="L8" s="5" t="n"/>
      <c r="M8" s="5" t="n"/>
    </row>
    <row r="9">
      <c r="A9" s="5" t="inlineStr">
        <is>
          <t>ECL allowance by IFRS 9 stage</t>
        </is>
      </c>
      <c r="B9" s="6" t="n"/>
      <c r="C9" s="6" t="n"/>
      <c r="D9" s="6" t="n"/>
      <c r="E9" s="6" t="n"/>
      <c r="F9" s="6" t="n"/>
      <c r="G9" s="6" t="n"/>
      <c r="H9" s="6" t="n"/>
      <c r="I9" s="6" t="n"/>
      <c r="J9" s="6" t="n"/>
      <c r="K9" s="6" t="n"/>
      <c r="L9" s="6" t="n"/>
      <c r="M9" s="6" t="n"/>
    </row>
    <row r="10">
      <c r="A10" s="6" t="inlineStr">
        <is>
          <t>Stage 1</t>
        </is>
      </c>
      <c r="B10" s="6" t="n">
        <v>-0.83</v>
      </c>
      <c r="C10" s="6" t="n">
        <v>-0.93</v>
      </c>
      <c r="D10" s="6" t="n">
        <v>-1.08</v>
      </c>
      <c r="E10" s="6" t="n">
        <v>-0.89</v>
      </c>
      <c r="F10" s="6" t="n">
        <v>-0.75</v>
      </c>
      <c r="G10" s="6" t="n">
        <v>-1.71</v>
      </c>
      <c r="H10" s="6" t="n">
        <v>-0.55</v>
      </c>
      <c r="I10" s="6" t="n">
        <v>-1.29</v>
      </c>
      <c r="J10" s="6" t="n"/>
      <c r="K10" s="6" t="n"/>
      <c r="L10" s="6" t="n"/>
      <c r="M10" s="6" t="n"/>
    </row>
    <row r="11">
      <c r="A11" s="6" t="inlineStr">
        <is>
          <t>Stage 2</t>
        </is>
      </c>
      <c r="B11" s="6" t="n">
        <v>-0.55</v>
      </c>
      <c r="C11" s="6" t="n">
        <v>-2.46</v>
      </c>
      <c r="D11" s="6" t="n">
        <v>-1.58</v>
      </c>
      <c r="E11" s="6" t="n">
        <v>-0.72</v>
      </c>
      <c r="F11" s="6" t="n">
        <v>-0.28</v>
      </c>
      <c r="G11" s="6" t="n">
        <v>-0.08</v>
      </c>
      <c r="H11" s="6" t="n">
        <v>-1.77</v>
      </c>
      <c r="I11" s="6" t="n">
        <v>-0.48</v>
      </c>
      <c r="J11" s="6" t="n"/>
      <c r="K11" s="6" t="n"/>
      <c r="L11" s="6" t="n"/>
      <c r="M11" s="6" t="n"/>
    </row>
    <row r="12">
      <c r="A12" s="6" t="inlineStr">
        <is>
          <t>Stage 3</t>
        </is>
      </c>
      <c r="B12" s="6" t="n">
        <v>-3.66</v>
      </c>
      <c r="C12" s="6" t="n">
        <v>-0.01</v>
      </c>
      <c r="D12" s="6" t="n">
        <v>0</v>
      </c>
      <c r="E12" s="6" t="n">
        <v>-0.01</v>
      </c>
      <c r="F12" s="6" t="n">
        <v>-3.01</v>
      </c>
      <c r="G12" s="6" t="n">
        <v>-5.06</v>
      </c>
      <c r="H12" s="6" t="n">
        <v>-4.75</v>
      </c>
      <c r="I12" s="6" t="n">
        <v>-4.8</v>
      </c>
      <c r="J12" s="6" t="n"/>
      <c r="K12" s="6" t="n"/>
      <c r="L12" s="6" t="n"/>
      <c r="M12" s="6" t="n"/>
    </row>
    <row r="13">
      <c r="A13" s="5" t="inlineStr">
        <is>
          <t>Total ECL allowance</t>
        </is>
      </c>
      <c r="B13" s="5" t="n">
        <v>-5.05</v>
      </c>
      <c r="C13" s="5" t="n">
        <v>-3.4</v>
      </c>
      <c r="D13" s="5" t="n">
        <v>-2.66</v>
      </c>
      <c r="E13" s="5" t="n">
        <v>-1.61</v>
      </c>
      <c r="F13" s="5" t="n">
        <v>-4.04</v>
      </c>
      <c r="G13" s="5" t="n">
        <v>-6.85</v>
      </c>
      <c r="H13" s="5" t="n">
        <v>-7.06</v>
      </c>
      <c r="I13" s="5" t="n">
        <v>-6.57</v>
      </c>
      <c r="J13" s="5" t="n"/>
      <c r="K13" s="5" t="n"/>
      <c r="L13" s="5" t="n"/>
      <c r="M13" s="5" t="n"/>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c r="J14" s="5" t="n"/>
      <c r="K14" s="5" t="n"/>
      <c r="L14" s="5" t="n"/>
      <c r="M14" s="5" t="n"/>
    </row>
    <row r="15">
      <c r="A15" s="5" t="inlineStr">
        <is>
          <t>Asset quality ratios (derived)</t>
        </is>
      </c>
      <c r="B15" s="6" t="n"/>
      <c r="C15" s="6" t="n"/>
      <c r="D15" s="6" t="n"/>
      <c r="E15" s="6" t="n"/>
      <c r="F15" s="6" t="n"/>
      <c r="G15" s="6" t="n"/>
      <c r="H15" s="6" t="n"/>
      <c r="I15" s="6" t="n"/>
      <c r="J15" s="6" t="n"/>
      <c r="K15" s="6" t="n"/>
      <c r="L15" s="6" t="n"/>
      <c r="M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c r="J16" s="6" t="n"/>
      <c r="K16" s="6" t="n"/>
      <c r="L16" s="6" t="n"/>
      <c r="M16" s="6" t="n"/>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c r="J17" s="6" t="n"/>
      <c r="K17" s="6" t="n"/>
      <c r="L17" s="6" t="n"/>
      <c r="M17" s="6" t="n"/>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c r="L4" s="6" t="n"/>
      <c r="M4" s="6" t="n"/>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c r="L4" s="6" t="n"/>
      <c r="M4" s="6" t="n"/>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634.742</v>
      </c>
      <c r="C4" s="6" t="n">
        <v>548.789</v>
      </c>
      <c r="D4" s="6" t="n">
        <v>500.902</v>
      </c>
      <c r="E4" s="6" t="n">
        <v>465.681</v>
      </c>
      <c r="F4" s="6" t="n">
        <v>432.383</v>
      </c>
      <c r="G4" s="6" t="n"/>
      <c r="H4" s="6" t="n"/>
      <c r="I4" s="6" t="n"/>
      <c r="J4" s="6" t="n"/>
      <c r="K4" s="6" t="n"/>
      <c r="L4" s="6" t="n"/>
      <c r="M4" s="6" t="n"/>
    </row>
    <row r="5">
      <c r="A5" s="6" t="inlineStr">
        <is>
          <t>Counterparty credit risk (CCR, including CVA)</t>
        </is>
      </c>
      <c r="B5" s="6" t="n">
        <v>3.345</v>
      </c>
      <c r="C5" s="6" t="n">
        <v>4.023</v>
      </c>
      <c r="D5" s="6" t="n">
        <v>1.39</v>
      </c>
      <c r="E5" s="6" t="n">
        <v>1.852</v>
      </c>
      <c r="F5" s="6" t="n">
        <v>2.166</v>
      </c>
      <c r="G5" s="6" t="n"/>
      <c r="H5" s="6" t="n"/>
      <c r="I5" s="6" t="n"/>
      <c r="J5" s="6" t="n"/>
      <c r="K5" s="6" t="n"/>
      <c r="L5" s="6" t="n"/>
      <c r="M5" s="6" t="n"/>
    </row>
    <row r="6">
      <c r="A6" s="6" t="inlineStr">
        <is>
          <t>Position, foreign exchange and commodities risk (market risk)</t>
        </is>
      </c>
      <c r="B6" s="6" t="n">
        <v>0.049</v>
      </c>
      <c r="C6" s="6" t="n">
        <v>0.053</v>
      </c>
      <c r="D6" s="6" t="n">
        <v>0.122</v>
      </c>
      <c r="E6" s="6" t="n">
        <v>0.044</v>
      </c>
      <c r="F6" s="6" t="n">
        <v>0.031</v>
      </c>
      <c r="G6" s="6" t="n"/>
      <c r="H6" s="6" t="n"/>
      <c r="I6" s="6" t="n"/>
      <c r="J6" s="6" t="n"/>
      <c r="K6" s="6" t="n"/>
      <c r="L6" s="6" t="n"/>
      <c r="M6" s="6" t="n"/>
    </row>
    <row r="7">
      <c r="A7" s="6" t="inlineStr">
        <is>
          <t>Credit and counterparty credit risk, combined (pre-2021 template)</t>
        </is>
      </c>
      <c r="B7" s="6" t="n"/>
      <c r="C7" s="6" t="n"/>
      <c r="D7" s="6" t="n"/>
      <c r="E7" s="6" t="n"/>
      <c r="F7" s="6" t="n"/>
      <c r="G7" s="6" t="n">
        <v>392.457</v>
      </c>
      <c r="H7" s="6" t="n"/>
      <c r="I7" s="6" t="n">
        <v>336</v>
      </c>
      <c r="J7" s="6" t="n">
        <v>316</v>
      </c>
      <c r="K7" s="6" t="n">
        <v>249</v>
      </c>
      <c r="L7" s="6" t="n"/>
      <c r="M7" s="6" t="n"/>
    </row>
    <row r="8">
      <c r="A8" s="6" t="inlineStr">
        <is>
          <t>Market risk (pre-2021 template)</t>
        </is>
      </c>
      <c r="B8" s="6" t="n"/>
      <c r="C8" s="6" t="n"/>
      <c r="D8" s="6" t="n"/>
      <c r="E8" s="6" t="n"/>
      <c r="F8" s="6" t="n"/>
      <c r="G8" s="6" t="n">
        <v>0.026</v>
      </c>
      <c r="H8" s="6" t="n"/>
      <c r="I8" s="6" t="n">
        <v>0</v>
      </c>
      <c r="J8" s="6" t="n">
        <v>1</v>
      </c>
      <c r="K8" s="6" t="n">
        <v>1</v>
      </c>
      <c r="L8" s="6" t="n"/>
      <c r="M8" s="6" t="n"/>
    </row>
    <row r="9">
      <c r="A9" s="6" t="inlineStr">
        <is>
          <t>Credit valuation adjustment (CVA) (pre-2021 template)</t>
        </is>
      </c>
      <c r="B9" s="6" t="n"/>
      <c r="C9" s="6" t="n"/>
      <c r="D9" s="6" t="n"/>
      <c r="E9" s="6" t="n"/>
      <c r="F9" s="6" t="n"/>
      <c r="G9" s="6" t="n">
        <v>0.736</v>
      </c>
      <c r="H9" s="6" t="n"/>
      <c r="I9" s="6" t="n"/>
      <c r="J9" s="6" t="n"/>
      <c r="K9" s="6" t="n"/>
      <c r="L9" s="6" t="n"/>
      <c r="M9" s="6" t="n"/>
    </row>
    <row r="10">
      <c r="A10" s="6" t="inlineStr">
        <is>
          <t>Operational risk</t>
        </is>
      </c>
      <c r="B10" s="6" t="n">
        <v>55.017</v>
      </c>
      <c r="C10" s="6" t="n">
        <v>49.062</v>
      </c>
      <c r="D10" s="6" t="n">
        <v>40.771</v>
      </c>
      <c r="E10" s="6" t="n">
        <v>31.545</v>
      </c>
      <c r="F10" s="6" t="n">
        <v>27.44</v>
      </c>
      <c r="G10" s="6" t="n">
        <v>24.864</v>
      </c>
      <c r="H10" s="6" t="n"/>
      <c r="I10" s="6" t="n">
        <v>18</v>
      </c>
      <c r="J10" s="6" t="n">
        <v>18</v>
      </c>
      <c r="K10" s="6" t="n">
        <v>14</v>
      </c>
      <c r="L10" s="6" t="n"/>
      <c r="M10" s="6" t="n"/>
    </row>
    <row r="11">
      <c r="A11" s="5" t="inlineStr">
        <is>
          <t>Total risk-weighted exposure amount</t>
        </is>
      </c>
      <c r="B11" s="5" t="n">
        <v>693.154</v>
      </c>
      <c r="C11" s="5" t="n">
        <v>601.927</v>
      </c>
      <c r="D11" s="5" t="n">
        <v>543.1849999999999</v>
      </c>
      <c r="E11" s="5" t="n">
        <v>499.122</v>
      </c>
      <c r="F11" s="5" t="n">
        <v>462.02</v>
      </c>
      <c r="G11" s="5" t="n">
        <v>418.084</v>
      </c>
      <c r="H11" s="5" t="n">
        <v>375.285</v>
      </c>
      <c r="I11" s="5" t="n">
        <v>354</v>
      </c>
      <c r="J11" s="5" t="n">
        <v>335</v>
      </c>
      <c r="K11" s="5" t="n">
        <v>264</v>
      </c>
      <c r="L11" s="5" t="n"/>
      <c r="M11" s="5" t="n"/>
    </row>
    <row r="13" ht="360" customHeight="1">
      <c r="A13"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c r="I4" s="6" t="n"/>
      <c r="J4" s="6" t="n"/>
      <c r="K4" s="6" t="n"/>
      <c r="L4" s="6" t="n"/>
      <c r="M4" s="6" t="n"/>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c r="I4" s="6" t="n"/>
      <c r="J4" s="6" t="n"/>
      <c r="K4" s="6" t="n"/>
      <c r="L4" s="6" t="n"/>
      <c r="M4" s="6" t="n"/>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127.95%</t>
        </is>
      </c>
      <c r="C4" s="6" t="inlineStr">
        <is>
          <t>128.20%</t>
        </is>
      </c>
      <c r="D4" s="6" t="inlineStr">
        <is>
          <t>130.56%</t>
        </is>
      </c>
      <c r="E4" s="6" t="inlineStr">
        <is>
          <t>129.18%</t>
        </is>
      </c>
      <c r="F4" s="6" t="inlineStr">
        <is>
          <t>119.68%</t>
        </is>
      </c>
      <c r="G4" s="6" t="n"/>
      <c r="H4" s="6" t="n"/>
      <c r="I4" s="6" t="n"/>
      <c r="J4" s="6" t="n"/>
      <c r="K4" s="6" t="n"/>
      <c r="L4" s="6" t="n"/>
      <c r="M4" s="6" t="n"/>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requirement is disclosed in the reviewed QIB UK Pillar 3 documents.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2026-09-07T01:44:28Z</dcterms:created>
  <dcterms:modified xmlns:dcterms="http://purl.org/dc/terms/" xmlns:xsi="http://www.w3.org/2001/XMLSchema-instance" xsi:type="dcterms:W3CDTF">2026-09-07T01:44:28Z</dcterms:modified>
</cp:coreProperties>
</file>