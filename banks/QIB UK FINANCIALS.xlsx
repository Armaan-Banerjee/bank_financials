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QIB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QIB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QIB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'Overview'!BF19</f>
            </strRef>
          </tx>
          <spPr>
            <a:ln xmlns:a="http://schemas.openxmlformats.org/drawingml/2006/main">
              <a:prstDash val="solid"/>
            </a:ln>
          </spPr>
          <cat>
            <numRef>
              <f>'Overview'!$BG$18:$BV$18</f>
            </numRef>
          </cat>
          <val>
            <numRef>
              <f>'Overview'!$BG$19:$BV$19</f>
            </numRef>
          </val>
        </ser>
        <ser>
          <idx val="1"/>
          <order val="1"/>
          <tx>
            <strRef>
              <f>'Overview'!BF20</f>
            </strRef>
          </tx>
          <spPr>
            <a:ln xmlns:a="http://schemas.openxmlformats.org/drawingml/2006/main">
              <a:prstDash val="solid"/>
            </a:ln>
          </spPr>
          <cat>
            <numRef>
              <f>'Overview'!$BG$18:$BV$18</f>
            </numRef>
          </cat>
          <val>
            <numRef>
              <f>'Overview'!$BG$20:$BV$20</f>
            </numRef>
          </val>
        </ser>
        <ser>
          <idx val="2"/>
          <order val="2"/>
          <tx>
            <strRef>
              <f>'Overview'!BF21</f>
            </strRef>
          </tx>
          <spPr>
            <a:ln xmlns:a="http://schemas.openxmlformats.org/drawingml/2006/main">
              <a:prstDash val="solid"/>
            </a:ln>
          </spPr>
          <cat>
            <numRef>
              <f>'Overview'!$BG$18:$BV$18</f>
            </numRef>
          </cat>
          <val>
            <numRef>
              <f>'Overview'!$BG$21:$BV$21</f>
            </numRef>
          </val>
        </ser>
        <ser>
          <idx val="3"/>
          <order val="3"/>
          <tx>
            <strRef>
              <f>'Overview'!BF22</f>
            </strRef>
          </tx>
          <spPr>
            <a:ln xmlns:a="http://schemas.openxmlformats.org/drawingml/2006/main">
              <a:prstDash val="solid"/>
            </a:ln>
          </spPr>
          <cat>
            <numRef>
              <f>'Overview'!$BG$18:$BV$18</f>
            </numRef>
          </cat>
          <val>
            <numRef>
              <f>'Overview'!$BG$22:$BV$22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QIB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'Overview'!BY26</f>
            </strRef>
          </tx>
          <spPr>
            <a:ln xmlns:a="http://schemas.openxmlformats.org/drawingml/2006/main">
              <a:prstDash val="solid"/>
            </a:ln>
          </spPr>
          <cat>
            <numRef>
              <f>'Overview'!$BZ$25:$CO$25</f>
            </numRef>
          </cat>
          <val>
            <numRef>
              <f>'Overview'!$BZ$26:$CO$26</f>
            </numRef>
          </val>
        </ser>
        <ser>
          <idx val="1"/>
          <order val="1"/>
          <tx>
            <strRef>
              <f>'Overview'!BY27</f>
            </strRef>
          </tx>
          <spPr>
            <a:ln xmlns:a="http://schemas.openxmlformats.org/drawingml/2006/main">
              <a:prstDash val="solid"/>
            </a:ln>
          </spPr>
          <cat>
            <numRef>
              <f>'Overview'!$BZ$25:$CO$25</f>
            </numRef>
          </cat>
          <val>
            <numRef>
              <f>'Overview'!$BZ$27:$CO$27</f>
            </numRef>
          </val>
        </ser>
        <ser>
          <idx val="2"/>
          <order val="2"/>
          <tx>
            <strRef>
              <f>'Overview'!BY28</f>
            </strRef>
          </tx>
          <spPr>
            <a:ln xmlns:a="http://schemas.openxmlformats.org/drawingml/2006/main">
              <a:prstDash val="solid"/>
            </a:ln>
          </spPr>
          <cat>
            <numRef>
              <f>'Overview'!$BZ$25:$CO$25</f>
            </numRef>
          </cat>
          <val>
            <numRef>
              <f>'Overview'!$BZ$28:$CO$28</f>
            </numRef>
          </val>
        </ser>
        <ser>
          <idx val="3"/>
          <order val="3"/>
          <tx>
            <strRef>
              <f>'Overview'!BY29</f>
            </strRef>
          </tx>
          <spPr>
            <a:ln xmlns:a="http://schemas.openxmlformats.org/drawingml/2006/main">
              <a:prstDash val="solid"/>
            </a:ln>
          </spPr>
          <cat>
            <numRef>
              <f>'Overview'!$BZ$25:$CO$25</f>
            </numRef>
          </cat>
          <val>
            <numRef>
              <f>'Overview'!$BZ$29:$CO$29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QIB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QIB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1250.25</v>
      </c>
      <c r="C6" s="5" t="n">
        <v>1125.45</v>
      </c>
      <c r="D6" s="5" t="n">
        <v>1070.48</v>
      </c>
      <c r="E6" s="5" t="n">
        <v>1018.91</v>
      </c>
      <c r="F6" s="5" t="n">
        <v>894.73</v>
      </c>
      <c r="G6" s="5" t="n">
        <v>732.0599999999999</v>
      </c>
      <c r="H6" s="5" t="n">
        <v>676.17</v>
      </c>
      <c r="I6" s="5" t="n">
        <v>621.8099999999999</v>
      </c>
      <c r="J6" s="5" t="n">
        <v>529.77</v>
      </c>
      <c r="K6" s="5" t="n">
        <v>516.9299999999999</v>
      </c>
      <c r="L6" s="5" t="n">
        <v>428.19</v>
      </c>
      <c r="M6" s="5" t="n">
        <v>226.38</v>
      </c>
      <c r="N6" s="5" t="n">
        <v>151.2</v>
      </c>
      <c r="O6" s="5" t="n">
        <v>168.59</v>
      </c>
      <c r="P6" s="5" t="n">
        <v>131.05</v>
      </c>
      <c r="Q6" s="5" t="n">
        <v>60.14</v>
      </c>
      <c r="T6" t="inlineStr">
        <is>
          <t>Total assets</t>
        </is>
      </c>
      <c r="U6" t="n">
        <v>60.14</v>
      </c>
      <c r="V6" t="n">
        <v>131.05</v>
      </c>
      <c r="W6" t="n">
        <v>168.59</v>
      </c>
      <c r="X6" t="n">
        <v>151.2</v>
      </c>
      <c r="Y6" t="n">
        <v>226.38</v>
      </c>
      <c r="Z6" t="n">
        <v>428.19</v>
      </c>
      <c r="AA6" t="n">
        <v>516.9299999999999</v>
      </c>
      <c r="AB6" t="n">
        <v>529.77</v>
      </c>
      <c r="AC6" t="n">
        <v>621.8099999999999</v>
      </c>
      <c r="AD6" t="n">
        <v>676.17</v>
      </c>
      <c r="AE6" t="n">
        <v>732.0599999999999</v>
      </c>
      <c r="AF6" t="n">
        <v>894.73</v>
      </c>
      <c r="AG6" t="n">
        <v>1018.91</v>
      </c>
      <c r="AH6" t="n">
        <v>1070.48</v>
      </c>
      <c r="AI6" t="n">
        <v>1125.45</v>
      </c>
      <c r="AJ6" t="n">
        <v>1250.25</v>
      </c>
      <c r="CR6" t="inlineStr">
        <is>
          <t>CET1 Ratio</t>
        </is>
      </c>
      <c r="CY6" t="n">
        <v>19</v>
      </c>
      <c r="CZ6" t="n">
        <v>17</v>
      </c>
      <c r="DA6" t="n">
        <v>18</v>
      </c>
      <c r="DB6" t="n">
        <v>18.19</v>
      </c>
      <c r="DC6" t="n">
        <v>17.28</v>
      </c>
      <c r="DD6" t="n">
        <v>16.89</v>
      </c>
      <c r="DE6" t="n">
        <v>17.38</v>
      </c>
      <c r="DF6" t="n">
        <v>18.2</v>
      </c>
      <c r="DG6" t="n">
        <v>18.79</v>
      </c>
      <c r="DH6" t="n">
        <v>17.93</v>
      </c>
    </row>
    <row r="7">
      <c r="A7" s="5" t="inlineStr">
        <is>
          <t>Financing arrangements</t>
        </is>
      </c>
      <c r="B7" s="5" t="n">
        <v>954.6799999999999</v>
      </c>
      <c r="C7" s="5" t="n">
        <v>884.0599999999999</v>
      </c>
      <c r="D7" s="5" t="n">
        <v>826.88</v>
      </c>
      <c r="E7" s="5" t="n">
        <v>777.85</v>
      </c>
      <c r="F7" s="5" t="n">
        <v>726.03</v>
      </c>
      <c r="G7" s="5" t="n">
        <v>593.88</v>
      </c>
      <c r="H7" s="5" t="n">
        <v>530.99</v>
      </c>
      <c r="I7" s="5" t="n">
        <v>482.37</v>
      </c>
      <c r="J7" s="5" t="n">
        <v>403.27</v>
      </c>
      <c r="K7" s="5" t="n">
        <v>293.01</v>
      </c>
      <c r="L7" s="5" t="n">
        <v>227.8</v>
      </c>
      <c r="M7" s="5" t="n">
        <v>88.98</v>
      </c>
      <c r="N7" s="5" t="n">
        <v>36.68</v>
      </c>
      <c r="O7" s="5" t="n">
        <v>52.46</v>
      </c>
      <c r="P7" s="5" t="n">
        <v>36.74</v>
      </c>
      <c r="Q7" s="5" t="n">
        <v>24.61</v>
      </c>
      <c r="T7" t="inlineStr">
        <is>
          <t>Financing arrangements</t>
        </is>
      </c>
      <c r="U7" t="n">
        <v>24.61</v>
      </c>
      <c r="V7" t="n">
        <v>36.74</v>
      </c>
      <c r="W7" t="n">
        <v>52.46</v>
      </c>
      <c r="X7" t="n">
        <v>36.68</v>
      </c>
      <c r="Y7" t="n">
        <v>88.98</v>
      </c>
      <c r="Z7" t="n">
        <v>227.8</v>
      </c>
      <c r="AA7" t="n">
        <v>293.01</v>
      </c>
      <c r="AB7" t="n">
        <v>403.27</v>
      </c>
      <c r="AC7" t="n">
        <v>482.37</v>
      </c>
      <c r="AD7" t="n">
        <v>530.99</v>
      </c>
      <c r="AE7" t="n">
        <v>593.88</v>
      </c>
      <c r="AF7" t="n">
        <v>726.03</v>
      </c>
      <c r="AG7" t="n">
        <v>777.85</v>
      </c>
      <c r="AH7" t="n">
        <v>826.88</v>
      </c>
      <c r="AI7" t="n">
        <v>884.0599999999999</v>
      </c>
      <c r="AJ7" t="n">
        <v>954.6799999999999</v>
      </c>
      <c r="CR7" t="inlineStr">
        <is>
          <t>Total Capital Ratio</t>
        </is>
      </c>
      <c r="CY7" t="n">
        <v>25</v>
      </c>
      <c r="CZ7" t="n">
        <v>22</v>
      </c>
      <c r="DA7" t="n">
        <v>22</v>
      </c>
      <c r="DB7" t="n">
        <v>21.35</v>
      </c>
      <c r="DC7" t="n">
        <v>20.44</v>
      </c>
      <c r="DD7" t="n">
        <v>19.71</v>
      </c>
      <c r="DE7" t="n">
        <v>19.35</v>
      </c>
      <c r="DF7" t="n">
        <v>20.73</v>
      </c>
      <c r="DG7" t="n">
        <v>21.07</v>
      </c>
      <c r="DH7" t="n">
        <v>19.9</v>
      </c>
    </row>
    <row r="8">
      <c r="A8" s="5" t="inlineStr">
        <is>
          <t>Due to customers</t>
        </is>
      </c>
      <c r="B8" s="5" t="n">
        <v>969.4</v>
      </c>
      <c r="C8" s="5" t="n">
        <v>886.39</v>
      </c>
      <c r="D8" s="5" t="n">
        <v>827.37</v>
      </c>
      <c r="E8" s="5" t="n">
        <v>780.21</v>
      </c>
      <c r="F8" s="5" t="n">
        <v>657.77</v>
      </c>
      <c r="G8" s="5" t="n">
        <v>495.17</v>
      </c>
      <c r="H8" s="5" t="n">
        <v>480.14</v>
      </c>
      <c r="I8" s="5" t="n">
        <v>434.54</v>
      </c>
      <c r="J8" s="5" t="n">
        <v>366.6</v>
      </c>
      <c r="K8" s="5" t="n">
        <v>388.38</v>
      </c>
      <c r="L8" s="5" t="n">
        <v>216.02</v>
      </c>
      <c r="M8" s="5" t="n">
        <v>153.14</v>
      </c>
      <c r="N8" s="5" t="n">
        <v>67.91</v>
      </c>
      <c r="O8" s="5" t="n">
        <v>102.82</v>
      </c>
      <c r="P8" s="5" t="n">
        <v>81.12</v>
      </c>
      <c r="Q8" s="5" t="n">
        <v>11.43</v>
      </c>
      <c r="T8" t="inlineStr">
        <is>
          <t>Due to customers</t>
        </is>
      </c>
      <c r="U8" t="n">
        <v>11.43</v>
      </c>
      <c r="V8" t="n">
        <v>81.12</v>
      </c>
      <c r="W8" t="n">
        <v>102.82</v>
      </c>
      <c r="X8" t="n">
        <v>67.91</v>
      </c>
      <c r="Y8" t="n">
        <v>153.14</v>
      </c>
      <c r="Z8" t="n">
        <v>216.02</v>
      </c>
      <c r="AA8" t="n">
        <v>388.38</v>
      </c>
      <c r="AB8" t="n">
        <v>366.6</v>
      </c>
      <c r="AC8" t="n">
        <v>434.54</v>
      </c>
      <c r="AD8" t="n">
        <v>480.14</v>
      </c>
      <c r="AE8" t="n">
        <v>495.17</v>
      </c>
      <c r="AF8" t="n">
        <v>657.77</v>
      </c>
      <c r="AG8" t="n">
        <v>780.21</v>
      </c>
      <c r="AH8" t="n">
        <v>827.37</v>
      </c>
      <c r="AI8" t="n">
        <v>886.39</v>
      </c>
      <c r="AJ8" t="n">
        <v>969.4</v>
      </c>
      <c r="CR8" t="inlineStr">
        <is>
          <t>Leverage Ratio</t>
        </is>
      </c>
      <c r="DB8" t="n">
        <v>10</v>
      </c>
      <c r="DC8" t="n">
        <v>9.85</v>
      </c>
      <c r="DD8" t="n">
        <v>8.75</v>
      </c>
      <c r="DE8" t="n">
        <v>8.5</v>
      </c>
      <c r="DF8" t="n">
        <v>9.609999999999999</v>
      </c>
      <c r="DG8" t="n">
        <v>10.53</v>
      </c>
      <c r="DH8" t="n">
        <v>10.67</v>
      </c>
    </row>
    <row r="9">
      <c r="A9" s="5" t="inlineStr">
        <is>
          <t>Total equity</t>
        </is>
      </c>
      <c r="B9" s="5" t="n">
        <v>124.65</v>
      </c>
      <c r="C9" s="5" t="n">
        <v>113.1</v>
      </c>
      <c r="D9" s="5" t="n">
        <v>100.44</v>
      </c>
      <c r="E9" s="5" t="n">
        <v>88.41</v>
      </c>
      <c r="F9" s="5" t="n">
        <v>78.83</v>
      </c>
      <c r="G9" s="5" t="n">
        <v>71.93000000000001</v>
      </c>
      <c r="H9" s="5" t="n">
        <v>67.22</v>
      </c>
      <c r="I9" s="5" t="n">
        <v>62.81</v>
      </c>
      <c r="J9" s="5" t="n">
        <v>60.1</v>
      </c>
      <c r="K9" s="5" t="n">
        <v>51.89</v>
      </c>
      <c r="L9" s="5" t="n">
        <v>55.63</v>
      </c>
      <c r="M9" s="5" t="n">
        <v>30.51</v>
      </c>
      <c r="N9" s="5" t="n">
        <v>16.41</v>
      </c>
      <c r="O9" s="5" t="n">
        <v>13.94</v>
      </c>
      <c r="P9" s="5" t="n">
        <v>17.07</v>
      </c>
      <c r="Q9" s="5" t="n">
        <v>16.98</v>
      </c>
      <c r="T9" t="inlineStr">
        <is>
          <t>Total equity</t>
        </is>
      </c>
      <c r="U9" t="n">
        <v>16.98</v>
      </c>
      <c r="V9" t="n">
        <v>17.07</v>
      </c>
      <c r="W9" t="n">
        <v>13.94</v>
      </c>
      <c r="X9" t="n">
        <v>16.41</v>
      </c>
      <c r="Y9" t="n">
        <v>30.51</v>
      </c>
      <c r="Z9" t="n">
        <v>55.63</v>
      </c>
      <c r="AA9" t="n">
        <v>51.89</v>
      </c>
      <c r="AB9" t="n">
        <v>60.1</v>
      </c>
      <c r="AC9" t="n">
        <v>62.81</v>
      </c>
      <c r="AD9" t="n">
        <v>67.22</v>
      </c>
      <c r="AE9" t="n">
        <v>71.93000000000001</v>
      </c>
      <c r="AF9" t="n">
        <v>78.83</v>
      </c>
      <c r="AG9" t="n">
        <v>88.41</v>
      </c>
      <c r="AH9" t="n">
        <v>100.44</v>
      </c>
      <c r="AI9" t="n">
        <v>113.1</v>
      </c>
      <c r="AJ9" t="n">
        <v>124.65</v>
      </c>
      <c r="CR9" t="inlineStr">
        <is>
          <t>LCR</t>
        </is>
      </c>
      <c r="DB9" t="n">
        <v>683.74</v>
      </c>
      <c r="DC9" t="n">
        <v>242.03</v>
      </c>
      <c r="DD9" t="n">
        <v>555.6</v>
      </c>
      <c r="DE9" t="n">
        <v>1236.14</v>
      </c>
      <c r="DF9" t="n">
        <v>1153.62</v>
      </c>
      <c r="DG9" t="n">
        <v>322.05</v>
      </c>
      <c r="DH9" t="n">
        <v>345.59</v>
      </c>
    </row>
    <row r="10">
      <c r="CR10" t="inlineStr">
        <is>
          <t>NSFR</t>
        </is>
      </c>
      <c r="DD10" t="n">
        <v>119.68</v>
      </c>
      <c r="DE10" t="n">
        <v>129.18</v>
      </c>
      <c r="DF10" t="n">
        <v>130.56</v>
      </c>
      <c r="DG10" t="n">
        <v>128.2</v>
      </c>
      <c r="DH10" t="n">
        <v>127.95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operating income</t>
        </is>
      </c>
      <c r="B13" s="5" t="n">
        <v>29.56</v>
      </c>
      <c r="C13" s="5" t="n">
        <v>29.81</v>
      </c>
      <c r="D13" s="5" t="n">
        <v>28.66</v>
      </c>
      <c r="E13" s="5" t="n">
        <v>20.03</v>
      </c>
      <c r="F13" s="5" t="n">
        <v>16.54</v>
      </c>
      <c r="G13" s="5" t="n">
        <v>13.9</v>
      </c>
      <c r="H13" s="5" t="n">
        <v>13.47</v>
      </c>
      <c r="I13" s="5" t="n">
        <v>12.42</v>
      </c>
      <c r="J13" s="5" t="n">
        <v>11.34</v>
      </c>
      <c r="K13" s="5" t="n">
        <v>8.630000000000001</v>
      </c>
      <c r="L13" s="5" t="n">
        <v>9.33</v>
      </c>
      <c r="M13" s="5" t="n">
        <v>5.25</v>
      </c>
      <c r="N13" s="5" t="n">
        <v>2.26</v>
      </c>
      <c r="O13" s="5" t="n">
        <v>8</v>
      </c>
      <c r="P13" s="5" t="n">
        <v>8.27</v>
      </c>
      <c r="Q13" s="5" t="n">
        <v>5.17</v>
      </c>
      <c r="AM13" t="inlineStr">
        <is>
          <t>Total operating income</t>
        </is>
      </c>
      <c r="AN13" t="n">
        <v>5.17</v>
      </c>
      <c r="AO13" t="n">
        <v>8.27</v>
      </c>
      <c r="AP13" t="n">
        <v>8</v>
      </c>
      <c r="AQ13" t="n">
        <v>2.26</v>
      </c>
      <c r="AR13" t="n">
        <v>5.25</v>
      </c>
      <c r="AS13" t="n">
        <v>9.33</v>
      </c>
      <c r="AT13" t="n">
        <v>8.630000000000001</v>
      </c>
      <c r="AU13" t="n">
        <v>11.34</v>
      </c>
      <c r="AV13" t="n">
        <v>12.42</v>
      </c>
      <c r="AW13" t="n">
        <v>13.47</v>
      </c>
      <c r="AX13" t="n">
        <v>13.9</v>
      </c>
      <c r="AY13" t="n">
        <v>16.54</v>
      </c>
      <c r="AZ13" t="n">
        <v>20.03</v>
      </c>
      <c r="BA13" t="n">
        <v>28.66</v>
      </c>
      <c r="BB13" t="n">
        <v>29.81</v>
      </c>
      <c r="BC13" t="n">
        <v>29.56</v>
      </c>
    </row>
    <row r="14">
      <c r="A14" s="5" t="inlineStr">
        <is>
          <t>Total operating expenses</t>
        </is>
      </c>
      <c r="B14" s="5" t="n">
        <v>-12.14</v>
      </c>
      <c r="C14" s="5" t="n">
        <v>-11.55</v>
      </c>
      <c r="D14" s="5" t="n">
        <v>-10.64</v>
      </c>
      <c r="E14" s="5" t="n">
        <v>-9.66</v>
      </c>
      <c r="F14" s="5" t="n">
        <v>-8.65</v>
      </c>
      <c r="G14" s="5" t="n">
        <v>-7.62</v>
      </c>
      <c r="H14" s="5" t="n">
        <v>-7.56</v>
      </c>
      <c r="I14" s="5" t="n">
        <v>-7.66</v>
      </c>
      <c r="J14" s="5" t="n">
        <v>-7.45</v>
      </c>
      <c r="K14" s="5" t="n">
        <v>-7.87</v>
      </c>
      <c r="L14" s="5" t="n">
        <v>-6.83</v>
      </c>
      <c r="M14" s="5" t="n">
        <v>-5.73</v>
      </c>
      <c r="N14" s="5" t="n">
        <v>-6.57</v>
      </c>
      <c r="O14" s="5" t="n">
        <v>-6.93</v>
      </c>
      <c r="P14" s="5" t="n">
        <v>-7.89</v>
      </c>
      <c r="Q14" s="5" t="n">
        <v>-6.11</v>
      </c>
      <c r="AM14" t="inlineStr">
        <is>
          <t>Total operating expenses</t>
        </is>
      </c>
      <c r="AN14" t="n">
        <v>-6.11</v>
      </c>
      <c r="AO14" t="n">
        <v>-7.89</v>
      </c>
      <c r="AP14" t="n">
        <v>-6.93</v>
      </c>
      <c r="AQ14" t="n">
        <v>-6.57</v>
      </c>
      <c r="AR14" t="n">
        <v>-5.73</v>
      </c>
      <c r="AS14" t="n">
        <v>-6.83</v>
      </c>
      <c r="AT14" t="n">
        <v>-7.87</v>
      </c>
      <c r="AU14" t="n">
        <v>-7.45</v>
      </c>
      <c r="AV14" t="n">
        <v>-7.66</v>
      </c>
      <c r="AW14" t="n">
        <v>-7.56</v>
      </c>
      <c r="AX14" t="n">
        <v>-7.62</v>
      </c>
      <c r="AY14" t="n">
        <v>-8.65</v>
      </c>
      <c r="AZ14" t="n">
        <v>-9.66</v>
      </c>
      <c r="BA14" t="n">
        <v>-10.64</v>
      </c>
      <c r="BB14" t="n">
        <v>-11.55</v>
      </c>
      <c r="BC14" t="n">
        <v>-12.14</v>
      </c>
    </row>
    <row r="15">
      <c r="A15" s="5" t="inlineStr">
        <is>
          <t>Profit/(loss) for the year</t>
        </is>
      </c>
      <c r="B15" s="5" t="n">
        <v>11.73</v>
      </c>
      <c r="C15" s="5" t="n">
        <v>12.6</v>
      </c>
      <c r="D15" s="5" t="n">
        <v>11.95</v>
      </c>
      <c r="E15" s="5" t="n">
        <v>9.69</v>
      </c>
      <c r="F15" s="5" t="n">
        <v>6.86</v>
      </c>
      <c r="G15" s="5" t="n">
        <v>4.74</v>
      </c>
      <c r="H15" s="5" t="n">
        <v>4.43</v>
      </c>
      <c r="I15" s="5" t="n">
        <v>3.71</v>
      </c>
      <c r="J15" s="5" t="n">
        <v>1.76</v>
      </c>
      <c r="K15" s="5" t="n">
        <v>-3.09</v>
      </c>
      <c r="L15" s="5" t="n">
        <v>2.55</v>
      </c>
      <c r="M15" s="5" t="n">
        <v>1.32</v>
      </c>
      <c r="N15" s="5" t="n">
        <v>-15.75</v>
      </c>
      <c r="O15" s="5" t="n">
        <v>-3.44</v>
      </c>
      <c r="P15" s="5" t="n">
        <v>0.09</v>
      </c>
      <c r="Q15" s="5" t="n">
        <v>-1.21</v>
      </c>
      <c r="AM15" t="inlineStr">
        <is>
          <t>Profit/(loss) for the year</t>
        </is>
      </c>
      <c r="AN15" t="n">
        <v>-1.21</v>
      </c>
      <c r="AO15" t="n">
        <v>0.09</v>
      </c>
      <c r="AP15" t="n">
        <v>-3.44</v>
      </c>
      <c r="AQ15" t="n">
        <v>-15.75</v>
      </c>
      <c r="AR15" t="n">
        <v>1.32</v>
      </c>
      <c r="AS15" t="n">
        <v>2.55</v>
      </c>
      <c r="AT15" t="n">
        <v>-3.09</v>
      </c>
      <c r="AU15" t="n">
        <v>1.76</v>
      </c>
      <c r="AV15" t="n">
        <v>3.71</v>
      </c>
      <c r="AW15" t="n">
        <v>4.43</v>
      </c>
      <c r="AX15" t="n">
        <v>4.74</v>
      </c>
      <c r="AY15" t="n">
        <v>6.86</v>
      </c>
      <c r="AZ15" t="n">
        <v>9.69</v>
      </c>
      <c r="BA15" t="n">
        <v>11.95</v>
      </c>
      <c r="BB15" t="n">
        <v>12.6</v>
      </c>
      <c r="BC15" t="n">
        <v>11.73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BG18" t="inlineStr">
        <is>
          <t>FY2010</t>
        </is>
      </c>
      <c r="BH18" t="inlineStr">
        <is>
          <t>FY2011</t>
        </is>
      </c>
      <c r="BI18" t="inlineStr">
        <is>
          <t>FY2012</t>
        </is>
      </c>
      <c r="BJ18" t="inlineStr">
        <is>
          <t>FY2013</t>
        </is>
      </c>
      <c r="BK18" t="inlineStr">
        <is>
          <t>FY2014</t>
        </is>
      </c>
      <c r="BL18" t="inlineStr">
        <is>
          <t>FY2015</t>
        </is>
      </c>
      <c r="BM18" t="inlineStr">
        <is>
          <t>FY2016</t>
        </is>
      </c>
      <c r="BN18" t="inlineStr">
        <is>
          <t>FY2017</t>
        </is>
      </c>
      <c r="BO18" t="inlineStr">
        <is>
          <t>FY2018</t>
        </is>
      </c>
      <c r="BP18" t="inlineStr">
        <is>
          <t>FY2019</t>
        </is>
      </c>
      <c r="BQ18" t="inlineStr">
        <is>
          <t>FY2020</t>
        </is>
      </c>
      <c r="BR18" t="inlineStr">
        <is>
          <t>FY2021</t>
        </is>
      </c>
      <c r="BS18" t="inlineStr">
        <is>
          <t>FY2022</t>
        </is>
      </c>
      <c r="BT18" t="inlineStr">
        <is>
          <t>FY2023</t>
        </is>
      </c>
      <c r="BU18" t="inlineStr">
        <is>
          <t>FY2024</t>
        </is>
      </c>
      <c r="BV18" t="inlineStr">
        <is>
          <t>FY2025</t>
        </is>
      </c>
    </row>
    <row r="19">
      <c r="A19" s="5" t="inlineStr">
        <is>
          <t>Opening equity</t>
        </is>
      </c>
      <c r="B19" s="5" t="n">
        <v>113.102</v>
      </c>
      <c r="C19" s="5" t="n">
        <v>100.441</v>
      </c>
      <c r="D19" s="5" t="n">
        <v>88.411</v>
      </c>
      <c r="E19" s="5" t="n">
        <v>78.827</v>
      </c>
      <c r="F19" s="5" t="n">
        <v>71.93300000000001</v>
      </c>
      <c r="G19" s="5" t="n">
        <v>67.217</v>
      </c>
      <c r="H19" s="5" t="n">
        <v>62.815</v>
      </c>
      <c r="I19" s="5" t="n">
        <v>60.101</v>
      </c>
      <c r="J19" s="5" t="n">
        <v>51.89</v>
      </c>
      <c r="K19" s="5" t="n">
        <v>55.635</v>
      </c>
      <c r="L19" s="5" t="n">
        <v>30.505</v>
      </c>
      <c r="M19" s="5" t="n">
        <v>16.413</v>
      </c>
      <c r="N19" s="5" t="n"/>
      <c r="O19" s="5" t="n"/>
      <c r="P19" s="5" t="n"/>
      <c r="Q19" s="5" t="n"/>
      <c r="BF19" t="inlineStr">
        <is>
          <t>Opening equity</t>
        </is>
      </c>
      <c r="BK19" t="n">
        <v>16.413</v>
      </c>
      <c r="BL19" t="n">
        <v>30.505</v>
      </c>
      <c r="BM19" t="n">
        <v>55.635</v>
      </c>
      <c r="BN19" t="n">
        <v>51.89</v>
      </c>
      <c r="BO19" t="n">
        <v>60.101</v>
      </c>
      <c r="BP19" t="n">
        <v>62.815</v>
      </c>
      <c r="BQ19" t="n">
        <v>67.217</v>
      </c>
      <c r="BR19" t="n">
        <v>71.93300000000001</v>
      </c>
      <c r="BS19" t="n">
        <v>78.827</v>
      </c>
      <c r="BT19" t="n">
        <v>88.411</v>
      </c>
      <c r="BU19" t="n">
        <v>100.441</v>
      </c>
      <c r="BV19" t="n">
        <v>113.102</v>
      </c>
    </row>
    <row r="20">
      <c r="A20" s="5" t="inlineStr">
        <is>
          <t>Profit for the year</t>
        </is>
      </c>
      <c r="B20" s="5" t="n">
        <v>11.732</v>
      </c>
      <c r="C20" s="5" t="n">
        <v>12.603</v>
      </c>
      <c r="D20" s="5" t="n">
        <v>11.95</v>
      </c>
      <c r="E20" s="5" t="n">
        <v>9.692</v>
      </c>
      <c r="F20" s="5" t="n">
        <v>6.856</v>
      </c>
      <c r="G20" s="5" t="n">
        <v>4.744</v>
      </c>
      <c r="H20" s="5" t="n">
        <v>4.427</v>
      </c>
      <c r="I20" s="5" t="n">
        <v>3.713</v>
      </c>
      <c r="J20" s="5" t="n">
        <v>1.76</v>
      </c>
      <c r="K20" s="5" t="n">
        <v>-3.09</v>
      </c>
      <c r="L20" s="5" t="n">
        <v>2.548</v>
      </c>
      <c r="M20" s="5" t="n">
        <v>1.317</v>
      </c>
      <c r="N20" s="5" t="n"/>
      <c r="O20" s="5" t="n"/>
      <c r="P20" s="5" t="n"/>
      <c r="Q20" s="5" t="n"/>
      <c r="BF20" t="inlineStr">
        <is>
          <t>Profit for the year</t>
        </is>
      </c>
      <c r="BK20" t="n">
        <v>1.317</v>
      </c>
      <c r="BL20" t="n">
        <v>2.548</v>
      </c>
      <c r="BM20" t="n">
        <v>-3.09</v>
      </c>
      <c r="BN20" t="n">
        <v>1.76</v>
      </c>
      <c r="BO20" t="n">
        <v>3.713</v>
      </c>
      <c r="BP20" t="n">
        <v>4.427</v>
      </c>
      <c r="BQ20" t="n">
        <v>4.744</v>
      </c>
      <c r="BR20" t="n">
        <v>6.856</v>
      </c>
      <c r="BS20" t="n">
        <v>9.692</v>
      </c>
      <c r="BT20" t="n">
        <v>11.95</v>
      </c>
      <c r="BU20" t="n">
        <v>12.603</v>
      </c>
      <c r="BV20" t="n">
        <v>11.732</v>
      </c>
    </row>
    <row r="21">
      <c r="A21" s="5" t="inlineStr">
        <is>
          <t>Other equity movements, net</t>
        </is>
      </c>
      <c r="B21" s="5" t="n">
        <v>-0.188</v>
      </c>
      <c r="C21" s="5" t="n">
        <v>0.058</v>
      </c>
      <c r="D21" s="5" t="n">
        <v>0.081</v>
      </c>
      <c r="E21" s="5" t="n">
        <v>-0.108</v>
      </c>
      <c r="F21" s="5" t="n">
        <v>0.038</v>
      </c>
      <c r="G21" s="5" t="n">
        <v>-0.028</v>
      </c>
      <c r="H21" s="5" t="n">
        <v>-0.024</v>
      </c>
      <c r="I21" s="5" t="n">
        <v>-0.999</v>
      </c>
      <c r="J21" s="5" t="n">
        <v>6.451</v>
      </c>
      <c r="K21" s="5" t="n">
        <v>-0.655</v>
      </c>
      <c r="L21" s="5" t="n">
        <v>22.582</v>
      </c>
      <c r="M21" s="5" t="n">
        <v>12.775</v>
      </c>
      <c r="N21" s="5" t="n"/>
      <c r="O21" s="5" t="n"/>
      <c r="P21" s="5" t="n"/>
      <c r="Q21" s="5" t="n"/>
      <c r="BF21" t="inlineStr">
        <is>
          <t>Other equity movements, net</t>
        </is>
      </c>
      <c r="BK21" t="n">
        <v>12.775</v>
      </c>
      <c r="BL21" t="n">
        <v>22.582</v>
      </c>
      <c r="BM21" t="n">
        <v>-0.655</v>
      </c>
      <c r="BN21" t="n">
        <v>6.451</v>
      </c>
      <c r="BO21" t="n">
        <v>-0.999</v>
      </c>
      <c r="BP21" t="n">
        <v>-0.024</v>
      </c>
      <c r="BQ21" t="n">
        <v>-0.028</v>
      </c>
      <c r="BR21" t="n">
        <v>0.038</v>
      </c>
      <c r="BS21" t="n">
        <v>-0.108</v>
      </c>
      <c r="BT21" t="n">
        <v>0.081</v>
      </c>
      <c r="BU21" t="n">
        <v>0.058</v>
      </c>
      <c r="BV21" t="n">
        <v>-0.188</v>
      </c>
    </row>
    <row r="22">
      <c r="A22" s="5" t="inlineStr">
        <is>
          <t>Closing equity</t>
        </is>
      </c>
      <c r="B22" s="5" t="n">
        <v>124.646</v>
      </c>
      <c r="C22" s="5" t="n">
        <v>113.102</v>
      </c>
      <c r="D22" s="5" t="n">
        <v>100.441</v>
      </c>
      <c r="E22" s="5" t="n">
        <v>88.411</v>
      </c>
      <c r="F22" s="5" t="n">
        <v>78.827</v>
      </c>
      <c r="G22" s="5" t="n">
        <v>71.93300000000001</v>
      </c>
      <c r="H22" s="5" t="n">
        <v>67.217</v>
      </c>
      <c r="I22" s="5" t="n">
        <v>62.815</v>
      </c>
      <c r="J22" s="5" t="n">
        <v>60.101</v>
      </c>
      <c r="K22" s="5" t="n">
        <v>51.89</v>
      </c>
      <c r="L22" s="5" t="n">
        <v>55.635</v>
      </c>
      <c r="M22" s="5" t="n">
        <v>30.505</v>
      </c>
      <c r="N22" s="5" t="n"/>
      <c r="O22" s="5" t="n"/>
      <c r="P22" s="5" t="n"/>
      <c r="Q22" s="5" t="n"/>
      <c r="BF22" t="inlineStr">
        <is>
          <t>Closing equity</t>
        </is>
      </c>
      <c r="BK22" t="n">
        <v>30.505</v>
      </c>
      <c r="BL22" t="n">
        <v>55.635</v>
      </c>
      <c r="BM22" t="n">
        <v>51.89</v>
      </c>
      <c r="BN22" t="n">
        <v>60.101</v>
      </c>
      <c r="BO22" t="n">
        <v>62.815</v>
      </c>
      <c r="BP22" t="n">
        <v>67.217</v>
      </c>
      <c r="BQ22" t="n">
        <v>71.93300000000001</v>
      </c>
      <c r="BR22" t="n">
        <v>78.827</v>
      </c>
      <c r="BS22" t="n">
        <v>88.411</v>
      </c>
      <c r="BT22" t="n">
        <v>100.441</v>
      </c>
      <c r="BU22" t="n">
        <v>113.102</v>
      </c>
      <c r="BV22" t="n">
        <v>124.646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BZ25" t="inlineStr">
        <is>
          <t>FY2010</t>
        </is>
      </c>
      <c r="CA25" t="inlineStr">
        <is>
          <t>FY2011</t>
        </is>
      </c>
      <c r="CB25" t="inlineStr">
        <is>
          <t>FY2012</t>
        </is>
      </c>
      <c r="CC25" t="inlineStr">
        <is>
          <t>FY2013</t>
        </is>
      </c>
      <c r="CD25" t="inlineStr">
        <is>
          <t>FY2014</t>
        </is>
      </c>
      <c r="CE25" t="inlineStr">
        <is>
          <t>FY2015</t>
        </is>
      </c>
      <c r="CF25" t="inlineStr">
        <is>
          <t>FY2016</t>
        </is>
      </c>
      <c r="CG25" t="inlineStr">
        <is>
          <t>FY2017</t>
        </is>
      </c>
      <c r="CH25" t="inlineStr">
        <is>
          <t>FY2018</t>
        </is>
      </c>
      <c r="CI25" t="inlineStr">
        <is>
          <t>FY2019</t>
        </is>
      </c>
      <c r="CJ25" t="inlineStr">
        <is>
          <t>FY2020</t>
        </is>
      </c>
      <c r="CK25" t="inlineStr">
        <is>
          <t>FY2021</t>
        </is>
      </c>
      <c r="CL25" t="inlineStr">
        <is>
          <t>FY2022</t>
        </is>
      </c>
      <c r="CM25" t="inlineStr">
        <is>
          <t>FY2023</t>
        </is>
      </c>
      <c r="CN25" t="inlineStr">
        <is>
          <t>FY2024</t>
        </is>
      </c>
      <c r="CO25" t="inlineStr">
        <is>
          <t>FY2025</t>
        </is>
      </c>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c r="BY26" t="inlineStr">
        <is>
          <t>Net cash inflow/(outflow) from operating activities</t>
        </is>
      </c>
      <c r="BZ26" t="n">
        <v>-1.18</v>
      </c>
      <c r="CA26" t="n">
        <v>-0.52</v>
      </c>
      <c r="CB26" t="n">
        <v>3.25</v>
      </c>
      <c r="CC26" t="n">
        <v>-25.78</v>
      </c>
      <c r="CD26" t="n">
        <v>11.54</v>
      </c>
      <c r="CE26" t="n">
        <v>-23.59</v>
      </c>
      <c r="CF26" t="n">
        <v>10.8</v>
      </c>
      <c r="CG26" t="n">
        <v>8.27</v>
      </c>
      <c r="CH26" t="n">
        <v>6.44</v>
      </c>
      <c r="CI26" t="n">
        <v>3.91</v>
      </c>
      <c r="CJ26" t="n">
        <v>0.99</v>
      </c>
      <c r="CK26" t="n">
        <v>17.04</v>
      </c>
      <c r="CL26" t="n">
        <v>2.77</v>
      </c>
      <c r="CM26" t="n">
        <v>-9.9</v>
      </c>
      <c r="CN26" t="n">
        <v>-21.31</v>
      </c>
      <c r="CO26" t="n">
        <v>50.35</v>
      </c>
    </row>
    <row r="27">
      <c r="A27" s="5" t="inlineStr">
        <is>
          <t>Net cash outflow from investing activities</t>
        </is>
      </c>
      <c r="B27" s="5" t="n">
        <v>-0.17</v>
      </c>
      <c r="C27" s="5" t="n">
        <v>-0.6899999999999999</v>
      </c>
      <c r="D27" s="5" t="n">
        <v>-0.05</v>
      </c>
      <c r="E27" s="5" t="n">
        <v>-0</v>
      </c>
      <c r="F27" s="5" t="n">
        <v>-0.15</v>
      </c>
      <c r="G27" s="5" t="n">
        <v>-0.06</v>
      </c>
      <c r="H27" s="5" t="n">
        <v>-0.15</v>
      </c>
      <c r="I27" s="5" t="n">
        <v>-0.18</v>
      </c>
      <c r="J27" s="5" t="n">
        <v>-0.18</v>
      </c>
      <c r="K27" s="5" t="n">
        <v>-0.23</v>
      </c>
      <c r="L27" s="5" t="n">
        <v>-2.66</v>
      </c>
      <c r="M27" s="5" t="n">
        <v>-24.03</v>
      </c>
      <c r="N27" s="5" t="n">
        <v>-0.02</v>
      </c>
      <c r="O27" s="5" t="n">
        <v>-0.08</v>
      </c>
      <c r="P27" s="5" t="n">
        <v>-0.06</v>
      </c>
      <c r="Q27" s="5" t="n">
        <v>-0.07000000000000001</v>
      </c>
      <c r="BY27" t="inlineStr">
        <is>
          <t>Net cash outflow from investing activities</t>
        </is>
      </c>
      <c r="BZ27" t="n">
        <v>-0.07000000000000001</v>
      </c>
      <c r="CA27" t="n">
        <v>-0.06</v>
      </c>
      <c r="CB27" t="n">
        <v>-0.08</v>
      </c>
      <c r="CC27" t="n">
        <v>-0.02</v>
      </c>
      <c r="CD27" t="n">
        <v>-24.03</v>
      </c>
      <c r="CE27" t="n">
        <v>-2.66</v>
      </c>
      <c r="CF27" t="n">
        <v>-0.23</v>
      </c>
      <c r="CG27" t="n">
        <v>-0.18</v>
      </c>
      <c r="CH27" t="n">
        <v>-0.18</v>
      </c>
      <c r="CI27" t="n">
        <v>-0.15</v>
      </c>
      <c r="CJ27" t="n">
        <v>-0.06</v>
      </c>
      <c r="CK27" t="n">
        <v>-0.15</v>
      </c>
      <c r="CL27" t="n">
        <v>-0</v>
      </c>
      <c r="CM27" t="n">
        <v>-0.05</v>
      </c>
      <c r="CN27" t="n">
        <v>-0.6899999999999999</v>
      </c>
      <c r="CO27" t="n">
        <v>-0.17</v>
      </c>
    </row>
    <row r="28">
      <c r="A28" s="5" t="inlineStr">
        <is>
          <t>Net cash (outflow)/inflow from financing activities</t>
        </is>
      </c>
      <c r="B28" s="5" t="n">
        <v>-0.04</v>
      </c>
      <c r="C28" s="5" t="n">
        <v>-0.03</v>
      </c>
      <c r="D28" s="5" t="n">
        <v>0.1</v>
      </c>
      <c r="E28" s="5" t="n">
        <v>0</v>
      </c>
      <c r="F28" s="5" t="n">
        <v>-2.25</v>
      </c>
      <c r="G28" s="5" t="n">
        <v>0</v>
      </c>
      <c r="H28" s="5" t="n">
        <v>0</v>
      </c>
      <c r="I28" s="5" t="n">
        <v>0</v>
      </c>
      <c r="J28" s="5" t="n">
        <v>6</v>
      </c>
      <c r="K28" s="5" t="n">
        <v>0</v>
      </c>
      <c r="L28" s="5" t="n">
        <v>26.5</v>
      </c>
      <c r="M28" s="5" t="n">
        <v>15.5</v>
      </c>
      <c r="N28" s="5" t="n">
        <v>24</v>
      </c>
      <c r="O28" s="5" t="n">
        <v>0</v>
      </c>
      <c r="P28" s="5" t="n">
        <v>0</v>
      </c>
      <c r="Q28" s="5" t="n">
        <v>0</v>
      </c>
      <c r="BY28" t="inlineStr">
        <is>
          <t>Net cash (outflow)/inflow from financing activities</t>
        </is>
      </c>
      <c r="BZ28" t="n">
        <v>0</v>
      </c>
      <c r="CA28" t="n">
        <v>0</v>
      </c>
      <c r="CB28" t="n">
        <v>0</v>
      </c>
      <c r="CC28" t="n">
        <v>24</v>
      </c>
      <c r="CD28" t="n">
        <v>15.5</v>
      </c>
      <c r="CE28" t="n">
        <v>26.5</v>
      </c>
      <c r="CF28" t="n">
        <v>0</v>
      </c>
      <c r="CG28" t="n">
        <v>6</v>
      </c>
      <c r="CH28" t="n">
        <v>0</v>
      </c>
      <c r="CI28" t="n">
        <v>0</v>
      </c>
      <c r="CJ28" t="n">
        <v>0</v>
      </c>
      <c r="CK28" t="n">
        <v>-2.25</v>
      </c>
      <c r="CL28" t="n">
        <v>0</v>
      </c>
      <c r="CM28" t="n">
        <v>0.1</v>
      </c>
      <c r="CN28" t="n">
        <v>-0.03</v>
      </c>
      <c r="CO28" t="n">
        <v>-0.04</v>
      </c>
    </row>
    <row r="29">
      <c r="A29" s="5" t="inlineStr">
        <is>
          <t>Cash and cash equivalents at end of year</t>
        </is>
      </c>
      <c r="B29" s="5" t="n">
        <v>132.47</v>
      </c>
      <c r="C29" s="5" t="n">
        <v>27.23</v>
      </c>
      <c r="D29" s="5" t="n">
        <v>49.25</v>
      </c>
      <c r="E29" s="5" t="n">
        <v>59.11</v>
      </c>
      <c r="F29" s="5" t="n">
        <v>56.34</v>
      </c>
      <c r="G29" s="5" t="n">
        <v>41.71</v>
      </c>
      <c r="H29" s="5" t="n">
        <v>40.78</v>
      </c>
      <c r="I29" s="5" t="n">
        <v>37.02</v>
      </c>
      <c r="J29" s="5" t="n">
        <v>30.75</v>
      </c>
      <c r="K29" s="5" t="n">
        <v>16.66</v>
      </c>
      <c r="L29" s="5" t="n">
        <v>6.1</v>
      </c>
      <c r="M29" s="5" t="n">
        <v>5.84</v>
      </c>
      <c r="N29" s="5" t="n">
        <v>2.83</v>
      </c>
      <c r="O29" s="5" t="n">
        <v>4.63</v>
      </c>
      <c r="P29" s="5" t="n">
        <v>1.46</v>
      </c>
      <c r="Q29" s="5" t="n">
        <v>2.03</v>
      </c>
      <c r="BY29" t="inlineStr">
        <is>
          <t>Cash and cash equivalents at end of year</t>
        </is>
      </c>
      <c r="BZ29" t="n">
        <v>2.03</v>
      </c>
      <c r="CA29" t="n">
        <v>1.46</v>
      </c>
      <c r="CB29" t="n">
        <v>4.63</v>
      </c>
      <c r="CC29" t="n">
        <v>2.83</v>
      </c>
      <c r="CD29" t="n">
        <v>5.84</v>
      </c>
      <c r="CE29" t="n">
        <v>6.1</v>
      </c>
      <c r="CF29" t="n">
        <v>16.66</v>
      </c>
      <c r="CG29" t="n">
        <v>30.75</v>
      </c>
      <c r="CH29" t="n">
        <v>37.02</v>
      </c>
      <c r="CI29" t="n">
        <v>40.78</v>
      </c>
      <c r="CJ29" t="n">
        <v>41.71</v>
      </c>
      <c r="CK29" t="n">
        <v>56.34</v>
      </c>
      <c r="CL29" t="n">
        <v>59.11</v>
      </c>
      <c r="CM29" t="n">
        <v>49.25</v>
      </c>
      <c r="CN29" t="n">
        <v>27.23</v>
      </c>
      <c r="CO29" t="n">
        <v>132.47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row>
    <row r="33">
      <c r="A33" s="6" t="inlineStr">
        <is>
          <t>CET1 Ratio</t>
        </is>
      </c>
      <c r="B33" s="6" t="inlineStr">
        <is>
          <t>17.93%</t>
        </is>
      </c>
      <c r="C33" s="6" t="inlineStr">
        <is>
          <t>18.79%</t>
        </is>
      </c>
      <c r="D33" s="6" t="inlineStr">
        <is>
          <t>18.20%</t>
        </is>
      </c>
      <c r="E33" s="6" t="inlineStr">
        <is>
          <t>17.38%</t>
        </is>
      </c>
      <c r="F33" s="6" t="inlineStr">
        <is>
          <t>16.89%</t>
        </is>
      </c>
      <c r="G33" s="6" t="inlineStr">
        <is>
          <t>17.28%</t>
        </is>
      </c>
      <c r="H33" s="6" t="inlineStr">
        <is>
          <t>18.19%</t>
        </is>
      </c>
      <c r="I33" s="6" t="inlineStr">
        <is>
          <t>18%</t>
        </is>
      </c>
      <c r="J33" s="6" t="inlineStr">
        <is>
          <t>17%</t>
        </is>
      </c>
      <c r="K33" s="6" t="inlineStr">
        <is>
          <t>19%</t>
        </is>
      </c>
      <c r="L33" s="6" t="n"/>
      <c r="M33" s="6" t="n"/>
      <c r="N33" s="6" t="n"/>
      <c r="O33" s="6" t="n"/>
      <c r="P33" s="6" t="n"/>
      <c r="Q33" s="6" t="n"/>
    </row>
    <row r="34">
      <c r="A34" s="6" t="inlineStr">
        <is>
          <t>Total Capital Ratio</t>
        </is>
      </c>
      <c r="B34" s="6" t="inlineStr">
        <is>
          <t>19.90%</t>
        </is>
      </c>
      <c r="C34" s="6" t="inlineStr">
        <is>
          <t>21.07%</t>
        </is>
      </c>
      <c r="D34" s="6" t="inlineStr">
        <is>
          <t>20.73%</t>
        </is>
      </c>
      <c r="E34" s="6" t="inlineStr">
        <is>
          <t>19.35%</t>
        </is>
      </c>
      <c r="F34" s="6" t="inlineStr">
        <is>
          <t>19.71%</t>
        </is>
      </c>
      <c r="G34" s="6" t="inlineStr">
        <is>
          <t>20.44%</t>
        </is>
      </c>
      <c r="H34" s="6" t="inlineStr">
        <is>
          <t>21.35%</t>
        </is>
      </c>
      <c r="I34" s="6" t="inlineStr">
        <is>
          <t>22%</t>
        </is>
      </c>
      <c r="J34" s="6" t="inlineStr">
        <is>
          <t>22%</t>
        </is>
      </c>
      <c r="K34" s="6" t="inlineStr">
        <is>
          <t>25%</t>
        </is>
      </c>
      <c r="L34" s="6" t="n"/>
      <c r="M34" s="6" t="n"/>
      <c r="N34" s="6" t="n"/>
      <c r="O34" s="6" t="n"/>
      <c r="P34" s="6" t="n"/>
      <c r="Q34" s="6" t="n"/>
    </row>
    <row r="35">
      <c r="A35" s="6" t="inlineStr">
        <is>
          <t>Leverage Ratio</t>
        </is>
      </c>
      <c r="B35" s="6" t="inlineStr">
        <is>
          <t>10.67%</t>
        </is>
      </c>
      <c r="C35" s="6" t="inlineStr">
        <is>
          <t>10.53%</t>
        </is>
      </c>
      <c r="D35" s="6" t="inlineStr">
        <is>
          <t>9.61%</t>
        </is>
      </c>
      <c r="E35" s="6" t="inlineStr">
        <is>
          <t>8.50%</t>
        </is>
      </c>
      <c r="F35" s="6" t="inlineStr">
        <is>
          <t>8.75%</t>
        </is>
      </c>
      <c r="G35" s="6" t="inlineStr">
        <is>
          <t>9.85%</t>
        </is>
      </c>
      <c r="H35" s="6" t="inlineStr">
        <is>
          <t>10.00%</t>
        </is>
      </c>
      <c r="I35" s="6" t="n"/>
      <c r="J35" s="6" t="n"/>
      <c r="K35" s="6" t="n"/>
      <c r="L35" s="6" t="n"/>
      <c r="M35" s="6" t="n"/>
      <c r="N35" s="6" t="n"/>
      <c r="O35" s="6" t="n"/>
      <c r="P35" s="6" t="n"/>
      <c r="Q35" s="6" t="n"/>
    </row>
    <row r="36">
      <c r="A36" s="6" t="inlineStr">
        <is>
          <t>LCR</t>
        </is>
      </c>
      <c r="B36" s="6" t="inlineStr">
        <is>
          <t>345.59%</t>
        </is>
      </c>
      <c r="C36" s="6" t="inlineStr">
        <is>
          <t>322.05%</t>
        </is>
      </c>
      <c r="D36" s="6" t="inlineStr">
        <is>
          <t>1153.62%</t>
        </is>
      </c>
      <c r="E36" s="6" t="inlineStr">
        <is>
          <t>1236.14%</t>
        </is>
      </c>
      <c r="F36" s="6" t="inlineStr">
        <is>
          <t>555.60%</t>
        </is>
      </c>
      <c r="G36" s="6" t="inlineStr">
        <is>
          <t>242.03%</t>
        </is>
      </c>
      <c r="H36" s="6" t="inlineStr">
        <is>
          <t>683.74%</t>
        </is>
      </c>
      <c r="I36" s="6" t="n"/>
      <c r="J36" s="6" t="n"/>
      <c r="K36" s="6" t="n"/>
      <c r="L36" s="6" t="n"/>
      <c r="M36" s="6" t="n"/>
      <c r="N36" s="6" t="n"/>
      <c r="O36" s="6" t="n"/>
      <c r="P36" s="6" t="n"/>
      <c r="Q36" s="6" t="n"/>
    </row>
    <row r="37">
      <c r="A37" s="6" t="inlineStr">
        <is>
          <t>NSFR</t>
        </is>
      </c>
      <c r="B37" s="6" t="inlineStr">
        <is>
          <t>127.95%</t>
        </is>
      </c>
      <c r="C37" s="6" t="inlineStr">
        <is>
          <t>128.20%</t>
        </is>
      </c>
      <c r="D37" s="6" t="inlineStr">
        <is>
          <t>130.56%</t>
        </is>
      </c>
      <c r="E37" s="6" t="inlineStr">
        <is>
          <t>129.18%</t>
        </is>
      </c>
      <c r="F37" s="6" t="inlineStr">
        <is>
          <t>119.68%</t>
        </is>
      </c>
      <c r="G37" s="6" t="n"/>
      <c r="H37" s="6" t="n"/>
      <c r="I37" s="6" t="n"/>
      <c r="J37" s="6" t="n"/>
      <c r="K37" s="6" t="n"/>
      <c r="L37" s="6" t="n"/>
      <c r="M37" s="6" t="n"/>
      <c r="N37" s="6" t="n"/>
      <c r="O37" s="6" t="n"/>
      <c r="P37" s="6" t="n"/>
      <c r="Q37" s="6" t="n"/>
    </row>
    <row r="39" ht="45" customHeight="1">
      <c r="A39" s="7" t="inlineStr">
        <is>
          <t>Note: Figures are duplicated from detail sheets; see each detail sheet's source citation.</t>
        </is>
      </c>
    </row>
  </sheetData>
  <mergeCells count="1">
    <mergeCell ref="A39:Q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Balance Sheet</t>
        </is>
      </c>
    </row>
    <row r="2">
      <c r="A2" s="2" t="inlineStr">
        <is>
          <t>Entity basis, £m, converted from the Bank's reported £ amounts; FY2010-FY2025. Each year's own originally-published figures are used - see RESTATEMENT NOTE / PRE-2018 PRESENTATION note at bottom. HD-074: FY2010-FY2013 added from the Bank's own Companies House statutory accounts (each year's own figures, cross-verified against the next year's own comparative column) - real statutory floor confirmed FY2010; every year's own Total equity ties exactly to both its own Statement of Changes in Equity closing balance and the next year's opening balance across the whole FY2010-FY2025 chain, no restatement gaps.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banks</t>
        </is>
      </c>
      <c r="B5" s="6" t="n">
        <v>132.46</v>
      </c>
      <c r="C5" s="6" t="n">
        <v>27.22</v>
      </c>
      <c r="D5" s="6" t="n">
        <v>49.25</v>
      </c>
      <c r="E5" s="6" t="n">
        <v>59.1</v>
      </c>
      <c r="F5" s="6" t="n">
        <v>56.34</v>
      </c>
      <c r="G5" s="6" t="n">
        <v>41.71</v>
      </c>
      <c r="H5" s="6" t="n">
        <v>40.78</v>
      </c>
      <c r="I5" s="6" t="n">
        <v>37.02</v>
      </c>
      <c r="J5" s="6" t="n">
        <v>30.75</v>
      </c>
      <c r="K5" s="6" t="n">
        <v>16.66</v>
      </c>
      <c r="L5" s="6" t="n">
        <v>6.1</v>
      </c>
      <c r="M5" s="6" t="n">
        <v>5.84</v>
      </c>
      <c r="N5" s="6" t="n">
        <v>2.83</v>
      </c>
      <c r="O5" s="6" t="n">
        <v>4.63</v>
      </c>
      <c r="P5" s="6" t="n">
        <v>1.46</v>
      </c>
      <c r="Q5" s="6" t="n">
        <v>2.03</v>
      </c>
    </row>
    <row r="6">
      <c r="A6" s="6" t="inlineStr">
        <is>
          <t>Due from banks</t>
        </is>
      </c>
      <c r="B6" s="6" t="n"/>
      <c r="C6" s="6" t="n"/>
      <c r="D6" s="6" t="n"/>
      <c r="E6" s="6" t="n"/>
      <c r="F6" s="6" t="n"/>
      <c r="G6" s="6" t="n"/>
      <c r="H6" s="6" t="n"/>
      <c r="I6" s="6" t="n"/>
      <c r="J6" s="6" t="n"/>
      <c r="K6" s="6" t="n">
        <v>90.86</v>
      </c>
      <c r="L6" s="6" t="n">
        <v>69.59999999999999</v>
      </c>
      <c r="M6" s="6" t="n">
        <v>23.58</v>
      </c>
      <c r="N6" s="6" t="n">
        <v>78.11</v>
      </c>
      <c r="O6" s="6" t="n">
        <v>71.41</v>
      </c>
      <c r="P6" s="6" t="n">
        <v>52.36</v>
      </c>
      <c r="Q6" s="6" t="n">
        <v>15.31</v>
      </c>
    </row>
    <row r="7">
      <c r="A7" s="6" t="inlineStr">
        <is>
          <t>Financing arrangements</t>
        </is>
      </c>
      <c r="B7" s="6" t="n">
        <v>954.6799999999999</v>
      </c>
      <c r="C7" s="6" t="n">
        <v>884.0599999999999</v>
      </c>
      <c r="D7" s="6" t="n">
        <v>826.88</v>
      </c>
      <c r="E7" s="6" t="n">
        <v>777.85</v>
      </c>
      <c r="F7" s="6" t="n">
        <v>726.03</v>
      </c>
      <c r="G7" s="6" t="n">
        <v>593.88</v>
      </c>
      <c r="H7" s="6" t="n">
        <v>530.99</v>
      </c>
      <c r="I7" s="6" t="n">
        <v>482.37</v>
      </c>
      <c r="J7" s="6" t="n">
        <v>403.27</v>
      </c>
      <c r="K7" s="6" t="n">
        <v>293.01</v>
      </c>
      <c r="L7" s="6" t="n">
        <v>227.8</v>
      </c>
      <c r="M7" s="6" t="n">
        <v>88.98</v>
      </c>
      <c r="N7" s="6" t="n">
        <v>36.68</v>
      </c>
      <c r="O7" s="6" t="n">
        <v>52.46</v>
      </c>
      <c r="P7" s="6" t="n">
        <v>36.74</v>
      </c>
      <c r="Q7" s="6" t="n">
        <v>24.61</v>
      </c>
    </row>
    <row r="8">
      <c r="A8" s="6" t="inlineStr">
        <is>
          <t>Less: impairment on financing arrangements</t>
        </is>
      </c>
      <c r="B8" s="6" t="n"/>
      <c r="C8" s="6" t="n"/>
      <c r="D8" s="6" t="n"/>
      <c r="E8" s="6" t="n"/>
      <c r="F8" s="6" t="n"/>
      <c r="G8" s="6" t="n"/>
      <c r="H8" s="6" t="n"/>
      <c r="I8" s="6" t="n"/>
      <c r="J8" s="6" t="n">
        <v>-5</v>
      </c>
      <c r="K8" s="6" t="n">
        <v>-2.75</v>
      </c>
      <c r="L8" s="6" t="n">
        <v>-0.63</v>
      </c>
      <c r="M8" s="6" t="n">
        <v>-0.68</v>
      </c>
      <c r="N8" s="6" t="n">
        <v>-2.41</v>
      </c>
      <c r="O8" s="6" t="n">
        <v>-5.28</v>
      </c>
      <c r="P8" s="6" t="n">
        <v>-1.6</v>
      </c>
      <c r="Q8" s="6" t="n">
        <v>-1.49</v>
      </c>
    </row>
    <row r="9">
      <c r="A9" s="6" t="inlineStr">
        <is>
          <t>Financial assets held to maturity</t>
        </is>
      </c>
      <c r="B9" s="6" t="n"/>
      <c r="C9" s="6" t="n"/>
      <c r="D9" s="6" t="n"/>
      <c r="E9" s="6" t="n"/>
      <c r="F9" s="6" t="n"/>
      <c r="G9" s="6" t="n"/>
      <c r="H9" s="6" t="n"/>
      <c r="I9" s="6" t="n"/>
      <c r="J9" s="6" t="n">
        <v>0</v>
      </c>
      <c r="K9" s="6" t="n">
        <v>2.42</v>
      </c>
      <c r="L9" s="6" t="n">
        <v>4.07</v>
      </c>
      <c r="M9" s="6" t="n">
        <v>6.81</v>
      </c>
      <c r="N9" s="6" t="n">
        <v>7.34</v>
      </c>
      <c r="O9" s="6" t="n">
        <v>7.45</v>
      </c>
      <c r="P9" s="6" t="n">
        <v>4.21</v>
      </c>
      <c r="Q9" s="6" t="n"/>
    </row>
    <row r="10">
      <c r="A10" s="6" t="inlineStr">
        <is>
          <t>Financial assets available for sale</t>
        </is>
      </c>
      <c r="B10" s="6" t="n"/>
      <c r="C10" s="6" t="n"/>
      <c r="D10" s="6" t="n"/>
      <c r="E10" s="6" t="n"/>
      <c r="F10" s="6" t="n"/>
      <c r="G10" s="6" t="n"/>
      <c r="H10" s="6" t="n"/>
      <c r="I10" s="6" t="n"/>
      <c r="J10" s="6" t="n">
        <v>69.06</v>
      </c>
      <c r="K10" s="6" t="n">
        <v>77.67</v>
      </c>
      <c r="L10" s="6" t="n">
        <v>87.73999999999999</v>
      </c>
      <c r="M10" s="6" t="n">
        <v>70.55</v>
      </c>
      <c r="N10" s="6" t="n">
        <v>22.07</v>
      </c>
      <c r="O10" s="6" t="n">
        <v>4.24</v>
      </c>
      <c r="P10" s="6" t="n">
        <v>1.9</v>
      </c>
      <c r="Q10" s="6" t="n"/>
    </row>
    <row r="11">
      <c r="A11" s="6" t="inlineStr">
        <is>
          <t>Financial assets at amortised cost</t>
        </is>
      </c>
      <c r="B11" s="6" t="n">
        <v>141.47</v>
      </c>
      <c r="C11" s="6" t="n">
        <v>192.9</v>
      </c>
      <c r="D11" s="6" t="n">
        <v>172.31</v>
      </c>
      <c r="E11" s="6" t="n">
        <v>149.78</v>
      </c>
      <c r="F11" s="6" t="n">
        <v>81.55</v>
      </c>
      <c r="G11" s="6" t="n">
        <v>67.27</v>
      </c>
      <c r="H11" s="6" t="n">
        <v>74.81</v>
      </c>
      <c r="I11" s="6" t="n">
        <v>66.83</v>
      </c>
      <c r="J11" s="6" t="n"/>
      <c r="K11" s="6" t="n"/>
      <c r="L11" s="6" t="n"/>
      <c r="M11" s="6" t="n"/>
      <c r="N11" s="6" t="n"/>
      <c r="O11" s="6" t="n"/>
      <c r="P11" s="6" t="n"/>
      <c r="Q11" s="6" t="n"/>
    </row>
    <row r="12">
      <c r="A12" s="6" t="inlineStr">
        <is>
          <t>Financial assets held for trading</t>
        </is>
      </c>
      <c r="B12" s="6" t="n"/>
      <c r="C12" s="6" t="n"/>
      <c r="D12" s="6" t="n"/>
      <c r="E12" s="6" t="n"/>
      <c r="F12" s="6" t="n"/>
      <c r="G12" s="6" t="n"/>
      <c r="H12" s="6" t="n"/>
      <c r="I12" s="6" t="n"/>
      <c r="J12" s="6" t="n"/>
      <c r="K12" s="6" t="n"/>
      <c r="L12" s="6" t="n"/>
      <c r="M12" s="6" t="n"/>
      <c r="N12" s="6" t="n">
        <v>0</v>
      </c>
      <c r="O12" s="6" t="n">
        <v>25.83</v>
      </c>
      <c r="P12" s="6" t="n">
        <v>27.01</v>
      </c>
      <c r="Q12" s="6" t="n"/>
    </row>
    <row r="13">
      <c r="A13" s="6" t="inlineStr">
        <is>
          <t>Derivative financial instruments</t>
        </is>
      </c>
      <c r="B13" s="6" t="n">
        <v>1.12</v>
      </c>
      <c r="C13" s="6" t="n">
        <v>1.6</v>
      </c>
      <c r="D13" s="6" t="n">
        <v>0.62</v>
      </c>
      <c r="E13" s="6" t="n">
        <v>0.99</v>
      </c>
      <c r="F13" s="6" t="n">
        <v>1.43</v>
      </c>
      <c r="G13" s="6" t="n">
        <v>0.09</v>
      </c>
      <c r="H13" s="6" t="n">
        <v>0.09</v>
      </c>
      <c r="I13" s="6" t="n">
        <v>5.37</v>
      </c>
      <c r="J13" s="6" t="n">
        <v>0</v>
      </c>
      <c r="K13" s="6" t="n">
        <v>8.130000000000001</v>
      </c>
      <c r="L13" s="6" t="n">
        <v>0.92</v>
      </c>
      <c r="M13" s="6" t="n">
        <v>0.65</v>
      </c>
      <c r="N13" s="6" t="n">
        <v>-0</v>
      </c>
      <c r="O13" s="6" t="n">
        <v>-0</v>
      </c>
      <c r="P13" s="6" t="n">
        <v>2.32</v>
      </c>
      <c r="Q13" s="6" t="n"/>
    </row>
    <row r="14">
      <c r="A14" s="6" t="inlineStr">
        <is>
          <t>Fair value adjustment for portfolio hedged risk</t>
        </is>
      </c>
      <c r="B14" s="6" t="n">
        <v>-1.03</v>
      </c>
      <c r="C14" s="6" t="n">
        <v>-0.9</v>
      </c>
      <c r="D14" s="6" t="n"/>
      <c r="E14" s="6" t="n"/>
      <c r="F14" s="6" t="n"/>
      <c r="G14" s="6" t="n"/>
      <c r="H14" s="6" t="n"/>
      <c r="I14" s="6" t="n"/>
      <c r="J14" s="6" t="n"/>
      <c r="K14" s="6" t="n"/>
      <c r="L14" s="6" t="n"/>
      <c r="M14" s="6" t="n"/>
      <c r="N14" s="6" t="n"/>
      <c r="O14" s="6" t="n"/>
      <c r="P14" s="6" t="n"/>
      <c r="Q14" s="6" t="n"/>
    </row>
    <row r="15">
      <c r="A15" s="6" t="inlineStr">
        <is>
          <t>Property and equipment</t>
        </is>
      </c>
      <c r="B15" s="6" t="n">
        <v>15.29</v>
      </c>
      <c r="C15" s="6" t="n">
        <v>12.81</v>
      </c>
      <c r="D15" s="6" t="n">
        <v>12.67</v>
      </c>
      <c r="E15" s="6" t="n">
        <v>14.13</v>
      </c>
      <c r="F15" s="6" t="n">
        <v>13</v>
      </c>
      <c r="G15" s="6" t="n">
        <v>13.55</v>
      </c>
      <c r="H15" s="6" t="n">
        <v>14.43</v>
      </c>
      <c r="I15" s="6" t="n">
        <v>14.84</v>
      </c>
      <c r="J15" s="6" t="n">
        <v>15.35</v>
      </c>
      <c r="K15" s="6" t="n">
        <v>15.83</v>
      </c>
      <c r="L15" s="6" t="n">
        <v>16.25</v>
      </c>
      <c r="M15" s="6" t="n">
        <v>14.72</v>
      </c>
      <c r="N15" s="6" t="n">
        <v>0.37</v>
      </c>
      <c r="O15" s="6" t="n">
        <v>0.47</v>
      </c>
      <c r="P15" s="6" t="n">
        <v>0.6</v>
      </c>
      <c r="Q15" s="6" t="n">
        <v>0.74</v>
      </c>
    </row>
    <row r="16">
      <c r="A16" s="6" t="inlineStr">
        <is>
          <t>Intangible assets</t>
        </is>
      </c>
      <c r="B16" s="6" t="n">
        <v>0.38</v>
      </c>
      <c r="C16" s="6" t="n"/>
      <c r="D16" s="6" t="n">
        <v>0.02</v>
      </c>
      <c r="E16" s="6" t="n">
        <v>0.07000000000000001</v>
      </c>
      <c r="F16" s="6" t="n">
        <v>0.23</v>
      </c>
      <c r="G16" s="6" t="n">
        <v>0.25</v>
      </c>
      <c r="H16" s="6" t="n">
        <v>0</v>
      </c>
      <c r="I16" s="6" t="n">
        <v>0.01</v>
      </c>
      <c r="J16" s="6" t="n">
        <v>0.08</v>
      </c>
      <c r="K16" s="6" t="n">
        <v>0.2</v>
      </c>
      <c r="L16" s="6" t="n">
        <v>0.3</v>
      </c>
      <c r="M16" s="6" t="n">
        <v>0.06</v>
      </c>
      <c r="N16" s="6" t="n">
        <v>0.04</v>
      </c>
      <c r="O16" s="6" t="n">
        <v>0.06</v>
      </c>
      <c r="P16" s="6" t="n">
        <v>0.05</v>
      </c>
      <c r="Q16" s="6" t="n">
        <v>0.13</v>
      </c>
    </row>
    <row r="17">
      <c r="A17" s="6" t="inlineStr">
        <is>
          <t>Investment property</t>
        </is>
      </c>
      <c r="B17" s="6" t="n">
        <v>3.1</v>
      </c>
      <c r="C17" s="6" t="n">
        <v>6.22</v>
      </c>
      <c r="D17" s="6" t="n">
        <v>6.22</v>
      </c>
      <c r="E17" s="6" t="n">
        <v>7.67</v>
      </c>
      <c r="F17" s="6" t="n">
        <v>10.24</v>
      </c>
      <c r="G17" s="6" t="n">
        <v>10.24</v>
      </c>
      <c r="H17" s="6" t="n">
        <v>10.24</v>
      </c>
      <c r="I17" s="6" t="n">
        <v>10.24</v>
      </c>
      <c r="J17" s="6" t="n">
        <v>10.24</v>
      </c>
      <c r="K17" s="6" t="n">
        <v>9.18</v>
      </c>
      <c r="L17" s="6" t="n">
        <v>9.51</v>
      </c>
      <c r="M17" s="6" t="n">
        <v>9.51</v>
      </c>
      <c r="N17" s="6" t="n"/>
      <c r="O17" s="6" t="n"/>
      <c r="P17" s="6" t="n"/>
      <c r="Q17" s="6" t="n"/>
    </row>
    <row r="18">
      <c r="A18" s="6" t="inlineStr">
        <is>
          <t>Other assets</t>
        </is>
      </c>
      <c r="B18" s="6" t="n">
        <v>2.77</v>
      </c>
      <c r="C18" s="6" t="n">
        <v>1.53</v>
      </c>
      <c r="D18" s="6" t="n">
        <v>1</v>
      </c>
      <c r="E18" s="6" t="n">
        <v>7.11</v>
      </c>
      <c r="F18" s="6" t="n">
        <v>4.12</v>
      </c>
      <c r="G18" s="6" t="n">
        <v>3.93</v>
      </c>
      <c r="H18" s="6" t="n">
        <v>3.78</v>
      </c>
      <c r="I18" s="6" t="n">
        <v>3.65</v>
      </c>
      <c r="J18" s="6" t="n">
        <v>3.73</v>
      </c>
      <c r="K18" s="6" t="n">
        <v>3.03</v>
      </c>
      <c r="L18" s="6" t="n">
        <v>3.22</v>
      </c>
      <c r="M18" s="6" t="n">
        <v>3.15</v>
      </c>
      <c r="N18" s="6" t="n">
        <v>2.97</v>
      </c>
      <c r="O18" s="6" t="n">
        <v>4.28</v>
      </c>
      <c r="P18" s="6" t="n">
        <v>3.64</v>
      </c>
      <c r="Q18" s="6" t="n">
        <v>5.06</v>
      </c>
    </row>
    <row r="19">
      <c r="A19" s="6" t="inlineStr">
        <is>
          <t>Deferred tax asset</t>
        </is>
      </c>
      <c r="B19" s="6" t="n"/>
      <c r="C19" s="6" t="n"/>
      <c r="D19" s="6" t="n">
        <v>1.5</v>
      </c>
      <c r="E19" s="6" t="n">
        <v>2.21</v>
      </c>
      <c r="F19" s="6" t="n">
        <v>1.79</v>
      </c>
      <c r="G19" s="6" t="n">
        <v>1.15</v>
      </c>
      <c r="H19" s="6" t="n">
        <v>1.03</v>
      </c>
      <c r="I19" s="6" t="n">
        <v>1.48</v>
      </c>
      <c r="J19" s="6" t="n">
        <v>2.27</v>
      </c>
      <c r="K19" s="6" t="n">
        <v>2.7</v>
      </c>
      <c r="L19" s="6" t="n">
        <v>3.32</v>
      </c>
      <c r="M19" s="6" t="n">
        <v>3.19</v>
      </c>
      <c r="N19" s="6" t="n">
        <v>3.2</v>
      </c>
      <c r="O19" s="6" t="n">
        <v>3.04</v>
      </c>
      <c r="P19" s="6" t="n">
        <v>2.37</v>
      </c>
      <c r="Q19" s="6" t="n">
        <v>2.54</v>
      </c>
    </row>
    <row r="20">
      <c r="A20" s="5" t="inlineStr">
        <is>
          <t>Total assets</t>
        </is>
      </c>
      <c r="B20" s="5" t="n">
        <v>1250.25</v>
      </c>
      <c r="C20" s="5" t="n">
        <v>1125.45</v>
      </c>
      <c r="D20" s="5" t="n">
        <v>1070.48</v>
      </c>
      <c r="E20" s="5" t="n">
        <v>1018.91</v>
      </c>
      <c r="F20" s="5" t="n">
        <v>894.73</v>
      </c>
      <c r="G20" s="5" t="n">
        <v>732.0599999999999</v>
      </c>
      <c r="H20" s="5" t="n">
        <v>676.17</v>
      </c>
      <c r="I20" s="5" t="n">
        <v>621.8099999999999</v>
      </c>
      <c r="J20" s="5" t="n">
        <v>529.77</v>
      </c>
      <c r="K20" s="5" t="n">
        <v>516.9299999999999</v>
      </c>
      <c r="L20" s="5" t="n">
        <v>428.19</v>
      </c>
      <c r="M20" s="5" t="n">
        <v>226.38</v>
      </c>
      <c r="N20" s="5" t="n">
        <v>151.2</v>
      </c>
      <c r="O20" s="5" t="n">
        <v>168.59</v>
      </c>
      <c r="P20" s="5" t="n">
        <v>131.05</v>
      </c>
      <c r="Q20" s="5" t="n">
        <v>60.14</v>
      </c>
    </row>
    <row r="21">
      <c r="A21" s="5" t="inlineStr">
        <is>
          <t>Liabilities</t>
        </is>
      </c>
      <c r="B21" s="6" t="n"/>
      <c r="C21" s="6" t="n"/>
      <c r="D21" s="6" t="n"/>
      <c r="E21" s="6" t="n"/>
      <c r="F21" s="6" t="n"/>
      <c r="G21" s="6" t="n"/>
      <c r="H21" s="6" t="n"/>
      <c r="I21" s="6" t="n"/>
      <c r="J21" s="6" t="n"/>
      <c r="K21" s="6" t="n"/>
      <c r="L21" s="6" t="n"/>
      <c r="M21" s="6" t="n"/>
      <c r="N21" s="6" t="n"/>
      <c r="O21" s="6" t="n"/>
      <c r="P21" s="6" t="n"/>
      <c r="Q21" s="6" t="n"/>
    </row>
    <row r="22">
      <c r="A22" s="6" t="inlineStr">
        <is>
          <t>Due to banks</t>
        </is>
      </c>
      <c r="B22" s="6" t="n">
        <v>108.42</v>
      </c>
      <c r="C22" s="6" t="n">
        <v>83.64</v>
      </c>
      <c r="D22" s="6" t="n">
        <v>103.99</v>
      </c>
      <c r="E22" s="6" t="n">
        <v>105.27</v>
      </c>
      <c r="F22" s="6" t="n">
        <v>120.26</v>
      </c>
      <c r="G22" s="6" t="n">
        <v>125.33</v>
      </c>
      <c r="H22" s="6" t="n">
        <v>85.17</v>
      </c>
      <c r="I22" s="6" t="n">
        <v>91.5</v>
      </c>
      <c r="J22" s="6" t="n">
        <v>72.56999999999999</v>
      </c>
      <c r="K22" s="6" t="n">
        <v>49.44</v>
      </c>
      <c r="L22" s="6" t="n">
        <v>134.13</v>
      </c>
      <c r="M22" s="6" t="n">
        <v>27.36</v>
      </c>
      <c r="N22" s="6" t="n">
        <v>53.73</v>
      </c>
      <c r="O22" s="6" t="n">
        <v>43.53</v>
      </c>
      <c r="P22" s="6" t="n">
        <v>25.9</v>
      </c>
      <c r="Q22" s="6" t="n">
        <v>25.88</v>
      </c>
    </row>
    <row r="23">
      <c r="A23" s="6" t="inlineStr">
        <is>
          <t>Due to customers</t>
        </is>
      </c>
      <c r="B23" s="6" t="n">
        <v>969.4</v>
      </c>
      <c r="C23" s="6" t="n">
        <v>886.39</v>
      </c>
      <c r="D23" s="6" t="n">
        <v>827.37</v>
      </c>
      <c r="E23" s="6" t="n">
        <v>780.21</v>
      </c>
      <c r="F23" s="6" t="n">
        <v>657.77</v>
      </c>
      <c r="G23" s="6" t="n">
        <v>495.17</v>
      </c>
      <c r="H23" s="6" t="n">
        <v>480.14</v>
      </c>
      <c r="I23" s="6" t="n">
        <v>434.54</v>
      </c>
      <c r="J23" s="6" t="n">
        <v>366.6</v>
      </c>
      <c r="K23" s="6" t="n">
        <v>388.38</v>
      </c>
      <c r="L23" s="6" t="n">
        <v>216.02</v>
      </c>
      <c r="M23" s="6" t="n">
        <v>153.14</v>
      </c>
      <c r="N23" s="6" t="n">
        <v>67.91</v>
      </c>
      <c r="O23" s="6" t="n">
        <v>102.82</v>
      </c>
      <c r="P23" s="6" t="n">
        <v>81.12</v>
      </c>
      <c r="Q23" s="6" t="n">
        <v>11.43</v>
      </c>
    </row>
    <row r="24">
      <c r="A24" s="6" t="inlineStr">
        <is>
          <t>Other liabilities</t>
        </is>
      </c>
      <c r="B24" s="6" t="n">
        <v>31.88</v>
      </c>
      <c r="C24" s="6" t="n">
        <v>27.42</v>
      </c>
      <c r="D24" s="6" t="n">
        <v>23.7</v>
      </c>
      <c r="E24" s="6" t="n">
        <v>29.98</v>
      </c>
      <c r="F24" s="6" t="n">
        <v>22.89</v>
      </c>
      <c r="G24" s="6" t="n">
        <v>18.57</v>
      </c>
      <c r="H24" s="6" t="n">
        <v>24.28</v>
      </c>
      <c r="I24" s="6" t="n">
        <v>17</v>
      </c>
      <c r="J24" s="6" t="n">
        <v>12.85</v>
      </c>
      <c r="K24" s="6" t="n">
        <v>11.03</v>
      </c>
      <c r="L24" s="6" t="n">
        <v>6.21</v>
      </c>
      <c r="M24" s="6" t="n">
        <v>2.62</v>
      </c>
      <c r="N24" s="6" t="n">
        <v>3.39</v>
      </c>
      <c r="O24" s="6" t="n">
        <v>3.54</v>
      </c>
      <c r="P24" s="6" t="n">
        <v>2.19</v>
      </c>
      <c r="Q24" s="6" t="n">
        <v>1.09</v>
      </c>
    </row>
    <row r="25">
      <c r="A25" s="6" t="inlineStr">
        <is>
          <t>Derivative financial instruments</t>
        </is>
      </c>
      <c r="B25" s="6" t="n">
        <v>1.65</v>
      </c>
      <c r="C25" s="6" t="n">
        <v>0.59</v>
      </c>
      <c r="D25" s="6" t="n">
        <v>0.82</v>
      </c>
      <c r="E25" s="6" t="n">
        <v>1.35</v>
      </c>
      <c r="F25" s="6" t="n">
        <v>1.29</v>
      </c>
      <c r="G25" s="6" t="n">
        <v>5.11</v>
      </c>
      <c r="H25" s="6" t="n">
        <v>3.41</v>
      </c>
      <c r="I25" s="6" t="n">
        <v>0</v>
      </c>
      <c r="J25" s="6" t="n">
        <v>1.69</v>
      </c>
      <c r="K25" s="6" t="n"/>
      <c r="L25" s="6" t="n"/>
      <c r="M25" s="6" t="n"/>
      <c r="N25" s="6" t="n"/>
      <c r="O25" s="6" t="n"/>
      <c r="P25" s="6" t="n"/>
      <c r="Q25" s="6" t="n"/>
    </row>
    <row r="26">
      <c r="A26" s="6" t="inlineStr">
        <is>
          <t>Deferred tax liability</t>
        </is>
      </c>
      <c r="B26" s="6" t="n">
        <v>0.16</v>
      </c>
      <c r="C26" s="6" t="n">
        <v>0.16</v>
      </c>
      <c r="D26" s="6" t="n"/>
      <c r="E26" s="6" t="n"/>
      <c r="F26" s="6" t="n"/>
      <c r="G26" s="6" t="n"/>
      <c r="H26" s="6" t="n"/>
      <c r="I26" s="6" t="n"/>
      <c r="J26" s="6" t="n"/>
      <c r="K26" s="6" t="n"/>
      <c r="L26" s="6" t="n"/>
      <c r="M26" s="6" t="n"/>
      <c r="N26" s="6" t="n"/>
      <c r="O26" s="6" t="n"/>
      <c r="P26" s="6" t="n"/>
      <c r="Q26" s="6" t="n"/>
    </row>
    <row r="27">
      <c r="A27" s="6" t="inlineStr">
        <is>
          <t>Subordinated Wakala (FY2010/FY2011: 'Loan from related party', an unsubordinated related-party facility later formalised as a subordinated loan/Wakala - same underlying facility, continuous balance)</t>
        </is>
      </c>
      <c r="B27" s="6" t="n">
        <v>14.1</v>
      </c>
      <c r="C27" s="6" t="n">
        <v>14.13</v>
      </c>
      <c r="D27" s="6" t="n">
        <v>14.17</v>
      </c>
      <c r="E27" s="6" t="n">
        <v>13.7</v>
      </c>
      <c r="F27" s="6" t="n">
        <v>13.7</v>
      </c>
      <c r="G27" s="6" t="n">
        <v>15.95</v>
      </c>
      <c r="H27" s="6" t="n">
        <v>15.95</v>
      </c>
      <c r="I27" s="6" t="n">
        <v>15.95</v>
      </c>
      <c r="J27" s="6" t="n">
        <v>15.95</v>
      </c>
      <c r="K27" s="6" t="n">
        <v>16.2</v>
      </c>
      <c r="L27" s="6" t="n">
        <v>16.2</v>
      </c>
      <c r="M27" s="6" t="n">
        <v>12.76</v>
      </c>
      <c r="N27" s="6" t="n">
        <v>9.76</v>
      </c>
      <c r="O27" s="6" t="n">
        <v>4.76</v>
      </c>
      <c r="P27" s="6" t="n">
        <v>4.76</v>
      </c>
      <c r="Q27" s="6" t="n">
        <v>4.76</v>
      </c>
    </row>
    <row r="28">
      <c r="A28" s="5" t="inlineStr">
        <is>
          <t>Total liabilities</t>
        </is>
      </c>
      <c r="B28" s="5" t="n">
        <v>1125.6</v>
      </c>
      <c r="C28" s="5" t="n">
        <v>1012.35</v>
      </c>
      <c r="D28" s="5" t="n">
        <v>970.04</v>
      </c>
      <c r="E28" s="5" t="n">
        <v>930.5</v>
      </c>
      <c r="F28" s="5" t="n">
        <v>815.9</v>
      </c>
      <c r="G28" s="5" t="n">
        <v>660.13</v>
      </c>
      <c r="H28" s="5" t="n">
        <v>608.95</v>
      </c>
      <c r="I28" s="5" t="n">
        <v>559</v>
      </c>
      <c r="J28" s="5" t="n">
        <v>469.67</v>
      </c>
      <c r="K28" s="5" t="n">
        <v>465.05</v>
      </c>
      <c r="L28" s="5" t="n">
        <v>372.56</v>
      </c>
      <c r="M28" s="5" t="n">
        <v>195.87</v>
      </c>
      <c r="N28" s="5" t="n">
        <v>134.79</v>
      </c>
      <c r="O28" s="5" t="n">
        <v>154.65</v>
      </c>
      <c r="P28" s="5" t="n">
        <v>113.97</v>
      </c>
      <c r="Q28" s="5" t="n">
        <v>43.16</v>
      </c>
    </row>
    <row r="29">
      <c r="A29" s="5" t="inlineStr">
        <is>
          <t>Equity</t>
        </is>
      </c>
      <c r="B29" s="6" t="n"/>
      <c r="C29" s="6" t="n"/>
      <c r="D29" s="6" t="n"/>
      <c r="E29" s="6" t="n"/>
      <c r="F29" s="6" t="n"/>
      <c r="G29" s="6" t="n"/>
      <c r="H29" s="6" t="n"/>
      <c r="I29" s="6" t="n"/>
      <c r="J29" s="6" t="n"/>
      <c r="K29" s="6" t="n"/>
      <c r="L29" s="6" t="n"/>
      <c r="M29" s="6" t="n"/>
      <c r="N29" s="6" t="n"/>
      <c r="O29" s="6" t="n"/>
      <c r="P29" s="6" t="n"/>
      <c r="Q29" s="6" t="n"/>
    </row>
    <row r="30">
      <c r="A30" s="6" t="inlineStr">
        <is>
          <t>Share capital</t>
        </is>
      </c>
      <c r="B30" s="6" t="n">
        <v>60.86</v>
      </c>
      <c r="C30" s="6" t="n">
        <v>60.86</v>
      </c>
      <c r="D30" s="6" t="n">
        <v>60.86</v>
      </c>
      <c r="E30" s="6" t="n">
        <v>60.86</v>
      </c>
      <c r="F30" s="6" t="n">
        <v>60.86</v>
      </c>
      <c r="G30" s="6" t="n">
        <v>60.86</v>
      </c>
      <c r="H30" s="6" t="n">
        <v>60.86</v>
      </c>
      <c r="I30" s="6" t="n">
        <v>60.86</v>
      </c>
      <c r="J30" s="6" t="n">
        <v>85.81</v>
      </c>
      <c r="K30" s="6" t="n">
        <v>79.56</v>
      </c>
      <c r="L30" s="6" t="n">
        <v>79.56</v>
      </c>
      <c r="M30" s="6" t="n">
        <v>56.5</v>
      </c>
      <c r="N30" s="6" t="n">
        <v>44</v>
      </c>
      <c r="O30" s="6" t="n">
        <v>25</v>
      </c>
      <c r="P30" s="6" t="n">
        <v>25</v>
      </c>
      <c r="Q30" s="6" t="n">
        <v>25</v>
      </c>
    </row>
    <row r="31">
      <c r="A31" s="6" t="inlineStr">
        <is>
          <t>Fair value reserve on AFS financial assets</t>
        </is>
      </c>
      <c r="B31" s="6" t="n"/>
      <c r="C31" s="6" t="n"/>
      <c r="D31" s="6" t="n"/>
      <c r="E31" s="6" t="n"/>
      <c r="F31" s="6" t="n"/>
      <c r="G31" s="6" t="n"/>
      <c r="H31" s="6" t="n"/>
      <c r="I31" s="6" t="n"/>
      <c r="J31" s="6" t="n">
        <v>-0.46</v>
      </c>
      <c r="K31" s="6" t="n">
        <v>-0.6</v>
      </c>
      <c r="L31" s="6" t="n">
        <v>-0.31</v>
      </c>
      <c r="M31" s="6" t="n">
        <v>0.17</v>
      </c>
      <c r="N31" s="6" t="n">
        <v>-0.11</v>
      </c>
      <c r="O31" s="6" t="n">
        <v>0.31</v>
      </c>
      <c r="P31" s="6" t="n"/>
      <c r="Q31" s="6" t="n"/>
    </row>
    <row r="32">
      <c r="A32" s="6" t="inlineStr">
        <is>
          <t>Cash flow hedge reserve</t>
        </is>
      </c>
      <c r="B32" s="6" t="n">
        <v>-0.47</v>
      </c>
      <c r="C32" s="6" t="n">
        <v>-0.21</v>
      </c>
      <c r="D32" s="6" t="n">
        <v>-0.28</v>
      </c>
      <c r="E32" s="6" t="n">
        <v>-0.31</v>
      </c>
      <c r="F32" s="6" t="n">
        <v>-0.2</v>
      </c>
      <c r="G32" s="6" t="n">
        <v>-0.28</v>
      </c>
      <c r="H32" s="6" t="n">
        <v>-0.26</v>
      </c>
      <c r="I32" s="6" t="n">
        <v>-0.25</v>
      </c>
      <c r="J32" s="6" t="n">
        <v>-0.31</v>
      </c>
      <c r="K32" s="6" t="n">
        <v>-0.37</v>
      </c>
      <c r="L32" s="6" t="n"/>
      <c r="M32" s="6" t="n"/>
      <c r="N32" s="6" t="n"/>
      <c r="O32" s="6" t="n"/>
      <c r="P32" s="6" t="n"/>
      <c r="Q32" s="6" t="n"/>
    </row>
    <row r="33">
      <c r="A33" s="6" t="inlineStr">
        <is>
          <t>Retained earnings</t>
        </is>
      </c>
      <c r="B33" s="6" t="n">
        <v>64.25</v>
      </c>
      <c r="C33" s="6" t="n">
        <v>52.44</v>
      </c>
      <c r="D33" s="6" t="n">
        <v>39.86</v>
      </c>
      <c r="E33" s="6" t="n">
        <v>27.86</v>
      </c>
      <c r="F33" s="6" t="n">
        <v>18.16</v>
      </c>
      <c r="G33" s="6" t="n">
        <v>11.35</v>
      </c>
      <c r="H33" s="6" t="n">
        <v>6.61</v>
      </c>
      <c r="I33" s="6" t="n">
        <v>2.2</v>
      </c>
      <c r="J33" s="6" t="n">
        <v>-24.94</v>
      </c>
      <c r="K33" s="6" t="n">
        <v>-26.7</v>
      </c>
      <c r="L33" s="6" t="n">
        <v>-23.61</v>
      </c>
      <c r="M33" s="6" t="n">
        <v>-26.16</v>
      </c>
      <c r="N33" s="6" t="n">
        <v>-27.48</v>
      </c>
      <c r="O33" s="6" t="n">
        <v>-11.36</v>
      </c>
      <c r="P33" s="6" t="n">
        <v>-7.93</v>
      </c>
      <c r="Q33" s="6" t="n">
        <v>-8.02</v>
      </c>
    </row>
    <row r="34">
      <c r="A34" s="5" t="inlineStr">
        <is>
          <t>Total equity</t>
        </is>
      </c>
      <c r="B34" s="5" t="n">
        <v>124.65</v>
      </c>
      <c r="C34" s="5" t="n">
        <v>113.1</v>
      </c>
      <c r="D34" s="5" t="n">
        <v>100.44</v>
      </c>
      <c r="E34" s="5" t="n">
        <v>88.41</v>
      </c>
      <c r="F34" s="5" t="n">
        <v>78.83</v>
      </c>
      <c r="G34" s="5" t="n">
        <v>71.93000000000001</v>
      </c>
      <c r="H34" s="5" t="n">
        <v>67.22</v>
      </c>
      <c r="I34" s="5" t="n">
        <v>62.81</v>
      </c>
      <c r="J34" s="5" t="n">
        <v>60.1</v>
      </c>
      <c r="K34" s="5" t="n">
        <v>51.89</v>
      </c>
      <c r="L34" s="5" t="n">
        <v>55.63</v>
      </c>
      <c r="M34" s="5" t="n">
        <v>30.51</v>
      </c>
      <c r="N34" s="5" t="n">
        <v>16.41</v>
      </c>
      <c r="O34" s="5" t="n">
        <v>13.94</v>
      </c>
      <c r="P34" s="5" t="n">
        <v>17.07</v>
      </c>
      <c r="Q34" s="5" t="n">
        <v>16.98</v>
      </c>
    </row>
    <row r="35">
      <c r="A35" s="5" t="inlineStr">
        <is>
          <t>Total liabilities and equity</t>
        </is>
      </c>
      <c r="B35" s="5" t="n">
        <v>1250.25</v>
      </c>
      <c r="C35" s="5" t="n">
        <v>1125.45</v>
      </c>
      <c r="D35" s="5" t="n">
        <v>1070.48</v>
      </c>
      <c r="E35" s="5" t="n">
        <v>1018.91</v>
      </c>
      <c r="F35" s="5" t="n">
        <v>894.73</v>
      </c>
      <c r="G35" s="5" t="n">
        <v>732.0599999999999</v>
      </c>
      <c r="H35" s="5" t="n">
        <v>676.17</v>
      </c>
      <c r="I35" s="5" t="n">
        <v>621.8099999999999</v>
      </c>
      <c r="J35" s="5" t="n">
        <v>529.77</v>
      </c>
      <c r="K35" s="5" t="n">
        <v>516.9299999999999</v>
      </c>
      <c r="L35" s="5" t="n">
        <v>428.19</v>
      </c>
      <c r="M35" s="5" t="n">
        <v>226.38</v>
      </c>
      <c r="N35" s="5" t="n">
        <v>151.2</v>
      </c>
      <c r="O35" s="5" t="n">
        <v>168.59</v>
      </c>
      <c r="P35" s="5" t="n">
        <v>131.05</v>
      </c>
      <c r="Q35" s="5" t="n">
        <v>60.14</v>
      </c>
    </row>
    <row r="37" ht="520" customHeight="1">
      <c r="A37"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37:Q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Profit &amp; Loss</t>
        </is>
      </c>
    </row>
    <row r="2">
      <c r="A2" s="2" t="inlineStr">
        <is>
          <t>Entity basis, £m, converted from the Bank's reported £ amounts; FY2010-FY2025. Each year's own originally-published figures are used - see PRESENTATION NOTE / PRE-2018 PRESENTATION note at bottom. HD-074: FY2010-FY2013 added (real statutory floor FY2010). DATA QUALITY NOTE: FY2012's own printed Statement of Comprehensive Income has no Other Comprehensive Income section at all (ends at 'Profit/(loss) for the year') even though FY2012's own Statement of Changes in Equity discloses a £305,549 'Net Change in fair value of AFS financial assets' equity movement that year - a genuine presentation gap in the Bank's own FY2012 AR, not a transcription omission here; that £305,549 is carried on this sheet's OCI section so the Total comprehensive income row ties to the Statement of Changes in Equity.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Income from financing and investing activities</t>
        </is>
      </c>
      <c r="B5" s="6" t="n"/>
      <c r="C5" s="6" t="n"/>
      <c r="D5" s="6" t="n"/>
      <c r="E5" s="6" t="n"/>
      <c r="F5" s="6" t="n"/>
      <c r="G5" s="6" t="n"/>
      <c r="H5" s="6" t="n"/>
      <c r="I5" s="6" t="n"/>
      <c r="J5" s="6" t="n">
        <v>17.39</v>
      </c>
      <c r="K5" s="6" t="n">
        <v>13.6</v>
      </c>
      <c r="L5" s="6" t="n">
        <v>11.09</v>
      </c>
      <c r="M5" s="6" t="n">
        <v>5.79</v>
      </c>
      <c r="N5" s="6" t="n">
        <v>5.14</v>
      </c>
      <c r="O5" s="6" t="n">
        <v>5.54</v>
      </c>
      <c r="P5" s="6" t="n">
        <v>2.64</v>
      </c>
      <c r="Q5" s="6" t="n">
        <v>1.08</v>
      </c>
    </row>
    <row r="6">
      <c r="A6" s="6" t="inlineStr">
        <is>
          <t>Income from financing activities</t>
        </is>
      </c>
      <c r="B6" s="6" t="n">
        <v>65.55</v>
      </c>
      <c r="C6" s="6" t="n">
        <v>69.27</v>
      </c>
      <c r="D6" s="6" t="n">
        <v>60.99</v>
      </c>
      <c r="E6" s="6" t="n">
        <v>31.61</v>
      </c>
      <c r="F6" s="6" t="n">
        <v>21.44</v>
      </c>
      <c r="G6" s="6" t="n">
        <v>19.81</v>
      </c>
      <c r="H6" s="6" t="n">
        <v>20.57</v>
      </c>
      <c r="I6" s="6" t="n">
        <v>17.73</v>
      </c>
      <c r="J6" s="6" t="n"/>
      <c r="K6" s="6" t="n"/>
      <c r="L6" s="6" t="n"/>
      <c r="M6" s="6" t="n"/>
      <c r="N6" s="6" t="n"/>
      <c r="O6" s="6" t="n"/>
      <c r="P6" s="6" t="n"/>
      <c r="Q6" s="6" t="n"/>
    </row>
    <row r="7">
      <c r="A7" s="6" t="inlineStr">
        <is>
          <t>Income from investing activities</t>
        </is>
      </c>
      <c r="B7" s="6" t="n">
        <v>7.73</v>
      </c>
      <c r="C7" s="6" t="n">
        <v>6.23</v>
      </c>
      <c r="D7" s="6" t="n">
        <v>4.9</v>
      </c>
      <c r="E7" s="6" t="n">
        <v>2.54</v>
      </c>
      <c r="F7" s="6" t="n">
        <v>1.62</v>
      </c>
      <c r="G7" s="6" t="n">
        <v>1.81</v>
      </c>
      <c r="H7" s="6" t="n">
        <v>1.76</v>
      </c>
      <c r="I7" s="6" t="n">
        <v>1.14</v>
      </c>
      <c r="J7" s="6" t="n"/>
      <c r="K7" s="6" t="n"/>
      <c r="L7" s="6" t="n"/>
      <c r="M7" s="6" t="n"/>
      <c r="N7" s="6" t="n"/>
      <c r="O7" s="6" t="n"/>
      <c r="P7" s="6" t="n"/>
      <c r="Q7" s="6" t="n"/>
    </row>
    <row r="8">
      <c r="A8" s="6" t="inlineStr">
        <is>
          <t>Returns to banks and customers</t>
        </is>
      </c>
      <c r="B8" s="6" t="n">
        <v>-45.71</v>
      </c>
      <c r="C8" s="6" t="n">
        <v>-48</v>
      </c>
      <c r="D8" s="6" t="n">
        <v>-37.37</v>
      </c>
      <c r="E8" s="6" t="n">
        <v>-14.86</v>
      </c>
      <c r="F8" s="6" t="n">
        <v>-7.94</v>
      </c>
      <c r="G8" s="6" t="n">
        <v>-9.69</v>
      </c>
      <c r="H8" s="6" t="n">
        <v>-10.92</v>
      </c>
      <c r="I8" s="6" t="n">
        <v>-8.5</v>
      </c>
      <c r="J8" s="6" t="n">
        <v>-7.24</v>
      </c>
      <c r="K8" s="6" t="n">
        <v>-5.71</v>
      </c>
      <c r="L8" s="6" t="n">
        <v>-3.05</v>
      </c>
      <c r="M8" s="6" t="n">
        <v>-2.5</v>
      </c>
      <c r="N8" s="6" t="n">
        <v>-3.61</v>
      </c>
      <c r="O8" s="6" t="n">
        <v>-3.3</v>
      </c>
      <c r="P8" s="6" t="n">
        <v>-1.19</v>
      </c>
      <c r="Q8" s="6" t="n">
        <v>-0.35</v>
      </c>
    </row>
    <row r="9">
      <c r="A9" s="5" t="inlineStr">
        <is>
          <t>Net income from financing and investing activities</t>
        </is>
      </c>
      <c r="B9" s="5" t="n">
        <v>27.56</v>
      </c>
      <c r="C9" s="5" t="n">
        <v>27.5</v>
      </c>
      <c r="D9" s="5" t="n">
        <v>28.52</v>
      </c>
      <c r="E9" s="5" t="n">
        <v>19.28</v>
      </c>
      <c r="F9" s="5" t="n">
        <v>15.12</v>
      </c>
      <c r="G9" s="5" t="n">
        <v>11.92</v>
      </c>
      <c r="H9" s="5" t="n">
        <v>11.4</v>
      </c>
      <c r="I9" s="5" t="n">
        <v>10.37</v>
      </c>
      <c r="J9" s="5" t="n">
        <v>10.15</v>
      </c>
      <c r="K9" s="5" t="n">
        <v>7.89</v>
      </c>
      <c r="L9" s="5" t="n">
        <v>8.039999999999999</v>
      </c>
      <c r="M9" s="5" t="n">
        <v>3.29</v>
      </c>
      <c r="N9" s="5" t="n">
        <v>1.53</v>
      </c>
      <c r="O9" s="5" t="n">
        <v>2.24</v>
      </c>
      <c r="P9" s="5" t="n">
        <v>1.46</v>
      </c>
      <c r="Q9" s="5" t="n">
        <v>0.74</v>
      </c>
    </row>
    <row r="10">
      <c r="A10" s="6" t="inlineStr">
        <is>
          <t>Fees and commissions income</t>
        </is>
      </c>
      <c r="B10" s="6" t="n">
        <v>2.49</v>
      </c>
      <c r="C10" s="6" t="n">
        <v>2.21</v>
      </c>
      <c r="D10" s="6" t="n">
        <v>1.82</v>
      </c>
      <c r="E10" s="6" t="n">
        <v>1.84</v>
      </c>
      <c r="F10" s="6" t="n">
        <v>1.61</v>
      </c>
      <c r="G10" s="6" t="n">
        <v>1.73</v>
      </c>
      <c r="H10" s="6" t="n">
        <v>1.82</v>
      </c>
      <c r="I10" s="6" t="n">
        <v>1.8</v>
      </c>
      <c r="J10" s="6" t="n">
        <v>1.38</v>
      </c>
      <c r="K10" s="6" t="n">
        <v>1.21</v>
      </c>
      <c r="L10" s="6" t="n">
        <v>1.11</v>
      </c>
      <c r="M10" s="6" t="n">
        <v>1.85</v>
      </c>
      <c r="N10" s="6" t="n">
        <v>1.21</v>
      </c>
      <c r="O10" s="6" t="n">
        <v>4.42</v>
      </c>
      <c r="P10" s="6" t="n">
        <v>5.8</v>
      </c>
      <c r="Q10" s="6" t="n">
        <v>4.34</v>
      </c>
    </row>
    <row r="11">
      <c r="A11" s="6" t="inlineStr">
        <is>
          <t>Fees and commissions expense</t>
        </is>
      </c>
      <c r="B11" s="6" t="n">
        <v>-0.72</v>
      </c>
      <c r="C11" s="6" t="n">
        <v>-0.63</v>
      </c>
      <c r="D11" s="6" t="n">
        <v>-0.67</v>
      </c>
      <c r="E11" s="6" t="n">
        <v>-0.5600000000000001</v>
      </c>
      <c r="F11" s="6" t="n">
        <v>-0.49</v>
      </c>
      <c r="G11" s="6" t="n">
        <v>-0.29</v>
      </c>
      <c r="H11" s="6" t="n">
        <v>-0.13</v>
      </c>
      <c r="I11" s="6" t="n">
        <v>-0.06</v>
      </c>
      <c r="J11" s="6" t="n">
        <v>-0.19</v>
      </c>
      <c r="K11" s="6" t="n">
        <v>-1.19</v>
      </c>
      <c r="L11" s="6" t="n">
        <v>-0.88</v>
      </c>
      <c r="M11" s="6" t="n">
        <v>-0.45</v>
      </c>
      <c r="N11" s="6" t="n">
        <v>-0.23</v>
      </c>
      <c r="O11" s="6" t="n">
        <v>-0.32</v>
      </c>
      <c r="P11" s="6" t="n">
        <v>-0.54</v>
      </c>
      <c r="Q11" s="6" t="n">
        <v>-0.14</v>
      </c>
    </row>
    <row r="12">
      <c r="A12" s="5" t="inlineStr">
        <is>
          <t>Net fees and commissions income</t>
        </is>
      </c>
      <c r="B12" s="5" t="n">
        <v>1.77</v>
      </c>
      <c r="C12" s="5" t="n">
        <v>1.57</v>
      </c>
      <c r="D12" s="5" t="n">
        <v>1.16</v>
      </c>
      <c r="E12" s="5" t="n">
        <v>1.29</v>
      </c>
      <c r="F12" s="5" t="n">
        <v>1.12</v>
      </c>
      <c r="G12" s="5" t="n">
        <v>1.44</v>
      </c>
      <c r="H12" s="5" t="n">
        <v>1.68</v>
      </c>
      <c r="I12" s="5" t="n">
        <v>1.74</v>
      </c>
      <c r="J12" s="5" t="n">
        <v>1.19</v>
      </c>
      <c r="K12" s="5" t="n">
        <v>0.02</v>
      </c>
      <c r="L12" s="5" t="n">
        <v>0.23</v>
      </c>
      <c r="M12" s="5" t="n">
        <v>1.39</v>
      </c>
      <c r="N12" s="5" t="n">
        <v>0.98</v>
      </c>
      <c r="O12" s="5" t="n">
        <v>4.1</v>
      </c>
      <c r="P12" s="5" t="n">
        <v>5.26</v>
      </c>
      <c r="Q12" s="5" t="n">
        <v>4.2</v>
      </c>
    </row>
    <row r="13">
      <c r="A13" s="6" t="inlineStr">
        <is>
          <t>Net gain/(loss) on financial assets at fair value</t>
        </is>
      </c>
      <c r="B13" s="6" t="n">
        <v>-0.32</v>
      </c>
      <c r="C13" s="6" t="n">
        <v>0.03</v>
      </c>
      <c r="D13" s="6" t="n"/>
      <c r="E13" s="6" t="n"/>
      <c r="F13" s="6" t="n"/>
      <c r="G13" s="6" t="n"/>
      <c r="H13" s="6" t="n"/>
      <c r="I13" s="6" t="n"/>
      <c r="J13" s="6" t="n"/>
      <c r="K13" s="6" t="n"/>
      <c r="L13" s="6" t="n"/>
      <c r="M13" s="6" t="n"/>
      <c r="N13" s="6" t="n"/>
      <c r="O13" s="6" t="n"/>
      <c r="P13" s="6" t="n"/>
      <c r="Q13" s="6" t="n"/>
    </row>
    <row r="14">
      <c r="A14" s="6" t="inlineStr">
        <is>
          <t>Net gain/(loss) on financial assets at amortised cost</t>
        </is>
      </c>
      <c r="B14" s="6" t="n">
        <v>0.1</v>
      </c>
      <c r="C14" s="6" t="n">
        <v>0.03</v>
      </c>
      <c r="D14" s="6" t="n"/>
      <c r="E14" s="6" t="n"/>
      <c r="F14" s="6" t="n">
        <v>0.03</v>
      </c>
      <c r="G14" s="6" t="n">
        <v>0.15</v>
      </c>
      <c r="H14" s="6" t="n">
        <v>0.03</v>
      </c>
      <c r="I14" s="6" t="n">
        <v>-0</v>
      </c>
      <c r="J14" s="6" t="n"/>
      <c r="K14" s="6" t="n"/>
      <c r="L14" s="6" t="n"/>
      <c r="M14" s="6" t="n"/>
      <c r="N14" s="6" t="n"/>
      <c r="O14" s="6" t="n"/>
      <c r="P14" s="6" t="n"/>
      <c r="Q14" s="6" t="n"/>
    </row>
    <row r="15">
      <c r="A15" s="6" t="inlineStr">
        <is>
          <t>Net gain/(loss) on financial assets at FVPL</t>
        </is>
      </c>
      <c r="B15" s="6" t="n"/>
      <c r="C15" s="6" t="n"/>
      <c r="D15" s="6" t="n"/>
      <c r="E15" s="6" t="n"/>
      <c r="F15" s="6" t="n">
        <v>0.1</v>
      </c>
      <c r="G15" s="6" t="n"/>
      <c r="H15" s="6" t="n"/>
      <c r="I15" s="6" t="n"/>
      <c r="J15" s="6" t="n"/>
      <c r="K15" s="6" t="n"/>
      <c r="L15" s="6" t="n"/>
      <c r="M15" s="6" t="n"/>
      <c r="N15" s="6" t="n"/>
      <c r="O15" s="6" t="n"/>
      <c r="P15" s="6" t="n"/>
      <c r="Q15" s="6" t="n"/>
    </row>
    <row r="16">
      <c r="A16" s="6" t="inlineStr">
        <is>
          <t>Net gains/(losses) on financial assets classified as held for trading</t>
        </is>
      </c>
      <c r="B16" s="6" t="n"/>
      <c r="C16" s="6" t="n"/>
      <c r="D16" s="6" t="n"/>
      <c r="E16" s="6" t="n"/>
      <c r="F16" s="6" t="n"/>
      <c r="G16" s="6" t="n"/>
      <c r="H16" s="6" t="n"/>
      <c r="I16" s="6" t="n"/>
      <c r="J16" s="6" t="n"/>
      <c r="K16" s="6" t="n"/>
      <c r="L16" s="6" t="n"/>
      <c r="M16" s="6" t="n"/>
      <c r="N16" s="6" t="n"/>
      <c r="O16" s="6" t="n">
        <v>1.47</v>
      </c>
      <c r="P16" s="6" t="n">
        <v>0.73</v>
      </c>
      <c r="Q16" s="6" t="n">
        <v>0.24</v>
      </c>
    </row>
    <row r="17">
      <c r="A17" s="6" t="inlineStr">
        <is>
          <t>Net gain/(loss) on financial assets classified as AFS</t>
        </is>
      </c>
      <c r="B17" s="6" t="n"/>
      <c r="C17" s="6" t="n"/>
      <c r="D17" s="6" t="n"/>
      <c r="E17" s="6" t="n"/>
      <c r="F17" s="6" t="n"/>
      <c r="G17" s="6" t="n"/>
      <c r="H17" s="6" t="n"/>
      <c r="I17" s="6" t="n"/>
      <c r="J17" s="6" t="n">
        <v>-0.15</v>
      </c>
      <c r="K17" s="6" t="n">
        <v>0.71</v>
      </c>
      <c r="L17" s="6" t="n">
        <v>0.66</v>
      </c>
      <c r="M17" s="6" t="n">
        <v>0.23</v>
      </c>
      <c r="N17" s="6" t="n">
        <v>-0.2</v>
      </c>
      <c r="O17" s="6" t="n"/>
      <c r="P17" s="6" t="n"/>
      <c r="Q17" s="6" t="n"/>
    </row>
    <row r="18">
      <c r="A18" s="6" t="inlineStr">
        <is>
          <t>Gain/(loss) on foreign exchange</t>
        </is>
      </c>
      <c r="B18" s="6" t="n">
        <v>0.33</v>
      </c>
      <c r="C18" s="6" t="n">
        <v>0.2</v>
      </c>
      <c r="D18" s="6" t="n">
        <v>0.25</v>
      </c>
      <c r="E18" s="6" t="n">
        <v>0.25</v>
      </c>
      <c r="F18" s="6" t="n">
        <v>0.08</v>
      </c>
      <c r="G18" s="6" t="n">
        <v>0.21</v>
      </c>
      <c r="H18" s="6" t="n">
        <v>0.1</v>
      </c>
      <c r="I18" s="6" t="n">
        <v>0.03</v>
      </c>
      <c r="J18" s="6" t="n">
        <v>0.03</v>
      </c>
      <c r="K18" s="6" t="n">
        <v>-0.01</v>
      </c>
      <c r="L18" s="6" t="n">
        <v>-0.14</v>
      </c>
      <c r="M18" s="6" t="n">
        <v>-0.85</v>
      </c>
      <c r="N18" s="6" t="n">
        <v>-0.05</v>
      </c>
      <c r="O18" s="6" t="n"/>
      <c r="P18" s="6" t="n"/>
      <c r="Q18" s="6" t="n"/>
    </row>
    <row r="19">
      <c r="A19" s="6" t="inlineStr">
        <is>
          <t>Fair value gain on forward foreign exchange</t>
        </is>
      </c>
      <c r="B19" s="6" t="n"/>
      <c r="C19" s="6" t="n"/>
      <c r="D19" s="6" t="n"/>
      <c r="E19" s="6" t="n"/>
      <c r="F19" s="6" t="n"/>
      <c r="G19" s="6" t="n"/>
      <c r="H19" s="6" t="n"/>
      <c r="I19" s="6" t="n"/>
      <c r="J19" s="6" t="n"/>
      <c r="K19" s="6" t="n"/>
      <c r="L19" s="6" t="n">
        <v>0.14</v>
      </c>
      <c r="M19" s="6" t="n">
        <v>0.84</v>
      </c>
      <c r="N19" s="6" t="n">
        <v>0</v>
      </c>
      <c r="O19" s="6" t="n">
        <v>-0.82</v>
      </c>
      <c r="P19" s="6" t="n">
        <v>0.82</v>
      </c>
      <c r="Q19" s="6" t="n"/>
    </row>
    <row r="20">
      <c r="A20" s="6" t="inlineStr">
        <is>
          <t>Rental income</t>
        </is>
      </c>
      <c r="B20" s="6" t="n"/>
      <c r="C20" s="6" t="n"/>
      <c r="D20" s="6" t="n"/>
      <c r="E20" s="6" t="n"/>
      <c r="F20" s="6" t="n"/>
      <c r="G20" s="6" t="n"/>
      <c r="H20" s="6" t="n"/>
      <c r="I20" s="6" t="n">
        <v>0.28</v>
      </c>
      <c r="J20" s="6" t="n">
        <v>0.11</v>
      </c>
      <c r="K20" s="6" t="n">
        <v>0.02</v>
      </c>
      <c r="L20" s="6" t="n"/>
      <c r="M20" s="6" t="n"/>
      <c r="N20" s="6" t="n"/>
      <c r="O20" s="6" t="n"/>
      <c r="P20" s="6" t="n"/>
      <c r="Q20" s="6" t="n"/>
    </row>
    <row r="21">
      <c r="A21" s="6" t="inlineStr">
        <is>
          <t>Other income</t>
        </is>
      </c>
      <c r="B21" s="6" t="n">
        <v>0.12</v>
      </c>
      <c r="C21" s="6" t="n">
        <v>0.48</v>
      </c>
      <c r="D21" s="6" t="n">
        <v>0.17</v>
      </c>
      <c r="E21" s="6" t="n">
        <v>0.12</v>
      </c>
      <c r="F21" s="6" t="n">
        <v>0.09</v>
      </c>
      <c r="G21" s="6" t="n">
        <v>0.18</v>
      </c>
      <c r="H21" s="6" t="n">
        <v>0.26</v>
      </c>
      <c r="I21" s="6" t="n"/>
      <c r="J21" s="6" t="n"/>
      <c r="K21" s="6" t="n"/>
      <c r="L21" s="6" t="n">
        <v>0.39</v>
      </c>
      <c r="M21" s="6" t="n">
        <v>0.34</v>
      </c>
      <c r="N21" s="6" t="n"/>
      <c r="O21" s="6" t="n"/>
      <c r="P21" s="6" t="n"/>
      <c r="Q21" s="6" t="n"/>
    </row>
    <row r="22">
      <c r="A22" s="6" t="inlineStr">
        <is>
          <t>FV loss on investment property</t>
        </is>
      </c>
      <c r="B22" s="6" t="n"/>
      <c r="C22" s="6" t="n"/>
      <c r="D22" s="6" t="n">
        <v>-1.44</v>
      </c>
      <c r="E22" s="6" t="n">
        <v>-0.91</v>
      </c>
      <c r="F22" s="6" t="n"/>
      <c r="G22" s="6" t="n"/>
      <c r="H22" s="6" t="n"/>
      <c r="I22" s="6" t="n"/>
      <c r="J22" s="6" t="n"/>
      <c r="K22" s="6" t="n"/>
      <c r="L22" s="6" t="n"/>
      <c r="M22" s="6" t="n"/>
      <c r="N22" s="6" t="n"/>
      <c r="O22" s="6" t="n"/>
      <c r="P22" s="6" t="n"/>
      <c r="Q22" s="6" t="n"/>
    </row>
    <row r="23">
      <c r="A23" s="5" t="inlineStr">
        <is>
          <t>Total operating income</t>
        </is>
      </c>
      <c r="B23" s="5" t="n">
        <v>29.56</v>
      </c>
      <c r="C23" s="5" t="n">
        <v>29.81</v>
      </c>
      <c r="D23" s="5" t="n">
        <v>28.66</v>
      </c>
      <c r="E23" s="5" t="n">
        <v>20.03</v>
      </c>
      <c r="F23" s="5" t="n">
        <v>16.54</v>
      </c>
      <c r="G23" s="5" t="n">
        <v>13.9</v>
      </c>
      <c r="H23" s="5" t="n">
        <v>13.47</v>
      </c>
      <c r="I23" s="5" t="n">
        <v>12.42</v>
      </c>
      <c r="J23" s="5" t="n">
        <v>11.34</v>
      </c>
      <c r="K23" s="5" t="n">
        <v>8.630000000000001</v>
      </c>
      <c r="L23" s="5" t="n">
        <v>9.33</v>
      </c>
      <c r="M23" s="5" t="n">
        <v>5.25</v>
      </c>
      <c r="N23" s="5" t="n">
        <v>2.26</v>
      </c>
      <c r="O23" s="5" t="n">
        <v>8</v>
      </c>
      <c r="P23" s="5" t="n">
        <v>8.27</v>
      </c>
      <c r="Q23" s="5" t="n">
        <v>5.17</v>
      </c>
    </row>
    <row r="24">
      <c r="A24" s="5" t="inlineStr">
        <is>
          <t>Expenses</t>
        </is>
      </c>
      <c r="B24" s="6" t="n"/>
      <c r="C24" s="6" t="n"/>
      <c r="D24" s="6" t="n"/>
      <c r="E24" s="6" t="n"/>
      <c r="F24" s="6" t="n"/>
      <c r="G24" s="6" t="n"/>
      <c r="H24" s="6" t="n"/>
      <c r="I24" s="6" t="n"/>
      <c r="J24" s="6" t="n"/>
      <c r="K24" s="6" t="n"/>
      <c r="L24" s="6" t="n"/>
      <c r="M24" s="6" t="n"/>
      <c r="N24" s="6" t="n"/>
      <c r="O24" s="6" t="n"/>
      <c r="P24" s="6" t="n"/>
      <c r="Q24" s="6" t="n"/>
    </row>
    <row r="25">
      <c r="A25" s="6" t="inlineStr">
        <is>
          <t>Personnel expenses</t>
        </is>
      </c>
      <c r="B25" s="6" t="n">
        <v>-7.81</v>
      </c>
      <c r="C25" s="6" t="n">
        <v>-7.65</v>
      </c>
      <c r="D25" s="6" t="n">
        <v>-7.17</v>
      </c>
      <c r="E25" s="6" t="n">
        <v>-6.41</v>
      </c>
      <c r="F25" s="6" t="n">
        <v>-5.76</v>
      </c>
      <c r="G25" s="6" t="n">
        <v>-5.03</v>
      </c>
      <c r="H25" s="6" t="n">
        <v>-4.88</v>
      </c>
      <c r="I25" s="6" t="n">
        <v>-4.63</v>
      </c>
      <c r="J25" s="6" t="n">
        <v>-4.57</v>
      </c>
      <c r="K25" s="6" t="n">
        <v>-3.98</v>
      </c>
      <c r="L25" s="6" t="n">
        <v>-3.71</v>
      </c>
      <c r="M25" s="6" t="n">
        <v>-3.1</v>
      </c>
      <c r="N25" s="6" t="n">
        <v>-3.35</v>
      </c>
      <c r="O25" s="6" t="n">
        <v>-3.99</v>
      </c>
      <c r="P25" s="6" t="n">
        <v>-3.94</v>
      </c>
      <c r="Q25" s="6" t="n">
        <v>-3.56</v>
      </c>
    </row>
    <row r="26">
      <c r="A26" s="6" t="inlineStr">
        <is>
          <t>Depreciation and amortisation</t>
        </is>
      </c>
      <c r="B26" s="6" t="n">
        <v>-0.38</v>
      </c>
      <c r="C26" s="6" t="n">
        <v>-0.57</v>
      </c>
      <c r="D26" s="6" t="n">
        <v>-0.61</v>
      </c>
      <c r="E26" s="6" t="n">
        <v>-0.6899999999999999</v>
      </c>
      <c r="F26" s="6" t="n">
        <v>-0.7</v>
      </c>
      <c r="G26" s="6" t="n">
        <v>-0.67</v>
      </c>
      <c r="H26" s="6" t="n">
        <v>-0.64</v>
      </c>
      <c r="I26" s="6" t="n">
        <v>-0.76</v>
      </c>
      <c r="J26" s="6" t="n">
        <v>-0.77</v>
      </c>
      <c r="K26" s="6" t="n">
        <v>-0.75</v>
      </c>
      <c r="L26" s="6" t="n">
        <v>-0.9</v>
      </c>
      <c r="M26" s="6" t="n">
        <v>-0.13</v>
      </c>
      <c r="N26" s="6" t="n">
        <v>-0.14</v>
      </c>
      <c r="O26" s="6" t="n">
        <v>-0.2</v>
      </c>
      <c r="P26" s="6" t="n">
        <v>-0.29</v>
      </c>
      <c r="Q26" s="6" t="n">
        <v>-0.53</v>
      </c>
    </row>
    <row r="27">
      <c r="A27" s="6" t="inlineStr">
        <is>
          <t>Other expenses</t>
        </is>
      </c>
      <c r="B27" s="6" t="n">
        <v>-3.94</v>
      </c>
      <c r="C27" s="6" t="n">
        <v>-3.33</v>
      </c>
      <c r="D27" s="6" t="n">
        <v>-2.86</v>
      </c>
      <c r="E27" s="6" t="n">
        <v>-2.56</v>
      </c>
      <c r="F27" s="6" t="n">
        <v>-2.19</v>
      </c>
      <c r="G27" s="6" t="n">
        <v>-1.93</v>
      </c>
      <c r="H27" s="6" t="n">
        <v>-2.04</v>
      </c>
      <c r="I27" s="6" t="n">
        <v>-2.26</v>
      </c>
      <c r="J27" s="6" t="n">
        <v>-2.11</v>
      </c>
      <c r="K27" s="6" t="n">
        <v>-3.14</v>
      </c>
      <c r="L27" s="6" t="n">
        <v>-2.22</v>
      </c>
      <c r="M27" s="6" t="n">
        <v>-2.5</v>
      </c>
      <c r="N27" s="6" t="n">
        <v>-3.08</v>
      </c>
      <c r="O27" s="6" t="n">
        <v>-2.74</v>
      </c>
      <c r="P27" s="6" t="n">
        <v>-3.67</v>
      </c>
      <c r="Q27" s="6" t="n">
        <v>-2.02</v>
      </c>
    </row>
    <row r="28">
      <c r="A28" s="6" t="inlineStr">
        <is>
          <t>Exceptional item</t>
        </is>
      </c>
      <c r="B28" s="6" t="n"/>
      <c r="C28" s="6" t="n"/>
      <c r="D28" s="6" t="n"/>
      <c r="E28" s="6" t="n"/>
      <c r="F28" s="6" t="n"/>
      <c r="G28" s="6" t="n"/>
      <c r="H28" s="6" t="n"/>
      <c r="I28" s="6" t="n"/>
      <c r="J28" s="6" t="n"/>
      <c r="K28" s="6" t="n">
        <v>-1.38</v>
      </c>
      <c r="L28" s="6" t="n"/>
      <c r="M28" s="6" t="n"/>
      <c r="N28" s="6" t="n"/>
      <c r="O28" s="6" t="n"/>
      <c r="P28" s="6" t="n"/>
      <c r="Q28" s="6" t="n"/>
    </row>
    <row r="29">
      <c r="A29" s="5" t="inlineStr">
        <is>
          <t>Total operating expenses</t>
        </is>
      </c>
      <c r="B29" s="5" t="n">
        <v>-12.14</v>
      </c>
      <c r="C29" s="5" t="n">
        <v>-11.55</v>
      </c>
      <c r="D29" s="5" t="n">
        <v>-10.64</v>
      </c>
      <c r="E29" s="5" t="n">
        <v>-9.66</v>
      </c>
      <c r="F29" s="5" t="n">
        <v>-8.65</v>
      </c>
      <c r="G29" s="5" t="n">
        <v>-7.62</v>
      </c>
      <c r="H29" s="5" t="n">
        <v>-7.56</v>
      </c>
      <c r="I29" s="5" t="n">
        <v>-7.66</v>
      </c>
      <c r="J29" s="5" t="n">
        <v>-7.45</v>
      </c>
      <c r="K29" s="5" t="n">
        <v>-7.87</v>
      </c>
      <c r="L29" s="5" t="n">
        <v>-6.83</v>
      </c>
      <c r="M29" s="5" t="n">
        <v>-5.73</v>
      </c>
      <c r="N29" s="5" t="n">
        <v>-6.57</v>
      </c>
      <c r="O29" s="5" t="n">
        <v>-6.93</v>
      </c>
      <c r="P29" s="5" t="n">
        <v>-7.89</v>
      </c>
      <c r="Q29" s="5" t="n">
        <v>-6.11</v>
      </c>
    </row>
    <row r="30">
      <c r="A30" s="5" t="inlineStr">
        <is>
          <t>Profit/(loss) before provisions for impairment</t>
        </is>
      </c>
      <c r="B30" s="5" t="n">
        <v>17.43</v>
      </c>
      <c r="C30" s="5" t="n">
        <v>18.26</v>
      </c>
      <c r="D30" s="5" t="n">
        <v>18.03</v>
      </c>
      <c r="E30" s="5" t="n">
        <v>10.37</v>
      </c>
      <c r="F30" s="5" t="n">
        <v>7.89</v>
      </c>
      <c r="G30" s="5" t="n">
        <v>6.27</v>
      </c>
      <c r="H30" s="5" t="n">
        <v>5.91</v>
      </c>
      <c r="I30" s="5" t="n">
        <v>4.76</v>
      </c>
      <c r="J30" s="5" t="n">
        <v>3.89</v>
      </c>
      <c r="K30" s="5" t="n">
        <v>-0.62</v>
      </c>
      <c r="L30" s="5" t="n">
        <v>2.5</v>
      </c>
      <c r="M30" s="5" t="n">
        <v>-0.48</v>
      </c>
      <c r="N30" s="5" t="n">
        <v>-4.31</v>
      </c>
      <c r="O30" s="5" t="n">
        <v>1.07</v>
      </c>
      <c r="P30" s="5" t="n">
        <v>0.38</v>
      </c>
      <c r="Q30" s="5" t="n">
        <v>-0.9399999999999999</v>
      </c>
    </row>
    <row r="31">
      <c r="A31" s="6" t="inlineStr">
        <is>
          <t>Credit (loss)/reversal expense on financial assets</t>
        </is>
      </c>
      <c r="B31" s="6" t="n">
        <v>-1.65</v>
      </c>
      <c r="C31" s="6" t="n">
        <v>-0.74</v>
      </c>
      <c r="D31" s="6" t="n">
        <v>-1.05</v>
      </c>
      <c r="E31" s="6" t="n">
        <v>0.64</v>
      </c>
      <c r="F31" s="6" t="n">
        <v>-0.66</v>
      </c>
      <c r="G31" s="6" t="n">
        <v>-0.83</v>
      </c>
      <c r="H31" s="6" t="n">
        <v>-0.5600000000000001</v>
      </c>
      <c r="I31" s="6" t="n">
        <v>-0</v>
      </c>
      <c r="J31" s="6" t="n"/>
      <c r="K31" s="6" t="n"/>
      <c r="L31" s="6" t="n"/>
      <c r="M31" s="6" t="n"/>
      <c r="N31" s="6" t="n"/>
      <c r="O31" s="6" t="n"/>
      <c r="P31" s="6" t="n"/>
      <c r="Q31" s="6" t="n"/>
    </row>
    <row r="32">
      <c r="A32" s="6" t="inlineStr">
        <is>
          <t>Provisions for impairment</t>
        </is>
      </c>
      <c r="B32" s="6" t="n"/>
      <c r="C32" s="6" t="n"/>
      <c r="D32" s="6" t="n"/>
      <c r="E32" s="6" t="n"/>
      <c r="F32" s="6" t="n"/>
      <c r="G32" s="6" t="n"/>
      <c r="H32" s="6" t="n"/>
      <c r="I32" s="6" t="n"/>
      <c r="J32" s="6" t="n">
        <v>-1.72</v>
      </c>
      <c r="K32" s="6" t="n">
        <v>-1.82</v>
      </c>
      <c r="L32" s="6" t="n">
        <v>0.05</v>
      </c>
      <c r="M32" s="6" t="n">
        <v>1.73</v>
      </c>
      <c r="N32" s="6" t="n">
        <v>-7.65</v>
      </c>
      <c r="O32" s="6" t="n">
        <v>-3.68</v>
      </c>
      <c r="P32" s="6" t="n">
        <v>-0.11</v>
      </c>
      <c r="Q32" s="6" t="n">
        <v>-0.5600000000000001</v>
      </c>
    </row>
    <row r="33">
      <c r="A33" s="6" t="inlineStr">
        <is>
          <t>Impairment on building</t>
        </is>
      </c>
      <c r="B33" s="6" t="n"/>
      <c r="C33" s="6" t="n"/>
      <c r="D33" s="6" t="n">
        <v>-0.95</v>
      </c>
      <c r="E33" s="6" t="n"/>
      <c r="F33" s="6" t="n"/>
      <c r="G33" s="6" t="n"/>
      <c r="H33" s="6" t="n"/>
      <c r="I33" s="6" t="n"/>
      <c r="J33" s="6" t="n"/>
      <c r="K33" s="6" t="n"/>
      <c r="L33" s="6" t="n"/>
      <c r="M33" s="6" t="n"/>
      <c r="N33" s="6" t="n"/>
      <c r="O33" s="6" t="n"/>
      <c r="P33" s="6" t="n"/>
      <c r="Q33" s="6" t="n"/>
    </row>
    <row r="34">
      <c r="A34" s="6" t="inlineStr">
        <is>
          <t>Fair value loss related to impaired/wa'ad assets</t>
        </is>
      </c>
      <c r="B34" s="6" t="n"/>
      <c r="C34" s="6" t="n"/>
      <c r="D34" s="6" t="n"/>
      <c r="E34" s="6" t="n"/>
      <c r="F34" s="6" t="n"/>
      <c r="G34" s="6" t="n"/>
      <c r="H34" s="6" t="n"/>
      <c r="I34" s="6" t="n"/>
      <c r="J34" s="6" t="n"/>
      <c r="K34" s="6" t="n"/>
      <c r="L34" s="6" t="n"/>
      <c r="M34" s="6" t="n"/>
      <c r="N34" s="6" t="n">
        <v>-3.95</v>
      </c>
      <c r="O34" s="6" t="n">
        <v>-1.5</v>
      </c>
      <c r="P34" s="6" t="n"/>
      <c r="Q34" s="6" t="n"/>
    </row>
    <row r="35">
      <c r="A35" s="5" t="inlineStr">
        <is>
          <t>Profit/(loss) before taxation</t>
        </is>
      </c>
      <c r="B35" s="5" t="n">
        <v>15.78</v>
      </c>
      <c r="C35" s="5" t="n">
        <v>17.52</v>
      </c>
      <c r="D35" s="5" t="n">
        <v>16.03</v>
      </c>
      <c r="E35" s="5" t="n">
        <v>11.01</v>
      </c>
      <c r="F35" s="5" t="n">
        <v>7.23</v>
      </c>
      <c r="G35" s="5" t="n">
        <v>5.44</v>
      </c>
      <c r="H35" s="5" t="n">
        <v>5.35</v>
      </c>
      <c r="I35" s="5" t="n">
        <v>4.76</v>
      </c>
      <c r="J35" s="5" t="n">
        <v>2.16</v>
      </c>
      <c r="K35" s="5" t="n">
        <v>-2.45</v>
      </c>
      <c r="L35" s="5" t="n">
        <v>2.55</v>
      </c>
      <c r="M35" s="5" t="n">
        <v>1.25</v>
      </c>
      <c r="N35" s="5" t="n">
        <v>-15.91</v>
      </c>
      <c r="O35" s="5" t="n">
        <v>-4.11</v>
      </c>
      <c r="P35" s="5" t="n">
        <v>0.26</v>
      </c>
      <c r="Q35" s="5" t="n">
        <v>-1.51</v>
      </c>
    </row>
    <row r="36">
      <c r="A36" s="6" t="inlineStr">
        <is>
          <t>Taxation</t>
        </is>
      </c>
      <c r="B36" s="6" t="n">
        <v>-4.04</v>
      </c>
      <c r="C36" s="6" t="n">
        <v>-4.92</v>
      </c>
      <c r="D36" s="6" t="n">
        <v>-4.08</v>
      </c>
      <c r="E36" s="6" t="n">
        <v>-1.32</v>
      </c>
      <c r="F36" s="6" t="n">
        <v>-0.38</v>
      </c>
      <c r="G36" s="6" t="n">
        <v>-0.7</v>
      </c>
      <c r="H36" s="6" t="n">
        <v>-0.92</v>
      </c>
      <c r="I36" s="6" t="n">
        <v>-1.05</v>
      </c>
      <c r="J36" s="6" t="n">
        <v>-0.4</v>
      </c>
      <c r="K36" s="6" t="n">
        <v>-0.64</v>
      </c>
      <c r="L36" s="6" t="n">
        <v>0</v>
      </c>
      <c r="M36" s="6" t="n">
        <v>0.07000000000000001</v>
      </c>
      <c r="N36" s="6" t="n">
        <v>0.16</v>
      </c>
      <c r="O36" s="6" t="n">
        <v>0.67</v>
      </c>
      <c r="P36" s="6" t="n">
        <v>-0.17</v>
      </c>
      <c r="Q36" s="6" t="n">
        <v>0.3</v>
      </c>
    </row>
    <row r="37">
      <c r="A37" s="5" t="inlineStr">
        <is>
          <t>Profit/(loss) for the year</t>
        </is>
      </c>
      <c r="B37" s="5" t="n">
        <v>11.73</v>
      </c>
      <c r="C37" s="5" t="n">
        <v>12.6</v>
      </c>
      <c r="D37" s="5" t="n">
        <v>11.95</v>
      </c>
      <c r="E37" s="5" t="n">
        <v>9.69</v>
      </c>
      <c r="F37" s="5" t="n">
        <v>6.86</v>
      </c>
      <c r="G37" s="5" t="n">
        <v>4.74</v>
      </c>
      <c r="H37" s="5" t="n">
        <v>4.43</v>
      </c>
      <c r="I37" s="5" t="n">
        <v>3.71</v>
      </c>
      <c r="J37" s="5" t="n">
        <v>1.76</v>
      </c>
      <c r="K37" s="5" t="n">
        <v>-3.09</v>
      </c>
      <c r="L37" s="5" t="n">
        <v>2.55</v>
      </c>
      <c r="M37" s="5" t="n">
        <v>1.32</v>
      </c>
      <c r="N37" s="5" t="n">
        <v>-15.75</v>
      </c>
      <c r="O37" s="5" t="n">
        <v>-3.44</v>
      </c>
      <c r="P37" s="5" t="n">
        <v>0.09</v>
      </c>
      <c r="Q37" s="5" t="n">
        <v>-1.21</v>
      </c>
    </row>
    <row r="38">
      <c r="A38" s="5" t="inlineStr">
        <is>
          <t>Other comprehensive income</t>
        </is>
      </c>
      <c r="B38" s="6" t="n"/>
      <c r="C38" s="6" t="n"/>
      <c r="D38" s="6" t="n"/>
      <c r="E38" s="6" t="n"/>
      <c r="F38" s="6" t="n"/>
      <c r="G38" s="6" t="n"/>
      <c r="H38" s="6" t="n"/>
      <c r="I38" s="6" t="n"/>
      <c r="J38" s="6" t="n"/>
      <c r="K38" s="6" t="n"/>
      <c r="L38" s="6" t="n"/>
      <c r="M38" s="6" t="n"/>
      <c r="N38" s="6" t="n"/>
      <c r="O38" s="6" t="n"/>
      <c r="P38" s="6" t="n"/>
      <c r="Q38" s="6" t="n"/>
    </row>
    <row r="39">
      <c r="A39" s="6" t="inlineStr">
        <is>
          <t>Change in fair value of AFS financial assets net of tax</t>
        </is>
      </c>
      <c r="B39" s="6" t="n"/>
      <c r="C39" s="6" t="n"/>
      <c r="D39" s="6" t="n"/>
      <c r="E39" s="6" t="n"/>
      <c r="F39" s="6" t="n"/>
      <c r="G39" s="6" t="n"/>
      <c r="H39" s="6" t="n"/>
      <c r="I39" s="6" t="n"/>
      <c r="J39" s="6" t="n">
        <v>0.14</v>
      </c>
      <c r="K39" s="6" t="n">
        <v>-0.29</v>
      </c>
      <c r="L39" s="6" t="n">
        <v>-0.48</v>
      </c>
      <c r="M39" s="6" t="n">
        <v>0.27</v>
      </c>
      <c r="N39" s="6" t="n">
        <v>-0.41</v>
      </c>
      <c r="O39" s="6" t="n">
        <v>0.31</v>
      </c>
      <c r="P39" s="6" t="n"/>
      <c r="Q39" s="6" t="n"/>
    </row>
    <row r="40">
      <c r="A40" s="6" t="inlineStr">
        <is>
          <t>Change in fair value of cash flow hedge</t>
        </is>
      </c>
      <c r="B40" s="6" t="n">
        <v>-0.26</v>
      </c>
      <c r="C40" s="6" t="n">
        <v>0.08</v>
      </c>
      <c r="D40" s="6" t="n">
        <v>0.03</v>
      </c>
      <c r="E40" s="6" t="n">
        <v>-0.11</v>
      </c>
      <c r="F40" s="6" t="n">
        <v>0.08</v>
      </c>
      <c r="G40" s="6" t="n">
        <v>-0.03</v>
      </c>
      <c r="H40" s="6" t="n">
        <v>-0</v>
      </c>
      <c r="I40" s="6" t="n">
        <v>0.05</v>
      </c>
      <c r="J40" s="6" t="n">
        <v>0.06</v>
      </c>
      <c r="K40" s="6" t="n">
        <v>-0.37</v>
      </c>
      <c r="L40" s="6" t="n"/>
      <c r="M40" s="6" t="n"/>
      <c r="N40" s="6" t="n"/>
      <c r="O40" s="6" t="n"/>
      <c r="P40" s="6" t="n"/>
      <c r="Q40" s="6" t="n"/>
    </row>
    <row r="41">
      <c r="A41" s="5" t="inlineStr">
        <is>
          <t>Total comprehensive profit/(loss) for the year</t>
        </is>
      </c>
      <c r="B41" s="5" t="n">
        <v>11.47</v>
      </c>
      <c r="C41" s="5" t="n">
        <v>12.68</v>
      </c>
      <c r="D41" s="5" t="n">
        <v>11.98</v>
      </c>
      <c r="E41" s="5" t="n">
        <v>9.59</v>
      </c>
      <c r="F41" s="5" t="n">
        <v>6.94</v>
      </c>
      <c r="G41" s="5" t="n">
        <v>4.72</v>
      </c>
      <c r="H41" s="5" t="n">
        <v>4.42</v>
      </c>
      <c r="I41" s="5" t="n">
        <v>3.77</v>
      </c>
      <c r="J41" s="5" t="n">
        <v>1.96</v>
      </c>
      <c r="K41" s="5" t="n">
        <v>-3.74</v>
      </c>
      <c r="L41" s="5" t="n">
        <v>2.07</v>
      </c>
      <c r="M41" s="5" t="n">
        <v>1.59</v>
      </c>
      <c r="N41" s="5" t="n">
        <v>-16.17</v>
      </c>
      <c r="O41" s="5" t="n">
        <v>-3.13</v>
      </c>
      <c r="P41" s="5" t="n">
        <v>0.09</v>
      </c>
      <c r="Q41" s="5" t="n">
        <v>-1.21</v>
      </c>
    </row>
    <row r="43" ht="520" customHeight="1">
      <c r="A43"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43:Q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QIB (UK) plc — Statement of Changes in Equity</t>
        </is>
      </c>
    </row>
    <row r="2">
      <c r="A2" s="2" t="inlineStr">
        <is>
          <t>Chronological roll-forward oldest to newest, entity basis, £m, FY2010-FY2025. Equity reconciliation ladder confirmed: every year's own closing balance ties exactly to both the next year's own opening balance and that year's own Balance Sheet Total equity, with one exception - a single explicit £21,038 restatement row is carried between FY2018's own closing balance and FY2019's own opening balance (see RESTATEMENT NOTE on the Balance Sheet/P&amp;L sheets); no other plug rows are needed anywhere across all 16 years - HD-074's FY2010-FY2013 extension ties exactly into the pre-existing FY2014 opening row with no gap. The Fair Value Reserve on AFS Financial Assets column is populated FY2012-FY2018 (blank before FY2012 and after FY2018, once the FY2018 IFRS 9 capital restructuring eliminated the AFS category); the Cash Flow Hedge column only exists from FY2016 onward. The deferred-tax movement row's label changes across years (the Bank's own wording); all years' rows represent the same underlying deferred tax adjustment on the relevant reserve/retained earnings.</t>
        </is>
      </c>
    </row>
    <row r="3">
      <c r="A3" s="4" t="inlineStr">
        <is>
          <t>Movement</t>
        </is>
      </c>
      <c r="B3" s="4" t="inlineStr">
        <is>
          <t>Share Capital</t>
        </is>
      </c>
      <c r="C3" s="4" t="inlineStr">
        <is>
          <t>Fair Value Reserve on AFS Financial Assets</t>
        </is>
      </c>
      <c r="D3" s="4" t="inlineStr">
        <is>
          <t>Cash Flow Hedge</t>
        </is>
      </c>
      <c r="E3" s="4" t="inlineStr">
        <is>
          <t>Retained Earnings</t>
        </is>
      </c>
      <c r="F3" s="4" t="inlineStr">
        <is>
          <t>Total</t>
        </is>
      </c>
    </row>
    <row r="4">
      <c r="A4" s="6" t="inlineStr">
        <is>
          <t>At 1 January 2010 (FY2010 opening, per FY2011 AR's own FY2010 comparative)</t>
        </is>
      </c>
      <c r="B4" s="6" t="n">
        <v>25</v>
      </c>
      <c r="C4" s="6" t="n"/>
      <c r="D4" s="6" t="n"/>
      <c r="E4" s="6" t="n">
        <v>-6.81</v>
      </c>
      <c r="F4" s="6" t="n">
        <v>18.19</v>
      </c>
    </row>
    <row r="5">
      <c r="A5" s="6" t="inlineStr">
        <is>
          <t>Loss for the year</t>
        </is>
      </c>
      <c r="B5" s="6" t="n"/>
      <c r="C5" s="6" t="n"/>
      <c r="D5" s="6" t="n"/>
      <c r="E5" s="6" t="n">
        <v>-1.207</v>
      </c>
      <c r="F5" s="6" t="n">
        <v>-1.207</v>
      </c>
    </row>
    <row r="6">
      <c r="A6" s="5" t="inlineStr">
        <is>
          <t>At 31 December 2010</t>
        </is>
      </c>
      <c r="B6" s="5" t="n">
        <v>25</v>
      </c>
      <c r="C6" s="5" t="n"/>
      <c r="D6" s="5" t="n"/>
      <c r="E6" s="5" t="n">
        <v>-8.016999999999999</v>
      </c>
      <c r="F6" s="5" t="n">
        <v>16.983</v>
      </c>
    </row>
    <row r="7">
      <c r="A7" s="6" t="inlineStr">
        <is>
          <t>Profit for the year</t>
        </is>
      </c>
      <c r="B7" s="6" t="n"/>
      <c r="C7" s="6" t="n"/>
      <c r="D7" s="6" t="n"/>
      <c r="E7" s="6" t="n">
        <v>0.091</v>
      </c>
      <c r="F7" s="6" t="n">
        <v>0.091</v>
      </c>
    </row>
    <row r="8">
      <c r="A8" s="5" t="inlineStr">
        <is>
          <t>At 31 December 2011</t>
        </is>
      </c>
      <c r="B8" s="5" t="n">
        <v>25</v>
      </c>
      <c r="C8" s="5" t="n"/>
      <c r="D8" s="5" t="n"/>
      <c r="E8" s="5" t="n">
        <v>-7.926</v>
      </c>
      <c r="F8" s="5" t="n">
        <v>17.074</v>
      </c>
    </row>
    <row r="9">
      <c r="A9" s="6" t="inlineStr">
        <is>
          <t>Net Change in fair value of AFS financial assets (see DATA QUALITY NOTE on Profit &amp; Loss sheet - not separately presented as OCI in FY2012's own printed Statement of Comprehensive Income)</t>
        </is>
      </c>
      <c r="B9" s="6" t="n"/>
      <c r="C9" s="6" t="n">
        <v>0.306</v>
      </c>
      <c r="D9" s="6" t="n"/>
      <c r="E9" s="6" t="n"/>
      <c r="F9" s="6" t="n">
        <v>0.306</v>
      </c>
    </row>
    <row r="10">
      <c r="A10" s="6" t="inlineStr">
        <is>
          <t>Loss for the year (own, as originally published - see RESTATEMENT NOTE)</t>
        </is>
      </c>
      <c r="B10" s="6" t="n"/>
      <c r="C10" s="6" t="n"/>
      <c r="D10" s="6" t="n"/>
      <c r="E10" s="6" t="n">
        <v>-3.439</v>
      </c>
      <c r="F10" s="6" t="n">
        <v>-3.439</v>
      </c>
    </row>
    <row r="11">
      <c r="A11" s="5" t="inlineStr">
        <is>
          <t>At 31 December 2012 (own, as originally published)</t>
        </is>
      </c>
      <c r="B11" s="5" t="n">
        <v>25</v>
      </c>
      <c r="C11" s="5" t="n">
        <v>0.306</v>
      </c>
      <c r="D11" s="5" t="n"/>
      <c r="E11" s="5" t="n">
        <v>-11.365</v>
      </c>
      <c r="F11" s="5" t="n">
        <v>13.941</v>
      </c>
    </row>
    <row r="12">
      <c r="A12" s="6" t="inlineStr">
        <is>
          <t>Share issuance</t>
        </is>
      </c>
      <c r="B12" s="6" t="n">
        <v>19</v>
      </c>
      <c r="C12" s="6" t="n"/>
      <c r="D12" s="6" t="n"/>
      <c r="E12" s="6" t="n"/>
      <c r="F12" s="6" t="n">
        <v>19</v>
      </c>
    </row>
    <row r="13">
      <c r="A13" s="6" t="inlineStr">
        <is>
          <t>Net Change in fair value of AFS financial assets</t>
        </is>
      </c>
      <c r="B13" s="6" t="n"/>
      <c r="C13" s="6" t="n">
        <v>-0.413</v>
      </c>
      <c r="D13" s="6" t="n"/>
      <c r="E13" s="6" t="n"/>
      <c r="F13" s="6" t="n">
        <v>-0.413</v>
      </c>
    </row>
    <row r="14">
      <c r="A14" s="6" t="inlineStr">
        <is>
          <t>Loss for the year</t>
        </is>
      </c>
      <c r="B14" s="6" t="n"/>
      <c r="C14" s="6" t="n"/>
      <c r="D14" s="6" t="n"/>
      <c r="E14" s="6" t="n">
        <v>-15.752</v>
      </c>
      <c r="F14" s="6" t="n">
        <v>-15.752</v>
      </c>
    </row>
    <row r="15">
      <c r="A15" s="5" t="inlineStr">
        <is>
          <t>At 31 December 2013</t>
        </is>
      </c>
      <c r="B15" s="5" t="n">
        <v>44</v>
      </c>
      <c r="C15" s="5" t="n">
        <v>-0.108</v>
      </c>
      <c r="D15" s="5" t="n"/>
      <c r="E15" s="5" t="n">
        <v>-27.479</v>
      </c>
      <c r="F15" s="5" t="n">
        <v>16.413</v>
      </c>
    </row>
    <row r="16">
      <c r="A16" s="6" t="inlineStr">
        <is>
          <t>At 1 January 2014 (FY2014 opening)</t>
        </is>
      </c>
      <c r="B16" s="6" t="n">
        <v>44</v>
      </c>
      <c r="C16" s="6" t="n">
        <v>-0.108</v>
      </c>
      <c r="D16" s="6" t="n"/>
      <c r="E16" s="6" t="n">
        <v>-27.479</v>
      </c>
      <c r="F16" s="6" t="n">
        <v>16.413</v>
      </c>
    </row>
    <row r="17">
      <c r="A17" s="6" t="inlineStr">
        <is>
          <t>Share issuance</t>
        </is>
      </c>
      <c r="B17" s="6" t="n">
        <v>12.5</v>
      </c>
      <c r="C17" s="6" t="n"/>
      <c r="D17" s="6" t="n"/>
      <c r="E17" s="6" t="n"/>
      <c r="F17" s="6" t="n">
        <v>12.5</v>
      </c>
    </row>
    <row r="18">
      <c r="A18" s="6" t="inlineStr">
        <is>
          <t>Change in fair value of AFS financial assets net of tax</t>
        </is>
      </c>
      <c r="B18" s="6" t="n"/>
      <c r="C18" s="6" t="n">
        <v>0.275</v>
      </c>
      <c r="D18" s="6" t="n"/>
      <c r="E18" s="6" t="n"/>
      <c r="F18" s="6" t="n">
        <v>0.275</v>
      </c>
    </row>
    <row r="19">
      <c r="A19" s="6" t="inlineStr">
        <is>
          <t>Profit for the year</t>
        </is>
      </c>
      <c r="B19" s="6" t="n"/>
      <c r="C19" s="6" t="n"/>
      <c r="D19" s="6" t="n"/>
      <c r="E19" s="6" t="n">
        <v>1.317</v>
      </c>
      <c r="F19" s="6" t="n">
        <v>1.317</v>
      </c>
    </row>
    <row r="20">
      <c r="A20" s="5" t="inlineStr">
        <is>
          <t>At 31 December 2014</t>
        </is>
      </c>
      <c r="B20" s="5" t="n">
        <v>56.5</v>
      </c>
      <c r="C20" s="5" t="n">
        <v>0.167</v>
      </c>
      <c r="D20" s="5" t="n"/>
      <c r="E20" s="5" t="n">
        <v>-26.162</v>
      </c>
      <c r="F20" s="5" t="n">
        <v>30.505</v>
      </c>
    </row>
    <row r="21">
      <c r="A21" s="6" t="inlineStr">
        <is>
          <t>Share issuance</t>
        </is>
      </c>
      <c r="B21" s="6" t="n">
        <v>23.058</v>
      </c>
      <c r="C21" s="6" t="n"/>
      <c r="D21" s="6" t="n"/>
      <c r="E21" s="6" t="n"/>
      <c r="F21" s="6" t="n">
        <v>23.058</v>
      </c>
    </row>
    <row r="22">
      <c r="A22" s="6" t="inlineStr">
        <is>
          <t>Change in fair value of AFS financial assets net of tax</t>
        </is>
      </c>
      <c r="B22" s="6" t="n"/>
      <c r="C22" s="6" t="n">
        <v>-0.476</v>
      </c>
      <c r="D22" s="6" t="n"/>
      <c r="E22" s="6" t="n"/>
      <c r="F22" s="6" t="n">
        <v>-0.476</v>
      </c>
    </row>
    <row r="23">
      <c r="A23" s="6" t="inlineStr">
        <is>
          <t>Profit for the year</t>
        </is>
      </c>
      <c r="B23" s="6" t="n"/>
      <c r="C23" s="6" t="n"/>
      <c r="D23" s="6" t="n"/>
      <c r="E23" s="6" t="n">
        <v>2.548</v>
      </c>
      <c r="F23" s="6" t="n">
        <v>2.548</v>
      </c>
    </row>
    <row r="24">
      <c r="A24" s="5" t="inlineStr">
        <is>
          <t>At 31 December 2015</t>
        </is>
      </c>
      <c r="B24" s="5" t="n">
        <v>79.55800000000001</v>
      </c>
      <c r="C24" s="5" t="n">
        <v>-0.309</v>
      </c>
      <c r="D24" s="5" t="n"/>
      <c r="E24" s="5" t="n">
        <v>-23.614</v>
      </c>
      <c r="F24" s="5" t="n">
        <v>55.635</v>
      </c>
    </row>
    <row r="25">
      <c r="A25" s="6" t="inlineStr">
        <is>
          <t>Change in fair value of AFS financial assets net of tax</t>
        </is>
      </c>
      <c r="B25" s="6" t="n"/>
      <c r="C25" s="6" t="n">
        <v>-0.289</v>
      </c>
      <c r="D25" s="6" t="n"/>
      <c r="E25" s="6" t="n"/>
      <c r="F25" s="6" t="n">
        <v>-0.289</v>
      </c>
    </row>
    <row r="26">
      <c r="A26" s="6" t="inlineStr">
        <is>
          <t>Changes in fair value of cash flow hedge foreign exchange</t>
        </is>
      </c>
      <c r="B26" s="6" t="n"/>
      <c r="C26" s="6" t="n"/>
      <c r="D26" s="6" t="n">
        <v>-0.366</v>
      </c>
      <c r="E26" s="6" t="n"/>
      <c r="F26" s="6" t="n">
        <v>-0.366</v>
      </c>
    </row>
    <row r="27">
      <c r="A27" s="6" t="inlineStr">
        <is>
          <t>Profit/(loss) for the year</t>
        </is>
      </c>
      <c r="B27" s="6" t="n"/>
      <c r="C27" s="6" t="n"/>
      <c r="D27" s="6" t="n"/>
      <c r="E27" s="6" t="n">
        <v>-3.09</v>
      </c>
      <c r="F27" s="6" t="n">
        <v>-3.09</v>
      </c>
    </row>
    <row r="28">
      <c r="A28" s="5" t="inlineStr">
        <is>
          <t>At 31 December 2016</t>
        </is>
      </c>
      <c r="B28" s="5" t="n">
        <v>79.55800000000001</v>
      </c>
      <c r="C28" s="5" t="n">
        <v>-0.599</v>
      </c>
      <c r="D28" s="5" t="n">
        <v>-0.366</v>
      </c>
      <c r="E28" s="5" t="n">
        <v>-26.704</v>
      </c>
      <c r="F28" s="5" t="n">
        <v>51.89</v>
      </c>
    </row>
    <row r="29">
      <c r="A29" s="6" t="inlineStr">
        <is>
          <t>Share issuance</t>
        </is>
      </c>
      <c r="B29" s="6" t="n">
        <v>6.25</v>
      </c>
      <c r="C29" s="6" t="n"/>
      <c r="D29" s="6" t="n"/>
      <c r="E29" s="6" t="n"/>
      <c r="F29" s="6" t="n">
        <v>6.25</v>
      </c>
    </row>
    <row r="30">
      <c r="A30" s="6" t="inlineStr">
        <is>
          <t>Change in fair value of AFS financial assets net of tax</t>
        </is>
      </c>
      <c r="B30" s="6" t="n"/>
      <c r="C30" s="6" t="n">
        <v>0.141</v>
      </c>
      <c r="D30" s="6" t="n"/>
      <c r="E30" s="6" t="n"/>
      <c r="F30" s="6" t="n">
        <v>0.141</v>
      </c>
    </row>
    <row r="31">
      <c r="A31" s="6" t="inlineStr">
        <is>
          <t>Changes in fair value of cash flow hedge foreign exchange</t>
        </is>
      </c>
      <c r="B31" s="6" t="n"/>
      <c r="C31" s="6" t="n"/>
      <c r="D31" s="6" t="n">
        <v>0.06</v>
      </c>
      <c r="E31" s="6" t="n"/>
      <c r="F31" s="6" t="n">
        <v>0.06</v>
      </c>
    </row>
    <row r="32">
      <c r="A32" s="6" t="inlineStr">
        <is>
          <t>Profit for the year</t>
        </is>
      </c>
      <c r="B32" s="6" t="n"/>
      <c r="C32" s="6" t="n"/>
      <c r="D32" s="6" t="n"/>
      <c r="E32" s="6" t="n">
        <v>1.76</v>
      </c>
      <c r="F32" s="6" t="n">
        <v>1.76</v>
      </c>
    </row>
    <row r="33">
      <c r="A33" s="5" t="inlineStr">
        <is>
          <t>At 31 December 2017</t>
        </is>
      </c>
      <c r="B33" s="5" t="n">
        <v>85.80800000000001</v>
      </c>
      <c r="C33" s="5" t="n">
        <v>-0.458</v>
      </c>
      <c r="D33" s="5" t="n">
        <v>-0.306</v>
      </c>
      <c r="E33" s="5" t="n">
        <v>-24.944</v>
      </c>
      <c r="F33" s="5" t="n">
        <v>60.101</v>
      </c>
    </row>
    <row r="34">
      <c r="A34" s="6" t="inlineStr">
        <is>
          <t>IFRS 9 ECL allowance (transition)</t>
        </is>
      </c>
      <c r="B34" s="6" t="n"/>
      <c r="C34" s="6" t="n"/>
      <c r="D34" s="6" t="n"/>
      <c r="E34" s="6" t="n">
        <v>-1.809</v>
      </c>
      <c r="F34" s="6" t="n">
        <v>-1.809</v>
      </c>
    </row>
    <row r="35">
      <c r="A35" s="6" t="inlineStr">
        <is>
          <t>Movement in deferred tax related to AFS reserve</t>
        </is>
      </c>
      <c r="B35" s="6" t="n"/>
      <c r="C35" s="6" t="n">
        <v>-0.049</v>
      </c>
      <c r="D35" s="6" t="n"/>
      <c r="E35" s="6" t="n">
        <v>0.049</v>
      </c>
      <c r="F35" s="6" t="n"/>
    </row>
    <row r="36">
      <c r="A36" s="6" t="inlineStr">
        <is>
          <t>Reclassification of AFS financial assets to amortised cost under IFRS 9</t>
        </is>
      </c>
      <c r="B36" s="6" t="n"/>
      <c r="C36" s="6" t="n">
        <v>0.507</v>
      </c>
      <c r="D36" s="6" t="n"/>
      <c r="E36" s="6" t="n"/>
      <c r="F36" s="6" t="n">
        <v>0.507</v>
      </c>
    </row>
    <row r="37">
      <c r="A37" s="6" t="inlineStr">
        <is>
          <t>Changes in deferred tax</t>
        </is>
      </c>
      <c r="B37" s="6" t="n"/>
      <c r="C37" s="6" t="n"/>
      <c r="D37" s="6" t="n"/>
      <c r="E37" s="6" t="n">
        <v>0.251</v>
      </c>
      <c r="F37" s="6" t="n">
        <v>0.251</v>
      </c>
    </row>
    <row r="38">
      <c r="A38" s="6" t="inlineStr">
        <is>
          <t>Capital restructuring</t>
        </is>
      </c>
      <c r="B38" s="6" t="n">
        <v>-24.944</v>
      </c>
      <c r="C38" s="6" t="n"/>
      <c r="D38" s="6" t="n"/>
      <c r="E38" s="6" t="n">
        <v>24.944</v>
      </c>
      <c r="F38" s="6" t="n"/>
    </row>
    <row r="39">
      <c r="A39" s="6" t="inlineStr">
        <is>
          <t>Changes in fair value of cash flow hedge foreign exchange</t>
        </is>
      </c>
      <c r="B39" s="6" t="n"/>
      <c r="C39" s="6" t="n"/>
      <c r="D39" s="6" t="n">
        <v>0.053</v>
      </c>
      <c r="E39" s="6" t="n"/>
      <c r="F39" s="6" t="n">
        <v>0.053</v>
      </c>
    </row>
    <row r="40">
      <c r="A40" s="6" t="inlineStr">
        <is>
          <t>Profit for the year</t>
        </is>
      </c>
      <c r="B40" s="6" t="n"/>
      <c r="C40" s="6" t="n"/>
      <c r="D40" s="6" t="n"/>
      <c r="E40" s="6" t="n">
        <v>3.713</v>
      </c>
      <c r="F40" s="6" t="n">
        <v>3.713</v>
      </c>
    </row>
    <row r="41">
      <c r="A41" s="5" t="inlineStr">
        <is>
          <t>At 31 December 2018</t>
        </is>
      </c>
      <c r="B41" s="5" t="n">
        <v>60.864</v>
      </c>
      <c r="C41" s="5" t="n"/>
      <c r="D41" s="5" t="n">
        <v>-0.253</v>
      </c>
      <c r="E41" s="5" t="n">
        <v>2.204</v>
      </c>
      <c r="F41" s="5" t="n">
        <v>62.815</v>
      </c>
    </row>
    <row r="42">
      <c r="A42" s="6" t="inlineStr">
        <is>
          <t>Restatement of FY2018 opening balance (per FY2019 Annual Report Note 2 - see RESTATEMENT NOTE)</t>
        </is>
      </c>
      <c r="B42" s="6" t="n"/>
      <c r="C42" s="6" t="n"/>
      <c r="D42" s="6" t="n"/>
      <c r="E42" s="6" t="n">
        <v>-0.021</v>
      </c>
      <c r="F42" s="6" t="n">
        <v>-0.021</v>
      </c>
    </row>
    <row r="43">
      <c r="A43" s="6" t="inlineStr">
        <is>
          <t>Changes in fair value of cash flow hedge foreign exchange</t>
        </is>
      </c>
      <c r="B43" s="6" t="n"/>
      <c r="C43" s="6" t="n"/>
      <c r="D43" s="6" t="n">
        <v>-0.003</v>
      </c>
      <c r="E43" s="6" t="n"/>
      <c r="F43" s="6" t="n">
        <v>-0.003</v>
      </c>
    </row>
    <row r="44">
      <c r="A44" s="6" t="inlineStr">
        <is>
          <t>Profit for the year</t>
        </is>
      </c>
      <c r="B44" s="6" t="n"/>
      <c r="C44" s="6" t="n"/>
      <c r="D44" s="6" t="n"/>
      <c r="E44" s="6" t="n">
        <v>4.427</v>
      </c>
      <c r="F44" s="6" t="n">
        <v>4.427</v>
      </c>
    </row>
    <row r="45">
      <c r="A45" s="5" t="inlineStr">
        <is>
          <t>At 31 December 2019</t>
        </is>
      </c>
      <c r="B45" s="5" t="n">
        <v>60.864</v>
      </c>
      <c r="C45" s="5" t="n"/>
      <c r="D45" s="5" t="n">
        <v>-0.256</v>
      </c>
      <c r="E45" s="5" t="n">
        <v>6.609</v>
      </c>
      <c r="F45" s="5" t="n">
        <v>67.217</v>
      </c>
    </row>
    <row r="46">
      <c r="A46" s="6" t="inlineStr">
        <is>
          <t>Changes in fair value of cash flow hedge foreign exchange</t>
        </is>
      </c>
      <c r="B46" s="6" t="n"/>
      <c r="C46" s="6" t="n"/>
      <c r="D46" s="6" t="n">
        <v>-0.028</v>
      </c>
      <c r="E46" s="6" t="n"/>
      <c r="F46" s="6" t="n">
        <v>-0.028</v>
      </c>
    </row>
    <row r="47">
      <c r="A47" s="6" t="inlineStr">
        <is>
          <t>Profit for the year</t>
        </is>
      </c>
      <c r="B47" s="6" t="n"/>
      <c r="C47" s="6" t="n"/>
      <c r="D47" s="6" t="n"/>
      <c r="E47" s="6" t="n">
        <v>4.744</v>
      </c>
      <c r="F47" s="6" t="n">
        <v>4.744</v>
      </c>
    </row>
    <row r="48">
      <c r="A48" s="5" t="inlineStr">
        <is>
          <t>At 31 December 2020</t>
        </is>
      </c>
      <c r="B48" s="5" t="n">
        <v>60.864</v>
      </c>
      <c r="C48" s="5" t="n"/>
      <c r="D48" s="5" t="n">
        <v>-0.284</v>
      </c>
      <c r="E48" s="5" t="n">
        <v>11.353</v>
      </c>
      <c r="F48" s="5" t="n">
        <v>71.93300000000001</v>
      </c>
    </row>
    <row r="49">
      <c r="A49" s="6" t="inlineStr">
        <is>
          <t>At 1 January 2021 (FY2021 opening)</t>
        </is>
      </c>
      <c r="B49" s="6" t="n">
        <v>60.864</v>
      </c>
      <c r="C49" s="6" t="n"/>
      <c r="D49" s="6" t="n">
        <v>-0.284</v>
      </c>
      <c r="E49" s="6" t="n">
        <v>11.353</v>
      </c>
      <c r="F49" s="6" t="n">
        <v>71.93300000000001</v>
      </c>
    </row>
    <row r="50">
      <c r="A50" s="6" t="inlineStr">
        <is>
          <t>Changes in FV of cash flow hedge</t>
        </is>
      </c>
      <c r="B50" s="6" t="n"/>
      <c r="C50" s="6" t="n"/>
      <c r="D50" s="6" t="n">
        <v>0.082</v>
      </c>
      <c r="E50" s="6" t="n"/>
      <c r="F50" s="6" t="n">
        <v>0.082</v>
      </c>
    </row>
    <row r="51">
      <c r="A51" s="6" t="inlineStr">
        <is>
          <t>Movement in deferred tax relating to change in tax rate</t>
        </is>
      </c>
      <c r="B51" s="6" t="n"/>
      <c r="C51" s="6" t="n"/>
      <c r="D51" s="6" t="n"/>
      <c r="E51" s="6" t="n">
        <v>-0.044</v>
      </c>
      <c r="F51" s="6" t="n">
        <v>-0.044</v>
      </c>
    </row>
    <row r="52">
      <c r="A52" s="6" t="inlineStr">
        <is>
          <t>Profit for the year</t>
        </is>
      </c>
      <c r="B52" s="6" t="n"/>
      <c r="C52" s="6" t="n"/>
      <c r="D52" s="6" t="n"/>
      <c r="E52" s="6" t="n">
        <v>6.856</v>
      </c>
      <c r="F52" s="6" t="n">
        <v>6.856</v>
      </c>
    </row>
    <row r="53">
      <c r="A53" s="5" t="inlineStr">
        <is>
          <t>At 31 December 2021</t>
        </is>
      </c>
      <c r="B53" s="5" t="n">
        <v>60.864</v>
      </c>
      <c r="C53" s="5" t="n"/>
      <c r="D53" s="5" t="n">
        <v>-0.202</v>
      </c>
      <c r="E53" s="5" t="n">
        <v>18.165</v>
      </c>
      <c r="F53" s="5" t="n">
        <v>78.827</v>
      </c>
    </row>
    <row r="54">
      <c r="A54" s="6" t="inlineStr">
        <is>
          <t>Changes in FV of cash flow hedge</t>
        </is>
      </c>
      <c r="B54" s="6" t="n"/>
      <c r="C54" s="6" t="n"/>
      <c r="D54" s="6" t="n">
        <v>-0.107</v>
      </c>
      <c r="E54" s="6" t="n"/>
      <c r="F54" s="6" t="n">
        <v>-0.107</v>
      </c>
    </row>
    <row r="55">
      <c r="A55" s="6" t="inlineStr">
        <is>
          <t>Movement in deferred tax relating to change in tax rate</t>
        </is>
      </c>
      <c r="B55" s="6" t="n"/>
      <c r="C55" s="6" t="n"/>
      <c r="D55" s="6" t="n"/>
      <c r="E55" s="6" t="n">
        <v>-0.001</v>
      </c>
      <c r="F55" s="6" t="n">
        <v>-0.001</v>
      </c>
    </row>
    <row r="56">
      <c r="A56" s="6" t="inlineStr">
        <is>
          <t>Profit for the year</t>
        </is>
      </c>
      <c r="B56" s="6" t="n"/>
      <c r="C56" s="6" t="n"/>
      <c r="D56" s="6" t="n"/>
      <c r="E56" s="6" t="n">
        <v>9.692</v>
      </c>
      <c r="F56" s="6" t="n">
        <v>9.692</v>
      </c>
    </row>
    <row r="57">
      <c r="A57" s="5" t="inlineStr">
        <is>
          <t>At 31 December 2022</t>
        </is>
      </c>
      <c r="B57" s="5" t="n">
        <v>60.864</v>
      </c>
      <c r="C57" s="5" t="n"/>
      <c r="D57" s="5" t="n">
        <v>-0.31</v>
      </c>
      <c r="E57" s="5" t="n">
        <v>27.856</v>
      </c>
      <c r="F57" s="5" t="n">
        <v>88.411</v>
      </c>
    </row>
    <row r="58">
      <c r="A58" s="6" t="inlineStr">
        <is>
          <t>Changes in FV of cash flow hedge</t>
        </is>
      </c>
      <c r="B58" s="6" t="n"/>
      <c r="C58" s="6" t="n"/>
      <c r="D58" s="6" t="n">
        <v>0.026</v>
      </c>
      <c r="E58" s="6" t="n"/>
      <c r="F58" s="6" t="n">
        <v>0.026</v>
      </c>
    </row>
    <row r="59">
      <c r="A59" s="6" t="inlineStr">
        <is>
          <t>Movement in deferred tax relating to recognition or change in tax rate</t>
        </is>
      </c>
      <c r="B59" s="6" t="n"/>
      <c r="C59" s="6" t="n"/>
      <c r="D59" s="6" t="n"/>
      <c r="E59" s="6" t="n">
        <v>0.055</v>
      </c>
      <c r="F59" s="6" t="n">
        <v>0.055</v>
      </c>
    </row>
    <row r="60">
      <c r="A60" s="6" t="inlineStr">
        <is>
          <t>Profit for the year</t>
        </is>
      </c>
      <c r="B60" s="6" t="n"/>
      <c r="C60" s="6" t="n"/>
      <c r="D60" s="6" t="n"/>
      <c r="E60" s="6" t="n">
        <v>11.95</v>
      </c>
      <c r="F60" s="6" t="n">
        <v>11.95</v>
      </c>
    </row>
    <row r="61">
      <c r="A61" s="5" t="inlineStr">
        <is>
          <t>At 31 December 2023</t>
        </is>
      </c>
      <c r="B61" s="5" t="n">
        <v>60.864</v>
      </c>
      <c r="C61" s="5" t="n"/>
      <c r="D61" s="5" t="n">
        <v>-0.283</v>
      </c>
      <c r="E61" s="5" t="n">
        <v>39.861</v>
      </c>
      <c r="F61" s="5" t="n">
        <v>100.441</v>
      </c>
    </row>
    <row r="62">
      <c r="A62" s="6" t="inlineStr">
        <is>
          <t>Changes in FV of cash flow hedge</t>
        </is>
      </c>
      <c r="B62" s="6" t="n"/>
      <c r="C62" s="6" t="n"/>
      <c r="D62" s="6" t="n">
        <v>0.077</v>
      </c>
      <c r="E62" s="6" t="n"/>
      <c r="F62" s="6" t="n">
        <v>0.077</v>
      </c>
    </row>
    <row r="63">
      <c r="A63" s="6" t="inlineStr">
        <is>
          <t>Movement in deferred tax relating to recognition or change in tax rate</t>
        </is>
      </c>
      <c r="B63" s="6" t="n"/>
      <c r="C63" s="6" t="n"/>
      <c r="D63" s="6" t="n"/>
      <c r="E63" s="6" t="n">
        <v>-0.019</v>
      </c>
      <c r="F63" s="6" t="n">
        <v>-0.019</v>
      </c>
    </row>
    <row r="64">
      <c r="A64" s="6" t="inlineStr">
        <is>
          <t>Profit for the year</t>
        </is>
      </c>
      <c r="B64" s="6" t="n"/>
      <c r="C64" s="6" t="n"/>
      <c r="D64" s="6" t="n"/>
      <c r="E64" s="6" t="n">
        <v>12.603</v>
      </c>
      <c r="F64" s="6" t="n">
        <v>12.603</v>
      </c>
    </row>
    <row r="65">
      <c r="A65" s="5" t="inlineStr">
        <is>
          <t>At 31 December 2024</t>
        </is>
      </c>
      <c r="B65" s="5" t="n">
        <v>60.864</v>
      </c>
      <c r="C65" s="5" t="n"/>
      <c r="D65" s="5" t="n">
        <v>-0.206</v>
      </c>
      <c r="E65" s="5" t="n">
        <v>52.444</v>
      </c>
      <c r="F65" s="5" t="n">
        <v>113.102</v>
      </c>
    </row>
    <row r="66">
      <c r="A66" s="6" t="inlineStr">
        <is>
          <t>Changes in FV of cash flow hedge</t>
        </is>
      </c>
      <c r="B66" s="6" t="n"/>
      <c r="C66" s="6" t="n"/>
      <c r="D66" s="6" t="n">
        <v>-0.264</v>
      </c>
      <c r="E66" s="6" t="n"/>
      <c r="F66" s="6" t="n">
        <v>-0.264</v>
      </c>
    </row>
    <row r="67">
      <c r="A67" s="6" t="inlineStr">
        <is>
          <t>Movement in deferred tax on cash flow hedge</t>
        </is>
      </c>
      <c r="B67" s="6" t="n"/>
      <c r="C67" s="6" t="n"/>
      <c r="D67" s="6" t="n"/>
      <c r="E67" s="6" t="n">
        <v>0.076</v>
      </c>
      <c r="F67" s="6" t="n">
        <v>0.076</v>
      </c>
    </row>
    <row r="68">
      <c r="A68" s="6" t="inlineStr">
        <is>
          <t>Profit for the year</t>
        </is>
      </c>
      <c r="B68" s="6" t="n"/>
      <c r="C68" s="6" t="n"/>
      <c r="D68" s="6" t="n"/>
      <c r="E68" s="6" t="n">
        <v>11.732</v>
      </c>
      <c r="F68" s="6" t="n">
        <v>11.732</v>
      </c>
    </row>
    <row r="69">
      <c r="A69" s="5" t="inlineStr">
        <is>
          <t>At 31 December 2025</t>
        </is>
      </c>
      <c r="B69" s="5" t="n">
        <v>60.864</v>
      </c>
      <c r="C69" s="5" t="n"/>
      <c r="D69" s="5" t="n">
        <v>-0.47</v>
      </c>
      <c r="E69" s="5" t="n">
        <v>64.252</v>
      </c>
      <c r="F69" s="5" t="n">
        <v>124.646</v>
      </c>
    </row>
    <row r="71" ht="150" customHeight="1">
      <c r="A71"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71:F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Statement of Cash Flows</t>
        </is>
      </c>
    </row>
    <row r="2">
      <c r="A2" s="2" t="inlineStr">
        <is>
          <t>Entity basis, £m, converted from the Bank's reported £ amounts; FY2010-FY2025. HD-074: FY2010-FY2013 added (real statutory floor FY2010); the FY2013 closing cash figure ties exactly to the pre-existing FY2014 opening cash figure.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Operating activities</t>
        </is>
      </c>
      <c r="B4" s="6" t="n"/>
      <c r="C4" s="6" t="n"/>
      <c r="D4" s="6" t="n"/>
      <c r="E4" s="6" t="n"/>
      <c r="F4" s="6" t="n"/>
      <c r="G4" s="6" t="n"/>
      <c r="H4" s="6" t="n"/>
      <c r="I4" s="6" t="n"/>
      <c r="J4" s="6" t="n"/>
      <c r="K4" s="6" t="n"/>
      <c r="L4" s="6" t="n"/>
      <c r="M4" s="6" t="n"/>
      <c r="N4" s="6" t="n"/>
      <c r="O4" s="6" t="n"/>
      <c r="P4" s="6" t="n"/>
      <c r="Q4" s="6" t="n"/>
    </row>
    <row r="5">
      <c r="A5" s="6" t="inlineStr">
        <is>
          <t>Profit/(loss) for the year</t>
        </is>
      </c>
      <c r="B5" s="6" t="n">
        <v>11.73</v>
      </c>
      <c r="C5" s="6" t="n">
        <v>12.6</v>
      </c>
      <c r="D5" s="6" t="n">
        <v>11.95</v>
      </c>
      <c r="E5" s="6" t="n">
        <v>9.69</v>
      </c>
      <c r="F5" s="6" t="n">
        <v>6.86</v>
      </c>
      <c r="G5" s="6" t="n">
        <v>4.74</v>
      </c>
      <c r="H5" s="6" t="n">
        <v>4.43</v>
      </c>
      <c r="I5" s="6" t="n">
        <v>3.71</v>
      </c>
      <c r="J5" s="6" t="n">
        <v>1.76</v>
      </c>
      <c r="K5" s="6" t="n">
        <v>-3.09</v>
      </c>
      <c r="L5" s="6" t="n">
        <v>2.55</v>
      </c>
      <c r="M5" s="6" t="n">
        <v>1.32</v>
      </c>
      <c r="N5" s="6" t="n">
        <v>-15.75</v>
      </c>
      <c r="O5" s="6" t="n">
        <v>-3.44</v>
      </c>
      <c r="P5" s="6" t="n">
        <v>0.09</v>
      </c>
      <c r="Q5" s="6" t="n">
        <v>-1.21</v>
      </c>
    </row>
    <row r="6">
      <c r="A6" s="6" t="inlineStr">
        <is>
          <t>Depreciation</t>
        </is>
      </c>
      <c r="B6" s="6" t="n">
        <v>0.37</v>
      </c>
      <c r="C6" s="6" t="n">
        <v>0.55</v>
      </c>
      <c r="D6" s="6" t="n">
        <v>0.5600000000000001</v>
      </c>
      <c r="E6" s="6" t="n">
        <v>0.53</v>
      </c>
      <c r="F6" s="6" t="n">
        <v>0.5600000000000001</v>
      </c>
      <c r="G6" s="6" t="n">
        <v>0.5600000000000001</v>
      </c>
      <c r="H6" s="6" t="n">
        <v>0.63</v>
      </c>
      <c r="I6" s="6" t="n">
        <v>0.6899999999999999</v>
      </c>
      <c r="J6" s="6" t="n">
        <v>0.64</v>
      </c>
      <c r="K6" s="6" t="n">
        <v>0.6</v>
      </c>
      <c r="L6" s="6" t="n">
        <v>0.86</v>
      </c>
      <c r="M6" s="6" t="n">
        <v>0.11</v>
      </c>
      <c r="N6" s="6" t="n">
        <v>0.11</v>
      </c>
      <c r="O6" s="6" t="n">
        <v>0.16</v>
      </c>
      <c r="P6" s="6" t="n">
        <v>0.18</v>
      </c>
      <c r="Q6" s="6" t="n">
        <v>0.22</v>
      </c>
    </row>
    <row r="7">
      <c r="A7" s="6" t="inlineStr">
        <is>
          <t>Amortisation</t>
        </is>
      </c>
      <c r="B7" s="6" t="n">
        <v>0.01</v>
      </c>
      <c r="C7" s="6" t="n">
        <v>0.02</v>
      </c>
      <c r="D7" s="6" t="n">
        <v>0.05</v>
      </c>
      <c r="E7" s="6" t="n">
        <v>0.16</v>
      </c>
      <c r="F7" s="6" t="n">
        <v>0.14</v>
      </c>
      <c r="G7" s="6" t="n">
        <v>0.11</v>
      </c>
      <c r="H7" s="6" t="n">
        <v>0.01</v>
      </c>
      <c r="I7" s="6" t="n">
        <v>0.07000000000000001</v>
      </c>
      <c r="J7" s="6" t="n">
        <v>0.13</v>
      </c>
      <c r="K7" s="6" t="n">
        <v>0.14</v>
      </c>
      <c r="L7" s="6" t="n">
        <v>0.04</v>
      </c>
      <c r="M7" s="6" t="n">
        <v>0.03</v>
      </c>
      <c r="N7" s="6" t="n">
        <v>0.03</v>
      </c>
      <c r="O7" s="6" t="n">
        <v>0.03</v>
      </c>
      <c r="P7" s="6" t="n">
        <v>0.1</v>
      </c>
      <c r="Q7" s="6" t="n">
        <v>0.31</v>
      </c>
    </row>
    <row r="8">
      <c r="A8" s="6" t="inlineStr">
        <is>
          <t>Fair Value on Building</t>
        </is>
      </c>
      <c r="B8" s="6" t="n"/>
      <c r="C8" s="6" t="n"/>
      <c r="D8" s="6" t="n"/>
      <c r="E8" s="6" t="n"/>
      <c r="F8" s="6" t="n"/>
      <c r="G8" s="6" t="n"/>
      <c r="H8" s="6" t="n"/>
      <c r="I8" s="6" t="n"/>
      <c r="J8" s="6" t="n">
        <v>-1.06</v>
      </c>
      <c r="K8" s="6" t="n">
        <v>0.34</v>
      </c>
      <c r="L8" s="6" t="n"/>
      <c r="M8" s="6" t="n"/>
      <c r="N8" s="6" t="n"/>
      <c r="O8" s="6" t="n"/>
      <c r="P8" s="6" t="n"/>
      <c r="Q8" s="6" t="n"/>
    </row>
    <row r="9">
      <c r="A9" s="6" t="inlineStr">
        <is>
          <t>ECL loss allowance and write-offs</t>
        </is>
      </c>
      <c r="B9" s="6" t="n"/>
      <c r="C9" s="6" t="n"/>
      <c r="D9" s="6" t="n"/>
      <c r="E9" s="6" t="n"/>
      <c r="F9" s="6" t="n"/>
      <c r="G9" s="6" t="n">
        <v>0.88</v>
      </c>
      <c r="H9" s="6" t="n">
        <v>0.62</v>
      </c>
      <c r="I9" s="6" t="n">
        <v>-0.04</v>
      </c>
      <c r="J9" s="6" t="n"/>
      <c r="K9" s="6" t="n"/>
      <c r="L9" s="6" t="n"/>
      <c r="M9" s="6" t="n"/>
      <c r="N9" s="6" t="n"/>
      <c r="O9" s="6" t="n"/>
      <c r="P9" s="6" t="n"/>
      <c r="Q9" s="6" t="n"/>
    </row>
    <row r="10">
      <c r="A10" s="6" t="inlineStr">
        <is>
          <t>Taxation</t>
        </is>
      </c>
      <c r="B10" s="6" t="n">
        <v>4.04</v>
      </c>
      <c r="C10" s="6" t="n">
        <v>4.92</v>
      </c>
      <c r="D10" s="6" t="n">
        <v>4.08</v>
      </c>
      <c r="E10" s="6" t="n">
        <v>1.32</v>
      </c>
      <c r="F10" s="6" t="n">
        <v>0.38</v>
      </c>
      <c r="G10" s="6" t="n">
        <v>0.7</v>
      </c>
      <c r="H10" s="6" t="n">
        <v>0.92</v>
      </c>
      <c r="I10" s="6" t="n">
        <v>1.05</v>
      </c>
      <c r="J10" s="6" t="n">
        <v>0.4</v>
      </c>
      <c r="K10" s="6" t="n">
        <v>0.64</v>
      </c>
      <c r="L10" s="6" t="n">
        <v>-0</v>
      </c>
      <c r="M10" s="6" t="n">
        <v>-0.07000000000000001</v>
      </c>
      <c r="N10" s="6" t="n">
        <v>-0.16</v>
      </c>
      <c r="O10" s="6" t="n">
        <v>-0.67</v>
      </c>
      <c r="P10" s="6" t="n">
        <v>0.17</v>
      </c>
      <c r="Q10" s="6" t="n">
        <v>-0.3</v>
      </c>
    </row>
    <row r="11">
      <c r="A11" s="6" t="inlineStr">
        <is>
          <t>Fair value / impairment adjustments</t>
        </is>
      </c>
      <c r="B11" s="6" t="n">
        <v>1.78</v>
      </c>
      <c r="C11" s="6" t="n">
        <v>0.9</v>
      </c>
      <c r="D11" s="6" t="n">
        <v>2.38</v>
      </c>
      <c r="E11" s="6" t="n">
        <v>1.49</v>
      </c>
      <c r="F11" s="6" t="n">
        <v>0.76</v>
      </c>
      <c r="G11" s="6" t="n"/>
      <c r="H11" s="6" t="n"/>
      <c r="I11" s="6" t="n"/>
      <c r="J11" s="6" t="n"/>
      <c r="K11" s="6" t="n"/>
      <c r="L11" s="6" t="n"/>
      <c r="M11" s="6" t="n"/>
      <c r="N11" s="6" t="n"/>
      <c r="O11" s="6" t="n"/>
      <c r="P11" s="6" t="n"/>
      <c r="Q11" s="6" t="n"/>
    </row>
    <row r="12">
      <c r="A12" s="6" t="inlineStr">
        <is>
          <t>Increase/(decrease) in impairments on financing arrangements</t>
        </is>
      </c>
      <c r="B12" s="6" t="n"/>
      <c r="C12" s="6" t="n"/>
      <c r="D12" s="6" t="n"/>
      <c r="E12" s="6" t="n"/>
      <c r="F12" s="6" t="n"/>
      <c r="G12" s="6" t="n"/>
      <c r="H12" s="6" t="n">
        <v>-0.06</v>
      </c>
      <c r="I12" s="6" t="n">
        <v>-0.09</v>
      </c>
      <c r="J12" s="6" t="n">
        <v>2.25</v>
      </c>
      <c r="K12" s="6" t="n">
        <v>2.12</v>
      </c>
      <c r="L12" s="6" t="n">
        <v>-0.05</v>
      </c>
      <c r="M12" s="6" t="n">
        <v>-1.73</v>
      </c>
      <c r="N12" s="6" t="n">
        <v>-3.87</v>
      </c>
      <c r="O12" s="6" t="n">
        <v>3.68</v>
      </c>
      <c r="P12" s="6" t="n">
        <v>0.11</v>
      </c>
      <c r="Q12" s="6" t="n">
        <v>0.5600000000000001</v>
      </c>
    </row>
    <row r="13">
      <c r="A13" s="6" t="inlineStr">
        <is>
          <t>(Increase)/decrease in amounts due from banks</t>
        </is>
      </c>
      <c r="B13" s="6" t="n"/>
      <c r="C13" s="6" t="n"/>
      <c r="D13" s="6" t="n"/>
      <c r="E13" s="6" t="n"/>
      <c r="F13" s="6" t="n"/>
      <c r="G13" s="6" t="n"/>
      <c r="H13" s="6" t="n"/>
      <c r="I13" s="6" t="n"/>
      <c r="J13" s="6" t="n">
        <v>90.86</v>
      </c>
      <c r="K13" s="6" t="n">
        <v>-21.26</v>
      </c>
      <c r="L13" s="6" t="n">
        <v>-46.02</v>
      </c>
      <c r="M13" s="6" t="n">
        <v>54.53</v>
      </c>
      <c r="N13" s="6" t="n">
        <v>-6.7</v>
      </c>
      <c r="O13" s="6" t="n">
        <v>-19.05</v>
      </c>
      <c r="P13" s="6" t="n">
        <v>-37.06</v>
      </c>
      <c r="Q13" s="6" t="n">
        <v>3.86</v>
      </c>
    </row>
    <row r="14">
      <c r="A14" s="6" t="inlineStr">
        <is>
          <t>Increase/(decrease) in financing arrangements</t>
        </is>
      </c>
      <c r="B14" s="6" t="n">
        <v>-72.27</v>
      </c>
      <c r="C14" s="6" t="n">
        <v>-57.92</v>
      </c>
      <c r="D14" s="6" t="n">
        <v>-44.85</v>
      </c>
      <c r="E14" s="6" t="n">
        <v>-51.18</v>
      </c>
      <c r="F14" s="6" t="n">
        <v>-133.18</v>
      </c>
      <c r="G14" s="6" t="n">
        <v>-63.5</v>
      </c>
      <c r="H14" s="6" t="n">
        <v>-49.11</v>
      </c>
      <c r="I14" s="6" t="n">
        <v>-85.67</v>
      </c>
      <c r="J14" s="6" t="n">
        <v>-110.26</v>
      </c>
      <c r="K14" s="6" t="n">
        <v>-65.20999999999999</v>
      </c>
      <c r="L14" s="6" t="n">
        <v>-138.82</v>
      </c>
      <c r="M14" s="6" t="n">
        <v>-52.3</v>
      </c>
      <c r="N14" s="6" t="n">
        <v>16.42</v>
      </c>
      <c r="O14" s="6" t="n">
        <v>-15.73</v>
      </c>
      <c r="P14" s="6" t="n">
        <v>-12.12</v>
      </c>
      <c r="Q14" s="6" t="n">
        <v>-2.14</v>
      </c>
    </row>
    <row r="15">
      <c r="A15" s="6" t="inlineStr">
        <is>
          <t>Stage 3 ECL recoveries</t>
        </is>
      </c>
      <c r="B15" s="6" t="n"/>
      <c r="C15" s="6" t="n">
        <v>0</v>
      </c>
      <c r="D15" s="6" t="n">
        <v>-0</v>
      </c>
      <c r="E15" s="6" t="n">
        <v>-1.22</v>
      </c>
      <c r="F15" s="6" t="n">
        <v>-0</v>
      </c>
      <c r="G15" s="6" t="n">
        <v>-0.05</v>
      </c>
      <c r="H15" s="6" t="n"/>
      <c r="I15" s="6" t="n"/>
      <c r="J15" s="6" t="n"/>
      <c r="K15" s="6" t="n"/>
      <c r="L15" s="6" t="n"/>
      <c r="M15" s="6" t="n"/>
      <c r="N15" s="6" t="n"/>
      <c r="O15" s="6" t="n"/>
      <c r="P15" s="6" t="n"/>
      <c r="Q15" s="6" t="n"/>
    </row>
    <row r="16">
      <c r="A16" s="6" t="inlineStr">
        <is>
          <t>Increase/(decrease) in other assets</t>
        </is>
      </c>
      <c r="B16" s="6" t="n">
        <v>-1.24</v>
      </c>
      <c r="C16" s="6" t="n">
        <v>-0.52</v>
      </c>
      <c r="D16" s="6" t="n">
        <v>-0.05</v>
      </c>
      <c r="E16" s="6" t="n">
        <v>-2.98</v>
      </c>
      <c r="F16" s="6" t="n">
        <v>-0.18</v>
      </c>
      <c r="G16" s="6" t="n">
        <v>-0.15</v>
      </c>
      <c r="H16" s="6" t="n">
        <v>-0.13</v>
      </c>
      <c r="I16" s="6" t="n">
        <v>0.08</v>
      </c>
      <c r="J16" s="6" t="n">
        <v>-0.7</v>
      </c>
      <c r="K16" s="6" t="n">
        <v>0.19</v>
      </c>
      <c r="L16" s="6" t="n">
        <v>-0.07000000000000001</v>
      </c>
      <c r="M16" s="6" t="n">
        <v>-0.18</v>
      </c>
      <c r="N16" s="6" t="n">
        <v>1.31</v>
      </c>
      <c r="O16" s="6" t="n">
        <v>-0.64</v>
      </c>
      <c r="P16" s="6" t="n">
        <v>1.42</v>
      </c>
      <c r="Q16" s="6" t="n">
        <v>-2.71</v>
      </c>
    </row>
    <row r="17">
      <c r="A17" s="6" t="inlineStr">
        <is>
          <t>Increase/(decrease) in amounts due to banks</t>
        </is>
      </c>
      <c r="B17" s="6" t="n">
        <v>24.77</v>
      </c>
      <c r="C17" s="6" t="n">
        <v>-20.34</v>
      </c>
      <c r="D17" s="6" t="n">
        <v>-2.19</v>
      </c>
      <c r="E17" s="6" t="n">
        <v>-14.99</v>
      </c>
      <c r="F17" s="6" t="n">
        <v>-5.08</v>
      </c>
      <c r="G17" s="6" t="n">
        <v>40.16</v>
      </c>
      <c r="H17" s="6" t="n">
        <v>-6.33</v>
      </c>
      <c r="I17" s="6" t="n">
        <v>18.94</v>
      </c>
      <c r="J17" s="6" t="n">
        <v>23.13</v>
      </c>
      <c r="K17" s="6" t="n">
        <v>-84.69</v>
      </c>
      <c r="L17" s="6" t="n">
        <v>106.77</v>
      </c>
      <c r="M17" s="6" t="n">
        <v>-26.37</v>
      </c>
      <c r="N17" s="6" t="n">
        <v>10.2</v>
      </c>
      <c r="O17" s="6" t="n">
        <v>17.63</v>
      </c>
      <c r="P17" s="6" t="n">
        <v>0.03</v>
      </c>
      <c r="Q17" s="6" t="n">
        <v>7.35</v>
      </c>
    </row>
    <row r="18">
      <c r="A18" s="6" t="inlineStr">
        <is>
          <t>Increase/(decrease) in amounts due to customers</t>
        </is>
      </c>
      <c r="B18" s="6" t="n">
        <v>83.01000000000001</v>
      </c>
      <c r="C18" s="6" t="n">
        <v>59.02</v>
      </c>
      <c r="D18" s="6" t="n">
        <v>41.13</v>
      </c>
      <c r="E18" s="6" t="n">
        <v>122.44</v>
      </c>
      <c r="F18" s="6" t="n">
        <v>162.59</v>
      </c>
      <c r="G18" s="6" t="n">
        <v>15.03</v>
      </c>
      <c r="H18" s="6" t="n">
        <v>45.6</v>
      </c>
      <c r="I18" s="6" t="n">
        <v>67.94</v>
      </c>
      <c r="J18" s="6" t="n">
        <v>-21.77</v>
      </c>
      <c r="K18" s="6" t="n">
        <v>172.36</v>
      </c>
      <c r="L18" s="6" t="n">
        <v>62.88</v>
      </c>
      <c r="M18" s="6" t="n">
        <v>85.23</v>
      </c>
      <c r="N18" s="6" t="n">
        <v>-34.91</v>
      </c>
      <c r="O18" s="6" t="n">
        <v>21.7</v>
      </c>
      <c r="P18" s="6" t="n">
        <v>69.69</v>
      </c>
      <c r="Q18" s="6" t="n">
        <v>3.76</v>
      </c>
    </row>
    <row r="19">
      <c r="A19" s="6" t="inlineStr">
        <is>
          <t>Increase/(decrease) in other liabilities</t>
        </is>
      </c>
      <c r="B19" s="6" t="n">
        <v>0.54</v>
      </c>
      <c r="C19" s="6" t="n">
        <v>0.46</v>
      </c>
      <c r="D19" s="6" t="n">
        <v>-2.29</v>
      </c>
      <c r="E19" s="6" t="n">
        <v>5.36</v>
      </c>
      <c r="F19" s="6" t="n">
        <v>3.61</v>
      </c>
      <c r="G19" s="6" t="n">
        <v>-6.74</v>
      </c>
      <c r="H19" s="6" t="n">
        <v>6.66</v>
      </c>
      <c r="I19" s="6" t="n">
        <v>4.06</v>
      </c>
      <c r="J19" s="6" t="n">
        <v>1.82</v>
      </c>
      <c r="K19" s="6" t="n">
        <v>4.82</v>
      </c>
      <c r="L19" s="6" t="n">
        <v>3.58</v>
      </c>
      <c r="M19" s="6" t="n">
        <v>-0.78</v>
      </c>
      <c r="N19" s="6" t="n">
        <v>-0.15</v>
      </c>
      <c r="O19" s="6" t="n">
        <v>1.35</v>
      </c>
      <c r="P19" s="6" t="n">
        <v>1.1</v>
      </c>
      <c r="Q19" s="6" t="n">
        <v>0.32</v>
      </c>
    </row>
    <row r="20">
      <c r="A20" s="6" t="inlineStr">
        <is>
          <t>(Increase)/decrease in financial assets held to maturity</t>
        </is>
      </c>
      <c r="B20" s="6" t="n"/>
      <c r="C20" s="6" t="n"/>
      <c r="D20" s="6" t="n"/>
      <c r="E20" s="6" t="n"/>
      <c r="F20" s="6" t="n"/>
      <c r="G20" s="6" t="n"/>
      <c r="H20" s="6" t="n"/>
      <c r="I20" s="6" t="n"/>
      <c r="J20" s="6" t="n">
        <v>2.42</v>
      </c>
      <c r="K20" s="6" t="n">
        <v>1.64</v>
      </c>
      <c r="L20" s="6" t="n">
        <v>2.74</v>
      </c>
      <c r="M20" s="6" t="n">
        <v>0.54</v>
      </c>
      <c r="N20" s="6" t="n">
        <v>0.1</v>
      </c>
      <c r="O20" s="6" t="n">
        <v>-3.24</v>
      </c>
      <c r="P20" s="6" t="n">
        <v>-4.21</v>
      </c>
      <c r="Q20" s="6" t="n"/>
    </row>
    <row r="21">
      <c r="A21" s="6" t="inlineStr">
        <is>
          <t>Increase/(decrease) in financial assets available for sale</t>
        </is>
      </c>
      <c r="B21" s="6" t="n"/>
      <c r="C21" s="6" t="n"/>
      <c r="D21" s="6" t="n"/>
      <c r="E21" s="6" t="n"/>
      <c r="F21" s="6" t="n"/>
      <c r="G21" s="6" t="n"/>
      <c r="H21" s="6" t="n"/>
      <c r="I21" s="6" t="n"/>
      <c r="J21" s="6" t="n">
        <v>8.82</v>
      </c>
      <c r="K21" s="6" t="n">
        <v>9.390000000000001</v>
      </c>
      <c r="L21" s="6" t="n">
        <v>-17.77</v>
      </c>
      <c r="M21" s="6" t="n">
        <v>-48.13</v>
      </c>
      <c r="N21" s="6" t="n">
        <v>-18.24</v>
      </c>
      <c r="O21" s="6" t="n">
        <v>-2.04</v>
      </c>
      <c r="P21" s="6" t="n">
        <v>-1.9</v>
      </c>
      <c r="Q21" s="6" t="n"/>
    </row>
    <row r="22">
      <c r="A22" s="6" t="inlineStr">
        <is>
          <t>Increase/(decrease) in financial assets at amortised cost</t>
        </is>
      </c>
      <c r="B22" s="6" t="n">
        <v>-3.66</v>
      </c>
      <c r="C22" s="6" t="n">
        <v>-20.59</v>
      </c>
      <c r="D22" s="6" t="n">
        <v>-21.6</v>
      </c>
      <c r="E22" s="6" t="n">
        <v>-68.23999999999999</v>
      </c>
      <c r="F22" s="6" t="n">
        <v>-14.26</v>
      </c>
      <c r="G22" s="6" t="n">
        <v>7.54</v>
      </c>
      <c r="H22" s="6" t="n">
        <v>-8</v>
      </c>
      <c r="I22" s="6" t="n">
        <v>2.77</v>
      </c>
      <c r="J22" s="6" t="n"/>
      <c r="K22" s="6" t="n"/>
      <c r="L22" s="6" t="n"/>
      <c r="M22" s="6" t="n"/>
      <c r="N22" s="6" t="n"/>
      <c r="O22" s="6" t="n"/>
      <c r="P22" s="6" t="n"/>
      <c r="Q22" s="6" t="n"/>
    </row>
    <row r="23">
      <c r="A23" s="6" t="inlineStr">
        <is>
          <t>(Increase)/decrease in financial assets held for trading</t>
        </is>
      </c>
      <c r="B23" s="6" t="n"/>
      <c r="C23" s="6" t="n"/>
      <c r="D23" s="6" t="n"/>
      <c r="E23" s="6" t="n"/>
      <c r="F23" s="6" t="n"/>
      <c r="G23" s="6" t="n"/>
      <c r="H23" s="6" t="n"/>
      <c r="I23" s="6" t="n"/>
      <c r="J23" s="6" t="n"/>
      <c r="K23" s="6" t="n"/>
      <c r="L23" s="6" t="n"/>
      <c r="M23" s="6" t="n"/>
      <c r="N23" s="6" t="n">
        <v>25.83</v>
      </c>
      <c r="O23" s="6" t="n">
        <v>1.18</v>
      </c>
      <c r="P23" s="6" t="n">
        <v>-15.8</v>
      </c>
      <c r="Q23" s="6" t="n">
        <v>-11.21</v>
      </c>
    </row>
    <row r="24">
      <c r="A24" s="6" t="inlineStr">
        <is>
          <t>Increase/(decrease) in derivative financial instruments</t>
        </is>
      </c>
      <c r="B24" s="6" t="n">
        <v>1.27</v>
      </c>
      <c r="C24" s="6" t="n">
        <v>-1.13</v>
      </c>
      <c r="D24" s="6" t="n">
        <v>-0.13</v>
      </c>
      <c r="E24" s="6" t="n">
        <v>0.39</v>
      </c>
      <c r="F24" s="6" t="n">
        <v>-5.15</v>
      </c>
      <c r="G24" s="6" t="n">
        <v>1.7</v>
      </c>
      <c r="H24" s="6" t="n">
        <v>8.68</v>
      </c>
      <c r="I24" s="6" t="n">
        <v>-7.07</v>
      </c>
      <c r="J24" s="6" t="n">
        <v>9.82</v>
      </c>
      <c r="K24" s="6" t="n">
        <v>-7.2</v>
      </c>
      <c r="L24" s="6" t="n">
        <v>-0.27</v>
      </c>
      <c r="M24" s="6" t="n">
        <v>-0.65</v>
      </c>
      <c r="N24" s="6" t="n">
        <v>-0</v>
      </c>
      <c r="O24" s="6" t="n">
        <v>2.32</v>
      </c>
      <c r="P24" s="6" t="n">
        <v>-2.32</v>
      </c>
      <c r="Q24" s="6" t="n"/>
    </row>
    <row r="25">
      <c r="A25" s="6" t="inlineStr">
        <is>
          <t>Source operating subtotal reconciliation (see source note)</t>
        </is>
      </c>
      <c r="B25" s="6" t="n"/>
      <c r="C25" s="6" t="n">
        <v>0.74</v>
      </c>
      <c r="D25" s="6" t="n">
        <v>1.05</v>
      </c>
      <c r="E25" s="6" t="n"/>
      <c r="F25" s="6" t="n"/>
      <c r="G25" s="6" t="n"/>
      <c r="H25" s="6" t="n"/>
      <c r="I25" s="6" t="n"/>
      <c r="J25" s="6" t="n"/>
      <c r="K25" s="6" t="n"/>
      <c r="L25" s="6" t="n"/>
      <c r="M25" s="6" t="n"/>
      <c r="N25" s="6" t="n"/>
      <c r="O25" s="6" t="n"/>
      <c r="P25" s="6" t="n"/>
      <c r="Q25" s="6" t="n"/>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row>
    <row r="27">
      <c r="A27" s="5" t="inlineStr">
        <is>
          <t>Investing activities</t>
        </is>
      </c>
      <c r="B27" s="6" t="n"/>
      <c r="C27" s="6" t="n"/>
      <c r="D27" s="6" t="n"/>
      <c r="E27" s="6" t="n"/>
      <c r="F27" s="6" t="n"/>
      <c r="G27" s="6" t="n"/>
      <c r="H27" s="6" t="n"/>
      <c r="I27" s="6" t="n"/>
      <c r="J27" s="6" t="n"/>
      <c r="K27" s="6" t="n"/>
      <c r="L27" s="6" t="n"/>
      <c r="M27" s="6" t="n"/>
      <c r="N27" s="6" t="n"/>
      <c r="O27" s="6" t="n"/>
      <c r="P27" s="6" t="n"/>
      <c r="Q27" s="6" t="n"/>
    </row>
    <row r="28">
      <c r="A28" s="6" t="inlineStr">
        <is>
          <t>Purchase of property, plant and equipment</t>
        </is>
      </c>
      <c r="B28" s="6" t="n">
        <v>-0.07000000000000001</v>
      </c>
      <c r="C28" s="6" t="n">
        <v>-0.6899999999999999</v>
      </c>
      <c r="D28" s="6" t="n">
        <v>-0.05</v>
      </c>
      <c r="E28" s="6" t="n">
        <v>-0</v>
      </c>
      <c r="F28" s="6" t="n">
        <v>-0.04</v>
      </c>
      <c r="G28" s="6" t="n">
        <v>0</v>
      </c>
      <c r="H28" s="6" t="n">
        <v>-0.15</v>
      </c>
      <c r="I28" s="6" t="n">
        <v>-0.17</v>
      </c>
      <c r="J28" s="6" t="n">
        <v>-0.16</v>
      </c>
      <c r="K28" s="6" t="n">
        <v>-0.18</v>
      </c>
      <c r="L28" s="6" t="n">
        <v>-2.39</v>
      </c>
      <c r="M28" s="6" t="n">
        <v>-23.97</v>
      </c>
      <c r="N28" s="6" t="n">
        <v>-0.01</v>
      </c>
      <c r="O28" s="6" t="n">
        <v>-0.03</v>
      </c>
      <c r="P28" s="6" t="n">
        <v>-0.04</v>
      </c>
      <c r="Q28" s="6" t="n">
        <v>-0.02</v>
      </c>
    </row>
    <row r="29">
      <c r="A29" s="6" t="inlineStr">
        <is>
          <t>Purchase of intangible assets</t>
        </is>
      </c>
      <c r="B29" s="6" t="n">
        <v>-0.1</v>
      </c>
      <c r="C29" s="6" t="n"/>
      <c r="D29" s="6" t="n"/>
      <c r="E29" s="6" t="n"/>
      <c r="F29" s="6" t="n">
        <v>-0.12</v>
      </c>
      <c r="G29" s="6" t="n">
        <v>-0.06</v>
      </c>
      <c r="H29" s="6" t="n">
        <v>0</v>
      </c>
      <c r="I29" s="6" t="n">
        <v>-0</v>
      </c>
      <c r="J29" s="6" t="n">
        <v>-0.01</v>
      </c>
      <c r="K29" s="6" t="n">
        <v>-0.05</v>
      </c>
      <c r="L29" s="6" t="n">
        <v>-0.27</v>
      </c>
      <c r="M29" s="6" t="n">
        <v>-0.05</v>
      </c>
      <c r="N29" s="6" t="n">
        <v>-0.01</v>
      </c>
      <c r="O29" s="6" t="n">
        <v>-0.05</v>
      </c>
      <c r="P29" s="6" t="n">
        <v>-0.02</v>
      </c>
      <c r="Q29" s="6" t="n">
        <v>-0.05</v>
      </c>
    </row>
    <row r="30">
      <c r="A30" s="5" t="inlineStr">
        <is>
          <t>Net cash outflow from investing activities</t>
        </is>
      </c>
      <c r="B30" s="5" t="n">
        <v>-0.17</v>
      </c>
      <c r="C30" s="5" t="n">
        <v>-0.6899999999999999</v>
      </c>
      <c r="D30" s="5" t="n">
        <v>-0.05</v>
      </c>
      <c r="E30" s="5" t="n">
        <v>-0</v>
      </c>
      <c r="F30" s="5" t="n">
        <v>-0.15</v>
      </c>
      <c r="G30" s="5" t="n">
        <v>-0.06</v>
      </c>
      <c r="H30" s="5" t="n">
        <v>-0.15</v>
      </c>
      <c r="I30" s="5" t="n">
        <v>-0.18</v>
      </c>
      <c r="J30" s="5" t="n">
        <v>-0.18</v>
      </c>
      <c r="K30" s="5" t="n">
        <v>-0.23</v>
      </c>
      <c r="L30" s="5" t="n">
        <v>-2.66</v>
      </c>
      <c r="M30" s="5" t="n">
        <v>-24.03</v>
      </c>
      <c r="N30" s="5" t="n">
        <v>-0.02</v>
      </c>
      <c r="O30" s="5" t="n">
        <v>-0.08</v>
      </c>
      <c r="P30" s="5" t="n">
        <v>-0.06</v>
      </c>
      <c r="Q30" s="5" t="n">
        <v>-0.07000000000000001</v>
      </c>
    </row>
    <row r="31">
      <c r="A31" s="5" t="inlineStr">
        <is>
          <t>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Repayment/(increase) of subordinated Wakala</t>
        </is>
      </c>
      <c r="B32" s="6" t="n">
        <v>-0.04</v>
      </c>
      <c r="C32" s="6" t="n">
        <v>-0.03</v>
      </c>
      <c r="D32" s="6" t="n">
        <v>0.1</v>
      </c>
      <c r="E32" s="6" t="n"/>
      <c r="F32" s="6" t="n">
        <v>-2.25</v>
      </c>
      <c r="G32" s="6" t="n"/>
      <c r="H32" s="6" t="n"/>
      <c r="I32" s="6" t="n"/>
      <c r="J32" s="6" t="n">
        <v>-0.25</v>
      </c>
      <c r="K32" s="6" t="n"/>
      <c r="L32" s="6" t="n"/>
      <c r="M32" s="6" t="n"/>
      <c r="N32" s="6" t="n"/>
      <c r="O32" s="6" t="n"/>
      <c r="P32" s="6" t="n"/>
      <c r="Q32" s="6" t="n"/>
    </row>
    <row r="33">
      <c r="A33" s="6" t="inlineStr">
        <is>
          <t>Proceeds from issuance of ordinary shares</t>
        </is>
      </c>
      <c r="B33" s="6" t="n"/>
      <c r="C33" s="6" t="n"/>
      <c r="D33" s="6" t="n"/>
      <c r="E33" s="6" t="n"/>
      <c r="F33" s="6" t="n"/>
      <c r="G33" s="6" t="n"/>
      <c r="H33" s="6" t="n"/>
      <c r="I33" s="6" t="n"/>
      <c r="J33" s="6" t="n">
        <v>6.25</v>
      </c>
      <c r="K33" s="6" t="n">
        <v>0</v>
      </c>
      <c r="L33" s="6" t="n">
        <v>23.06</v>
      </c>
      <c r="M33" s="6" t="n">
        <v>12.5</v>
      </c>
      <c r="N33" s="6" t="n">
        <v>19</v>
      </c>
      <c r="O33" s="6" t="n"/>
      <c r="P33" s="6" t="n"/>
      <c r="Q33" s="6" t="n"/>
    </row>
    <row r="34">
      <c r="A34" s="6" t="inlineStr">
        <is>
          <t>Proceeds from subordinated loans/Wakala</t>
        </is>
      </c>
      <c r="B34" s="6" t="n"/>
      <c r="C34" s="6" t="n"/>
      <c r="D34" s="6" t="n"/>
      <c r="E34" s="6" t="n"/>
      <c r="F34" s="6" t="n"/>
      <c r="G34" s="6" t="n"/>
      <c r="H34" s="6" t="n"/>
      <c r="I34" s="6" t="n"/>
      <c r="J34" s="6" t="n"/>
      <c r="K34" s="6" t="n">
        <v>0</v>
      </c>
      <c r="L34" s="6" t="n">
        <v>3.44</v>
      </c>
      <c r="M34" s="6" t="n">
        <v>3</v>
      </c>
      <c r="N34" s="6" t="n">
        <v>5</v>
      </c>
      <c r="O34" s="6" t="n"/>
      <c r="P34" s="6" t="n"/>
      <c r="Q34" s="6" t="n"/>
    </row>
    <row r="35">
      <c r="A35" s="5" t="inlineStr">
        <is>
          <t>Net cash (outflow)/inflow from financing activities</t>
        </is>
      </c>
      <c r="B35" s="5" t="n">
        <v>-0.04</v>
      </c>
      <c r="C35" s="5" t="n">
        <v>-0.03</v>
      </c>
      <c r="D35" s="5" t="n">
        <v>0.1</v>
      </c>
      <c r="E35" s="5" t="n">
        <v>0</v>
      </c>
      <c r="F35" s="5" t="n">
        <v>-2.25</v>
      </c>
      <c r="G35" s="5" t="n">
        <v>0</v>
      </c>
      <c r="H35" s="5" t="n">
        <v>0</v>
      </c>
      <c r="I35" s="5" t="n">
        <v>0</v>
      </c>
      <c r="J35" s="5" t="n">
        <v>6</v>
      </c>
      <c r="K35" s="5" t="n">
        <v>0</v>
      </c>
      <c r="L35" s="5" t="n">
        <v>26.5</v>
      </c>
      <c r="M35" s="5" t="n">
        <v>15.5</v>
      </c>
      <c r="N35" s="5" t="n">
        <v>24</v>
      </c>
      <c r="O35" s="5" t="n">
        <v>0</v>
      </c>
      <c r="P35" s="5" t="n">
        <v>0</v>
      </c>
      <c r="Q35" s="5" t="n">
        <v>0</v>
      </c>
    </row>
    <row r="36">
      <c r="A36" s="5" t="inlineStr">
        <is>
          <t>Net increase/(decrease) in cash and cash equivalents</t>
        </is>
      </c>
      <c r="B36" s="5" t="n">
        <v>50.15</v>
      </c>
      <c r="C36" s="5" t="n">
        <v>-22.02</v>
      </c>
      <c r="D36" s="5" t="n">
        <v>-9.859999999999999</v>
      </c>
      <c r="E36" s="5" t="n">
        <v>2.77</v>
      </c>
      <c r="F36" s="5" t="n">
        <v>14.63</v>
      </c>
      <c r="G36" s="5" t="n">
        <v>0.93</v>
      </c>
      <c r="H36" s="5" t="n">
        <v>3.76</v>
      </c>
      <c r="I36" s="5" t="n">
        <v>6.27</v>
      </c>
      <c r="J36" s="5" t="n">
        <v>14.09</v>
      </c>
      <c r="K36" s="5" t="n">
        <v>10.57</v>
      </c>
      <c r="L36" s="5" t="n">
        <v>0.25</v>
      </c>
      <c r="M36" s="5" t="n">
        <v>3.01</v>
      </c>
      <c r="N36" s="5" t="n">
        <v>-1.8</v>
      </c>
      <c r="O36" s="5" t="n">
        <v>3.17</v>
      </c>
      <c r="P36" s="5" t="n">
        <v>-0.58</v>
      </c>
      <c r="Q36" s="5" t="n">
        <v>-1.25</v>
      </c>
    </row>
    <row r="37">
      <c r="A37" s="6" t="inlineStr">
        <is>
          <t>Cash and cash equivalents at start of year</t>
        </is>
      </c>
      <c r="B37" s="6" t="n">
        <v>82.31999999999999</v>
      </c>
      <c r="C37" s="6" t="n">
        <v>49.25</v>
      </c>
      <c r="D37" s="6" t="n">
        <v>59.11</v>
      </c>
      <c r="E37" s="6" t="n">
        <v>56.34</v>
      </c>
      <c r="F37" s="6" t="n">
        <v>41.71</v>
      </c>
      <c r="G37" s="6" t="n">
        <v>40.78</v>
      </c>
      <c r="H37" s="6" t="n">
        <v>37.02</v>
      </c>
      <c r="I37" s="6" t="n">
        <v>30.75</v>
      </c>
      <c r="J37" s="6" t="n">
        <v>16.66</v>
      </c>
      <c r="K37" s="6" t="n">
        <v>6.1</v>
      </c>
      <c r="L37" s="6" t="n">
        <v>5.84</v>
      </c>
      <c r="M37" s="6" t="n">
        <v>2.83</v>
      </c>
      <c r="N37" s="6" t="n">
        <v>4.63</v>
      </c>
      <c r="O37" s="6" t="n">
        <v>1.46</v>
      </c>
      <c r="P37" s="6" t="n">
        <v>2.03</v>
      </c>
      <c r="Q37" s="6" t="n">
        <v>3.28</v>
      </c>
    </row>
    <row r="38">
      <c r="A38" s="5" t="inlineStr">
        <is>
          <t>Cash and cash equivalents at end of year</t>
        </is>
      </c>
      <c r="B38" s="5" t="n">
        <v>132.47</v>
      </c>
      <c r="C38" s="5" t="n">
        <v>27.23</v>
      </c>
      <c r="D38" s="5" t="n">
        <v>49.25</v>
      </c>
      <c r="E38" s="5" t="n">
        <v>59.11</v>
      </c>
      <c r="F38" s="5" t="n">
        <v>56.34</v>
      </c>
      <c r="G38" s="5" t="n">
        <v>41.71</v>
      </c>
      <c r="H38" s="5" t="n">
        <v>40.78</v>
      </c>
      <c r="I38" s="5" t="n">
        <v>37.02</v>
      </c>
      <c r="J38" s="5" t="n">
        <v>30.75</v>
      </c>
      <c r="K38" s="5" t="n">
        <v>16.66</v>
      </c>
      <c r="L38" s="5" t="n">
        <v>6.1</v>
      </c>
      <c r="M38" s="5" t="n">
        <v>5.84</v>
      </c>
      <c r="N38" s="5" t="n">
        <v>2.83</v>
      </c>
      <c r="O38" s="5" t="n">
        <v>4.63</v>
      </c>
      <c r="P38" s="5" t="n">
        <v>1.46</v>
      </c>
      <c r="Q38" s="5" t="n">
        <v>2.03</v>
      </c>
    </row>
    <row r="40" ht="340" customHeight="1">
      <c r="A40" s="8" t="inlineStr">
        <is>
          <t>Sources - QIB (UK) plc's own entity Statement of Cash Flows, converted from £ to £m (divide by 1,000,000 and round to 2 decimals):
FY2025: Annual Report, p.24 - https://find-and-update.company-information.service.gov.uk/company/04656003/filing-history/MzUyNzI4MTM5OGFkaXF6a2N4/document?format=pdf&amp;download=0
FY2024: Annual Report, p.25 - https://find-and-update.company-information.service.gov.uk/company/04656003/filing-history/MzQ2NzkwMzQ0MmFkaXF6a2N4/document?format=pdf&amp;download=0
FY2023: Annual Report, p.24 - https://find-and-update.company-information.service.gov.uk/company/04656003/filing-history/MzQyNDU4NzQ0OGFkaXF6a2N4/document?format=pdf&amp;download=0
FY2022: Annual Report, p.25 - https://find-and-update.company-information.service.gov.uk/company/04656003/filing-history/MzM4MDQ4MTUzN2FkaXF6a2N4/document?format=pdf&amp;download=0
FY2021: Annual Report, p.22 - https://find-and-update.company-information.service.gov.uk/company/04656003/filing-history/MzMzOTk2ODIxNmFkaXF6a2N4/document?format=pdf&amp;download=0
FY2020: Annual Report, p.21 - https://www.qib-uk.com/wp-content/uploads/sites/2/2021/09/QIB-UK-Annual-Report-31-December-2020-v6-Signed.pdf
FY2019: Annual Report, p.14 - https://www.qib-uk.com/wp-content/uploads/sites/2/2020/08/QIB-Annual-Report-UK-2019.pdf
FY2018: Annual Report, p.16 - https://www.qib-uk.com/wp-content/uploads/sites/2/2019/12/QIB-UK-Annual-Report-2018-edited.pdf
FY2017: Annual Report, p.17 - https://www.qib-uk.com/wp-content/uploads/sites/2/2019/12/QIB-UK-Annual-Report-2017_Eng-.pdf
FY2016: Annual Report, p.13 - https://www.qib-uk.com/-/media/project/uk/files/finance-reports/qib-uk-annual-report-2016-eng-.pdf
FY2015: Annual Report, p.14 - https://www.qib-uk.com/-/media/project/uk/files/finance-reports/qib-uk-annual-report-2015.pdf
FY2014: Annual Report, p.14 - https://find-and-update.company-information.service.gov.uk/company/04656003/filing-history/MzEyMDQzMzk0OWFkaXF6a2N4/document?format=pdf&amp;download=0
FY2025/FY2024 reports label the FY2024 comparative restated and FY2023 labels the FY2022 comparative restated. Each year's own report column is used here, preserving the project convention and avoiding blended reclassifications. FY2024 and FY2023 each contain a source presentation difference between the printed operating line items and the printed operating subtotal; explicit reconciliation rows preserve both.
FY2014-FY2020 own-year cash flow statements were sourced from QIB (UK)'s qib-uk.com Annual Report PDFs (native text). FY2018/FY2019/FY2020's own 'cash and cash equivalents at end of year' figure (37,017,161 / 40,777,075 / 41,708,427) is a few hundred pounds above that same year's own Balance Sheet 'Cash and balances with banks' line (37,016,753 / 40,776,701 / 41,708,029) - an immaterial gross-vs-net-of-ECL presentation difference within the Bank's own report, not a transcription error.
DATA QUALITY FLAG - FY2015: the Bank's own AR2015 prints 'Net cash inflow / (outflow) from operating activities' as a positive 23,588,646, but that figure does not reconcile two different ways: (1) it is not the sum of that same table's own 14 printed adjustment lines, which sum to exactly -23,588,647 (verified independently); and (2) using +23,588,646 for operating activities together with the Bank's own printed investing (-2,658,626) and financing (+26,500,000) subtotals gives 47,430,020, not the Bank's own printed 'Net increase in cash and cash equivalents' of 252,728 - whereas using -23,588,647 gives -23,588,647-2,658,626+26,500,000=252,727, matching (within £1 rounding) both the printed net-change figure and the independently-verifiable cash-at-start/cash-at-end tie-out (5,844,014 -&gt; 6,096,742). This sheet therefore carries -23,588,647 (a net outflow) for FY2015 operating activities - the value consistent with the rest of the Bank's own statement and with actual cash movement - rather than the Bank's own headline positive figure, which appears to be missing a negative sign/bracket in the published PDF. All 14 individual adjustment-line figures are transcribed exactly as printed either way.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0:Q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Asset Quality</t>
        </is>
      </c>
    </row>
    <row r="2">
      <c r="A2" s="2" t="inlineStr">
        <is>
          <t>Financing arrangements (Murabaha financing), IFRS 9 stage 1/2/3 gross carrying amount and ECL allowance. Entity basis, £m, FY2018-FY2025 (FY2014-FY2017 blank - pre-IFRS 9, see source note). See DATA QUALITY FLAG at bottom for several years' own internal note-vs-Balance Sheet 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Financing arrangements (Murabaha financing), gross carrying amount by IFRS 9 stage</t>
        </is>
      </c>
      <c r="B4" s="6" t="n"/>
      <c r="C4" s="6" t="n"/>
      <c r="D4" s="6" t="n"/>
      <c r="E4" s="6" t="n"/>
      <c r="F4" s="6" t="n"/>
      <c r="G4" s="6" t="n"/>
      <c r="H4" s="6" t="n"/>
      <c r="I4" s="6" t="n"/>
      <c r="J4" s="6" t="n"/>
      <c r="K4" s="6" t="n"/>
      <c r="L4" s="6" t="n"/>
      <c r="M4" s="6" t="n"/>
    </row>
    <row r="5">
      <c r="A5" s="6" t="inlineStr">
        <is>
          <t>Stage 1</t>
        </is>
      </c>
      <c r="B5" s="6" t="n">
        <v>849</v>
      </c>
      <c r="C5" s="6" t="n">
        <v>768.73</v>
      </c>
      <c r="D5" s="6" t="n">
        <v>768.6799999999999</v>
      </c>
      <c r="E5" s="6" t="n">
        <v>761.51</v>
      </c>
      <c r="F5" s="6" t="n">
        <v>719.08</v>
      </c>
      <c r="G5" s="6" t="n">
        <v>587.13</v>
      </c>
      <c r="H5" s="6" t="n">
        <v>524.0599999999999</v>
      </c>
      <c r="I5" s="6" t="n">
        <v>479.18</v>
      </c>
      <c r="J5" s="6" t="n"/>
      <c r="K5" s="6" t="n"/>
      <c r="L5" s="6" t="n"/>
      <c r="M5" s="6" t="n"/>
    </row>
    <row r="6">
      <c r="A6" s="6" t="inlineStr">
        <is>
          <t>Stage 2</t>
        </is>
      </c>
      <c r="B6" s="6" t="n">
        <v>94.12</v>
      </c>
      <c r="C6" s="6" t="n">
        <v>109.92</v>
      </c>
      <c r="D6" s="6" t="n">
        <v>60.85</v>
      </c>
      <c r="E6" s="6" t="n">
        <v>23.17</v>
      </c>
      <c r="F6" s="6" t="n">
        <v>5.86</v>
      </c>
      <c r="G6" s="6" t="n">
        <v>5.1</v>
      </c>
      <c r="H6" s="6" t="n">
        <v>11.72</v>
      </c>
      <c r="I6" s="6" t="n">
        <v>4.96</v>
      </c>
      <c r="J6" s="6" t="n"/>
      <c r="K6" s="6" t="n"/>
      <c r="L6" s="6" t="n"/>
      <c r="M6" s="6" t="n"/>
    </row>
    <row r="7">
      <c r="A7" s="6" t="inlineStr">
        <is>
          <t>Stage 3</t>
        </is>
      </c>
      <c r="B7" s="6" t="n">
        <v>16.61</v>
      </c>
      <c r="C7" s="6" t="n">
        <v>8.81</v>
      </c>
      <c r="D7" s="6" t="n">
        <v>0</v>
      </c>
      <c r="E7" s="6" t="n">
        <v>0.01</v>
      </c>
      <c r="F7" s="6" t="n">
        <v>7.81</v>
      </c>
      <c r="G7" s="6" t="n">
        <v>10.96</v>
      </c>
      <c r="H7" s="6" t="n">
        <v>4.75</v>
      </c>
      <c r="I7" s="6" t="n">
        <v>4.8</v>
      </c>
      <c r="J7" s="6" t="n"/>
      <c r="K7" s="6" t="n"/>
      <c r="L7" s="6" t="n"/>
      <c r="M7" s="6" t="n"/>
    </row>
    <row r="8">
      <c r="A8" s="5" t="inlineStr">
        <is>
          <t>Total gross carrying amount</t>
        </is>
      </c>
      <c r="B8" s="5" t="n">
        <v>959.73</v>
      </c>
      <c r="C8" s="5" t="n">
        <v>887.46</v>
      </c>
      <c r="D8" s="5" t="n">
        <v>829.54</v>
      </c>
      <c r="E8" s="5" t="n">
        <v>784.6900000000001</v>
      </c>
      <c r="F8" s="5" t="n">
        <v>732.75</v>
      </c>
      <c r="G8" s="5" t="n">
        <v>603.1900000000001</v>
      </c>
      <c r="H8" s="5" t="n">
        <v>540.53</v>
      </c>
      <c r="I8" s="5" t="n">
        <v>488.95</v>
      </c>
      <c r="J8" s="5" t="n"/>
      <c r="K8" s="5" t="n"/>
      <c r="L8" s="5" t="n"/>
      <c r="M8" s="5" t="n"/>
    </row>
    <row r="9">
      <c r="A9" s="5" t="inlineStr">
        <is>
          <t>ECL allowance by IFRS 9 stage</t>
        </is>
      </c>
      <c r="B9" s="6" t="n"/>
      <c r="C9" s="6" t="n"/>
      <c r="D9" s="6" t="n"/>
      <c r="E9" s="6" t="n"/>
      <c r="F9" s="6" t="n"/>
      <c r="G9" s="6" t="n"/>
      <c r="H9" s="6" t="n"/>
      <c r="I9" s="6" t="n"/>
      <c r="J9" s="6" t="n"/>
      <c r="K9" s="6" t="n"/>
      <c r="L9" s="6" t="n"/>
      <c r="M9" s="6" t="n"/>
    </row>
    <row r="10">
      <c r="A10" s="6" t="inlineStr">
        <is>
          <t>Stage 1</t>
        </is>
      </c>
      <c r="B10" s="6" t="n">
        <v>-0.83</v>
      </c>
      <c r="C10" s="6" t="n">
        <v>-0.93</v>
      </c>
      <c r="D10" s="6" t="n">
        <v>-1.08</v>
      </c>
      <c r="E10" s="6" t="n">
        <v>-0.89</v>
      </c>
      <c r="F10" s="6" t="n">
        <v>-0.75</v>
      </c>
      <c r="G10" s="6" t="n">
        <v>-1.71</v>
      </c>
      <c r="H10" s="6" t="n">
        <v>-0.55</v>
      </c>
      <c r="I10" s="6" t="n">
        <v>-1.29</v>
      </c>
      <c r="J10" s="6" t="n"/>
      <c r="K10" s="6" t="n"/>
      <c r="L10" s="6" t="n"/>
      <c r="M10" s="6" t="n"/>
    </row>
    <row r="11">
      <c r="A11" s="6" t="inlineStr">
        <is>
          <t>Stage 2</t>
        </is>
      </c>
      <c r="B11" s="6" t="n">
        <v>-0.55</v>
      </c>
      <c r="C11" s="6" t="n">
        <v>-2.46</v>
      </c>
      <c r="D11" s="6" t="n">
        <v>-1.58</v>
      </c>
      <c r="E11" s="6" t="n">
        <v>-0.72</v>
      </c>
      <c r="F11" s="6" t="n">
        <v>-0.28</v>
      </c>
      <c r="G11" s="6" t="n">
        <v>-0.08</v>
      </c>
      <c r="H11" s="6" t="n">
        <v>-1.77</v>
      </c>
      <c r="I11" s="6" t="n">
        <v>-0.48</v>
      </c>
      <c r="J11" s="6" t="n"/>
      <c r="K11" s="6" t="n"/>
      <c r="L11" s="6" t="n"/>
      <c r="M11" s="6" t="n"/>
    </row>
    <row r="12">
      <c r="A12" s="6" t="inlineStr">
        <is>
          <t>Stage 3</t>
        </is>
      </c>
      <c r="B12" s="6" t="n">
        <v>-3.66</v>
      </c>
      <c r="C12" s="6" t="n">
        <v>-0.01</v>
      </c>
      <c r="D12" s="6" t="n">
        <v>0</v>
      </c>
      <c r="E12" s="6" t="n">
        <v>-0.01</v>
      </c>
      <c r="F12" s="6" t="n">
        <v>-3.01</v>
      </c>
      <c r="G12" s="6" t="n">
        <v>-5.06</v>
      </c>
      <c r="H12" s="6" t="n">
        <v>-4.75</v>
      </c>
      <c r="I12" s="6" t="n">
        <v>-4.8</v>
      </c>
      <c r="J12" s="6" t="n"/>
      <c r="K12" s="6" t="n"/>
      <c r="L12" s="6" t="n"/>
      <c r="M12" s="6" t="n"/>
    </row>
    <row r="13">
      <c r="A13" s="5" t="inlineStr">
        <is>
          <t>Total ECL allowance</t>
        </is>
      </c>
      <c r="B13" s="5" t="n">
        <v>-5.05</v>
      </c>
      <c r="C13" s="5" t="n">
        <v>-3.4</v>
      </c>
      <c r="D13" s="5" t="n">
        <v>-2.66</v>
      </c>
      <c r="E13" s="5" t="n">
        <v>-1.61</v>
      </c>
      <c r="F13" s="5" t="n">
        <v>-4.04</v>
      </c>
      <c r="G13" s="5" t="n">
        <v>-6.85</v>
      </c>
      <c r="H13" s="5" t="n">
        <v>-7.06</v>
      </c>
      <c r="I13" s="5" t="n">
        <v>-6.57</v>
      </c>
      <c r="J13" s="5" t="n"/>
      <c r="K13" s="5" t="n"/>
      <c r="L13" s="5" t="n"/>
      <c r="M13" s="5" t="n"/>
    </row>
    <row r="14">
      <c r="A14" s="5" t="inlineStr">
        <is>
          <t>Net financing arrangements (per this note)</t>
        </is>
      </c>
      <c r="B14" s="5" t="n">
        <v>954.6799999999999</v>
      </c>
      <c r="C14" s="5" t="n">
        <v>884.0599999999999</v>
      </c>
      <c r="D14" s="5" t="n">
        <v>826.88</v>
      </c>
      <c r="E14" s="5" t="n">
        <v>783.0700000000001</v>
      </c>
      <c r="F14" s="5" t="n">
        <v>728.7</v>
      </c>
      <c r="G14" s="5" t="n">
        <v>596.34</v>
      </c>
      <c r="H14" s="5" t="n">
        <v>533.46</v>
      </c>
      <c r="I14" s="5" t="n">
        <v>482.37</v>
      </c>
      <c r="J14" s="5" t="n"/>
      <c r="K14" s="5" t="n"/>
      <c r="L14" s="5" t="n"/>
      <c r="M14" s="5" t="n"/>
    </row>
    <row r="15">
      <c r="A15" s="5" t="inlineStr">
        <is>
          <t>Asset quality ratios (derived)</t>
        </is>
      </c>
      <c r="B15" s="6" t="n"/>
      <c r="C15" s="6" t="n"/>
      <c r="D15" s="6" t="n"/>
      <c r="E15" s="6" t="n"/>
      <c r="F15" s="6" t="n"/>
      <c r="G15" s="6" t="n"/>
      <c r="H15" s="6" t="n"/>
      <c r="I15" s="6" t="n"/>
      <c r="J15" s="6" t="n"/>
      <c r="K15" s="6" t="n"/>
      <c r="L15" s="6" t="n"/>
      <c r="M15" s="6" t="n"/>
    </row>
    <row r="16">
      <c r="A16" s="6" t="inlineStr">
        <is>
          <t>Stage 3 as % of total gross carrying amount (NPL ratio)</t>
        </is>
      </c>
      <c r="B16" s="6" t="inlineStr">
        <is>
          <t>1.73%</t>
        </is>
      </c>
      <c r="C16" s="6" t="inlineStr">
        <is>
          <t>0.99%</t>
        </is>
      </c>
      <c r="D16" s="6" t="inlineStr">
        <is>
          <t>0.00%</t>
        </is>
      </c>
      <c r="E16" s="6" t="inlineStr">
        <is>
          <t>0.00%</t>
        </is>
      </c>
      <c r="F16" s="6" t="inlineStr">
        <is>
          <t>1.07%</t>
        </is>
      </c>
      <c r="G16" s="6" t="inlineStr">
        <is>
          <t>1.82%</t>
        </is>
      </c>
      <c r="H16" s="6" t="inlineStr">
        <is>
          <t>0.88%</t>
        </is>
      </c>
      <c r="I16" s="6" t="inlineStr">
        <is>
          <t>0.98%</t>
        </is>
      </c>
      <c r="J16" s="6" t="n"/>
      <c r="K16" s="6" t="n"/>
      <c r="L16" s="6" t="n"/>
      <c r="M16" s="6" t="n"/>
    </row>
    <row r="17">
      <c r="A17" s="6" t="inlineStr">
        <is>
          <t>Total ECL allowance as % of total gross carrying amount (coverage)</t>
        </is>
      </c>
      <c r="B17" s="6" t="inlineStr">
        <is>
          <t>0.53%</t>
        </is>
      </c>
      <c r="C17" s="6" t="inlineStr">
        <is>
          <t>0.38%</t>
        </is>
      </c>
      <c r="D17" s="6" t="inlineStr">
        <is>
          <t>0.32%</t>
        </is>
      </c>
      <c r="E17" s="6" t="inlineStr">
        <is>
          <t>0.21%</t>
        </is>
      </c>
      <c r="F17" s="6" t="inlineStr">
        <is>
          <t>0.55%</t>
        </is>
      </c>
      <c r="G17" s="6" t="inlineStr">
        <is>
          <t>1.14%</t>
        </is>
      </c>
      <c r="H17" s="6" t="inlineStr">
        <is>
          <t>1.31%</t>
        </is>
      </c>
      <c r="I17" s="6" t="inlineStr">
        <is>
          <t>1.34%</t>
        </is>
      </c>
      <c r="J17" s="6" t="n"/>
      <c r="K17" s="6" t="n"/>
      <c r="L17" s="6" t="n"/>
      <c r="M17" s="6" t="n"/>
    </row>
    <row r="19" ht="440" customHeight="1">
      <c r="A19" s="8" t="inlineStr">
        <is>
          <t>Sources - QIB (UK) plc's own Annual Report, 'ECL breakdown' / 'Credit Quality' IFRS 9 stage 1/2/3 table for Financing Arrangements (Murabaha financing):
FY2025 (own): Annual Report and Accounts 2025, p.55 - https://find-and-update.company-information.service.gov.uk/company/04656003/filing-history/MzUyNzI4MTM5OGFkaXF6a2N4/document?format=pdf&amp;download=0
FY2024 (own): Annual Report and Accounts 2024, p.56 - https://find-and-update.company-information.service.gov.uk/company/04656003/filing-history/MzQ2NzkwMzQ0MmFkaXF6a2N4/document?format=pdf&amp;download=0
FY2023 (own): Annual Report and Accounts 2023, p.54 - https://find-and-update.company-information.service.gov.uk/company/04656003/filing-history/MzQyNDU4NzQ0OGFkaXF6a2N4/document?format=pdf&amp;download=0
FY2022 (own): Annual Report and Accounts 2022, p.55 - https://find-and-update.company-information.service.gov.uk/company/04656003/filing-history/MzM4MDQ4MTUzN2FkaXF6a2N4/document?format=pdf&amp;download=0
FY2021 (own): Annual Report and Accounts 2021, p.51 - https://find-and-update.company-information.service.gov.uk/company/04656003/filing-history/MzMzOTk2ODIxNmFkaXF6a2N4/document?format=pdf&amp;download=0
FY2020 (own): Annual Report 2020, p.51 - https://www.qib-uk.com/wp-content/uploads/sites/2/2021/09/QIB-UK-Annual-Report-31-December-2020-v6-Signed.pdf
FY2019 (own): Annual Report 2019, p.34 - https://www.qib-uk.com/wp-content/uploads/sites/2/2020/08/QIB-Annual-Report-UK-2019.pdf
FY2018 (own): Annual Report 2018, p.39 - https://www.qib-uk.com/wp-content/uploads/sites/2/2019/12/QIB-UK-Annual-Report-2018-edited.pdf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DATA QUALITY FLAG: the Bank's own note states these are the 'maximum credit exposure, including accrued profit' - for FY2019/FY2020/FY2021/FY2022 this note's own Total financing arrangements net figure (533,463,912 / 596,343,819 / 728,703,868 / 783,073,152) does NOT tie to that same year's own Balance Sheet 'Financing arrangements' line (530,994,682 / 593,879,089 / 726,026,105 / 777,848,982) - a genuine internal inconsistency within each of those Annual Reports (the accrued-profit basis difference the note itself flags), not a transcription error here. FY2018's own note ties exactly to the Balance Sheet (482,374,737 both); FY2023 onward this note's total also ties exactly to the Balance Sheet.
FY2014-FY2017: QIB (UK) had not yet adopted IFRS 9 (effective FY2018) and its Annual Reports for these years report impairment under IAS 39 ('individually assessed'/'collectively assessed' provisions on the aggregate financing book), not the IFRS 9 Stage 1/2/3 categorisation used in this sheet - cells are left blank for FY2014-FY2017 rather than force-mapped onto a staging basis the Bank itself did not use that year.</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FY2014/FY2015 are the Bank's own narrative-disclosed round figures (£25.9m/£49.1m), not from a numeric capital table; FY2016 is FY2017's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c r="L4" s="6" t="n"/>
      <c r="M4" s="6" t="n"/>
    </row>
    <row r="5" ht="60" customHeight="1">
      <c r="A5" s="7" t="inlineStr">
        <is>
          <t>Note: FY2014/FY2015: no CET1 ratio is disclosed in the reviewed QIB UK Pillar 3 documents (narrative capital amounts only,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KM1/Note 4 report Tier 1 equal to CET1; no AT1 capital is reported in any reviewed year.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c r="L4" s="6" t="n"/>
      <c r="M4" s="6" t="n"/>
    </row>
    <row r="5" ht="60" customHeight="1">
      <c r="A5" s="7" t="inlineStr">
        <is>
          <t>Note: Tier 1 ratio equals the CET1 ratio in every reviewed year (no AT1 capital).</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137.959</v>
      </c>
      <c r="C4" s="6" t="n">
        <v>126.799</v>
      </c>
      <c r="D4" s="6" t="n">
        <v>112.578</v>
      </c>
      <c r="E4" s="6" t="n">
        <v>96.58499999999999</v>
      </c>
      <c r="F4" s="6" t="n">
        <v>91.081</v>
      </c>
      <c r="G4" s="6" t="n">
        <v>85.44</v>
      </c>
      <c r="H4" s="6" t="n">
        <v>80.129</v>
      </c>
      <c r="I4" s="6" t="n">
        <v>79</v>
      </c>
      <c r="J4" s="6" t="n">
        <v>74</v>
      </c>
      <c r="K4" s="6" t="n">
        <v>65</v>
      </c>
      <c r="L4" s="6" t="n">
        <v>65.3</v>
      </c>
      <c r="M4" s="6" t="n">
        <v>38.7</v>
      </c>
    </row>
    <row r="5" ht="60" customHeight="1">
      <c r="A5" s="7" t="inlineStr">
        <is>
          <t>Note: FY2014/FY2015 total capital is derived as Tier 1 + Tier 2 from the Bank's own narrative figures (not itself a single disclosed line for those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19.90%</t>
        </is>
      </c>
      <c r="C4" s="6" t="inlineStr">
        <is>
          <t>21.07%</t>
        </is>
      </c>
      <c r="D4" s="6" t="inlineStr">
        <is>
          <t>20.73%</t>
        </is>
      </c>
      <c r="E4" s="6" t="inlineStr">
        <is>
          <t>19.35%</t>
        </is>
      </c>
      <c r="F4" s="6" t="inlineStr">
        <is>
          <t>19.71%</t>
        </is>
      </c>
      <c r="G4" s="6" t="inlineStr">
        <is>
          <t>20.44%</t>
        </is>
      </c>
      <c r="H4" s="6" t="inlineStr">
        <is>
          <t>21.35%</t>
        </is>
      </c>
      <c r="I4" s="6" t="inlineStr">
        <is>
          <t>22%</t>
        </is>
      </c>
      <c r="J4" s="6" t="inlineStr">
        <is>
          <t>22%</t>
        </is>
      </c>
      <c r="K4" s="6" t="inlineStr">
        <is>
          <t>25%</t>
        </is>
      </c>
      <c r="L4" s="6" t="n"/>
      <c r="M4" s="6" t="n"/>
    </row>
    <row r="5" ht="60" customHeight="1">
      <c r="A5" s="7" t="inlineStr">
        <is>
          <t>Note: FY2014/FY2015: no Total Capital ratio is disclosed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693.154</v>
      </c>
      <c r="C4" s="6" t="n">
        <v>601.928</v>
      </c>
      <c r="D4" s="6" t="n">
        <v>543.184</v>
      </c>
      <c r="E4" s="6" t="n">
        <v>499.121</v>
      </c>
      <c r="F4" s="6" t="n">
        <v>462.02</v>
      </c>
      <c r="G4" s="6" t="n">
        <v>418.084</v>
      </c>
      <c r="H4" s="6" t="n">
        <v>375.285</v>
      </c>
      <c r="I4" s="6" t="n">
        <v>354</v>
      </c>
      <c r="J4" s="6" t="n">
        <v>335</v>
      </c>
      <c r="K4" s="6" t="n">
        <v>264</v>
      </c>
      <c r="L4" s="6" t="n"/>
      <c r="M4" s="6" t="n"/>
    </row>
    <row r="5" ht="60" customHeight="1">
      <c r="A5" s="7" t="inlineStr">
        <is>
          <t>Note: FY2014/FY2015: no RWA figure is disclosed in the reviewed QIB UK Pillar 3 documents for these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RWA Breakdown</t>
        </is>
      </c>
    </row>
    <row r="2">
      <c r="A2" s="2" t="inlineStr">
        <is>
          <t>Pillar 3 UK OV1 template (top-level risk-type categories), £m, FY2021-FY2025; FY2016-FY2020 use the Bank's own earlier, differently-categorised Pillar 1 tables (see rows below) - FY2014/FY2015/FY2019 have no risk-type breakdown disclosed, only (for FY2019) a Total RWA figure on the Total RWAs sheet.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634.742</v>
      </c>
      <c r="C4" s="6" t="n">
        <v>548.789</v>
      </c>
      <c r="D4" s="6" t="n">
        <v>500.902</v>
      </c>
      <c r="E4" s="6" t="n">
        <v>465.681</v>
      </c>
      <c r="F4" s="6" t="n">
        <v>432.383</v>
      </c>
      <c r="G4" s="6" t="n"/>
      <c r="H4" s="6" t="n"/>
      <c r="I4" s="6" t="n"/>
      <c r="J4" s="6" t="n"/>
      <c r="K4" s="6" t="n"/>
      <c r="L4" s="6" t="n"/>
      <c r="M4" s="6" t="n"/>
    </row>
    <row r="5">
      <c r="A5" s="6" t="inlineStr">
        <is>
          <t>Counterparty credit risk (CCR, including CVA)</t>
        </is>
      </c>
      <c r="B5" s="6" t="n">
        <v>3.345</v>
      </c>
      <c r="C5" s="6" t="n">
        <v>4.023</v>
      </c>
      <c r="D5" s="6" t="n">
        <v>1.39</v>
      </c>
      <c r="E5" s="6" t="n">
        <v>1.852</v>
      </c>
      <c r="F5" s="6" t="n">
        <v>2.166</v>
      </c>
      <c r="G5" s="6" t="n"/>
      <c r="H5" s="6" t="n"/>
      <c r="I5" s="6" t="n"/>
      <c r="J5" s="6" t="n"/>
      <c r="K5" s="6" t="n"/>
      <c r="L5" s="6" t="n"/>
      <c r="M5" s="6" t="n"/>
    </row>
    <row r="6">
      <c r="A6" s="6" t="inlineStr">
        <is>
          <t>Position, foreign exchange and commodities risk (market risk)</t>
        </is>
      </c>
      <c r="B6" s="6" t="n">
        <v>0.049</v>
      </c>
      <c r="C6" s="6" t="n">
        <v>0.053</v>
      </c>
      <c r="D6" s="6" t="n">
        <v>0.122</v>
      </c>
      <c r="E6" s="6" t="n">
        <v>0.044</v>
      </c>
      <c r="F6" s="6" t="n">
        <v>0.031</v>
      </c>
      <c r="G6" s="6" t="n"/>
      <c r="H6" s="6" t="n"/>
      <c r="I6" s="6" t="n"/>
      <c r="J6" s="6" t="n"/>
      <c r="K6" s="6" t="n"/>
      <c r="L6" s="6" t="n"/>
      <c r="M6" s="6" t="n"/>
    </row>
    <row r="7">
      <c r="A7" s="6" t="inlineStr">
        <is>
          <t>Credit and counterparty credit risk, combined (pre-2021 template)</t>
        </is>
      </c>
      <c r="B7" s="6" t="n"/>
      <c r="C7" s="6" t="n"/>
      <c r="D7" s="6" t="n"/>
      <c r="E7" s="6" t="n"/>
      <c r="F7" s="6" t="n"/>
      <c r="G7" s="6" t="n">
        <v>392.457</v>
      </c>
      <c r="H7" s="6" t="n"/>
      <c r="I7" s="6" t="n">
        <v>336</v>
      </c>
      <c r="J7" s="6" t="n">
        <v>316</v>
      </c>
      <c r="K7" s="6" t="n">
        <v>249</v>
      </c>
      <c r="L7" s="6" t="n"/>
      <c r="M7" s="6" t="n"/>
    </row>
    <row r="8">
      <c r="A8" s="6" t="inlineStr">
        <is>
          <t>Market risk (pre-2021 template)</t>
        </is>
      </c>
      <c r="B8" s="6" t="n"/>
      <c r="C8" s="6" t="n"/>
      <c r="D8" s="6" t="n"/>
      <c r="E8" s="6" t="n"/>
      <c r="F8" s="6" t="n"/>
      <c r="G8" s="6" t="n">
        <v>0.026</v>
      </c>
      <c r="H8" s="6" t="n"/>
      <c r="I8" s="6" t="n">
        <v>0</v>
      </c>
      <c r="J8" s="6" t="n">
        <v>1</v>
      </c>
      <c r="K8" s="6" t="n">
        <v>1</v>
      </c>
      <c r="L8" s="6" t="n"/>
      <c r="M8" s="6" t="n"/>
    </row>
    <row r="9">
      <c r="A9" s="6" t="inlineStr">
        <is>
          <t>Credit valuation adjustment (CVA) (pre-2021 template)</t>
        </is>
      </c>
      <c r="B9" s="6" t="n"/>
      <c r="C9" s="6" t="n"/>
      <c r="D9" s="6" t="n"/>
      <c r="E9" s="6" t="n"/>
      <c r="F9" s="6" t="n"/>
      <c r="G9" s="6" t="n">
        <v>0.736</v>
      </c>
      <c r="H9" s="6" t="n"/>
      <c r="I9" s="6" t="n"/>
      <c r="J9" s="6" t="n"/>
      <c r="K9" s="6" t="n"/>
      <c r="L9" s="6" t="n"/>
      <c r="M9" s="6" t="n"/>
    </row>
    <row r="10">
      <c r="A10" s="6" t="inlineStr">
        <is>
          <t>Operational risk</t>
        </is>
      </c>
      <c r="B10" s="6" t="n">
        <v>55.017</v>
      </c>
      <c r="C10" s="6" t="n">
        <v>49.062</v>
      </c>
      <c r="D10" s="6" t="n">
        <v>40.771</v>
      </c>
      <c r="E10" s="6" t="n">
        <v>31.545</v>
      </c>
      <c r="F10" s="6" t="n">
        <v>27.44</v>
      </c>
      <c r="G10" s="6" t="n">
        <v>24.864</v>
      </c>
      <c r="H10" s="6" t="n"/>
      <c r="I10" s="6" t="n">
        <v>18</v>
      </c>
      <c r="J10" s="6" t="n">
        <v>18</v>
      </c>
      <c r="K10" s="6" t="n">
        <v>14</v>
      </c>
      <c r="L10" s="6" t="n"/>
      <c r="M10" s="6" t="n"/>
    </row>
    <row r="11">
      <c r="A11" s="5" t="inlineStr">
        <is>
          <t>Total risk-weighted exposure amount</t>
        </is>
      </c>
      <c r="B11" s="5" t="n">
        <v>693.154</v>
      </c>
      <c r="C11" s="5" t="n">
        <v>601.927</v>
      </c>
      <c r="D11" s="5" t="n">
        <v>543.1849999999999</v>
      </c>
      <c r="E11" s="5" t="n">
        <v>499.122</v>
      </c>
      <c r="F11" s="5" t="n">
        <v>462.02</v>
      </c>
      <c r="G11" s="5" t="n">
        <v>418.084</v>
      </c>
      <c r="H11" s="5" t="n">
        <v>375.285</v>
      </c>
      <c r="I11" s="5" t="n">
        <v>354</v>
      </c>
      <c r="J11" s="5" t="n">
        <v>335</v>
      </c>
      <c r="K11" s="5" t="n">
        <v>264</v>
      </c>
      <c r="L11" s="5" t="n"/>
      <c r="M11" s="5" t="n"/>
    </row>
    <row r="13" ht="360" customHeight="1">
      <c r="A13"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RWA BREAKDOWN: FY2021-FY2025 sourced from Template UK OV1 - Overview of risk weighted exposure amounts (p.7 of each year's own Pillar 3 document). Each year's own OV1 table gives that year's own column plus the prior year's comparative column; FY2021's figures are read from the FY2022 Pillar 3 document's own comparative column (its own standalone OV1 table not being available this session). This sheet's totals (693.154 / 601.927 / 543.185 / 499.122 / 462.020) are within £1k of the pre-existing Total RWAs sheet's figures (693.154 / 601.928 / 543.184 / 499.121 / 462.020) - an immaterial rounding difference between the two Pillar 3 tables, not an error.
FY2016-FY2018 sourced from each year's own Annual Report Note 4.2 'Regulatory capital required' table (FY2016 from FY2017's own comparative column), which uses three categories only (Credit risk / Market risk / Operational risk, no separate CCR or CVA line). FY2020 sourced from the Bank's own standalone Pillar 3 document's Pillar 1 minimum-capital-requirement table by exposure class (p.30), which bundles credit risk and counterparty credit risk into one 'Credit and Counterparty Credit Risk (Standardised)' line and discloses CVA separately; FY2020's four rows here sum to 418.083, within £1k of the Total RWAs sheet's 418.084.</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10.67%</t>
        </is>
      </c>
      <c r="C4" s="6" t="inlineStr">
        <is>
          <t>10.53%</t>
        </is>
      </c>
      <c r="D4" s="6" t="inlineStr">
        <is>
          <t>9.61%</t>
        </is>
      </c>
      <c r="E4" s="6" t="inlineStr">
        <is>
          <t>8.50%</t>
        </is>
      </c>
      <c r="F4" s="6" t="inlineStr">
        <is>
          <t>8.75%</t>
        </is>
      </c>
      <c r="G4" s="6" t="inlineStr">
        <is>
          <t>9.85%</t>
        </is>
      </c>
      <c r="H4" s="6" t="inlineStr">
        <is>
          <t>10.00%</t>
        </is>
      </c>
      <c r="I4" s="6" t="n"/>
      <c r="J4" s="6" t="n"/>
      <c r="K4" s="6" t="n"/>
      <c r="L4" s="6" t="n"/>
      <c r="M4" s="6" t="n"/>
    </row>
    <row r="5" ht="60" customHeight="1">
      <c r="A5" s="7" t="inlineStr">
        <is>
          <t>Note: Not numerically disclosed in the reviewed QIB UK documents before FY2019 (FY2019 figure is FY2020's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345.59%</t>
        </is>
      </c>
      <c r="C4" s="6" t="inlineStr">
        <is>
          <t>322.05%</t>
        </is>
      </c>
      <c r="D4" s="6" t="inlineStr">
        <is>
          <t>1153.62%</t>
        </is>
      </c>
      <c r="E4" s="6" t="inlineStr">
        <is>
          <t>1236.14%</t>
        </is>
      </c>
      <c r="F4" s="6" t="inlineStr">
        <is>
          <t>555.60%</t>
        </is>
      </c>
      <c r="G4" s="6" t="inlineStr">
        <is>
          <t>242.03%</t>
        </is>
      </c>
      <c r="H4" s="6" t="inlineStr">
        <is>
          <t>683.74%</t>
        </is>
      </c>
      <c r="I4" s="6" t="n"/>
      <c r="J4" s="6" t="n"/>
      <c r="K4" s="6" t="n"/>
      <c r="L4" s="6" t="n"/>
      <c r="M4" s="6" t="n"/>
    </row>
    <row r="5" ht="60" customHeight="1">
      <c r="A5" s="7" t="inlineStr">
        <is>
          <t>Note: Not numerically disclosed in the reviewed QIB UK documents before FY2019 (FY2019 figure is FY2020's own comparative column); narrative mentions of the LCR regime starting 1 October 2015 appear from the FY2015 Pillar 3 Declaration onward, but with no percentage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127.95%</t>
        </is>
      </c>
      <c r="C4" s="6" t="inlineStr">
        <is>
          <t>128.20%</t>
        </is>
      </c>
      <c r="D4" s="6" t="inlineStr">
        <is>
          <t>130.56%</t>
        </is>
      </c>
      <c r="E4" s="6" t="inlineStr">
        <is>
          <t>129.18%</t>
        </is>
      </c>
      <c r="F4" s="6" t="inlineStr">
        <is>
          <t>119.68%</t>
        </is>
      </c>
      <c r="G4" s="6" t="n"/>
      <c r="H4" s="6" t="n"/>
      <c r="I4" s="6" t="n"/>
      <c r="J4" s="6" t="n"/>
      <c r="K4" s="6" t="n"/>
      <c r="L4" s="6" t="n"/>
      <c r="M4" s="6" t="n"/>
    </row>
    <row r="5" ht="60" customHeight="1">
      <c r="A5" s="7" t="inlineStr">
        <is>
          <t>Note: No NSFR is disclosed in the reviewed QIB UK Pillar 3 documents through FY2020; the FY2020 document states the Bank was still 'monitoring' NSFR ahead of implementation.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requirement is disclosed in the reviewed QIB UK Pillar 3 documents.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2026-09-06T21:07:16Z</dcterms:created>
  <dcterms:modified xmlns:dcterms="http://purl.org/dc/terms/" xmlns:xsi="http://www.w3.org/2001/XMLSchema-instance" xsi:type="dcterms:W3CDTF">2026-09-06T21:07:17Z</dcterms:modified>
</cp:coreProperties>
</file>