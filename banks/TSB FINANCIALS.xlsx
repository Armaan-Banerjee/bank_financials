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2D5B"/>
        <bgColor rgb="00002D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TSB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TSB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TSB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TSB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TSB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TSB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45281.5</v>
      </c>
      <c r="C6" s="5" t="n">
        <v>46099.1</v>
      </c>
      <c r="D6" s="5" t="n">
        <v>47652.9</v>
      </c>
      <c r="E6" s="5" t="n">
        <v>49449.6</v>
      </c>
      <c r="F6" s="5" t="n">
        <v>46705.6</v>
      </c>
      <c r="G6" s="5" t="n">
        <v>42422.4</v>
      </c>
      <c r="H6" s="5" t="n">
        <v>39535.9</v>
      </c>
      <c r="I6" s="5" t="n">
        <v>41138.6</v>
      </c>
      <c r="J6" s="5" t="n">
        <v>42536.7</v>
      </c>
      <c r="K6" s="5" t="n">
        <v>37195.7</v>
      </c>
      <c r="L6" s="5" t="n">
        <v>31618</v>
      </c>
      <c r="M6" s="5" t="n">
        <v>27171.4</v>
      </c>
      <c r="P6" t="inlineStr">
        <is>
          <t>Total assets</t>
        </is>
      </c>
      <c r="Q6" t="n">
        <v>27171.4</v>
      </c>
      <c r="R6" t="n">
        <v>31618</v>
      </c>
      <c r="S6" t="n">
        <v>37195.7</v>
      </c>
      <c r="T6" t="n">
        <v>42536.7</v>
      </c>
      <c r="U6" t="n">
        <v>41138.6</v>
      </c>
      <c r="V6" t="n">
        <v>39535.9</v>
      </c>
      <c r="W6" t="n">
        <v>42422.4</v>
      </c>
      <c r="X6" t="n">
        <v>46705.6</v>
      </c>
      <c r="Y6" t="n">
        <v>49449.6</v>
      </c>
      <c r="Z6" t="n">
        <v>47652.9</v>
      </c>
      <c r="AA6" t="n">
        <v>46099.1</v>
      </c>
      <c r="AB6" t="n">
        <v>45281.5</v>
      </c>
      <c r="BX6" t="inlineStr">
        <is>
          <t>CET1 Ratio</t>
        </is>
      </c>
      <c r="BY6" t="n">
        <v>23</v>
      </c>
      <c r="BZ6" t="n">
        <v>17.8</v>
      </c>
      <c r="CA6" t="n">
        <v>18.5</v>
      </c>
      <c r="CB6" t="n">
        <v>20</v>
      </c>
      <c r="CC6" t="n">
        <v>19.5</v>
      </c>
      <c r="CD6" t="n">
        <v>20.8</v>
      </c>
      <c r="CE6" t="n">
        <v>15.3</v>
      </c>
      <c r="CF6" t="n">
        <v>15.9</v>
      </c>
      <c r="CG6" t="n">
        <v>17.2</v>
      </c>
      <c r="CH6" t="n">
        <v>16.7</v>
      </c>
      <c r="CI6" t="n">
        <v>15.45</v>
      </c>
      <c r="CJ6" t="n">
        <v>16.74</v>
      </c>
    </row>
    <row r="7">
      <c r="A7" s="5" t="inlineStr">
        <is>
          <t>Loans and advances to customers</t>
        </is>
      </c>
      <c r="B7" s="5" t="n">
        <v>36268.4</v>
      </c>
      <c r="C7" s="5" t="n">
        <v>36330.9</v>
      </c>
      <c r="D7" s="5" t="n">
        <v>36245.9</v>
      </c>
      <c r="E7" s="5" t="n">
        <v>38050</v>
      </c>
      <c r="F7" s="5" t="n">
        <v>37383.8</v>
      </c>
      <c r="G7" s="5" t="n">
        <v>33317.9</v>
      </c>
      <c r="H7" s="5" t="n">
        <v>31075.8</v>
      </c>
      <c r="I7" s="5" t="n">
        <v>30008.5</v>
      </c>
      <c r="J7" s="5" t="n">
        <v>30854.2</v>
      </c>
      <c r="K7" s="5" t="n">
        <v>29419.1</v>
      </c>
      <c r="L7" s="5" t="n">
        <v>26402.2</v>
      </c>
      <c r="M7" s="5" t="n">
        <v>21641.4</v>
      </c>
      <c r="P7" t="inlineStr">
        <is>
          <t>Loans and advances to customers</t>
        </is>
      </c>
      <c r="Q7" t="n">
        <v>21641.4</v>
      </c>
      <c r="R7" t="n">
        <v>26402.2</v>
      </c>
      <c r="S7" t="n">
        <v>29419.1</v>
      </c>
      <c r="T7" t="n">
        <v>30854.2</v>
      </c>
      <c r="U7" t="n">
        <v>30008.5</v>
      </c>
      <c r="V7" t="n">
        <v>31075.8</v>
      </c>
      <c r="W7" t="n">
        <v>33317.9</v>
      </c>
      <c r="X7" t="n">
        <v>37383.8</v>
      </c>
      <c r="Y7" t="n">
        <v>38050</v>
      </c>
      <c r="Z7" t="n">
        <v>36245.9</v>
      </c>
      <c r="AA7" t="n">
        <v>36330.9</v>
      </c>
      <c r="AB7" t="n">
        <v>36268.4</v>
      </c>
      <c r="BX7" t="inlineStr">
        <is>
          <t>Tier 1 Ratio</t>
        </is>
      </c>
      <c r="BY7" t="n">
        <v>23</v>
      </c>
      <c r="BZ7" t="n">
        <v>17.8</v>
      </c>
      <c r="CA7" t="n">
        <v>18.5</v>
      </c>
      <c r="CB7" t="n">
        <v>20</v>
      </c>
      <c r="CC7" t="n">
        <v>19.5</v>
      </c>
      <c r="CD7" t="n">
        <v>20.8</v>
      </c>
      <c r="CE7" t="n">
        <v>15.3</v>
      </c>
      <c r="CF7" t="n">
        <v>15.9</v>
      </c>
      <c r="CG7" t="n">
        <v>17.2</v>
      </c>
      <c r="CH7" t="n">
        <v>16.7</v>
      </c>
      <c r="CI7" t="n">
        <v>17.67</v>
      </c>
      <c r="CJ7" t="n">
        <v>18.88</v>
      </c>
    </row>
    <row r="8">
      <c r="A8" s="5" t="inlineStr">
        <is>
          <t>Customer deposits</t>
        </is>
      </c>
      <c r="B8" s="5" t="n">
        <v>35209</v>
      </c>
      <c r="C8" s="5" t="n">
        <v>35051.2</v>
      </c>
      <c r="D8" s="5" t="n">
        <v>34764.3</v>
      </c>
      <c r="E8" s="5" t="n">
        <v>36338.2</v>
      </c>
      <c r="F8" s="5" t="n">
        <v>35951.9</v>
      </c>
      <c r="G8" s="5" t="n">
        <v>34375.3</v>
      </c>
      <c r="H8" s="5" t="n">
        <v>30182.4</v>
      </c>
      <c r="I8" s="5" t="n">
        <v>29084.3</v>
      </c>
      <c r="J8" s="5" t="n">
        <v>30520.6</v>
      </c>
      <c r="K8" s="5" t="n">
        <v>29383.8</v>
      </c>
      <c r="L8" s="5" t="n">
        <v>25915.7</v>
      </c>
      <c r="M8" s="5" t="n">
        <v>24624.9</v>
      </c>
      <c r="P8" t="inlineStr">
        <is>
          <t>Customer deposits</t>
        </is>
      </c>
      <c r="Q8" t="n">
        <v>24624.9</v>
      </c>
      <c r="R8" t="n">
        <v>25915.7</v>
      </c>
      <c r="S8" t="n">
        <v>29383.8</v>
      </c>
      <c r="T8" t="n">
        <v>30520.6</v>
      </c>
      <c r="U8" t="n">
        <v>29084.3</v>
      </c>
      <c r="V8" t="n">
        <v>30182.4</v>
      </c>
      <c r="W8" t="n">
        <v>34375.3</v>
      </c>
      <c r="X8" t="n">
        <v>35951.9</v>
      </c>
      <c r="Y8" t="n">
        <v>36338.2</v>
      </c>
      <c r="Z8" t="n">
        <v>34764.3</v>
      </c>
      <c r="AA8" t="n">
        <v>35051.2</v>
      </c>
      <c r="AB8" t="n">
        <v>35209</v>
      </c>
      <c r="BX8" t="inlineStr">
        <is>
          <t>Total Capital Ratio</t>
        </is>
      </c>
      <c r="BY8" t="n">
        <v>28.5</v>
      </c>
      <c r="BZ8" t="n">
        <v>21.9</v>
      </c>
      <c r="CA8" t="n">
        <v>22.4</v>
      </c>
      <c r="CB8" t="n">
        <v>24</v>
      </c>
      <c r="CC8" t="n">
        <v>23.7</v>
      </c>
      <c r="CD8" t="n">
        <v>25.1</v>
      </c>
      <c r="CE8" t="n">
        <v>18.9</v>
      </c>
      <c r="CF8" t="n">
        <v>18.7</v>
      </c>
      <c r="CG8" t="n">
        <v>20.2</v>
      </c>
      <c r="CH8" t="n">
        <v>19.6</v>
      </c>
      <c r="CI8" t="n">
        <v>20.33</v>
      </c>
      <c r="CJ8" t="n">
        <v>21.46</v>
      </c>
    </row>
    <row r="9">
      <c r="A9" s="5" t="inlineStr">
        <is>
          <t>Total equity</t>
        </is>
      </c>
      <c r="B9" s="5" t="n">
        <v>2338</v>
      </c>
      <c r="C9" s="5" t="n">
        <v>2120.7</v>
      </c>
      <c r="D9" s="5" t="n">
        <v>1954.6</v>
      </c>
      <c r="E9" s="5" t="n">
        <v>1929.8</v>
      </c>
      <c r="F9" s="5" t="n">
        <v>1866.4</v>
      </c>
      <c r="G9" s="5" t="n">
        <v>1724.9</v>
      </c>
      <c r="H9" s="5" t="n">
        <v>1900.8</v>
      </c>
      <c r="I9" s="5" t="n">
        <v>1878.9</v>
      </c>
      <c r="J9" s="5" t="n">
        <v>2006.6</v>
      </c>
      <c r="K9" s="5" t="n">
        <v>1865</v>
      </c>
      <c r="L9" s="5" t="n">
        <v>1746.3</v>
      </c>
      <c r="M9" s="5" t="n">
        <v>1634.4</v>
      </c>
      <c r="P9" t="inlineStr">
        <is>
          <t>Total equity</t>
        </is>
      </c>
      <c r="Q9" t="n">
        <v>1634.4</v>
      </c>
      <c r="R9" t="n">
        <v>1746.3</v>
      </c>
      <c r="S9" t="n">
        <v>1865</v>
      </c>
      <c r="T9" t="n">
        <v>2006.6</v>
      </c>
      <c r="U9" t="n">
        <v>1878.9</v>
      </c>
      <c r="V9" t="n">
        <v>1900.8</v>
      </c>
      <c r="W9" t="n">
        <v>1724.9</v>
      </c>
      <c r="X9" t="n">
        <v>1866.4</v>
      </c>
      <c r="Y9" t="n">
        <v>1929.8</v>
      </c>
      <c r="Z9" t="n">
        <v>1954.6</v>
      </c>
      <c r="AA9" t="n">
        <v>2120.7</v>
      </c>
      <c r="AB9" t="n">
        <v>2338</v>
      </c>
      <c r="BX9" t="inlineStr">
        <is>
          <t>Leverage Ratio</t>
        </is>
      </c>
      <c r="BY9" t="n">
        <v>5.8</v>
      </c>
      <c r="BZ9" t="n">
        <v>5.2</v>
      </c>
      <c r="CA9" t="n">
        <v>4.8</v>
      </c>
      <c r="CB9" t="n">
        <v>4.5</v>
      </c>
      <c r="CC9" t="n">
        <v>4.4</v>
      </c>
      <c r="CD9" t="n">
        <v>4.6</v>
      </c>
      <c r="CE9" t="n">
        <v>3.8</v>
      </c>
      <c r="CF9" t="n">
        <v>4</v>
      </c>
      <c r="CG9" t="n">
        <v>4.2</v>
      </c>
      <c r="CH9" t="n">
        <v>4.57</v>
      </c>
      <c r="CI9" t="n">
        <v>4.95</v>
      </c>
      <c r="CJ9" t="n">
        <v>5.47</v>
      </c>
    </row>
    <row r="10">
      <c r="BX10" t="inlineStr">
        <is>
          <t>LCR</t>
        </is>
      </c>
      <c r="CF10" t="n">
        <v>165</v>
      </c>
      <c r="CG10" t="n">
        <v>168</v>
      </c>
      <c r="CH10" t="n">
        <v>188</v>
      </c>
      <c r="CI10" t="n">
        <v>182</v>
      </c>
      <c r="CJ10" t="n">
        <v>185</v>
      </c>
    </row>
    <row r="11">
      <c r="A11" s="3" t="inlineStr">
        <is>
          <t>Profit &amp; Loss Summary (£m)</t>
        </is>
      </c>
      <c r="BX11" t="inlineStr">
        <is>
          <t>NSFR</t>
        </is>
      </c>
      <c r="CG11" t="n">
        <v>148</v>
      </c>
      <c r="CH11" t="n">
        <v>154</v>
      </c>
      <c r="CI11" t="n">
        <v>153</v>
      </c>
      <c r="CJ11" t="n">
        <v>152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1172.3</v>
      </c>
      <c r="C13" s="5" t="n">
        <v>1137</v>
      </c>
      <c r="D13" s="5" t="n">
        <v>1156.7</v>
      </c>
      <c r="E13" s="5" t="n">
        <v>1105.5</v>
      </c>
      <c r="F13" s="5" t="n">
        <v>982.9</v>
      </c>
      <c r="G13" s="5" t="n">
        <v>932.9</v>
      </c>
      <c r="H13" s="5" t="n">
        <v>987.2</v>
      </c>
      <c r="I13" s="5" t="n">
        <v>1295.3</v>
      </c>
      <c r="J13" s="5" t="n">
        <v>1096.1</v>
      </c>
      <c r="K13" s="5" t="n">
        <v>1004</v>
      </c>
      <c r="L13" s="5" t="n">
        <v>890.7</v>
      </c>
      <c r="M13" s="5" t="n">
        <v>900.2</v>
      </c>
      <c r="AE13" t="inlineStr">
        <is>
          <t>Total income</t>
        </is>
      </c>
      <c r="AF13" t="n">
        <v>900.2</v>
      </c>
      <c r="AG13" t="n">
        <v>890.7</v>
      </c>
      <c r="AH13" t="n">
        <v>1004</v>
      </c>
      <c r="AI13" t="n">
        <v>1096.1</v>
      </c>
      <c r="AJ13" t="n">
        <v>1295.3</v>
      </c>
      <c r="AK13" t="n">
        <v>987.2</v>
      </c>
      <c r="AL13" t="n">
        <v>932.9</v>
      </c>
      <c r="AM13" t="n">
        <v>982.9</v>
      </c>
      <c r="AN13" t="n">
        <v>1105.5</v>
      </c>
      <c r="AO13" t="n">
        <v>1156.7</v>
      </c>
      <c r="AP13" t="n">
        <v>1137</v>
      </c>
      <c r="AQ13" t="n">
        <v>1172.3</v>
      </c>
    </row>
    <row r="14">
      <c r="A14" s="5" t="inlineStr">
        <is>
          <t>Total operating expenses</t>
        </is>
      </c>
      <c r="B14" s="5" t="n">
        <v>-785.9</v>
      </c>
      <c r="C14" s="5" t="n">
        <v>-821.8</v>
      </c>
      <c r="D14" s="5" t="n">
        <v>-852.9</v>
      </c>
      <c r="E14" s="5" t="n">
        <v>-869.5</v>
      </c>
      <c r="F14" s="5" t="n">
        <v>-827.3</v>
      </c>
      <c r="G14" s="5" t="n">
        <v>-969.4</v>
      </c>
      <c r="H14" s="5" t="n">
        <v>-881.3</v>
      </c>
      <c r="I14" s="5" t="n">
        <v>-905.7</v>
      </c>
      <c r="J14" s="5" t="n">
        <v>-859.2</v>
      </c>
      <c r="K14" s="5" t="n">
        <v>-734.7</v>
      </c>
      <c r="L14" s="5" t="n">
        <v>-740.8</v>
      </c>
      <c r="M14" s="5" t="n">
        <v>-632.4</v>
      </c>
      <c r="AE14" t="inlineStr">
        <is>
          <t>Total operating expenses</t>
        </is>
      </c>
      <c r="AF14" t="n">
        <v>-632.4</v>
      </c>
      <c r="AG14" t="n">
        <v>-740.8</v>
      </c>
      <c r="AH14" t="n">
        <v>-734.7</v>
      </c>
      <c r="AI14" t="n">
        <v>-859.2</v>
      </c>
      <c r="AJ14" t="n">
        <v>-905.7</v>
      </c>
      <c r="AK14" t="n">
        <v>-881.3</v>
      </c>
      <c r="AL14" t="n">
        <v>-969.4</v>
      </c>
      <c r="AM14" t="n">
        <v>-827.3</v>
      </c>
      <c r="AN14" t="n">
        <v>-869.5</v>
      </c>
      <c r="AO14" t="n">
        <v>-852.9</v>
      </c>
      <c r="AP14" t="n">
        <v>-821.8</v>
      </c>
      <c r="AQ14" t="n">
        <v>-785.9</v>
      </c>
    </row>
    <row r="15">
      <c r="A15" s="5" t="inlineStr">
        <is>
          <t>Profit/(loss) for the year</t>
        </is>
      </c>
      <c r="B15" s="5" t="n">
        <v>251.1</v>
      </c>
      <c r="C15" s="5" t="n">
        <v>203.8</v>
      </c>
      <c r="D15" s="5" t="n">
        <v>173.4</v>
      </c>
      <c r="E15" s="5" t="n">
        <v>100.6</v>
      </c>
      <c r="F15" s="5" t="n">
        <v>128.4</v>
      </c>
      <c r="G15" s="5" t="n">
        <v>-156.2</v>
      </c>
      <c r="H15" s="5" t="n">
        <v>26.2</v>
      </c>
      <c r="I15" s="5" t="n">
        <v>-59.1</v>
      </c>
      <c r="J15" s="5" t="n">
        <v>115.1</v>
      </c>
      <c r="K15" s="5" t="n">
        <v>127.8</v>
      </c>
      <c r="L15" s="5" t="n">
        <v>88.8</v>
      </c>
      <c r="M15" s="5" t="n">
        <v>134.5</v>
      </c>
      <c r="AE15" t="inlineStr">
        <is>
          <t>Profit/(loss) for the year</t>
        </is>
      </c>
      <c r="AF15" t="n">
        <v>134.5</v>
      </c>
      <c r="AG15" t="n">
        <v>88.8</v>
      </c>
      <c r="AH15" t="n">
        <v>127.8</v>
      </c>
      <c r="AI15" t="n">
        <v>115.1</v>
      </c>
      <c r="AJ15" t="n">
        <v>-59.1</v>
      </c>
      <c r="AK15" t="n">
        <v>26.2</v>
      </c>
      <c r="AL15" t="n">
        <v>-156.2</v>
      </c>
      <c r="AM15" t="n">
        <v>128.4</v>
      </c>
      <c r="AN15" t="n">
        <v>100.6</v>
      </c>
      <c r="AO15" t="n">
        <v>173.4</v>
      </c>
      <c r="AP15" t="n">
        <v>203.8</v>
      </c>
      <c r="AQ15" t="n">
        <v>251.1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2120.7</v>
      </c>
      <c r="C19" s="5" t="n">
        <v>1954.6</v>
      </c>
      <c r="D19" s="5" t="n">
        <v>1929.8</v>
      </c>
      <c r="E19" s="5" t="n">
        <v>1866.4</v>
      </c>
      <c r="F19" s="5" t="n">
        <v>1724.9</v>
      </c>
      <c r="G19" s="5" t="n">
        <v>1900.8</v>
      </c>
      <c r="H19" s="5" t="n">
        <v>1878.9</v>
      </c>
      <c r="I19" s="5" t="n">
        <v>2006.6</v>
      </c>
      <c r="J19" s="5" t="n">
        <v>1865</v>
      </c>
      <c r="K19" s="5" t="n">
        <v>1746.3</v>
      </c>
      <c r="L19" s="5" t="n">
        <v>1634.4</v>
      </c>
      <c r="M19" s="5" t="n">
        <v>1306.7</v>
      </c>
      <c r="AT19" t="inlineStr">
        <is>
          <t>Opening equity</t>
        </is>
      </c>
      <c r="AU19" t="n">
        <v>1306.7</v>
      </c>
      <c r="AV19" t="n">
        <v>1634.4</v>
      </c>
      <c r="AW19" t="n">
        <v>1746.3</v>
      </c>
      <c r="AX19" t="n">
        <v>1865</v>
      </c>
      <c r="AY19" t="n">
        <v>2006.6</v>
      </c>
      <c r="AZ19" t="n">
        <v>1878.9</v>
      </c>
      <c r="BA19" t="n">
        <v>1900.8</v>
      </c>
      <c r="BB19" t="n">
        <v>1724.9</v>
      </c>
      <c r="BC19" t="n">
        <v>1866.4</v>
      </c>
      <c r="BD19" t="n">
        <v>1929.8</v>
      </c>
      <c r="BE19" t="n">
        <v>1954.6</v>
      </c>
      <c r="BF19" t="n">
        <v>2120.7</v>
      </c>
    </row>
    <row r="20">
      <c r="A20" s="5" t="inlineStr">
        <is>
          <t>Total comprehensive income/(loss) for the year</t>
        </is>
      </c>
      <c r="B20" s="5" t="n">
        <v>234.9</v>
      </c>
      <c r="C20" s="5" t="n">
        <v>216.1</v>
      </c>
      <c r="D20" s="5" t="n">
        <v>144.8</v>
      </c>
      <c r="E20" s="5" t="n">
        <v>130.4</v>
      </c>
      <c r="F20" s="5" t="n">
        <v>141.5</v>
      </c>
      <c r="G20" s="5" t="n">
        <v>-175.9</v>
      </c>
      <c r="H20" s="5" t="n">
        <v>21.9</v>
      </c>
      <c r="I20" s="5" t="n">
        <v>-60.1</v>
      </c>
      <c r="J20" s="5" t="n">
        <v>127</v>
      </c>
      <c r="K20" s="5" t="n">
        <v>118.7</v>
      </c>
      <c r="L20" s="5" t="n">
        <v>103.8</v>
      </c>
      <c r="M20" s="5" t="n">
        <v>134.9</v>
      </c>
      <c r="AT20" t="inlineStr">
        <is>
          <t>Total comprehensive income/(loss) for the year</t>
        </is>
      </c>
      <c r="AU20" t="n">
        <v>134.9</v>
      </c>
      <c r="AV20" t="n">
        <v>103.8</v>
      </c>
      <c r="AW20" t="n">
        <v>118.7</v>
      </c>
      <c r="AX20" t="n">
        <v>127</v>
      </c>
      <c r="AY20" t="n">
        <v>-60.1</v>
      </c>
      <c r="AZ20" t="n">
        <v>21.9</v>
      </c>
      <c r="BA20" t="n">
        <v>-175.9</v>
      </c>
      <c r="BB20" t="n">
        <v>141.5</v>
      </c>
      <c r="BC20" t="n">
        <v>130.4</v>
      </c>
      <c r="BD20" t="n">
        <v>144.8</v>
      </c>
      <c r="BE20" t="n">
        <v>216.1</v>
      </c>
      <c r="BF20" t="n">
        <v>234.9</v>
      </c>
    </row>
    <row r="21">
      <c r="A21" s="5" t="inlineStr">
        <is>
          <t>Other equity movements, net</t>
        </is>
      </c>
      <c r="B21" s="5" t="n">
        <v>-17.6</v>
      </c>
      <c r="C21" s="5" t="n">
        <v>-50</v>
      </c>
      <c r="D21" s="5" t="n">
        <v>-120</v>
      </c>
      <c r="E21" s="5" t="n">
        <v>-67</v>
      </c>
      <c r="F21" s="5" t="n">
        <v>0</v>
      </c>
      <c r="G21" s="5" t="n">
        <v>0</v>
      </c>
      <c r="H21" s="5" t="n">
        <v>0</v>
      </c>
      <c r="I21" s="5" t="n">
        <v>-67.59999999999999</v>
      </c>
      <c r="J21" s="5" t="n">
        <v>14.6</v>
      </c>
      <c r="K21" s="5" t="n">
        <v>0</v>
      </c>
      <c r="L21" s="5" t="n">
        <v>8.1</v>
      </c>
      <c r="M21" s="5" t="n">
        <v>192.8</v>
      </c>
      <c r="AT21" t="inlineStr">
        <is>
          <t>Other equity movements, net</t>
        </is>
      </c>
      <c r="AU21" t="n">
        <v>192.8</v>
      </c>
      <c r="AV21" t="n">
        <v>8.1</v>
      </c>
      <c r="AW21" t="n">
        <v>0</v>
      </c>
      <c r="AX21" t="n">
        <v>14.6</v>
      </c>
      <c r="AY21" t="n">
        <v>-67.59999999999999</v>
      </c>
      <c r="AZ21" t="n">
        <v>0</v>
      </c>
      <c r="BA21" t="n">
        <v>0</v>
      </c>
      <c r="BB21" t="n">
        <v>0</v>
      </c>
      <c r="BC21" t="n">
        <v>-67</v>
      </c>
      <c r="BD21" t="n">
        <v>-120</v>
      </c>
      <c r="BE21" t="n">
        <v>-50</v>
      </c>
      <c r="BF21" t="n">
        <v>-17.6</v>
      </c>
    </row>
    <row r="22">
      <c r="A22" s="5" t="inlineStr">
        <is>
          <t>Closing equity</t>
        </is>
      </c>
      <c r="B22" s="5" t="n">
        <v>2338</v>
      </c>
      <c r="C22" s="5" t="n">
        <v>2120.7</v>
      </c>
      <c r="D22" s="5" t="n">
        <v>1954.6</v>
      </c>
      <c r="E22" s="5" t="n">
        <v>1929.8</v>
      </c>
      <c r="F22" s="5" t="n">
        <v>1866.4</v>
      </c>
      <c r="G22" s="5" t="n">
        <v>1724.9</v>
      </c>
      <c r="H22" s="5" t="n">
        <v>1900.8</v>
      </c>
      <c r="I22" s="5" t="n">
        <v>1878.9</v>
      </c>
      <c r="J22" s="5" t="n">
        <v>2006.6</v>
      </c>
      <c r="K22" s="5" t="n">
        <v>1865</v>
      </c>
      <c r="L22" s="5" t="n">
        <v>1746.3</v>
      </c>
      <c r="M22" s="5" t="n">
        <v>1634.4</v>
      </c>
      <c r="AT22" t="inlineStr">
        <is>
          <t>Closing equity</t>
        </is>
      </c>
      <c r="AU22" t="n">
        <v>1634.4</v>
      </c>
      <c r="AV22" t="n">
        <v>1746.3</v>
      </c>
      <c r="AW22" t="n">
        <v>1865</v>
      </c>
      <c r="AX22" t="n">
        <v>2006.6</v>
      </c>
      <c r="AY22" t="n">
        <v>1878.9</v>
      </c>
      <c r="AZ22" t="n">
        <v>1900.8</v>
      </c>
      <c r="BA22" t="n">
        <v>1724.9</v>
      </c>
      <c r="BB22" t="n">
        <v>1866.4</v>
      </c>
      <c r="BC22" t="n">
        <v>1929.8</v>
      </c>
      <c r="BD22" t="n">
        <v>1954.6</v>
      </c>
      <c r="BE22" t="n">
        <v>2120.7</v>
      </c>
      <c r="BF22" t="n">
        <v>2338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(used in)/provided by operating activities</t>
        </is>
      </c>
      <c r="B26" s="5" t="n">
        <v>662.4</v>
      </c>
      <c r="C26" s="5" t="n">
        <v>996.9</v>
      </c>
      <c r="D26" s="5" t="n">
        <v>1200.7</v>
      </c>
      <c r="E26" s="5" t="n">
        <v>596.4</v>
      </c>
      <c r="F26" s="5" t="n">
        <v>-2145.7</v>
      </c>
      <c r="G26" s="5" t="n">
        <v>2319.7</v>
      </c>
      <c r="H26" s="5" t="n">
        <v>-360.3</v>
      </c>
      <c r="I26" s="5" t="n">
        <v>-318.8</v>
      </c>
      <c r="J26" s="5" t="n">
        <v>-59.1</v>
      </c>
      <c r="K26" s="5" t="n">
        <v>319.1</v>
      </c>
      <c r="L26" s="5" t="n">
        <v>-591.2</v>
      </c>
      <c r="M26" s="5" t="n">
        <v>7473.7</v>
      </c>
      <c r="BI26" t="inlineStr">
        <is>
          <t>Net cash (used in)/provided by operating activities</t>
        </is>
      </c>
      <c r="BJ26" t="n">
        <v>7473.7</v>
      </c>
      <c r="BK26" t="n">
        <v>-591.2</v>
      </c>
      <c r="BL26" t="n">
        <v>319.1</v>
      </c>
      <c r="BM26" t="n">
        <v>-59.1</v>
      </c>
      <c r="BN26" t="n">
        <v>-318.8</v>
      </c>
      <c r="BO26" t="n">
        <v>-360.3</v>
      </c>
      <c r="BP26" t="n">
        <v>2319.7</v>
      </c>
      <c r="BQ26" t="n">
        <v>-2145.7</v>
      </c>
      <c r="BR26" t="n">
        <v>596.4</v>
      </c>
      <c r="BS26" t="n">
        <v>1200.7</v>
      </c>
      <c r="BT26" t="n">
        <v>996.9</v>
      </c>
      <c r="BU26" t="n">
        <v>662.4</v>
      </c>
    </row>
    <row r="27">
      <c r="A27" s="5" t="inlineStr">
        <is>
          <t>Net cash (used in)/provided by investing activities</t>
        </is>
      </c>
      <c r="B27" s="5" t="n">
        <v>-67.2</v>
      </c>
      <c r="C27" s="5" t="n">
        <v>21.1</v>
      </c>
      <c r="D27" s="5" t="n">
        <v>88.5</v>
      </c>
      <c r="E27" s="5" t="n">
        <v>-80.3</v>
      </c>
      <c r="F27" s="5" t="n">
        <v>-839.1</v>
      </c>
      <c r="G27" s="5" t="n">
        <v>-429.6</v>
      </c>
      <c r="H27" s="5" t="n">
        <v>403.8</v>
      </c>
      <c r="I27" s="5" t="n">
        <v>-328.6</v>
      </c>
      <c r="J27" s="5" t="n">
        <v>4.1</v>
      </c>
      <c r="K27" s="5" t="n">
        <v>-718.8</v>
      </c>
      <c r="L27" s="5" t="n">
        <v>-3996.3</v>
      </c>
      <c r="M27" s="5" t="n">
        <v>-3777</v>
      </c>
      <c r="BI27" t="inlineStr">
        <is>
          <t>Net cash (used in)/provided by investing activities</t>
        </is>
      </c>
      <c r="BJ27" t="n">
        <v>-3777</v>
      </c>
      <c r="BK27" t="n">
        <v>-3996.3</v>
      </c>
      <c r="BL27" t="n">
        <v>-718.8</v>
      </c>
      <c r="BM27" t="n">
        <v>4.1</v>
      </c>
      <c r="BN27" t="n">
        <v>-328.6</v>
      </c>
      <c r="BO27" t="n">
        <v>403.8</v>
      </c>
      <c r="BP27" t="n">
        <v>-429.6</v>
      </c>
      <c r="BQ27" t="n">
        <v>-839.1</v>
      </c>
      <c r="BR27" t="n">
        <v>-80.3</v>
      </c>
      <c r="BS27" t="n">
        <v>88.5</v>
      </c>
      <c r="BT27" t="n">
        <v>21.1</v>
      </c>
      <c r="BU27" t="n">
        <v>-67.2</v>
      </c>
    </row>
    <row r="28">
      <c r="A28" s="5" t="inlineStr">
        <is>
          <t>Net cash (used in)/provided by financing activities</t>
        </is>
      </c>
      <c r="B28" s="5" t="n">
        <v>-1189.5</v>
      </c>
      <c r="C28" s="5" t="n">
        <v>-2005.7</v>
      </c>
      <c r="D28" s="5" t="n">
        <v>-597.9</v>
      </c>
      <c r="E28" s="5" t="n">
        <v>-25.3</v>
      </c>
      <c r="F28" s="5" t="n">
        <v>2779.6</v>
      </c>
      <c r="G28" s="5" t="n">
        <v>-1426.6</v>
      </c>
      <c r="H28" s="5" t="n">
        <v>-2545.8</v>
      </c>
      <c r="I28" s="5" t="n">
        <v>219.9</v>
      </c>
      <c r="J28" s="5" t="n">
        <v>3970.7</v>
      </c>
      <c r="K28" s="5" t="n">
        <v>1332.7</v>
      </c>
      <c r="L28" s="5" t="n">
        <v>2818.4</v>
      </c>
      <c r="M28" s="5" t="n">
        <v>612.7</v>
      </c>
      <c r="BI28" t="inlineStr">
        <is>
          <t>Net cash (used in)/provided by financing activities</t>
        </is>
      </c>
      <c r="BJ28" t="n">
        <v>612.7</v>
      </c>
      <c r="BK28" t="n">
        <v>2818.4</v>
      </c>
      <c r="BL28" t="n">
        <v>1332.7</v>
      </c>
      <c r="BM28" t="n">
        <v>3970.7</v>
      </c>
      <c r="BN28" t="n">
        <v>219.9</v>
      </c>
      <c r="BO28" t="n">
        <v>-2545.8</v>
      </c>
      <c r="BP28" t="n">
        <v>-1426.6</v>
      </c>
      <c r="BQ28" t="n">
        <v>2779.6</v>
      </c>
      <c r="BR28" t="n">
        <v>-25.3</v>
      </c>
      <c r="BS28" t="n">
        <v>-597.9</v>
      </c>
      <c r="BT28" t="n">
        <v>-2005.7</v>
      </c>
      <c r="BU28" t="n">
        <v>-1189.5</v>
      </c>
    </row>
    <row r="29">
      <c r="A29" s="5" t="inlineStr">
        <is>
          <t>Cash and cash equivalents at 31 December</t>
        </is>
      </c>
      <c r="B29" s="5" t="n">
        <v>4507.3</v>
      </c>
      <c r="C29" s="5" t="n">
        <v>5101.6</v>
      </c>
      <c r="D29" s="5" t="n">
        <v>6089.3</v>
      </c>
      <c r="E29" s="5" t="n">
        <v>5398</v>
      </c>
      <c r="F29" s="5" t="n">
        <v>4851.1</v>
      </c>
      <c r="G29" s="5" t="n">
        <v>5056.3</v>
      </c>
      <c r="H29" s="5" t="n">
        <v>4592.8</v>
      </c>
      <c r="I29" s="5" t="n">
        <v>7135.9</v>
      </c>
      <c r="J29" s="5" t="n">
        <v>7563.4</v>
      </c>
      <c r="K29" s="5" t="n">
        <v>3647.7</v>
      </c>
      <c r="L29" s="5" t="n">
        <v>2714.7</v>
      </c>
      <c r="M29" s="5" t="n">
        <v>4483.8</v>
      </c>
      <c r="BI29" t="inlineStr">
        <is>
          <t>Cash and cash equivalents at 31 December</t>
        </is>
      </c>
      <c r="BJ29" t="n">
        <v>4483.8</v>
      </c>
      <c r="BK29" t="n">
        <v>2714.7</v>
      </c>
      <c r="BL29" t="n">
        <v>3647.7</v>
      </c>
      <c r="BM29" t="n">
        <v>7563.4</v>
      </c>
      <c r="BN29" t="n">
        <v>7135.9</v>
      </c>
      <c r="BO29" t="n">
        <v>4592.8</v>
      </c>
      <c r="BP29" t="n">
        <v>5056.3</v>
      </c>
      <c r="BQ29" t="n">
        <v>4851.1</v>
      </c>
      <c r="BR29" t="n">
        <v>5398</v>
      </c>
      <c r="BS29" t="n">
        <v>6089.3</v>
      </c>
      <c r="BT29" t="n">
        <v>5101.6</v>
      </c>
      <c r="BU29" t="n">
        <v>4507.3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16.74%</t>
        </is>
      </c>
      <c r="C33" s="6" t="inlineStr">
        <is>
          <t>15.45%</t>
        </is>
      </c>
      <c r="D33" s="6" t="inlineStr">
        <is>
          <t>16.7%</t>
        </is>
      </c>
      <c r="E33" s="6" t="inlineStr">
        <is>
          <t>17.2%</t>
        </is>
      </c>
      <c r="F33" s="6" t="inlineStr">
        <is>
          <t>15.9%</t>
        </is>
      </c>
      <c r="G33" s="6" t="inlineStr">
        <is>
          <t>15.3%</t>
        </is>
      </c>
      <c r="H33" s="6" t="inlineStr">
        <is>
          <t>20.8%</t>
        </is>
      </c>
      <c r="I33" s="6" t="inlineStr">
        <is>
          <t>19.5%</t>
        </is>
      </c>
      <c r="J33" s="6" t="inlineStr">
        <is>
          <t>20.0%</t>
        </is>
      </c>
      <c r="K33" s="6" t="inlineStr">
        <is>
          <t>18.5%</t>
        </is>
      </c>
      <c r="L33" s="6" t="inlineStr">
        <is>
          <t>17.8%</t>
        </is>
      </c>
      <c r="M33" s="6" t="inlineStr">
        <is>
          <t>23.0%</t>
        </is>
      </c>
    </row>
    <row r="34">
      <c r="A34" s="6" t="inlineStr">
        <is>
          <t>Tier 1 Ratio</t>
        </is>
      </c>
      <c r="B34" s="6" t="inlineStr">
        <is>
          <t>18.88%</t>
        </is>
      </c>
      <c r="C34" s="6" t="inlineStr">
        <is>
          <t>17.67%</t>
        </is>
      </c>
      <c r="D34" s="6" t="inlineStr">
        <is>
          <t>16.7%</t>
        </is>
      </c>
      <c r="E34" s="6" t="inlineStr">
        <is>
          <t>17.2%</t>
        </is>
      </c>
      <c r="F34" s="6" t="inlineStr">
        <is>
          <t>15.9%</t>
        </is>
      </c>
      <c r="G34" s="6" t="inlineStr">
        <is>
          <t>15.3%</t>
        </is>
      </c>
      <c r="H34" s="6" t="inlineStr">
        <is>
          <t>20.8%</t>
        </is>
      </c>
      <c r="I34" s="6" t="inlineStr">
        <is>
          <t>19.5%</t>
        </is>
      </c>
      <c r="J34" s="6" t="inlineStr">
        <is>
          <t>20.0%</t>
        </is>
      </c>
      <c r="K34" s="6" t="inlineStr">
        <is>
          <t>18.5%</t>
        </is>
      </c>
      <c r="L34" s="6" t="inlineStr">
        <is>
          <t>17.8%</t>
        </is>
      </c>
      <c r="M34" s="6" t="inlineStr">
        <is>
          <t>23.0%</t>
        </is>
      </c>
    </row>
    <row r="35">
      <c r="A35" s="6" t="inlineStr">
        <is>
          <t>Total Capital Ratio</t>
        </is>
      </c>
      <c r="B35" s="6" t="inlineStr">
        <is>
          <t>21.46%</t>
        </is>
      </c>
      <c r="C35" s="6" t="inlineStr">
        <is>
          <t>20.33%</t>
        </is>
      </c>
      <c r="D35" s="6" t="inlineStr">
        <is>
          <t>19.6%</t>
        </is>
      </c>
      <c r="E35" s="6" t="inlineStr">
        <is>
          <t>20.2%</t>
        </is>
      </c>
      <c r="F35" s="6" t="inlineStr">
        <is>
          <t>18.7%</t>
        </is>
      </c>
      <c r="G35" s="6" t="inlineStr">
        <is>
          <t>18.9%</t>
        </is>
      </c>
      <c r="H35" s="6" t="inlineStr">
        <is>
          <t>25.1%</t>
        </is>
      </c>
      <c r="I35" s="6" t="inlineStr">
        <is>
          <t>23.7%</t>
        </is>
      </c>
      <c r="J35" s="6" t="inlineStr">
        <is>
          <t>24.0%</t>
        </is>
      </c>
      <c r="K35" s="6" t="inlineStr">
        <is>
          <t>22.4%</t>
        </is>
      </c>
      <c r="L35" s="6" t="inlineStr">
        <is>
          <t>21.9%</t>
        </is>
      </c>
      <c r="M35" s="6" t="inlineStr">
        <is>
          <t>28.5%</t>
        </is>
      </c>
    </row>
    <row r="36">
      <c r="A36" s="6" t="inlineStr">
        <is>
          <t>Leverage Ratio</t>
        </is>
      </c>
      <c r="B36" s="6" t="inlineStr">
        <is>
          <t>5.47%</t>
        </is>
      </c>
      <c r="C36" s="6" t="inlineStr">
        <is>
          <t>4.95%</t>
        </is>
      </c>
      <c r="D36" s="6" t="inlineStr">
        <is>
          <t>4.57%</t>
        </is>
      </c>
      <c r="E36" s="6" t="inlineStr">
        <is>
          <t>4.2%</t>
        </is>
      </c>
      <c r="F36" s="6" t="inlineStr">
        <is>
          <t>4.0%</t>
        </is>
      </c>
      <c r="G36" s="6" t="inlineStr">
        <is>
          <t>3.8%</t>
        </is>
      </c>
      <c r="H36" s="6" t="inlineStr">
        <is>
          <t>4.6%</t>
        </is>
      </c>
      <c r="I36" s="6" t="inlineStr">
        <is>
          <t>4.4%</t>
        </is>
      </c>
      <c r="J36" s="6" t="inlineStr">
        <is>
          <t>4.5%</t>
        </is>
      </c>
      <c r="K36" s="6" t="inlineStr">
        <is>
          <t>4.8%</t>
        </is>
      </c>
      <c r="L36" s="6" t="inlineStr">
        <is>
          <t>5.2%</t>
        </is>
      </c>
      <c r="M36" s="6" t="inlineStr">
        <is>
          <t>5.8%</t>
        </is>
      </c>
    </row>
    <row r="37">
      <c r="A37" s="6" t="inlineStr">
        <is>
          <t>LCR</t>
        </is>
      </c>
      <c r="B37" s="6" t="inlineStr">
        <is>
          <t>185%</t>
        </is>
      </c>
      <c r="C37" s="6" t="inlineStr">
        <is>
          <t>182%</t>
        </is>
      </c>
      <c r="D37" s="6" t="inlineStr">
        <is>
          <t>188%</t>
        </is>
      </c>
      <c r="E37" s="6" t="inlineStr">
        <is>
          <t>168%</t>
        </is>
      </c>
      <c r="F37" s="6" t="inlineStr">
        <is>
          <t>165%</t>
        </is>
      </c>
      <c r="G37" s="6" t="inlineStr">
        <is>
          <t>Not disclosed</t>
        </is>
      </c>
      <c r="H37" s="6" t="inlineStr">
        <is>
          <t>Not disclosed</t>
        </is>
      </c>
      <c r="I37" s="6" t="inlineStr">
        <is>
          <t>Not disclosed</t>
        </is>
      </c>
      <c r="J37" s="6" t="inlineStr">
        <is>
          <t>Not disclosed</t>
        </is>
      </c>
      <c r="K37" s="6" t="inlineStr">
        <is>
          <t>Not disclosed</t>
        </is>
      </c>
      <c r="L37" s="6" t="inlineStr">
        <is>
          <t>Not disclosed</t>
        </is>
      </c>
      <c r="M37" s="6" t="inlineStr">
        <is>
          <t>Not disclosed</t>
        </is>
      </c>
    </row>
    <row r="38">
      <c r="A38" s="6" t="inlineStr">
        <is>
          <t>NSFR</t>
        </is>
      </c>
      <c r="B38" s="6" t="inlineStr">
        <is>
          <t>152%</t>
        </is>
      </c>
      <c r="C38" s="6" t="inlineStr">
        <is>
          <t>153%</t>
        </is>
      </c>
      <c r="D38" s="6" t="inlineStr">
        <is>
          <t>154%</t>
        </is>
      </c>
      <c r="E38" s="6" t="inlineStr">
        <is>
          <t>148%</t>
        </is>
      </c>
      <c r="F38" s="6" t="inlineStr">
        <is>
          <t>Not disclosed</t>
        </is>
      </c>
      <c r="G38" s="6" t="inlineStr">
        <is>
          <t>Not disclosed</t>
        </is>
      </c>
      <c r="H38" s="6" t="inlineStr">
        <is>
          <t>Not disclosed</t>
        </is>
      </c>
      <c r="I38" s="6" t="inlineStr">
        <is>
          <t>Not disclosed</t>
        </is>
      </c>
      <c r="J38" s="6" t="inlineStr">
        <is>
          <t>Not disclosed</t>
        </is>
      </c>
      <c r="K38" s="6" t="inlineStr">
        <is>
          <t>Not disclosed</t>
        </is>
      </c>
      <c r="L38" s="6" t="inlineStr">
        <is>
          <t>Not disclosed</t>
        </is>
      </c>
      <c r="M38" s="6" t="inlineStr">
        <is>
          <t>Not disclosed</t>
        </is>
      </c>
    </row>
    <row r="40" ht="45" customHeight="1">
      <c r="A40" s="7" t="inlineStr">
        <is>
          <t>Note: Figures are duplicated from the detail sheets for at-a-glance trend viewing; see each sheet's own source citation for the underlying document/page. Tier 1 capital first exceeds CET1 from FY2024 onward following TSB's first AT1 issuance that year. Leverage ratio shown on the 'excluding claims on central banks' basis from FY2021 onward for comparability (FY2021 was originally reported on the pre-2022 'including' basis; FY2014-FY2020 are each shown on their own as-originally-reported 'including claims on central banks' basis, not restated - see Leverage Ratio sheet). 'Opening equity' and 'Other equity movements, net' are each year's own 31 December closing/1 January opening balance so as to preserve, rather than force-tie away, two genuine one-off breaks: the FY2016-to-FY2017 entity-basis change from TSB Banking Group plc to TSB Bank plc (+£14.6m, see Statement of Changes in Equity sheet) and the FY2017-to-FY2018 IFRS 9/IFRS 15 transition adjustment (-£67.6m). LCR/NSFR are not disclosed by TSB for FY2014-FY2020 (see those sheets).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Balance Sheet</t>
        </is>
      </c>
    </row>
    <row r="2">
      <c r="A2" s="2" t="inlineStr">
        <is>
          <t>Bank (Consolidated) basis, £ million. Total equity ties exactly to the Statement of Changes in Equity sheet for every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cash balances at central banks and other demand deposits</t>
        </is>
      </c>
      <c r="B5" s="6" t="n">
        <v>4202.1</v>
      </c>
      <c r="C5" s="6" t="n">
        <v>4823.8</v>
      </c>
      <c r="D5" s="6" t="n">
        <v>5897.3</v>
      </c>
      <c r="E5" s="6" t="n">
        <v>5238.8</v>
      </c>
      <c r="F5" s="6" t="n">
        <v>4851.1</v>
      </c>
      <c r="G5" s="6" t="n">
        <v>5056.3</v>
      </c>
      <c r="H5" s="6" t="n">
        <v>4592.8</v>
      </c>
      <c r="I5" s="6" t="n">
        <v>7135.9</v>
      </c>
      <c r="J5" s="6" t="n">
        <v>7563.4</v>
      </c>
      <c r="K5" s="6" t="n">
        <v>3698.3</v>
      </c>
      <c r="L5" s="6" t="n">
        <v>2755.6</v>
      </c>
      <c r="M5" s="6" t="n">
        <v>4396.3</v>
      </c>
    </row>
    <row r="6">
      <c r="A6" s="6" t="inlineStr">
        <is>
          <t>Debt securities at amortised cost</t>
        </is>
      </c>
      <c r="B6" s="6" t="n">
        <v>1986.4</v>
      </c>
      <c r="C6" s="6" t="n">
        <v>1982.5</v>
      </c>
      <c r="D6" s="6" t="n">
        <v>2124.2</v>
      </c>
      <c r="E6" s="6" t="n">
        <v>1951.6</v>
      </c>
      <c r="F6" s="6" t="n">
        <v>2166.7</v>
      </c>
      <c r="G6" s="6" t="n">
        <v>1123.7</v>
      </c>
      <c r="H6" s="6" t="n">
        <v>548.6</v>
      </c>
      <c r="I6" s="6" t="n">
        <v>96.2</v>
      </c>
      <c r="J6" s="6" t="n"/>
      <c r="K6" s="6" t="n"/>
      <c r="L6" s="6" t="n"/>
      <c r="M6" s="6" t="n"/>
    </row>
    <row r="7">
      <c r="A7" s="6" t="inlineStr">
        <is>
          <t>Financial assets at fair value through profit or loss (equity instruments)</t>
        </is>
      </c>
      <c r="B7" s="6" t="n"/>
      <c r="C7" s="6" t="n"/>
      <c r="D7" s="6" t="n"/>
      <c r="E7" s="6" t="n"/>
      <c r="F7" s="6" t="n"/>
      <c r="G7" s="6" t="n"/>
      <c r="H7" s="6" t="n"/>
      <c r="I7" s="6" t="n">
        <v>1.4</v>
      </c>
      <c r="J7" s="6" t="n">
        <v>1.3</v>
      </c>
      <c r="K7" s="6" t="n"/>
      <c r="L7" s="6" t="n"/>
      <c r="M7" s="6" t="n"/>
    </row>
    <row r="8">
      <c r="A8" s="6" t="inlineStr">
        <is>
          <t>Current tax assets</t>
        </is>
      </c>
      <c r="B8" s="6" t="n"/>
      <c r="C8" s="6" t="n"/>
      <c r="D8" s="6" t="n"/>
      <c r="E8" s="6" t="n"/>
      <c r="F8" s="6" t="n"/>
      <c r="G8" s="6" t="n"/>
      <c r="H8" s="6" t="n"/>
      <c r="I8" s="6" t="n">
        <v>19.7</v>
      </c>
      <c r="J8" s="6" t="n"/>
      <c r="K8" s="6" t="n"/>
      <c r="L8" s="6" t="n"/>
      <c r="M8" s="6" t="n"/>
    </row>
    <row r="9">
      <c r="A9" s="6" t="inlineStr">
        <is>
          <t>Loans and advances to customers</t>
        </is>
      </c>
      <c r="B9" s="6" t="n">
        <v>36268.4</v>
      </c>
      <c r="C9" s="6" t="n">
        <v>36330.9</v>
      </c>
      <c r="D9" s="6" t="n">
        <v>36245.9</v>
      </c>
      <c r="E9" s="6" t="n">
        <v>38050</v>
      </c>
      <c r="F9" s="6" t="n">
        <v>37383.8</v>
      </c>
      <c r="G9" s="6" t="n">
        <v>33317.9</v>
      </c>
      <c r="H9" s="6" t="n">
        <v>31075.8</v>
      </c>
      <c r="I9" s="6" t="n">
        <v>30008.5</v>
      </c>
      <c r="J9" s="6" t="n">
        <v>30854.2</v>
      </c>
      <c r="K9" s="6" t="n">
        <v>29419.1</v>
      </c>
      <c r="L9" s="6" t="n">
        <v>26402.2</v>
      </c>
      <c r="M9" s="6" t="n">
        <v>21641.4</v>
      </c>
    </row>
    <row r="10">
      <c r="A10" s="6" t="inlineStr">
        <is>
          <t>Loans and advances to central banks and credit institutions</t>
        </is>
      </c>
      <c r="B10" s="6" t="n">
        <v>305.2</v>
      </c>
      <c r="C10" s="6" t="n">
        <v>277.8</v>
      </c>
      <c r="D10" s="6" t="n">
        <v>328</v>
      </c>
      <c r="E10" s="6" t="n">
        <v>303.5</v>
      </c>
      <c r="F10" s="6" t="n">
        <v>199.7</v>
      </c>
      <c r="G10" s="6" t="n">
        <v>164.2</v>
      </c>
      <c r="H10" s="6" t="n">
        <v>469.3</v>
      </c>
      <c r="I10" s="6" t="n">
        <v>458.4</v>
      </c>
      <c r="J10" s="6" t="n">
        <v>385.2</v>
      </c>
      <c r="K10" s="6" t="n">
        <v>550.4</v>
      </c>
      <c r="L10" s="6" t="n">
        <v>331.7</v>
      </c>
      <c r="M10" s="6" t="n">
        <v>134.5</v>
      </c>
    </row>
    <row r="11">
      <c r="A11" s="6" t="inlineStr">
        <is>
          <t>Reverse repurchase agreement</t>
        </is>
      </c>
      <c r="B11" s="6" t="n">
        <v>62</v>
      </c>
      <c r="C11" s="6" t="n">
        <v>0</v>
      </c>
      <c r="D11" s="6" t="n"/>
      <c r="E11" s="6" t="n"/>
      <c r="F11" s="6" t="n"/>
      <c r="G11" s="6" t="n"/>
      <c r="H11" s="6" t="n">
        <v>201.1</v>
      </c>
      <c r="I11" s="6" t="n"/>
      <c r="J11" s="6" t="n"/>
      <c r="K11" s="6" t="n"/>
      <c r="L11" s="6" t="n"/>
      <c r="M11" s="6" t="n"/>
    </row>
    <row r="12">
      <c r="A12" s="6" t="inlineStr">
        <is>
          <t>Other advances</t>
        </is>
      </c>
      <c r="B12" s="6" t="n">
        <v>66.90000000000001</v>
      </c>
      <c r="C12" s="6" t="n">
        <v>130.2</v>
      </c>
      <c r="D12" s="6" t="n">
        <v>209.6</v>
      </c>
      <c r="E12" s="6" t="n">
        <v>703.2</v>
      </c>
      <c r="F12" s="6" t="n">
        <v>80.7</v>
      </c>
      <c r="G12" s="6" t="n">
        <v>217.5</v>
      </c>
      <c r="H12" s="6" t="n">
        <v>279.6</v>
      </c>
      <c r="I12" s="6" t="n">
        <v>381.4</v>
      </c>
      <c r="J12" s="6" t="n">
        <v>896</v>
      </c>
      <c r="K12" s="6" t="n"/>
      <c r="L12" s="6" t="n"/>
      <c r="M12" s="6" t="n"/>
    </row>
    <row r="13">
      <c r="A13" s="6" t="inlineStr">
        <is>
          <t>Items in course of collection from banks</t>
        </is>
      </c>
      <c r="B13" s="6" t="n"/>
      <c r="C13" s="6" t="n"/>
      <c r="D13" s="6" t="n"/>
      <c r="E13" s="6" t="n"/>
      <c r="F13" s="6" t="n"/>
      <c r="G13" s="6" t="n"/>
      <c r="H13" s="6" t="n"/>
      <c r="I13" s="6" t="n"/>
      <c r="J13" s="6" t="n"/>
      <c r="K13" s="6" t="n">
        <v>213.8</v>
      </c>
      <c r="L13" s="6" t="n">
        <v>163</v>
      </c>
      <c r="M13" s="6" t="n">
        <v>135.7</v>
      </c>
    </row>
    <row r="14">
      <c r="A14" s="6" t="inlineStr">
        <is>
          <t>Equity instruments (held for trading)</t>
        </is>
      </c>
      <c r="B14" s="6" t="n"/>
      <c r="C14" s="6" t="n"/>
      <c r="D14" s="6" t="n"/>
      <c r="E14" s="6" t="n"/>
      <c r="F14" s="6" t="n"/>
      <c r="G14" s="6" t="n"/>
      <c r="H14" s="6" t="n"/>
      <c r="I14" s="6" t="n"/>
      <c r="J14" s="6" t="n"/>
      <c r="K14" s="6" t="n">
        <v>8.699999999999999</v>
      </c>
      <c r="L14" s="6" t="n"/>
      <c r="M14" s="6" t="n"/>
    </row>
    <row r="15">
      <c r="A15" s="6" t="inlineStr">
        <is>
          <t>Debt securities at fair value through other comprehensive income / Available-for-sale financial assets</t>
        </is>
      </c>
      <c r="B15" s="6" t="n">
        <v>440.2</v>
      </c>
      <c r="C15" s="6" t="n">
        <v>328.6</v>
      </c>
      <c r="D15" s="6" t="n">
        <v>356.6</v>
      </c>
      <c r="E15" s="6" t="n">
        <v>509.5</v>
      </c>
      <c r="F15" s="6" t="n">
        <v>1069</v>
      </c>
      <c r="G15" s="6" t="n">
        <v>1496.9</v>
      </c>
      <c r="H15" s="6" t="n">
        <v>1587.4</v>
      </c>
      <c r="I15" s="6" t="n">
        <v>2387.8</v>
      </c>
      <c r="J15" s="6" t="n">
        <v>2123.3</v>
      </c>
      <c r="K15" s="6" t="n">
        <v>2103.5</v>
      </c>
      <c r="L15" s="6" t="n">
        <v>1262.8</v>
      </c>
      <c r="M15" s="6" t="n">
        <v>339.7</v>
      </c>
    </row>
    <row r="16">
      <c r="A16" s="6" t="inlineStr">
        <is>
          <t>Derivative financial assets not in hedge accounting relationships</t>
        </is>
      </c>
      <c r="B16" s="6" t="n">
        <v>362.4</v>
      </c>
      <c r="C16" s="6" t="n">
        <v>667.6</v>
      </c>
      <c r="D16" s="6" t="n">
        <v>822.9</v>
      </c>
      <c r="E16" s="6" t="n">
        <v>1158.7</v>
      </c>
      <c r="F16" s="6" t="n">
        <v>168.4</v>
      </c>
      <c r="G16" s="6" t="n">
        <v>198.3</v>
      </c>
      <c r="H16" s="6" t="n">
        <v>111.5</v>
      </c>
      <c r="I16" s="6" t="n">
        <v>88.40000000000001</v>
      </c>
      <c r="J16" s="6" t="n">
        <v>111.1</v>
      </c>
      <c r="K16" s="6" t="n">
        <v>143.2</v>
      </c>
      <c r="L16" s="6" t="n"/>
      <c r="M16" s="6" t="n"/>
    </row>
    <row r="17">
      <c r="A17" s="6" t="inlineStr">
        <is>
          <t>Hedging derivative financial assets</t>
        </is>
      </c>
      <c r="B17" s="6" t="n">
        <v>1149.2</v>
      </c>
      <c r="C17" s="6" t="n">
        <v>1274.3</v>
      </c>
      <c r="D17" s="6" t="n">
        <v>1346.9</v>
      </c>
      <c r="E17" s="6" t="n">
        <v>1565.9</v>
      </c>
      <c r="F17" s="6" t="n">
        <v>244.5</v>
      </c>
      <c r="G17" s="6" t="n">
        <v>139.9</v>
      </c>
      <c r="H17" s="6" t="n">
        <v>93.40000000000001</v>
      </c>
      <c r="I17" s="6" t="n">
        <v>106.6</v>
      </c>
      <c r="J17" s="6" t="n">
        <v>103.7</v>
      </c>
      <c r="K17" s="6" t="n">
        <v>104.3</v>
      </c>
      <c r="L17" s="6" t="n"/>
      <c r="M17" s="6" t="n"/>
    </row>
    <row r="18">
      <c r="A18" s="6" t="inlineStr">
        <is>
          <t>Derivative financial assets (combined, pre-FY2016 presentation)</t>
        </is>
      </c>
      <c r="B18" s="6" t="n"/>
      <c r="C18" s="6" t="n"/>
      <c r="D18" s="6" t="n"/>
      <c r="E18" s="6" t="n"/>
      <c r="F18" s="6" t="n"/>
      <c r="G18" s="6" t="n"/>
      <c r="H18" s="6" t="n"/>
      <c r="I18" s="6" t="n"/>
      <c r="J18" s="6" t="n"/>
      <c r="K18" s="6" t="n"/>
      <c r="L18" s="6" t="n">
        <v>90.5</v>
      </c>
      <c r="M18" s="6" t="n">
        <v>123.1</v>
      </c>
    </row>
    <row r="19">
      <c r="A19" s="6" t="inlineStr">
        <is>
          <t>Fair value adjustments for portfolio hedged risk</t>
        </is>
      </c>
      <c r="B19" s="6" t="n">
        <v>4.5</v>
      </c>
      <c r="C19" s="6" t="n">
        <v>-170.9</v>
      </c>
      <c r="D19" s="6" t="n">
        <v>-154.9</v>
      </c>
      <c r="E19" s="6" t="n">
        <v>-542.8</v>
      </c>
      <c r="F19" s="6" t="n">
        <v>-109.3</v>
      </c>
      <c r="G19" s="6" t="n">
        <v>80.2</v>
      </c>
      <c r="H19" s="6" t="n">
        <v>20.5</v>
      </c>
      <c r="I19" s="6" t="n">
        <v>-37.3</v>
      </c>
      <c r="J19" s="6" t="n">
        <v>-22.2</v>
      </c>
      <c r="K19" s="6" t="n">
        <v>0.8</v>
      </c>
      <c r="L19" s="6" t="n"/>
      <c r="M19" s="6" t="n"/>
    </row>
    <row r="20">
      <c r="A20" s="6" t="inlineStr">
        <is>
          <t>Property and equipment</t>
        </is>
      </c>
      <c r="B20" s="6" t="n">
        <v>215.1</v>
      </c>
      <c r="C20" s="6" t="n">
        <v>233.9</v>
      </c>
      <c r="D20" s="6" t="n">
        <v>253.5</v>
      </c>
      <c r="E20" s="6" t="n">
        <v>287.5</v>
      </c>
      <c r="F20" s="6" t="n">
        <v>300.3</v>
      </c>
      <c r="G20" s="6" t="n">
        <v>258.9</v>
      </c>
      <c r="H20" s="6" t="n">
        <v>293.2</v>
      </c>
      <c r="I20" s="6" t="n">
        <v>163.1</v>
      </c>
      <c r="J20" s="6" t="n">
        <v>172.7</v>
      </c>
      <c r="K20" s="6" t="n">
        <v>168.3</v>
      </c>
      <c r="L20" s="6" t="n">
        <v>161.1</v>
      </c>
      <c r="M20" s="6" t="n">
        <v>149.2</v>
      </c>
    </row>
    <row r="21">
      <c r="A21" s="6" t="inlineStr">
        <is>
          <t>Intangible assets</t>
        </is>
      </c>
      <c r="B21" s="6" t="n">
        <v>123.4</v>
      </c>
      <c r="C21" s="6" t="n">
        <v>109.9</v>
      </c>
      <c r="D21" s="6" t="n">
        <v>86.09999999999999</v>
      </c>
      <c r="E21" s="6" t="n">
        <v>75.59999999999999</v>
      </c>
      <c r="F21" s="6" t="n">
        <v>72.09999999999999</v>
      </c>
      <c r="G21" s="6" t="n">
        <v>49.5</v>
      </c>
      <c r="H21" s="6" t="n">
        <v>20.3</v>
      </c>
      <c r="I21" s="6" t="n">
        <v>18.4</v>
      </c>
      <c r="J21" s="6" t="n">
        <v>10.1</v>
      </c>
      <c r="K21" s="6" t="n">
        <v>2.6</v>
      </c>
      <c r="L21" s="6" t="n"/>
      <c r="M21" s="6" t="n"/>
    </row>
    <row r="22">
      <c r="A22" s="6" t="inlineStr">
        <is>
          <t>Deferred tax asset</t>
        </is>
      </c>
      <c r="B22" s="6" t="n">
        <v>6.1</v>
      </c>
      <c r="C22" s="6" t="n">
        <v>8.1</v>
      </c>
      <c r="D22" s="6" t="n">
        <v>43.2</v>
      </c>
      <c r="E22" s="6" t="n">
        <v>64.5</v>
      </c>
      <c r="F22" s="6" t="n">
        <v>122.6</v>
      </c>
      <c r="G22" s="6" t="n">
        <v>144.5</v>
      </c>
      <c r="H22" s="6" t="n">
        <v>96.09999999999999</v>
      </c>
      <c r="I22" s="6" t="n">
        <v>113</v>
      </c>
      <c r="J22" s="6" t="n">
        <v>68.59999999999999</v>
      </c>
      <c r="K22" s="6" t="n">
        <v>99.59999999999999</v>
      </c>
      <c r="L22" s="6" t="n">
        <v>121.1</v>
      </c>
      <c r="M22" s="6" t="n">
        <v>108.1</v>
      </c>
    </row>
    <row r="23">
      <c r="A23" s="6" t="inlineStr">
        <is>
          <t>Other assets</t>
        </is>
      </c>
      <c r="B23" s="6" t="n">
        <v>89.59999999999999</v>
      </c>
      <c r="C23" s="6" t="n">
        <v>102.4</v>
      </c>
      <c r="D23" s="6" t="n">
        <v>93.59999999999999</v>
      </c>
      <c r="E23" s="6" t="n">
        <v>83.59999999999999</v>
      </c>
      <c r="F23" s="6" t="n">
        <v>156</v>
      </c>
      <c r="G23" s="6" t="n">
        <v>174.6</v>
      </c>
      <c r="H23" s="6" t="n">
        <v>146.3</v>
      </c>
      <c r="I23" s="6" t="n">
        <v>197.1</v>
      </c>
      <c r="J23" s="6" t="n">
        <v>269.3</v>
      </c>
      <c r="K23" s="6" t="n">
        <v>685.7</v>
      </c>
      <c r="L23" s="6" t="n">
        <v>330</v>
      </c>
      <c r="M23" s="6" t="n">
        <v>143.4</v>
      </c>
    </row>
    <row r="24">
      <c r="A24" s="5" t="inlineStr">
        <is>
          <t>Total assets</t>
        </is>
      </c>
      <c r="B24" s="5" t="n">
        <v>45281.5</v>
      </c>
      <c r="C24" s="5" t="n">
        <v>46099.1</v>
      </c>
      <c r="D24" s="5" t="n">
        <v>47652.9</v>
      </c>
      <c r="E24" s="5" t="n">
        <v>49449.6</v>
      </c>
      <c r="F24" s="5" t="n">
        <v>46705.6</v>
      </c>
      <c r="G24" s="5" t="n">
        <v>42422.4</v>
      </c>
      <c r="H24" s="5" t="n">
        <v>39535.9</v>
      </c>
      <c r="I24" s="5" t="n">
        <v>41138.6</v>
      </c>
      <c r="J24" s="5" t="n">
        <v>42536.7</v>
      </c>
      <c r="K24" s="5" t="n">
        <v>37195.7</v>
      </c>
      <c r="L24" s="5" t="n">
        <v>31618</v>
      </c>
      <c r="M24" s="5" t="n">
        <v>27171.4</v>
      </c>
    </row>
    <row r="25">
      <c r="A25" s="5" t="inlineStr">
        <is>
          <t>Liabilities</t>
        </is>
      </c>
      <c r="B25" s="6" t="n"/>
      <c r="C25" s="6" t="n"/>
      <c r="D25" s="6" t="n"/>
      <c r="E25" s="6" t="n"/>
      <c r="F25" s="6" t="n"/>
      <c r="G25" s="6" t="n"/>
      <c r="H25" s="6" t="n"/>
      <c r="I25" s="6" t="n"/>
      <c r="J25" s="6" t="n"/>
      <c r="K25" s="6" t="n"/>
      <c r="L25" s="6" t="n"/>
      <c r="M25" s="6" t="n"/>
    </row>
    <row r="26">
      <c r="A26" s="6" t="inlineStr">
        <is>
          <t>Customer deposits</t>
        </is>
      </c>
      <c r="B26" s="6" t="n">
        <v>35209</v>
      </c>
      <c r="C26" s="6" t="n">
        <v>35051.2</v>
      </c>
      <c r="D26" s="6" t="n">
        <v>34764.3</v>
      </c>
      <c r="E26" s="6" t="n">
        <v>36338.2</v>
      </c>
      <c r="F26" s="6" t="n">
        <v>35951.9</v>
      </c>
      <c r="G26" s="6" t="n">
        <v>34375.3</v>
      </c>
      <c r="H26" s="6" t="n">
        <v>30182.4</v>
      </c>
      <c r="I26" s="6" t="n">
        <v>29084.3</v>
      </c>
      <c r="J26" s="6" t="n">
        <v>30520.6</v>
      </c>
      <c r="K26" s="6" t="n">
        <v>29383.8</v>
      </c>
      <c r="L26" s="6" t="n">
        <v>25915.7</v>
      </c>
      <c r="M26" s="6" t="n">
        <v>24624.9</v>
      </c>
    </row>
    <row r="27">
      <c r="A27" s="6" t="inlineStr">
        <is>
          <t>Borrowings from central banks</t>
        </is>
      </c>
      <c r="B27" s="6" t="n">
        <v>598.9</v>
      </c>
      <c r="C27" s="6" t="n">
        <v>1406.9</v>
      </c>
      <c r="D27" s="6" t="n">
        <v>4057.9</v>
      </c>
      <c r="E27" s="6" t="n">
        <v>5538.3</v>
      </c>
      <c r="F27" s="6" t="n">
        <v>5501.6</v>
      </c>
      <c r="G27" s="6" t="n">
        <v>3065.8</v>
      </c>
      <c r="H27" s="6" t="n">
        <v>4483.5</v>
      </c>
      <c r="I27" s="6" t="n">
        <v>6482.2</v>
      </c>
      <c r="J27" s="6" t="n">
        <v>5625.7</v>
      </c>
      <c r="K27" s="6" t="n"/>
      <c r="L27" s="6" t="n"/>
      <c r="M27" s="6" t="n"/>
    </row>
    <row r="28">
      <c r="A28" s="6" t="inlineStr">
        <is>
          <t>Deposits from credit institutions</t>
        </is>
      </c>
      <c r="B28" s="6" t="n"/>
      <c r="C28" s="6" t="n"/>
      <c r="D28" s="6" t="n"/>
      <c r="E28" s="6" t="n"/>
      <c r="F28" s="6" t="n"/>
      <c r="G28" s="6" t="n"/>
      <c r="H28" s="6" t="n"/>
      <c r="I28" s="6" t="n">
        <v>3.4</v>
      </c>
      <c r="J28" s="6" t="n"/>
      <c r="K28" s="6" t="n">
        <v>49.6</v>
      </c>
      <c r="L28" s="6" t="n">
        <v>0.8</v>
      </c>
      <c r="M28" s="6" t="n">
        <v>32.5</v>
      </c>
    </row>
    <row r="29">
      <c r="A29" s="6" t="inlineStr">
        <is>
          <t>Debt securities in issue</t>
        </is>
      </c>
      <c r="B29" s="6" t="n">
        <v>4869.3</v>
      </c>
      <c r="C29" s="6" t="n">
        <v>4583.2</v>
      </c>
      <c r="D29" s="6" t="n">
        <v>3664.1</v>
      </c>
      <c r="E29" s="6" t="n">
        <v>1955.5</v>
      </c>
      <c r="F29" s="6" t="n">
        <v>2199.1</v>
      </c>
      <c r="G29" s="6" t="n">
        <v>1699.2</v>
      </c>
      <c r="H29" s="6" t="n">
        <v>1676.3</v>
      </c>
      <c r="I29" s="6" t="n">
        <v>1122.6</v>
      </c>
      <c r="J29" s="6" t="n">
        <v>1318.7</v>
      </c>
      <c r="K29" s="6" t="n">
        <v>2940.1</v>
      </c>
      <c r="L29" s="6" t="n">
        <v>2899.6</v>
      </c>
      <c r="M29" s="6" t="n">
        <v>10</v>
      </c>
    </row>
    <row r="30">
      <c r="A30" s="6" t="inlineStr">
        <is>
          <t>Repurchase agreements</t>
        </is>
      </c>
      <c r="B30" s="6" t="n"/>
      <c r="C30" s="6" t="n"/>
      <c r="D30" s="6" t="n">
        <v>0</v>
      </c>
      <c r="E30" s="6" t="n">
        <v>360</v>
      </c>
      <c r="F30" s="6" t="n"/>
      <c r="G30" s="6" t="n"/>
      <c r="H30" s="6" t="n"/>
      <c r="I30" s="6" t="n">
        <v>1084.8</v>
      </c>
      <c r="J30" s="6" t="n">
        <v>1446.4</v>
      </c>
      <c r="K30" s="6" t="n">
        <v>1409.6</v>
      </c>
      <c r="L30" s="6" t="n"/>
      <c r="M30" s="6" t="n"/>
    </row>
    <row r="31">
      <c r="A31" s="6" t="inlineStr">
        <is>
          <t>Subordinated liabilities</t>
        </is>
      </c>
      <c r="B31" s="6" t="n">
        <v>297.8</v>
      </c>
      <c r="C31" s="6" t="n">
        <v>285.9</v>
      </c>
      <c r="D31" s="6" t="n">
        <v>277.7</v>
      </c>
      <c r="E31" s="6" t="n">
        <v>265.4</v>
      </c>
      <c r="F31" s="6" t="n">
        <v>291.8</v>
      </c>
      <c r="G31" s="6" t="n">
        <v>391.3</v>
      </c>
      <c r="H31" s="6" t="n">
        <v>395.9</v>
      </c>
      <c r="I31" s="6" t="n">
        <v>398.2</v>
      </c>
      <c r="J31" s="6" t="n">
        <v>405.3</v>
      </c>
      <c r="K31" s="6" t="n">
        <v>413.3</v>
      </c>
      <c r="L31" s="6" t="n">
        <v>402.1</v>
      </c>
      <c r="M31" s="6" t="n">
        <v>405.5</v>
      </c>
    </row>
    <row r="32">
      <c r="A32" s="6" t="inlineStr">
        <is>
          <t>Lease liabilities</t>
        </is>
      </c>
      <c r="B32" s="6" t="n">
        <v>107.8</v>
      </c>
      <c r="C32" s="6" t="n">
        <v>120.7</v>
      </c>
      <c r="D32" s="6" t="n">
        <v>125</v>
      </c>
      <c r="E32" s="6" t="n">
        <v>145.9</v>
      </c>
      <c r="F32" s="6" t="n">
        <v>163.5</v>
      </c>
      <c r="G32" s="6" t="n">
        <v>123.3</v>
      </c>
      <c r="H32" s="6" t="n"/>
      <c r="I32" s="6" t="n"/>
      <c r="J32" s="6" t="n"/>
      <c r="K32" s="6" t="n"/>
      <c r="L32" s="6" t="n"/>
      <c r="M32" s="6" t="n"/>
    </row>
    <row r="33">
      <c r="A33" s="6" t="inlineStr">
        <is>
          <t>Items in course of transmission to banks</t>
        </is>
      </c>
      <c r="B33" s="6" t="n"/>
      <c r="C33" s="6" t="n"/>
      <c r="D33" s="6" t="n"/>
      <c r="E33" s="6" t="n"/>
      <c r="F33" s="6" t="n"/>
      <c r="G33" s="6" t="n"/>
      <c r="H33" s="6" t="n"/>
      <c r="I33" s="6" t="n"/>
      <c r="J33" s="6" t="n"/>
      <c r="K33" s="6" t="n">
        <v>176.1</v>
      </c>
      <c r="L33" s="6" t="n">
        <v>152.3</v>
      </c>
      <c r="M33" s="6" t="n">
        <v>144.6</v>
      </c>
    </row>
    <row r="34">
      <c r="A34" s="6" t="inlineStr">
        <is>
          <t>Other financial liabilities</t>
        </is>
      </c>
      <c r="B34" s="6" t="n">
        <v>1080.6</v>
      </c>
      <c r="C34" s="6" t="n">
        <v>1184.6</v>
      </c>
      <c r="D34" s="6" t="n">
        <v>1222.4</v>
      </c>
      <c r="E34" s="6" t="n">
        <v>1320.1</v>
      </c>
      <c r="F34" s="6" t="n">
        <v>193.6</v>
      </c>
      <c r="G34" s="6" t="n">
        <v>51.6</v>
      </c>
      <c r="H34" s="6" t="n">
        <v>80.7</v>
      </c>
      <c r="I34" s="6" t="n">
        <v>66.40000000000001</v>
      </c>
      <c r="J34" s="6" t="n">
        <v>247.3</v>
      </c>
      <c r="K34" s="6" t="n"/>
      <c r="L34" s="6" t="n"/>
      <c r="M34" s="6" t="n"/>
    </row>
    <row r="35">
      <c r="A35" s="6" t="inlineStr">
        <is>
          <t>Derivative financial liabilities not in hedge accounting relationships</t>
        </is>
      </c>
      <c r="B35" s="6" t="n">
        <v>456.7</v>
      </c>
      <c r="C35" s="6" t="n">
        <v>824.2</v>
      </c>
      <c r="D35" s="6" t="n">
        <v>982.1</v>
      </c>
      <c r="E35" s="6" t="n">
        <v>1252.4</v>
      </c>
      <c r="F35" s="6" t="n">
        <v>156.5</v>
      </c>
      <c r="G35" s="6" t="n">
        <v>299.7</v>
      </c>
      <c r="H35" s="6" t="n">
        <v>127.9</v>
      </c>
      <c r="I35" s="6" t="n">
        <v>93.09999999999999</v>
      </c>
      <c r="J35" s="6" t="n">
        <v>37.5</v>
      </c>
      <c r="K35" s="6" t="n">
        <v>97.7</v>
      </c>
      <c r="L35" s="6" t="n"/>
      <c r="M35" s="6" t="n"/>
    </row>
    <row r="36">
      <c r="A36" s="6" t="inlineStr">
        <is>
          <t>Hedging derivative financial liabilities</t>
        </is>
      </c>
      <c r="B36" s="6" t="n">
        <v>99.40000000000001</v>
      </c>
      <c r="C36" s="6" t="n">
        <v>143.6</v>
      </c>
      <c r="D36" s="6" t="n">
        <v>318.7</v>
      </c>
      <c r="E36" s="6" t="n">
        <v>301.5</v>
      </c>
      <c r="F36" s="6" t="n">
        <v>136.8</v>
      </c>
      <c r="G36" s="6" t="n">
        <v>225.2</v>
      </c>
      <c r="H36" s="6" t="n">
        <v>288.5</v>
      </c>
      <c r="I36" s="6" t="n">
        <v>346</v>
      </c>
      <c r="J36" s="6" t="n">
        <v>566.5</v>
      </c>
      <c r="K36" s="6" t="n">
        <v>529.1</v>
      </c>
      <c r="L36" s="6" t="n"/>
      <c r="M36" s="6" t="n"/>
    </row>
    <row r="37">
      <c r="A37" s="6" t="inlineStr">
        <is>
          <t>Derivative financial liabilities (combined, pre-FY2016 presentation)</t>
        </is>
      </c>
      <c r="B37" s="6" t="n"/>
      <c r="C37" s="6" t="n"/>
      <c r="D37" s="6" t="n"/>
      <c r="E37" s="6" t="n"/>
      <c r="F37" s="6" t="n"/>
      <c r="G37" s="6" t="n"/>
      <c r="H37" s="6" t="n"/>
      <c r="I37" s="6" t="n"/>
      <c r="J37" s="6" t="n"/>
      <c r="K37" s="6" t="n"/>
      <c r="L37" s="6" t="n">
        <v>283.3</v>
      </c>
      <c r="M37" s="6" t="n">
        <v>116.7</v>
      </c>
    </row>
    <row r="38">
      <c r="A38" s="6" t="inlineStr">
        <is>
          <t>Fair value adjustments for portfolio hedged risk</t>
        </is>
      </c>
      <c r="B38" s="6" t="n">
        <v>12.3</v>
      </c>
      <c r="C38" s="6" t="n">
        <v>-134.7</v>
      </c>
      <c r="D38" s="6" t="n">
        <v>-85.5</v>
      </c>
      <c r="E38" s="6" t="n">
        <v>-321.3</v>
      </c>
      <c r="F38" s="6" t="n">
        <v>-63.6</v>
      </c>
      <c r="G38" s="6" t="n">
        <v>117</v>
      </c>
      <c r="H38" s="6" t="n">
        <v>52.2</v>
      </c>
      <c r="I38" s="6" t="n">
        <v>19.4</v>
      </c>
      <c r="J38" s="6" t="n">
        <v>42.2</v>
      </c>
      <c r="K38" s="6" t="n">
        <v>70.7</v>
      </c>
      <c r="L38" s="6" t="n"/>
      <c r="M38" s="6" t="n"/>
    </row>
    <row r="39">
      <c r="A39" s="6" t="inlineStr">
        <is>
          <t>Provisions</t>
        </is>
      </c>
      <c r="B39" s="6" t="n">
        <v>22.2</v>
      </c>
      <c r="C39" s="6" t="n">
        <v>39.8</v>
      </c>
      <c r="D39" s="6" t="n">
        <v>75.2</v>
      </c>
      <c r="E39" s="6" t="n">
        <v>125</v>
      </c>
      <c r="F39" s="6" t="n">
        <v>110.2</v>
      </c>
      <c r="G39" s="6" t="n">
        <v>153.1</v>
      </c>
      <c r="H39" s="6" t="n">
        <v>51.8</v>
      </c>
      <c r="I39" s="6" t="n">
        <v>63.6</v>
      </c>
      <c r="J39" s="6" t="n">
        <v>34.5</v>
      </c>
      <c r="K39" s="6" t="n">
        <v>10.8</v>
      </c>
      <c r="L39" s="6" t="n"/>
      <c r="M39" s="6" t="n"/>
    </row>
    <row r="40">
      <c r="A40" s="6" t="inlineStr">
        <is>
          <t>Current tax liabilities</t>
        </is>
      </c>
      <c r="B40" s="6" t="n"/>
      <c r="C40" s="6" t="n"/>
      <c r="D40" s="6" t="n"/>
      <c r="E40" s="6" t="n"/>
      <c r="F40" s="6" t="n"/>
      <c r="G40" s="6" t="n"/>
      <c r="H40" s="6" t="n"/>
      <c r="I40" s="6" t="n"/>
      <c r="J40" s="6" t="n">
        <v>6.9</v>
      </c>
      <c r="K40" s="6" t="n">
        <v>14.7</v>
      </c>
      <c r="L40" s="6" t="n"/>
      <c r="M40" s="6" t="n"/>
    </row>
    <row r="41">
      <c r="A41" s="6" t="inlineStr">
        <is>
          <t>Other liabilities</t>
        </is>
      </c>
      <c r="B41" s="6" t="n">
        <v>189.5</v>
      </c>
      <c r="C41" s="6" t="n">
        <v>473</v>
      </c>
      <c r="D41" s="6" t="n">
        <v>296.4</v>
      </c>
      <c r="E41" s="6" t="n">
        <v>238.8</v>
      </c>
      <c r="F41" s="6" t="n">
        <v>197.8</v>
      </c>
      <c r="G41" s="6" t="n">
        <v>196</v>
      </c>
      <c r="H41" s="6" t="n">
        <v>154.1</v>
      </c>
      <c r="I41" s="6" t="n">
        <v>495.7</v>
      </c>
      <c r="J41" s="6" t="n">
        <v>278.5</v>
      </c>
      <c r="K41" s="6" t="n">
        <v>246</v>
      </c>
      <c r="L41" s="6" t="n">
        <v>217.9</v>
      </c>
      <c r="M41" s="6" t="n">
        <v>202.8</v>
      </c>
    </row>
    <row r="42">
      <c r="A42" s="5" t="inlineStr">
        <is>
          <t>Total liabilities</t>
        </is>
      </c>
      <c r="B42" s="5" t="n">
        <v>42943.5</v>
      </c>
      <c r="C42" s="5" t="n">
        <v>43978.4</v>
      </c>
      <c r="D42" s="5" t="n">
        <v>45698.3</v>
      </c>
      <c r="E42" s="5" t="n">
        <v>47519.8</v>
      </c>
      <c r="F42" s="5" t="n">
        <v>44839.2</v>
      </c>
      <c r="G42" s="5" t="n">
        <v>40697.5</v>
      </c>
      <c r="H42" s="5" t="n">
        <v>37635.1</v>
      </c>
      <c r="I42" s="5" t="n">
        <v>39259.7</v>
      </c>
      <c r="J42" s="5" t="n">
        <v>40530.1</v>
      </c>
      <c r="K42" s="5" t="n">
        <v>35330.7</v>
      </c>
      <c r="L42" s="5" t="n">
        <v>29871.7</v>
      </c>
      <c r="M42" s="5" t="n">
        <v>25537</v>
      </c>
    </row>
    <row r="43">
      <c r="A43" s="5" t="inlineStr">
        <is>
          <t>Equity</t>
        </is>
      </c>
      <c r="B43" s="6" t="n"/>
      <c r="C43" s="6" t="n"/>
      <c r="D43" s="6" t="n"/>
      <c r="E43" s="6" t="n"/>
      <c r="F43" s="6" t="n"/>
      <c r="G43" s="6" t="n"/>
      <c r="H43" s="6" t="n"/>
      <c r="I43" s="6" t="n"/>
      <c r="J43" s="6" t="n"/>
      <c r="K43" s="6" t="n"/>
      <c r="L43" s="6" t="n"/>
      <c r="M43" s="6" t="n"/>
    </row>
    <row r="44">
      <c r="A44" s="6" t="inlineStr">
        <is>
          <t>Share capital</t>
        </is>
      </c>
      <c r="B44" s="6" t="n">
        <v>79.40000000000001</v>
      </c>
      <c r="C44" s="6" t="n">
        <v>79.40000000000001</v>
      </c>
      <c r="D44" s="6" t="n">
        <v>79.40000000000001</v>
      </c>
      <c r="E44" s="6" t="n">
        <v>79.40000000000001</v>
      </c>
      <c r="F44" s="6" t="n">
        <v>79.40000000000001</v>
      </c>
      <c r="G44" s="6" t="n">
        <v>79.40000000000001</v>
      </c>
      <c r="H44" s="6" t="n">
        <v>79.40000000000001</v>
      </c>
      <c r="I44" s="6" t="n">
        <v>79.40000000000001</v>
      </c>
      <c r="J44" s="6" t="n">
        <v>79.40000000000001</v>
      </c>
      <c r="K44" s="6" t="n">
        <v>5</v>
      </c>
      <c r="L44" s="6" t="n">
        <v>5</v>
      </c>
      <c r="M44" s="6" t="n">
        <v>5</v>
      </c>
    </row>
    <row r="45">
      <c r="A45" s="6" t="inlineStr">
        <is>
          <t>Share premium</t>
        </is>
      </c>
      <c r="B45" s="6" t="n">
        <v>195.6</v>
      </c>
      <c r="C45" s="6" t="n">
        <v>195.6</v>
      </c>
      <c r="D45" s="6" t="n">
        <v>195.6</v>
      </c>
      <c r="E45" s="6" t="n">
        <v>195.6</v>
      </c>
      <c r="F45" s="6" t="n">
        <v>195.6</v>
      </c>
      <c r="G45" s="6" t="n">
        <v>195.6</v>
      </c>
      <c r="H45" s="6" t="n">
        <v>195.6</v>
      </c>
      <c r="I45" s="6" t="n">
        <v>195.6</v>
      </c>
      <c r="J45" s="6" t="n">
        <v>195.6</v>
      </c>
      <c r="K45" s="6" t="n">
        <v>965.1</v>
      </c>
      <c r="L45" s="6" t="n">
        <v>965.1</v>
      </c>
      <c r="M45" s="6" t="n">
        <v>965.1</v>
      </c>
    </row>
    <row r="46">
      <c r="A46" s="6" t="inlineStr">
        <is>
          <t>Other equity instruments</t>
        </is>
      </c>
      <c r="B46" s="6" t="n">
        <v>250</v>
      </c>
      <c r="C46" s="6" t="n">
        <v>250</v>
      </c>
      <c r="D46" s="6" t="n"/>
      <c r="E46" s="6" t="n"/>
      <c r="F46" s="6" t="n"/>
      <c r="G46" s="6" t="n"/>
      <c r="H46" s="6" t="n"/>
      <c r="I46" s="6" t="n"/>
      <c r="J46" s="6" t="n"/>
      <c r="K46" s="6" t="n"/>
      <c r="L46" s="6" t="n"/>
      <c r="M46" s="6" t="n"/>
    </row>
    <row r="47">
      <c r="A47" s="6" t="inlineStr">
        <is>
          <t>Merger reserve / Other reserves</t>
        </is>
      </c>
      <c r="B47" s="6" t="n">
        <v>412.8</v>
      </c>
      <c r="C47" s="6" t="n">
        <v>412.8</v>
      </c>
      <c r="D47" s="6" t="n">
        <v>412.8</v>
      </c>
      <c r="E47" s="6" t="n">
        <v>412.8</v>
      </c>
      <c r="F47" s="6" t="n">
        <v>412.8</v>
      </c>
      <c r="G47" s="6" t="n">
        <v>412.8</v>
      </c>
      <c r="H47" s="6" t="n">
        <v>412.8</v>
      </c>
      <c r="I47" s="6" t="n">
        <v>412.8</v>
      </c>
      <c r="J47" s="6" t="n">
        <v>412.8</v>
      </c>
      <c r="K47" s="6" t="n">
        <v>616.5</v>
      </c>
      <c r="L47" s="6" t="n">
        <v>616.5</v>
      </c>
      <c r="M47" s="6" t="n">
        <v>616.5</v>
      </c>
    </row>
    <row r="48">
      <c r="A48" s="6" t="inlineStr">
        <is>
          <t>Capital reorganisation reserve</t>
        </is>
      </c>
      <c r="B48" s="6" t="n"/>
      <c r="C48" s="6" t="n"/>
      <c r="D48" s="6" t="n"/>
      <c r="E48" s="6" t="n"/>
      <c r="F48" s="6" t="n"/>
      <c r="G48" s="6" t="n"/>
      <c r="H48" s="6" t="n"/>
      <c r="I48" s="6" t="n"/>
      <c r="J48" s="6" t="n"/>
      <c r="K48" s="6" t="n">
        <v>-1311.6</v>
      </c>
      <c r="L48" s="6" t="n">
        <v>-1311.6</v>
      </c>
      <c r="M48" s="6" t="n">
        <v>-1311.6</v>
      </c>
    </row>
    <row r="49">
      <c r="A49" s="6" t="inlineStr">
        <is>
          <t>Capital reserve</t>
        </is>
      </c>
      <c r="B49" s="6" t="n"/>
      <c r="C49" s="6" t="n"/>
      <c r="D49" s="6" t="n"/>
      <c r="E49" s="6" t="n"/>
      <c r="F49" s="6" t="n"/>
      <c r="G49" s="6" t="n"/>
      <c r="H49" s="6" t="n"/>
      <c r="I49" s="6" t="n"/>
      <c r="J49" s="6" t="n"/>
      <c r="K49" s="6" t="n">
        <v>410</v>
      </c>
      <c r="L49" s="6" t="n">
        <v>410</v>
      </c>
      <c r="M49" s="6" t="n">
        <v>410</v>
      </c>
    </row>
    <row r="50">
      <c r="A50" s="6" t="inlineStr">
        <is>
          <t>Retained profits</t>
        </is>
      </c>
      <c r="B50" s="6" t="n">
        <v>1398.4</v>
      </c>
      <c r="C50" s="6" t="n">
        <v>1164.9</v>
      </c>
      <c r="D50" s="6" t="n">
        <v>1261.1</v>
      </c>
      <c r="E50" s="6" t="n">
        <v>1207.7</v>
      </c>
      <c r="F50" s="6" t="n">
        <v>1174.1</v>
      </c>
      <c r="G50" s="6" t="n">
        <v>1045.7</v>
      </c>
      <c r="H50" s="6" t="n">
        <v>1201.9</v>
      </c>
      <c r="I50" s="6" t="n">
        <v>1175.7</v>
      </c>
      <c r="J50" s="6" t="n">
        <v>1300.6</v>
      </c>
      <c r="K50" s="6" t="n">
        <v>1173.7</v>
      </c>
      <c r="L50" s="6" t="n">
        <v>1045.9</v>
      </c>
      <c r="M50" s="6" t="n">
        <v>949</v>
      </c>
    </row>
    <row r="51">
      <c r="A51" s="6" t="inlineStr">
        <is>
          <t>Fair value reserve / Available-for-sale reserve</t>
        </is>
      </c>
      <c r="B51" s="6" t="n">
        <v>-6.2</v>
      </c>
      <c r="C51" s="6" t="n">
        <v>-8</v>
      </c>
      <c r="D51" s="6" t="n">
        <v>-6.5</v>
      </c>
      <c r="E51" s="6" t="n">
        <v>-6.1</v>
      </c>
      <c r="F51" s="6" t="n">
        <v>11.1</v>
      </c>
      <c r="G51" s="6" t="n">
        <v>11.6</v>
      </c>
      <c r="H51" s="6" t="n">
        <v>13.6</v>
      </c>
      <c r="I51" s="6" t="n">
        <v>18.6</v>
      </c>
      <c r="J51" s="6" t="n">
        <v>18.7</v>
      </c>
      <c r="K51" s="6" t="n">
        <v>5.9</v>
      </c>
      <c r="L51" s="6" t="n">
        <v>16.3</v>
      </c>
      <c r="M51" s="6" t="n">
        <v>0.4</v>
      </c>
    </row>
    <row r="52">
      <c r="A52" s="6" t="inlineStr">
        <is>
          <t>Cash flow hedging reserve</t>
        </is>
      </c>
      <c r="B52" s="6" t="n">
        <v>8</v>
      </c>
      <c r="C52" s="6" t="n">
        <v>26</v>
      </c>
      <c r="D52" s="6" t="n">
        <v>12.2</v>
      </c>
      <c r="E52" s="6" t="n">
        <v>40.4</v>
      </c>
      <c r="F52" s="6" t="n">
        <v>-6.6</v>
      </c>
      <c r="G52" s="6" t="n">
        <v>-20.2</v>
      </c>
      <c r="H52" s="6" t="n">
        <v>-2.5</v>
      </c>
      <c r="I52" s="6" t="n">
        <v>-3.2</v>
      </c>
      <c r="J52" s="6" t="n">
        <v>-0.5</v>
      </c>
      <c r="K52" s="6" t="n">
        <v>0.4</v>
      </c>
      <c r="L52" s="6" t="n">
        <v>-0.9</v>
      </c>
      <c r="M52" s="6" t="n"/>
    </row>
    <row r="53">
      <c r="A53" s="5" t="inlineStr">
        <is>
          <t>Total equity</t>
        </is>
      </c>
      <c r="B53" s="5" t="n">
        <v>2338</v>
      </c>
      <c r="C53" s="5" t="n">
        <v>2120.7</v>
      </c>
      <c r="D53" s="5" t="n">
        <v>1954.6</v>
      </c>
      <c r="E53" s="5" t="n">
        <v>1929.8</v>
      </c>
      <c r="F53" s="5" t="n">
        <v>1866.4</v>
      </c>
      <c r="G53" s="5" t="n">
        <v>1724.9</v>
      </c>
      <c r="H53" s="5" t="n">
        <v>1900.8</v>
      </c>
      <c r="I53" s="5" t="n">
        <v>1878.9</v>
      </c>
      <c r="J53" s="5" t="n">
        <v>2006.6</v>
      </c>
      <c r="K53" s="5" t="n">
        <v>1865</v>
      </c>
      <c r="L53" s="5" t="n">
        <v>1746.3</v>
      </c>
      <c r="M53" s="5" t="n">
        <v>1634.4</v>
      </c>
    </row>
    <row r="54">
      <c r="A54" s="5" t="inlineStr">
        <is>
          <t>Total equity and liabilities</t>
        </is>
      </c>
      <c r="B54" s="5" t="n">
        <v>45281.5</v>
      </c>
      <c r="C54" s="5" t="n">
        <v>46099.1</v>
      </c>
      <c r="D54" s="5" t="n">
        <v>47652.9</v>
      </c>
      <c r="E54" s="5" t="n">
        <v>49449.6</v>
      </c>
      <c r="F54" s="5" t="n">
        <v>46705.6</v>
      </c>
      <c r="G54" s="5" t="n">
        <v>42422.4</v>
      </c>
      <c r="H54" s="5" t="n">
        <v>39535.9</v>
      </c>
      <c r="I54" s="5" t="n">
        <v>41138.6</v>
      </c>
      <c r="J54" s="5" t="n">
        <v>42536.7</v>
      </c>
      <c r="K54" s="5" t="n">
        <v>37195.7</v>
      </c>
      <c r="L54" s="5" t="n">
        <v>31618</v>
      </c>
      <c r="M54" s="5" t="n">
        <v>27171.4</v>
      </c>
    </row>
    <row r="56" ht="230" customHeight="1">
      <c r="A56"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56:M5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Statement of Comprehensive Income</t>
        </is>
      </c>
    </row>
    <row r="2">
      <c r="A2" s="2" t="inlineStr">
        <is>
          <t>Bank (Consolidated) basis, £ million. 'Total comprehensive income/(loss) for the year' ties exactly to Profit for the year + Other comprehensive income for every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Interest and similar income</t>
        </is>
      </c>
      <c r="B4" s="6" t="n"/>
      <c r="C4" s="6" t="n"/>
      <c r="D4" s="6" t="n"/>
      <c r="E4" s="6" t="n"/>
      <c r="F4" s="6" t="n"/>
      <c r="G4" s="6" t="n"/>
      <c r="H4" s="6" t="n"/>
      <c r="I4" s="6" t="n"/>
      <c r="J4" s="6" t="n"/>
      <c r="K4" s="6" t="n"/>
      <c r="L4" s="6" t="n"/>
      <c r="M4" s="6" t="n"/>
    </row>
    <row r="5">
      <c r="A5" s="6" t="inlineStr">
        <is>
          <t>Interest income calculated using the effective interest method</t>
        </is>
      </c>
      <c r="B5" s="6" t="n">
        <v>1846.4</v>
      </c>
      <c r="C5" s="6" t="n">
        <v>1803.9</v>
      </c>
      <c r="D5" s="6" t="n">
        <v>1573.5</v>
      </c>
      <c r="E5" s="6" t="n">
        <v>1123</v>
      </c>
      <c r="F5" s="6" t="n">
        <v>946.4</v>
      </c>
      <c r="G5" s="6" t="n">
        <v>922</v>
      </c>
      <c r="H5" s="6" t="n">
        <v>1050.6</v>
      </c>
      <c r="I5" s="6" t="n"/>
      <c r="J5" s="6" t="n"/>
      <c r="K5" s="6" t="n"/>
      <c r="L5" s="6" t="n"/>
      <c r="M5" s="6" t="n"/>
    </row>
    <row r="6">
      <c r="A6" s="6" t="inlineStr">
        <is>
          <t>Other interest income</t>
        </is>
      </c>
      <c r="B6" s="6" t="n">
        <v>129.3</v>
      </c>
      <c r="C6" s="6" t="n">
        <v>273.5</v>
      </c>
      <c r="D6" s="6" t="n">
        <v>368.6</v>
      </c>
      <c r="E6" s="6" t="n">
        <v>108.7</v>
      </c>
      <c r="F6" s="6" t="n">
        <v>-35</v>
      </c>
      <c r="G6" s="6" t="n">
        <v>-41</v>
      </c>
      <c r="H6" s="6" t="n">
        <v>-5.8</v>
      </c>
      <c r="I6" s="6" t="n"/>
      <c r="J6" s="6" t="n"/>
      <c r="K6" s="6" t="n"/>
      <c r="L6" s="6" t="n"/>
      <c r="M6" s="6" t="n"/>
    </row>
    <row r="7">
      <c r="A7" s="5" t="inlineStr">
        <is>
          <t>Total interest and similar income</t>
        </is>
      </c>
      <c r="B7" s="5" t="n">
        <v>1975.7</v>
      </c>
      <c r="C7" s="5" t="n">
        <v>2077.4</v>
      </c>
      <c r="D7" s="5" t="n">
        <v>1942.1</v>
      </c>
      <c r="E7" s="5" t="n">
        <v>1231.7</v>
      </c>
      <c r="F7" s="5" t="n">
        <v>911.4</v>
      </c>
      <c r="G7" s="5" t="n">
        <v>881</v>
      </c>
      <c r="H7" s="5" t="n">
        <v>1044.8</v>
      </c>
      <c r="I7" s="5" t="n">
        <v>1070.2</v>
      </c>
      <c r="J7" s="5" t="n">
        <v>1080.6</v>
      </c>
      <c r="K7" s="5" t="n">
        <v>1097.7</v>
      </c>
      <c r="L7" s="5" t="n">
        <v>967.2</v>
      </c>
      <c r="M7" s="5" t="n">
        <v>979.1</v>
      </c>
    </row>
    <row r="8">
      <c r="A8" s="6" t="inlineStr">
        <is>
          <t>Interest and similar expense</t>
        </is>
      </c>
      <c r="B8" s="6" t="n">
        <v>-920.1</v>
      </c>
      <c r="C8" s="6" t="n">
        <v>-1093</v>
      </c>
      <c r="D8" s="6" t="n">
        <v>-920.1</v>
      </c>
      <c r="E8" s="6" t="n">
        <v>-250</v>
      </c>
      <c r="F8" s="6" t="n">
        <v>-42.5</v>
      </c>
      <c r="G8" s="6" t="n">
        <v>-94.59999999999999</v>
      </c>
      <c r="H8" s="6" t="n">
        <v>-203.7</v>
      </c>
      <c r="I8" s="6" t="n">
        <v>-185.4</v>
      </c>
      <c r="J8" s="6" t="n">
        <v>-175.3</v>
      </c>
      <c r="K8" s="6" t="n">
        <v>-243.9</v>
      </c>
      <c r="L8" s="6" t="n">
        <v>-201.9</v>
      </c>
      <c r="M8" s="6" t="n">
        <v>-220.9</v>
      </c>
    </row>
    <row r="9">
      <c r="A9" s="5" t="inlineStr">
        <is>
          <t>Net interest income</t>
        </is>
      </c>
      <c r="B9" s="5" t="n">
        <v>1055.6</v>
      </c>
      <c r="C9" s="5" t="n">
        <v>984.4</v>
      </c>
      <c r="D9" s="5" t="n">
        <v>1022</v>
      </c>
      <c r="E9" s="5" t="n">
        <v>981.7</v>
      </c>
      <c r="F9" s="5" t="n">
        <v>868.9</v>
      </c>
      <c r="G9" s="5" t="n">
        <v>786.4</v>
      </c>
      <c r="H9" s="5" t="n">
        <v>841.1</v>
      </c>
      <c r="I9" s="5" t="n">
        <v>884.8</v>
      </c>
      <c r="J9" s="5" t="n">
        <v>925.9</v>
      </c>
      <c r="K9" s="5" t="n">
        <v>853.8</v>
      </c>
      <c r="L9" s="5" t="n">
        <v>765.3</v>
      </c>
      <c r="M9" s="5" t="n">
        <v>758.2</v>
      </c>
    </row>
    <row r="10">
      <c r="A10" s="6" t="inlineStr">
        <is>
          <t>Fee and commission income</t>
        </is>
      </c>
      <c r="B10" s="6" t="n">
        <v>114.1</v>
      </c>
      <c r="C10" s="6" t="n">
        <v>124.7</v>
      </c>
      <c r="D10" s="6" t="n">
        <v>129.2</v>
      </c>
      <c r="E10" s="6" t="n">
        <v>135.5</v>
      </c>
      <c r="F10" s="6" t="n">
        <v>121.8</v>
      </c>
      <c r="G10" s="6" t="n">
        <v>122.4</v>
      </c>
      <c r="H10" s="6" t="n">
        <v>159.8</v>
      </c>
      <c r="I10" s="6" t="n">
        <v>122.1</v>
      </c>
      <c r="J10" s="6" t="n">
        <v>193.3</v>
      </c>
      <c r="K10" s="6" t="n">
        <v>197.5</v>
      </c>
      <c r="L10" s="6" t="n">
        <v>198.8</v>
      </c>
      <c r="M10" s="6" t="n">
        <v>208.6</v>
      </c>
    </row>
    <row r="11">
      <c r="A11" s="6" t="inlineStr">
        <is>
          <t>Fee and commission expense</t>
        </is>
      </c>
      <c r="B11" s="6" t="n">
        <v>-37.4</v>
      </c>
      <c r="C11" s="6" t="n">
        <v>-34</v>
      </c>
      <c r="D11" s="6" t="n">
        <v>-21.2</v>
      </c>
      <c r="E11" s="6" t="n">
        <v>-21.3</v>
      </c>
      <c r="F11" s="6" t="n">
        <v>-18.2</v>
      </c>
      <c r="G11" s="6" t="n">
        <v>-36.5</v>
      </c>
      <c r="H11" s="6" t="n">
        <v>-41.5</v>
      </c>
      <c r="I11" s="6" t="n">
        <v>-46.7</v>
      </c>
      <c r="J11" s="6" t="n">
        <v>-109.6</v>
      </c>
      <c r="K11" s="6" t="n">
        <v>-97.3</v>
      </c>
      <c r="L11" s="6" t="n">
        <v>-81.8</v>
      </c>
      <c r="M11" s="6" t="n">
        <v>-70.40000000000001</v>
      </c>
    </row>
    <row r="12">
      <c r="A12" s="5" t="inlineStr">
        <is>
          <t>Net fee and commission income</t>
        </is>
      </c>
      <c r="B12" s="5" t="n">
        <v>76.7</v>
      </c>
      <c r="C12" s="5" t="n">
        <v>90.7</v>
      </c>
      <c r="D12" s="5" t="n">
        <v>108</v>
      </c>
      <c r="E12" s="5" t="n">
        <v>114.2</v>
      </c>
      <c r="F12" s="5" t="n">
        <v>103.6</v>
      </c>
      <c r="G12" s="5" t="n">
        <v>85.90000000000001</v>
      </c>
      <c r="H12" s="5" t="n">
        <v>118.3</v>
      </c>
      <c r="I12" s="5" t="n">
        <v>75.40000000000001</v>
      </c>
      <c r="J12" s="5" t="n">
        <v>83.7</v>
      </c>
      <c r="K12" s="5" t="n">
        <v>100.2</v>
      </c>
      <c r="L12" s="5" t="n">
        <v>117</v>
      </c>
      <c r="M12" s="5" t="n">
        <v>138.2</v>
      </c>
    </row>
    <row r="13">
      <c r="A13" s="5" t="inlineStr">
        <is>
          <t>Other income</t>
        </is>
      </c>
      <c r="B13" s="6" t="n"/>
      <c r="C13" s="6" t="n"/>
      <c r="D13" s="6" t="n"/>
      <c r="E13" s="6" t="n"/>
      <c r="F13" s="6" t="n"/>
      <c r="G13" s="6" t="n"/>
      <c r="H13" s="6" t="n"/>
      <c r="I13" s="6" t="n"/>
      <c r="J13" s="6" t="n"/>
      <c r="K13" s="6" t="n"/>
      <c r="L13" s="6" t="n"/>
      <c r="M13" s="6" t="n"/>
    </row>
    <row r="14">
      <c r="A14" s="6" t="inlineStr">
        <is>
          <t>Gains on derecognition of financial assets measured at amortised cost</t>
        </is>
      </c>
      <c r="B14" s="6" t="n">
        <v>2.8</v>
      </c>
      <c r="C14" s="6" t="n"/>
      <c r="D14" s="6" t="n"/>
      <c r="E14" s="6" t="n"/>
      <c r="F14" s="6" t="n"/>
      <c r="G14" s="6" t="n"/>
      <c r="H14" s="6" t="n"/>
      <c r="I14" s="6" t="n"/>
      <c r="J14" s="6" t="n"/>
      <c r="K14" s="6" t="n"/>
      <c r="L14" s="6" t="n"/>
      <c r="M14" s="6" t="n"/>
    </row>
    <row r="15">
      <c r="A15" s="6" t="inlineStr">
        <is>
          <t>Gains on derecognition of financial assets measured at FVOCI</t>
        </is>
      </c>
      <c r="B15" s="6" t="n"/>
      <c r="C15" s="6" t="n"/>
      <c r="D15" s="6" t="n">
        <v>4.3</v>
      </c>
      <c r="E15" s="6" t="n">
        <v>6.3</v>
      </c>
      <c r="F15" s="6" t="n">
        <v>7</v>
      </c>
      <c r="G15" s="6" t="n">
        <v>21.8</v>
      </c>
      <c r="H15" s="6" t="n">
        <v>24.6</v>
      </c>
      <c r="I15" s="6" t="n"/>
      <c r="J15" s="6" t="n"/>
      <c r="K15" s="6" t="n"/>
      <c r="L15" s="6" t="n"/>
      <c r="M15" s="6" t="n"/>
    </row>
    <row r="16">
      <c r="A16" s="6" t="inlineStr">
        <is>
          <t>Gains on derecognition of financial assets measured at amortised cost / available-for-sale (FY2018 presentation)</t>
        </is>
      </c>
      <c r="B16" s="6" t="n"/>
      <c r="C16" s="6" t="n"/>
      <c r="D16" s="6" t="n"/>
      <c r="E16" s="6" t="n"/>
      <c r="F16" s="6" t="n"/>
      <c r="G16" s="6" t="n"/>
      <c r="H16" s="6" t="n"/>
      <c r="I16" s="6" t="n">
        <v>0</v>
      </c>
      <c r="J16" s="6" t="n"/>
      <c r="K16" s="6" t="n"/>
      <c r="L16" s="6" t="n"/>
      <c r="M16" s="6" t="n"/>
    </row>
    <row r="17">
      <c r="A17" s="6" t="inlineStr">
        <is>
          <t>Gains on derecognition of available-for-sale financial assets (pre-IFRS 9 presentation)</t>
        </is>
      </c>
      <c r="B17" s="6" t="n"/>
      <c r="C17" s="6" t="n"/>
      <c r="D17" s="6" t="n"/>
      <c r="E17" s="6" t="n"/>
      <c r="F17" s="6" t="n"/>
      <c r="G17" s="6" t="n"/>
      <c r="H17" s="6" t="n"/>
      <c r="I17" s="6" t="n"/>
      <c r="J17" s="6" t="n">
        <v>49.8</v>
      </c>
      <c r="K17" s="6" t="n">
        <v>0</v>
      </c>
      <c r="L17" s="6" t="n">
        <v>0</v>
      </c>
      <c r="M17" s="6" t="n">
        <v>0</v>
      </c>
    </row>
    <row r="18">
      <c r="A18" s="6" t="inlineStr">
        <is>
          <t>Losses on derecognition of financial liabilities measured at amortised cost</t>
        </is>
      </c>
      <c r="B18" s="6" t="n"/>
      <c r="C18" s="6" t="n"/>
      <c r="D18" s="6" t="n">
        <v>-1</v>
      </c>
      <c r="E18" s="6" t="n"/>
      <c r="F18" s="6" t="n"/>
      <c r="G18" s="6" t="n"/>
      <c r="H18" s="6" t="n"/>
      <c r="I18" s="6" t="n"/>
      <c r="J18" s="6" t="n"/>
      <c r="K18" s="6" t="n"/>
      <c r="L18" s="6" t="n"/>
      <c r="M18" s="6" t="n"/>
    </row>
    <row r="19">
      <c r="A19" s="6" t="inlineStr">
        <is>
          <t>Gains on financial assets designated at fair value through profit or loss</t>
        </is>
      </c>
      <c r="B19" s="6" t="n"/>
      <c r="C19" s="6" t="n"/>
      <c r="D19" s="6" t="n"/>
      <c r="E19" s="6" t="n"/>
      <c r="F19" s="6" t="n"/>
      <c r="G19" s="6" t="n"/>
      <c r="H19" s="6" t="n"/>
      <c r="I19" s="6" t="n">
        <v>1.4</v>
      </c>
      <c r="J19" s="6" t="n">
        <v>0.1</v>
      </c>
      <c r="K19" s="6" t="n"/>
      <c r="L19" s="6" t="n"/>
      <c r="M19" s="6" t="n"/>
    </row>
    <row r="20">
      <c r="A20" s="6" t="inlineStr">
        <is>
          <t>Gains/(losses) on derivative financial instruments at fair value through profit or loss</t>
        </is>
      </c>
      <c r="B20" s="6" t="n">
        <v>40.5</v>
      </c>
      <c r="C20" s="6" t="n">
        <v>57.6</v>
      </c>
      <c r="D20" s="6" t="n">
        <v>11.2</v>
      </c>
      <c r="E20" s="6" t="n">
        <v>-8.1</v>
      </c>
      <c r="F20" s="6" t="n"/>
      <c r="G20" s="6" t="n"/>
      <c r="H20" s="6" t="n"/>
      <c r="I20" s="6" t="n"/>
      <c r="J20" s="6" t="n"/>
      <c r="K20" s="6" t="n"/>
      <c r="L20" s="6" t="n"/>
      <c r="M20" s="6" t="n"/>
    </row>
    <row r="21">
      <c r="A21" s="6" t="inlineStr">
        <is>
          <t>Losses on derivative financial assets at fair value through profit or loss</t>
        </is>
      </c>
      <c r="B21" s="6" t="n"/>
      <c r="C21" s="6" t="n"/>
      <c r="D21" s="6" t="n"/>
      <c r="E21" s="6" t="n"/>
      <c r="F21" s="6" t="n">
        <v>-2.5</v>
      </c>
      <c r="G21" s="6" t="n">
        <v>-1.3</v>
      </c>
      <c r="H21" s="6" t="n">
        <v>-15.3</v>
      </c>
      <c r="I21" s="6" t="n"/>
      <c r="J21" s="6" t="n"/>
      <c r="K21" s="6" t="n"/>
      <c r="L21" s="6" t="n"/>
      <c r="M21" s="6" t="n"/>
    </row>
    <row r="22">
      <c r="A22" s="6" t="inlineStr">
        <is>
          <t>Losses on financial assets and liabilities held for trading (FY2017/18 presentation)</t>
        </is>
      </c>
      <c r="B22" s="6" t="n"/>
      <c r="C22" s="6" t="n"/>
      <c r="D22" s="6" t="n"/>
      <c r="E22" s="6" t="n"/>
      <c r="F22" s="6" t="n"/>
      <c r="G22" s="6" t="n"/>
      <c r="H22" s="6" t="n"/>
      <c r="I22" s="6" t="n">
        <v>-31.8</v>
      </c>
      <c r="J22" s="6" t="n">
        <v>-14</v>
      </c>
      <c r="K22" s="6" t="n"/>
      <c r="L22" s="6" t="n"/>
      <c r="M22" s="6" t="n"/>
    </row>
    <row r="23">
      <c r="A23" s="6" t="inlineStr">
        <is>
          <t>(Losses)/gains from hedge accounting</t>
        </is>
      </c>
      <c r="B23" s="6" t="n">
        <v>-34.2</v>
      </c>
      <c r="C23" s="6" t="n">
        <v>-30.1</v>
      </c>
      <c r="D23" s="6" t="n">
        <v>-2.2</v>
      </c>
      <c r="E23" s="6" t="n">
        <v>4.2</v>
      </c>
      <c r="F23" s="6" t="n">
        <v>-2.4</v>
      </c>
      <c r="G23" s="6" t="n">
        <v>5.8</v>
      </c>
      <c r="H23" s="6" t="n">
        <v>20.8</v>
      </c>
      <c r="I23" s="6" t="n">
        <v>23.3</v>
      </c>
      <c r="J23" s="6" t="n">
        <v>24.5</v>
      </c>
      <c r="K23" s="6" t="n"/>
      <c r="L23" s="6" t="n"/>
      <c r="M23" s="6" t="n"/>
    </row>
    <row r="24">
      <c r="A24" s="6" t="inlineStr">
        <is>
          <t>Gains/(losses) on derecognition of non-financial assets/liabilities</t>
        </is>
      </c>
      <c r="B24" s="6" t="n">
        <v>0.5</v>
      </c>
      <c r="C24" s="6" t="n">
        <v>-2.3</v>
      </c>
      <c r="D24" s="6" t="n">
        <v>-0.1</v>
      </c>
      <c r="E24" s="6" t="n">
        <v>0.6</v>
      </c>
      <c r="F24" s="6" t="n">
        <v>-2.6</v>
      </c>
      <c r="G24" s="6" t="n">
        <v>-3.5</v>
      </c>
      <c r="H24" s="6" t="n">
        <v>-3.5</v>
      </c>
      <c r="I24" s="6" t="n">
        <v>1.1</v>
      </c>
      <c r="J24" s="6" t="n">
        <v>5.8</v>
      </c>
      <c r="K24" s="6" t="n"/>
      <c r="L24" s="6" t="n"/>
      <c r="M24" s="6" t="n"/>
    </row>
    <row r="25">
      <c r="A25" s="6" t="inlineStr">
        <is>
          <t>Migration related income from LBG</t>
        </is>
      </c>
      <c r="B25" s="6" t="n"/>
      <c r="C25" s="6" t="n"/>
      <c r="D25" s="6" t="n"/>
      <c r="E25" s="6" t="n"/>
      <c r="F25" s="6" t="n"/>
      <c r="G25" s="6" t="n"/>
      <c r="H25" s="6" t="n"/>
      <c r="I25" s="6" t="n">
        <v>318.3</v>
      </c>
      <c r="J25" s="6" t="n"/>
      <c r="K25" s="6" t="n"/>
      <c r="L25" s="6" t="n"/>
      <c r="M25" s="6" t="n"/>
    </row>
    <row r="26">
      <c r="A26" s="6" t="inlineStr">
        <is>
          <t>Other operating income</t>
        </is>
      </c>
      <c r="B26" s="6" t="n">
        <v>30.4</v>
      </c>
      <c r="C26" s="6" t="n">
        <v>36.7</v>
      </c>
      <c r="D26" s="6" t="n">
        <v>14.5</v>
      </c>
      <c r="E26" s="6" t="n">
        <v>6.6</v>
      </c>
      <c r="F26" s="6" t="n">
        <v>10.9</v>
      </c>
      <c r="G26" s="6" t="n">
        <v>37.8</v>
      </c>
      <c r="H26" s="6" t="n">
        <v>1.2</v>
      </c>
      <c r="I26" s="6" t="n">
        <v>1.4</v>
      </c>
      <c r="J26" s="6" t="n">
        <v>1.6</v>
      </c>
      <c r="K26" s="6" t="n">
        <v>50</v>
      </c>
      <c r="L26" s="6" t="n">
        <v>8.4</v>
      </c>
      <c r="M26" s="6" t="n">
        <v>3.8</v>
      </c>
    </row>
    <row r="27">
      <c r="A27" s="5" t="inlineStr">
        <is>
          <t>Other income</t>
        </is>
      </c>
      <c r="B27" s="5" t="n">
        <v>116.7</v>
      </c>
      <c r="C27" s="5" t="n">
        <v>152.6</v>
      </c>
      <c r="D27" s="5" t="n">
        <v>134.7</v>
      </c>
      <c r="E27" s="5" t="n">
        <v>123.8</v>
      </c>
      <c r="F27" s="5" t="n">
        <v>114</v>
      </c>
      <c r="G27" s="5" t="n">
        <v>146.5</v>
      </c>
      <c r="H27" s="5" t="n">
        <v>146.1</v>
      </c>
      <c r="I27" s="5" t="n">
        <v>410.5</v>
      </c>
      <c r="J27" s="5" t="n">
        <v>190.8</v>
      </c>
      <c r="K27" s="5" t="n">
        <v>150.2</v>
      </c>
      <c r="L27" s="5" t="n">
        <v>125.4</v>
      </c>
      <c r="M27" s="5" t="n">
        <v>142</v>
      </c>
    </row>
    <row r="28">
      <c r="A28" s="5" t="inlineStr">
        <is>
          <t>Total income</t>
        </is>
      </c>
      <c r="B28" s="5" t="n">
        <v>1172.3</v>
      </c>
      <c r="C28" s="5" t="n">
        <v>1137</v>
      </c>
      <c r="D28" s="5" t="n">
        <v>1156.7</v>
      </c>
      <c r="E28" s="5" t="n">
        <v>1105.5</v>
      </c>
      <c r="F28" s="5" t="n">
        <v>982.9</v>
      </c>
      <c r="G28" s="5" t="n">
        <v>932.9</v>
      </c>
      <c r="H28" s="5" t="n">
        <v>987.2</v>
      </c>
      <c r="I28" s="5" t="n">
        <v>1295.3</v>
      </c>
      <c r="J28" s="5" t="n">
        <v>1096.1</v>
      </c>
      <c r="K28" s="5" t="n">
        <v>1004</v>
      </c>
      <c r="L28" s="5" t="n">
        <v>890.7</v>
      </c>
      <c r="M28" s="5" t="n">
        <v>900.2</v>
      </c>
    </row>
    <row r="29">
      <c r="A29" s="6" t="inlineStr">
        <is>
          <t>Costs of preparing for migration</t>
        </is>
      </c>
      <c r="B29" s="6" t="n"/>
      <c r="C29" s="6" t="n"/>
      <c r="D29" s="6" t="n"/>
      <c r="E29" s="6" t="n"/>
      <c r="F29" s="6" t="n"/>
      <c r="G29" s="6" t="n"/>
      <c r="H29" s="6" t="n"/>
      <c r="I29" s="6" t="n">
        <v>-417.3</v>
      </c>
      <c r="J29" s="6" t="n"/>
      <c r="K29" s="6" t="n"/>
      <c r="L29" s="6" t="n"/>
      <c r="M29" s="6" t="n"/>
    </row>
    <row r="30">
      <c r="A30" s="6" t="inlineStr">
        <is>
          <t>Defined benefit pension scheme settlement gain (within FY2014 operating expenses)</t>
        </is>
      </c>
      <c r="B30" s="6" t="n"/>
      <c r="C30" s="6" t="n"/>
      <c r="D30" s="6" t="n"/>
      <c r="E30" s="6" t="n"/>
      <c r="F30" s="6" t="n"/>
      <c r="G30" s="6" t="n"/>
      <c r="H30" s="6" t="n"/>
      <c r="I30" s="6" t="n"/>
      <c r="J30" s="6" t="n"/>
      <c r="K30" s="6" t="n"/>
      <c r="L30" s="6" t="n"/>
      <c r="M30" s="6" t="n">
        <v>63.7</v>
      </c>
    </row>
    <row r="31">
      <c r="A31" s="6" t="inlineStr">
        <is>
          <t>Total operating expenses</t>
        </is>
      </c>
      <c r="B31" s="6" t="n">
        <v>-785.9</v>
      </c>
      <c r="C31" s="6" t="n">
        <v>-821.8</v>
      </c>
      <c r="D31" s="6" t="n">
        <v>-852.9</v>
      </c>
      <c r="E31" s="6" t="n">
        <v>-869.5</v>
      </c>
      <c r="F31" s="6" t="n">
        <v>-827.3</v>
      </c>
      <c r="G31" s="6" t="n">
        <v>-969.4</v>
      </c>
      <c r="H31" s="6" t="n">
        <v>-881.3</v>
      </c>
      <c r="I31" s="6" t="n">
        <v>-905.7</v>
      </c>
      <c r="J31" s="6" t="n">
        <v>-859.2</v>
      </c>
      <c r="K31" s="6" t="n">
        <v>-734.7</v>
      </c>
      <c r="L31" s="6" t="n">
        <v>-740.8</v>
      </c>
      <c r="M31" s="6" t="n">
        <v>-632.4</v>
      </c>
    </row>
    <row r="32">
      <c r="A32" s="5" t="inlineStr">
        <is>
          <t>Operating profit/(loss) before impairment losses and taxation</t>
        </is>
      </c>
      <c r="B32" s="5" t="n">
        <v>386.4</v>
      </c>
      <c r="C32" s="5" t="n">
        <v>315.2</v>
      </c>
      <c r="D32" s="5" t="n">
        <v>303.8</v>
      </c>
      <c r="E32" s="5" t="n">
        <v>236</v>
      </c>
      <c r="F32" s="5" t="n">
        <v>155.6</v>
      </c>
      <c r="G32" s="5" t="n">
        <v>-36.5</v>
      </c>
      <c r="H32" s="5" t="n">
        <v>105.9</v>
      </c>
      <c r="I32" s="5" t="n">
        <v>-27.7</v>
      </c>
      <c r="J32" s="5" t="n">
        <v>236.9</v>
      </c>
      <c r="K32" s="5" t="n">
        <v>269.3</v>
      </c>
      <c r="L32" s="5" t="n">
        <v>149.9</v>
      </c>
      <c r="M32" s="5" t="n">
        <v>267.8</v>
      </c>
    </row>
    <row r="33">
      <c r="A33" s="6" t="inlineStr">
        <is>
          <t>Impairment losses on financial assets at amortised cost / loans and advances to customers</t>
        </is>
      </c>
      <c r="B33" s="6" t="n">
        <v>-51.2</v>
      </c>
      <c r="C33" s="6" t="n">
        <v>-31.9</v>
      </c>
      <c r="D33" s="6" t="n">
        <v>-71.8</v>
      </c>
      <c r="E33" s="6" t="n">
        <v>-57.7</v>
      </c>
      <c r="F33" s="6" t="n">
        <v>-2.6</v>
      </c>
      <c r="G33" s="6" t="n">
        <v>-162.7</v>
      </c>
      <c r="H33" s="6" t="n">
        <v>-60.9</v>
      </c>
      <c r="I33" s="6" t="n">
        <v>-72.8</v>
      </c>
      <c r="J33" s="6" t="n">
        <v>-77.8</v>
      </c>
      <c r="K33" s="6" t="n">
        <v>-87.3</v>
      </c>
      <c r="L33" s="6" t="n">
        <v>-82.3</v>
      </c>
      <c r="M33" s="6" t="n">
        <v>-97.59999999999999</v>
      </c>
    </row>
    <row r="34">
      <c r="A34" s="6" t="inlineStr">
        <is>
          <t>Impairment credit/(losses) on loan commitments</t>
        </is>
      </c>
      <c r="B34" s="6" t="n">
        <v>4.2</v>
      </c>
      <c r="C34" s="6" t="n">
        <v>1.8</v>
      </c>
      <c r="D34" s="6" t="n">
        <v>3.5</v>
      </c>
      <c r="E34" s="6" t="n">
        <v>2.8</v>
      </c>
      <c r="F34" s="6" t="n">
        <v>2.5</v>
      </c>
      <c r="G34" s="6" t="n">
        <v>-1.3</v>
      </c>
      <c r="H34" s="6" t="n">
        <v>0.4</v>
      </c>
      <c r="I34" s="6" t="n">
        <v>-0.5</v>
      </c>
      <c r="J34" s="6" t="n"/>
      <c r="K34" s="6" t="n"/>
      <c r="L34" s="6" t="n"/>
      <c r="M34" s="6" t="n"/>
    </row>
    <row r="35">
      <c r="A35" s="5" t="inlineStr">
        <is>
          <t>Total impairment losses</t>
        </is>
      </c>
      <c r="B35" s="5" t="n">
        <v>-47</v>
      </c>
      <c r="C35" s="5" t="n">
        <v>-30.1</v>
      </c>
      <c r="D35" s="5" t="n">
        <v>-68.3</v>
      </c>
      <c r="E35" s="5" t="n">
        <v>-54.9</v>
      </c>
      <c r="F35" s="5" t="n">
        <v>-0.1</v>
      </c>
      <c r="G35" s="5" t="n">
        <v>-164</v>
      </c>
      <c r="H35" s="5" t="n">
        <v>-60.5</v>
      </c>
      <c r="I35" s="5" t="n">
        <v>-73.3</v>
      </c>
      <c r="J35" s="5" t="n"/>
      <c r="K35" s="5" t="n"/>
      <c r="L35" s="5" t="n"/>
      <c r="M35" s="5" t="n"/>
    </row>
    <row r="36">
      <c r="A36" s="5" t="inlineStr">
        <is>
          <t>Profit/(loss) before taxation</t>
        </is>
      </c>
      <c r="B36" s="5" t="n">
        <v>339.4</v>
      </c>
      <c r="C36" s="5" t="n">
        <v>285.1</v>
      </c>
      <c r="D36" s="5" t="n">
        <v>235.5</v>
      </c>
      <c r="E36" s="5" t="n">
        <v>181.1</v>
      </c>
      <c r="F36" s="5" t="n">
        <v>155.5</v>
      </c>
      <c r="G36" s="5" t="n">
        <v>-200.5</v>
      </c>
      <c r="H36" s="5" t="n">
        <v>45.4</v>
      </c>
      <c r="I36" s="5" t="n">
        <v>-101</v>
      </c>
      <c r="J36" s="5" t="n">
        <v>159.1</v>
      </c>
      <c r="K36" s="5" t="n">
        <v>182</v>
      </c>
      <c r="L36" s="5" t="n">
        <v>67.59999999999999</v>
      </c>
      <c r="M36" s="5" t="n">
        <v>170.2</v>
      </c>
    </row>
    <row r="37">
      <c r="A37" s="6" t="inlineStr">
        <is>
          <t>Taxation</t>
        </is>
      </c>
      <c r="B37" s="6" t="n">
        <v>-88.3</v>
      </c>
      <c r="C37" s="6" t="n">
        <v>-81.3</v>
      </c>
      <c r="D37" s="6" t="n">
        <v>-62.1</v>
      </c>
      <c r="E37" s="6" t="n">
        <v>-80.5</v>
      </c>
      <c r="F37" s="6" t="n">
        <v>-27.1</v>
      </c>
      <c r="G37" s="6" t="n">
        <v>44.3</v>
      </c>
      <c r="H37" s="6" t="n">
        <v>-19.2</v>
      </c>
      <c r="I37" s="6" t="n">
        <v>41.9</v>
      </c>
      <c r="J37" s="6" t="n">
        <v>-44</v>
      </c>
      <c r="K37" s="6" t="n">
        <v>-54.2</v>
      </c>
      <c r="L37" s="6" t="n">
        <v>21.2</v>
      </c>
      <c r="M37" s="6" t="n">
        <v>-35.7</v>
      </c>
    </row>
    <row r="38">
      <c r="A38" s="5" t="inlineStr">
        <is>
          <t>Profit/(loss) for the year</t>
        </is>
      </c>
      <c r="B38" s="5" t="n">
        <v>251.1</v>
      </c>
      <c r="C38" s="5" t="n">
        <v>203.8</v>
      </c>
      <c r="D38" s="5" t="n">
        <v>173.4</v>
      </c>
      <c r="E38" s="5" t="n">
        <v>100.6</v>
      </c>
      <c r="F38" s="5" t="n">
        <v>128.4</v>
      </c>
      <c r="G38" s="5" t="n">
        <v>-156.2</v>
      </c>
      <c r="H38" s="5" t="n">
        <v>26.2</v>
      </c>
      <c r="I38" s="5" t="n">
        <v>-59.1</v>
      </c>
      <c r="J38" s="5" t="n">
        <v>115.1</v>
      </c>
      <c r="K38" s="5" t="n">
        <v>127.8</v>
      </c>
      <c r="L38" s="5" t="n">
        <v>88.8</v>
      </c>
      <c r="M38" s="5" t="n">
        <v>134.5</v>
      </c>
    </row>
    <row r="39">
      <c r="A39" s="5" t="inlineStr">
        <is>
          <t>Other comprehensive income/(loss), net of taxation</t>
        </is>
      </c>
      <c r="B39" s="6" t="n"/>
      <c r="C39" s="6" t="n"/>
      <c r="D39" s="6" t="n"/>
      <c r="E39" s="6" t="n"/>
      <c r="F39" s="6" t="n"/>
      <c r="G39" s="6" t="n"/>
      <c r="H39" s="6" t="n"/>
      <c r="I39" s="6" t="n"/>
      <c r="J39" s="6" t="n"/>
      <c r="K39" s="6" t="n"/>
      <c r="L39" s="6" t="n"/>
      <c r="M39" s="6" t="n"/>
    </row>
    <row r="40">
      <c r="A40" s="6" t="inlineStr">
        <is>
          <t>Change in fair value reserve / available-for-sale reserve</t>
        </is>
      </c>
      <c r="B40" s="6" t="n">
        <v>1.8</v>
      </c>
      <c r="C40" s="6" t="n">
        <v>-1.5</v>
      </c>
      <c r="D40" s="6" t="n">
        <v>-0.4</v>
      </c>
      <c r="E40" s="6" t="n">
        <v>-17.2</v>
      </c>
      <c r="F40" s="6" t="n">
        <v>-0.5</v>
      </c>
      <c r="G40" s="6" t="n">
        <v>-2</v>
      </c>
      <c r="H40" s="6" t="n">
        <v>-5</v>
      </c>
      <c r="I40" s="6" t="n">
        <v>1.7</v>
      </c>
      <c r="J40" s="6" t="n">
        <v>12.8</v>
      </c>
      <c r="K40" s="6" t="n">
        <v>-10.4</v>
      </c>
      <c r="L40" s="6" t="n">
        <v>15.9</v>
      </c>
      <c r="M40" s="6" t="n">
        <v>0.4</v>
      </c>
    </row>
    <row r="41">
      <c r="A41" s="6" t="inlineStr">
        <is>
          <t>Change in cash flow hedging reserve</t>
        </is>
      </c>
      <c r="B41" s="6" t="n">
        <v>-18</v>
      </c>
      <c r="C41" s="6" t="n">
        <v>13.8</v>
      </c>
      <c r="D41" s="6" t="n">
        <v>-28.2</v>
      </c>
      <c r="E41" s="6" t="n">
        <v>47</v>
      </c>
      <c r="F41" s="6" t="n">
        <v>13.6</v>
      </c>
      <c r="G41" s="6" t="n">
        <v>-17.7</v>
      </c>
      <c r="H41" s="6" t="n">
        <v>0.7</v>
      </c>
      <c r="I41" s="6" t="n">
        <v>-2.7</v>
      </c>
      <c r="J41" s="6" t="n">
        <v>-0.9</v>
      </c>
      <c r="K41" s="6" t="n">
        <v>1.3</v>
      </c>
      <c r="L41" s="6" t="n">
        <v>-0.9</v>
      </c>
      <c r="M41" s="6" t="n"/>
    </row>
    <row r="42">
      <c r="A42" s="5" t="inlineStr">
        <is>
          <t>Other comprehensive income/(losses) for the year, net of taxation</t>
        </is>
      </c>
      <c r="B42" s="5" t="n">
        <v>-16.2</v>
      </c>
      <c r="C42" s="5" t="n">
        <v>12.3</v>
      </c>
      <c r="D42" s="5" t="n">
        <v>-28.6</v>
      </c>
      <c r="E42" s="5" t="n">
        <v>29.8</v>
      </c>
      <c r="F42" s="5" t="n">
        <v>13.1</v>
      </c>
      <c r="G42" s="5" t="n">
        <v>-19.7</v>
      </c>
      <c r="H42" s="5" t="n">
        <v>-4.3</v>
      </c>
      <c r="I42" s="5" t="n">
        <v>-1</v>
      </c>
      <c r="J42" s="5" t="n">
        <v>11.9</v>
      </c>
      <c r="K42" s="5" t="n">
        <v>-9.1</v>
      </c>
      <c r="L42" s="5" t="n">
        <v>15</v>
      </c>
      <c r="M42" s="5" t="n">
        <v>0.4</v>
      </c>
    </row>
    <row r="43">
      <c r="A43" s="5" t="inlineStr">
        <is>
          <t>Total comprehensive income/(loss) for the year</t>
        </is>
      </c>
      <c r="B43" s="5" t="n">
        <v>234.9</v>
      </c>
      <c r="C43" s="5" t="n">
        <v>216.1</v>
      </c>
      <c r="D43" s="5" t="n">
        <v>144.8</v>
      </c>
      <c r="E43" s="5" t="n">
        <v>130.4</v>
      </c>
      <c r="F43" s="5" t="n">
        <v>141.5</v>
      </c>
      <c r="G43" s="5" t="n">
        <v>-175.9</v>
      </c>
      <c r="H43" s="5" t="n">
        <v>21.9</v>
      </c>
      <c r="I43" s="5" t="n">
        <v>-60.1</v>
      </c>
      <c r="J43" s="5" t="n">
        <v>127</v>
      </c>
      <c r="K43" s="5" t="n">
        <v>118.7</v>
      </c>
      <c r="L43" s="5" t="n">
        <v>103.8</v>
      </c>
      <c r="M43" s="5" t="n">
        <v>134.9</v>
      </c>
    </row>
    <row r="45" ht="230" customHeight="1">
      <c r="A45"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45:M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TSB Bank plc — Statement of Changes in Equity</t>
        </is>
      </c>
    </row>
    <row r="2">
      <c r="A2" s="2" t="inlineStr">
        <is>
          <t>Bank (Consolidated) basis, £ million,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Share premium</t>
        </is>
      </c>
      <c r="D3" s="4" t="inlineStr">
        <is>
          <t>Other equity instruments</t>
        </is>
      </c>
      <c r="E3" s="4" t="inlineStr">
        <is>
          <t>Merger reserve</t>
        </is>
      </c>
      <c r="F3" s="4" t="inlineStr">
        <is>
          <t>Capital reorg. reserve</t>
        </is>
      </c>
      <c r="G3" s="4" t="inlineStr">
        <is>
          <t>Capital reserve</t>
        </is>
      </c>
      <c r="H3" s="4" t="inlineStr">
        <is>
          <t>Fair value / AFS reserve</t>
        </is>
      </c>
      <c r="I3" s="4" t="inlineStr">
        <is>
          <t>Cash flow hedging reserve</t>
        </is>
      </c>
      <c r="J3" s="4" t="inlineStr">
        <is>
          <t>Retained profit</t>
        </is>
      </c>
      <c r="K3" s="4" t="inlineStr">
        <is>
          <t>Total equity</t>
        </is>
      </c>
    </row>
    <row r="4">
      <c r="A4" s="5" t="inlineStr">
        <is>
          <t>Balance at 1 January 2014</t>
        </is>
      </c>
      <c r="B4" s="5" t="n">
        <v>0.1</v>
      </c>
      <c r="C4" s="5" t="n"/>
      <c r="D4" s="5" t="n"/>
      <c r="E4" s="5" t="n"/>
      <c r="F4" s="5" t="n">
        <v>74.90000000000001</v>
      </c>
      <c r="G4" s="5" t="n">
        <v>410</v>
      </c>
      <c r="H4" s="5" t="n"/>
      <c r="I4" s="5" t="n"/>
      <c r="J4" s="5" t="n">
        <v>821.7</v>
      </c>
      <c r="K4" s="5" t="n">
        <v>1306.7</v>
      </c>
    </row>
    <row r="5">
      <c r="A5" s="6" t="inlineStr">
        <is>
          <t>Profit for the year</t>
        </is>
      </c>
      <c r="B5" s="6" t="n"/>
      <c r="C5" s="6" t="n"/>
      <c r="D5" s="6" t="n"/>
      <c r="E5" s="6" t="n"/>
      <c r="F5" s="6" t="n"/>
      <c r="G5" s="6" t="n"/>
      <c r="H5" s="6" t="n"/>
      <c r="I5" s="6" t="n"/>
      <c r="J5" s="6" t="n">
        <v>134.5</v>
      </c>
      <c r="K5" s="6" t="n">
        <v>134.5</v>
      </c>
    </row>
    <row r="6">
      <c r="A6" s="6" t="inlineStr">
        <is>
          <t>Change in available-for-sale reserve</t>
        </is>
      </c>
      <c r="B6" s="6" t="n"/>
      <c r="C6" s="6" t="n"/>
      <c r="D6" s="6" t="n"/>
      <c r="E6" s="6" t="n"/>
      <c r="F6" s="6" t="n"/>
      <c r="G6" s="6" t="n"/>
      <c r="H6" s="6" t="n">
        <v>0.4</v>
      </c>
      <c r="I6" s="6" t="n"/>
      <c r="J6" s="6" t="n"/>
      <c r="K6" s="6" t="n">
        <v>0.4</v>
      </c>
    </row>
    <row r="7">
      <c r="A7" s="6" t="inlineStr">
        <is>
          <t>Insertion of parent company (2013 demerger completion)</t>
        </is>
      </c>
      <c r="B7" s="6" t="n">
        <v>0.5</v>
      </c>
      <c r="C7" s="6" t="n">
        <v>769.5</v>
      </c>
      <c r="D7" s="6" t="n"/>
      <c r="E7" s="6" t="n">
        <v>616.5</v>
      </c>
      <c r="F7" s="6" t="n">
        <v>-1386.5</v>
      </c>
      <c r="G7" s="6" t="n"/>
      <c r="H7" s="6" t="n"/>
      <c r="I7" s="6" t="n"/>
      <c r="J7" s="6" t="n"/>
      <c r="K7" s="6" t="n">
        <v>0</v>
      </c>
    </row>
    <row r="8">
      <c r="A8" s="6" t="inlineStr">
        <is>
          <t>Issue of new shares</t>
        </is>
      </c>
      <c r="B8" s="6" t="n">
        <v>4.4</v>
      </c>
      <c r="C8" s="6" t="n">
        <v>195.6</v>
      </c>
      <c r="D8" s="6" t="n"/>
      <c r="E8" s="6" t="n"/>
      <c r="F8" s="6" t="n"/>
      <c r="G8" s="6" t="n"/>
      <c r="H8" s="6" t="n"/>
      <c r="I8" s="6" t="n"/>
      <c r="J8" s="6" t="n"/>
      <c r="K8" s="6" t="n">
        <v>200</v>
      </c>
    </row>
    <row r="9">
      <c r="A9" s="6" t="inlineStr">
        <is>
          <t>Movement in shares held by trusts</t>
        </is>
      </c>
      <c r="B9" s="6" t="n"/>
      <c r="C9" s="6" t="n"/>
      <c r="D9" s="6" t="n"/>
      <c r="E9" s="6" t="n"/>
      <c r="F9" s="6" t="n"/>
      <c r="G9" s="6" t="n"/>
      <c r="H9" s="6" t="n"/>
      <c r="I9" s="6" t="n"/>
      <c r="J9" s="6" t="n">
        <v>-9.1</v>
      </c>
      <c r="K9" s="6" t="n">
        <v>-9.1</v>
      </c>
    </row>
    <row r="10">
      <c r="A10" s="6" t="inlineStr">
        <is>
          <t>Value of partner services</t>
        </is>
      </c>
      <c r="B10" s="6" t="n"/>
      <c r="C10" s="6" t="n"/>
      <c r="D10" s="6" t="n"/>
      <c r="E10" s="6" t="n"/>
      <c r="F10" s="6" t="n"/>
      <c r="G10" s="6" t="n"/>
      <c r="H10" s="6" t="n"/>
      <c r="I10" s="6" t="n"/>
      <c r="J10" s="6" t="n">
        <v>1.9</v>
      </c>
      <c r="K10" s="6" t="n">
        <v>1.9</v>
      </c>
    </row>
    <row r="11">
      <c r="A11" s="5" t="inlineStr">
        <is>
          <t>Balance at 31 December 2014</t>
        </is>
      </c>
      <c r="B11" s="5" t="n">
        <v>5</v>
      </c>
      <c r="C11" s="5" t="n">
        <v>965.1</v>
      </c>
      <c r="D11" s="5" t="n"/>
      <c r="E11" s="5" t="n">
        <v>616.5</v>
      </c>
      <c r="F11" s="5" t="n">
        <v>-1311.6</v>
      </c>
      <c r="G11" s="5" t="n">
        <v>410</v>
      </c>
      <c r="H11" s="5" t="n">
        <v>0.4</v>
      </c>
      <c r="I11" s="5" t="n"/>
      <c r="J11" s="5" t="n">
        <v>949</v>
      </c>
      <c r="K11" s="5" t="n">
        <v>1634.4</v>
      </c>
    </row>
    <row r="12">
      <c r="A12" s="6" t="inlineStr">
        <is>
          <t>Profit for the year</t>
        </is>
      </c>
      <c r="B12" s="6" t="n"/>
      <c r="C12" s="6" t="n"/>
      <c r="D12" s="6" t="n"/>
      <c r="E12" s="6" t="n"/>
      <c r="F12" s="6" t="n"/>
      <c r="G12" s="6" t="n"/>
      <c r="H12" s="6" t="n"/>
      <c r="I12" s="6" t="n"/>
      <c r="J12" s="6" t="n">
        <v>88.8</v>
      </c>
      <c r="K12" s="6" t="n">
        <v>88.8</v>
      </c>
    </row>
    <row r="13">
      <c r="A13" s="6" t="inlineStr">
        <is>
          <t>Change in available-for-sale reserve</t>
        </is>
      </c>
      <c r="B13" s="6" t="n"/>
      <c r="C13" s="6" t="n"/>
      <c r="D13" s="6" t="n"/>
      <c r="E13" s="6" t="n"/>
      <c r="F13" s="6" t="n"/>
      <c r="G13" s="6" t="n"/>
      <c r="H13" s="6" t="n">
        <v>15.9</v>
      </c>
      <c r="I13" s="6" t="n"/>
      <c r="J13" s="6" t="n"/>
      <c r="K13" s="6" t="n">
        <v>15.9</v>
      </c>
    </row>
    <row r="14">
      <c r="A14" s="6" t="inlineStr">
        <is>
          <t>Change in cash flow hedging reserve</t>
        </is>
      </c>
      <c r="B14" s="6" t="n"/>
      <c r="C14" s="6" t="n"/>
      <c r="D14" s="6" t="n"/>
      <c r="E14" s="6" t="n"/>
      <c r="F14" s="6" t="n"/>
      <c r="G14" s="6" t="n"/>
      <c r="H14" s="6" t="n"/>
      <c r="I14" s="6" t="n">
        <v>-0.9</v>
      </c>
      <c r="J14" s="6" t="n"/>
      <c r="K14" s="6" t="n">
        <v>-0.9</v>
      </c>
    </row>
    <row r="15">
      <c r="A15" s="6" t="inlineStr">
        <is>
          <t>Movement in shares held by trusts</t>
        </is>
      </c>
      <c r="B15" s="6" t="n"/>
      <c r="C15" s="6" t="n"/>
      <c r="D15" s="6" t="n"/>
      <c r="E15" s="6" t="n"/>
      <c r="F15" s="6" t="n"/>
      <c r="G15" s="6" t="n"/>
      <c r="H15" s="6" t="n"/>
      <c r="I15" s="6" t="n"/>
      <c r="J15" s="6" t="n">
        <v>9.1</v>
      </c>
      <c r="K15" s="6" t="n">
        <v>9.1</v>
      </c>
    </row>
    <row r="16">
      <c r="A16" s="6" t="inlineStr">
        <is>
          <t>Reclassification of equity settled share schemes to cash settled</t>
        </is>
      </c>
      <c r="B16" s="6" t="n"/>
      <c r="C16" s="6" t="n"/>
      <c r="D16" s="6" t="n"/>
      <c r="E16" s="6" t="n"/>
      <c r="F16" s="6" t="n"/>
      <c r="G16" s="6" t="n"/>
      <c r="H16" s="6" t="n"/>
      <c r="I16" s="6" t="n"/>
      <c r="J16" s="6" t="n">
        <v>-3.1</v>
      </c>
      <c r="K16" s="6" t="n">
        <v>-3.1</v>
      </c>
    </row>
    <row r="17">
      <c r="A17" s="6" t="inlineStr">
        <is>
          <t>Value of partner services</t>
        </is>
      </c>
      <c r="B17" s="6" t="n"/>
      <c r="C17" s="6" t="n"/>
      <c r="D17" s="6" t="n"/>
      <c r="E17" s="6" t="n"/>
      <c r="F17" s="6" t="n"/>
      <c r="G17" s="6" t="n"/>
      <c r="H17" s="6" t="n"/>
      <c r="I17" s="6" t="n"/>
      <c r="J17" s="6" t="n">
        <v>2.1</v>
      </c>
      <c r="K17" s="6" t="n">
        <v>2.1</v>
      </c>
    </row>
    <row r="18">
      <c r="A18" s="5" t="inlineStr">
        <is>
          <t>Balance at 31 December 2015</t>
        </is>
      </c>
      <c r="B18" s="5" t="n">
        <v>5</v>
      </c>
      <c r="C18" s="5" t="n">
        <v>965.1</v>
      </c>
      <c r="D18" s="5" t="n"/>
      <c r="E18" s="5" t="n">
        <v>616.5</v>
      </c>
      <c r="F18" s="5" t="n">
        <v>-1311.6</v>
      </c>
      <c r="G18" s="5" t="n">
        <v>410</v>
      </c>
      <c r="H18" s="5" t="n">
        <v>16.3</v>
      </c>
      <c r="I18" s="5" t="n">
        <v>-0.9</v>
      </c>
      <c r="J18" s="5" t="n">
        <v>1045.9</v>
      </c>
      <c r="K18" s="5" t="n">
        <v>1746.3</v>
      </c>
    </row>
    <row r="19">
      <c r="A19" s="6" t="inlineStr">
        <is>
          <t>Profit for the year</t>
        </is>
      </c>
      <c r="B19" s="6" t="n"/>
      <c r="C19" s="6" t="n"/>
      <c r="D19" s="6" t="n"/>
      <c r="E19" s="6" t="n"/>
      <c r="F19" s="6" t="n"/>
      <c r="G19" s="6" t="n"/>
      <c r="H19" s="6" t="n"/>
      <c r="I19" s="6" t="n"/>
      <c r="J19" s="6" t="n">
        <v>127.8</v>
      </c>
      <c r="K19" s="6" t="n">
        <v>127.8</v>
      </c>
    </row>
    <row r="20">
      <c r="A20" s="6" t="inlineStr">
        <is>
          <t>Change in available-for-sale reserve</t>
        </is>
      </c>
      <c r="B20" s="6" t="n"/>
      <c r="C20" s="6" t="n"/>
      <c r="D20" s="6" t="n"/>
      <c r="E20" s="6" t="n"/>
      <c r="F20" s="6" t="n"/>
      <c r="G20" s="6" t="n"/>
      <c r="H20" s="6" t="n">
        <v>-10.4</v>
      </c>
      <c r="I20" s="6" t="n"/>
      <c r="J20" s="6" t="n"/>
      <c r="K20" s="6" t="n">
        <v>-10.4</v>
      </c>
    </row>
    <row r="21">
      <c r="A21" s="6" t="inlineStr">
        <is>
          <t>Change in cash flow hedging reserve</t>
        </is>
      </c>
      <c r="B21" s="6" t="n"/>
      <c r="C21" s="6" t="n"/>
      <c r="D21" s="6" t="n"/>
      <c r="E21" s="6" t="n"/>
      <c r="F21" s="6" t="n"/>
      <c r="G21" s="6" t="n"/>
      <c r="H21" s="6" t="n"/>
      <c r="I21" s="6" t="n">
        <v>1.3</v>
      </c>
      <c r="J21" s="6" t="n"/>
      <c r="K21" s="6" t="n">
        <v>1.3</v>
      </c>
    </row>
    <row r="22">
      <c r="A22" s="5" t="inlineStr">
        <is>
          <t>Balance at 31 December 2016</t>
        </is>
      </c>
      <c r="B22" s="5" t="n">
        <v>5</v>
      </c>
      <c r="C22" s="5" t="n">
        <v>965.1</v>
      </c>
      <c r="D22" s="5" t="n"/>
      <c r="E22" s="5" t="n">
        <v>616.5</v>
      </c>
      <c r="F22" s="5" t="n">
        <v>-1311.6</v>
      </c>
      <c r="G22" s="5" t="n">
        <v>410</v>
      </c>
      <c r="H22" s="5" t="n">
        <v>5.9</v>
      </c>
      <c r="I22" s="5" t="n">
        <v>0.4</v>
      </c>
      <c r="J22" s="5" t="n">
        <v>1173.7</v>
      </c>
      <c r="K22" s="5" t="n">
        <v>1865</v>
      </c>
    </row>
    <row r="23">
      <c r="A23" s="5" t="inlineStr">
        <is>
          <t>Balance at 1 January 2017 (TSB Bank plc entity basis)</t>
        </is>
      </c>
      <c r="B23" s="5" t="n">
        <v>79.40000000000001</v>
      </c>
      <c r="C23" s="5" t="n">
        <v>195.6</v>
      </c>
      <c r="D23" s="5" t="n"/>
      <c r="E23" s="5" t="n">
        <v>412.8</v>
      </c>
      <c r="F23" s="5" t="n"/>
      <c r="G23" s="5" t="n"/>
      <c r="H23" s="5" t="n">
        <v>5.9</v>
      </c>
      <c r="I23" s="5" t="n">
        <v>0.4</v>
      </c>
      <c r="J23" s="5" t="n">
        <v>1185.5</v>
      </c>
      <c r="K23" s="5" t="n">
        <v>1879.6</v>
      </c>
    </row>
    <row r="24">
      <c r="A24" s="6" t="inlineStr">
        <is>
          <t>Profit for the year</t>
        </is>
      </c>
      <c r="B24" s="6" t="n"/>
      <c r="C24" s="6" t="n"/>
      <c r="D24" s="6" t="n"/>
      <c r="E24" s="6" t="n"/>
      <c r="F24" s="6" t="n"/>
      <c r="G24" s="6" t="n"/>
      <c r="H24" s="6" t="n"/>
      <c r="I24" s="6" t="n"/>
      <c r="J24" s="6" t="n">
        <v>115.1</v>
      </c>
      <c r="K24" s="6" t="n">
        <v>115.1</v>
      </c>
    </row>
    <row r="25">
      <c r="A25" s="6" t="inlineStr">
        <is>
          <t>Change in available-for-sale reserve</t>
        </is>
      </c>
      <c r="B25" s="6" t="n"/>
      <c r="C25" s="6" t="n"/>
      <c r="D25" s="6" t="n"/>
      <c r="E25" s="6" t="n"/>
      <c r="F25" s="6" t="n"/>
      <c r="G25" s="6" t="n"/>
      <c r="H25" s="6" t="n">
        <v>12.8</v>
      </c>
      <c r="I25" s="6" t="n"/>
      <c r="J25" s="6" t="n"/>
      <c r="K25" s="6" t="n">
        <v>12.8</v>
      </c>
    </row>
    <row r="26">
      <c r="A26" s="6" t="inlineStr">
        <is>
          <t>Change in cash flow hedging reserve</t>
        </is>
      </c>
      <c r="B26" s="6" t="n"/>
      <c r="C26" s="6" t="n"/>
      <c r="D26" s="6" t="n"/>
      <c r="E26" s="6" t="n"/>
      <c r="F26" s="6" t="n"/>
      <c r="G26" s="6" t="n"/>
      <c r="H26" s="6" t="n"/>
      <c r="I26" s="6" t="n">
        <v>-0.9</v>
      </c>
      <c r="J26" s="6" t="n"/>
      <c r="K26" s="6" t="n">
        <v>-0.9</v>
      </c>
    </row>
    <row r="27">
      <c r="A27" s="5" t="inlineStr">
        <is>
          <t>Balance at 31 December 2017</t>
        </is>
      </c>
      <c r="B27" s="5" t="n">
        <v>79.40000000000001</v>
      </c>
      <c r="C27" s="5" t="n">
        <v>195.6</v>
      </c>
      <c r="D27" s="5" t="n"/>
      <c r="E27" s="5" t="n">
        <v>412.8</v>
      </c>
      <c r="F27" s="5" t="n"/>
      <c r="G27" s="5" t="n"/>
      <c r="H27" s="5" t="n">
        <v>18.7</v>
      </c>
      <c r="I27" s="5" t="n">
        <v>-0.5</v>
      </c>
      <c r="J27" s="5" t="n">
        <v>1300.6</v>
      </c>
      <c r="K27" s="5" t="n">
        <v>2006.6</v>
      </c>
    </row>
    <row r="28">
      <c r="A28" s="6" t="inlineStr">
        <is>
          <t>Change on initial application of IFRS 9 (available-for-sale reserve 18.7 replaced by fair value reserve 16.9; both use the merged column here)</t>
        </is>
      </c>
      <c r="B28" s="6" t="n"/>
      <c r="C28" s="6" t="n"/>
      <c r="D28" s="6" t="n"/>
      <c r="E28" s="6" t="n"/>
      <c r="F28" s="6" t="n"/>
      <c r="G28" s="6" t="n"/>
      <c r="H28" s="6" t="n">
        <v>-1.8</v>
      </c>
      <c r="I28" s="6" t="n"/>
      <c r="J28" s="6" t="n">
        <v>-70.09999999999999</v>
      </c>
      <c r="K28" s="6" t="n">
        <v>-71.90000000000001</v>
      </c>
    </row>
    <row r="29">
      <c r="A29" s="6" t="inlineStr">
        <is>
          <t>Change on initial application of IFRS 15</t>
        </is>
      </c>
      <c r="B29" s="6" t="n"/>
      <c r="C29" s="6" t="n"/>
      <c r="D29" s="6" t="n"/>
      <c r="E29" s="6" t="n"/>
      <c r="F29" s="6" t="n"/>
      <c r="G29" s="6" t="n"/>
      <c r="H29" s="6" t="n"/>
      <c r="I29" s="6" t="n"/>
      <c r="J29" s="6" t="n">
        <v>4.3</v>
      </c>
      <c r="K29" s="6" t="n">
        <v>4.3</v>
      </c>
    </row>
    <row r="30">
      <c r="A30" s="5" t="inlineStr">
        <is>
          <t>Balance at 1 January 2018</t>
        </is>
      </c>
      <c r="B30" s="5" t="n">
        <v>79.40000000000001</v>
      </c>
      <c r="C30" s="5" t="n">
        <v>195.6</v>
      </c>
      <c r="D30" s="5" t="n"/>
      <c r="E30" s="5" t="n">
        <v>412.8</v>
      </c>
      <c r="F30" s="5" t="n"/>
      <c r="G30" s="5" t="n"/>
      <c r="H30" s="5" t="n">
        <v>16.9</v>
      </c>
      <c r="I30" s="5" t="n">
        <v>-0.5</v>
      </c>
      <c r="J30" s="5" t="n">
        <v>1234.8</v>
      </c>
      <c r="K30" s="5" t="n">
        <v>1939</v>
      </c>
    </row>
    <row r="31">
      <c r="A31" s="6" t="inlineStr">
        <is>
          <t>Loss for the year</t>
        </is>
      </c>
      <c r="B31" s="6" t="n"/>
      <c r="C31" s="6" t="n"/>
      <c r="D31" s="6" t="n"/>
      <c r="E31" s="6" t="n"/>
      <c r="F31" s="6" t="n"/>
      <c r="G31" s="6" t="n"/>
      <c r="H31" s="6" t="n"/>
      <c r="I31" s="6" t="n"/>
      <c r="J31" s="6" t="n">
        <v>-59.1</v>
      </c>
      <c r="K31" s="6" t="n">
        <v>-59.1</v>
      </c>
    </row>
    <row r="32">
      <c r="A32" s="6" t="inlineStr">
        <is>
          <t>Change in fair value reserve</t>
        </is>
      </c>
      <c r="B32" s="6" t="n"/>
      <c r="C32" s="6" t="n"/>
      <c r="D32" s="6" t="n"/>
      <c r="E32" s="6" t="n"/>
      <c r="F32" s="6" t="n"/>
      <c r="G32" s="6" t="n"/>
      <c r="H32" s="6" t="n">
        <v>1.7</v>
      </c>
      <c r="I32" s="6" t="n"/>
      <c r="J32" s="6" t="n"/>
      <c r="K32" s="6" t="n">
        <v>1.7</v>
      </c>
    </row>
    <row r="33">
      <c r="A33" s="6" t="inlineStr">
        <is>
          <t>Change in cash flow hedging reserve</t>
        </is>
      </c>
      <c r="B33" s="6" t="n"/>
      <c r="C33" s="6" t="n"/>
      <c r="D33" s="6" t="n"/>
      <c r="E33" s="6" t="n"/>
      <c r="F33" s="6" t="n"/>
      <c r="G33" s="6" t="n"/>
      <c r="H33" s="6" t="n"/>
      <c r="I33" s="6" t="n">
        <v>-2.7</v>
      </c>
      <c r="J33" s="6" t="n"/>
      <c r="K33" s="6" t="n">
        <v>-2.7</v>
      </c>
    </row>
    <row r="34">
      <c r="A34" s="5" t="inlineStr">
        <is>
          <t>Balance at 31 December 2018</t>
        </is>
      </c>
      <c r="B34" s="5" t="n">
        <v>79.40000000000001</v>
      </c>
      <c r="C34" s="5" t="n">
        <v>195.6</v>
      </c>
      <c r="D34" s="5" t="n"/>
      <c r="E34" s="5" t="n">
        <v>412.8</v>
      </c>
      <c r="F34" s="5" t="n"/>
      <c r="G34" s="5" t="n"/>
      <c r="H34" s="5" t="n">
        <v>18.6</v>
      </c>
      <c r="I34" s="5" t="n">
        <v>-3.2</v>
      </c>
      <c r="J34" s="5" t="n">
        <v>1175.7</v>
      </c>
      <c r="K34" s="5" t="n">
        <v>1878.9</v>
      </c>
    </row>
    <row r="35">
      <c r="A35" s="6" t="inlineStr">
        <is>
          <t>Profit for the year</t>
        </is>
      </c>
      <c r="B35" s="6" t="n"/>
      <c r="C35" s="6" t="n"/>
      <c r="D35" s="6" t="n"/>
      <c r="E35" s="6" t="n"/>
      <c r="F35" s="6" t="n"/>
      <c r="G35" s="6" t="n"/>
      <c r="H35" s="6" t="n"/>
      <c r="I35" s="6" t="n"/>
      <c r="J35" s="6" t="n">
        <v>26.2</v>
      </c>
      <c r="K35" s="6" t="n">
        <v>26.2</v>
      </c>
    </row>
    <row r="36">
      <c r="A36" s="6" t="inlineStr">
        <is>
          <t>Change in fair value reserve</t>
        </is>
      </c>
      <c r="B36" s="6" t="n"/>
      <c r="C36" s="6" t="n"/>
      <c r="D36" s="6" t="n"/>
      <c r="E36" s="6" t="n"/>
      <c r="F36" s="6" t="n"/>
      <c r="G36" s="6" t="n"/>
      <c r="H36" s="6" t="n">
        <v>-5</v>
      </c>
      <c r="I36" s="6" t="n"/>
      <c r="J36" s="6" t="n"/>
      <c r="K36" s="6" t="n">
        <v>-5</v>
      </c>
    </row>
    <row r="37">
      <c r="A37" s="6" t="inlineStr">
        <is>
          <t>Change in cash flow hedging reserve</t>
        </is>
      </c>
      <c r="B37" s="6" t="n"/>
      <c r="C37" s="6" t="n"/>
      <c r="D37" s="6" t="n"/>
      <c r="E37" s="6" t="n"/>
      <c r="F37" s="6" t="n"/>
      <c r="G37" s="6" t="n"/>
      <c r="H37" s="6" t="n"/>
      <c r="I37" s="6" t="n">
        <v>0.7</v>
      </c>
      <c r="J37" s="6" t="n"/>
      <c r="K37" s="6" t="n">
        <v>0.7</v>
      </c>
    </row>
    <row r="38">
      <c r="A38" s="5" t="inlineStr">
        <is>
          <t>Balance at 31 December 2019</t>
        </is>
      </c>
      <c r="B38" s="5" t="n">
        <v>79.40000000000001</v>
      </c>
      <c r="C38" s="5" t="n">
        <v>195.6</v>
      </c>
      <c r="D38" s="5" t="n"/>
      <c r="E38" s="5" t="n">
        <v>412.8</v>
      </c>
      <c r="F38" s="5" t="n"/>
      <c r="G38" s="5" t="n"/>
      <c r="H38" s="5" t="n">
        <v>13.6</v>
      </c>
      <c r="I38" s="5" t="n">
        <v>-2.5</v>
      </c>
      <c r="J38" s="5" t="n">
        <v>1201.9</v>
      </c>
      <c r="K38" s="5" t="n">
        <v>1900.8</v>
      </c>
    </row>
    <row r="39">
      <c r="A39" s="6" t="inlineStr">
        <is>
          <t>Loss for the year</t>
        </is>
      </c>
      <c r="B39" s="6" t="n"/>
      <c r="C39" s="6" t="n"/>
      <c r="D39" s="6" t="n"/>
      <c r="E39" s="6" t="n"/>
      <c r="F39" s="6" t="n"/>
      <c r="G39" s="6" t="n"/>
      <c r="H39" s="6" t="n"/>
      <c r="I39" s="6" t="n"/>
      <c r="J39" s="6" t="n">
        <v>-156.2</v>
      </c>
      <c r="K39" s="6" t="n">
        <v>-156.2</v>
      </c>
    </row>
    <row r="40">
      <c r="A40" s="6" t="inlineStr">
        <is>
          <t>Change in fair value reserve</t>
        </is>
      </c>
      <c r="B40" s="6" t="n"/>
      <c r="C40" s="6" t="n"/>
      <c r="D40" s="6" t="n"/>
      <c r="E40" s="6" t="n"/>
      <c r="F40" s="6" t="n"/>
      <c r="G40" s="6" t="n"/>
      <c r="H40" s="6" t="n">
        <v>-2</v>
      </c>
      <c r="I40" s="6" t="n"/>
      <c r="J40" s="6" t="n"/>
      <c r="K40" s="6" t="n">
        <v>-2</v>
      </c>
    </row>
    <row r="41">
      <c r="A41" s="6" t="inlineStr">
        <is>
          <t>Change in cash flow hedging reserve</t>
        </is>
      </c>
      <c r="B41" s="6" t="n"/>
      <c r="C41" s="6" t="n"/>
      <c r="D41" s="6" t="n"/>
      <c r="E41" s="6" t="n"/>
      <c r="F41" s="6" t="n"/>
      <c r="G41" s="6" t="n"/>
      <c r="H41" s="6" t="n"/>
      <c r="I41" s="6" t="n">
        <v>-17.7</v>
      </c>
      <c r="J41" s="6" t="n"/>
      <c r="K41" s="6" t="n">
        <v>-17.7</v>
      </c>
    </row>
    <row r="42">
      <c r="A42" s="5" t="inlineStr">
        <is>
          <t>Balance at 31 December 2020</t>
        </is>
      </c>
      <c r="B42" s="5" t="n">
        <v>79.40000000000001</v>
      </c>
      <c r="C42" s="5" t="n">
        <v>195.6</v>
      </c>
      <c r="D42" s="5" t="n"/>
      <c r="E42" s="5" t="n">
        <v>412.8</v>
      </c>
      <c r="F42" s="5" t="n"/>
      <c r="G42" s="5" t="n"/>
      <c r="H42" s="5" t="n">
        <v>11.6</v>
      </c>
      <c r="I42" s="5" t="n">
        <v>-20.2</v>
      </c>
      <c r="J42" s="5" t="n">
        <v>1045.7</v>
      </c>
      <c r="K42" s="5" t="n">
        <v>1724.9</v>
      </c>
    </row>
    <row r="43">
      <c r="A43" s="5" t="inlineStr">
        <is>
          <t>Balance at 1 January 2021</t>
        </is>
      </c>
      <c r="B43" s="5" t="n">
        <v>79.40000000000001</v>
      </c>
      <c r="C43" s="5" t="n">
        <v>195.6</v>
      </c>
      <c r="D43" s="5" t="n"/>
      <c r="E43" s="5" t="n">
        <v>412.8</v>
      </c>
      <c r="F43" s="5" t="n"/>
      <c r="G43" s="5" t="n"/>
      <c r="H43" s="5" t="n">
        <v>11.6</v>
      </c>
      <c r="I43" s="5" t="n">
        <v>-20.2</v>
      </c>
      <c r="J43" s="5" t="n">
        <v>1045.7</v>
      </c>
      <c r="K43" s="5" t="n">
        <v>1724.9</v>
      </c>
    </row>
    <row r="44">
      <c r="A44" s="6" t="inlineStr">
        <is>
          <t>Profit for the year</t>
        </is>
      </c>
      <c r="B44" s="6" t="n"/>
      <c r="C44" s="6" t="n"/>
      <c r="D44" s="6" t="n"/>
      <c r="E44" s="6" t="n"/>
      <c r="F44" s="6" t="n"/>
      <c r="G44" s="6" t="n"/>
      <c r="H44" s="6" t="n"/>
      <c r="I44" s="6" t="n"/>
      <c r="J44" s="6" t="n">
        <v>128.4</v>
      </c>
      <c r="K44" s="6" t="n">
        <v>128.4</v>
      </c>
    </row>
    <row r="45">
      <c r="A45" s="6" t="inlineStr">
        <is>
          <t>Change in fair value reserve</t>
        </is>
      </c>
      <c r="B45" s="6" t="n"/>
      <c r="C45" s="6" t="n"/>
      <c r="D45" s="6" t="n"/>
      <c r="E45" s="6" t="n"/>
      <c r="F45" s="6" t="n"/>
      <c r="G45" s="6" t="n"/>
      <c r="H45" s="6" t="n">
        <v>-0.5</v>
      </c>
      <c r="I45" s="6" t="n"/>
      <c r="J45" s="6" t="n"/>
      <c r="K45" s="6" t="n">
        <v>-0.5</v>
      </c>
    </row>
    <row r="46">
      <c r="A46" s="6" t="inlineStr">
        <is>
          <t>Change in cash flow hedging reserve</t>
        </is>
      </c>
      <c r="B46" s="6" t="n"/>
      <c r="C46" s="6" t="n"/>
      <c r="D46" s="6" t="n"/>
      <c r="E46" s="6" t="n"/>
      <c r="F46" s="6" t="n"/>
      <c r="G46" s="6" t="n"/>
      <c r="H46" s="6" t="n"/>
      <c r="I46" s="6" t="n">
        <v>13.6</v>
      </c>
      <c r="J46" s="6" t="n"/>
      <c r="K46" s="6" t="n">
        <v>13.6</v>
      </c>
    </row>
    <row r="47">
      <c r="A47" s="5" t="inlineStr">
        <is>
          <t>Balance at 31 December 2021</t>
        </is>
      </c>
      <c r="B47" s="5" t="n">
        <v>79.40000000000001</v>
      </c>
      <c r="C47" s="5" t="n">
        <v>195.6</v>
      </c>
      <c r="D47" s="5" t="n"/>
      <c r="E47" s="5" t="n">
        <v>412.8</v>
      </c>
      <c r="F47" s="5" t="n"/>
      <c r="G47" s="5" t="n"/>
      <c r="H47" s="5" t="n">
        <v>11.1</v>
      </c>
      <c r="I47" s="5" t="n">
        <v>-6.6</v>
      </c>
      <c r="J47" s="5" t="n">
        <v>1174.1</v>
      </c>
      <c r="K47" s="5" t="n">
        <v>1866.4</v>
      </c>
    </row>
    <row r="48">
      <c r="A48" s="6" t="inlineStr">
        <is>
          <t>Profit for the year</t>
        </is>
      </c>
      <c r="B48" s="6" t="n"/>
      <c r="C48" s="6" t="n"/>
      <c r="D48" s="6" t="n"/>
      <c r="E48" s="6" t="n"/>
      <c r="F48" s="6" t="n"/>
      <c r="G48" s="6" t="n"/>
      <c r="H48" s="6" t="n"/>
      <c r="I48" s="6" t="n"/>
      <c r="J48" s="6" t="n">
        <v>100.6</v>
      </c>
      <c r="K48" s="6" t="n">
        <v>100.6</v>
      </c>
    </row>
    <row r="49">
      <c r="A49" s="6" t="inlineStr">
        <is>
          <t>Change in fair value reserve</t>
        </is>
      </c>
      <c r="B49" s="6" t="n"/>
      <c r="C49" s="6" t="n"/>
      <c r="D49" s="6" t="n"/>
      <c r="E49" s="6" t="n"/>
      <c r="F49" s="6" t="n"/>
      <c r="G49" s="6" t="n"/>
      <c r="H49" s="6" t="n">
        <v>-17.2</v>
      </c>
      <c r="I49" s="6" t="n"/>
      <c r="J49" s="6" t="n"/>
      <c r="K49" s="6" t="n">
        <v>-17.2</v>
      </c>
    </row>
    <row r="50">
      <c r="A50" s="6" t="inlineStr">
        <is>
          <t>Change in cash flow hedging reserve</t>
        </is>
      </c>
      <c r="B50" s="6" t="n"/>
      <c r="C50" s="6" t="n"/>
      <c r="D50" s="6" t="n"/>
      <c r="E50" s="6" t="n"/>
      <c r="F50" s="6" t="n"/>
      <c r="G50" s="6" t="n"/>
      <c r="H50" s="6" t="n"/>
      <c r="I50" s="6" t="n">
        <v>47</v>
      </c>
      <c r="J50" s="6" t="n"/>
      <c r="K50" s="6" t="n">
        <v>47</v>
      </c>
    </row>
    <row r="51">
      <c r="A51" s="6" t="inlineStr">
        <is>
          <t>Dividend paid</t>
        </is>
      </c>
      <c r="B51" s="6" t="n"/>
      <c r="C51" s="6" t="n"/>
      <c r="D51" s="6" t="n"/>
      <c r="E51" s="6" t="n"/>
      <c r="F51" s="6" t="n"/>
      <c r="G51" s="6" t="n"/>
      <c r="H51" s="6" t="n"/>
      <c r="I51" s="6" t="n"/>
      <c r="J51" s="6" t="n">
        <v>-67</v>
      </c>
      <c r="K51" s="6" t="n">
        <v>-67</v>
      </c>
    </row>
    <row r="52">
      <c r="A52" s="5" t="inlineStr">
        <is>
          <t>Balance at 31 December 2022</t>
        </is>
      </c>
      <c r="B52" s="5" t="n">
        <v>79.40000000000001</v>
      </c>
      <c r="C52" s="5" t="n">
        <v>195.6</v>
      </c>
      <c r="D52" s="5" t="n"/>
      <c r="E52" s="5" t="n">
        <v>412.8</v>
      </c>
      <c r="F52" s="5" t="n"/>
      <c r="G52" s="5" t="n"/>
      <c r="H52" s="5" t="n">
        <v>-6.1</v>
      </c>
      <c r="I52" s="5" t="n">
        <v>40.4</v>
      </c>
      <c r="J52" s="5" t="n">
        <v>1207.7</v>
      </c>
      <c r="K52" s="5" t="n">
        <v>1929.8</v>
      </c>
    </row>
    <row r="53">
      <c r="A53" s="6" t="inlineStr">
        <is>
          <t>Profit for the year</t>
        </is>
      </c>
      <c r="B53" s="6" t="n"/>
      <c r="C53" s="6" t="n"/>
      <c r="D53" s="6" t="n"/>
      <c r="E53" s="6" t="n"/>
      <c r="F53" s="6" t="n"/>
      <c r="G53" s="6" t="n"/>
      <c r="H53" s="6" t="n"/>
      <c r="I53" s="6" t="n"/>
      <c r="J53" s="6" t="n">
        <v>173.4</v>
      </c>
      <c r="K53" s="6" t="n">
        <v>173.4</v>
      </c>
    </row>
    <row r="54">
      <c r="A54" s="6" t="inlineStr">
        <is>
          <t>Change in fair value reserve</t>
        </is>
      </c>
      <c r="B54" s="6" t="n"/>
      <c r="C54" s="6" t="n"/>
      <c r="D54" s="6" t="n"/>
      <c r="E54" s="6" t="n"/>
      <c r="F54" s="6" t="n"/>
      <c r="G54" s="6" t="n"/>
      <c r="H54" s="6" t="n">
        <v>-0.4</v>
      </c>
      <c r="I54" s="6" t="n"/>
      <c r="J54" s="6" t="n"/>
      <c r="K54" s="6" t="n">
        <v>-0.4</v>
      </c>
    </row>
    <row r="55">
      <c r="A55" s="6" t="inlineStr">
        <is>
          <t>Change in cash flow hedging reserve</t>
        </is>
      </c>
      <c r="B55" s="6" t="n"/>
      <c r="C55" s="6" t="n"/>
      <c r="D55" s="6" t="n"/>
      <c r="E55" s="6" t="n"/>
      <c r="F55" s="6" t="n"/>
      <c r="G55" s="6" t="n"/>
      <c r="H55" s="6" t="n"/>
      <c r="I55" s="6" t="n">
        <v>-28.2</v>
      </c>
      <c r="J55" s="6" t="n"/>
      <c r="K55" s="6" t="n">
        <v>-28.2</v>
      </c>
    </row>
    <row r="56">
      <c r="A56" s="6" t="inlineStr">
        <is>
          <t>Dividend paid</t>
        </is>
      </c>
      <c r="B56" s="6" t="n"/>
      <c r="C56" s="6" t="n"/>
      <c r="D56" s="6" t="n"/>
      <c r="E56" s="6" t="n"/>
      <c r="F56" s="6" t="n"/>
      <c r="G56" s="6" t="n"/>
      <c r="H56" s="6" t="n"/>
      <c r="I56" s="6" t="n"/>
      <c r="J56" s="6" t="n">
        <v>-120</v>
      </c>
      <c r="K56" s="6" t="n">
        <v>-120</v>
      </c>
    </row>
    <row r="57">
      <c r="A57" s="5" t="inlineStr">
        <is>
          <t>Balance at 31 December 2023</t>
        </is>
      </c>
      <c r="B57" s="5" t="n">
        <v>79.40000000000001</v>
      </c>
      <c r="C57" s="5" t="n">
        <v>195.6</v>
      </c>
      <c r="D57" s="5" t="n"/>
      <c r="E57" s="5" t="n">
        <v>412.8</v>
      </c>
      <c r="F57" s="5" t="n"/>
      <c r="G57" s="5" t="n"/>
      <c r="H57" s="5" t="n">
        <v>-6.5</v>
      </c>
      <c r="I57" s="5" t="n">
        <v>12.2</v>
      </c>
      <c r="J57" s="5" t="n">
        <v>1261.1</v>
      </c>
      <c r="K57" s="5" t="n">
        <v>1954.6</v>
      </c>
    </row>
    <row r="58">
      <c r="A58" s="6" t="inlineStr">
        <is>
          <t>Profit for the year</t>
        </is>
      </c>
      <c r="B58" s="6" t="n"/>
      <c r="C58" s="6" t="n"/>
      <c r="D58" s="6" t="n"/>
      <c r="E58" s="6" t="n"/>
      <c r="F58" s="6" t="n"/>
      <c r="G58" s="6" t="n"/>
      <c r="H58" s="6" t="n"/>
      <c r="I58" s="6" t="n"/>
      <c r="J58" s="6" t="n">
        <v>203.8</v>
      </c>
      <c r="K58" s="6" t="n">
        <v>203.8</v>
      </c>
    </row>
    <row r="59">
      <c r="A59" s="6" t="inlineStr">
        <is>
          <t>Change in fair value reserve</t>
        </is>
      </c>
      <c r="B59" s="6" t="n"/>
      <c r="C59" s="6" t="n"/>
      <c r="D59" s="6" t="n"/>
      <c r="E59" s="6" t="n"/>
      <c r="F59" s="6" t="n"/>
      <c r="G59" s="6" t="n"/>
      <c r="H59" s="6" t="n">
        <v>-1.5</v>
      </c>
      <c r="I59" s="6" t="n"/>
      <c r="J59" s="6" t="n"/>
      <c r="K59" s="6" t="n">
        <v>-1.5</v>
      </c>
    </row>
    <row r="60">
      <c r="A60" s="6" t="inlineStr">
        <is>
          <t>Change in cash flow hedging reserve</t>
        </is>
      </c>
      <c r="B60" s="6" t="n"/>
      <c r="C60" s="6" t="n"/>
      <c r="D60" s="6" t="n"/>
      <c r="E60" s="6" t="n"/>
      <c r="F60" s="6" t="n"/>
      <c r="G60" s="6" t="n"/>
      <c r="H60" s="6" t="n"/>
      <c r="I60" s="6" t="n">
        <v>13.8</v>
      </c>
      <c r="J60" s="6" t="n"/>
      <c r="K60" s="6" t="n">
        <v>13.8</v>
      </c>
    </row>
    <row r="61">
      <c r="A61" s="6" t="inlineStr">
        <is>
          <t>Issue of Additional Tier 1 Securities</t>
        </is>
      </c>
      <c r="B61" s="6" t="n"/>
      <c r="C61" s="6" t="n"/>
      <c r="D61" s="6" t="n">
        <v>250</v>
      </c>
      <c r="E61" s="6" t="n"/>
      <c r="F61" s="6" t="n"/>
      <c r="G61" s="6" t="n"/>
      <c r="H61" s="6" t="n"/>
      <c r="I61" s="6" t="n"/>
      <c r="J61" s="6" t="n"/>
      <c r="K61" s="6" t="n">
        <v>250</v>
      </c>
    </row>
    <row r="62">
      <c r="A62" s="6" t="inlineStr">
        <is>
          <t>Dividends paid on ordinary shares</t>
        </is>
      </c>
      <c r="B62" s="6" t="n"/>
      <c r="C62" s="6" t="n"/>
      <c r="D62" s="6" t="n"/>
      <c r="E62" s="6" t="n"/>
      <c r="F62" s="6" t="n"/>
      <c r="G62" s="6" t="n"/>
      <c r="H62" s="6" t="n"/>
      <c r="I62" s="6" t="n"/>
      <c r="J62" s="6" t="n">
        <v>-300</v>
      </c>
      <c r="K62" s="6" t="n">
        <v>-300</v>
      </c>
    </row>
    <row r="63">
      <c r="A63" s="5" t="inlineStr">
        <is>
          <t>Balance at 31 December 2024</t>
        </is>
      </c>
      <c r="B63" s="5" t="n">
        <v>79.40000000000001</v>
      </c>
      <c r="C63" s="5" t="n">
        <v>195.6</v>
      </c>
      <c r="D63" s="5" t="n">
        <v>250</v>
      </c>
      <c r="E63" s="5" t="n">
        <v>412.8</v>
      </c>
      <c r="F63" s="5" t="n"/>
      <c r="G63" s="5" t="n"/>
      <c r="H63" s="5" t="n">
        <v>-8</v>
      </c>
      <c r="I63" s="5" t="n">
        <v>26</v>
      </c>
      <c r="J63" s="5" t="n">
        <v>1164.9</v>
      </c>
      <c r="K63" s="5" t="n">
        <v>2120.7</v>
      </c>
    </row>
    <row r="64">
      <c r="A64" s="6" t="inlineStr">
        <is>
          <t>Profit for the year</t>
        </is>
      </c>
      <c r="B64" s="6" t="n"/>
      <c r="C64" s="6" t="n"/>
      <c r="D64" s="6" t="n"/>
      <c r="E64" s="6" t="n"/>
      <c r="F64" s="6" t="n"/>
      <c r="G64" s="6" t="n"/>
      <c r="H64" s="6" t="n"/>
      <c r="I64" s="6" t="n"/>
      <c r="J64" s="6" t="n">
        <v>251.1</v>
      </c>
      <c r="K64" s="6" t="n">
        <v>251.1</v>
      </c>
    </row>
    <row r="65">
      <c r="A65" s="6" t="inlineStr">
        <is>
          <t>Change in fair value reserve</t>
        </is>
      </c>
      <c r="B65" s="6" t="n"/>
      <c r="C65" s="6" t="n"/>
      <c r="D65" s="6" t="n"/>
      <c r="E65" s="6" t="n"/>
      <c r="F65" s="6" t="n"/>
      <c r="G65" s="6" t="n"/>
      <c r="H65" s="6" t="n">
        <v>1.8</v>
      </c>
      <c r="I65" s="6" t="n"/>
      <c r="J65" s="6" t="n"/>
      <c r="K65" s="6" t="n">
        <v>1.8</v>
      </c>
    </row>
    <row r="66">
      <c r="A66" s="6" t="inlineStr">
        <is>
          <t>Change in cash flow hedging reserve</t>
        </is>
      </c>
      <c r="B66" s="6" t="n"/>
      <c r="C66" s="6" t="n"/>
      <c r="D66" s="6" t="n"/>
      <c r="E66" s="6" t="n"/>
      <c r="F66" s="6" t="n"/>
      <c r="G66" s="6" t="n"/>
      <c r="H66" s="6" t="n"/>
      <c r="I66" s="6" t="n">
        <v>-18</v>
      </c>
      <c r="J66" s="6" t="n"/>
      <c r="K66" s="6" t="n">
        <v>-18</v>
      </c>
    </row>
    <row r="67">
      <c r="A67" s="6" t="inlineStr">
        <is>
          <t>Distributions on other equity instruments</t>
        </is>
      </c>
      <c r="B67" s="6" t="n"/>
      <c r="C67" s="6" t="n"/>
      <c r="D67" s="6" t="n"/>
      <c r="E67" s="6" t="n"/>
      <c r="F67" s="6" t="n"/>
      <c r="G67" s="6" t="n"/>
      <c r="H67" s="6" t="n"/>
      <c r="I67" s="6" t="n"/>
      <c r="J67" s="6" t="n">
        <v>-17.6</v>
      </c>
      <c r="K67" s="6" t="n">
        <v>-17.6</v>
      </c>
    </row>
    <row r="68">
      <c r="A68" s="5" t="inlineStr">
        <is>
          <t>Balance at 31 December 2025</t>
        </is>
      </c>
      <c r="B68" s="5" t="n">
        <v>79.40000000000001</v>
      </c>
      <c r="C68" s="5" t="n">
        <v>195.6</v>
      </c>
      <c r="D68" s="5" t="n">
        <v>250</v>
      </c>
      <c r="E68" s="5" t="n">
        <v>412.8</v>
      </c>
      <c r="F68" s="5" t="n"/>
      <c r="G68" s="5" t="n"/>
      <c r="H68" s="5" t="n">
        <v>-6.2</v>
      </c>
      <c r="I68" s="5" t="n">
        <v>8</v>
      </c>
      <c r="J68" s="5" t="n">
        <v>1398.4</v>
      </c>
      <c r="K68" s="5" t="n">
        <v>2338</v>
      </c>
    </row>
    <row r="70" ht="230" customHeight="1">
      <c r="A70"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70:K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9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Cash Flow Statement</t>
        </is>
      </c>
    </row>
    <row r="2">
      <c r="A2" s="2" t="inlineStr">
        <is>
          <t>Bank (Consolidated) basis, £ million unless stated. See source note at bottom (incl. an FY2021/FY2022 restatement break).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Cash flows from operating activities</t>
        </is>
      </c>
      <c r="B4" s="6" t="n"/>
      <c r="C4" s="6" t="n"/>
      <c r="D4" s="6" t="n"/>
      <c r="E4" s="6" t="n"/>
      <c r="F4" s="6" t="n"/>
      <c r="G4" s="6" t="n"/>
      <c r="H4" s="6" t="n"/>
      <c r="I4" s="6" t="n"/>
      <c r="J4" s="6" t="n"/>
      <c r="K4" s="6" t="n"/>
      <c r="L4" s="6" t="n"/>
      <c r="M4" s="6" t="n"/>
    </row>
    <row r="5">
      <c r="A5" s="6" t="inlineStr">
        <is>
          <t>Profit/(loss) before taxation</t>
        </is>
      </c>
      <c r="B5" s="6" t="n">
        <v>339.4</v>
      </c>
      <c r="C5" s="6" t="n">
        <v>285.1</v>
      </c>
      <c r="D5" s="6" t="n">
        <v>235.5</v>
      </c>
      <c r="E5" s="6" t="n">
        <v>181.1</v>
      </c>
      <c r="F5" s="6" t="n">
        <v>155.5</v>
      </c>
      <c r="G5" s="6" t="n">
        <v>-200.5</v>
      </c>
      <c r="H5" s="6" t="n">
        <v>45.4</v>
      </c>
      <c r="I5" s="6" t="n">
        <v>-101</v>
      </c>
      <c r="J5" s="6" t="n">
        <v>159.1</v>
      </c>
      <c r="K5" s="6" t="n">
        <v>182</v>
      </c>
      <c r="L5" s="6" t="n">
        <v>67.59999999999999</v>
      </c>
      <c r="M5" s="6" t="n">
        <v>170.2</v>
      </c>
    </row>
    <row r="6">
      <c r="A6" s="6" t="inlineStr">
        <is>
          <t>Decrease in loans to central banks</t>
        </is>
      </c>
      <c r="B6" s="6" t="n">
        <v>0</v>
      </c>
      <c r="C6" s="6" t="n">
        <v>136</v>
      </c>
      <c r="D6" s="6" t="n"/>
      <c r="E6" s="6" t="n"/>
      <c r="F6" s="6" t="n"/>
      <c r="G6" s="6" t="n"/>
      <c r="H6" s="6" t="n"/>
      <c r="I6" s="6" t="n"/>
      <c r="J6" s="6" t="n"/>
      <c r="K6" s="6" t="n"/>
      <c r="L6" s="6" t="n"/>
      <c r="M6" s="6" t="n"/>
    </row>
    <row r="7">
      <c r="A7" s="6" t="inlineStr">
        <is>
          <t>Increase in loans to central banks (FY2019-20 presentation)</t>
        </is>
      </c>
      <c r="B7" s="6" t="n"/>
      <c r="C7" s="6" t="n"/>
      <c r="D7" s="6" t="n"/>
      <c r="E7" s="6" t="n"/>
      <c r="F7" s="6" t="n"/>
      <c r="G7" s="6" t="n">
        <v>-24.8</v>
      </c>
      <c r="H7" s="6" t="n">
        <v>-8.300000000000001</v>
      </c>
      <c r="I7" s="6" t="n"/>
      <c r="J7" s="6" t="n"/>
      <c r="K7" s="6" t="n"/>
      <c r="L7" s="6" t="n"/>
      <c r="M7" s="6" t="n"/>
    </row>
    <row r="8">
      <c r="A8" s="6" t="inlineStr">
        <is>
          <t>Increase in loans to central banks (FY2021 presentation)</t>
        </is>
      </c>
      <c r="B8" s="6" t="n"/>
      <c r="C8" s="6" t="n"/>
      <c r="D8" s="6" t="n"/>
      <c r="E8" s="6" t="n"/>
      <c r="F8" s="6" t="n">
        <v>-22.7</v>
      </c>
      <c r="G8" s="6" t="n"/>
      <c r="H8" s="6" t="n"/>
      <c r="I8" s="6" t="n"/>
      <c r="J8" s="6" t="n"/>
      <c r="K8" s="6" t="n"/>
      <c r="L8" s="6" t="n"/>
      <c r="M8" s="6" t="n"/>
    </row>
    <row r="9">
      <c r="A9" s="6" t="inlineStr">
        <is>
          <t>(Increase)/decrease in loans to credit institutions</t>
        </is>
      </c>
      <c r="B9" s="6" t="n"/>
      <c r="C9" s="6" t="n"/>
      <c r="D9" s="6" t="n"/>
      <c r="E9" s="6" t="n"/>
      <c r="F9" s="6" t="n">
        <v>-12.8</v>
      </c>
      <c r="G9" s="6" t="n"/>
      <c r="H9" s="6" t="n"/>
      <c r="I9" s="6" t="n"/>
      <c r="J9" s="6" t="n"/>
      <c r="K9" s="6" t="n"/>
      <c r="L9" s="6" t="n"/>
      <c r="M9" s="6" t="n"/>
    </row>
    <row r="10">
      <c r="A10" s="6" t="inlineStr">
        <is>
          <t>Decrease/(increase) in loans to credit institutions (FY2019-20 presentation)</t>
        </is>
      </c>
      <c r="B10" s="6" t="n"/>
      <c r="C10" s="6" t="n"/>
      <c r="D10" s="6" t="n"/>
      <c r="E10" s="6" t="n"/>
      <c r="F10" s="6" t="n"/>
      <c r="G10" s="6" t="n">
        <v>329.9</v>
      </c>
      <c r="H10" s="6" t="n">
        <v>-2.6</v>
      </c>
      <c r="I10" s="6" t="n"/>
      <c r="J10" s="6" t="n"/>
      <c r="K10" s="6" t="n"/>
      <c r="L10" s="6" t="n"/>
      <c r="M10" s="6" t="n"/>
    </row>
    <row r="11">
      <c r="A11" s="6" t="inlineStr">
        <is>
          <t>Decrease/(increase) in loans and advances to customers</t>
        </is>
      </c>
      <c r="B11" s="6" t="n">
        <v>-1.4</v>
      </c>
      <c r="C11" s="6" t="n">
        <v>-124.6</v>
      </c>
      <c r="D11" s="6" t="n">
        <v>1719.2</v>
      </c>
      <c r="E11" s="6" t="n">
        <v>-722.5</v>
      </c>
      <c r="F11" s="6" t="n">
        <v>-4070.2</v>
      </c>
      <c r="G11" s="6" t="n">
        <v>-2402.4</v>
      </c>
      <c r="H11" s="6" t="n">
        <v>-1132.8</v>
      </c>
      <c r="I11" s="6" t="n"/>
      <c r="J11" s="6" t="n"/>
      <c r="K11" s="6" t="n"/>
      <c r="L11" s="6" t="n"/>
      <c r="M11" s="6" t="n"/>
    </row>
    <row r="12">
      <c r="A12" s="6" t="inlineStr">
        <is>
          <t>Change in operating assets (as reported, FY2014-FY2018 presentation)</t>
        </is>
      </c>
      <c r="B12" s="6" t="n"/>
      <c r="C12" s="6" t="n"/>
      <c r="D12" s="6" t="n"/>
      <c r="E12" s="6" t="n"/>
      <c r="F12" s="6" t="n"/>
      <c r="G12" s="6" t="n"/>
      <c r="H12" s="6" t="n"/>
      <c r="I12" s="6" t="n">
        <v>1194.6</v>
      </c>
      <c r="J12" s="6" t="n">
        <v>-1482.9</v>
      </c>
      <c r="K12" s="6" t="n">
        <v>-3920.6</v>
      </c>
      <c r="L12" s="6" t="n">
        <v>-2270.5</v>
      </c>
      <c r="M12" s="6" t="n">
        <v>5697.6</v>
      </c>
    </row>
    <row r="13">
      <c r="A13" s="6" t="inlineStr">
        <is>
          <t>Change in operating liabilities (as reported, FY2014-FY2018 presentation)</t>
        </is>
      </c>
      <c r="B13" s="6" t="n"/>
      <c r="C13" s="6" t="n"/>
      <c r="D13" s="6" t="n"/>
      <c r="E13" s="6" t="n"/>
      <c r="F13" s="6" t="n"/>
      <c r="G13" s="6" t="n"/>
      <c r="H13" s="6" t="n"/>
      <c r="I13" s="6" t="n">
        <v>-1557.8</v>
      </c>
      <c r="J13" s="6" t="n">
        <v>1173.8</v>
      </c>
      <c r="K13" s="6" t="n">
        <v>3990.2</v>
      </c>
      <c r="L13" s="6" t="n">
        <v>1478.1</v>
      </c>
      <c r="M13" s="6" t="n">
        <v>1568.5</v>
      </c>
    </row>
    <row r="14">
      <c r="A14" s="6" t="inlineStr">
        <is>
          <t>Increase in reverse repurchase agreements</t>
        </is>
      </c>
      <c r="B14" s="6" t="n">
        <v>-62</v>
      </c>
      <c r="C14" s="6" t="n">
        <v>0</v>
      </c>
      <c r="D14" s="6" t="n"/>
      <c r="E14" s="6" t="n"/>
      <c r="F14" s="6" t="n"/>
      <c r="G14" s="6" t="n"/>
      <c r="H14" s="6" t="n"/>
      <c r="I14" s="6" t="n"/>
      <c r="J14" s="6" t="n"/>
      <c r="K14" s="6" t="n"/>
      <c r="L14" s="6" t="n"/>
      <c r="M14" s="6" t="n"/>
    </row>
    <row r="15">
      <c r="A15" s="6" t="inlineStr">
        <is>
          <t>Decrease in reverse purchase agreements (FY2021 presentation)</t>
        </is>
      </c>
      <c r="B15" s="6" t="n"/>
      <c r="C15" s="6" t="n"/>
      <c r="D15" s="6" t="n"/>
      <c r="E15" s="6" t="n"/>
      <c r="F15" s="6" t="n">
        <v>0</v>
      </c>
      <c r="G15" s="6" t="n"/>
      <c r="H15" s="6" t="n"/>
      <c r="I15" s="6" t="n"/>
      <c r="J15" s="6" t="n"/>
      <c r="K15" s="6" t="n"/>
      <c r="L15" s="6" t="n"/>
      <c r="M15" s="6" t="n"/>
    </row>
    <row r="16">
      <c r="A16" s="6" t="inlineStr">
        <is>
          <t>Decrease/(increase) in reverse purchase agreements (FY2019-20 presentation)</t>
        </is>
      </c>
      <c r="B16" s="6" t="n"/>
      <c r="C16" s="6" t="n"/>
      <c r="D16" s="6" t="n"/>
      <c r="E16" s="6" t="n"/>
      <c r="F16" s="6" t="n"/>
      <c r="G16" s="6" t="n">
        <v>201.1</v>
      </c>
      <c r="H16" s="6" t="n">
        <v>-201.1</v>
      </c>
      <c r="I16" s="6" t="n"/>
      <c r="J16" s="6" t="n"/>
      <c r="K16" s="6" t="n"/>
      <c r="L16" s="6" t="n"/>
      <c r="M16" s="6" t="n"/>
    </row>
    <row r="17">
      <c r="A17" s="6" t="inlineStr">
        <is>
          <t>Decrease/(increase) in other advances</t>
        </is>
      </c>
      <c r="B17" s="6" t="n">
        <v>63.3</v>
      </c>
      <c r="C17" s="6" t="n">
        <v>79.3</v>
      </c>
      <c r="D17" s="6" t="n">
        <v>493.6</v>
      </c>
      <c r="E17" s="6" t="n">
        <v>-622.6</v>
      </c>
      <c r="F17" s="6" t="n">
        <v>136.8</v>
      </c>
      <c r="G17" s="6" t="n">
        <v>62.1</v>
      </c>
      <c r="H17" s="6" t="n">
        <v>101.8</v>
      </c>
      <c r="I17" s="6" t="n"/>
      <c r="J17" s="6" t="n"/>
      <c r="K17" s="6" t="n"/>
      <c r="L17" s="6" t="n"/>
      <c r="M17" s="6" t="n"/>
    </row>
    <row r="18">
      <c r="A18" s="6" t="inlineStr">
        <is>
          <t>Net change in derivative financial instruments and FV adjustments for portfolio hedged risk (within operating assets/liabilities - FY2021/22 as originally presented)</t>
        </is>
      </c>
      <c r="B18" s="6" t="n"/>
      <c r="C18" s="6" t="n"/>
      <c r="D18" s="6" t="n"/>
      <c r="E18" s="6" t="n">
        <v>-63.1</v>
      </c>
      <c r="F18" s="6" t="n">
        <v>-147.6</v>
      </c>
      <c r="G18" s="6" t="n"/>
      <c r="H18" s="6" t="n"/>
      <c r="I18" s="6" t="n"/>
      <c r="J18" s="6" t="n"/>
      <c r="K18" s="6" t="n"/>
      <c r="L18" s="6" t="n"/>
      <c r="M18" s="6" t="n"/>
    </row>
    <row r="19">
      <c r="A19" s="6" t="inlineStr">
        <is>
          <t>Net change in derivative financial instruments and FV adjustments for portfolio hedged risk (within operating assets/liabilities - FY2019/20 as originally presented)</t>
        </is>
      </c>
      <c r="B19" s="6" t="n"/>
      <c r="C19" s="6" t="n"/>
      <c r="D19" s="6" t="n"/>
      <c r="E19" s="6" t="n"/>
      <c r="F19" s="6" t="n"/>
      <c r="G19" s="6" t="n">
        <v>-216</v>
      </c>
      <c r="H19" s="6" t="n">
        <v>-161.7</v>
      </c>
      <c r="I19" s="6" t="n"/>
      <c r="J19" s="6" t="n"/>
      <c r="K19" s="6" t="n"/>
      <c r="L19" s="6" t="n"/>
      <c r="M19" s="6" t="n"/>
    </row>
    <row r="20">
      <c r="A20" s="6" t="inlineStr">
        <is>
          <t>Decrease/(increase) in other assets</t>
        </is>
      </c>
      <c r="B20" s="6" t="n">
        <v>11.2</v>
      </c>
      <c r="C20" s="6" t="n">
        <v>2</v>
      </c>
      <c r="D20" s="6" t="n">
        <v>-6.5</v>
      </c>
      <c r="E20" s="6" t="n">
        <v>72.40000000000001</v>
      </c>
      <c r="F20" s="6" t="n">
        <v>18.6</v>
      </c>
      <c r="G20" s="6" t="n">
        <v>-25.4</v>
      </c>
      <c r="H20" s="6" t="n">
        <v>52.3</v>
      </c>
      <c r="I20" s="6" t="n"/>
      <c r="J20" s="6" t="n"/>
      <c r="K20" s="6" t="n"/>
      <c r="L20" s="6" t="n"/>
      <c r="M20" s="6" t="n"/>
    </row>
    <row r="21">
      <c r="A21" s="6" t="inlineStr">
        <is>
          <t>(Decrease)/increase in deposits from credit institutions (FY2021 presentation)</t>
        </is>
      </c>
      <c r="B21" s="6" t="n"/>
      <c r="C21" s="6" t="n"/>
      <c r="D21" s="6" t="n"/>
      <c r="E21" s="6" t="n"/>
      <c r="F21" s="6" t="n">
        <v>0</v>
      </c>
      <c r="G21" s="6" t="n"/>
      <c r="H21" s="6" t="n"/>
      <c r="I21" s="6" t="n"/>
      <c r="J21" s="6" t="n"/>
      <c r="K21" s="6" t="n"/>
      <c r="L21" s="6" t="n"/>
      <c r="M21" s="6" t="n"/>
    </row>
    <row r="22">
      <c r="A22" s="6" t="inlineStr">
        <is>
          <t>Increase/(decrease) in deposits from credit institutions (FY2019-20 presentation)</t>
        </is>
      </c>
      <c r="B22" s="6" t="n"/>
      <c r="C22" s="6" t="n"/>
      <c r="D22" s="6" t="n"/>
      <c r="E22" s="6" t="n"/>
      <c r="F22" s="6" t="n"/>
      <c r="G22" s="6" t="n">
        <v>4.2</v>
      </c>
      <c r="H22" s="6" t="n">
        <v>-2.7</v>
      </c>
      <c r="I22" s="6" t="n"/>
      <c r="J22" s="6" t="n"/>
      <c r="K22" s="6" t="n"/>
      <c r="L22" s="6" t="n"/>
      <c r="M22" s="6" t="n"/>
    </row>
    <row r="23">
      <c r="A23" s="6" t="inlineStr">
        <is>
          <t>Increase/(decrease) in customer deposits</t>
        </is>
      </c>
      <c r="B23" s="6" t="n">
        <v>176</v>
      </c>
      <c r="C23" s="6" t="n">
        <v>280.8</v>
      </c>
      <c r="D23" s="6" t="n">
        <v>-1666.5</v>
      </c>
      <c r="E23" s="6" t="n">
        <v>357</v>
      </c>
      <c r="F23" s="6" t="n">
        <v>1591.2</v>
      </c>
      <c r="G23" s="6" t="n">
        <v>4217</v>
      </c>
      <c r="H23" s="6" t="n">
        <v>1089.9</v>
      </c>
      <c r="I23" s="6" t="n"/>
      <c r="J23" s="6" t="n"/>
      <c r="K23" s="6" t="n"/>
      <c r="L23" s="6" t="n"/>
      <c r="M23" s="6" t="n"/>
    </row>
    <row r="24">
      <c r="A24" s="6" t="inlineStr">
        <is>
          <t>(Decrease)/increase in other financial liabilities</t>
        </is>
      </c>
      <c r="B24" s="6" t="n">
        <v>-148.8</v>
      </c>
      <c r="C24" s="6" t="n">
        <v>-91.90000000000001</v>
      </c>
      <c r="D24" s="6" t="n">
        <v>-156.4</v>
      </c>
      <c r="E24" s="6" t="n">
        <v>1126.5</v>
      </c>
      <c r="F24" s="6" t="n">
        <v>141.9</v>
      </c>
      <c r="G24" s="6" t="n">
        <v>-33.3</v>
      </c>
      <c r="H24" s="6" t="n">
        <v>13.6</v>
      </c>
      <c r="I24" s="6" t="n"/>
      <c r="J24" s="6" t="n"/>
      <c r="K24" s="6" t="n"/>
      <c r="L24" s="6" t="n"/>
      <c r="M24" s="6" t="n"/>
    </row>
    <row r="25">
      <c r="A25" s="6" t="inlineStr">
        <is>
          <t>(Decrease)/increase in provisions</t>
        </is>
      </c>
      <c r="B25" s="6" t="n">
        <v>-13.4</v>
      </c>
      <c r="C25" s="6" t="n">
        <v>-33.5</v>
      </c>
      <c r="D25" s="6" t="n">
        <v>-46.5</v>
      </c>
      <c r="E25" s="6" t="n">
        <v>17.6</v>
      </c>
      <c r="F25" s="6" t="n">
        <v>-40.4</v>
      </c>
      <c r="G25" s="6" t="n">
        <v>101.3</v>
      </c>
      <c r="H25" s="6" t="n">
        <v>-11.8</v>
      </c>
      <c r="I25" s="6" t="n"/>
      <c r="J25" s="6" t="n"/>
      <c r="K25" s="6" t="n"/>
      <c r="L25" s="6" t="n"/>
      <c r="M25" s="6" t="n"/>
    </row>
    <row r="26">
      <c r="A26" s="6" t="inlineStr">
        <is>
          <t>Increase/(decrease) in other liabilities</t>
        </is>
      </c>
      <c r="B26" s="6" t="n">
        <v>16.4</v>
      </c>
      <c r="C26" s="6" t="n">
        <v>-3.3</v>
      </c>
      <c r="D26" s="6" t="n">
        <v>-11.6</v>
      </c>
      <c r="E26" s="6" t="n">
        <v>-25.4</v>
      </c>
      <c r="F26" s="6" t="n">
        <v>0.7</v>
      </c>
      <c r="G26" s="6" t="n">
        <v>41.9</v>
      </c>
      <c r="H26" s="6" t="n">
        <v>-332.9</v>
      </c>
      <c r="I26" s="6" t="n"/>
      <c r="J26" s="6" t="n"/>
      <c r="K26" s="6" t="n"/>
      <c r="L26" s="6" t="n"/>
      <c r="M26" s="6" t="n"/>
    </row>
    <row r="27">
      <c r="A27" s="5" t="inlineStr">
        <is>
          <t>Change in operating assets and liabilities (as reported)</t>
        </is>
      </c>
      <c r="B27" s="5" t="n">
        <v>41.3</v>
      </c>
      <c r="C27" s="5" t="n">
        <v>244.8</v>
      </c>
      <c r="D27" s="5" t="n">
        <v>333.6</v>
      </c>
      <c r="E27" s="5" t="n">
        <v>202.3</v>
      </c>
      <c r="F27" s="5" t="n">
        <v>-2404.5</v>
      </c>
      <c r="G27" s="5" t="n">
        <v>2255.6</v>
      </c>
      <c r="H27" s="5" t="n">
        <v>-596.3</v>
      </c>
      <c r="I27" s="5" t="n"/>
      <c r="J27" s="5" t="n"/>
      <c r="K27" s="5" t="n"/>
      <c r="L27" s="5" t="n"/>
      <c r="M27" s="5" t="n"/>
    </row>
    <row r="28">
      <c r="A28" s="6" t="inlineStr">
        <is>
          <t>Interest expense on financing activities</t>
        </is>
      </c>
      <c r="B28" s="6" t="n">
        <v>291.1</v>
      </c>
      <c r="C28" s="6" t="n">
        <v>402.3</v>
      </c>
      <c r="D28" s="6" t="n">
        <v>398.8</v>
      </c>
      <c r="E28" s="6" t="n">
        <v>160</v>
      </c>
      <c r="F28" s="6" t="n"/>
      <c r="G28" s="6" t="n"/>
      <c r="H28" s="6" t="n"/>
      <c r="I28" s="6" t="n"/>
      <c r="J28" s="6" t="n"/>
      <c r="K28" s="6" t="n"/>
      <c r="L28" s="6" t="n"/>
      <c r="M28" s="6" t="n"/>
    </row>
    <row r="29">
      <c r="A29" s="6" t="inlineStr">
        <is>
          <t>Interest income on investing activities</t>
        </is>
      </c>
      <c r="B29" s="6" t="n">
        <v>-63.4</v>
      </c>
      <c r="C29" s="6" t="n">
        <v>-63.2</v>
      </c>
      <c r="D29" s="6" t="n">
        <v>-60</v>
      </c>
      <c r="E29" s="6" t="n">
        <v>-33.2</v>
      </c>
      <c r="F29" s="6" t="n"/>
      <c r="G29" s="6" t="n"/>
      <c r="H29" s="6" t="n"/>
      <c r="I29" s="6" t="n"/>
      <c r="J29" s="6" t="n"/>
      <c r="K29" s="6" t="n"/>
      <c r="L29" s="6" t="n"/>
      <c r="M29" s="6" t="n"/>
    </row>
    <row r="30">
      <c r="A30" s="6" t="inlineStr">
        <is>
          <t>Net change in derivative financial instruments and FV adjustments for portfolio hedged risk (within non-cash items - FY2023 onward presentation)</t>
        </is>
      </c>
      <c r="B30" s="6" t="n">
        <v>127.1</v>
      </c>
      <c r="C30" s="6" t="n">
        <v>259.6</v>
      </c>
      <c r="D30" s="6" t="n">
        <v>147.6</v>
      </c>
      <c r="E30" s="6" t="n"/>
      <c r="F30" s="6" t="n"/>
      <c r="G30" s="6" t="n"/>
      <c r="H30" s="6" t="n"/>
      <c r="I30" s="6" t="n"/>
      <c r="J30" s="6" t="n"/>
      <c r="K30" s="6" t="n"/>
      <c r="L30" s="6" t="n"/>
      <c r="M30" s="6" t="n"/>
    </row>
    <row r="31">
      <c r="A31" s="6" t="inlineStr">
        <is>
          <t>Depreciation and amortisation</t>
        </is>
      </c>
      <c r="B31" s="6" t="n">
        <v>63.4</v>
      </c>
      <c r="C31" s="6" t="n">
        <v>72.5</v>
      </c>
      <c r="D31" s="6" t="n">
        <v>67</v>
      </c>
      <c r="E31" s="6" t="n">
        <v>66</v>
      </c>
      <c r="F31" s="6" t="n">
        <v>70.2</v>
      </c>
      <c r="G31" s="6" t="n">
        <v>74.3</v>
      </c>
      <c r="H31" s="6" t="n">
        <v>60.2</v>
      </c>
      <c r="I31" s="6" t="n"/>
      <c r="J31" s="6" t="n"/>
      <c r="K31" s="6" t="n"/>
      <c r="L31" s="6" t="n"/>
      <c r="M31" s="6" t="n"/>
    </row>
    <row r="32">
      <c r="A32" s="6" t="inlineStr">
        <is>
          <t>Net movement in allowance for credit impairment losses</t>
        </is>
      </c>
      <c r="B32" s="6" t="n">
        <v>-8.9</v>
      </c>
      <c r="C32" s="6" t="n">
        <v>-31.7</v>
      </c>
      <c r="D32" s="6" t="n"/>
      <c r="E32" s="6" t="n"/>
      <c r="F32" s="6" t="n"/>
      <c r="G32" s="6" t="n"/>
      <c r="H32" s="6" t="n"/>
      <c r="I32" s="6" t="n"/>
      <c r="J32" s="6" t="n"/>
      <c r="K32" s="6" t="n"/>
      <c r="L32" s="6" t="n"/>
      <c r="M32" s="6" t="n"/>
    </row>
    <row r="33">
      <c r="A33" s="6" t="inlineStr">
        <is>
          <t>Impairment losses on loans and advances to customers (FY2021-23 presentation)</t>
        </is>
      </c>
      <c r="B33" s="6" t="n"/>
      <c r="C33" s="6" t="n"/>
      <c r="D33" s="6" t="n">
        <v>13.8</v>
      </c>
      <c r="E33" s="6" t="n">
        <v>57.8</v>
      </c>
      <c r="F33" s="6" t="n">
        <v>2.6</v>
      </c>
      <c r="G33" s="6" t="n"/>
      <c r="H33" s="6" t="n"/>
      <c r="I33" s="6" t="n"/>
      <c r="J33" s="6" t="n"/>
      <c r="K33" s="6" t="n"/>
      <c r="L33" s="6" t="n"/>
      <c r="M33" s="6" t="n"/>
    </row>
    <row r="34">
      <c r="A34" s="6" t="inlineStr">
        <is>
          <t>Impairment losses on loans and advances to customers (FY2019-20 presentation)</t>
        </is>
      </c>
      <c r="B34" s="6" t="n"/>
      <c r="C34" s="6" t="n"/>
      <c r="D34" s="6" t="n"/>
      <c r="E34" s="6" t="n"/>
      <c r="F34" s="6" t="n"/>
      <c r="G34" s="6" t="n">
        <v>162.7</v>
      </c>
      <c r="H34" s="6" t="n">
        <v>60.9</v>
      </c>
      <c r="I34" s="6" t="n"/>
      <c r="J34" s="6" t="n"/>
      <c r="K34" s="6" t="n"/>
      <c r="L34" s="6" t="n"/>
      <c r="M34" s="6" t="n"/>
    </row>
    <row r="35">
      <c r="A35" s="6" t="inlineStr">
        <is>
          <t>Exchange differences</t>
        </is>
      </c>
      <c r="B35" s="6" t="n"/>
      <c r="C35" s="6" t="n"/>
      <c r="D35" s="6" t="n"/>
      <c r="E35" s="6" t="n"/>
      <c r="F35" s="6" t="n">
        <v>0</v>
      </c>
      <c r="G35" s="6" t="n">
        <v>13.7</v>
      </c>
      <c r="H35" s="6" t="n">
        <v>-20.5</v>
      </c>
      <c r="I35" s="6" t="n"/>
      <c r="J35" s="6" t="n"/>
      <c r="K35" s="6" t="n"/>
      <c r="L35" s="6" t="n"/>
      <c r="M35" s="6" t="n"/>
    </row>
    <row r="36">
      <c r="A36" s="6" t="inlineStr">
        <is>
          <t>Other non-cash items</t>
        </is>
      </c>
      <c r="B36" s="6" t="n">
        <v>-48.8</v>
      </c>
      <c r="C36" s="6" t="n">
        <v>-115.5</v>
      </c>
      <c r="D36" s="6" t="n">
        <v>97.40000000000001</v>
      </c>
      <c r="E36" s="6" t="n">
        <v>-64.2</v>
      </c>
      <c r="F36" s="6" t="n">
        <v>39.2</v>
      </c>
      <c r="G36" s="6" t="n">
        <v>13.9</v>
      </c>
      <c r="H36" s="6" t="n">
        <v>69.5</v>
      </c>
      <c r="I36" s="6" t="n">
        <v>152.4</v>
      </c>
      <c r="J36" s="6" t="n">
        <v>116.4</v>
      </c>
      <c r="K36" s="6" t="n">
        <v>76.2</v>
      </c>
      <c r="L36" s="6" t="n">
        <v>142.1</v>
      </c>
      <c r="M36" s="6" t="n">
        <v>41.1</v>
      </c>
    </row>
    <row r="37">
      <c r="A37" s="5" t="inlineStr">
        <is>
          <t>Non-cash and other items (as reported)</t>
        </is>
      </c>
      <c r="B37" s="5" t="n">
        <v>360.5</v>
      </c>
      <c r="C37" s="5" t="n">
        <v>524</v>
      </c>
      <c r="D37" s="5" t="n">
        <v>664.6</v>
      </c>
      <c r="E37" s="5" t="n">
        <v>247.4</v>
      </c>
      <c r="F37" s="5" t="n">
        <v>112</v>
      </c>
      <c r="G37" s="5" t="n">
        <v>264.6</v>
      </c>
      <c r="H37" s="5" t="n">
        <v>170.1</v>
      </c>
      <c r="I37" s="5" t="n"/>
      <c r="J37" s="5" t="n"/>
      <c r="K37" s="5" t="n"/>
      <c r="L37" s="5" t="n"/>
      <c r="M37" s="5" t="n"/>
    </row>
    <row r="38">
      <c r="A38" s="6" t="inlineStr">
        <is>
          <t>Taxation paid</t>
        </is>
      </c>
      <c r="B38" s="6" t="n">
        <v>-78.8</v>
      </c>
      <c r="C38" s="6" t="n">
        <v>-57</v>
      </c>
      <c r="D38" s="6" t="n">
        <v>-33</v>
      </c>
      <c r="E38" s="6" t="n">
        <v>-34.4</v>
      </c>
      <c r="F38" s="6" t="n">
        <v>-8.699999999999999</v>
      </c>
      <c r="G38" s="6" t="n">
        <v>0</v>
      </c>
      <c r="H38" s="6" t="n">
        <v>20.5</v>
      </c>
      <c r="I38" s="6" t="n">
        <v>-7</v>
      </c>
      <c r="J38" s="6" t="n">
        <v>-25.5</v>
      </c>
      <c r="K38" s="6" t="n">
        <v>-8.699999999999999</v>
      </c>
      <c r="L38" s="6" t="n">
        <v>-8.5</v>
      </c>
      <c r="M38" s="6" t="n">
        <v>-3.7</v>
      </c>
    </row>
    <row r="39">
      <c r="A39" s="5" t="inlineStr">
        <is>
          <t>Net cash (used in)/provided by operating activities</t>
        </is>
      </c>
      <c r="B39" s="5" t="n">
        <v>662.4</v>
      </c>
      <c r="C39" s="5" t="n">
        <v>996.9</v>
      </c>
      <c r="D39" s="5" t="n">
        <v>1200.7</v>
      </c>
      <c r="E39" s="5" t="n">
        <v>596.4</v>
      </c>
      <c r="F39" s="5" t="n">
        <v>-2145.7</v>
      </c>
      <c r="G39" s="5" t="n">
        <v>2319.7</v>
      </c>
      <c r="H39" s="5" t="n">
        <v>-360.3</v>
      </c>
      <c r="I39" s="5" t="n">
        <v>-318.8</v>
      </c>
      <c r="J39" s="5" t="n">
        <v>-59.1</v>
      </c>
      <c r="K39" s="5" t="n">
        <v>319.1</v>
      </c>
      <c r="L39" s="5" t="n">
        <v>-591.2</v>
      </c>
      <c r="M39" s="5" t="n">
        <v>7473.7</v>
      </c>
    </row>
    <row r="40">
      <c r="A40" s="5" t="inlineStr">
        <is>
          <t>Cash flows from investing activities</t>
        </is>
      </c>
      <c r="B40" s="6" t="n"/>
      <c r="C40" s="6" t="n"/>
      <c r="D40" s="6" t="n"/>
      <c r="E40" s="6" t="n"/>
      <c r="F40" s="6" t="n"/>
      <c r="G40" s="6" t="n"/>
      <c r="H40" s="6" t="n"/>
      <c r="I40" s="6" t="n"/>
      <c r="J40" s="6" t="n"/>
      <c r="K40" s="6" t="n"/>
      <c r="L40" s="6" t="n"/>
      <c r="M40" s="6" t="n"/>
    </row>
    <row r="41">
      <c r="A41" s="6" t="inlineStr">
        <is>
          <t>Purchase of property and equipment</t>
        </is>
      </c>
      <c r="B41" s="6" t="n">
        <v>-18.3</v>
      </c>
      <c r="C41" s="6" t="n">
        <v>-22.2</v>
      </c>
      <c r="D41" s="6" t="n">
        <v>-20.2</v>
      </c>
      <c r="E41" s="6" t="n">
        <v>-36.8</v>
      </c>
      <c r="F41" s="6" t="n">
        <v>-44.5</v>
      </c>
      <c r="G41" s="6" t="n">
        <v>-30.2</v>
      </c>
      <c r="H41" s="6" t="n">
        <v>-18</v>
      </c>
      <c r="I41" s="6" t="n">
        <v>-15.8</v>
      </c>
      <c r="J41" s="6" t="n">
        <v>-15.8</v>
      </c>
      <c r="K41" s="6" t="n">
        <v>-35.9</v>
      </c>
      <c r="L41" s="6" t="n">
        <v>-39.7</v>
      </c>
      <c r="M41" s="6" t="n">
        <v>-85.8</v>
      </c>
    </row>
    <row r="42">
      <c r="A42" s="6" t="inlineStr">
        <is>
          <t>Purchase and development of intangible assets</t>
        </is>
      </c>
      <c r="B42" s="6" t="n">
        <v>-38.4</v>
      </c>
      <c r="C42" s="6" t="n">
        <v>-41.8</v>
      </c>
      <c r="D42" s="6" t="n">
        <v>-28</v>
      </c>
      <c r="E42" s="6" t="n">
        <v>-17.5</v>
      </c>
      <c r="F42" s="6" t="n">
        <v>-30.3</v>
      </c>
      <c r="G42" s="6" t="n">
        <v>-35.9</v>
      </c>
      <c r="H42" s="6" t="n">
        <v>-7.6</v>
      </c>
      <c r="I42" s="6" t="n"/>
      <c r="J42" s="6" t="n"/>
      <c r="K42" s="6" t="n"/>
      <c r="L42" s="6" t="n"/>
      <c r="M42" s="6" t="n"/>
    </row>
    <row r="43">
      <c r="A43" s="6" t="inlineStr">
        <is>
          <t>Purchase of financial assets (FY2014-FY2018 presentation)</t>
        </is>
      </c>
      <c r="B43" s="6" t="n"/>
      <c r="C43" s="6" t="n"/>
      <c r="D43" s="6" t="n"/>
      <c r="E43" s="6" t="n"/>
      <c r="F43" s="6" t="n"/>
      <c r="G43" s="6" t="n"/>
      <c r="H43" s="6" t="n"/>
      <c r="I43" s="6" t="n">
        <v>-398.1</v>
      </c>
      <c r="J43" s="6" t="n">
        <v>-62.9</v>
      </c>
      <c r="K43" s="6" t="n">
        <v>-779.2</v>
      </c>
      <c r="L43" s="6" t="n">
        <v>-3969.6</v>
      </c>
      <c r="M43" s="6" t="n">
        <v>-3682.1</v>
      </c>
    </row>
    <row r="44">
      <c r="A44" s="6" t="inlineStr">
        <is>
          <t>Interest received on financial assets (FY2014-FY2018 presentation)</t>
        </is>
      </c>
      <c r="B44" s="6" t="n"/>
      <c r="C44" s="6" t="n"/>
      <c r="D44" s="6" t="n"/>
      <c r="E44" s="6" t="n"/>
      <c r="F44" s="6" t="n"/>
      <c r="G44" s="6" t="n"/>
      <c r="H44" s="6" t="n"/>
      <c r="I44" s="6" t="n">
        <v>76.59999999999999</v>
      </c>
      <c r="J44" s="6" t="n">
        <v>83.3</v>
      </c>
      <c r="K44" s="6" t="n">
        <v>53.7</v>
      </c>
      <c r="L44" s="6" t="n">
        <v>32.8</v>
      </c>
      <c r="M44" s="6" t="n"/>
    </row>
    <row r="45">
      <c r="A45" s="6" t="inlineStr">
        <is>
          <t>Proceeds on disposal of equity assets</t>
        </is>
      </c>
      <c r="B45" s="6" t="n"/>
      <c r="C45" s="6" t="n"/>
      <c r="D45" s="6" t="n"/>
      <c r="E45" s="6" t="n"/>
      <c r="F45" s="6" t="n"/>
      <c r="G45" s="6" t="n"/>
      <c r="H45" s="6" t="n"/>
      <c r="I45" s="6" t="n">
        <v>9.199999999999999</v>
      </c>
      <c r="J45" s="6" t="n"/>
      <c r="K45" s="6" t="n">
        <v>25.3</v>
      </c>
      <c r="L45" s="6" t="n"/>
      <c r="M45" s="6" t="n"/>
    </row>
    <row r="46">
      <c r="A46" s="6" t="inlineStr">
        <is>
          <t>Maturity/(issue) of reverse repurchase agreements (FY2014-16 presentation)</t>
        </is>
      </c>
      <c r="B46" s="6" t="n"/>
      <c r="C46" s="6" t="n"/>
      <c r="D46" s="6" t="n"/>
      <c r="E46" s="6" t="n"/>
      <c r="F46" s="6" t="n"/>
      <c r="G46" s="6" t="n"/>
      <c r="H46" s="6" t="n"/>
      <c r="I46" s="6" t="n"/>
      <c r="J46" s="6" t="n"/>
      <c r="K46" s="6" t="n">
        <v>20.3</v>
      </c>
      <c r="L46" s="6" t="n">
        <v>-20.3</v>
      </c>
      <c r="M46" s="6" t="n"/>
    </row>
    <row r="47">
      <c r="A47" s="6" t="inlineStr">
        <is>
          <t>Interest received on reverse repurchase agreements</t>
        </is>
      </c>
      <c r="B47" s="6" t="n"/>
      <c r="C47" s="6" t="n"/>
      <c r="D47" s="6" t="n"/>
      <c r="E47" s="6" t="n"/>
      <c r="F47" s="6" t="n"/>
      <c r="G47" s="6" t="n"/>
      <c r="H47" s="6" t="n"/>
      <c r="I47" s="6" t="n">
        <v>0.4</v>
      </c>
      <c r="J47" s="6" t="n">
        <v>0.4</v>
      </c>
      <c r="K47" s="6" t="n">
        <v>2.2</v>
      </c>
      <c r="L47" s="6" t="n"/>
      <c r="M47" s="6" t="n"/>
    </row>
    <row r="48">
      <c r="A48" s="6" t="inlineStr">
        <is>
          <t>Purchase of Sabadell shares</t>
        </is>
      </c>
      <c r="B48" s="6" t="n"/>
      <c r="C48" s="6" t="n"/>
      <c r="D48" s="6" t="n"/>
      <c r="E48" s="6" t="n"/>
      <c r="F48" s="6" t="n"/>
      <c r="G48" s="6" t="n"/>
      <c r="H48" s="6" t="n"/>
      <c r="I48" s="6" t="n">
        <v>-0.9</v>
      </c>
      <c r="J48" s="6" t="n">
        <v>-0.9</v>
      </c>
      <c r="K48" s="6" t="n">
        <v>-5.2</v>
      </c>
      <c r="L48" s="6" t="n">
        <v>-7.1</v>
      </c>
      <c r="M48" s="6" t="n"/>
    </row>
    <row r="49">
      <c r="A49" s="6" t="inlineStr">
        <is>
          <t>Disposal/(purchase) of shares held by trusts</t>
        </is>
      </c>
      <c r="B49" s="6" t="n"/>
      <c r="C49" s="6" t="n"/>
      <c r="D49" s="6" t="n"/>
      <c r="E49" s="6" t="n"/>
      <c r="F49" s="6" t="n"/>
      <c r="G49" s="6" t="n"/>
      <c r="H49" s="6" t="n"/>
      <c r="I49" s="6" t="n"/>
      <c r="J49" s="6" t="n"/>
      <c r="K49" s="6" t="n"/>
      <c r="L49" s="6" t="n">
        <v>7.6</v>
      </c>
      <c r="M49" s="6" t="n">
        <v>-9.1</v>
      </c>
    </row>
    <row r="50">
      <c r="A50" s="6" t="inlineStr">
        <is>
          <t>Purchase of debt securities</t>
        </is>
      </c>
      <c r="B50" s="6" t="n">
        <v>-247.4</v>
      </c>
      <c r="C50" s="6" t="n">
        <v>-124.7</v>
      </c>
      <c r="D50" s="6" t="n">
        <v>-219.8</v>
      </c>
      <c r="E50" s="6" t="n">
        <v>-580.1</v>
      </c>
      <c r="F50" s="6" t="n">
        <v>-1324.5</v>
      </c>
      <c r="G50" s="6" t="n">
        <v>-1341.3</v>
      </c>
      <c r="H50" s="6" t="n">
        <v>-994.9</v>
      </c>
      <c r="I50" s="6" t="n"/>
      <c r="J50" s="6" t="n"/>
      <c r="K50" s="6" t="n"/>
      <c r="L50" s="6" t="n"/>
      <c r="M50" s="6" t="n"/>
    </row>
    <row r="51">
      <c r="A51" s="6" t="inlineStr">
        <is>
          <t>Sale of debt securities</t>
        </is>
      </c>
      <c r="B51" s="6" t="n"/>
      <c r="C51" s="6" t="n">
        <v>0</v>
      </c>
      <c r="D51" s="6" t="n">
        <v>252.6</v>
      </c>
      <c r="E51" s="6" t="n">
        <v>442.6</v>
      </c>
      <c r="F51" s="6" t="n">
        <v>500.9</v>
      </c>
      <c r="G51" s="6" t="n">
        <v>977.8</v>
      </c>
      <c r="H51" s="6" t="n">
        <v>1424.3</v>
      </c>
      <c r="I51" s="6" t="n"/>
      <c r="J51" s="6" t="n"/>
      <c r="K51" s="6" t="n"/>
      <c r="L51" s="6" t="n"/>
      <c r="M51" s="6" t="n"/>
    </row>
    <row r="52">
      <c r="A52" s="6" t="inlineStr">
        <is>
          <t>Proceeds from maturing investments</t>
        </is>
      </c>
      <c r="B52" s="6" t="n">
        <v>169.3</v>
      </c>
      <c r="C52" s="6" t="n">
        <v>141.7</v>
      </c>
      <c r="D52" s="6" t="n">
        <v>39.3</v>
      </c>
      <c r="E52" s="6" t="n">
        <v>67</v>
      </c>
      <c r="F52" s="6" t="n">
        <v>23</v>
      </c>
      <c r="G52" s="6" t="n"/>
      <c r="H52" s="6" t="n"/>
      <c r="I52" s="6" t="n"/>
      <c r="J52" s="6" t="n"/>
      <c r="K52" s="6" t="n"/>
      <c r="L52" s="6" t="n"/>
      <c r="M52" s="6" t="n"/>
    </row>
    <row r="53">
      <c r="A53" s="6" t="inlineStr">
        <is>
          <t>Interest received on debt securities</t>
        </is>
      </c>
      <c r="B53" s="6" t="n">
        <v>67.59999999999999</v>
      </c>
      <c r="C53" s="6" t="n">
        <v>68.09999999999999</v>
      </c>
      <c r="D53" s="6" t="n">
        <v>64.59999999999999</v>
      </c>
      <c r="E53" s="6" t="n">
        <v>44.5</v>
      </c>
      <c r="F53" s="6" t="n">
        <v>36.3</v>
      </c>
      <c r="G53" s="6" t="n"/>
      <c r="H53" s="6" t="n"/>
      <c r="I53" s="6" t="n"/>
      <c r="J53" s="6" t="n"/>
      <c r="K53" s="6" t="n"/>
      <c r="L53" s="6" t="n"/>
      <c r="M53" s="6" t="n"/>
    </row>
    <row r="54">
      <c r="A54" s="5" t="inlineStr">
        <is>
          <t>Net cash (used in)/provided by investing activities</t>
        </is>
      </c>
      <c r="B54" s="5" t="n">
        <v>-67.2</v>
      </c>
      <c r="C54" s="5" t="n">
        <v>21.1</v>
      </c>
      <c r="D54" s="5" t="n">
        <v>88.5</v>
      </c>
      <c r="E54" s="5" t="n">
        <v>-80.3</v>
      </c>
      <c r="F54" s="5" t="n">
        <v>-839.1</v>
      </c>
      <c r="G54" s="5" t="n">
        <v>-429.6</v>
      </c>
      <c r="H54" s="5" t="n">
        <v>403.8</v>
      </c>
      <c r="I54" s="5" t="n">
        <v>-328.6</v>
      </c>
      <c r="J54" s="5" t="n">
        <v>4.1</v>
      </c>
      <c r="K54" s="5" t="n">
        <v>-718.8</v>
      </c>
      <c r="L54" s="5" t="n">
        <v>-3996.3</v>
      </c>
      <c r="M54" s="5" t="n">
        <v>-3777</v>
      </c>
    </row>
    <row r="55">
      <c r="A55" s="5" t="inlineStr">
        <is>
          <t>Cash flows from financing activities</t>
        </is>
      </c>
      <c r="B55" s="6" t="n"/>
      <c r="C55" s="6" t="n"/>
      <c r="D55" s="6" t="n"/>
      <c r="E55" s="6" t="n"/>
      <c r="F55" s="6" t="n"/>
      <c r="G55" s="6" t="n"/>
      <c r="H55" s="6" t="n"/>
      <c r="I55" s="6" t="n"/>
      <c r="J55" s="6" t="n"/>
      <c r="K55" s="6" t="n"/>
      <c r="L55" s="6" t="n"/>
      <c r="M55" s="6" t="n"/>
    </row>
    <row r="56">
      <c r="A56" s="6" t="inlineStr">
        <is>
          <t>Additional borrowings from central banks</t>
        </is>
      </c>
      <c r="B56" s="6" t="n">
        <v>5</v>
      </c>
      <c r="C56" s="6" t="n">
        <v>0</v>
      </c>
      <c r="D56" s="6" t="n">
        <v>5</v>
      </c>
      <c r="E56" s="6" t="n">
        <v>510</v>
      </c>
      <c r="F56" s="6" t="n">
        <v>5500</v>
      </c>
      <c r="G56" s="6" t="n"/>
      <c r="H56" s="6" t="n"/>
      <c r="I56" s="6" t="n"/>
      <c r="J56" s="6" t="n"/>
      <c r="K56" s="6" t="n"/>
      <c r="L56" s="6" t="n"/>
      <c r="M56" s="6" t="n"/>
    </row>
    <row r="57">
      <c r="A57" s="6" t="inlineStr">
        <is>
          <t>Proceeds from borrowings from central banks (FY2017-18 presentation)</t>
        </is>
      </c>
      <c r="B57" s="6" t="n"/>
      <c r="C57" s="6" t="n"/>
      <c r="D57" s="6" t="n"/>
      <c r="E57" s="6" t="n"/>
      <c r="F57" s="6" t="n"/>
      <c r="G57" s="6" t="n"/>
      <c r="H57" s="6" t="n"/>
      <c r="I57" s="6" t="n">
        <v>850</v>
      </c>
      <c r="J57" s="6" t="n">
        <v>5615</v>
      </c>
      <c r="K57" s="6" t="n"/>
      <c r="L57" s="6" t="n"/>
      <c r="M57" s="6" t="n"/>
    </row>
    <row r="58">
      <c r="A58" s="6" t="inlineStr">
        <is>
          <t>Repayment of borrowing from central banks</t>
        </is>
      </c>
      <c r="B58" s="6" t="n">
        <v>-797</v>
      </c>
      <c r="C58" s="6" t="n">
        <v>-2620</v>
      </c>
      <c r="D58" s="6" t="n">
        <v>-1500</v>
      </c>
      <c r="E58" s="6" t="n">
        <v>-510</v>
      </c>
      <c r="F58" s="6" t="n">
        <v>-3065</v>
      </c>
      <c r="G58" s="6" t="n">
        <v>-1410</v>
      </c>
      <c r="H58" s="6" t="n">
        <v>-1995</v>
      </c>
      <c r="I58" s="6" t="n"/>
      <c r="J58" s="6" t="n"/>
      <c r="K58" s="6" t="n"/>
      <c r="L58" s="6" t="n"/>
      <c r="M58" s="6" t="n"/>
    </row>
    <row r="59">
      <c r="A59" s="6" t="inlineStr">
        <is>
          <t>Repayment of debt securities in issue (incl. securitisation repayments, FY2017-FY2020 presentation)</t>
        </is>
      </c>
      <c r="B59" s="6" t="n"/>
      <c r="C59" s="6" t="n"/>
      <c r="D59" s="6" t="n"/>
      <c r="E59" s="6" t="n"/>
      <c r="F59" s="6" t="n"/>
      <c r="G59" s="6" t="n">
        <v>-440.2</v>
      </c>
      <c r="H59" s="6" t="n">
        <v>-177.5</v>
      </c>
      <c r="I59" s="6" t="n">
        <v>-197.9</v>
      </c>
      <c r="J59" s="6" t="n">
        <v>-2128.4</v>
      </c>
      <c r="K59" s="6" t="n">
        <v>-557.4</v>
      </c>
      <c r="L59" s="6" t="n"/>
      <c r="M59" s="6" t="n"/>
    </row>
    <row r="60">
      <c r="A60" s="6" t="inlineStr">
        <is>
          <t>Proceeds from debt securities issued (FY2014-16 presentation)</t>
        </is>
      </c>
      <c r="B60" s="6" t="n"/>
      <c r="C60" s="6" t="n"/>
      <c r="D60" s="6" t="n"/>
      <c r="E60" s="6" t="n"/>
      <c r="F60" s="6" t="n"/>
      <c r="G60" s="6" t="n"/>
      <c r="H60" s="6" t="n"/>
      <c r="I60" s="6" t="n"/>
      <c r="J60" s="6" t="n"/>
      <c r="K60" s="6" t="n">
        <v>553.7</v>
      </c>
      <c r="L60" s="6" t="n">
        <v>2873.7</v>
      </c>
      <c r="M60" s="6" t="n">
        <v>10</v>
      </c>
    </row>
    <row r="61">
      <c r="A61" s="6" t="inlineStr">
        <is>
          <t>Interest paid on debt securities in issue (FY2017-18 presentation)</t>
        </is>
      </c>
      <c r="B61" s="6" t="n"/>
      <c r="C61" s="6" t="n"/>
      <c r="D61" s="6" t="n"/>
      <c r="E61" s="6" t="n"/>
      <c r="F61" s="6" t="n"/>
      <c r="G61" s="6" t="n"/>
      <c r="H61" s="6" t="n"/>
      <c r="I61" s="6" t="n">
        <v>-12.4</v>
      </c>
      <c r="J61" s="6" t="n">
        <v>-13.4</v>
      </c>
      <c r="K61" s="6" t="n">
        <v>-40.6</v>
      </c>
      <c r="L61" s="6" t="n">
        <v>-0.3</v>
      </c>
      <c r="M61" s="6" t="n">
        <v>-0.6</v>
      </c>
    </row>
    <row r="62">
      <c r="A62" s="6" t="inlineStr">
        <is>
          <t>Repurchase of debt securities</t>
        </is>
      </c>
      <c r="B62" s="6" t="n"/>
      <c r="C62" s="6" t="n"/>
      <c r="D62" s="6" t="n"/>
      <c r="E62" s="6" t="n"/>
      <c r="F62" s="6" t="n"/>
      <c r="G62" s="6" t="n"/>
      <c r="H62" s="6" t="n"/>
      <c r="I62" s="6" t="n"/>
      <c r="J62" s="6" t="n"/>
      <c r="K62" s="6" t="n"/>
      <c r="L62" s="6" t="n"/>
      <c r="M62" s="6" t="n">
        <v>-0.8</v>
      </c>
    </row>
    <row r="63">
      <c r="A63" s="6" t="inlineStr">
        <is>
          <t>Proceeds from subordinated liabilities issued</t>
        </is>
      </c>
      <c r="B63" s="6" t="n"/>
      <c r="C63" s="6" t="n"/>
      <c r="D63" s="6" t="n"/>
      <c r="E63" s="6" t="n"/>
      <c r="F63" s="6" t="n"/>
      <c r="G63" s="6" t="n"/>
      <c r="H63" s="6" t="n"/>
      <c r="I63" s="6" t="n"/>
      <c r="J63" s="6" t="n"/>
      <c r="K63" s="6" t="n"/>
      <c r="L63" s="6" t="n"/>
      <c r="M63" s="6" t="n">
        <v>383</v>
      </c>
    </row>
    <row r="64">
      <c r="A64" s="6" t="inlineStr">
        <is>
          <t>Interest paid on borrowings from central banks</t>
        </is>
      </c>
      <c r="B64" s="6" t="n">
        <v>-46.2</v>
      </c>
      <c r="C64" s="6" t="n">
        <v>-177.1</v>
      </c>
      <c r="D64" s="6" t="n">
        <v>-191.7</v>
      </c>
      <c r="E64" s="6" t="n">
        <v>-57.3</v>
      </c>
      <c r="F64" s="6" t="n">
        <v>-7.8</v>
      </c>
      <c r="G64" s="6" t="n"/>
      <c r="H64" s="6" t="n"/>
      <c r="I64" s="6" t="n">
        <v>-32</v>
      </c>
      <c r="J64" s="6" t="n">
        <v>-6.4</v>
      </c>
      <c r="K64" s="6" t="n"/>
      <c r="L64" s="6" t="n"/>
      <c r="M64" s="6" t="n"/>
    </row>
    <row r="65">
      <c r="A65" s="6" t="inlineStr">
        <is>
          <t>Issue of covered bonds</t>
        </is>
      </c>
      <c r="B65" s="6" t="n">
        <v>495.5</v>
      </c>
      <c r="C65" s="6" t="n">
        <v>926.1</v>
      </c>
      <c r="D65" s="6" t="n">
        <v>1750</v>
      </c>
      <c r="E65" s="6" t="n">
        <v>0</v>
      </c>
      <c r="F65" s="6" t="n"/>
      <c r="G65" s="6" t="n"/>
      <c r="H65" s="6" t="n">
        <v>750</v>
      </c>
      <c r="I65" s="6" t="n"/>
      <c r="J65" s="6" t="n"/>
      <c r="K65" s="6" t="n"/>
      <c r="L65" s="6" t="n"/>
      <c r="M65" s="6" t="n"/>
    </row>
    <row r="66">
      <c r="A66" s="6" t="inlineStr">
        <is>
          <t>Repayment of covered bonds</t>
        </is>
      </c>
      <c r="B66" s="6" t="n">
        <v>0</v>
      </c>
      <c r="C66" s="6" t="n">
        <v>-500</v>
      </c>
      <c r="D66" s="6" t="n"/>
      <c r="E66" s="6" t="n"/>
      <c r="F66" s="6" t="n"/>
      <c r="G66" s="6" t="n"/>
      <c r="H66" s="6" t="n"/>
      <c r="I66" s="6" t="n"/>
      <c r="J66" s="6" t="n"/>
      <c r="K66" s="6" t="n"/>
      <c r="L66" s="6" t="n"/>
      <c r="M66" s="6" t="n"/>
    </row>
    <row r="67">
      <c r="A67" s="6" t="inlineStr">
        <is>
          <t>Buyback of covered bonds</t>
        </is>
      </c>
      <c r="B67" s="6" t="n"/>
      <c r="C67" s="6" t="n"/>
      <c r="D67" s="6" t="n">
        <v>-251</v>
      </c>
      <c r="E67" s="6" t="n">
        <v>-500</v>
      </c>
      <c r="F67" s="6" t="n"/>
      <c r="G67" s="6" t="n"/>
      <c r="H67" s="6" t="n"/>
      <c r="I67" s="6" t="n"/>
      <c r="J67" s="6" t="n"/>
      <c r="K67" s="6" t="n"/>
      <c r="L67" s="6" t="n"/>
      <c r="M67" s="6" t="n"/>
    </row>
    <row r="68">
      <c r="A68" s="6" t="inlineStr">
        <is>
          <t>Interest paid on covered bonds</t>
        </is>
      </c>
      <c r="B68" s="6" t="n">
        <v>-143.2</v>
      </c>
      <c r="C68" s="6" t="n">
        <v>-144.4</v>
      </c>
      <c r="D68" s="6" t="n">
        <v>-120.1</v>
      </c>
      <c r="E68" s="6" t="n">
        <v>-29.5</v>
      </c>
      <c r="F68" s="6" t="n"/>
      <c r="G68" s="6" t="n"/>
      <c r="H68" s="6" t="n"/>
      <c r="I68" s="6" t="n"/>
      <c r="J68" s="6" t="n"/>
      <c r="K68" s="6" t="n"/>
      <c r="L68" s="6" t="n"/>
      <c r="M68" s="6" t="n"/>
    </row>
    <row r="69">
      <c r="A69" s="6" t="inlineStr">
        <is>
          <t>Issue of securitisation notes</t>
        </is>
      </c>
      <c r="B69" s="6" t="n">
        <v>0</v>
      </c>
      <c r="C69" s="6" t="n">
        <v>498.3</v>
      </c>
      <c r="D69" s="6" t="n"/>
      <c r="E69" s="6" t="n"/>
      <c r="F69" s="6" t="n"/>
      <c r="G69" s="6" t="n"/>
      <c r="H69" s="6" t="n"/>
      <c r="I69" s="6" t="n"/>
      <c r="J69" s="6" t="n"/>
      <c r="K69" s="6" t="n"/>
      <c r="L69" s="6" t="n"/>
      <c r="M69" s="6" t="n"/>
    </row>
    <row r="70">
      <c r="A70" s="6" t="inlineStr">
        <is>
          <t>Repayment of securitisation notes</t>
        </is>
      </c>
      <c r="B70" s="6" t="n">
        <v>-20</v>
      </c>
      <c r="C70" s="6" t="n">
        <v>-5</v>
      </c>
      <c r="D70" s="6" t="n"/>
      <c r="E70" s="6" t="n"/>
      <c r="F70" s="6" t="n"/>
      <c r="G70" s="6" t="n"/>
      <c r="H70" s="6" t="n"/>
      <c r="I70" s="6" t="n"/>
      <c r="J70" s="6" t="n"/>
      <c r="K70" s="6" t="n"/>
      <c r="L70" s="6" t="n"/>
      <c r="M70" s="6" t="n"/>
    </row>
    <row r="71">
      <c r="A71" s="6" t="inlineStr">
        <is>
          <t>Interest paid on securitisation notes</t>
        </is>
      </c>
      <c r="B71" s="6" t="n">
        <v>-24.2</v>
      </c>
      <c r="C71" s="6" t="n">
        <v>-11.8</v>
      </c>
      <c r="D71" s="6" t="n"/>
      <c r="E71" s="6" t="n"/>
      <c r="F71" s="6" t="n"/>
      <c r="G71" s="6" t="n"/>
      <c r="H71" s="6" t="n"/>
      <c r="I71" s="6" t="n"/>
      <c r="J71" s="6" t="n"/>
      <c r="K71" s="6" t="n"/>
      <c r="L71" s="6" t="n"/>
      <c r="M71" s="6" t="n"/>
    </row>
    <row r="72">
      <c r="A72" s="6" t="inlineStr">
        <is>
          <t>Issue of Additional Tier 1 securities</t>
        </is>
      </c>
      <c r="B72" s="6" t="n">
        <v>0</v>
      </c>
      <c r="C72" s="6" t="n">
        <v>249.7</v>
      </c>
      <c r="D72" s="6" t="n"/>
      <c r="E72" s="6" t="n"/>
      <c r="F72" s="6" t="n"/>
      <c r="G72" s="6" t="n"/>
      <c r="H72" s="6" t="n"/>
      <c r="I72" s="6" t="n"/>
      <c r="J72" s="6" t="n"/>
      <c r="K72" s="6" t="n"/>
      <c r="L72" s="6" t="n"/>
      <c r="M72" s="6" t="n"/>
    </row>
    <row r="73">
      <c r="A73" s="6" t="inlineStr">
        <is>
          <t>Issue of senior unsecured debt securities</t>
        </is>
      </c>
      <c r="B73" s="6" t="n"/>
      <c r="C73" s="6" t="n">
        <v>0</v>
      </c>
      <c r="D73" s="6" t="n">
        <v>200</v>
      </c>
      <c r="E73" s="6" t="n">
        <v>700</v>
      </c>
      <c r="F73" s="6" t="n"/>
      <c r="G73" s="6" t="n">
        <v>450</v>
      </c>
      <c r="H73" s="6" t="n"/>
      <c r="I73" s="6" t="n"/>
      <c r="J73" s="6" t="n"/>
      <c r="K73" s="6" t="n"/>
      <c r="L73" s="6" t="n"/>
      <c r="M73" s="6" t="n"/>
    </row>
    <row r="74">
      <c r="A74" s="6" t="inlineStr">
        <is>
          <t>Repayment of senior unsecured debt securities</t>
        </is>
      </c>
      <c r="B74" s="6" t="n">
        <v>-250</v>
      </c>
      <c r="C74" s="6" t="n">
        <v>0</v>
      </c>
      <c r="D74" s="6" t="n">
        <v>0</v>
      </c>
      <c r="E74" s="6" t="n">
        <v>-450</v>
      </c>
      <c r="F74" s="6" t="n"/>
      <c r="G74" s="6" t="n"/>
      <c r="H74" s="6" t="n"/>
      <c r="I74" s="6" t="n"/>
      <c r="J74" s="6" t="n"/>
      <c r="K74" s="6" t="n"/>
      <c r="L74" s="6" t="n"/>
      <c r="M74" s="6" t="n"/>
    </row>
    <row r="75">
      <c r="A75" s="6" t="inlineStr">
        <is>
          <t>Interest paid on senior unsecured debt securities</t>
        </is>
      </c>
      <c r="B75" s="6" t="n">
        <v>-65.3</v>
      </c>
      <c r="C75" s="6" t="n">
        <v>-72.40000000000001</v>
      </c>
      <c r="D75" s="6" t="n">
        <v>-51.1</v>
      </c>
      <c r="E75" s="6" t="n">
        <v>-15.8</v>
      </c>
      <c r="F75" s="6" t="n"/>
      <c r="G75" s="6" t="n"/>
      <c r="H75" s="6" t="n"/>
      <c r="I75" s="6" t="n"/>
      <c r="J75" s="6" t="n"/>
      <c r="K75" s="6" t="n"/>
      <c r="L75" s="6" t="n"/>
      <c r="M75" s="6" t="n"/>
    </row>
    <row r="76">
      <c r="A76" s="6" t="inlineStr">
        <is>
          <t>Issue of debt securities in issue (FY2021 presentation)</t>
        </is>
      </c>
      <c r="B76" s="6" t="n"/>
      <c r="C76" s="6" t="n"/>
      <c r="D76" s="6" t="n"/>
      <c r="E76" s="6" t="n"/>
      <c r="F76" s="6" t="n">
        <v>500</v>
      </c>
      <c r="G76" s="6" t="n"/>
      <c r="H76" s="6" t="n"/>
      <c r="I76" s="6" t="n"/>
      <c r="J76" s="6" t="n"/>
      <c r="K76" s="6" t="n"/>
      <c r="L76" s="6" t="n"/>
      <c r="M76" s="6" t="n"/>
    </row>
    <row r="77">
      <c r="A77" s="6" t="inlineStr">
        <is>
          <t>Interest paid on debt securities in issue (FY2021 presentation)</t>
        </is>
      </c>
      <c r="B77" s="6" t="n"/>
      <c r="C77" s="6" t="n"/>
      <c r="D77" s="6" t="n"/>
      <c r="E77" s="6" t="n"/>
      <c r="F77" s="6" t="n">
        <v>-21</v>
      </c>
      <c r="G77" s="6" t="n"/>
      <c r="H77" s="6" t="n"/>
      <c r="I77" s="6" t="n"/>
      <c r="J77" s="6" t="n"/>
      <c r="K77" s="6" t="n"/>
      <c r="L77" s="6" t="n"/>
      <c r="M77" s="6" t="n"/>
    </row>
    <row r="78">
      <c r="A78" s="6" t="inlineStr">
        <is>
          <t>Issue of subordinated liabilities</t>
        </is>
      </c>
      <c r="B78" s="6" t="n"/>
      <c r="C78" s="6" t="n"/>
      <c r="D78" s="6" t="n"/>
      <c r="E78" s="6" t="n"/>
      <c r="F78" s="6" t="n">
        <v>300</v>
      </c>
      <c r="G78" s="6" t="n"/>
      <c r="H78" s="6" t="n"/>
      <c r="I78" s="6" t="n"/>
      <c r="J78" s="6" t="n"/>
      <c r="K78" s="6" t="n"/>
      <c r="L78" s="6" t="n"/>
      <c r="M78" s="6" t="n"/>
    </row>
    <row r="79">
      <c r="A79" s="6" t="inlineStr">
        <is>
          <t>Repayment of subordinated liabilities</t>
        </is>
      </c>
      <c r="B79" s="6" t="n"/>
      <c r="C79" s="6" t="n"/>
      <c r="D79" s="6" t="n"/>
      <c r="E79" s="6" t="n"/>
      <c r="F79" s="6" t="n">
        <v>-385</v>
      </c>
      <c r="G79" s="6" t="n"/>
      <c r="H79" s="6" t="n"/>
      <c r="I79" s="6" t="n"/>
      <c r="J79" s="6" t="n"/>
      <c r="K79" s="6" t="n"/>
      <c r="L79" s="6" t="n"/>
      <c r="M79" s="6" t="n"/>
    </row>
    <row r="80">
      <c r="A80" s="6" t="inlineStr">
        <is>
          <t>Interest paid on subordinated liabilities</t>
        </is>
      </c>
      <c r="B80" s="6" t="n">
        <v>-10.3</v>
      </c>
      <c r="C80" s="6" t="n">
        <v>-10.3</v>
      </c>
      <c r="D80" s="6" t="n">
        <v>-10.3</v>
      </c>
      <c r="E80" s="6" t="n">
        <v>-10.3</v>
      </c>
      <c r="F80" s="6" t="n">
        <v>-18.8</v>
      </c>
      <c r="G80" s="6" t="n"/>
      <c r="H80" s="6" t="n"/>
      <c r="I80" s="6" t="n">
        <v>-22.4</v>
      </c>
      <c r="J80" s="6" t="n">
        <v>-22.1</v>
      </c>
      <c r="K80" s="6" t="n">
        <v>-22.1</v>
      </c>
      <c r="L80" s="6" t="n">
        <v>-22.1</v>
      </c>
      <c r="M80" s="6" t="n">
        <v>-11.4</v>
      </c>
    </row>
    <row r="81">
      <c r="A81" s="6" t="inlineStr">
        <is>
          <t>Proceeds from shares issued</t>
        </is>
      </c>
      <c r="B81" s="6" t="n"/>
      <c r="C81" s="6" t="n"/>
      <c r="D81" s="6" t="n"/>
      <c r="E81" s="6" t="n"/>
      <c r="F81" s="6" t="n"/>
      <c r="G81" s="6" t="n"/>
      <c r="H81" s="6" t="n"/>
      <c r="I81" s="6" t="n"/>
      <c r="J81" s="6" t="n"/>
      <c r="K81" s="6" t="n"/>
      <c r="L81" s="6" t="n"/>
      <c r="M81" s="6" t="n">
        <v>200</v>
      </c>
    </row>
    <row r="82">
      <c r="A82" s="6" t="inlineStr">
        <is>
          <t>Proceeds from/(repayment of) repurchase agreements (FY2014-16 presentation)</t>
        </is>
      </c>
      <c r="B82" s="6" t="n"/>
      <c r="C82" s="6" t="n"/>
      <c r="D82" s="6" t="n"/>
      <c r="E82" s="6" t="n"/>
      <c r="F82" s="6" t="n"/>
      <c r="G82" s="6" t="n"/>
      <c r="H82" s="6" t="n"/>
      <c r="I82" s="6" t="n"/>
      <c r="J82" s="6" t="n"/>
      <c r="K82" s="6" t="n">
        <v>1408.6</v>
      </c>
      <c r="L82" s="6" t="n">
        <v>-32.5</v>
      </c>
      <c r="M82" s="6" t="n">
        <v>32.5</v>
      </c>
    </row>
    <row r="83">
      <c r="A83" s="6" t="inlineStr">
        <is>
          <t>(Repayment)/issue of repurchase agreements</t>
        </is>
      </c>
      <c r="B83" s="6" t="n"/>
      <c r="C83" s="6" t="n"/>
      <c r="D83" s="6" t="n">
        <v>-359.9</v>
      </c>
      <c r="E83" s="6" t="n">
        <v>359.9</v>
      </c>
      <c r="F83" s="6" t="n"/>
      <c r="G83" s="6" t="n"/>
      <c r="H83" s="6" t="n"/>
      <c r="I83" s="6" t="n">
        <v>-361.9</v>
      </c>
      <c r="J83" s="6" t="n">
        <v>36.9</v>
      </c>
      <c r="K83" s="6" t="n"/>
      <c r="L83" s="6" t="n"/>
      <c r="M83" s="6" t="n"/>
    </row>
    <row r="84">
      <c r="A84" s="6" t="inlineStr">
        <is>
          <t>Interest paid on repurchase agreements</t>
        </is>
      </c>
      <c r="B84" s="6" t="n"/>
      <c r="C84" s="6" t="n"/>
      <c r="D84" s="6" t="n">
        <v>-1</v>
      </c>
      <c r="E84" s="6" t="n">
        <v>-2.6</v>
      </c>
      <c r="F84" s="6" t="n"/>
      <c r="G84" s="6" t="n"/>
      <c r="H84" s="6" t="n"/>
      <c r="I84" s="6" t="n">
        <v>-3.5</v>
      </c>
      <c r="J84" s="6" t="n">
        <v>-8.4</v>
      </c>
      <c r="K84" s="6" t="n">
        <v>-9.5</v>
      </c>
      <c r="L84" s="6" t="n">
        <v>-0.4</v>
      </c>
      <c r="M84" s="6" t="n"/>
    </row>
    <row r="85">
      <c r="A85" s="6" t="inlineStr">
        <is>
          <t>Net securitisation funding (FY2021 presentation)</t>
        </is>
      </c>
      <c r="B85" s="6" t="n"/>
      <c r="C85" s="6" t="n"/>
      <c r="D85" s="6" t="n"/>
      <c r="E85" s="6" t="n"/>
      <c r="F85" s="6" t="n">
        <v>0</v>
      </c>
      <c r="G85" s="6" t="n"/>
      <c r="H85" s="6" t="n"/>
      <c r="I85" s="6" t="n"/>
      <c r="J85" s="6" t="n"/>
      <c r="K85" s="6" t="n"/>
      <c r="L85" s="6" t="n"/>
      <c r="M85" s="6" t="n"/>
    </row>
    <row r="86">
      <c r="A86" s="6" t="inlineStr">
        <is>
          <t>Lease payments</t>
        </is>
      </c>
      <c r="B86" s="6" t="n">
        <v>-16.2</v>
      </c>
      <c r="C86" s="6" t="n">
        <v>-18.8</v>
      </c>
      <c r="D86" s="6" t="n">
        <v>-17.8</v>
      </c>
      <c r="E86" s="6" t="n">
        <v>-19.7</v>
      </c>
      <c r="F86" s="6" t="n">
        <v>-22.8</v>
      </c>
      <c r="G86" s="6" t="n">
        <v>-26.4</v>
      </c>
      <c r="H86" s="6" t="n">
        <v>-38.8</v>
      </c>
      <c r="I86" s="6" t="n"/>
      <c r="J86" s="6" t="n"/>
      <c r="K86" s="6" t="n"/>
      <c r="L86" s="6" t="n"/>
      <c r="M86" s="6" t="n"/>
    </row>
    <row r="87">
      <c r="A87" s="6" t="inlineStr">
        <is>
          <t>Distributions on other equity instruments</t>
        </is>
      </c>
      <c r="B87" s="6" t="n">
        <v>-17.6</v>
      </c>
      <c r="C87" s="6" t="n">
        <v>0</v>
      </c>
      <c r="D87" s="6" t="n"/>
      <c r="E87" s="6" t="n"/>
      <c r="F87" s="6" t="n"/>
      <c r="G87" s="6" t="n"/>
      <c r="H87" s="6" t="n"/>
      <c r="I87" s="6" t="n"/>
      <c r="J87" s="6" t="n"/>
      <c r="K87" s="6" t="n"/>
      <c r="L87" s="6" t="n"/>
      <c r="M87" s="6" t="n"/>
    </row>
    <row r="88">
      <c r="A88" s="6" t="inlineStr">
        <is>
          <t>Dividends paid</t>
        </is>
      </c>
      <c r="B88" s="6" t="n">
        <v>-300</v>
      </c>
      <c r="C88" s="6" t="n">
        <v>-120</v>
      </c>
      <c r="D88" s="6" t="n">
        <v>-50</v>
      </c>
      <c r="E88" s="6" t="n">
        <v>0</v>
      </c>
      <c r="F88" s="6" t="n"/>
      <c r="G88" s="6" t="n"/>
      <c r="H88" s="6" t="n"/>
      <c r="I88" s="6" t="n"/>
      <c r="J88" s="6" t="n"/>
      <c r="K88" s="6" t="n"/>
      <c r="L88" s="6" t="n"/>
      <c r="M88" s="6" t="n"/>
    </row>
    <row r="89">
      <c r="A89" s="5" t="inlineStr">
        <is>
          <t>Net cash (used in)/provided by financing activities</t>
        </is>
      </c>
      <c r="B89" s="5" t="n">
        <v>-1189.5</v>
      </c>
      <c r="C89" s="5" t="n">
        <v>-2005.7</v>
      </c>
      <c r="D89" s="5" t="n">
        <v>-597.9</v>
      </c>
      <c r="E89" s="5" t="n">
        <v>-25.3</v>
      </c>
      <c r="F89" s="5" t="n">
        <v>2779.6</v>
      </c>
      <c r="G89" s="5" t="n">
        <v>-1426.6</v>
      </c>
      <c r="H89" s="5" t="n">
        <v>-2545.8</v>
      </c>
      <c r="I89" s="5" t="n">
        <v>219.9</v>
      </c>
      <c r="J89" s="5" t="n">
        <v>3970.7</v>
      </c>
      <c r="K89" s="5" t="n">
        <v>1332.7</v>
      </c>
      <c r="L89" s="5" t="n">
        <v>2818.4</v>
      </c>
      <c r="M89" s="5" t="n">
        <v>612.7</v>
      </c>
    </row>
    <row r="90">
      <c r="A90" s="5" t="inlineStr">
        <is>
          <t>Change in cash and cash equivalents</t>
        </is>
      </c>
      <c r="B90" s="5" t="n">
        <v>-594.3</v>
      </c>
      <c r="C90" s="5" t="n">
        <v>-987.7</v>
      </c>
      <c r="D90" s="5" t="n">
        <v>691.3</v>
      </c>
      <c r="E90" s="5" t="n">
        <v>490.8</v>
      </c>
      <c r="F90" s="5" t="n">
        <v>-205.2</v>
      </c>
      <c r="G90" s="5" t="n">
        <v>463.5</v>
      </c>
      <c r="H90" s="5" t="n">
        <v>-2543.1</v>
      </c>
      <c r="I90" s="5" t="n">
        <v>-427.5</v>
      </c>
      <c r="J90" s="5" t="n">
        <v>3915.7</v>
      </c>
      <c r="K90" s="5" t="n">
        <v>933</v>
      </c>
      <c r="L90" s="5" t="n">
        <v>-1769.1</v>
      </c>
      <c r="M90" s="5" t="n">
        <v>4309.4</v>
      </c>
    </row>
    <row r="91">
      <c r="A91" s="6" t="inlineStr">
        <is>
          <t>Cash and cash equivalents at 1 January</t>
        </is>
      </c>
      <c r="B91" s="6" t="n">
        <v>5101.6</v>
      </c>
      <c r="C91" s="6" t="n">
        <v>6089.3</v>
      </c>
      <c r="D91" s="6" t="n">
        <v>5398</v>
      </c>
      <c r="E91" s="6" t="n">
        <v>4907.2</v>
      </c>
      <c r="F91" s="6" t="n">
        <v>5056.3</v>
      </c>
      <c r="G91" s="6" t="n">
        <v>4592.8</v>
      </c>
      <c r="H91" s="6" t="n">
        <v>7135.9</v>
      </c>
      <c r="I91" s="6" t="n">
        <v>7563.4</v>
      </c>
      <c r="J91" s="6" t="n">
        <v>3647.7</v>
      </c>
      <c r="K91" s="6" t="n">
        <v>2714.7</v>
      </c>
      <c r="L91" s="6" t="n">
        <v>4483.8</v>
      </c>
      <c r="M91" s="6" t="n">
        <v>174.4</v>
      </c>
    </row>
    <row r="92">
      <c r="A92" s="5" t="inlineStr">
        <is>
          <t>Cash and cash equivalents at 31 December</t>
        </is>
      </c>
      <c r="B92" s="5" t="n">
        <v>4507.3</v>
      </c>
      <c r="C92" s="5" t="n">
        <v>5101.6</v>
      </c>
      <c r="D92" s="5" t="n">
        <v>6089.3</v>
      </c>
      <c r="E92" s="5" t="n">
        <v>5398</v>
      </c>
      <c r="F92" s="5" t="n">
        <v>4851.1</v>
      </c>
      <c r="G92" s="5" t="n">
        <v>5056.3</v>
      </c>
      <c r="H92" s="5" t="n">
        <v>4592.8</v>
      </c>
      <c r="I92" s="5" t="n">
        <v>7135.9</v>
      </c>
      <c r="J92" s="5" t="n">
        <v>7563.4</v>
      </c>
      <c r="K92" s="5" t="n">
        <v>3647.7</v>
      </c>
      <c r="L92" s="5" t="n">
        <v>2714.7</v>
      </c>
      <c r="M92" s="5" t="n">
        <v>4483.8</v>
      </c>
    </row>
    <row r="94" ht="220" customHeight="1">
      <c r="A94" s="8" t="inlineStr">
        <is>
          <t>Sources - all figures are TSB Bank plc / TSB Banking Group plc Bank (Consolidated) basis, £ million (see entity note below for the FY2014-FY2016 vs FY2017 onward entity change).
FY2025 &amp; FY2024: TSB Bank plc Annual Report and Accounts 2025, p.49 and p.106 (Cash flow statements and note 32) - https://www.tsb.co.uk/content/dam/tsb-public/documents/investors/financial-results-and-reports/2025/TSB-Bank-ARA-2025.pdf
FY2023 &amp; FY2022 (restated): TSB Bank plc Annual Report and Accounts 2023, p.33-34 and p.83-84 (Cash flow statements and note 32) - https://www.tsb.co.uk/content/dam/tsb-public/documents/investors/financial-results-and-reports/2023/TSB-Bank-2023.pdf
FY2021: TSB Bank plc Annual Report and Accounts 2021, p.29 and p.78 (Cash flow statements and note 31) - https://www.tsb.co.uk/content/dam/tsb-public/documents/investors/financial-results-and-reports/2021/tsb-bank-ara-2021.pdf
FY2020 &amp; FY2019: TSB Bank plc Annual Report and Accounts 2020, p.27-28 and p.75-76 (Cash flow statements and note 32) - https://www.tsb.co.uk/content/dam/tsb-public/documents/investors/financial-results-and-reports/2020/tsb-bank-ara-2020.pdf
FY2018 &amp; FY2017: TSB Bank plc Annual Report and Accounts 2018, p.29-30 and p.78-79 (Cash flow statements and note 34) - https://www.tsb.co.uk/content/dam/tsb-public/documents/investors/financial-results-and-reports/2018/tsb-bank-ara-2018.pdf
FY2016 &amp; FY2015: TSB Banking Group plc Annual Report and Accounts 2016, p.60 (Consolidated cash flow statement) - https://www.tsb.co.uk/content/dam/tsb-public/documents/investors/financial-results-and-reports/2016/tsb-2016-results.pdf
FY2014: TSB Banking Group plc Annual Report and Accounts 2015, p.55 (Consolidated cash flow statement, FY2014 comparative column)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RESTATEMENT NOTE: The 2023 Annual Report restated FY2022 (and earlier) to include on-demand loans and advances to credit institutions within cash and cash equivalents; this added £56.1m to the FY2021 closing cash position and £159.2m to the FY2022 opening position on a comparative basis, but FY2021's own Annual Report was never itself restated. As a result, FY2021's closing cash and cash equivalents (£4,851.1m, as originally reported) does not exactly tie to FY2022's opening balance shown here (£4,907.2m, restated) - a known £56.1m definitional break at that one boundary, not a data error. FY2022 onward reconciles exactly. The 2023 Annual Report also reclassified a derivatives/hedge-accounting fair value line from 'change in operating assets and liabilities' into 'non-cash and other items' from FY2023 onward; FY2021 and FY2022 keep their original as-reported classification for that line (see the two separate rows below).
PRESENTATION NOTE: Line items were relabelled and reorganised across these 5 years as TSB's funding mix evolved (e.g. 'Issue of debt securities in issue' in FY2021 became separate covered bond/senior unsecured/securitisation/AT1 lines by FY2024-25; a repurchase-agreements financing line appeared only in FY2022-23). Blank cells indicate that year's report did not disclose or did not have that specific line; '0' indicates the report explicitly showed a nil ('-') value. The 'Change in operating assets and liabilities' and 'Non-cash and other items' rows are TSB's own audited primary-statement subtotals; the rows above each are the supporting breakdown from the cash flow note.
FY2019 RECONCILIATION NOTE: TSB Bank plc Annual Report and Accounts 2020's own FY2019 comparative column shows Net cash used in operating activities of £(360.3)m, investing £403.8m and financing £(2,545.8)m, which sum to £(2,502.3)m - not the £(2,543.1)m 'Change in cash and cash equivalents' also shown in that same comparative column, a £40.8m gap. The 2020 Annual Report's own footnote explains why: 'interest received on debt securities of £53.2 million and interest paid on borrowings from central banks, debt securities in issue and subordinated liabilities of £(94.0) million' were reclassified into operating activities for FY2020 but the FY2019 comparative subtotals shown were not fully restated to match (94.0-53.2=40.8, exactly the gap) - reproduced exactly as TSB's own report shows it, not force-tied.
FY2014-FY2016 PRESENTATION NOTE: TSB Banking Group plc's FY2014-FY2016 cash flow statements only disclose 'Change in operating assets' and 'Change in operating liabilities' as two combined top-level subtotals (no further line-item breakdown was published for those years, unlike the note-32/34 breakdowns available from FY2017 onward), and financing-activity interest payments are presented net within each funding-source line rather than split out - reproduced at the level of detail each year's own report actually discloses, not forced into the later years' more granular structure.</t>
        </is>
      </c>
    </row>
  </sheetData>
  <mergeCells count="1">
    <mergeCell ref="A94:M9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Asset Quality</t>
        </is>
      </c>
    </row>
    <row r="2">
      <c r="A2" s="2" t="inlineStr">
        <is>
          <t>Bank and Company, £ million. See source note for why this doesn't tie exactly to the Balance Sheet's Loans and advances to customers line, and for a FY2021 vs FY2022-25 disclosure-basis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customer lending balances by IFRS 9 stage (weighted forecast)</t>
        </is>
      </c>
      <c r="B4" s="6" t="n"/>
      <c r="C4" s="6" t="n"/>
      <c r="D4" s="6" t="n"/>
      <c r="E4" s="6" t="n"/>
      <c r="F4" s="6" t="n"/>
      <c r="G4" s="6" t="n"/>
      <c r="H4" s="6" t="n"/>
      <c r="I4" s="6" t="n"/>
      <c r="J4" s="6" t="n"/>
      <c r="K4" s="6" t="n"/>
      <c r="L4" s="6" t="n"/>
      <c r="M4" s="6" t="n"/>
    </row>
    <row r="5">
      <c r="A5" s="6" t="inlineStr">
        <is>
          <t>Stage 1</t>
        </is>
      </c>
      <c r="B5" s="6" t="n">
        <v>33038.7</v>
      </c>
      <c r="C5" s="6" t="n">
        <v>33151.6</v>
      </c>
      <c r="D5" s="6" t="n">
        <v>32115.9</v>
      </c>
      <c r="E5" s="6" t="n">
        <v>33737.1</v>
      </c>
      <c r="F5" s="6" t="n">
        <v>34280.5</v>
      </c>
      <c r="G5" s="6" t="n">
        <v>29753.5</v>
      </c>
      <c r="H5" s="6" t="n">
        <v>28181.7</v>
      </c>
      <c r="I5" s="6" t="n">
        <v>26732.5</v>
      </c>
      <c r="J5" s="6" t="n"/>
      <c r="K5" s="6" t="n"/>
      <c r="L5" s="6" t="n"/>
      <c r="M5" s="6" t="n"/>
    </row>
    <row r="6">
      <c r="A6" s="6" t="inlineStr">
        <is>
          <t>Stage 2</t>
        </is>
      </c>
      <c r="B6" s="6" t="n">
        <v>2738.6</v>
      </c>
      <c r="C6" s="6" t="n">
        <v>2697.2</v>
      </c>
      <c r="D6" s="6" t="n">
        <v>3684.9</v>
      </c>
      <c r="E6" s="6" t="n">
        <v>3866.8</v>
      </c>
      <c r="F6" s="6" t="n">
        <v>2583.9</v>
      </c>
      <c r="G6" s="6" t="n">
        <v>3201.4</v>
      </c>
      <c r="H6" s="6" t="n">
        <v>2449.9</v>
      </c>
      <c r="I6" s="6" t="n">
        <v>2884.2</v>
      </c>
      <c r="J6" s="6" t="n"/>
      <c r="K6" s="6" t="n"/>
      <c r="L6" s="6" t="n"/>
      <c r="M6" s="6" t="n"/>
    </row>
    <row r="7">
      <c r="A7" s="6" t="inlineStr">
        <is>
          <t>Stage 3 (non-performing)</t>
        </is>
      </c>
      <c r="B7" s="6" t="n">
        <v>525.7</v>
      </c>
      <c r="C7" s="6" t="n">
        <v>528.2</v>
      </c>
      <c r="D7" s="6" t="n">
        <v>508.1</v>
      </c>
      <c r="E7" s="6" t="n">
        <v>472.1</v>
      </c>
      <c r="F7" s="6" t="n">
        <v>502.4</v>
      </c>
      <c r="G7" s="6" t="n">
        <v>399.5</v>
      </c>
      <c r="H7" s="6" t="n">
        <v>382.5</v>
      </c>
      <c r="I7" s="6" t="n">
        <v>400.3</v>
      </c>
      <c r="J7" s="6" t="n"/>
      <c r="K7" s="6" t="n"/>
      <c r="L7" s="6" t="n"/>
      <c r="M7" s="6" t="n"/>
    </row>
    <row r="8">
      <c r="A8" s="6" t="inlineStr">
        <is>
          <t>POCI (purchased or originated credit impaired)</t>
        </is>
      </c>
      <c r="B8" s="6" t="n">
        <v>73.2</v>
      </c>
      <c r="C8" s="6" t="n">
        <v>84.09999999999999</v>
      </c>
      <c r="D8" s="6" t="n">
        <v>94.90000000000001</v>
      </c>
      <c r="E8" s="6" t="n">
        <v>109.3</v>
      </c>
      <c r="F8" s="6" t="n">
        <v>124.8</v>
      </c>
      <c r="G8" s="6" t="n">
        <v>144</v>
      </c>
      <c r="H8" s="6" t="n">
        <v>161.3</v>
      </c>
      <c r="I8" s="6" t="n">
        <v>190.2</v>
      </c>
      <c r="J8" s="6" t="n"/>
      <c r="K8" s="6" t="n"/>
      <c r="L8" s="6" t="n"/>
      <c r="M8" s="6" t="n"/>
    </row>
    <row r="9">
      <c r="A9" s="6" t="inlineStr">
        <is>
          <t>Impaired loans (IAS 39 basis, pre-IFRS 9 - broadly equivalent to Stage 3 above)</t>
        </is>
      </c>
      <c r="B9" s="6" t="n"/>
      <c r="C9" s="6" t="n"/>
      <c r="D9" s="6" t="n"/>
      <c r="E9" s="6" t="n"/>
      <c r="F9" s="6" t="n"/>
      <c r="G9" s="6" t="n"/>
      <c r="H9" s="6" t="n"/>
      <c r="I9" s="6" t="n"/>
      <c r="J9" s="6" t="n">
        <v>154.1</v>
      </c>
      <c r="K9" s="6" t="n">
        <v>140</v>
      </c>
      <c r="L9" s="6" t="n">
        <v>159</v>
      </c>
      <c r="M9" s="6" t="n">
        <v>205</v>
      </c>
    </row>
    <row r="10">
      <c r="A10" s="5" t="inlineStr">
        <is>
          <t>Total gross customer lending balances</t>
        </is>
      </c>
      <c r="B10" s="5" t="n">
        <v>36376.2</v>
      </c>
      <c r="C10" s="5" t="n">
        <v>36461.1</v>
      </c>
      <c r="D10" s="5" t="n">
        <v>36403.8</v>
      </c>
      <c r="E10" s="5" t="n">
        <v>38185.3</v>
      </c>
      <c r="F10" s="5" t="n">
        <v>37491.6</v>
      </c>
      <c r="G10" s="5" t="n">
        <v>33498.4</v>
      </c>
      <c r="H10" s="5" t="n">
        <v>31175.4</v>
      </c>
      <c r="I10" s="5" t="n">
        <v>30207.2</v>
      </c>
      <c r="J10" s="5" t="n">
        <v>30925.8</v>
      </c>
      <c r="K10" s="5" t="n">
        <v>29492.8</v>
      </c>
      <c r="L10" s="5" t="n">
        <v>26473.4</v>
      </c>
      <c r="M10" s="5" t="n">
        <v>21727.5</v>
      </c>
    </row>
    <row r="11">
      <c r="A11" s="5" t="inlineStr">
        <is>
          <t>Allowance for credit losses and credit impairment provisions</t>
        </is>
      </c>
      <c r="B11" s="6" t="n"/>
      <c r="C11" s="6" t="n"/>
      <c r="D11" s="6" t="n"/>
      <c r="E11" s="6" t="n"/>
      <c r="F11" s="6" t="n"/>
      <c r="G11" s="6" t="n"/>
      <c r="H11" s="6" t="n"/>
      <c r="I11" s="6" t="n"/>
      <c r="J11" s="6" t="n"/>
      <c r="K11" s="6" t="n"/>
      <c r="L11" s="6" t="n"/>
      <c r="M11" s="6" t="n"/>
    </row>
    <row r="12">
      <c r="A12" s="6" t="inlineStr">
        <is>
          <t>Stage 1</t>
        </is>
      </c>
      <c r="B12" s="6" t="n">
        <v>34.1</v>
      </c>
      <c r="C12" s="6" t="n">
        <v>50.2</v>
      </c>
      <c r="D12" s="6" t="n">
        <v>60.5</v>
      </c>
      <c r="E12" s="6" t="n">
        <v>42.5</v>
      </c>
      <c r="F12" s="6" t="n">
        <v>59</v>
      </c>
      <c r="G12" s="6" t="n">
        <v>66.90000000000001</v>
      </c>
      <c r="H12" s="6" t="n">
        <v>52.3</v>
      </c>
      <c r="I12" s="6" t="n">
        <v>50.8</v>
      </c>
      <c r="J12" s="6" t="n"/>
      <c r="K12" s="6" t="n"/>
      <c r="L12" s="6" t="n"/>
      <c r="M12" s="6" t="n"/>
    </row>
    <row r="13">
      <c r="A13" s="6" t="inlineStr">
        <is>
          <t>Stage 2</t>
        </is>
      </c>
      <c r="B13" s="6" t="n">
        <v>52.4</v>
      </c>
      <c r="C13" s="6" t="n">
        <v>57.7</v>
      </c>
      <c r="D13" s="6" t="n">
        <v>80.90000000000001</v>
      </c>
      <c r="E13" s="6" t="n">
        <v>103.2</v>
      </c>
      <c r="F13" s="6" t="n">
        <v>74.40000000000001</v>
      </c>
      <c r="G13" s="6" t="n">
        <v>119.2</v>
      </c>
      <c r="H13" s="6" t="n">
        <v>60.8</v>
      </c>
      <c r="I13" s="6" t="n">
        <v>69.7</v>
      </c>
      <c r="J13" s="6" t="n"/>
      <c r="K13" s="6" t="n"/>
      <c r="L13" s="6" t="n"/>
      <c r="M13" s="6" t="n"/>
    </row>
    <row r="14">
      <c r="A14" s="6" t="inlineStr">
        <is>
          <t>Stage 3</t>
        </is>
      </c>
      <c r="B14" s="6" t="n">
        <v>86.5</v>
      </c>
      <c r="C14" s="6" t="n">
        <v>80</v>
      </c>
      <c r="D14" s="6" t="n">
        <v>79.8</v>
      </c>
      <c r="E14" s="6" t="n">
        <v>65.5</v>
      </c>
      <c r="F14" s="6" t="n">
        <v>55.4</v>
      </c>
      <c r="G14" s="6" t="n">
        <v>50.1</v>
      </c>
      <c r="H14" s="6" t="n">
        <v>47.7</v>
      </c>
      <c r="I14" s="6" t="n">
        <v>71</v>
      </c>
      <c r="J14" s="6" t="n"/>
      <c r="K14" s="6" t="n"/>
      <c r="L14" s="6" t="n"/>
      <c r="M14" s="6" t="n"/>
    </row>
    <row r="15">
      <c r="A15" s="6" t="inlineStr">
        <is>
          <t>POCI</t>
        </is>
      </c>
      <c r="B15" s="6" t="n">
        <v>2.6</v>
      </c>
      <c r="C15" s="6" t="n">
        <v>0.8</v>
      </c>
      <c r="D15" s="6" t="n">
        <v>1</v>
      </c>
      <c r="E15" s="6" t="n">
        <v>0.7</v>
      </c>
      <c r="F15" s="6" t="n">
        <v>0.8</v>
      </c>
      <c r="G15" s="6" t="n">
        <v>2.8</v>
      </c>
      <c r="H15" s="6" t="n">
        <v>2.2</v>
      </c>
      <c r="I15" s="6" t="n">
        <v>7.2</v>
      </c>
      <c r="J15" s="6" t="n"/>
      <c r="K15" s="6" t="n"/>
      <c r="L15" s="6" t="n"/>
      <c r="M15" s="6" t="n"/>
    </row>
    <row r="16">
      <c r="A16" s="6" t="inlineStr">
        <is>
          <t>Allowance for impairment losses (IAS 39 basis, pre-IFRS 9)</t>
        </is>
      </c>
      <c r="B16" s="6" t="n"/>
      <c r="C16" s="6" t="n"/>
      <c r="D16" s="6" t="n"/>
      <c r="E16" s="6" t="n"/>
      <c r="F16" s="6" t="n"/>
      <c r="G16" s="6" t="n"/>
      <c r="H16" s="6" t="n"/>
      <c r="I16" s="6" t="n"/>
      <c r="J16" s="6" t="n">
        <v>71.59999999999999</v>
      </c>
      <c r="K16" s="6" t="n">
        <v>73.7</v>
      </c>
      <c r="L16" s="6" t="n">
        <v>71.2</v>
      </c>
      <c r="M16" s="6" t="n">
        <v>86.09999999999999</v>
      </c>
    </row>
    <row r="17">
      <c r="A17" s="5" t="inlineStr">
        <is>
          <t>Total allowance for credit losses and credit impairment provisions</t>
        </is>
      </c>
      <c r="B17" s="5" t="n">
        <v>175.6</v>
      </c>
      <c r="C17" s="5" t="n">
        <v>188.7</v>
      </c>
      <c r="D17" s="5" t="n">
        <v>222.2</v>
      </c>
      <c r="E17" s="5" t="n">
        <v>211.9</v>
      </c>
      <c r="F17" s="5" t="n">
        <v>189.6</v>
      </c>
      <c r="G17" s="5" t="n">
        <v>239</v>
      </c>
      <c r="H17" s="5" t="n">
        <v>163</v>
      </c>
      <c r="I17" s="5" t="n">
        <v>198.7</v>
      </c>
      <c r="J17" s="5" t="n">
        <v>71.59999999999999</v>
      </c>
      <c r="K17" s="5" t="n">
        <v>73.7</v>
      </c>
      <c r="L17" s="5" t="n">
        <v>71.2</v>
      </c>
      <c r="M17" s="5" t="n">
        <v>86.09999999999999</v>
      </c>
    </row>
    <row r="18">
      <c r="A18" s="5" t="inlineStr">
        <is>
          <t>Derived ratios</t>
        </is>
      </c>
      <c r="B18" s="6" t="n"/>
      <c r="C18" s="6" t="n"/>
      <c r="D18" s="6" t="n"/>
      <c r="E18" s="6" t="n"/>
      <c r="F18" s="6" t="n"/>
      <c r="G18" s="6" t="n"/>
      <c r="H18" s="6" t="n"/>
      <c r="I18" s="6" t="n"/>
      <c r="J18" s="6" t="n"/>
      <c r="K18" s="6" t="n"/>
      <c r="L18" s="6" t="n"/>
      <c r="M18" s="6" t="n"/>
    </row>
    <row r="19">
      <c r="A19" s="6" t="inlineStr">
        <is>
          <t>NPL / impaired ratio (Stage 3 or impaired gross / Total gross customer lending)</t>
        </is>
      </c>
      <c r="B19" s="6" t="inlineStr">
        <is>
          <t>1.45%</t>
        </is>
      </c>
      <c r="C19" s="6" t="inlineStr">
        <is>
          <t>1.45%</t>
        </is>
      </c>
      <c r="D19" s="6" t="inlineStr">
        <is>
          <t>1.40%</t>
        </is>
      </c>
      <c r="E19" s="6" t="inlineStr">
        <is>
          <t>1.24%</t>
        </is>
      </c>
      <c r="F19" s="6" t="inlineStr">
        <is>
          <t>1.34%</t>
        </is>
      </c>
      <c r="G19" s="6" t="inlineStr">
        <is>
          <t>1.19%</t>
        </is>
      </c>
      <c r="H19" s="6" t="inlineStr">
        <is>
          <t>1.23%</t>
        </is>
      </c>
      <c r="I19" s="6" t="inlineStr">
        <is>
          <t>1.33%</t>
        </is>
      </c>
      <c r="J19" s="6" t="inlineStr">
        <is>
          <t>0.50%</t>
        </is>
      </c>
      <c r="K19" s="6" t="inlineStr">
        <is>
          <t>0.47%</t>
        </is>
      </c>
      <c r="L19" s="6" t="inlineStr">
        <is>
          <t>0.60%</t>
        </is>
      </c>
      <c r="M19" s="6" t="inlineStr">
        <is>
          <t>0.94%</t>
        </is>
      </c>
    </row>
    <row r="20">
      <c r="A20" s="6" t="inlineStr">
        <is>
          <t>Stage 3 coverage ratio (Stage 3 allowance / Stage 3 gross) - not meaningful pre-IFRS 9</t>
        </is>
      </c>
      <c r="B20" s="6" t="inlineStr">
        <is>
          <t>16.45%</t>
        </is>
      </c>
      <c r="C20" s="6" t="inlineStr">
        <is>
          <t>15.15%</t>
        </is>
      </c>
      <c r="D20" s="6" t="inlineStr">
        <is>
          <t>15.71%</t>
        </is>
      </c>
      <c r="E20" s="6" t="inlineStr">
        <is>
          <t>13.87%</t>
        </is>
      </c>
      <c r="F20" s="6" t="inlineStr">
        <is>
          <t>11.03%</t>
        </is>
      </c>
      <c r="G20" s="6" t="inlineStr">
        <is>
          <t>12.54%</t>
        </is>
      </c>
      <c r="H20" s="6" t="inlineStr">
        <is>
          <t>12.47%</t>
        </is>
      </c>
      <c r="I20" s="6" t="inlineStr">
        <is>
          <t>17.74%</t>
        </is>
      </c>
      <c r="J20" s="6" t="n"/>
      <c r="K20" s="6" t="n"/>
      <c r="L20" s="6" t="n"/>
      <c r="M20" s="6" t="n"/>
    </row>
    <row r="21">
      <c r="A21" s="6" t="inlineStr">
        <is>
          <t>Total coverage ratio (Total allowance / Total gross)</t>
        </is>
      </c>
      <c r="B21" s="6" t="inlineStr">
        <is>
          <t>0.48%</t>
        </is>
      </c>
      <c r="C21" s="6" t="inlineStr">
        <is>
          <t>0.52%</t>
        </is>
      </c>
      <c r="D21" s="6" t="inlineStr">
        <is>
          <t>0.61%</t>
        </is>
      </c>
      <c r="E21" s="6" t="inlineStr">
        <is>
          <t>0.55%</t>
        </is>
      </c>
      <c r="F21" s="6" t="inlineStr">
        <is>
          <t>0.51%</t>
        </is>
      </c>
      <c r="G21" s="6" t="inlineStr">
        <is>
          <t>0.71%</t>
        </is>
      </c>
      <c r="H21" s="6" t="inlineStr">
        <is>
          <t>0.52%</t>
        </is>
      </c>
      <c r="I21" s="6" t="inlineStr">
        <is>
          <t>0.66%</t>
        </is>
      </c>
      <c r="J21" s="6" t="inlineStr">
        <is>
          <t>0.23%</t>
        </is>
      </c>
      <c r="K21" s="6" t="inlineStr">
        <is>
          <t>0.25%</t>
        </is>
      </c>
      <c r="L21" s="6" t="inlineStr">
        <is>
          <t>0.27%</t>
        </is>
      </c>
      <c r="M21" s="6" t="inlineStr">
        <is>
          <t>0.40%</t>
        </is>
      </c>
    </row>
    <row r="23" ht="260" customHeight="1">
      <c r="A23" s="8" t="inlineStr">
        <is>
          <t>Sources - Bank and Company basis, £ million:
FY2025: TSB Bank plc Annual Report and Accounts 2025, p.62 (Note 8, 'Sensitivity to alternative economic scenario weightings', weighted column) - https://www.tsb.co.uk/content/dam/tsb-public/documents/investors/financial-results-and-reports/2025/TSB-Bank-ARA-2025.pdf
FY2024: TSB Bank plc Annual Report and Accounts 2025, p.63 (Note 8, FY2024 comparative, weighted column) - https://www.tsb.co.uk/content/dam/tsb-public/documents/investors/financial-results-and-reports/2025/TSB-Bank-ARA-2025.pdf
FY2023: TSB Bank plc Annual Report and Accounts 2023, p.45 (Note 8, weighted column) - https://www.tsb.co.uk/content/dam/tsb-public/documents/investors/financial-results-and-reports/2023/TSB-Bank-2023.pdf
FY2022: TSB Bank plc Annual Report and Accounts 2023, p.46 (Note 8, FY2022 comparative, weighted column) - https://www.tsb.co.uk/content/dam/tsb-public/documents/investors/financial-results-and-reports/2023/TSB-Bank-2023.pdf
FY2021: TSB Bank plc Annual Report and Accounts 2021, p.54 ('Reconciliation of movements in gross customer balances and allowances for credit impairment losses', at 31 December 2021 closing row) - https://www.tsb.co.uk/content/dam/tsb-public/documents/investors/financial-results-and-reports/2021/tsb-bank-ara-2021.pdf
FY2020 &amp; FY2019: TSB Bank plc Annual Report and Accounts 2020, p.38-39 (Note 9, 'Allowance for credit impairment losses on financial assets at amortised cost', closing rows) - https://www.tsb.co.uk/content/dam/tsb-public/documents/investors/financial-results-and-reports/2020/tsb-bank-ara-2020.pdf
FY2018 &amp; FY2017 (as if IFRS 9): TSB Bank plc Annual Report and Accounts 2018, p.42 (Note 11, 'Allowance for credit impairment losses on financial assets at amortised cost - IFRS 9', closing row) - https://www.tsb.co.uk/content/dam/tsb-public/documents/investors/financial-results-and-reports/2018/tsb-bank-ara-2018.pdf
FY2017 (IAS 39, as originally reported) &amp; FY2016: TSB Bank plc Annual Report and Accounts 2017, p.32-33 (Note 9, 'Allowance for impairment losses on loans and receivables' and 'Credit quality of assets' tables) - https://www.tsb.co.uk/content/dam/tsb-public/documents/investors/financial-results-and-reports/2017/tsb-bank-ara-2017.pdf
FY2015 &amp; FY2014: TSB Banking Group plc Annual Report and Accounts 2015, p.62-63 (Note 10, 'Allowance for impairment losses on loans and receivables' and 'Credit quality of assets' tables) - https://www.tsb.co.uk/content/dam/tsb-public/documents/investors/financial-results-and-reports/2015/tsb-2015-annual-report.pdf
PRESENTATION NOTE: FY2022-FY2025 use the 'Sensitivity to alternative economic scenario weightings' note's weighted-forecast gross lending/ECL table (a narrower disclosure scope than the full 'Reconciliation of movements' table, which TSB stopped publishing after the 2021 Annual Report). FY2021-FY2018 use that older, fuller reconciliation table instead ('Note 9'/'Note 11: Allowance for credit impairment losses on financial assets at amortised cost') - a genuine disclosure-format change, not a data error. Neither table's Total gross/Total allowance figures tie exactly to the Balance Sheet's 'Loans and advances to customers' net line (a small gap, consistent in direction and rough magnitude across years, most likely reflecting a scope difference such as loan commitment provisions or accrued interest treated differently between the two disclosures) - reproduced faithfully from each source rather than forced to tie.
IAS 39/IFRS 9 CAVEAT (FY2014-FY2017): TSB adopted IFRS 9 from 1 January 2018 (see the Statement of Changes in Equity sheet's 'Change on initial application of IFRS 9' transition row). FY2014-FY2017 predate IFRS 9 and use IAS 39's 'incurred loss' impairment model instead: loans are classified as 'neither past due nor impaired', 'past due but not impaired', or 'impaired' (no Stage 1/2/3/POCI concept existed), and the allowance is split into 'specific coverage (individual)', 'specific coverage (collective)' and 'incurred but not reported (IBNR)' categories rather than by stage. The 'Impaired loans' row above is the closest IAS 39-era equivalent to the IFRS 9 'Stage 3' concept, and 'NPL / impaired ratio' is computed on the same basis for comparability across the full FY2014-FY2025 window; 'Stage 3 coverage ratio' has no equivalent IAS 39 breakdown and is left blank for FY2014-FY2017 rather than approximated.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1949276</v>
      </c>
      <c r="C4" s="6" t="n">
        <v>1738133</v>
      </c>
      <c r="D4" s="6" t="n">
        <v>1842646</v>
      </c>
      <c r="E4" s="6" t="n">
        <v>1791545</v>
      </c>
      <c r="F4" s="6" t="n">
        <v>1724002</v>
      </c>
      <c r="G4" s="6" t="n">
        <v>1630434</v>
      </c>
      <c r="H4" s="6" t="n">
        <v>1837943</v>
      </c>
      <c r="I4" s="6" t="n">
        <v>1805500</v>
      </c>
      <c r="J4" s="6" t="n">
        <v>1898100</v>
      </c>
      <c r="K4" s="6" t="n">
        <v>1785437</v>
      </c>
      <c r="L4" s="6" t="n">
        <v>1672458</v>
      </c>
      <c r="M4" s="6" t="n">
        <v>1593000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16.74%</t>
        </is>
      </c>
      <c r="C4" s="6" t="inlineStr">
        <is>
          <t>15.45%</t>
        </is>
      </c>
      <c r="D4" s="6" t="inlineStr">
        <is>
          <t>16.7%</t>
        </is>
      </c>
      <c r="E4" s="6" t="inlineStr">
        <is>
          <t>17.2%</t>
        </is>
      </c>
      <c r="F4" s="6" t="inlineStr">
        <is>
          <t>15.9%</t>
        </is>
      </c>
      <c r="G4" s="6" t="inlineStr">
        <is>
          <t>15.3%</t>
        </is>
      </c>
      <c r="H4" s="6" t="inlineStr">
        <is>
          <t>20.8%</t>
        </is>
      </c>
      <c r="I4" s="6" t="inlineStr">
        <is>
          <t>19.5%</t>
        </is>
      </c>
      <c r="J4" s="6" t="inlineStr">
        <is>
          <t>20.0%</t>
        </is>
      </c>
      <c r="K4" s="6" t="inlineStr">
        <is>
          <t>18.5%</t>
        </is>
      </c>
      <c r="L4" s="6" t="inlineStr">
        <is>
          <t>17.8%</t>
        </is>
      </c>
      <c r="M4" s="6" t="inlineStr">
        <is>
          <t>23.0%</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2198973</v>
      </c>
      <c r="C4" s="6" t="n">
        <v>1987837</v>
      </c>
      <c r="D4" s="6" t="n">
        <v>1842646</v>
      </c>
      <c r="E4" s="6" t="n">
        <v>1791545</v>
      </c>
      <c r="F4" s="6" t="n">
        <v>1724002</v>
      </c>
      <c r="G4" s="6" t="n">
        <v>1630434</v>
      </c>
      <c r="H4" s="6" t="n">
        <v>1837943</v>
      </c>
      <c r="I4" s="6" t="n">
        <v>1805500</v>
      </c>
      <c r="J4" s="6" t="n">
        <v>1898100</v>
      </c>
      <c r="K4" s="6" t="n">
        <v>1785437</v>
      </c>
      <c r="L4" s="6" t="n">
        <v>1672458</v>
      </c>
      <c r="M4" s="6" t="n">
        <v>1593000</v>
      </c>
    </row>
    <row r="5" ht="60" customHeight="1">
      <c r="A5" s="7" t="inlineStr">
        <is>
          <t>Note: Equal to CET1 capital for every year FY2014-FY2023 - TSB held no Additional Tier 1 (AT1) capital until it issued £249.7m of AT1 securities during FY2024 (see the Cash Flow Statement sheet), which is why Tier 1 capital first exceeds CET1 capital from FY2024 onward.</t>
        </is>
      </c>
    </row>
    <row r="7" ht="120" customHeight="1">
      <c r="A7"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18.88%</t>
        </is>
      </c>
      <c r="C4" s="6" t="inlineStr">
        <is>
          <t>17.67%</t>
        </is>
      </c>
      <c r="D4" s="6" t="inlineStr">
        <is>
          <t>16.7%</t>
        </is>
      </c>
      <c r="E4" s="6" t="inlineStr">
        <is>
          <t>17.2%</t>
        </is>
      </c>
      <c r="F4" s="6" t="inlineStr">
        <is>
          <t>15.9%</t>
        </is>
      </c>
      <c r="G4" s="6" t="inlineStr">
        <is>
          <t>15.3%</t>
        </is>
      </c>
      <c r="H4" s="6" t="inlineStr">
        <is>
          <t>20.8%</t>
        </is>
      </c>
      <c r="I4" s="6" t="inlineStr">
        <is>
          <t>19.5%</t>
        </is>
      </c>
      <c r="J4" s="6" t="inlineStr">
        <is>
          <t>20.0%</t>
        </is>
      </c>
      <c r="K4" s="6" t="inlineStr">
        <is>
          <t>18.5%</t>
        </is>
      </c>
      <c r="L4" s="6" t="inlineStr">
        <is>
          <t>17.8%</t>
        </is>
      </c>
      <c r="M4" s="6" t="inlineStr">
        <is>
          <t>23.0%</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2498973</v>
      </c>
      <c r="C4" s="6" t="n">
        <v>2287837</v>
      </c>
      <c r="D4" s="6" t="n">
        <v>2167829</v>
      </c>
      <c r="E4" s="6" t="n">
        <v>2109761</v>
      </c>
      <c r="F4" s="6" t="n">
        <v>2024002</v>
      </c>
      <c r="G4" s="6" t="n">
        <v>2015339</v>
      </c>
      <c r="H4" s="6" t="n">
        <v>2222569</v>
      </c>
      <c r="I4" s="6" t="n">
        <v>2196100</v>
      </c>
      <c r="J4" s="6" t="n">
        <v>2282200</v>
      </c>
      <c r="K4" s="6" t="n">
        <v>2169371</v>
      </c>
      <c r="L4" s="6" t="n">
        <v>2055971</v>
      </c>
      <c r="M4" s="6" t="n">
        <v>1977300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21.46%</t>
        </is>
      </c>
      <c r="C4" s="6" t="inlineStr">
        <is>
          <t>20.33%</t>
        </is>
      </c>
      <c r="D4" s="6" t="inlineStr">
        <is>
          <t>19.6%</t>
        </is>
      </c>
      <c r="E4" s="6" t="inlineStr">
        <is>
          <t>20.2%</t>
        </is>
      </c>
      <c r="F4" s="6" t="inlineStr">
        <is>
          <t>18.7%</t>
        </is>
      </c>
      <c r="G4" s="6" t="inlineStr">
        <is>
          <t>18.9%</t>
        </is>
      </c>
      <c r="H4" s="6" t="inlineStr">
        <is>
          <t>25.1%</t>
        </is>
      </c>
      <c r="I4" s="6" t="inlineStr">
        <is>
          <t>23.7%</t>
        </is>
      </c>
      <c r="J4" s="6" t="inlineStr">
        <is>
          <t>24.0%</t>
        </is>
      </c>
      <c r="K4" s="6" t="inlineStr">
        <is>
          <t>22.4%</t>
        </is>
      </c>
      <c r="L4" s="6" t="inlineStr">
        <is>
          <t>21.9%</t>
        </is>
      </c>
      <c r="M4" s="6" t="inlineStr">
        <is>
          <t>28.5%</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11646331</v>
      </c>
      <c r="C4" s="6" t="n">
        <v>11250820</v>
      </c>
      <c r="D4" s="6" t="n">
        <v>11052751</v>
      </c>
      <c r="E4" s="6" t="n">
        <v>10442066</v>
      </c>
      <c r="F4" s="6" t="n">
        <v>10851867</v>
      </c>
      <c r="G4" s="6" t="n">
        <v>10644263</v>
      </c>
      <c r="H4" s="6" t="n">
        <v>8841425</v>
      </c>
      <c r="I4" s="6" t="n">
        <v>9271000</v>
      </c>
      <c r="J4" s="6" t="n">
        <v>9490700</v>
      </c>
      <c r="K4" s="6" t="n">
        <v>9674544</v>
      </c>
      <c r="L4" s="6" t="n">
        <v>9402364</v>
      </c>
      <c r="M4" s="6" t="n">
        <v>6930200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RWA Breakdown</t>
        </is>
      </c>
    </row>
    <row r="2">
      <c r="A2" s="2" t="inlineStr">
        <is>
          <t>TSB Banking Group plc consolidated Pillar 3 basis, £'000. FY2019-FY2025 and FY2015-FY2016 use the standard 4-row UK OV1 template, which sums exactly to Total RWAs; FY2017-FY2018 and FY2014 are shown on each year's own as-published, non-OV1-template category structure (memo rows do not double-count into the total - see PRESENTATION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RWA by risk category (Pillar 3 UK OV1 template)</t>
        </is>
      </c>
      <c r="B4" s="6" t="n"/>
      <c r="C4" s="6" t="n"/>
      <c r="D4" s="6" t="n"/>
      <c r="E4" s="6" t="n"/>
      <c r="F4" s="6" t="n"/>
      <c r="G4" s="6" t="n"/>
      <c r="H4" s="6" t="n"/>
      <c r="I4" s="6" t="n"/>
      <c r="J4" s="6" t="n"/>
      <c r="K4" s="6" t="n"/>
      <c r="L4" s="6" t="n"/>
      <c r="M4" s="6" t="n"/>
    </row>
    <row r="5">
      <c r="A5" s="6" t="inlineStr">
        <is>
          <t>Credit risk (excluding counterparty credit risk)</t>
        </is>
      </c>
      <c r="B5" s="6" t="n">
        <v>9802107</v>
      </c>
      <c r="C5" s="6" t="n">
        <v>9417095</v>
      </c>
      <c r="D5" s="6" t="n">
        <v>9285021</v>
      </c>
      <c r="E5" s="6" t="n">
        <v>8781922</v>
      </c>
      <c r="F5" s="6" t="n">
        <v>9375601</v>
      </c>
      <c r="G5" s="6" t="n">
        <v>7584270</v>
      </c>
      <c r="H5" s="6" t="n">
        <v>7181081</v>
      </c>
      <c r="I5" s="6" t="n"/>
      <c r="J5" s="6" t="n"/>
      <c r="K5" s="6" t="n">
        <v>7796692</v>
      </c>
      <c r="L5" s="6" t="n">
        <v>7618079</v>
      </c>
      <c r="M5" s="6" t="n"/>
    </row>
    <row r="6">
      <c r="A6" s="6" t="inlineStr">
        <is>
          <t>Counterparty credit risk (CCR, incl. CVA)</t>
        </is>
      </c>
      <c r="B6" s="6" t="n">
        <v>34637</v>
      </c>
      <c r="C6" s="6" t="n">
        <v>44008</v>
      </c>
      <c r="D6" s="6" t="n">
        <v>47113</v>
      </c>
      <c r="E6" s="6" t="n">
        <v>107036</v>
      </c>
      <c r="F6" s="6" t="n">
        <v>17276</v>
      </c>
      <c r="G6" s="6" t="n">
        <v>17452</v>
      </c>
      <c r="H6" s="6" t="n">
        <v>48287</v>
      </c>
      <c r="I6" s="6" t="n"/>
      <c r="J6" s="6" t="n"/>
      <c r="K6" s="6" t="n">
        <v>206645</v>
      </c>
      <c r="L6" s="6" t="n">
        <v>52017</v>
      </c>
      <c r="M6" s="6" t="n"/>
    </row>
    <row r="7">
      <c r="A7" s="6" t="inlineStr">
        <is>
          <t>Operational risk</t>
        </is>
      </c>
      <c r="B7" s="6" t="n">
        <v>1725340</v>
      </c>
      <c r="C7" s="6" t="n">
        <v>1710925</v>
      </c>
      <c r="D7" s="6" t="n">
        <v>1633140</v>
      </c>
      <c r="E7" s="6" t="n">
        <v>1475213</v>
      </c>
      <c r="F7" s="6" t="n">
        <v>1400010</v>
      </c>
      <c r="G7" s="6" t="n">
        <v>1400392</v>
      </c>
      <c r="H7" s="6" t="n">
        <v>1484429</v>
      </c>
      <c r="I7" s="6" t="n"/>
      <c r="J7" s="6" t="n"/>
      <c r="K7" s="6" t="n">
        <v>1400642</v>
      </c>
      <c r="L7" s="6" t="n">
        <v>1416377</v>
      </c>
      <c r="M7" s="6" t="n"/>
    </row>
    <row r="8">
      <c r="A8" s="6" t="inlineStr">
        <is>
          <t>Amounts below the thresholds for deduction (subject to 250% risk weight)</t>
        </is>
      </c>
      <c r="B8" s="6" t="n">
        <v>84247</v>
      </c>
      <c r="C8" s="6" t="n">
        <v>78792</v>
      </c>
      <c r="D8" s="6" t="n">
        <v>87477</v>
      </c>
      <c r="E8" s="6" t="n">
        <v>77895</v>
      </c>
      <c r="F8" s="6" t="n">
        <v>58980</v>
      </c>
      <c r="G8" s="6" t="n">
        <v>50591</v>
      </c>
      <c r="H8" s="6" t="n">
        <v>127628</v>
      </c>
      <c r="I8" s="6" t="n"/>
      <c r="J8" s="6" t="n"/>
      <c r="K8" s="6" t="n">
        <v>270565</v>
      </c>
      <c r="L8" s="6" t="n">
        <v>315891</v>
      </c>
      <c r="M8" s="6" t="n"/>
    </row>
    <row r="9">
      <c r="A9" s="6" t="inlineStr">
        <is>
          <t>Credit risk, Standardised approach (FY2017-FY2018 presentation, incl. CCR)</t>
        </is>
      </c>
      <c r="B9" s="6" t="n"/>
      <c r="C9" s="6" t="n"/>
      <c r="D9" s="6" t="n"/>
      <c r="E9" s="6" t="n"/>
      <c r="F9" s="6" t="n"/>
      <c r="G9" s="6" t="n"/>
      <c r="H9" s="6" t="n"/>
      <c r="I9" s="6" t="n">
        <v>7673500</v>
      </c>
      <c r="J9" s="6" t="n">
        <v>7907400</v>
      </c>
      <c r="K9" s="6" t="n"/>
      <c r="L9" s="6" t="n"/>
      <c r="M9" s="6" t="n"/>
    </row>
    <row r="10">
      <c r="A10" s="6" t="inlineStr">
        <is>
          <t>Counterparty credit risk (FY2017-FY2018 presentation, memo only - already included above)</t>
        </is>
      </c>
      <c r="B10" s="6" t="n"/>
      <c r="C10" s="6" t="n"/>
      <c r="D10" s="6" t="n"/>
      <c r="E10" s="6" t="n"/>
      <c r="F10" s="6" t="n"/>
      <c r="G10" s="6" t="n"/>
      <c r="H10" s="6" t="n"/>
      <c r="I10" s="6" t="n">
        <v>109900</v>
      </c>
      <c r="J10" s="6" t="n">
        <v>119600</v>
      </c>
      <c r="K10" s="6" t="n"/>
      <c r="L10" s="6" t="n"/>
      <c r="M10" s="6" t="n"/>
    </row>
    <row r="11">
      <c r="A11" s="6" t="inlineStr">
        <is>
          <t>Operational risk (FY2017-FY2018 presentation)</t>
        </is>
      </c>
      <c r="B11" s="6" t="n"/>
      <c r="C11" s="6" t="n"/>
      <c r="D11" s="6" t="n"/>
      <c r="E11" s="6" t="n"/>
      <c r="F11" s="6" t="n"/>
      <c r="G11" s="6" t="n"/>
      <c r="H11" s="6" t="n"/>
      <c r="I11" s="6" t="n">
        <v>1487600</v>
      </c>
      <c r="J11" s="6" t="n">
        <v>1463700</v>
      </c>
      <c r="K11" s="6" t="n"/>
      <c r="L11" s="6" t="n"/>
      <c r="M11" s="6" t="n"/>
    </row>
    <row r="12">
      <c r="A12" s="6" t="inlineStr">
        <is>
          <t>Credit risk (IRB approach, FY2014 presentation)</t>
        </is>
      </c>
      <c r="B12" s="6" t="n"/>
      <c r="C12" s="6" t="n"/>
      <c r="D12" s="6" t="n"/>
      <c r="E12" s="6" t="n"/>
      <c r="F12" s="6" t="n"/>
      <c r="G12" s="6" t="n"/>
      <c r="H12" s="6" t="n"/>
      <c r="I12" s="6" t="n"/>
      <c r="J12" s="6" t="n"/>
      <c r="K12" s="6" t="n"/>
      <c r="L12" s="6" t="n"/>
      <c r="M12" s="6" t="n">
        <v>3187300</v>
      </c>
    </row>
    <row r="13">
      <c r="A13" s="6" t="inlineStr">
        <is>
          <t>Credit risk (Standardised approach, FY2014 presentation)</t>
        </is>
      </c>
      <c r="B13" s="6" t="n"/>
      <c r="C13" s="6" t="n"/>
      <c r="D13" s="6" t="n"/>
      <c r="E13" s="6" t="n"/>
      <c r="F13" s="6" t="n"/>
      <c r="G13" s="6" t="n"/>
      <c r="H13" s="6" t="n"/>
      <c r="I13" s="6" t="n"/>
      <c r="J13" s="6" t="n"/>
      <c r="K13" s="6" t="n"/>
      <c r="L13" s="6" t="n"/>
      <c r="M13" s="6" t="n">
        <v>2285400</v>
      </c>
    </row>
    <row r="14">
      <c r="A14" s="6" t="inlineStr">
        <is>
          <t>Credit risk (CCP contribution, FY2014 presentation)</t>
        </is>
      </c>
      <c r="B14" s="6" t="n"/>
      <c r="C14" s="6" t="n"/>
      <c r="D14" s="6" t="n"/>
      <c r="E14" s="6" t="n"/>
      <c r="F14" s="6" t="n"/>
      <c r="G14" s="6" t="n"/>
      <c r="H14" s="6" t="n"/>
      <c r="I14" s="6" t="n"/>
      <c r="J14" s="6" t="n"/>
      <c r="K14" s="6" t="n"/>
      <c r="L14" s="6" t="n"/>
      <c r="M14" s="6" t="n">
        <v>1000</v>
      </c>
    </row>
    <row r="15">
      <c r="A15" s="6" t="inlineStr">
        <is>
          <t>Counterparty credit risk (FY2014 presentation, memo only - already included above)</t>
        </is>
      </c>
      <c r="B15" s="6" t="n"/>
      <c r="C15" s="6" t="n"/>
      <c r="D15" s="6" t="n"/>
      <c r="E15" s="6" t="n"/>
      <c r="F15" s="6" t="n"/>
      <c r="G15" s="6" t="n"/>
      <c r="H15" s="6" t="n"/>
      <c r="I15" s="6" t="n"/>
      <c r="J15" s="6" t="n"/>
      <c r="K15" s="6" t="n"/>
      <c r="L15" s="6" t="n"/>
      <c r="M15" s="6" t="n">
        <v>4300</v>
      </c>
    </row>
    <row r="16">
      <c r="A16" s="6" t="inlineStr">
        <is>
          <t>Credit valuation adjustment (CVA) risk (FY2014 presentation)</t>
        </is>
      </c>
      <c r="B16" s="6" t="n"/>
      <c r="C16" s="6" t="n"/>
      <c r="D16" s="6" t="n"/>
      <c r="E16" s="6" t="n"/>
      <c r="F16" s="6" t="n"/>
      <c r="G16" s="6" t="n"/>
      <c r="H16" s="6" t="n"/>
      <c r="I16" s="6" t="n"/>
      <c r="J16" s="6" t="n"/>
      <c r="K16" s="6" t="n"/>
      <c r="L16" s="6" t="n"/>
      <c r="M16" s="6" t="n">
        <v>700</v>
      </c>
    </row>
    <row r="17">
      <c r="A17" s="6" t="inlineStr">
        <is>
          <t>Operational risk (FY2014 presentation)</t>
        </is>
      </c>
      <c r="B17" s="6" t="n"/>
      <c r="C17" s="6" t="n"/>
      <c r="D17" s="6" t="n"/>
      <c r="E17" s="6" t="n"/>
      <c r="F17" s="6" t="n"/>
      <c r="G17" s="6" t="n"/>
      <c r="H17" s="6" t="n"/>
      <c r="I17" s="6" t="n"/>
      <c r="J17" s="6" t="n"/>
      <c r="K17" s="6" t="n"/>
      <c r="L17" s="6" t="n"/>
      <c r="M17" s="6" t="n">
        <v>1451500</v>
      </c>
    </row>
    <row r="18">
      <c r="A18" s="5" t="inlineStr">
        <is>
          <t>Total RWAs</t>
        </is>
      </c>
      <c r="B18" s="5" t="n">
        <v>11646331</v>
      </c>
      <c r="C18" s="5" t="n">
        <v>11250820</v>
      </c>
      <c r="D18" s="5" t="n">
        <v>11052751</v>
      </c>
      <c r="E18" s="5" t="n">
        <v>10442066</v>
      </c>
      <c r="F18" s="5" t="n">
        <v>10851867</v>
      </c>
      <c r="G18" s="5" t="n">
        <v>10644263</v>
      </c>
      <c r="H18" s="5" t="n">
        <v>8841425</v>
      </c>
      <c r="I18" s="5" t="n">
        <v>9271000</v>
      </c>
      <c r="J18" s="5" t="n">
        <v>9490700</v>
      </c>
      <c r="K18" s="5" t="n">
        <v>9674544</v>
      </c>
      <c r="L18" s="5" t="n">
        <v>9402364</v>
      </c>
      <c r="M18" s="5" t="n">
        <v>6930200</v>
      </c>
    </row>
    <row r="20" ht="340" customHeight="1">
      <c r="A20" s="8" t="inlineStr">
        <is>
          <t>Sources - TSB Banking Group plc consolidated Pillar 3 basis, UK OV1: Overview of risk-weighted exposure amounts (see entity note on Cash Flow Statement sheet):
FY2025: TSB Banking Group plc Large Subsidiary Disclosures, as at 31 December 2025, p.10 (Table 4: OV1) - https://www.tsb.co.uk/content/dam/tsb-public/documents/investors/rns/tsb-large-subsidiary-disclosure-2025.pdf
FY2024: TSB Banking Group plc Large Subsidiary Disclosures, as at 31 December 2024, p.12 (Table 5: OV1; independently cross-checked against the FY2025 disclosure's own FY2024 comparative column, which agrees exactly) - https://www.tsb.co.uk/content/dam/tsb-public/documents/investors/rns/TSB-Large-subsidiary-Disclosure-2024.pdf
FY2023: TSB Banking Group plc Large Subsidiary Disclosures, as at 31 December 2024, p.12 (Table 5: OV1, FY2023 comparative column) - https://www.tsb.co.uk/content/dam/tsb-public/documents/investors/rns/TSB-Large-subsidiary-Disclosure-2024.pdf
FY2022: TSB Banking Group plc Large Subsidiary Disclosures 2022, p.12 (Table 5: OV1) - https://www.tsb.co.uk/content/dam/tsb-public/documents/investors/rns/TSB-Large-subsidiary-Disclosure-2022.pdf
FY2021: TSB Banking Group plc Large Subsidiary Disclosures 2021, p.11 (Table 5: OV1; independently cross-checked against the 2022 disclosure's own FY2021 comparative column, which agrees exactly) - https://www.tsb.co.uk/content/dam/tsb-public/documents/investors/rns/TSB-Large-Subsidiary-Disclosure-2021.pdf
FY2020/FY2019: TSB Banking Group plc Large Subsidiary Disclosures, as at 31 December 2020, OV1 table (FY2019 as its own comparative column) - https://www.tsb.co.uk/content/dam/tsb-public/documents/investors/rns/TSB-Significant-Subsidiary-Disclosure-2020.pdf
FY2018: TSB Banking Group plc Annual Report and Accounts 2018, 'Capital resources' section - https://www.tsb.co.uk/content/dam/tsb-public/documents/investors/financial-results-and-reports/2018/tsb-banking-group-ara-2018.pdf
FY2017: TSB Banking Group plc Annual Report and Accounts 2017, 'Capital resources' section - https://www.tsb.co.uk/content/dam/tsb-public/documents/investors/financial-results-and-reports/2017/tsb-banking-group-annual-report-2017.pdf
FY2016: TSB Banking Group plc Large Subsidiary Disclosures, as at 31 December 2016, OV1 table (also gives FY2015 as its own comparative column, used for the FY2015 figures here) - https://www.tsb.co.uk/content/dam/tsb-public/documents/investors/financial-results-and-reports/2016/tsb-material-subsidiary-2016.pdf
FY2015: as above (FY2016 disclosure's own FY2015 comparative column) - https://www.tsb.co.uk/content/dam/tsb-public/documents/investors/financial-results-and-reports/2016/tsb-material-subsidiary-2016.pdf
FY2014: TSB Banking Group plc Pillar 3 Disclosures 2014, Table 3 (own-year IRB/Standardised/CCP/CCR/CVA/operational risk breakdown) - https://www.tsb.co.uk/content/dam/tsb-public/documents/investors/financial-results-and-reports/2014/TSB-Pillar-3-2014,0.pdf
PRESENTATION NOTE (FY2014, FY2017, FY2018): these three years predate the standardised UK OV1 template's 4-category structure and are instead shown using each year's own as-published risk-category breakdown (FY2017/FY2018: Standardised-approach credit risk, CCR memo, operational risk from the Banking Group Annual Report's own 'Capital resources' table; FY2014: IRB + Standardised + CCP credit risk components, CCR memo, CVA risk, and operational risk from the Pillar 3 disclosure's own Table 3). In each of these three years the 'memo only' CCR row is already included within the adjacent credit-risk row(s) above it (exactly as each source document presents it) and is shown separately purely for transparency - it does not double count into Total RWAs, which still ties exactly to the Total RWAs metric sheet for every year.</t>
        </is>
      </c>
    </row>
  </sheetData>
  <mergeCells count="1">
    <mergeCell ref="A20:M2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total exposure measure excluding claims on central banks</t>
        </is>
      </c>
      <c r="B4" s="6" t="n">
        <v>40220383</v>
      </c>
      <c r="C4" s="6" t="n">
        <v>40126116</v>
      </c>
      <c r="D4" s="6" t="n">
        <v>40338726</v>
      </c>
      <c r="E4" s="6" t="n">
        <v>42544451</v>
      </c>
      <c r="F4" s="6" t="n">
        <v>42569754</v>
      </c>
      <c r="G4" s="6" t="n"/>
      <c r="H4" s="6" t="n"/>
      <c r="I4" s="6" t="n"/>
      <c r="J4" s="6" t="n"/>
      <c r="K4" s="6" t="n"/>
      <c r="L4" s="6" t="n"/>
      <c r="M4" s="6" t="n"/>
    </row>
    <row r="5">
      <c r="A5" s="6" t="inlineStr">
        <is>
          <t>Leverage ratio excluding claims on central banks (%)</t>
        </is>
      </c>
      <c r="B5" s="6" t="inlineStr">
        <is>
          <t>5.47%</t>
        </is>
      </c>
      <c r="C5" s="6" t="inlineStr">
        <is>
          <t>4.95%</t>
        </is>
      </c>
      <c r="D5" s="6" t="inlineStr">
        <is>
          <t>4.57%</t>
        </is>
      </c>
      <c r="E5" s="6" t="inlineStr">
        <is>
          <t>4.2%</t>
        </is>
      </c>
      <c r="F5" s="6" t="inlineStr">
        <is>
          <t>4.0%</t>
        </is>
      </c>
      <c r="G5" s="6" t="n"/>
      <c r="H5" s="6" t="n"/>
      <c r="I5" s="6" t="n"/>
      <c r="J5" s="6" t="n"/>
      <c r="K5" s="6" t="n"/>
      <c r="L5" s="6" t="n"/>
      <c r="M5" s="6" t="n"/>
    </row>
    <row r="6">
      <c r="A6" s="6" t="inlineStr">
        <is>
          <t>Leverage ratio total exposure measure including claims on central banks (FY2021 as originally reported, pre-2022 PRA methodology)</t>
        </is>
      </c>
      <c r="B6" s="6" t="n"/>
      <c r="C6" s="6" t="n"/>
      <c r="D6" s="6" t="n"/>
      <c r="E6" s="6" t="n"/>
      <c r="F6" s="6" t="n">
        <v>47412008</v>
      </c>
      <c r="G6" s="6" t="n"/>
      <c r="H6" s="6" t="n"/>
      <c r="I6" s="6" t="n"/>
      <c r="J6" s="6" t="n"/>
      <c r="K6" s="6" t="n"/>
      <c r="L6" s="6" t="n"/>
      <c r="M6" s="6" t="n"/>
    </row>
    <row r="7">
      <c r="A7" s="6" t="inlineStr">
        <is>
          <t>Leverage ratio including claims on central banks (%) (FY2021 as originally reported, pre-2022 PRA methodology)</t>
        </is>
      </c>
      <c r="B7" s="6" t="n"/>
      <c r="C7" s="6" t="n"/>
      <c r="D7" s="6" t="n"/>
      <c r="E7" s="6" t="n"/>
      <c r="F7" s="6" t="inlineStr">
        <is>
          <t>3.6%</t>
        </is>
      </c>
      <c r="G7" s="6" t="n"/>
      <c r="H7" s="6" t="n"/>
      <c r="I7" s="6" t="n"/>
      <c r="J7" s="6" t="n"/>
      <c r="K7" s="6" t="n"/>
      <c r="L7" s="6" t="n"/>
      <c r="M7" s="6" t="n"/>
    </row>
    <row r="8">
      <c r="A8" s="6" t="inlineStr">
        <is>
          <t>Leverage ratio total exposure measure (FY2014-FY2020 as originally reported, pre-2022 PRA methodology, including claims on central banks)</t>
        </is>
      </c>
      <c r="B8" s="6" t="n"/>
      <c r="C8" s="6" t="n"/>
      <c r="D8" s="6" t="n"/>
      <c r="E8" s="6" t="n"/>
      <c r="F8" s="6" t="n"/>
      <c r="G8" s="6" t="n">
        <v>42933969</v>
      </c>
      <c r="H8" s="6" t="n">
        <v>39889242</v>
      </c>
      <c r="I8" s="6" t="n">
        <v>41445900</v>
      </c>
      <c r="J8" s="6" t="n">
        <v>42668600</v>
      </c>
      <c r="K8" s="6" t="n">
        <v>37525812</v>
      </c>
      <c r="L8" s="6" t="n">
        <v>32026192</v>
      </c>
      <c r="M8" s="6" t="n"/>
    </row>
    <row r="9">
      <c r="A9" s="6" t="inlineStr">
        <is>
          <t>Leverage ratio (%) (FY2014-FY2020 as originally reported, pre-2022 PRA methodology)</t>
        </is>
      </c>
      <c r="B9" s="6" t="n"/>
      <c r="C9" s="6" t="n"/>
      <c r="D9" s="6" t="n"/>
      <c r="E9" s="6" t="n"/>
      <c r="F9" s="6" t="n"/>
      <c r="G9" s="6" t="inlineStr">
        <is>
          <t>3.8%</t>
        </is>
      </c>
      <c r="H9" s="6" t="inlineStr">
        <is>
          <t>4.6%</t>
        </is>
      </c>
      <c r="I9" s="6" t="inlineStr">
        <is>
          <t>4.4%</t>
        </is>
      </c>
      <c r="J9" s="6" t="inlineStr">
        <is>
          <t>4.5%</t>
        </is>
      </c>
      <c r="K9" s="6" t="inlineStr">
        <is>
          <t>4.8%</t>
        </is>
      </c>
      <c r="L9" s="6" t="inlineStr">
        <is>
          <t>5.2%</t>
        </is>
      </c>
      <c r="M9" s="6" t="inlineStr">
        <is>
          <t>5.8%</t>
        </is>
      </c>
    </row>
    <row r="10" ht="60" customHeight="1">
      <c r="A10" s="7" t="inlineStr">
        <is>
          <t>Note: From the PRA Rulebook change effective January 2022, TSB's leverage ratio is calculated excluding central bank claims; FY2021 figures on that basis (42,569,754 / 4.0%) are a restatement published as the FY2021 comparator in the FY2022 disclosure, not TSB's own FY2021 report - which itself reported on the pre-2022 basis including central bank claims (47,412,008 / 3.6%, kept on its own row). FY2014-FY2020 are shown on the pre-2022 'including claims on central banks' basis throughout, as originally reported each year (not restated) - FY2020's leverage ratio also had a temporary COVID-related alternative measure of 4.3% disclosed alongside the standard 3.8% figure used here; FY2014's leverage-ratio capital numerator basis in the source Pillar 3 table is not fully reconcilable to the CET1 figure used elsewhere on this sheet, so only the ratio itself (5.8%, as published) is shown for FY2014, with the exposure measure left blank rather than backed into.</t>
        </is>
      </c>
    </row>
    <row r="12" ht="120" customHeight="1">
      <c r="A12"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2">
    <mergeCell ref="A10:M10"/>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 average)</t>
        </is>
      </c>
      <c r="B4" s="6" t="n">
        <v>6476199</v>
      </c>
      <c r="C4" s="6" t="n">
        <v>6921589</v>
      </c>
      <c r="D4" s="6" t="n">
        <v>7371627</v>
      </c>
      <c r="E4" s="6" t="n">
        <v>6788964</v>
      </c>
      <c r="F4" s="6" t="n">
        <v>6441563</v>
      </c>
      <c r="G4" s="6" t="n"/>
      <c r="H4" s="6" t="n"/>
      <c r="I4" s="6" t="n"/>
      <c r="J4" s="6" t="n"/>
      <c r="K4" s="6" t="n"/>
      <c r="L4" s="6" t="n"/>
      <c r="M4" s="6" t="n"/>
    </row>
    <row r="5">
      <c r="A5" s="6" t="inlineStr">
        <is>
          <t>Cash outflows - total weighted value</t>
        </is>
      </c>
      <c r="B5" s="6" t="n">
        <v>3765659</v>
      </c>
      <c r="C5" s="6" t="n">
        <v>4056488</v>
      </c>
      <c r="D5" s="6" t="n">
        <v>4134068</v>
      </c>
      <c r="E5" s="6" t="n">
        <v>4326960</v>
      </c>
      <c r="F5" s="6" t="n">
        <v>4123393</v>
      </c>
      <c r="G5" s="6" t="n"/>
      <c r="H5" s="6" t="n"/>
      <c r="I5" s="6" t="n"/>
      <c r="J5" s="6" t="n"/>
      <c r="K5" s="6" t="n"/>
      <c r="L5" s="6" t="n"/>
      <c r="M5" s="6" t="n"/>
    </row>
    <row r="6">
      <c r="A6" s="6" t="inlineStr">
        <is>
          <t>Cash inflows - total weighted value</t>
        </is>
      </c>
      <c r="B6" s="6" t="n">
        <v>250510</v>
      </c>
      <c r="C6" s="6" t="n">
        <v>230451</v>
      </c>
      <c r="D6" s="6" t="n">
        <v>218878</v>
      </c>
      <c r="E6" s="6" t="n">
        <v>260513</v>
      </c>
      <c r="F6" s="6" t="n">
        <v>202253</v>
      </c>
      <c r="G6" s="6" t="n"/>
      <c r="H6" s="6" t="n"/>
      <c r="I6" s="6" t="n"/>
      <c r="J6" s="6" t="n"/>
      <c r="K6" s="6" t="n"/>
      <c r="L6" s="6" t="n"/>
      <c r="M6" s="6" t="n"/>
    </row>
    <row r="7">
      <c r="A7" s="6" t="inlineStr">
        <is>
          <t>Total net cash outflows (adjusted value)</t>
        </is>
      </c>
      <c r="B7" s="6" t="n">
        <v>3515149</v>
      </c>
      <c r="C7" s="6" t="n">
        <v>3826038</v>
      </c>
      <c r="D7" s="6" t="n">
        <v>3915190</v>
      </c>
      <c r="E7" s="6" t="n">
        <v>4066447</v>
      </c>
      <c r="F7" s="6" t="n">
        <v>3921140</v>
      </c>
      <c r="G7" s="6" t="n"/>
      <c r="H7" s="6" t="n"/>
      <c r="I7" s="6" t="n"/>
      <c r="J7" s="6" t="n"/>
      <c r="K7" s="6" t="n"/>
      <c r="L7" s="6" t="n"/>
      <c r="M7" s="6" t="n"/>
    </row>
    <row r="8">
      <c r="A8" s="6" t="inlineStr">
        <is>
          <t>Liquidity Coverage Ratio (%)</t>
        </is>
      </c>
      <c r="B8" s="6" t="inlineStr">
        <is>
          <t>185%</t>
        </is>
      </c>
      <c r="C8" s="6" t="inlineStr">
        <is>
          <t>182%</t>
        </is>
      </c>
      <c r="D8" s="6" t="inlineStr">
        <is>
          <t>188%</t>
        </is>
      </c>
      <c r="E8" s="6" t="inlineStr">
        <is>
          <t>168%</t>
        </is>
      </c>
      <c r="F8" s="6" t="inlineStr">
        <is>
          <t>165%</t>
        </is>
      </c>
      <c r="G8" s="6" t="n"/>
      <c r="H8" s="6" t="n"/>
      <c r="I8" s="6" t="n"/>
      <c r="J8" s="6" t="n"/>
      <c r="K8" s="6" t="n"/>
      <c r="L8" s="6" t="n"/>
      <c r="M8" s="6" t="n"/>
    </row>
    <row r="9" ht="60" customHeight="1">
      <c r="A9" s="7" t="inlineStr">
        <is>
          <t>Note: LCR is a twelve-month simple average per TSB's disclosed methodology. Not disclosed for FY2014-FY2020: TSB's Pillar 3/large-subsidiary disclosures and TSB Banking Group plc's Annual Reports for these years do not include a KM1/LIQ1-style LCR breakdown (confirmed by searching each source document used elsewhere on this sheet - TSB's earliest disclosed LCR breakdown of this granularity is FY2021's). Left blank rather than estimated.</t>
        </is>
      </c>
    </row>
    <row r="11" ht="120" customHeight="1">
      <c r="A11"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2">
    <mergeCell ref="A11:M11"/>
    <mergeCell ref="A9:M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40945691</v>
      </c>
      <c r="C4" s="6" t="n">
        <v>42119435</v>
      </c>
      <c r="D4" s="6" t="n">
        <v>42368266</v>
      </c>
      <c r="E4" s="6" t="n">
        <v>42774578</v>
      </c>
      <c r="F4" s="6" t="n"/>
      <c r="G4" s="6" t="n"/>
      <c r="H4" s="6" t="n"/>
      <c r="I4" s="6" t="n"/>
      <c r="J4" s="6" t="n"/>
      <c r="K4" s="6" t="n"/>
      <c r="L4" s="6" t="n"/>
      <c r="M4" s="6" t="n"/>
    </row>
    <row r="5">
      <c r="A5" s="6" t="inlineStr">
        <is>
          <t>Total required stable funding</t>
        </is>
      </c>
      <c r="B5" s="6" t="n">
        <v>26999917</v>
      </c>
      <c r="C5" s="6" t="n">
        <v>27582817</v>
      </c>
      <c r="D5" s="6" t="n">
        <v>27601540</v>
      </c>
      <c r="E5" s="6" t="n">
        <v>28845131</v>
      </c>
      <c r="F5" s="6" t="n"/>
      <c r="G5" s="6" t="n"/>
      <c r="H5" s="6" t="n"/>
      <c r="I5" s="6" t="n"/>
      <c r="J5" s="6" t="n"/>
      <c r="K5" s="6" t="n"/>
      <c r="L5" s="6" t="n"/>
      <c r="M5" s="6" t="n"/>
    </row>
    <row r="6">
      <c r="A6" s="6" t="inlineStr">
        <is>
          <t>Net Stable Funding Ratio (%)</t>
        </is>
      </c>
      <c r="B6" s="6" t="inlineStr">
        <is>
          <t>152%</t>
        </is>
      </c>
      <c r="C6" s="6" t="inlineStr">
        <is>
          <t>153%</t>
        </is>
      </c>
      <c r="D6" s="6" t="inlineStr">
        <is>
          <t>154%</t>
        </is>
      </c>
      <c r="E6" s="6" t="inlineStr">
        <is>
          <t>148%</t>
        </is>
      </c>
      <c r="F6" s="6" t="inlineStr">
        <is>
          <t>Not disclosed</t>
        </is>
      </c>
      <c r="G6" s="6" t="n"/>
      <c r="H6" s="6" t="n"/>
      <c r="I6" s="6" t="n"/>
      <c r="J6" s="6" t="n"/>
      <c r="K6" s="6" t="n"/>
      <c r="L6" s="6" t="n"/>
      <c r="M6" s="6" t="n"/>
    </row>
    <row r="7" ht="60" customHeight="1">
      <c r="A7" s="7" t="inlineStr">
        <is>
          <t>Note: NSFR is a four-quarter simple average per TSB's disclosed methodology. Not disclosed for FY2021: the PRA's averaging methodology for NSFR was only introduced from 1 January 2022, so no FY2021 comparative was reported (confirmed explicitly in the FY2022 disclosure). Separately, the FY2024 disclosure's own FY2023 comparator shows NSFR as 153% rather than the 154% in TSB's own FY2023 disclosure used here - a 1 percentage point drift, most likely rounding/methodology refinement between report vintages rather than an error; both are reproduced faithfully from their respective source documents. Not disclosed for FY2014-FY2020 for the same reason as FY2021 above (PRA averaging methodology only from 1 January 2022) - no NSFR breakdown of this kind appears in any of TSB's disclosures for these years.</t>
        </is>
      </c>
    </row>
    <row r="9" ht="120" customHeight="1">
      <c r="A9"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p.5 (Table 1: Key metrics (KM1 / IFRS 9-FL)) - https://www.tsb.co.uk/content/dam/tsb-public/documents/investors/rns/TSB-Large-Subsidiary-Disclosure-2021.pdf
FY2020 &amp; FY2019: TSB Banking Group plc Significant Subsidiary Disclosures 2020, p.5 (Table 1: Key metrics (KM1 / IFRS 9-FL)) - https://www.tsb.co.uk/content/dam/tsb-public/documents/investors/rns/TSB-Significant-Subsidiary-Disclosure-2020.pdf
FY2018: TSB Banking Group plc Annual Report and Accounts 2018, p.11 ('Capital resources' table within 'Sources of funding') - https://www.tsb.co.uk/content/dam/tsb-public/documents/investors/financial-results-and-reports/2018/tsb-banking-group-ara-2018.pdf
FY2017: TSB Banking Group plc Annual Report and Accounts 2017, p.16 ('Capital ratios' table within 'Sources of funding') - https://www.tsb.co.uk/content/dam/tsb-public/documents/investors/financial-results-and-reports/2017/tsb-banking-group-annual-report-2017.pdf
FY2016: TSB Banking Group plc Material Subsidiary Pillar 3 Disclosures 2016, p.4 (Table 1: Own funds) - https://www.tsb.co.uk/content/dam/tsb-public/documents/investors/financial-results-and-reports/2016/tsb-material-subsidiary-2016.pdf
FY2015: TSB Banking Group plc Pillar 3 Disclosures 2015, p.5 (Table 1: Own funds) - https://www.tsb.co.uk/investors/results-and-reports/TSB-Significant-Subsidiary-Disclosures-2015.pdf
FY2014: TSB Banking Group plc Pillar 3 Disclosures 2014, p.17 (Table 6: Own funds) - https://www.tsb.co.uk/content/dam/tsb-public/documents/investors/financial-results-and-reports/2014/TSB-Pillar-3-2014,0.pdf
NOTE (FY2017/FY2018): TSB published no standalone Pillar 3/Significant Subsidiary Disclosure document for these two years - see ENTITY NOTE on the Cash Flow Statement sheet. Figures are sourced from the capital summary within the Banking Group's own Annual Report instead, which discloses CET1/Tier 1/Total capital, RWAs, and capital ratios on the same fully-loaded CRD IV basis as the standalone Pillar 3 documents used for adjacent years.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27.04%</t>
        </is>
      </c>
      <c r="C4" s="6" t="inlineStr">
        <is>
          <t>28.33%</t>
        </is>
      </c>
      <c r="D4" s="6" t="inlineStr">
        <is>
          <t>27.8%</t>
        </is>
      </c>
      <c r="E4" s="6" t="inlineStr">
        <is>
          <t>26.9%</t>
        </is>
      </c>
      <c r="F4" s="6" t="inlineStr">
        <is>
          <t>22.8%</t>
        </is>
      </c>
      <c r="G4" s="6" t="inlineStr">
        <is>
          <t>23.2%</t>
        </is>
      </c>
      <c r="H4" s="6" t="n"/>
      <c r="I4" s="6" t="n"/>
      <c r="J4" s="6" t="n"/>
      <c r="K4" s="6" t="n"/>
      <c r="L4" s="6" t="n"/>
      <c r="M4" s="6" t="n"/>
    </row>
    <row r="5">
      <c r="A5" s="6" t="inlineStr">
        <is>
          <t>Internal MREL requirement (TSB is a UK subsidiary of Banco Sabadell; not a resolution entity in its own right)</t>
        </is>
      </c>
      <c r="B5" s="6" t="inlineStr">
        <is>
          <t>23.58%</t>
        </is>
      </c>
      <c r="C5" s="6" t="inlineStr">
        <is>
          <t>24.03%</t>
        </is>
      </c>
      <c r="D5" s="6" t="inlineStr">
        <is>
          <t>18.4%</t>
        </is>
      </c>
      <c r="E5" s="6" t="inlineStr">
        <is>
          <t>16.2%</t>
        </is>
      </c>
      <c r="F5" s="6" t="inlineStr">
        <is>
          <t>16.2%</t>
        </is>
      </c>
      <c r="G5" s="6" t="inlineStr">
        <is>
          <t>16.2%</t>
        </is>
      </c>
      <c r="H5" s="6" t="n"/>
      <c r="I5" s="6" t="n"/>
      <c r="J5" s="6" t="n"/>
      <c r="K5" s="6" t="n"/>
      <c r="L5" s="6" t="n"/>
      <c r="M5" s="6" t="n"/>
    </row>
    <row r="6" ht="60" customHeight="1">
      <c r="A6" s="7" t="inlineStr">
        <is>
          <t>Note: TSB is subject to an internal MREL requirement (not external/resolution-entity MREL) as a UK subsidiary of Banco Sabadell. The requirement shown is TSB's disclosed internal MREL requirement each year - basis changed from 'excluding regulatory stress buffers' (FY2021-23) to an all-in figure 'including regulatory stress buffers' (FY2024-25), per TSB's own wording each year; TSB's MREL ratio exceeded its requirement in every year shown. Not disclosed for FY2014-FY2019: the interim MREL requirement period only began 1 January 2020 per TSB's own FY2020 disclosure, and FY2020 is the first year TSB reports an MREL ratio at all (no FY2019 comparator is given in the FY2020 disclosure) - FY2014-FY2019 left blank as genuinely not applicable/not yet in effect, rather than simply undisclosed.</t>
        </is>
      </c>
    </row>
    <row r="8" ht="120" customHeight="1">
      <c r="A8" s="8" t="inlineStr">
        <is>
          <t>Sources - TSB Banking Group plc consolidated Pillar 3 basis, Section 4.4 'Minimum requirement for own funds and eligible liabilities (MREL)' (see entity note on Cash Flow Statement sheet):
FY2025: TSB Banking Group plc Large Subsidiary Disclosures, as at 31 December 2025, p.13 - https://www.tsb.co.uk/content/dam/tsb-public/documents/investors/rns/tsb-large-subsidiary-disclosure-2025.pdf
FY2024: TSB Banking Group plc Large Subsidiary Disclosures, as at 31 December 2024, p.16 - https://www.tsb.co.uk/content/dam/tsb-public/documents/investors/rns/TSB-Large-subsidiary-Disclosure-2024.pdf
FY2023: TSB Banking Group plc Large Subsidiary Disclosures 2023, p.16 - https://www.tsb.co.uk/content/dam/tsb-public/documents/investors/rns/TSB-large-subsidiary-disclosure-2023.pdf
FY2022: TSB Banking Group plc Large Subsidiary Disclosures 2022, p.17 - https://www.tsb.co.uk/content/dam/tsb-public/documents/investors/rns/TSB-Large-subsidiary-Disclosure-2022.pdf
FY2021: TSB Banking Group plc Large Subsidiary Disclosures 2021, p.14 - https://www.tsb.co.uk/content/dam/tsb-public/documents/investors/rns/TSB-Large-Subsidiary-Disclosure-2021.pdf
FY2020: TSB Banking Group plc Large Subsidiary Disclosures, as at 31 December 2020, Section 4.4 'Minimum requirement for own funds and eligible liabilities (MREL)' - https://www.tsb.co.uk/content/dam/tsb-public/documents/investors/rns/TSB-Significant-Subsidiary-Disclosure-2020.pdf</t>
        </is>
      </c>
    </row>
  </sheetData>
  <mergeCells count="2">
    <mergeCell ref="A8:M8"/>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2026-09-05T16:56:54Z</dcterms:created>
  <dcterms:modified xmlns:dcterms="http://purl.org/dc/terms/" xmlns:xsi="http://www.w3.org/2001/XMLSchema-instance" xsi:type="dcterms:W3CDTF">2026-09-05T16:56:54Z</dcterms:modified>
</cp:coreProperties>
</file>