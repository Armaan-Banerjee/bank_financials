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KM1 Key Metrics" sheetId="7" state="visible" r:id="rId7"/>
    <sheet xmlns:r="http://schemas.openxmlformats.org/officeDocument/2006/relationships" name="CET1 Capital" sheetId="8" state="visible" r:id="rId8"/>
    <sheet xmlns:r="http://schemas.openxmlformats.org/officeDocument/2006/relationships" name="CET1 Ratio" sheetId="9" state="visible" r:id="rId9"/>
    <sheet xmlns:r="http://schemas.openxmlformats.org/officeDocument/2006/relationships" name="Tier 1 Capital" sheetId="10" state="visible" r:id="rId10"/>
    <sheet xmlns:r="http://schemas.openxmlformats.org/officeDocument/2006/relationships" name="Tier 1 Ratio" sheetId="11" state="visible" r:id="rId11"/>
    <sheet xmlns:r="http://schemas.openxmlformats.org/officeDocument/2006/relationships" name="Total Capital" sheetId="12" state="visible" r:id="rId12"/>
    <sheet xmlns:r="http://schemas.openxmlformats.org/officeDocument/2006/relationships" name="Total Capital Ratio" sheetId="13" state="visible" r:id="rId13"/>
    <sheet xmlns:r="http://schemas.openxmlformats.org/officeDocument/2006/relationships" name="Total RWAs" sheetId="14" state="visible" r:id="rId14"/>
    <sheet xmlns:r="http://schemas.openxmlformats.org/officeDocument/2006/relationships" name="RWA Breakdown" sheetId="15" state="visible" r:id="rId15"/>
    <sheet xmlns:r="http://schemas.openxmlformats.org/officeDocument/2006/relationships" name="Leverage Ratio" sheetId="16" state="visible" r:id="rId16"/>
    <sheet xmlns:r="http://schemas.openxmlformats.org/officeDocument/2006/relationships" name="LCR" sheetId="17" state="visible" r:id="rId17"/>
    <sheet xmlns:r="http://schemas.openxmlformats.org/officeDocument/2006/relationships" name="NSFR" sheetId="18" state="visible" r:id="rId18"/>
    <sheet xmlns:r="http://schemas.openxmlformats.org/officeDocument/2006/relationships" name="MREL Ratio" sheetId="19" state="visible" r:id="rId19"/>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i val="1"/>
      <color rgb="00666666"/>
      <sz val="9"/>
    </font>
    <font>
      <b val="1"/>
      <color rgb="00FFFFFF"/>
    </font>
    <font>
      <b val="1"/>
    </font>
    <font>
      <i val="1"/>
      <color rgb="00444444"/>
      <sz val="9"/>
    </font>
  </fonts>
  <fills count="3">
    <fill>
      <patternFill/>
    </fill>
    <fill>
      <patternFill patternType="gray125"/>
    </fill>
    <fill>
      <patternFill patternType="solid">
        <fgColor rgb="00002D5B"/>
        <bgColor rgb="00002D5B"/>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0" fillId="0" borderId="1" pivotButton="0" quotePrefix="0" xfId="0"/>
    <xf numFmtId="0" fontId="2" fillId="0" borderId="0" applyAlignment="1" pivotButton="0" quotePrefix="0" xfId="0">
      <alignment horizontal="left" vertical="top" wrapText="1"/>
    </xf>
    <xf numFmtId="0" fontId="5"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TSB Bank plc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'Overview'!P6</f>
            </strRef>
          </tx>
          <spPr>
            <a:ln xmlns:a="http://schemas.openxmlformats.org/drawingml/2006/main">
              <a:prstDash val="solid"/>
            </a:ln>
          </spPr>
          <cat>
            <numRef>
              <f>'Overview'!$Q$5:$AB$5</f>
            </numRef>
          </cat>
          <val>
            <numRef>
              <f>'Overview'!$Q$6:$AB$6</f>
            </numRef>
          </val>
        </ser>
        <ser>
          <idx val="1"/>
          <order val="1"/>
          <tx>
            <strRef>
              <f>'Overview'!P7</f>
            </strRef>
          </tx>
          <spPr>
            <a:ln xmlns:a="http://schemas.openxmlformats.org/drawingml/2006/main">
              <a:prstDash val="solid"/>
            </a:ln>
          </spPr>
          <cat>
            <numRef>
              <f>'Overview'!$Q$5:$AB$5</f>
            </numRef>
          </cat>
          <val>
            <numRef>
              <f>'Overview'!$Q$7:$AB$7</f>
            </numRef>
          </val>
        </ser>
        <ser>
          <idx val="2"/>
          <order val="2"/>
          <tx>
            <strRef>
              <f>'Overview'!P8</f>
            </strRef>
          </tx>
          <spPr>
            <a:ln xmlns:a="http://schemas.openxmlformats.org/drawingml/2006/main">
              <a:prstDash val="solid"/>
            </a:ln>
          </spPr>
          <cat>
            <numRef>
              <f>'Overview'!$Q$5:$AB$5</f>
            </numRef>
          </cat>
          <val>
            <numRef>
              <f>'Overview'!$Q$8:$AB$8</f>
            </numRef>
          </val>
        </ser>
        <ser>
          <idx val="3"/>
          <order val="3"/>
          <tx>
            <strRef>
              <f>'Overview'!P9</f>
            </strRef>
          </tx>
          <spPr>
            <a:ln xmlns:a="http://schemas.openxmlformats.org/drawingml/2006/main">
              <a:prstDash val="solid"/>
            </a:ln>
          </spPr>
          <cat>
            <numRef>
              <f>'Overview'!$Q$5:$AB$5</f>
            </numRef>
          </cat>
          <val>
            <numRef>
              <f>'Overview'!$Q$9:$AB$9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TSB Bank plc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'Overview'!AE13</f>
            </strRef>
          </tx>
          <spPr>
            <a:ln xmlns:a="http://schemas.openxmlformats.org/drawingml/2006/main">
              <a:prstDash val="solid"/>
            </a:ln>
          </spPr>
          <cat>
            <numRef>
              <f>'Overview'!$AF$12:$AQ$12</f>
            </numRef>
          </cat>
          <val>
            <numRef>
              <f>'Overview'!$AF$13:$AQ$13</f>
            </numRef>
          </val>
        </ser>
        <ser>
          <idx val="1"/>
          <order val="1"/>
          <tx>
            <strRef>
              <f>'Overview'!AE14</f>
            </strRef>
          </tx>
          <spPr>
            <a:ln xmlns:a="http://schemas.openxmlformats.org/drawingml/2006/main">
              <a:prstDash val="solid"/>
            </a:ln>
          </spPr>
          <cat>
            <numRef>
              <f>'Overview'!$AF$12:$AQ$12</f>
            </numRef>
          </cat>
          <val>
            <numRef>
              <f>'Overview'!$AF$14:$AQ$14</f>
            </numRef>
          </val>
        </ser>
        <ser>
          <idx val="2"/>
          <order val="2"/>
          <tx>
            <strRef>
              <f>'Overview'!AE15</f>
            </strRef>
          </tx>
          <spPr>
            <a:ln xmlns:a="http://schemas.openxmlformats.org/drawingml/2006/main">
              <a:prstDash val="solid"/>
            </a:ln>
          </spPr>
          <cat>
            <numRef>
              <f>'Overview'!$AF$12:$AQ$12</f>
            </numRef>
          </cat>
          <val>
            <numRef>
              <f>'Overview'!$AF$15:$AQ$15</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TSB Bank plc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'Overview'!AT19</f>
            </strRef>
          </tx>
          <spPr>
            <a:ln xmlns:a="http://schemas.openxmlformats.org/drawingml/2006/main">
              <a:prstDash val="solid"/>
            </a:ln>
          </spPr>
          <cat>
            <numRef>
              <f>'Overview'!$AU$18:$BF$18</f>
            </numRef>
          </cat>
          <val>
            <numRef>
              <f>'Overview'!$AU$19:$BF$19</f>
            </numRef>
          </val>
        </ser>
        <ser>
          <idx val="1"/>
          <order val="1"/>
          <tx>
            <strRef>
              <f>'Overview'!AT20</f>
            </strRef>
          </tx>
          <spPr>
            <a:ln xmlns:a="http://schemas.openxmlformats.org/drawingml/2006/main">
              <a:prstDash val="solid"/>
            </a:ln>
          </spPr>
          <cat>
            <numRef>
              <f>'Overview'!$AU$18:$BF$18</f>
            </numRef>
          </cat>
          <val>
            <numRef>
              <f>'Overview'!$AU$20:$BF$20</f>
            </numRef>
          </val>
        </ser>
        <ser>
          <idx val="2"/>
          <order val="2"/>
          <tx>
            <strRef>
              <f>'Overview'!AT21</f>
            </strRef>
          </tx>
          <spPr>
            <a:ln xmlns:a="http://schemas.openxmlformats.org/drawingml/2006/main">
              <a:prstDash val="solid"/>
            </a:ln>
          </spPr>
          <cat>
            <numRef>
              <f>'Overview'!$AU$18:$BF$18</f>
            </numRef>
          </cat>
          <val>
            <numRef>
              <f>'Overview'!$AU$21:$BF$21</f>
            </numRef>
          </val>
        </ser>
        <ser>
          <idx val="3"/>
          <order val="3"/>
          <tx>
            <strRef>
              <f>'Overview'!AT22</f>
            </strRef>
          </tx>
          <spPr>
            <a:ln xmlns:a="http://schemas.openxmlformats.org/drawingml/2006/main">
              <a:prstDash val="solid"/>
            </a:ln>
          </spPr>
          <cat>
            <numRef>
              <f>'Overview'!$AU$18:$BF$18</f>
            </numRef>
          </cat>
          <val>
            <numRef>
              <f>'Overview'!$AU$22:$BF$22</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TSB Bank plc — Cash Flow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'Overview'!BI26</f>
            </strRef>
          </tx>
          <spPr>
            <a:ln xmlns:a="http://schemas.openxmlformats.org/drawingml/2006/main">
              <a:prstDash val="solid"/>
            </a:ln>
          </spPr>
          <cat>
            <numRef>
              <f>'Overview'!$BJ$25:$BU$25</f>
            </numRef>
          </cat>
          <val>
            <numRef>
              <f>'Overview'!$BJ$26:$BU$26</f>
            </numRef>
          </val>
        </ser>
        <ser>
          <idx val="1"/>
          <order val="1"/>
          <tx>
            <strRef>
              <f>'Overview'!BI27</f>
            </strRef>
          </tx>
          <spPr>
            <a:ln xmlns:a="http://schemas.openxmlformats.org/drawingml/2006/main">
              <a:prstDash val="solid"/>
            </a:ln>
          </spPr>
          <cat>
            <numRef>
              <f>'Overview'!$BJ$25:$BU$25</f>
            </numRef>
          </cat>
          <val>
            <numRef>
              <f>'Overview'!$BJ$27:$BU$27</f>
            </numRef>
          </val>
        </ser>
        <ser>
          <idx val="2"/>
          <order val="2"/>
          <tx>
            <strRef>
              <f>'Overview'!BI28</f>
            </strRef>
          </tx>
          <spPr>
            <a:ln xmlns:a="http://schemas.openxmlformats.org/drawingml/2006/main">
              <a:prstDash val="solid"/>
            </a:ln>
          </spPr>
          <cat>
            <numRef>
              <f>'Overview'!$BJ$25:$BU$25</f>
            </numRef>
          </cat>
          <val>
            <numRef>
              <f>'Overview'!$BJ$28:$BU$28</f>
            </numRef>
          </val>
        </ser>
        <ser>
          <idx val="3"/>
          <order val="3"/>
          <tx>
            <strRef>
              <f>'Overview'!BI29</f>
            </strRef>
          </tx>
          <spPr>
            <a:ln xmlns:a="http://schemas.openxmlformats.org/drawingml/2006/main">
              <a:prstDash val="solid"/>
            </a:ln>
          </spPr>
          <cat>
            <numRef>
              <f>'Overview'!$BJ$25:$BU$25</f>
            </numRef>
          </cat>
          <val>
            <numRef>
              <f>'Overview'!$BJ$29:$BU$29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TSB Bank plc — Pillar 3 Key Metrics by Year</a:t>
            </a:r>
          </a:p>
        </rich>
      </tx>
    </title>
    <plotArea>
      <layout>
        <manualLayout>
          <layoutTarget val="inner"/>
          <xMode val="edge"/>
          <yMode val="edge"/>
          <wMode val="factor"/>
          <hMode val="factor"/>
          <x val="0.1"/>
          <y val="0.12"/>
          <w val="0.85"/>
          <h val="0.5"/>
        </manualLayout>
      </layout>
      <lineChart>
        <grouping val="standard"/>
        <ser>
          <idx val="0"/>
          <order val="0"/>
          <tx>
            <strRef>
              <f>'Overview'!BX6</f>
            </strRef>
          </tx>
          <spPr>
            <a:ln xmlns:a="http://schemas.openxmlformats.org/drawingml/2006/main">
              <a:prstDash val="solid"/>
            </a:ln>
          </spPr>
          <marker>
            <symbol val="none"/>
            <spPr>
              <a:ln xmlns:a="http://schemas.openxmlformats.org/drawingml/2006/main">
                <a:prstDash val="solid"/>
              </a:ln>
            </spPr>
          </marker>
          <cat>
            <numRef>
              <f>'Overview'!$BY$5:$CJ$5</f>
            </numRef>
          </cat>
          <val>
            <numRef>
              <f>'Overview'!$BY$6:$CJ$6</f>
            </numRef>
          </val>
          <smooth val="0"/>
        </ser>
        <ser>
          <idx val="1"/>
          <order val="1"/>
          <tx>
            <strRef>
              <f>'Overview'!BX7</f>
            </strRef>
          </tx>
          <spPr>
            <a:ln xmlns:a="http://schemas.openxmlformats.org/drawingml/2006/main">
              <a:prstDash val="solid"/>
            </a:ln>
          </spPr>
          <marker>
            <symbol val="none"/>
            <spPr>
              <a:ln xmlns:a="http://schemas.openxmlformats.org/drawingml/2006/main">
                <a:prstDash val="solid"/>
              </a:ln>
            </spPr>
          </marker>
          <cat>
            <numRef>
              <f>'Overview'!$BY$5:$CJ$5</f>
            </numRef>
          </cat>
          <val>
            <numRef>
              <f>'Overview'!$BY$7:$CJ$7</f>
            </numRef>
          </val>
          <smooth val="0"/>
        </ser>
        <ser>
          <idx val="2"/>
          <order val="2"/>
          <tx>
            <strRef>
              <f>'Overview'!BX8</f>
            </strRef>
          </tx>
          <spPr>
            <a:ln xmlns:a="http://schemas.openxmlformats.org/drawingml/2006/main">
              <a:prstDash val="solid"/>
            </a:ln>
          </spPr>
          <marker>
            <symbol val="none"/>
            <spPr>
              <a:ln xmlns:a="http://schemas.openxmlformats.org/drawingml/2006/main">
                <a:prstDash val="solid"/>
              </a:ln>
            </spPr>
          </marker>
          <cat>
            <numRef>
              <f>'Overview'!$BY$5:$CJ$5</f>
            </numRef>
          </cat>
          <val>
            <numRef>
              <f>'Overview'!$BY$8:$CJ$8</f>
            </numRef>
          </val>
          <smooth val="0"/>
        </ser>
        <ser>
          <idx val="3"/>
          <order val="3"/>
          <tx>
            <strRef>
              <f>'Overview'!BX9</f>
            </strRef>
          </tx>
          <spPr>
            <a:ln xmlns:a="http://schemas.openxmlformats.org/drawingml/2006/main">
              <a:prstDash val="solid"/>
            </a:ln>
          </spPr>
          <marker>
            <symbol val="none"/>
            <spPr>
              <a:ln xmlns:a="http://schemas.openxmlformats.org/drawingml/2006/main">
                <a:prstDash val="solid"/>
              </a:ln>
            </spPr>
          </marker>
          <cat>
            <numRef>
              <f>'Overview'!$BY$5:$CJ$5</f>
            </numRef>
          </cat>
          <val>
            <numRef>
              <f>'Overview'!$BY$9:$CJ$9</f>
            </numRef>
          </val>
          <smooth val="0"/>
        </ser>
        <ser>
          <idx val="4"/>
          <order val="4"/>
          <tx>
            <strRef>
              <f>'Overview'!BX10</f>
            </strRef>
          </tx>
          <spPr>
            <a:ln xmlns:a="http://schemas.openxmlformats.org/drawingml/2006/main">
              <a:prstDash val="solid"/>
            </a:ln>
          </spPr>
          <marker>
            <symbol val="none"/>
            <spPr>
              <a:ln xmlns:a="http://schemas.openxmlformats.org/drawingml/2006/main">
                <a:prstDash val="solid"/>
              </a:ln>
            </spPr>
          </marker>
          <cat>
            <numRef>
              <f>'Overview'!$BY$5:$CJ$5</f>
            </numRef>
          </cat>
          <val>
            <numRef>
              <f>'Overview'!$BY$10:$CJ$10</f>
            </numRef>
          </val>
          <smooth val="0"/>
        </ser>
        <ser>
          <idx val="5"/>
          <order val="5"/>
          <tx>
            <strRef>
              <f>'Overview'!BX11</f>
            </strRef>
          </tx>
          <spPr>
            <a:ln xmlns:a="http://schemas.openxmlformats.org/drawingml/2006/main">
              <a:prstDash val="solid"/>
            </a:ln>
          </spPr>
          <marker>
            <symbol val="none"/>
            <spPr>
              <a:ln xmlns:a="http://schemas.openxmlformats.org/drawingml/2006/main">
                <a:prstDash val="solid"/>
              </a:ln>
            </spPr>
          </marker>
          <cat>
            <numRef>
              <f>'Overview'!$BY$5:$CJ$5</f>
            </numRef>
          </cat>
          <val>
            <numRef>
              <f>'Overview'!$BY$11:$CJ$11</f>
            </numRef>
          </val>
          <smooth val="0"/>
        </ser>
        <axId val="10"/>
        <axId val="100"/>
      </line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78"/>
          <w val="0.96"/>
          <h val="0.22"/>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oneCellAnchor>
    <from>
      <col>0</col>
      <colOff>0</colOff>
      <row>42</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64</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86</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108</row>
      <rowOff>0</rowOff>
    </from>
    <ext cx="8640000" cy="46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130</row>
      <rowOff>0</rowOff>
    </from>
    <ext cx="8640000" cy="57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CJ40"/>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 hidden="1" width="13" customWidth="1" min="47" max="47"/>
    <col hidden="1" width="13" customWidth="1" min="48" max="48"/>
    <col hidden="1" width="13" customWidth="1" min="49" max="49"/>
    <col hidden="1" width="13" customWidth="1" min="50" max="50"/>
    <col hidden="1" width="13" customWidth="1" min="51" max="51"/>
    <col hidden="1" width="13" customWidth="1" min="52" max="52"/>
    <col hidden="1" width="13" customWidth="1" min="53" max="53"/>
    <col hidden="1" width="13" customWidth="1" min="54" max="54"/>
    <col hidden="1" width="13" customWidth="1" min="55" max="55"/>
    <col hidden="1" width="13" customWidth="1" min="56" max="56"/>
    <col hidden="1" width="13" customWidth="1" min="57" max="57"/>
    <col hidden="1" width="13" customWidth="1" min="58" max="58"/>
    <col hidden="1" width="13" customWidth="1" min="59" max="59"/>
    <col hidden="1" width="13" customWidth="1" min="60" max="60"/>
    <col hidden="1" width="13" customWidth="1" min="61" max="61"/>
    <col hidden="1" width="13" customWidth="1" min="62" max="62"/>
    <col hidden="1" width="13" customWidth="1" min="63" max="63"/>
    <col hidden="1" width="13" customWidth="1" min="64" max="64"/>
    <col hidden="1" width="13" customWidth="1" min="65" max="65"/>
    <col hidden="1" width="13" customWidth="1" min="66" max="66"/>
    <col hidden="1" width="13" customWidth="1" min="67" max="67"/>
    <col hidden="1" width="13" customWidth="1" min="68" max="68"/>
    <col hidden="1" width="13" customWidth="1" min="69" max="69"/>
    <col hidden="1" width="13" customWidth="1" min="70" max="70"/>
    <col hidden="1" width="13" customWidth="1" min="71" max="71"/>
    <col hidden="1" width="13" customWidth="1" min="72" max="72"/>
    <col hidden="1" width="13" customWidth="1" min="73" max="73"/>
    <col hidden="1" width="13" customWidth="1" min="74" max="74"/>
    <col hidden="1" width="13" customWidth="1" min="75" max="75"/>
    <col hidden="1" width="13" customWidth="1" min="76" max="76"/>
    <col hidden="1" width="13" customWidth="1" min="77" max="77"/>
    <col hidden="1" width="13" customWidth="1" min="78" max="78"/>
    <col hidden="1" width="13" customWidth="1" min="79" max="79"/>
    <col hidden="1" width="13" customWidth="1" min="80" max="80"/>
    <col hidden="1" width="13" customWidth="1" min="81" max="81"/>
    <col hidden="1" width="13" customWidth="1" min="82" max="82"/>
    <col hidden="1" width="13" customWidth="1" min="83" max="83"/>
    <col hidden="1" width="13" customWidth="1" min="84" max="84"/>
    <col hidden="1" width="13" customWidth="1" min="85" max="85"/>
    <col hidden="1" width="13" customWidth="1" min="86" max="86"/>
    <col hidden="1" width="13" customWidth="1" min="87" max="87"/>
    <col hidden="1" width="13" customWidth="1" min="88" max="88"/>
  </cols>
  <sheetData>
    <row r="1">
      <c r="A1" s="1" t="inlineStr">
        <is>
          <t>TSB Bank plc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(£m)</t>
        </is>
      </c>
    </row>
    <row r="5">
      <c r="A5" s="4" t="inlineStr">
        <is>
          <t>Line item</t>
        </is>
      </c>
      <c r="B5" s="4" t="inlineStr">
        <is>
          <t>FY2025</t>
        </is>
      </c>
      <c r="C5" s="4" t="inlineStr">
        <is>
          <t>FY2024</t>
        </is>
      </c>
      <c r="D5" s="4" t="inlineStr">
        <is>
          <t>FY2023</t>
        </is>
      </c>
      <c r="E5" s="4" t="inlineStr">
        <is>
          <t>FY2022</t>
        </is>
      </c>
      <c r="F5" s="4" t="inlineStr">
        <is>
          <t>FY2021</t>
        </is>
      </c>
      <c r="G5" s="4" t="inlineStr">
        <is>
          <t>FY2020</t>
        </is>
      </c>
      <c r="H5" s="4" t="inlineStr">
        <is>
          <t>FY2019</t>
        </is>
      </c>
      <c r="I5" s="4" t="inlineStr">
        <is>
          <t>FY2018</t>
        </is>
      </c>
      <c r="J5" s="4" t="inlineStr">
        <is>
          <t>FY2017</t>
        </is>
      </c>
      <c r="K5" s="4" t="inlineStr">
        <is>
          <t>FY2016</t>
        </is>
      </c>
      <c r="L5" s="4" t="inlineStr">
        <is>
          <t>FY2015</t>
        </is>
      </c>
      <c r="M5" s="4" t="inlineStr">
        <is>
          <t>FY2014</t>
        </is>
      </c>
      <c r="Q5" t="inlineStr">
        <is>
          <t>FY2014</t>
        </is>
      </c>
      <c r="R5" t="inlineStr">
        <is>
          <t>FY2015</t>
        </is>
      </c>
      <c r="S5" t="inlineStr">
        <is>
          <t>FY2016</t>
        </is>
      </c>
      <c r="T5" t="inlineStr">
        <is>
          <t>FY2017</t>
        </is>
      </c>
      <c r="U5" t="inlineStr">
        <is>
          <t>FY2018</t>
        </is>
      </c>
      <c r="V5" t="inlineStr">
        <is>
          <t>FY2019</t>
        </is>
      </c>
      <c r="W5" t="inlineStr">
        <is>
          <t>FY2020</t>
        </is>
      </c>
      <c r="X5" t="inlineStr">
        <is>
          <t>FY2021</t>
        </is>
      </c>
      <c r="Y5" t="inlineStr">
        <is>
          <t>FY2022</t>
        </is>
      </c>
      <c r="Z5" t="inlineStr">
        <is>
          <t>FY2023</t>
        </is>
      </c>
      <c r="AA5" t="inlineStr">
        <is>
          <t>FY2024</t>
        </is>
      </c>
      <c r="AB5" t="inlineStr">
        <is>
          <t>FY2025</t>
        </is>
      </c>
      <c r="BY5" t="inlineStr">
        <is>
          <t>FY2014</t>
        </is>
      </c>
      <c r="BZ5" t="inlineStr">
        <is>
          <t>FY2015</t>
        </is>
      </c>
      <c r="CA5" t="inlineStr">
        <is>
          <t>FY2016</t>
        </is>
      </c>
      <c r="CB5" t="inlineStr">
        <is>
          <t>FY2017</t>
        </is>
      </c>
      <c r="CC5" t="inlineStr">
        <is>
          <t>FY2018</t>
        </is>
      </c>
      <c r="CD5" t="inlineStr">
        <is>
          <t>FY2019</t>
        </is>
      </c>
      <c r="CE5" t="inlineStr">
        <is>
          <t>FY2020</t>
        </is>
      </c>
      <c r="CF5" t="inlineStr">
        <is>
          <t>FY2021</t>
        </is>
      </c>
      <c r="CG5" t="inlineStr">
        <is>
          <t>FY2022</t>
        </is>
      </c>
      <c r="CH5" t="inlineStr">
        <is>
          <t>FY2023</t>
        </is>
      </c>
      <c r="CI5" t="inlineStr">
        <is>
          <t>FY2024</t>
        </is>
      </c>
      <c r="CJ5" t="inlineStr">
        <is>
          <t>FY2025</t>
        </is>
      </c>
    </row>
    <row r="6">
      <c r="A6" s="5" t="inlineStr">
        <is>
          <t>Total assets</t>
        </is>
      </c>
      <c r="B6" s="5" t="n">
        <v>45281.5</v>
      </c>
      <c r="C6" s="5" t="n">
        <v>46099.1</v>
      </c>
      <c r="D6" s="5" t="n">
        <v>47652.9</v>
      </c>
      <c r="E6" s="5" t="n">
        <v>49449.6</v>
      </c>
      <c r="F6" s="5" t="n">
        <v>46705.6</v>
      </c>
      <c r="G6" s="5" t="n">
        <v>42422.4</v>
      </c>
      <c r="H6" s="5" t="n">
        <v>39535.9</v>
      </c>
      <c r="I6" s="5" t="n">
        <v>41138.6</v>
      </c>
      <c r="J6" s="5" t="n">
        <v>42536.7</v>
      </c>
      <c r="K6" s="5" t="n">
        <v>37195.7</v>
      </c>
      <c r="L6" s="5" t="n">
        <v>31618</v>
      </c>
      <c r="M6" s="5" t="n">
        <v>27171.4</v>
      </c>
      <c r="P6" t="inlineStr">
        <is>
          <t>Total assets</t>
        </is>
      </c>
      <c r="Q6" t="n">
        <v>27171.4</v>
      </c>
      <c r="R6" t="n">
        <v>31618</v>
      </c>
      <c r="S6" t="n">
        <v>37195.7</v>
      </c>
      <c r="T6" t="n">
        <v>42536.7</v>
      </c>
      <c r="U6" t="n">
        <v>41138.6</v>
      </c>
      <c r="V6" t="n">
        <v>39535.9</v>
      </c>
      <c r="W6" t="n">
        <v>42422.4</v>
      </c>
      <c r="X6" t="n">
        <v>46705.6</v>
      </c>
      <c r="Y6" t="n">
        <v>49449.6</v>
      </c>
      <c r="Z6" t="n">
        <v>47652.9</v>
      </c>
      <c r="AA6" t="n">
        <v>46099.1</v>
      </c>
      <c r="AB6" t="n">
        <v>45281.5</v>
      </c>
      <c r="BX6" t="inlineStr">
        <is>
          <t>CET1 Ratio</t>
        </is>
      </c>
      <c r="BY6" t="n">
        <v>23</v>
      </c>
      <c r="BZ6" t="n">
        <v>17.8</v>
      </c>
      <c r="CA6" t="n">
        <v>18.5</v>
      </c>
      <c r="CB6" t="n">
        <v>20</v>
      </c>
      <c r="CC6" t="n">
        <v>19.7</v>
      </c>
      <c r="CD6" t="n">
        <v>20.8</v>
      </c>
      <c r="CE6" t="n">
        <v>15.3</v>
      </c>
      <c r="CF6" t="n">
        <v>15.9</v>
      </c>
      <c r="CG6" t="n">
        <v>17.2</v>
      </c>
      <c r="CH6" t="n">
        <v>16.7</v>
      </c>
      <c r="CI6" t="n">
        <v>15.45</v>
      </c>
      <c r="CJ6" t="n">
        <v>16.74</v>
      </c>
    </row>
    <row r="7">
      <c r="A7" s="5" t="inlineStr">
        <is>
          <t>Loans and advances to customers</t>
        </is>
      </c>
      <c r="B7" s="5" t="n">
        <v>36268.4</v>
      </c>
      <c r="C7" s="5" t="n">
        <v>36330.9</v>
      </c>
      <c r="D7" s="5" t="n">
        <v>36245.9</v>
      </c>
      <c r="E7" s="5" t="n">
        <v>38050</v>
      </c>
      <c r="F7" s="5" t="n">
        <v>37383.8</v>
      </c>
      <c r="G7" s="5" t="n">
        <v>33317.9</v>
      </c>
      <c r="H7" s="5" t="n">
        <v>31075.8</v>
      </c>
      <c r="I7" s="5" t="n">
        <v>30008.5</v>
      </c>
      <c r="J7" s="5" t="n">
        <v>30854.2</v>
      </c>
      <c r="K7" s="5" t="n">
        <v>29419.1</v>
      </c>
      <c r="L7" s="5" t="n">
        <v>26402.2</v>
      </c>
      <c r="M7" s="5" t="n">
        <v>21641.4</v>
      </c>
      <c r="P7" t="inlineStr">
        <is>
          <t>Loans and advances to customers</t>
        </is>
      </c>
      <c r="Q7" t="n">
        <v>21641.4</v>
      </c>
      <c r="R7" t="n">
        <v>26402.2</v>
      </c>
      <c r="S7" t="n">
        <v>29419.1</v>
      </c>
      <c r="T7" t="n">
        <v>30854.2</v>
      </c>
      <c r="U7" t="n">
        <v>30008.5</v>
      </c>
      <c r="V7" t="n">
        <v>31075.8</v>
      </c>
      <c r="W7" t="n">
        <v>33317.9</v>
      </c>
      <c r="X7" t="n">
        <v>37383.8</v>
      </c>
      <c r="Y7" t="n">
        <v>38050</v>
      </c>
      <c r="Z7" t="n">
        <v>36245.9</v>
      </c>
      <c r="AA7" t="n">
        <v>36330.9</v>
      </c>
      <c r="AB7" t="n">
        <v>36268.4</v>
      </c>
      <c r="BX7" t="inlineStr">
        <is>
          <t>Tier 1 Ratio</t>
        </is>
      </c>
      <c r="BY7" t="n">
        <v>23</v>
      </c>
      <c r="BZ7" t="n">
        <v>17.8</v>
      </c>
      <c r="CA7" t="n">
        <v>18.5</v>
      </c>
      <c r="CB7" t="n">
        <v>20</v>
      </c>
      <c r="CC7" t="n">
        <v>19.7</v>
      </c>
      <c r="CD7" t="n">
        <v>20.8</v>
      </c>
      <c r="CE7" t="n">
        <v>15.3</v>
      </c>
      <c r="CF7" t="n">
        <v>15.9</v>
      </c>
      <c r="CG7" t="n">
        <v>17.2</v>
      </c>
      <c r="CH7" t="n">
        <v>16.7</v>
      </c>
      <c r="CI7" t="n">
        <v>17.67</v>
      </c>
      <c r="CJ7" t="n">
        <v>18.88</v>
      </c>
    </row>
    <row r="8">
      <c r="A8" s="5" t="inlineStr">
        <is>
          <t>Customer deposits</t>
        </is>
      </c>
      <c r="B8" s="5" t="n">
        <v>35209</v>
      </c>
      <c r="C8" s="5" t="n">
        <v>35051.2</v>
      </c>
      <c r="D8" s="5" t="n">
        <v>34764.3</v>
      </c>
      <c r="E8" s="5" t="n">
        <v>36338.2</v>
      </c>
      <c r="F8" s="5" t="n">
        <v>35951.9</v>
      </c>
      <c r="G8" s="5" t="n">
        <v>34375.3</v>
      </c>
      <c r="H8" s="5" t="n">
        <v>30182.4</v>
      </c>
      <c r="I8" s="5" t="n">
        <v>29084.3</v>
      </c>
      <c r="J8" s="5" t="n">
        <v>30520.6</v>
      </c>
      <c r="K8" s="5" t="n">
        <v>29383.8</v>
      </c>
      <c r="L8" s="5" t="n">
        <v>25915.7</v>
      </c>
      <c r="M8" s="5" t="n">
        <v>24624.9</v>
      </c>
      <c r="P8" t="inlineStr">
        <is>
          <t>Customer deposits</t>
        </is>
      </c>
      <c r="Q8" t="n">
        <v>24624.9</v>
      </c>
      <c r="R8" t="n">
        <v>25915.7</v>
      </c>
      <c r="S8" t="n">
        <v>29383.8</v>
      </c>
      <c r="T8" t="n">
        <v>30520.6</v>
      </c>
      <c r="U8" t="n">
        <v>29084.3</v>
      </c>
      <c r="V8" t="n">
        <v>30182.4</v>
      </c>
      <c r="W8" t="n">
        <v>34375.3</v>
      </c>
      <c r="X8" t="n">
        <v>35951.9</v>
      </c>
      <c r="Y8" t="n">
        <v>36338.2</v>
      </c>
      <c r="Z8" t="n">
        <v>34764.3</v>
      </c>
      <c r="AA8" t="n">
        <v>35051.2</v>
      </c>
      <c r="AB8" t="n">
        <v>35209</v>
      </c>
      <c r="BX8" t="inlineStr">
        <is>
          <t>Total Capital Ratio</t>
        </is>
      </c>
      <c r="BY8" t="n">
        <v>28.5</v>
      </c>
      <c r="BZ8" t="n">
        <v>21.9</v>
      </c>
      <c r="CA8" t="n">
        <v>22.4</v>
      </c>
      <c r="CB8" t="n">
        <v>24</v>
      </c>
      <c r="CC8" t="n">
        <v>23.8</v>
      </c>
      <c r="CD8" t="n">
        <v>25.1</v>
      </c>
      <c r="CE8" t="n">
        <v>18.9</v>
      </c>
      <c r="CF8" t="n">
        <v>18.7</v>
      </c>
      <c r="CG8" t="n">
        <v>20.2</v>
      </c>
      <c r="CH8" t="n">
        <v>19.6</v>
      </c>
      <c r="CI8" t="n">
        <v>20.33</v>
      </c>
      <c r="CJ8" t="n">
        <v>21.46</v>
      </c>
    </row>
    <row r="9">
      <c r="A9" s="5" t="inlineStr">
        <is>
          <t>Total equity</t>
        </is>
      </c>
      <c r="B9" s="5" t="n">
        <v>2338</v>
      </c>
      <c r="C9" s="5" t="n">
        <v>2120.7</v>
      </c>
      <c r="D9" s="5" t="n">
        <v>1954.6</v>
      </c>
      <c r="E9" s="5" t="n">
        <v>1929.8</v>
      </c>
      <c r="F9" s="5" t="n">
        <v>1866.4</v>
      </c>
      <c r="G9" s="5" t="n">
        <v>1724.9</v>
      </c>
      <c r="H9" s="5" t="n">
        <v>1900.8</v>
      </c>
      <c r="I9" s="5" t="n">
        <v>1878.9</v>
      </c>
      <c r="J9" s="5" t="n">
        <v>2006.6</v>
      </c>
      <c r="K9" s="5" t="n">
        <v>1865</v>
      </c>
      <c r="L9" s="5" t="n">
        <v>1746.3</v>
      </c>
      <c r="M9" s="5" t="n">
        <v>1634.4</v>
      </c>
      <c r="P9" t="inlineStr">
        <is>
          <t>Total equity</t>
        </is>
      </c>
      <c r="Q9" t="n">
        <v>1634.4</v>
      </c>
      <c r="R9" t="n">
        <v>1746.3</v>
      </c>
      <c r="S9" t="n">
        <v>1865</v>
      </c>
      <c r="T9" t="n">
        <v>2006.6</v>
      </c>
      <c r="U9" t="n">
        <v>1878.9</v>
      </c>
      <c r="V9" t="n">
        <v>1900.8</v>
      </c>
      <c r="W9" t="n">
        <v>1724.9</v>
      </c>
      <c r="X9" t="n">
        <v>1866.4</v>
      </c>
      <c r="Y9" t="n">
        <v>1929.8</v>
      </c>
      <c r="Z9" t="n">
        <v>1954.6</v>
      </c>
      <c r="AA9" t="n">
        <v>2120.7</v>
      </c>
      <c r="AB9" t="n">
        <v>2338</v>
      </c>
      <c r="BX9" t="inlineStr">
        <is>
          <t>Leverage Ratio</t>
        </is>
      </c>
      <c r="BY9" t="n">
        <v>5.8</v>
      </c>
      <c r="BZ9" t="n">
        <v>5.2</v>
      </c>
      <c r="CA9" t="n">
        <v>4.8</v>
      </c>
      <c r="CB9" t="n">
        <v>4.5</v>
      </c>
      <c r="CC9" t="n">
        <v>4.4</v>
      </c>
      <c r="CD9" t="n">
        <v>4.6</v>
      </c>
      <c r="CE9" t="n">
        <v>3.8</v>
      </c>
      <c r="CF9" t="n">
        <v>4</v>
      </c>
      <c r="CG9" t="n">
        <v>4.2</v>
      </c>
      <c r="CH9" t="n">
        <v>4.57</v>
      </c>
      <c r="CI9" t="n">
        <v>4.95</v>
      </c>
      <c r="CJ9" t="n">
        <v>5.47</v>
      </c>
    </row>
    <row r="10">
      <c r="BX10" t="inlineStr">
        <is>
          <t>LCR</t>
        </is>
      </c>
      <c r="CF10" t="n">
        <v>165</v>
      </c>
      <c r="CG10" t="n">
        <v>168</v>
      </c>
      <c r="CH10" t="n">
        <v>188</v>
      </c>
      <c r="CI10" t="n">
        <v>182</v>
      </c>
      <c r="CJ10" t="n">
        <v>185</v>
      </c>
    </row>
    <row r="11">
      <c r="A11" s="3" t="inlineStr">
        <is>
          <t>Profit &amp; Loss Summary (£m)</t>
        </is>
      </c>
      <c r="BX11" t="inlineStr">
        <is>
          <t>NSFR</t>
        </is>
      </c>
      <c r="CF11" t="n">
        <v>149</v>
      </c>
      <c r="CG11" t="n">
        <v>148</v>
      </c>
      <c r="CH11" t="n">
        <v>154</v>
      </c>
      <c r="CI11" t="n">
        <v>153</v>
      </c>
      <c r="CJ11" t="n">
        <v>152</v>
      </c>
    </row>
    <row r="12">
      <c r="A12" s="4" t="inlineStr">
        <is>
          <t>Line item</t>
        </is>
      </c>
      <c r="B12" s="4" t="inlineStr">
        <is>
          <t>FY2025</t>
        </is>
      </c>
      <c r="C12" s="4" t="inlineStr">
        <is>
          <t>FY2024</t>
        </is>
      </c>
      <c r="D12" s="4" t="inlineStr">
        <is>
          <t>FY2023</t>
        </is>
      </c>
      <c r="E12" s="4" t="inlineStr">
        <is>
          <t>FY2022</t>
        </is>
      </c>
      <c r="F12" s="4" t="inlineStr">
        <is>
          <t>FY2021</t>
        </is>
      </c>
      <c r="G12" s="4" t="inlineStr">
        <is>
          <t>FY2020</t>
        </is>
      </c>
      <c r="H12" s="4" t="inlineStr">
        <is>
          <t>FY2019</t>
        </is>
      </c>
      <c r="I12" s="4" t="inlineStr">
        <is>
          <t>FY2018</t>
        </is>
      </c>
      <c r="J12" s="4" t="inlineStr">
        <is>
          <t>FY2017</t>
        </is>
      </c>
      <c r="K12" s="4" t="inlineStr">
        <is>
          <t>FY2016</t>
        </is>
      </c>
      <c r="L12" s="4" t="inlineStr">
        <is>
          <t>FY2015</t>
        </is>
      </c>
      <c r="M12" s="4" t="inlineStr">
        <is>
          <t>FY2014</t>
        </is>
      </c>
      <c r="AF12" t="inlineStr">
        <is>
          <t>FY2014</t>
        </is>
      </c>
      <c r="AG12" t="inlineStr">
        <is>
          <t>FY2015</t>
        </is>
      </c>
      <c r="AH12" t="inlineStr">
        <is>
          <t>FY2016</t>
        </is>
      </c>
      <c r="AI12" t="inlineStr">
        <is>
          <t>FY2017</t>
        </is>
      </c>
      <c r="AJ12" t="inlineStr">
        <is>
          <t>FY2018</t>
        </is>
      </c>
      <c r="AK12" t="inlineStr">
        <is>
          <t>FY2019</t>
        </is>
      </c>
      <c r="AL12" t="inlineStr">
        <is>
          <t>FY2020</t>
        </is>
      </c>
      <c r="AM12" t="inlineStr">
        <is>
          <t>FY2021</t>
        </is>
      </c>
      <c r="AN12" t="inlineStr">
        <is>
          <t>FY2022</t>
        </is>
      </c>
      <c r="AO12" t="inlineStr">
        <is>
          <t>FY2023</t>
        </is>
      </c>
      <c r="AP12" t="inlineStr">
        <is>
          <t>FY2024</t>
        </is>
      </c>
      <c r="AQ12" t="inlineStr">
        <is>
          <t>FY2025</t>
        </is>
      </c>
    </row>
    <row r="13">
      <c r="A13" s="5" t="inlineStr">
        <is>
          <t>Total income</t>
        </is>
      </c>
      <c r="B13" s="5" t="n">
        <v>1172.3</v>
      </c>
      <c r="C13" s="5" t="n">
        <v>1137</v>
      </c>
      <c r="D13" s="5" t="n">
        <v>1156.7</v>
      </c>
      <c r="E13" s="5" t="n">
        <v>1105.5</v>
      </c>
      <c r="F13" s="5" t="n">
        <v>982.9</v>
      </c>
      <c r="G13" s="5" t="n">
        <v>932.9</v>
      </c>
      <c r="H13" s="5" t="n">
        <v>987.2</v>
      </c>
      <c r="I13" s="5" t="n">
        <v>1295.3</v>
      </c>
      <c r="J13" s="5" t="n">
        <v>1096.1</v>
      </c>
      <c r="K13" s="5" t="n">
        <v>1004</v>
      </c>
      <c r="L13" s="5" t="n">
        <v>890.7</v>
      </c>
      <c r="M13" s="5" t="n">
        <v>900.2</v>
      </c>
      <c r="AE13" t="inlineStr">
        <is>
          <t>Total income</t>
        </is>
      </c>
      <c r="AF13" t="n">
        <v>900.2</v>
      </c>
      <c r="AG13" t="n">
        <v>890.7</v>
      </c>
      <c r="AH13" t="n">
        <v>1004</v>
      </c>
      <c r="AI13" t="n">
        <v>1096.1</v>
      </c>
      <c r="AJ13" t="n">
        <v>1295.3</v>
      </c>
      <c r="AK13" t="n">
        <v>987.2</v>
      </c>
      <c r="AL13" t="n">
        <v>932.9</v>
      </c>
      <c r="AM13" t="n">
        <v>982.9</v>
      </c>
      <c r="AN13" t="n">
        <v>1105.5</v>
      </c>
      <c r="AO13" t="n">
        <v>1156.7</v>
      </c>
      <c r="AP13" t="n">
        <v>1137</v>
      </c>
      <c r="AQ13" t="n">
        <v>1172.3</v>
      </c>
    </row>
    <row r="14">
      <c r="A14" s="5" t="inlineStr">
        <is>
          <t>Total operating expenses</t>
        </is>
      </c>
      <c r="B14" s="5" t="n">
        <v>-785.9</v>
      </c>
      <c r="C14" s="5" t="n">
        <v>-821.8</v>
      </c>
      <c r="D14" s="5" t="n">
        <v>-852.9</v>
      </c>
      <c r="E14" s="5" t="n">
        <v>-869.5</v>
      </c>
      <c r="F14" s="5" t="n">
        <v>-827.3</v>
      </c>
      <c r="G14" s="5" t="n">
        <v>-969.4</v>
      </c>
      <c r="H14" s="5" t="n">
        <v>-881.3</v>
      </c>
      <c r="I14" s="5" t="n">
        <v>-905.7</v>
      </c>
      <c r="J14" s="5" t="n">
        <v>-859.2</v>
      </c>
      <c r="K14" s="5" t="n">
        <v>-734.7</v>
      </c>
      <c r="L14" s="5" t="n">
        <v>-740.8</v>
      </c>
      <c r="M14" s="5" t="n">
        <v>-632.4</v>
      </c>
      <c r="AE14" t="inlineStr">
        <is>
          <t>Total operating expenses</t>
        </is>
      </c>
      <c r="AF14" t="n">
        <v>-632.4</v>
      </c>
      <c r="AG14" t="n">
        <v>-740.8</v>
      </c>
      <c r="AH14" t="n">
        <v>-734.7</v>
      </c>
      <c r="AI14" t="n">
        <v>-859.2</v>
      </c>
      <c r="AJ14" t="n">
        <v>-905.7</v>
      </c>
      <c r="AK14" t="n">
        <v>-881.3</v>
      </c>
      <c r="AL14" t="n">
        <v>-969.4</v>
      </c>
      <c r="AM14" t="n">
        <v>-827.3</v>
      </c>
      <c r="AN14" t="n">
        <v>-869.5</v>
      </c>
      <c r="AO14" t="n">
        <v>-852.9</v>
      </c>
      <c r="AP14" t="n">
        <v>-821.8</v>
      </c>
      <c r="AQ14" t="n">
        <v>-785.9</v>
      </c>
    </row>
    <row r="15">
      <c r="A15" s="5" t="inlineStr">
        <is>
          <t>Profit/(loss) for the year</t>
        </is>
      </c>
      <c r="B15" s="5" t="n">
        <v>251.1</v>
      </c>
      <c r="C15" s="5" t="n">
        <v>203.8</v>
      </c>
      <c r="D15" s="5" t="n">
        <v>173.4</v>
      </c>
      <c r="E15" s="5" t="n">
        <v>100.6</v>
      </c>
      <c r="F15" s="5" t="n">
        <v>128.4</v>
      </c>
      <c r="G15" s="5" t="n">
        <v>-156.2</v>
      </c>
      <c r="H15" s="5" t="n">
        <v>26.2</v>
      </c>
      <c r="I15" s="5" t="n">
        <v>-59.1</v>
      </c>
      <c r="J15" s="5" t="n">
        <v>115.1</v>
      </c>
      <c r="K15" s="5" t="n">
        <v>127.8</v>
      </c>
      <c r="L15" s="5" t="n">
        <v>88.8</v>
      </c>
      <c r="M15" s="5" t="n">
        <v>134.5</v>
      </c>
      <c r="AE15" t="inlineStr">
        <is>
          <t>Profit/(loss) for the year</t>
        </is>
      </c>
      <c r="AF15" t="n">
        <v>134.5</v>
      </c>
      <c r="AG15" t="n">
        <v>88.8</v>
      </c>
      <c r="AH15" t="n">
        <v>127.8</v>
      </c>
      <c r="AI15" t="n">
        <v>115.1</v>
      </c>
      <c r="AJ15" t="n">
        <v>-59.1</v>
      </c>
      <c r="AK15" t="n">
        <v>26.2</v>
      </c>
      <c r="AL15" t="n">
        <v>-156.2</v>
      </c>
      <c r="AM15" t="n">
        <v>128.4</v>
      </c>
      <c r="AN15" t="n">
        <v>100.6</v>
      </c>
      <c r="AO15" t="n">
        <v>173.4</v>
      </c>
      <c r="AP15" t="n">
        <v>203.8</v>
      </c>
      <c r="AQ15" t="n">
        <v>251.1</v>
      </c>
    </row>
    <row r="17">
      <c r="A17" s="3" t="inlineStr">
        <is>
          <t>Statement of Changes in Equity Summary (£m)</t>
        </is>
      </c>
    </row>
    <row r="18">
      <c r="A18" s="4" t="inlineStr">
        <is>
          <t>Line item</t>
        </is>
      </c>
      <c r="B18" s="4" t="inlineStr">
        <is>
          <t>FY2025</t>
        </is>
      </c>
      <c r="C18" s="4" t="inlineStr">
        <is>
          <t>FY2024</t>
        </is>
      </c>
      <c r="D18" s="4" t="inlineStr">
        <is>
          <t>FY2023</t>
        </is>
      </c>
      <c r="E18" s="4" t="inlineStr">
        <is>
          <t>FY2022</t>
        </is>
      </c>
      <c r="F18" s="4" t="inlineStr">
        <is>
          <t>FY2021</t>
        </is>
      </c>
      <c r="G18" s="4" t="inlineStr">
        <is>
          <t>FY2020</t>
        </is>
      </c>
      <c r="H18" s="4" t="inlineStr">
        <is>
          <t>FY2019</t>
        </is>
      </c>
      <c r="I18" s="4" t="inlineStr">
        <is>
          <t>FY2018</t>
        </is>
      </c>
      <c r="J18" s="4" t="inlineStr">
        <is>
          <t>FY2017</t>
        </is>
      </c>
      <c r="K18" s="4" t="inlineStr">
        <is>
          <t>FY2016</t>
        </is>
      </c>
      <c r="L18" s="4" t="inlineStr">
        <is>
          <t>FY2015</t>
        </is>
      </c>
      <c r="M18" s="4" t="inlineStr">
        <is>
          <t>FY2014</t>
        </is>
      </c>
      <c r="AU18" t="inlineStr">
        <is>
          <t>FY2014</t>
        </is>
      </c>
      <c r="AV18" t="inlineStr">
        <is>
          <t>FY2015</t>
        </is>
      </c>
      <c r="AW18" t="inlineStr">
        <is>
          <t>FY2016</t>
        </is>
      </c>
      <c r="AX18" t="inlineStr">
        <is>
          <t>FY2017</t>
        </is>
      </c>
      <c r="AY18" t="inlineStr">
        <is>
          <t>FY2018</t>
        </is>
      </c>
      <c r="AZ18" t="inlineStr">
        <is>
          <t>FY2019</t>
        </is>
      </c>
      <c r="BA18" t="inlineStr">
        <is>
          <t>FY2020</t>
        </is>
      </c>
      <c r="BB18" t="inlineStr">
        <is>
          <t>FY2021</t>
        </is>
      </c>
      <c r="BC18" t="inlineStr">
        <is>
          <t>FY2022</t>
        </is>
      </c>
      <c r="BD18" t="inlineStr">
        <is>
          <t>FY2023</t>
        </is>
      </c>
      <c r="BE18" t="inlineStr">
        <is>
          <t>FY2024</t>
        </is>
      </c>
      <c r="BF18" t="inlineStr">
        <is>
          <t>FY2025</t>
        </is>
      </c>
    </row>
    <row r="19">
      <c r="A19" s="5" t="inlineStr">
        <is>
          <t>Opening equity</t>
        </is>
      </c>
      <c r="B19" s="5" t="n">
        <v>2120.7</v>
      </c>
      <c r="C19" s="5" t="n">
        <v>1954.6</v>
      </c>
      <c r="D19" s="5" t="n">
        <v>1929.8</v>
      </c>
      <c r="E19" s="5" t="n">
        <v>1866.4</v>
      </c>
      <c r="F19" s="5" t="n">
        <v>1724.9</v>
      </c>
      <c r="G19" s="5" t="n">
        <v>1900.8</v>
      </c>
      <c r="H19" s="5" t="n">
        <v>1878.9</v>
      </c>
      <c r="I19" s="5" t="n">
        <v>2006.6</v>
      </c>
      <c r="J19" s="5" t="n">
        <v>1865</v>
      </c>
      <c r="K19" s="5" t="n">
        <v>1746.3</v>
      </c>
      <c r="L19" s="5" t="n">
        <v>1634.4</v>
      </c>
      <c r="M19" s="5" t="n">
        <v>1306.7</v>
      </c>
      <c r="AT19" t="inlineStr">
        <is>
          <t>Opening equity</t>
        </is>
      </c>
      <c r="AU19" t="n">
        <v>1306.7</v>
      </c>
      <c r="AV19" t="n">
        <v>1634.4</v>
      </c>
      <c r="AW19" t="n">
        <v>1746.3</v>
      </c>
      <c r="AX19" t="n">
        <v>1865</v>
      </c>
      <c r="AY19" t="n">
        <v>2006.6</v>
      </c>
      <c r="AZ19" t="n">
        <v>1878.9</v>
      </c>
      <c r="BA19" t="n">
        <v>1900.8</v>
      </c>
      <c r="BB19" t="n">
        <v>1724.9</v>
      </c>
      <c r="BC19" t="n">
        <v>1866.4</v>
      </c>
      <c r="BD19" t="n">
        <v>1929.8</v>
      </c>
      <c r="BE19" t="n">
        <v>1954.6</v>
      </c>
      <c r="BF19" t="n">
        <v>2120.7</v>
      </c>
    </row>
    <row r="20">
      <c r="A20" s="5" t="inlineStr">
        <is>
          <t>Total comprehensive income/(loss) for the year</t>
        </is>
      </c>
      <c r="B20" s="5" t="n">
        <v>234.9</v>
      </c>
      <c r="C20" s="5" t="n">
        <v>216.1</v>
      </c>
      <c r="D20" s="5" t="n">
        <v>144.8</v>
      </c>
      <c r="E20" s="5" t="n">
        <v>130.4</v>
      </c>
      <c r="F20" s="5" t="n">
        <v>141.5</v>
      </c>
      <c r="G20" s="5" t="n">
        <v>-175.9</v>
      </c>
      <c r="H20" s="5" t="n">
        <v>21.9</v>
      </c>
      <c r="I20" s="5" t="n">
        <v>-60.1</v>
      </c>
      <c r="J20" s="5" t="n">
        <v>127</v>
      </c>
      <c r="K20" s="5" t="n">
        <v>118.7</v>
      </c>
      <c r="L20" s="5" t="n">
        <v>103.8</v>
      </c>
      <c r="M20" s="5" t="n">
        <v>134.9</v>
      </c>
      <c r="AT20" t="inlineStr">
        <is>
          <t>Total comprehensive income/(loss) for the year</t>
        </is>
      </c>
      <c r="AU20" t="n">
        <v>134.9</v>
      </c>
      <c r="AV20" t="n">
        <v>103.8</v>
      </c>
      <c r="AW20" t="n">
        <v>118.7</v>
      </c>
      <c r="AX20" t="n">
        <v>127</v>
      </c>
      <c r="AY20" t="n">
        <v>-60.1</v>
      </c>
      <c r="AZ20" t="n">
        <v>21.9</v>
      </c>
      <c r="BA20" t="n">
        <v>-175.9</v>
      </c>
      <c r="BB20" t="n">
        <v>141.5</v>
      </c>
      <c r="BC20" t="n">
        <v>130.4</v>
      </c>
      <c r="BD20" t="n">
        <v>144.8</v>
      </c>
      <c r="BE20" t="n">
        <v>216.1</v>
      </c>
      <c r="BF20" t="n">
        <v>234.9</v>
      </c>
    </row>
    <row r="21">
      <c r="A21" s="5" t="inlineStr">
        <is>
          <t>Other equity movements, net</t>
        </is>
      </c>
      <c r="B21" s="5" t="n">
        <v>-17.6</v>
      </c>
      <c r="C21" s="5" t="n">
        <v>-50</v>
      </c>
      <c r="D21" s="5" t="n">
        <v>-120</v>
      </c>
      <c r="E21" s="5" t="n">
        <v>-67</v>
      </c>
      <c r="F21" s="5" t="n">
        <v>0</v>
      </c>
      <c r="G21" s="5" t="n">
        <v>0</v>
      </c>
      <c r="H21" s="5" t="n">
        <v>0</v>
      </c>
      <c r="I21" s="5" t="n">
        <v>-67.59999999999999</v>
      </c>
      <c r="J21" s="5" t="n">
        <v>14.6</v>
      </c>
      <c r="K21" s="5" t="n">
        <v>0</v>
      </c>
      <c r="L21" s="5" t="n">
        <v>8.1</v>
      </c>
      <c r="M21" s="5" t="n">
        <v>192.8</v>
      </c>
      <c r="AT21" t="inlineStr">
        <is>
          <t>Other equity movements, net</t>
        </is>
      </c>
      <c r="AU21" t="n">
        <v>192.8</v>
      </c>
      <c r="AV21" t="n">
        <v>8.1</v>
      </c>
      <c r="AW21" t="n">
        <v>0</v>
      </c>
      <c r="AX21" t="n">
        <v>14.6</v>
      </c>
      <c r="AY21" t="n">
        <v>-67.59999999999999</v>
      </c>
      <c r="AZ21" t="n">
        <v>0</v>
      </c>
      <c r="BA21" t="n">
        <v>0</v>
      </c>
      <c r="BB21" t="n">
        <v>0</v>
      </c>
      <c r="BC21" t="n">
        <v>-67</v>
      </c>
      <c r="BD21" t="n">
        <v>-120</v>
      </c>
      <c r="BE21" t="n">
        <v>-50</v>
      </c>
      <c r="BF21" t="n">
        <v>-17.6</v>
      </c>
    </row>
    <row r="22">
      <c r="A22" s="5" t="inlineStr">
        <is>
          <t>Closing equity</t>
        </is>
      </c>
      <c r="B22" s="5" t="n">
        <v>2338</v>
      </c>
      <c r="C22" s="5" t="n">
        <v>2120.7</v>
      </c>
      <c r="D22" s="5" t="n">
        <v>1954.6</v>
      </c>
      <c r="E22" s="5" t="n">
        <v>1929.8</v>
      </c>
      <c r="F22" s="5" t="n">
        <v>1866.4</v>
      </c>
      <c r="G22" s="5" t="n">
        <v>1724.9</v>
      </c>
      <c r="H22" s="5" t="n">
        <v>1900.8</v>
      </c>
      <c r="I22" s="5" t="n">
        <v>1878.9</v>
      </c>
      <c r="J22" s="5" t="n">
        <v>2006.6</v>
      </c>
      <c r="K22" s="5" t="n">
        <v>1865</v>
      </c>
      <c r="L22" s="5" t="n">
        <v>1746.3</v>
      </c>
      <c r="M22" s="5" t="n">
        <v>1634.4</v>
      </c>
      <c r="AT22" t="inlineStr">
        <is>
          <t>Closing equity</t>
        </is>
      </c>
      <c r="AU22" t="n">
        <v>1634.4</v>
      </c>
      <c r="AV22" t="n">
        <v>1746.3</v>
      </c>
      <c r="AW22" t="n">
        <v>1865</v>
      </c>
      <c r="AX22" t="n">
        <v>2006.6</v>
      </c>
      <c r="AY22" t="n">
        <v>1878.9</v>
      </c>
      <c r="AZ22" t="n">
        <v>1900.8</v>
      </c>
      <c r="BA22" t="n">
        <v>1724.9</v>
      </c>
      <c r="BB22" t="n">
        <v>1866.4</v>
      </c>
      <c r="BC22" t="n">
        <v>1929.8</v>
      </c>
      <c r="BD22" t="n">
        <v>1954.6</v>
      </c>
      <c r="BE22" t="n">
        <v>2120.7</v>
      </c>
      <c r="BF22" t="n">
        <v>2338</v>
      </c>
    </row>
    <row r="24">
      <c r="A24" s="3" t="inlineStr">
        <is>
          <t>Cash Flow Summary (£m)</t>
        </is>
      </c>
    </row>
    <row r="25">
      <c r="A25" s="4" t="inlineStr">
        <is>
          <t>Line item</t>
        </is>
      </c>
      <c r="B25" s="4" t="inlineStr">
        <is>
          <t>FY2025</t>
        </is>
      </c>
      <c r="C25" s="4" t="inlineStr">
        <is>
          <t>FY2024</t>
        </is>
      </c>
      <c r="D25" s="4" t="inlineStr">
        <is>
          <t>FY2023</t>
        </is>
      </c>
      <c r="E25" s="4" t="inlineStr">
        <is>
          <t>FY2022</t>
        </is>
      </c>
      <c r="F25" s="4" t="inlineStr">
        <is>
          <t>FY2021</t>
        </is>
      </c>
      <c r="G25" s="4" t="inlineStr">
        <is>
          <t>FY2020</t>
        </is>
      </c>
      <c r="H25" s="4" t="inlineStr">
        <is>
          <t>FY2019</t>
        </is>
      </c>
      <c r="I25" s="4" t="inlineStr">
        <is>
          <t>FY2018</t>
        </is>
      </c>
      <c r="J25" s="4" t="inlineStr">
        <is>
          <t>FY2017</t>
        </is>
      </c>
      <c r="K25" s="4" t="inlineStr">
        <is>
          <t>FY2016</t>
        </is>
      </c>
      <c r="L25" s="4" t="inlineStr">
        <is>
          <t>FY2015</t>
        </is>
      </c>
      <c r="M25" s="4" t="inlineStr">
        <is>
          <t>FY2014</t>
        </is>
      </c>
      <c r="BJ25" t="inlineStr">
        <is>
          <t>FY2014</t>
        </is>
      </c>
      <c r="BK25" t="inlineStr">
        <is>
          <t>FY2015</t>
        </is>
      </c>
      <c r="BL25" t="inlineStr">
        <is>
          <t>FY2016</t>
        </is>
      </c>
      <c r="BM25" t="inlineStr">
        <is>
          <t>FY2017</t>
        </is>
      </c>
      <c r="BN25" t="inlineStr">
        <is>
          <t>FY2018</t>
        </is>
      </c>
      <c r="BO25" t="inlineStr">
        <is>
          <t>FY2019</t>
        </is>
      </c>
      <c r="BP25" t="inlineStr">
        <is>
          <t>FY2020</t>
        </is>
      </c>
      <c r="BQ25" t="inlineStr">
        <is>
          <t>FY2021</t>
        </is>
      </c>
      <c r="BR25" t="inlineStr">
        <is>
          <t>FY2022</t>
        </is>
      </c>
      <c r="BS25" t="inlineStr">
        <is>
          <t>FY2023</t>
        </is>
      </c>
      <c r="BT25" t="inlineStr">
        <is>
          <t>FY2024</t>
        </is>
      </c>
      <c r="BU25" t="inlineStr">
        <is>
          <t>FY2025</t>
        </is>
      </c>
    </row>
    <row r="26">
      <c r="A26" s="5" t="inlineStr">
        <is>
          <t>Net cash (used in)/provided by operating activities</t>
        </is>
      </c>
      <c r="B26" s="5" t="n">
        <v>662.4</v>
      </c>
      <c r="C26" s="5" t="n">
        <v>996.9</v>
      </c>
      <c r="D26" s="5" t="n">
        <v>1200.7</v>
      </c>
      <c r="E26" s="5" t="n">
        <v>596.4</v>
      </c>
      <c r="F26" s="5" t="n">
        <v>-2145.7</v>
      </c>
      <c r="G26" s="5" t="n">
        <v>2319.7</v>
      </c>
      <c r="H26" s="5" t="n">
        <v>-360.3</v>
      </c>
      <c r="I26" s="5" t="n">
        <v>-318.8</v>
      </c>
      <c r="J26" s="5" t="n">
        <v>-59.1</v>
      </c>
      <c r="K26" s="5" t="n">
        <v>319.1</v>
      </c>
      <c r="L26" s="5" t="n">
        <v>-591.2</v>
      </c>
      <c r="M26" s="5" t="n">
        <v>7473.7</v>
      </c>
      <c r="BI26" t="inlineStr">
        <is>
          <t>Net cash (used in)/provided by operating activities</t>
        </is>
      </c>
      <c r="BJ26" t="n">
        <v>7473.7</v>
      </c>
      <c r="BK26" t="n">
        <v>-591.2</v>
      </c>
      <c r="BL26" t="n">
        <v>319.1</v>
      </c>
      <c r="BM26" t="n">
        <v>-59.1</v>
      </c>
      <c r="BN26" t="n">
        <v>-318.8</v>
      </c>
      <c r="BO26" t="n">
        <v>-360.3</v>
      </c>
      <c r="BP26" t="n">
        <v>2319.7</v>
      </c>
      <c r="BQ26" t="n">
        <v>-2145.7</v>
      </c>
      <c r="BR26" t="n">
        <v>596.4</v>
      </c>
      <c r="BS26" t="n">
        <v>1200.7</v>
      </c>
      <c r="BT26" t="n">
        <v>996.9</v>
      </c>
      <c r="BU26" t="n">
        <v>662.4</v>
      </c>
    </row>
    <row r="27">
      <c r="A27" s="5" t="inlineStr">
        <is>
          <t>Net cash (used in)/provided by investing activities</t>
        </is>
      </c>
      <c r="B27" s="5" t="n">
        <v>-67.2</v>
      </c>
      <c r="C27" s="5" t="n">
        <v>21.1</v>
      </c>
      <c r="D27" s="5" t="n">
        <v>88.5</v>
      </c>
      <c r="E27" s="5" t="n">
        <v>-80.3</v>
      </c>
      <c r="F27" s="5" t="n">
        <v>-839.1</v>
      </c>
      <c r="G27" s="5" t="n">
        <v>-429.6</v>
      </c>
      <c r="H27" s="5" t="n">
        <v>403.8</v>
      </c>
      <c r="I27" s="5" t="n">
        <v>-328.6</v>
      </c>
      <c r="J27" s="5" t="n">
        <v>4.1</v>
      </c>
      <c r="K27" s="5" t="n">
        <v>-718.8</v>
      </c>
      <c r="L27" s="5" t="n">
        <v>-3996.3</v>
      </c>
      <c r="M27" s="5" t="n">
        <v>-3777</v>
      </c>
      <c r="BI27" t="inlineStr">
        <is>
          <t>Net cash (used in)/provided by investing activities</t>
        </is>
      </c>
      <c r="BJ27" t="n">
        <v>-3777</v>
      </c>
      <c r="BK27" t="n">
        <v>-3996.3</v>
      </c>
      <c r="BL27" t="n">
        <v>-718.8</v>
      </c>
      <c r="BM27" t="n">
        <v>4.1</v>
      </c>
      <c r="BN27" t="n">
        <v>-328.6</v>
      </c>
      <c r="BO27" t="n">
        <v>403.8</v>
      </c>
      <c r="BP27" t="n">
        <v>-429.6</v>
      </c>
      <c r="BQ27" t="n">
        <v>-839.1</v>
      </c>
      <c r="BR27" t="n">
        <v>-80.3</v>
      </c>
      <c r="BS27" t="n">
        <v>88.5</v>
      </c>
      <c r="BT27" t="n">
        <v>21.1</v>
      </c>
      <c r="BU27" t="n">
        <v>-67.2</v>
      </c>
    </row>
    <row r="28">
      <c r="A28" s="5" t="inlineStr">
        <is>
          <t>Net cash (used in)/provided by financing activities</t>
        </is>
      </c>
      <c r="B28" s="5" t="n">
        <v>-1189.5</v>
      </c>
      <c r="C28" s="5" t="n">
        <v>-2005.7</v>
      </c>
      <c r="D28" s="5" t="n">
        <v>-597.9</v>
      </c>
      <c r="E28" s="5" t="n">
        <v>-25.3</v>
      </c>
      <c r="F28" s="5" t="n">
        <v>2779.6</v>
      </c>
      <c r="G28" s="5" t="n">
        <v>-1426.6</v>
      </c>
      <c r="H28" s="5" t="n">
        <v>-2545.8</v>
      </c>
      <c r="I28" s="5" t="n">
        <v>219.9</v>
      </c>
      <c r="J28" s="5" t="n">
        <v>3970.7</v>
      </c>
      <c r="K28" s="5" t="n">
        <v>1332.7</v>
      </c>
      <c r="L28" s="5" t="n">
        <v>2818.4</v>
      </c>
      <c r="M28" s="5" t="n">
        <v>612.7</v>
      </c>
      <c r="BI28" t="inlineStr">
        <is>
          <t>Net cash (used in)/provided by financing activities</t>
        </is>
      </c>
      <c r="BJ28" t="n">
        <v>612.7</v>
      </c>
      <c r="BK28" t="n">
        <v>2818.4</v>
      </c>
      <c r="BL28" t="n">
        <v>1332.7</v>
      </c>
      <c r="BM28" t="n">
        <v>3970.7</v>
      </c>
      <c r="BN28" t="n">
        <v>219.9</v>
      </c>
      <c r="BO28" t="n">
        <v>-2545.8</v>
      </c>
      <c r="BP28" t="n">
        <v>-1426.6</v>
      </c>
      <c r="BQ28" t="n">
        <v>2779.6</v>
      </c>
      <c r="BR28" t="n">
        <v>-25.3</v>
      </c>
      <c r="BS28" t="n">
        <v>-597.9</v>
      </c>
      <c r="BT28" t="n">
        <v>-2005.7</v>
      </c>
      <c r="BU28" t="n">
        <v>-1189.5</v>
      </c>
    </row>
    <row r="29">
      <c r="A29" s="5" t="inlineStr">
        <is>
          <t>Cash and cash equivalents at 31 December</t>
        </is>
      </c>
      <c r="B29" s="5" t="n">
        <v>4507.3</v>
      </c>
      <c r="C29" s="5" t="n">
        <v>5101.6</v>
      </c>
      <c r="D29" s="5" t="n">
        <v>6089.3</v>
      </c>
      <c r="E29" s="5" t="n">
        <v>5398</v>
      </c>
      <c r="F29" s="5" t="n">
        <v>4851.1</v>
      </c>
      <c r="G29" s="5" t="n">
        <v>5056.3</v>
      </c>
      <c r="H29" s="5" t="n">
        <v>4592.8</v>
      </c>
      <c r="I29" s="5" t="n">
        <v>7135.9</v>
      </c>
      <c r="J29" s="5" t="n">
        <v>7563.4</v>
      </c>
      <c r="K29" s="5" t="n">
        <v>3647.7</v>
      </c>
      <c r="L29" s="5" t="n">
        <v>2714.7</v>
      </c>
      <c r="M29" s="5" t="n">
        <v>4483.8</v>
      </c>
      <c r="BI29" t="inlineStr">
        <is>
          <t>Cash and cash equivalents at 31 December</t>
        </is>
      </c>
      <c r="BJ29" t="n">
        <v>4483.8</v>
      </c>
      <c r="BK29" t="n">
        <v>2714.7</v>
      </c>
      <c r="BL29" t="n">
        <v>3647.7</v>
      </c>
      <c r="BM29" t="n">
        <v>7563.4</v>
      </c>
      <c r="BN29" t="n">
        <v>7135.9</v>
      </c>
      <c r="BO29" t="n">
        <v>4592.8</v>
      </c>
      <c r="BP29" t="n">
        <v>5056.3</v>
      </c>
      <c r="BQ29" t="n">
        <v>4851.1</v>
      </c>
      <c r="BR29" t="n">
        <v>5398</v>
      </c>
      <c r="BS29" t="n">
        <v>6089.3</v>
      </c>
      <c r="BT29" t="n">
        <v>5101.6</v>
      </c>
      <c r="BU29" t="n">
        <v>4507.3</v>
      </c>
    </row>
    <row r="31">
      <c r="A31" s="3" t="inlineStr">
        <is>
          <t>Pillar 3 Key Metrics</t>
        </is>
      </c>
    </row>
    <row r="32">
      <c r="A32" s="4" t="inlineStr">
        <is>
          <t>Line item</t>
        </is>
      </c>
      <c r="B32" s="4" t="inlineStr">
        <is>
          <t>FY2025</t>
        </is>
      </c>
      <c r="C32" s="4" t="inlineStr">
        <is>
          <t>FY2024</t>
        </is>
      </c>
      <c r="D32" s="4" t="inlineStr">
        <is>
          <t>FY2023</t>
        </is>
      </c>
      <c r="E32" s="4" t="inlineStr">
        <is>
          <t>FY2022</t>
        </is>
      </c>
      <c r="F32" s="4" t="inlineStr">
        <is>
          <t>FY2021</t>
        </is>
      </c>
      <c r="G32" s="4" t="inlineStr">
        <is>
          <t>FY2020</t>
        </is>
      </c>
      <c r="H32" s="4" t="inlineStr">
        <is>
          <t>FY2019</t>
        </is>
      </c>
      <c r="I32" s="4" t="inlineStr">
        <is>
          <t>FY2018</t>
        </is>
      </c>
      <c r="J32" s="4" t="inlineStr">
        <is>
          <t>FY2017</t>
        </is>
      </c>
      <c r="K32" s="4" t="inlineStr">
        <is>
          <t>FY2016</t>
        </is>
      </c>
      <c r="L32" s="4" t="inlineStr">
        <is>
          <t>FY2015</t>
        </is>
      </c>
      <c r="M32" s="4" t="inlineStr">
        <is>
          <t>FY2014</t>
        </is>
      </c>
    </row>
    <row r="33">
      <c r="A33" s="6" t="inlineStr">
        <is>
          <t>CET1 Ratio</t>
        </is>
      </c>
      <c r="B33" s="6" t="inlineStr">
        <is>
          <t>16.74%</t>
        </is>
      </c>
      <c r="C33" s="6" t="inlineStr">
        <is>
          <t>15.45%</t>
        </is>
      </c>
      <c r="D33" s="6" t="inlineStr">
        <is>
          <t>16.7%</t>
        </is>
      </c>
      <c r="E33" s="6" t="inlineStr">
        <is>
          <t>17.2%</t>
        </is>
      </c>
      <c r="F33" s="6" t="inlineStr">
        <is>
          <t>15.9%</t>
        </is>
      </c>
      <c r="G33" s="6" t="inlineStr">
        <is>
          <t>15.3%</t>
        </is>
      </c>
      <c r="H33" s="6" t="inlineStr">
        <is>
          <t>20.8%</t>
        </is>
      </c>
      <c r="I33" s="6" t="inlineStr">
        <is>
          <t>19.7%</t>
        </is>
      </c>
      <c r="J33" s="6" t="inlineStr">
        <is>
          <t>20.0%</t>
        </is>
      </c>
      <c r="K33" s="6" t="inlineStr">
        <is>
          <t>18.5%</t>
        </is>
      </c>
      <c r="L33" s="6" t="inlineStr">
        <is>
          <t>17.8%</t>
        </is>
      </c>
      <c r="M33" s="6" t="inlineStr">
        <is>
          <t>23.0%</t>
        </is>
      </c>
    </row>
    <row r="34">
      <c r="A34" s="6" t="inlineStr">
        <is>
          <t>Tier 1 Ratio</t>
        </is>
      </c>
      <c r="B34" s="6" t="inlineStr">
        <is>
          <t>18.88%</t>
        </is>
      </c>
      <c r="C34" s="6" t="inlineStr">
        <is>
          <t>17.67%</t>
        </is>
      </c>
      <c r="D34" s="6" t="inlineStr">
        <is>
          <t>16.7%</t>
        </is>
      </c>
      <c r="E34" s="6" t="inlineStr">
        <is>
          <t>17.2%</t>
        </is>
      </c>
      <c r="F34" s="6" t="inlineStr">
        <is>
          <t>15.9%</t>
        </is>
      </c>
      <c r="G34" s="6" t="inlineStr">
        <is>
          <t>15.3%</t>
        </is>
      </c>
      <c r="H34" s="6" t="inlineStr">
        <is>
          <t>20.8%</t>
        </is>
      </c>
      <c r="I34" s="6" t="inlineStr">
        <is>
          <t>19.7%</t>
        </is>
      </c>
      <c r="J34" s="6" t="inlineStr">
        <is>
          <t>20.0%</t>
        </is>
      </c>
      <c r="K34" s="6" t="inlineStr">
        <is>
          <t>18.5%</t>
        </is>
      </c>
      <c r="L34" s="6" t="inlineStr">
        <is>
          <t>17.8%</t>
        </is>
      </c>
      <c r="M34" s="6" t="inlineStr">
        <is>
          <t>23.0%</t>
        </is>
      </c>
    </row>
    <row r="35">
      <c r="A35" s="6" t="inlineStr">
        <is>
          <t>Total Capital Ratio</t>
        </is>
      </c>
      <c r="B35" s="6" t="inlineStr">
        <is>
          <t>21.46%</t>
        </is>
      </c>
      <c r="C35" s="6" t="inlineStr">
        <is>
          <t>20.33%</t>
        </is>
      </c>
      <c r="D35" s="6" t="inlineStr">
        <is>
          <t>19.6%</t>
        </is>
      </c>
      <c r="E35" s="6" t="inlineStr">
        <is>
          <t>20.2%</t>
        </is>
      </c>
      <c r="F35" s="6" t="inlineStr">
        <is>
          <t>18.7%</t>
        </is>
      </c>
      <c r="G35" s="6" t="inlineStr">
        <is>
          <t>18.9%</t>
        </is>
      </c>
      <c r="H35" s="6" t="inlineStr">
        <is>
          <t>25.1%</t>
        </is>
      </c>
      <c r="I35" s="6" t="inlineStr">
        <is>
          <t>23.8%</t>
        </is>
      </c>
      <c r="J35" s="6" t="inlineStr">
        <is>
          <t>24.0%</t>
        </is>
      </c>
      <c r="K35" s="6" t="inlineStr">
        <is>
          <t>22.4%</t>
        </is>
      </c>
      <c r="L35" s="6" t="inlineStr">
        <is>
          <t>21.9%</t>
        </is>
      </c>
      <c r="M35" s="6" t="inlineStr">
        <is>
          <t>28.5%</t>
        </is>
      </c>
    </row>
    <row r="36">
      <c r="A36" s="6" t="inlineStr">
        <is>
          <t>Leverage Ratio</t>
        </is>
      </c>
      <c r="B36" s="6" t="inlineStr">
        <is>
          <t>5.47%</t>
        </is>
      </c>
      <c r="C36" s="6" t="inlineStr">
        <is>
          <t>4.95%</t>
        </is>
      </c>
      <c r="D36" s="6" t="inlineStr">
        <is>
          <t>4.57%</t>
        </is>
      </c>
      <c r="E36" s="6" t="inlineStr">
        <is>
          <t>4.2%</t>
        </is>
      </c>
      <c r="F36" s="6" t="inlineStr">
        <is>
          <t>4.0%</t>
        </is>
      </c>
      <c r="G36" s="6" t="inlineStr">
        <is>
          <t>3.8%</t>
        </is>
      </c>
      <c r="H36" s="6" t="inlineStr">
        <is>
          <t>4.6%</t>
        </is>
      </c>
      <c r="I36" s="6" t="inlineStr">
        <is>
          <t>4.4%</t>
        </is>
      </c>
      <c r="J36" s="6" t="inlineStr">
        <is>
          <t>4.5%</t>
        </is>
      </c>
      <c r="K36" s="6" t="inlineStr">
        <is>
          <t>4.8%</t>
        </is>
      </c>
      <c r="L36" s="6" t="inlineStr">
        <is>
          <t>5.2%</t>
        </is>
      </c>
      <c r="M36" s="6" t="inlineStr">
        <is>
          <t>5.8%</t>
        </is>
      </c>
    </row>
    <row r="37">
      <c r="A37" s="6" t="inlineStr">
        <is>
          <t>LCR</t>
        </is>
      </c>
      <c r="B37" s="6" t="inlineStr">
        <is>
          <t>185%</t>
        </is>
      </c>
      <c r="C37" s="6" t="inlineStr">
        <is>
          <t>182%</t>
        </is>
      </c>
      <c r="D37" s="6" t="inlineStr">
        <is>
          <t>188%</t>
        </is>
      </c>
      <c r="E37" s="6" t="inlineStr">
        <is>
          <t>168%</t>
        </is>
      </c>
      <c r="F37" s="6" t="inlineStr">
        <is>
          <t>165%</t>
        </is>
      </c>
      <c r="G37" s="6" t="inlineStr">
        <is>
          <t>Not disclosed</t>
        </is>
      </c>
      <c r="H37" s="6" t="inlineStr">
        <is>
          <t>Not disclosed</t>
        </is>
      </c>
      <c r="I37" s="6" t="inlineStr">
        <is>
          <t>Not disclosed</t>
        </is>
      </c>
      <c r="J37" s="6" t="inlineStr">
        <is>
          <t>Not disclosed</t>
        </is>
      </c>
      <c r="K37" s="6" t="inlineStr">
        <is>
          <t>Not disclosed</t>
        </is>
      </c>
      <c r="L37" s="6" t="inlineStr">
        <is>
          <t>Not disclosed</t>
        </is>
      </c>
      <c r="M37" s="6" t="inlineStr">
        <is>
          <t>Not disclosed</t>
        </is>
      </c>
    </row>
    <row r="38">
      <c r="A38" s="6" t="inlineStr">
        <is>
          <t>NSFR</t>
        </is>
      </c>
      <c r="B38" s="6" t="inlineStr">
        <is>
          <t>152%</t>
        </is>
      </c>
      <c r="C38" s="6" t="inlineStr">
        <is>
          <t>153%</t>
        </is>
      </c>
      <c r="D38" s="6" t="inlineStr">
        <is>
          <t>154%</t>
        </is>
      </c>
      <c r="E38" s="6" t="inlineStr">
        <is>
          <t>148%</t>
        </is>
      </c>
      <c r="F38" s="6" t="inlineStr">
        <is>
          <t>149%</t>
        </is>
      </c>
      <c r="G38" s="6" t="inlineStr">
        <is>
          <t>Not disclosed</t>
        </is>
      </c>
      <c r="H38" s="6" t="inlineStr">
        <is>
          <t>Not disclosed</t>
        </is>
      </c>
      <c r="I38" s="6" t="inlineStr">
        <is>
          <t>Not disclosed</t>
        </is>
      </c>
      <c r="J38" s="6" t="inlineStr">
        <is>
          <t>Not disclosed</t>
        </is>
      </c>
      <c r="K38" s="6" t="inlineStr">
        <is>
          <t>Not disclosed</t>
        </is>
      </c>
      <c r="L38" s="6" t="inlineStr">
        <is>
          <t>Not disclosed</t>
        </is>
      </c>
      <c r="M38" s="6" t="inlineStr">
        <is>
          <t>Not disclosed</t>
        </is>
      </c>
    </row>
    <row r="40" ht="52" customHeight="1">
      <c r="A40" s="7" t="inlineStr">
        <is>
          <t>Note: Figures are duplicated from the detail sheets for at-a-glance trend viewing; see each sheet's own source citation for the underlying document/page. Tier 1 capital first exceeds CET1 from FY2024 onward following TSB's first AT1 issuance that year. Leverage ratio shown on the 'excluding claims on central banks' basis from FY2021 onward for comparability (FY2021 was originally reported on the pre-2022 'including' basis; FY2014-FY2020 are each shown on their own as-originally-reported 'including claims on central banks' basis, not restated - see Leverage Ratio sheet). 'Opening equity' and 'Other equity movements, net' are each year's own 31 December closing/1 January opening balance so as to preserve, rather than force-tie away, two genuine one-off breaks: the FY2016-to-FY2017 entity-basis change from TSB Banking Group plc to TSB Bank plc (+£14.6m, see Statement of Changes in Equity sheet) and the FY2017-to-FY2018 IFRS 9/IFRS 15 transition adjustment (-£67.6m). LCR/NSFR are not disclosed by TSB for FY2014-FY2020 (see those sheets).</t>
        </is>
      </c>
    </row>
  </sheetData>
  <mergeCells count="1">
    <mergeCell ref="A40:M40"/>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M5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TSB Bank plc — Consolidated Balance Sheet</t>
        </is>
      </c>
    </row>
    <row r="2">
      <c r="A2" s="2" t="inlineStr">
        <is>
          <t>Bank (Consolidated) basis, £ million. Total equity ties exactly to the Statement of Changes in Equity sheet for every year.</t>
        </is>
      </c>
    </row>
    <row r="3">
      <c r="A3" s="4" t="inlineStr">
        <is>
          <t>Line item</t>
        </is>
      </c>
      <c r="B3" s="4" t="inlineStr">
        <is>
          <t>FY2025 (£m)</t>
        </is>
      </c>
      <c r="C3" s="4" t="inlineStr">
        <is>
          <t>FY2024 (£m)</t>
        </is>
      </c>
      <c r="D3" s="4" t="inlineStr">
        <is>
          <t>FY2023 (£m)</t>
        </is>
      </c>
      <c r="E3" s="4" t="inlineStr">
        <is>
          <t>FY2022 (£m)</t>
        </is>
      </c>
      <c r="F3" s="4" t="inlineStr">
        <is>
          <t>FY2021 (£m)</t>
        </is>
      </c>
      <c r="G3" s="4" t="inlineStr">
        <is>
          <t>FY2020 (£m)</t>
        </is>
      </c>
      <c r="H3" s="4" t="inlineStr">
        <is>
          <t>FY2019 (£m)</t>
        </is>
      </c>
      <c r="I3" s="4" t="inlineStr">
        <is>
          <t>FY2018 (£m)</t>
        </is>
      </c>
      <c r="J3" s="4" t="inlineStr">
        <is>
          <t>FY2017 (£m)</t>
        </is>
      </c>
      <c r="K3" s="4" t="inlineStr">
        <is>
          <t>FY2016 (£m)</t>
        </is>
      </c>
      <c r="L3" s="4" t="inlineStr">
        <is>
          <t>FY2015 (£m)</t>
        </is>
      </c>
      <c r="M3" s="4" t="inlineStr">
        <is>
          <t>FY2014 (£m)</t>
        </is>
      </c>
    </row>
    <row r="4">
      <c r="A4" s="5" t="inlineStr">
        <is>
          <t>Assets</t>
        </is>
      </c>
      <c r="B4" s="6" t="n"/>
      <c r="C4" s="6" t="n"/>
      <c r="D4" s="6" t="n"/>
      <c r="E4" s="6" t="n"/>
      <c r="F4" s="6" t="n"/>
      <c r="G4" s="6" t="n"/>
      <c r="H4" s="6" t="n"/>
      <c r="I4" s="6" t="n"/>
      <c r="J4" s="6" t="n"/>
      <c r="K4" s="6" t="n"/>
      <c r="L4" s="6" t="n"/>
      <c r="M4" s="6" t="n"/>
    </row>
    <row r="5">
      <c r="A5" s="6" t="inlineStr">
        <is>
          <t>Cash, cash balances at central banks and other demand deposits</t>
        </is>
      </c>
      <c r="B5" s="6" t="n">
        <v>4202.1</v>
      </c>
      <c r="C5" s="6" t="n">
        <v>4823.8</v>
      </c>
      <c r="D5" s="6" t="n">
        <v>5897.3</v>
      </c>
      <c r="E5" s="6" t="n">
        <v>5238.8</v>
      </c>
      <c r="F5" s="6" t="n">
        <v>4851.1</v>
      </c>
      <c r="G5" s="6" t="n">
        <v>5056.3</v>
      </c>
      <c r="H5" s="6" t="n">
        <v>4592.8</v>
      </c>
      <c r="I5" s="6" t="n">
        <v>7135.9</v>
      </c>
      <c r="J5" s="6" t="n">
        <v>7563.4</v>
      </c>
      <c r="K5" s="6" t="n">
        <v>3698.3</v>
      </c>
      <c r="L5" s="6" t="n">
        <v>2755.6</v>
      </c>
      <c r="M5" s="6" t="n">
        <v>4396.3</v>
      </c>
    </row>
    <row r="6">
      <c r="A6" s="6" t="inlineStr">
        <is>
          <t>Debt securities at amortised cost</t>
        </is>
      </c>
      <c r="B6" s="6" t="n">
        <v>1986.4</v>
      </c>
      <c r="C6" s="6" t="n">
        <v>1982.5</v>
      </c>
      <c r="D6" s="6" t="n">
        <v>2124.2</v>
      </c>
      <c r="E6" s="6" t="n">
        <v>1951.6</v>
      </c>
      <c r="F6" s="6" t="n">
        <v>2166.7</v>
      </c>
      <c r="G6" s="6" t="n">
        <v>1123.7</v>
      </c>
      <c r="H6" s="6" t="n">
        <v>548.6</v>
      </c>
      <c r="I6" s="6" t="n">
        <v>96.2</v>
      </c>
      <c r="J6" s="6" t="n"/>
      <c r="K6" s="6" t="n"/>
      <c r="L6" s="6" t="n"/>
      <c r="M6" s="6" t="n"/>
    </row>
    <row r="7">
      <c r="A7" s="6" t="inlineStr">
        <is>
          <t>Financial assets at fair value through profit or loss (equity instruments)</t>
        </is>
      </c>
      <c r="B7" s="6" t="n"/>
      <c r="C7" s="6" t="n"/>
      <c r="D7" s="6" t="n"/>
      <c r="E7" s="6" t="n"/>
      <c r="F7" s="6" t="n"/>
      <c r="G7" s="6" t="n"/>
      <c r="H7" s="6" t="n"/>
      <c r="I7" s="6" t="n">
        <v>1.4</v>
      </c>
      <c r="J7" s="6" t="n">
        <v>1.3</v>
      </c>
      <c r="K7" s="6" t="n"/>
      <c r="L7" s="6" t="n"/>
      <c r="M7" s="6" t="n"/>
    </row>
    <row r="8">
      <c r="A8" s="6" t="inlineStr">
        <is>
          <t>Current tax assets</t>
        </is>
      </c>
      <c r="B8" s="6" t="n"/>
      <c r="C8" s="6" t="n"/>
      <c r="D8" s="6" t="n"/>
      <c r="E8" s="6" t="n"/>
      <c r="F8" s="6" t="n"/>
      <c r="G8" s="6" t="n"/>
      <c r="H8" s="6" t="n"/>
      <c r="I8" s="6" t="n">
        <v>19.7</v>
      </c>
      <c r="J8" s="6" t="n"/>
      <c r="K8" s="6" t="n"/>
      <c r="L8" s="6" t="n"/>
      <c r="M8" s="6" t="n"/>
    </row>
    <row r="9">
      <c r="A9" s="6" t="inlineStr">
        <is>
          <t>Loans and advances to customers</t>
        </is>
      </c>
      <c r="B9" s="6" t="n">
        <v>36268.4</v>
      </c>
      <c r="C9" s="6" t="n">
        <v>36330.9</v>
      </c>
      <c r="D9" s="6" t="n">
        <v>36245.9</v>
      </c>
      <c r="E9" s="6" t="n">
        <v>38050</v>
      </c>
      <c r="F9" s="6" t="n">
        <v>37383.8</v>
      </c>
      <c r="G9" s="6" t="n">
        <v>33317.9</v>
      </c>
      <c r="H9" s="6" t="n">
        <v>31075.8</v>
      </c>
      <c r="I9" s="6" t="n">
        <v>30008.5</v>
      </c>
      <c r="J9" s="6" t="n">
        <v>30854.2</v>
      </c>
      <c r="K9" s="6" t="n">
        <v>29419.1</v>
      </c>
      <c r="L9" s="6" t="n">
        <v>26402.2</v>
      </c>
      <c r="M9" s="6" t="n">
        <v>21641.4</v>
      </c>
    </row>
    <row r="10">
      <c r="A10" s="6" t="inlineStr">
        <is>
          <t>Loans and advances to central banks and credit institutions</t>
        </is>
      </c>
      <c r="B10" s="6" t="n">
        <v>305.2</v>
      </c>
      <c r="C10" s="6" t="n">
        <v>277.8</v>
      </c>
      <c r="D10" s="6" t="n">
        <v>328</v>
      </c>
      <c r="E10" s="6" t="n">
        <v>303.5</v>
      </c>
      <c r="F10" s="6" t="n">
        <v>199.7</v>
      </c>
      <c r="G10" s="6" t="n">
        <v>164.2</v>
      </c>
      <c r="H10" s="6" t="n">
        <v>469.3</v>
      </c>
      <c r="I10" s="6" t="n">
        <v>458.4</v>
      </c>
      <c r="J10" s="6" t="n">
        <v>385.2</v>
      </c>
      <c r="K10" s="6" t="n">
        <v>550.4</v>
      </c>
      <c r="L10" s="6" t="n">
        <v>331.7</v>
      </c>
      <c r="M10" s="6" t="n">
        <v>134.5</v>
      </c>
    </row>
    <row r="11">
      <c r="A11" s="6" t="inlineStr">
        <is>
          <t>Reverse repurchase agreement</t>
        </is>
      </c>
      <c r="B11" s="6" t="n">
        <v>62</v>
      </c>
      <c r="C11" s="6" t="n">
        <v>0</v>
      </c>
      <c r="D11" s="6" t="n"/>
      <c r="E11" s="6" t="n"/>
      <c r="F11" s="6" t="n"/>
      <c r="G11" s="6" t="n"/>
      <c r="H11" s="6" t="n">
        <v>201.1</v>
      </c>
      <c r="I11" s="6" t="n"/>
      <c r="J11" s="6" t="n"/>
      <c r="K11" s="6" t="n"/>
      <c r="L11" s="6" t="n"/>
      <c r="M11" s="6" t="n"/>
    </row>
    <row r="12">
      <c r="A12" s="6" t="inlineStr">
        <is>
          <t>Other advances</t>
        </is>
      </c>
      <c r="B12" s="6" t="n">
        <v>66.90000000000001</v>
      </c>
      <c r="C12" s="6" t="n">
        <v>130.2</v>
      </c>
      <c r="D12" s="6" t="n">
        <v>209.6</v>
      </c>
      <c r="E12" s="6" t="n">
        <v>703.2</v>
      </c>
      <c r="F12" s="6" t="n">
        <v>80.7</v>
      </c>
      <c r="G12" s="6" t="n">
        <v>217.5</v>
      </c>
      <c r="H12" s="6" t="n">
        <v>279.6</v>
      </c>
      <c r="I12" s="6" t="n">
        <v>381.4</v>
      </c>
      <c r="J12" s="6" t="n">
        <v>896</v>
      </c>
      <c r="K12" s="6" t="n"/>
      <c r="L12" s="6" t="n"/>
      <c r="M12" s="6" t="n"/>
    </row>
    <row r="13">
      <c r="A13" s="6" t="inlineStr">
        <is>
          <t>Items in course of collection from banks</t>
        </is>
      </c>
      <c r="B13" s="6" t="n"/>
      <c r="C13" s="6" t="n"/>
      <c r="D13" s="6" t="n"/>
      <c r="E13" s="6" t="n"/>
      <c r="F13" s="6" t="n"/>
      <c r="G13" s="6" t="n"/>
      <c r="H13" s="6" t="n"/>
      <c r="I13" s="6" t="n"/>
      <c r="J13" s="6" t="n"/>
      <c r="K13" s="6" t="n">
        <v>213.8</v>
      </c>
      <c r="L13" s="6" t="n">
        <v>163</v>
      </c>
      <c r="M13" s="6" t="n">
        <v>135.7</v>
      </c>
    </row>
    <row r="14">
      <c r="A14" s="6" t="inlineStr">
        <is>
          <t>Equity instruments (held for trading)</t>
        </is>
      </c>
      <c r="B14" s="6" t="n"/>
      <c r="C14" s="6" t="n"/>
      <c r="D14" s="6" t="n"/>
      <c r="E14" s="6" t="n"/>
      <c r="F14" s="6" t="n"/>
      <c r="G14" s="6" t="n"/>
      <c r="H14" s="6" t="n"/>
      <c r="I14" s="6" t="n"/>
      <c r="J14" s="6" t="n"/>
      <c r="K14" s="6" t="n">
        <v>8.699999999999999</v>
      </c>
      <c r="L14" s="6" t="n"/>
      <c r="M14" s="6" t="n"/>
    </row>
    <row r="15">
      <c r="A15" s="6" t="inlineStr">
        <is>
          <t>Debt securities at fair value through other comprehensive income / Available-for-sale financial assets</t>
        </is>
      </c>
      <c r="B15" s="6" t="n">
        <v>440.2</v>
      </c>
      <c r="C15" s="6" t="n">
        <v>328.6</v>
      </c>
      <c r="D15" s="6" t="n">
        <v>356.6</v>
      </c>
      <c r="E15" s="6" t="n">
        <v>509.5</v>
      </c>
      <c r="F15" s="6" t="n">
        <v>1069</v>
      </c>
      <c r="G15" s="6" t="n">
        <v>1496.9</v>
      </c>
      <c r="H15" s="6" t="n">
        <v>1587.4</v>
      </c>
      <c r="I15" s="6" t="n">
        <v>2387.8</v>
      </c>
      <c r="J15" s="6" t="n">
        <v>2123.3</v>
      </c>
      <c r="K15" s="6" t="n">
        <v>2103.5</v>
      </c>
      <c r="L15" s="6" t="n">
        <v>1262.8</v>
      </c>
      <c r="M15" s="6" t="n">
        <v>339.7</v>
      </c>
    </row>
    <row r="16">
      <c r="A16" s="6" t="inlineStr">
        <is>
          <t>Derivative financial assets not in hedge accounting relationships</t>
        </is>
      </c>
      <c r="B16" s="6" t="n">
        <v>362.4</v>
      </c>
      <c r="C16" s="6" t="n">
        <v>667.6</v>
      </c>
      <c r="D16" s="6" t="n">
        <v>822.9</v>
      </c>
      <c r="E16" s="6" t="n">
        <v>1158.7</v>
      </c>
      <c r="F16" s="6" t="n">
        <v>168.4</v>
      </c>
      <c r="G16" s="6" t="n">
        <v>198.3</v>
      </c>
      <c r="H16" s="6" t="n">
        <v>111.5</v>
      </c>
      <c r="I16" s="6" t="n">
        <v>88.40000000000001</v>
      </c>
      <c r="J16" s="6" t="n">
        <v>111.1</v>
      </c>
      <c r="K16" s="6" t="n">
        <v>143.2</v>
      </c>
      <c r="L16" s="6" t="n"/>
      <c r="M16" s="6" t="n"/>
    </row>
    <row r="17">
      <c r="A17" s="6" t="inlineStr">
        <is>
          <t>Hedging derivative financial assets</t>
        </is>
      </c>
      <c r="B17" s="6" t="n">
        <v>1149.2</v>
      </c>
      <c r="C17" s="6" t="n">
        <v>1274.3</v>
      </c>
      <c r="D17" s="6" t="n">
        <v>1346.9</v>
      </c>
      <c r="E17" s="6" t="n">
        <v>1565.9</v>
      </c>
      <c r="F17" s="6" t="n">
        <v>244.5</v>
      </c>
      <c r="G17" s="6" t="n">
        <v>139.9</v>
      </c>
      <c r="H17" s="6" t="n">
        <v>93.40000000000001</v>
      </c>
      <c r="I17" s="6" t="n">
        <v>106.6</v>
      </c>
      <c r="J17" s="6" t="n">
        <v>103.7</v>
      </c>
      <c r="K17" s="6" t="n">
        <v>104.3</v>
      </c>
      <c r="L17" s="6" t="n"/>
      <c r="M17" s="6" t="n"/>
    </row>
    <row r="18">
      <c r="A18" s="6" t="inlineStr">
        <is>
          <t>Derivative financial assets (combined, pre-FY2016 presentation)</t>
        </is>
      </c>
      <c r="B18" s="6" t="n"/>
      <c r="C18" s="6" t="n"/>
      <c r="D18" s="6" t="n"/>
      <c r="E18" s="6" t="n"/>
      <c r="F18" s="6" t="n"/>
      <c r="G18" s="6" t="n"/>
      <c r="H18" s="6" t="n"/>
      <c r="I18" s="6" t="n"/>
      <c r="J18" s="6" t="n"/>
      <c r="K18" s="6" t="n"/>
      <c r="L18" s="6" t="n">
        <v>90.5</v>
      </c>
      <c r="M18" s="6" t="n">
        <v>123.1</v>
      </c>
    </row>
    <row r="19">
      <c r="A19" s="6" t="inlineStr">
        <is>
          <t>Fair value adjustments for portfolio hedged risk</t>
        </is>
      </c>
      <c r="B19" s="6" t="n">
        <v>4.5</v>
      </c>
      <c r="C19" s="6" t="n">
        <v>-170.9</v>
      </c>
      <c r="D19" s="6" t="n">
        <v>-154.9</v>
      </c>
      <c r="E19" s="6" t="n">
        <v>-542.8</v>
      </c>
      <c r="F19" s="6" t="n">
        <v>-109.3</v>
      </c>
      <c r="G19" s="6" t="n">
        <v>80.2</v>
      </c>
      <c r="H19" s="6" t="n">
        <v>20.5</v>
      </c>
      <c r="I19" s="6" t="n">
        <v>-37.3</v>
      </c>
      <c r="J19" s="6" t="n">
        <v>-22.2</v>
      </c>
      <c r="K19" s="6" t="n">
        <v>0.8</v>
      </c>
      <c r="L19" s="6" t="n"/>
      <c r="M19" s="6" t="n"/>
    </row>
    <row r="20">
      <c r="A20" s="6" t="inlineStr">
        <is>
          <t>Property and equipment</t>
        </is>
      </c>
      <c r="B20" s="6" t="n">
        <v>215.1</v>
      </c>
      <c r="C20" s="6" t="n">
        <v>233.9</v>
      </c>
      <c r="D20" s="6" t="n">
        <v>253.5</v>
      </c>
      <c r="E20" s="6" t="n">
        <v>287.5</v>
      </c>
      <c r="F20" s="6" t="n">
        <v>300.3</v>
      </c>
      <c r="G20" s="6" t="n">
        <v>258.9</v>
      </c>
      <c r="H20" s="6" t="n">
        <v>293.2</v>
      </c>
      <c r="I20" s="6" t="n">
        <v>163.1</v>
      </c>
      <c r="J20" s="6" t="n">
        <v>172.7</v>
      </c>
      <c r="K20" s="6" t="n">
        <v>168.3</v>
      </c>
      <c r="L20" s="6" t="n">
        <v>161.1</v>
      </c>
      <c r="M20" s="6" t="n">
        <v>149.2</v>
      </c>
    </row>
    <row r="21">
      <c r="A21" s="6" t="inlineStr">
        <is>
          <t>Intangible assets</t>
        </is>
      </c>
      <c r="B21" s="6" t="n">
        <v>123.4</v>
      </c>
      <c r="C21" s="6" t="n">
        <v>109.9</v>
      </c>
      <c r="D21" s="6" t="n">
        <v>86.09999999999999</v>
      </c>
      <c r="E21" s="6" t="n">
        <v>75.59999999999999</v>
      </c>
      <c r="F21" s="6" t="n">
        <v>72.09999999999999</v>
      </c>
      <c r="G21" s="6" t="n">
        <v>49.5</v>
      </c>
      <c r="H21" s="6" t="n">
        <v>20.3</v>
      </c>
      <c r="I21" s="6" t="n">
        <v>18.4</v>
      </c>
      <c r="J21" s="6" t="n">
        <v>10.1</v>
      </c>
      <c r="K21" s="6" t="n">
        <v>2.6</v>
      </c>
      <c r="L21" s="6" t="n"/>
      <c r="M21" s="6" t="n"/>
    </row>
    <row r="22">
      <c r="A22" s="6" t="inlineStr">
        <is>
          <t>Deferred tax asset</t>
        </is>
      </c>
      <c r="B22" s="6" t="n">
        <v>6.1</v>
      </c>
      <c r="C22" s="6" t="n">
        <v>8.1</v>
      </c>
      <c r="D22" s="6" t="n">
        <v>43.2</v>
      </c>
      <c r="E22" s="6" t="n">
        <v>64.5</v>
      </c>
      <c r="F22" s="6" t="n">
        <v>122.6</v>
      </c>
      <c r="G22" s="6" t="n">
        <v>144.5</v>
      </c>
      <c r="H22" s="6" t="n">
        <v>96.09999999999999</v>
      </c>
      <c r="I22" s="6" t="n">
        <v>113</v>
      </c>
      <c r="J22" s="6" t="n">
        <v>68.59999999999999</v>
      </c>
      <c r="K22" s="6" t="n">
        <v>99.59999999999999</v>
      </c>
      <c r="L22" s="6" t="n">
        <v>121.1</v>
      </c>
      <c r="M22" s="6" t="n">
        <v>108.1</v>
      </c>
    </row>
    <row r="23">
      <c r="A23" s="6" t="inlineStr">
        <is>
          <t>Other assets</t>
        </is>
      </c>
      <c r="B23" s="6" t="n">
        <v>89.59999999999999</v>
      </c>
      <c r="C23" s="6" t="n">
        <v>102.4</v>
      </c>
      <c r="D23" s="6" t="n">
        <v>93.59999999999999</v>
      </c>
      <c r="E23" s="6" t="n">
        <v>83.59999999999999</v>
      </c>
      <c r="F23" s="6" t="n">
        <v>156</v>
      </c>
      <c r="G23" s="6" t="n">
        <v>174.6</v>
      </c>
      <c r="H23" s="6" t="n">
        <v>146.3</v>
      </c>
      <c r="I23" s="6" t="n">
        <v>197.1</v>
      </c>
      <c r="J23" s="6" t="n">
        <v>269.3</v>
      </c>
      <c r="K23" s="6" t="n">
        <v>685.7</v>
      </c>
      <c r="L23" s="6" t="n">
        <v>330</v>
      </c>
      <c r="M23" s="6" t="n">
        <v>143.4</v>
      </c>
    </row>
    <row r="24">
      <c r="A24" s="5" t="inlineStr">
        <is>
          <t>Total assets</t>
        </is>
      </c>
      <c r="B24" s="5" t="n">
        <v>45281.5</v>
      </c>
      <c r="C24" s="5" t="n">
        <v>46099.1</v>
      </c>
      <c r="D24" s="5" t="n">
        <v>47652.9</v>
      </c>
      <c r="E24" s="5" t="n">
        <v>49449.6</v>
      </c>
      <c r="F24" s="5" t="n">
        <v>46705.6</v>
      </c>
      <c r="G24" s="5" t="n">
        <v>42422.4</v>
      </c>
      <c r="H24" s="5" t="n">
        <v>39535.9</v>
      </c>
      <c r="I24" s="5" t="n">
        <v>41138.6</v>
      </c>
      <c r="J24" s="5" t="n">
        <v>42536.7</v>
      </c>
      <c r="K24" s="5" t="n">
        <v>37195.7</v>
      </c>
      <c r="L24" s="5" t="n">
        <v>31618</v>
      </c>
      <c r="M24" s="5" t="n">
        <v>27171.4</v>
      </c>
    </row>
    <row r="25">
      <c r="A25" s="5" t="inlineStr">
        <is>
          <t>Liabilities</t>
        </is>
      </c>
      <c r="B25" s="6" t="n"/>
      <c r="C25" s="6" t="n"/>
      <c r="D25" s="6" t="n"/>
      <c r="E25" s="6" t="n"/>
      <c r="F25" s="6" t="n"/>
      <c r="G25" s="6" t="n"/>
      <c r="H25" s="6" t="n"/>
      <c r="I25" s="6" t="n"/>
      <c r="J25" s="6" t="n"/>
      <c r="K25" s="6" t="n"/>
      <c r="L25" s="6" t="n"/>
      <c r="M25" s="6" t="n"/>
    </row>
    <row r="26">
      <c r="A26" s="6" t="inlineStr">
        <is>
          <t>Customer deposits</t>
        </is>
      </c>
      <c r="B26" s="6" t="n">
        <v>35209</v>
      </c>
      <c r="C26" s="6" t="n">
        <v>35051.2</v>
      </c>
      <c r="D26" s="6" t="n">
        <v>34764.3</v>
      </c>
      <c r="E26" s="6" t="n">
        <v>36338.2</v>
      </c>
      <c r="F26" s="6" t="n">
        <v>35951.9</v>
      </c>
      <c r="G26" s="6" t="n">
        <v>34375.3</v>
      </c>
      <c r="H26" s="6" t="n">
        <v>30182.4</v>
      </c>
      <c r="I26" s="6" t="n">
        <v>29084.3</v>
      </c>
      <c r="J26" s="6" t="n">
        <v>30520.6</v>
      </c>
      <c r="K26" s="6" t="n">
        <v>29383.8</v>
      </c>
      <c r="L26" s="6" t="n">
        <v>25915.7</v>
      </c>
      <c r="M26" s="6" t="n">
        <v>24624.9</v>
      </c>
    </row>
    <row r="27">
      <c r="A27" s="6" t="inlineStr">
        <is>
          <t>Borrowings from central banks</t>
        </is>
      </c>
      <c r="B27" s="6" t="n">
        <v>598.9</v>
      </c>
      <c r="C27" s="6" t="n">
        <v>1406.9</v>
      </c>
      <c r="D27" s="6" t="n">
        <v>4057.9</v>
      </c>
      <c r="E27" s="6" t="n">
        <v>5538.3</v>
      </c>
      <c r="F27" s="6" t="n">
        <v>5501.6</v>
      </c>
      <c r="G27" s="6" t="n">
        <v>3065.8</v>
      </c>
      <c r="H27" s="6" t="n">
        <v>4483.5</v>
      </c>
      <c r="I27" s="6" t="n">
        <v>6482.2</v>
      </c>
      <c r="J27" s="6" t="n">
        <v>5625.7</v>
      </c>
      <c r="K27" s="6" t="n"/>
      <c r="L27" s="6" t="n"/>
      <c r="M27" s="6" t="n"/>
    </row>
    <row r="28">
      <c r="A28" s="6" t="inlineStr">
        <is>
          <t>Deposits from credit institutions</t>
        </is>
      </c>
      <c r="B28" s="6" t="n"/>
      <c r="C28" s="6" t="n"/>
      <c r="D28" s="6" t="n"/>
      <c r="E28" s="6" t="n"/>
      <c r="F28" s="6" t="n"/>
      <c r="G28" s="6" t="n"/>
      <c r="H28" s="6" t="n"/>
      <c r="I28" s="6" t="n">
        <v>3.4</v>
      </c>
      <c r="J28" s="6" t="n"/>
      <c r="K28" s="6" t="n">
        <v>49.6</v>
      </c>
      <c r="L28" s="6" t="n">
        <v>0.8</v>
      </c>
      <c r="M28" s="6" t="n">
        <v>32.5</v>
      </c>
    </row>
    <row r="29">
      <c r="A29" s="6" t="inlineStr">
        <is>
          <t>Debt securities in issue</t>
        </is>
      </c>
      <c r="B29" s="6" t="n">
        <v>4869.3</v>
      </c>
      <c r="C29" s="6" t="n">
        <v>4583.2</v>
      </c>
      <c r="D29" s="6" t="n">
        <v>3664.1</v>
      </c>
      <c r="E29" s="6" t="n">
        <v>1955.5</v>
      </c>
      <c r="F29" s="6" t="n">
        <v>2199.1</v>
      </c>
      <c r="G29" s="6" t="n">
        <v>1699.2</v>
      </c>
      <c r="H29" s="6" t="n">
        <v>1676.3</v>
      </c>
      <c r="I29" s="6" t="n">
        <v>1122.6</v>
      </c>
      <c r="J29" s="6" t="n">
        <v>1318.7</v>
      </c>
      <c r="K29" s="6" t="n">
        <v>2940.1</v>
      </c>
      <c r="L29" s="6" t="n">
        <v>2899.6</v>
      </c>
      <c r="M29" s="6" t="n">
        <v>10</v>
      </c>
    </row>
    <row r="30">
      <c r="A30" s="6" t="inlineStr">
        <is>
          <t>Repurchase agreements</t>
        </is>
      </c>
      <c r="B30" s="6" t="n"/>
      <c r="C30" s="6" t="n"/>
      <c r="D30" s="6" t="n">
        <v>0</v>
      </c>
      <c r="E30" s="6" t="n">
        <v>360</v>
      </c>
      <c r="F30" s="6" t="n"/>
      <c r="G30" s="6" t="n"/>
      <c r="H30" s="6" t="n"/>
      <c r="I30" s="6" t="n">
        <v>1084.8</v>
      </c>
      <c r="J30" s="6" t="n">
        <v>1446.4</v>
      </c>
      <c r="K30" s="6" t="n">
        <v>1409.6</v>
      </c>
      <c r="L30" s="6" t="n"/>
      <c r="M30" s="6" t="n"/>
    </row>
    <row r="31">
      <c r="A31" s="6" t="inlineStr">
        <is>
          <t>Subordinated liabilities</t>
        </is>
      </c>
      <c r="B31" s="6" t="n">
        <v>297.8</v>
      </c>
      <c r="C31" s="6" t="n">
        <v>285.9</v>
      </c>
      <c r="D31" s="6" t="n">
        <v>277.7</v>
      </c>
      <c r="E31" s="6" t="n">
        <v>265.4</v>
      </c>
      <c r="F31" s="6" t="n">
        <v>291.8</v>
      </c>
      <c r="G31" s="6" t="n">
        <v>391.3</v>
      </c>
      <c r="H31" s="6" t="n">
        <v>395.9</v>
      </c>
      <c r="I31" s="6" t="n">
        <v>398.2</v>
      </c>
      <c r="J31" s="6" t="n">
        <v>405.3</v>
      </c>
      <c r="K31" s="6" t="n">
        <v>413.3</v>
      </c>
      <c r="L31" s="6" t="n">
        <v>402.1</v>
      </c>
      <c r="M31" s="6" t="n">
        <v>405.5</v>
      </c>
    </row>
    <row r="32">
      <c r="A32" s="6" t="inlineStr">
        <is>
          <t>Lease liabilities</t>
        </is>
      </c>
      <c r="B32" s="6" t="n">
        <v>107.8</v>
      </c>
      <c r="C32" s="6" t="n">
        <v>120.7</v>
      </c>
      <c r="D32" s="6" t="n">
        <v>125</v>
      </c>
      <c r="E32" s="6" t="n">
        <v>145.9</v>
      </c>
      <c r="F32" s="6" t="n">
        <v>163.5</v>
      </c>
      <c r="G32" s="6" t="n">
        <v>123.3</v>
      </c>
      <c r="H32" s="6" t="n"/>
      <c r="I32" s="6" t="n"/>
      <c r="J32" s="6" t="n"/>
      <c r="K32" s="6" t="n"/>
      <c r="L32" s="6" t="n"/>
      <c r="M32" s="6" t="n"/>
    </row>
    <row r="33">
      <c r="A33" s="6" t="inlineStr">
        <is>
          <t>Items in course of transmission to banks</t>
        </is>
      </c>
      <c r="B33" s="6" t="n"/>
      <c r="C33" s="6" t="n"/>
      <c r="D33" s="6" t="n"/>
      <c r="E33" s="6" t="n"/>
      <c r="F33" s="6" t="n"/>
      <c r="G33" s="6" t="n"/>
      <c r="H33" s="6" t="n"/>
      <c r="I33" s="6" t="n"/>
      <c r="J33" s="6" t="n"/>
      <c r="K33" s="6" t="n">
        <v>176.1</v>
      </c>
      <c r="L33" s="6" t="n">
        <v>152.3</v>
      </c>
      <c r="M33" s="6" t="n">
        <v>144.6</v>
      </c>
    </row>
    <row r="34">
      <c r="A34" s="6" t="inlineStr">
        <is>
          <t>Other financial liabilities</t>
        </is>
      </c>
      <c r="B34" s="6" t="n">
        <v>1080.6</v>
      </c>
      <c r="C34" s="6" t="n">
        <v>1184.6</v>
      </c>
      <c r="D34" s="6" t="n">
        <v>1222.4</v>
      </c>
      <c r="E34" s="6" t="n">
        <v>1320.1</v>
      </c>
      <c r="F34" s="6" t="n">
        <v>193.6</v>
      </c>
      <c r="G34" s="6" t="n">
        <v>51.6</v>
      </c>
      <c r="H34" s="6" t="n">
        <v>80.7</v>
      </c>
      <c r="I34" s="6" t="n">
        <v>66.40000000000001</v>
      </c>
      <c r="J34" s="6" t="n">
        <v>247.3</v>
      </c>
      <c r="K34" s="6" t="n"/>
      <c r="L34" s="6" t="n"/>
      <c r="M34" s="6" t="n"/>
    </row>
    <row r="35">
      <c r="A35" s="6" t="inlineStr">
        <is>
          <t>Derivative financial liabilities not in hedge accounting relationships</t>
        </is>
      </c>
      <c r="B35" s="6" t="n">
        <v>456.7</v>
      </c>
      <c r="C35" s="6" t="n">
        <v>824.2</v>
      </c>
      <c r="D35" s="6" t="n">
        <v>982.1</v>
      </c>
      <c r="E35" s="6" t="n">
        <v>1252.4</v>
      </c>
      <c r="F35" s="6" t="n">
        <v>156.5</v>
      </c>
      <c r="G35" s="6" t="n">
        <v>299.7</v>
      </c>
      <c r="H35" s="6" t="n">
        <v>127.9</v>
      </c>
      <c r="I35" s="6" t="n">
        <v>93.09999999999999</v>
      </c>
      <c r="J35" s="6" t="n">
        <v>37.5</v>
      </c>
      <c r="K35" s="6" t="n">
        <v>97.7</v>
      </c>
      <c r="L35" s="6" t="n"/>
      <c r="M35" s="6" t="n"/>
    </row>
    <row r="36">
      <c r="A36" s="6" t="inlineStr">
        <is>
          <t>Hedging derivative financial liabilities</t>
        </is>
      </c>
      <c r="B36" s="6" t="n">
        <v>99.40000000000001</v>
      </c>
      <c r="C36" s="6" t="n">
        <v>143.6</v>
      </c>
      <c r="D36" s="6" t="n">
        <v>318.7</v>
      </c>
      <c r="E36" s="6" t="n">
        <v>301.5</v>
      </c>
      <c r="F36" s="6" t="n">
        <v>136.8</v>
      </c>
      <c r="G36" s="6" t="n">
        <v>225.2</v>
      </c>
      <c r="H36" s="6" t="n">
        <v>288.5</v>
      </c>
      <c r="I36" s="6" t="n">
        <v>346</v>
      </c>
      <c r="J36" s="6" t="n">
        <v>566.5</v>
      </c>
      <c r="K36" s="6" t="n">
        <v>529.1</v>
      </c>
      <c r="L36" s="6" t="n"/>
      <c r="M36" s="6" t="n"/>
    </row>
    <row r="37">
      <c r="A37" s="6" t="inlineStr">
        <is>
          <t>Derivative financial liabilities (combined, pre-FY2016 presentation)</t>
        </is>
      </c>
      <c r="B37" s="6" t="n"/>
      <c r="C37" s="6" t="n"/>
      <c r="D37" s="6" t="n"/>
      <c r="E37" s="6" t="n"/>
      <c r="F37" s="6" t="n"/>
      <c r="G37" s="6" t="n"/>
      <c r="H37" s="6" t="n"/>
      <c r="I37" s="6" t="n"/>
      <c r="J37" s="6" t="n"/>
      <c r="K37" s="6" t="n"/>
      <c r="L37" s="6" t="n">
        <v>283.3</v>
      </c>
      <c r="M37" s="6" t="n">
        <v>116.7</v>
      </c>
    </row>
    <row r="38">
      <c r="A38" s="6" t="inlineStr">
        <is>
          <t>Fair value adjustments for portfolio hedged risk</t>
        </is>
      </c>
      <c r="B38" s="6" t="n">
        <v>12.3</v>
      </c>
      <c r="C38" s="6" t="n">
        <v>-134.7</v>
      </c>
      <c r="D38" s="6" t="n">
        <v>-85.5</v>
      </c>
      <c r="E38" s="6" t="n">
        <v>-321.3</v>
      </c>
      <c r="F38" s="6" t="n">
        <v>-63.6</v>
      </c>
      <c r="G38" s="6" t="n">
        <v>117</v>
      </c>
      <c r="H38" s="6" t="n">
        <v>52.2</v>
      </c>
      <c r="I38" s="6" t="n">
        <v>19.4</v>
      </c>
      <c r="J38" s="6" t="n">
        <v>42.2</v>
      </c>
      <c r="K38" s="6" t="n">
        <v>70.7</v>
      </c>
      <c r="L38" s="6" t="n"/>
      <c r="M38" s="6" t="n"/>
    </row>
    <row r="39">
      <c r="A39" s="6" t="inlineStr">
        <is>
          <t>Provisions</t>
        </is>
      </c>
      <c r="B39" s="6" t="n">
        <v>22.2</v>
      </c>
      <c r="C39" s="6" t="n">
        <v>39.8</v>
      </c>
      <c r="D39" s="6" t="n">
        <v>75.2</v>
      </c>
      <c r="E39" s="6" t="n">
        <v>125</v>
      </c>
      <c r="F39" s="6" t="n">
        <v>110.2</v>
      </c>
      <c r="G39" s="6" t="n">
        <v>153.1</v>
      </c>
      <c r="H39" s="6" t="n">
        <v>51.8</v>
      </c>
      <c r="I39" s="6" t="n">
        <v>63.6</v>
      </c>
      <c r="J39" s="6" t="n">
        <v>34.5</v>
      </c>
      <c r="K39" s="6" t="n">
        <v>10.8</v>
      </c>
      <c r="L39" s="6" t="n"/>
      <c r="M39" s="6" t="n"/>
    </row>
    <row r="40">
      <c r="A40" s="6" t="inlineStr">
        <is>
          <t>Current tax liabilities</t>
        </is>
      </c>
      <c r="B40" s="6" t="n"/>
      <c r="C40" s="6" t="n"/>
      <c r="D40" s="6" t="n"/>
      <c r="E40" s="6" t="n"/>
      <c r="F40" s="6" t="n"/>
      <c r="G40" s="6" t="n"/>
      <c r="H40" s="6" t="n"/>
      <c r="I40" s="6" t="n"/>
      <c r="J40" s="6" t="n">
        <v>6.9</v>
      </c>
      <c r="K40" s="6" t="n">
        <v>14.7</v>
      </c>
      <c r="L40" s="6" t="n"/>
      <c r="M40" s="6" t="n"/>
    </row>
    <row r="41">
      <c r="A41" s="6" t="inlineStr">
        <is>
          <t>Other liabilities</t>
        </is>
      </c>
      <c r="B41" s="6" t="n">
        <v>189.5</v>
      </c>
      <c r="C41" s="6" t="n">
        <v>473</v>
      </c>
      <c r="D41" s="6" t="n">
        <v>296.4</v>
      </c>
      <c r="E41" s="6" t="n">
        <v>238.8</v>
      </c>
      <c r="F41" s="6" t="n">
        <v>197.8</v>
      </c>
      <c r="G41" s="6" t="n">
        <v>196</v>
      </c>
      <c r="H41" s="6" t="n">
        <v>154.1</v>
      </c>
      <c r="I41" s="6" t="n">
        <v>495.7</v>
      </c>
      <c r="J41" s="6" t="n">
        <v>278.5</v>
      </c>
      <c r="K41" s="6" t="n">
        <v>246</v>
      </c>
      <c r="L41" s="6" t="n">
        <v>217.9</v>
      </c>
      <c r="M41" s="6" t="n">
        <v>202.8</v>
      </c>
    </row>
    <row r="42">
      <c r="A42" s="5" t="inlineStr">
        <is>
          <t>Total liabilities</t>
        </is>
      </c>
      <c r="B42" s="5" t="n">
        <v>42943.5</v>
      </c>
      <c r="C42" s="5" t="n">
        <v>43978.4</v>
      </c>
      <c r="D42" s="5" t="n">
        <v>45698.3</v>
      </c>
      <c r="E42" s="5" t="n">
        <v>47519.8</v>
      </c>
      <c r="F42" s="5" t="n">
        <v>44839.2</v>
      </c>
      <c r="G42" s="5" t="n">
        <v>40697.5</v>
      </c>
      <c r="H42" s="5" t="n">
        <v>37635.1</v>
      </c>
      <c r="I42" s="5" t="n">
        <v>39259.7</v>
      </c>
      <c r="J42" s="5" t="n">
        <v>40530.1</v>
      </c>
      <c r="K42" s="5" t="n">
        <v>35330.7</v>
      </c>
      <c r="L42" s="5" t="n">
        <v>29871.7</v>
      </c>
      <c r="M42" s="5" t="n">
        <v>25537</v>
      </c>
    </row>
    <row r="43">
      <c r="A43" s="5" t="inlineStr">
        <is>
          <t>Equity</t>
        </is>
      </c>
      <c r="B43" s="6" t="n"/>
      <c r="C43" s="6" t="n"/>
      <c r="D43" s="6" t="n"/>
      <c r="E43" s="6" t="n"/>
      <c r="F43" s="6" t="n"/>
      <c r="G43" s="6" t="n"/>
      <c r="H43" s="6" t="n"/>
      <c r="I43" s="6" t="n"/>
      <c r="J43" s="6" t="n"/>
      <c r="K43" s="6" t="n"/>
      <c r="L43" s="6" t="n"/>
      <c r="M43" s="6" t="n"/>
    </row>
    <row r="44">
      <c r="A44" s="6" t="inlineStr">
        <is>
          <t>Share capital</t>
        </is>
      </c>
      <c r="B44" s="6" t="n">
        <v>79.40000000000001</v>
      </c>
      <c r="C44" s="6" t="n">
        <v>79.40000000000001</v>
      </c>
      <c r="D44" s="6" t="n">
        <v>79.40000000000001</v>
      </c>
      <c r="E44" s="6" t="n">
        <v>79.40000000000001</v>
      </c>
      <c r="F44" s="6" t="n">
        <v>79.40000000000001</v>
      </c>
      <c r="G44" s="6" t="n">
        <v>79.40000000000001</v>
      </c>
      <c r="H44" s="6" t="n">
        <v>79.40000000000001</v>
      </c>
      <c r="I44" s="6" t="n">
        <v>79.40000000000001</v>
      </c>
      <c r="J44" s="6" t="n">
        <v>79.40000000000001</v>
      </c>
      <c r="K44" s="6" t="n">
        <v>5</v>
      </c>
      <c r="L44" s="6" t="n">
        <v>5</v>
      </c>
      <c r="M44" s="6" t="n">
        <v>5</v>
      </c>
    </row>
    <row r="45">
      <c r="A45" s="6" t="inlineStr">
        <is>
          <t>Share premium</t>
        </is>
      </c>
      <c r="B45" s="6" t="n">
        <v>195.6</v>
      </c>
      <c r="C45" s="6" t="n">
        <v>195.6</v>
      </c>
      <c r="D45" s="6" t="n">
        <v>195.6</v>
      </c>
      <c r="E45" s="6" t="n">
        <v>195.6</v>
      </c>
      <c r="F45" s="6" t="n">
        <v>195.6</v>
      </c>
      <c r="G45" s="6" t="n">
        <v>195.6</v>
      </c>
      <c r="H45" s="6" t="n">
        <v>195.6</v>
      </c>
      <c r="I45" s="6" t="n">
        <v>195.6</v>
      </c>
      <c r="J45" s="6" t="n">
        <v>195.6</v>
      </c>
      <c r="K45" s="6" t="n">
        <v>965.1</v>
      </c>
      <c r="L45" s="6" t="n">
        <v>965.1</v>
      </c>
      <c r="M45" s="6" t="n">
        <v>965.1</v>
      </c>
    </row>
    <row r="46">
      <c r="A46" s="6" t="inlineStr">
        <is>
          <t>Other equity instruments</t>
        </is>
      </c>
      <c r="B46" s="6" t="n">
        <v>250</v>
      </c>
      <c r="C46" s="6" t="n">
        <v>250</v>
      </c>
      <c r="D46" s="6" t="n"/>
      <c r="E46" s="6" t="n"/>
      <c r="F46" s="6" t="n"/>
      <c r="G46" s="6" t="n"/>
      <c r="H46" s="6" t="n"/>
      <c r="I46" s="6" t="n"/>
      <c r="J46" s="6" t="n"/>
      <c r="K46" s="6" t="n"/>
      <c r="L46" s="6" t="n"/>
      <c r="M46" s="6" t="n"/>
    </row>
    <row r="47">
      <c r="A47" s="6" t="inlineStr">
        <is>
          <t>Merger reserve / Other reserves</t>
        </is>
      </c>
      <c r="B47" s="6" t="n">
        <v>412.8</v>
      </c>
      <c r="C47" s="6" t="n">
        <v>412.8</v>
      </c>
      <c r="D47" s="6" t="n">
        <v>412.8</v>
      </c>
      <c r="E47" s="6" t="n">
        <v>412.8</v>
      </c>
      <c r="F47" s="6" t="n">
        <v>412.8</v>
      </c>
      <c r="G47" s="6" t="n">
        <v>412.8</v>
      </c>
      <c r="H47" s="6" t="n">
        <v>412.8</v>
      </c>
      <c r="I47" s="6" t="n">
        <v>412.8</v>
      </c>
      <c r="J47" s="6" t="n">
        <v>412.8</v>
      </c>
      <c r="K47" s="6" t="n">
        <v>616.5</v>
      </c>
      <c r="L47" s="6" t="n">
        <v>616.5</v>
      </c>
      <c r="M47" s="6" t="n">
        <v>616.5</v>
      </c>
    </row>
    <row r="48">
      <c r="A48" s="6" t="inlineStr">
        <is>
          <t>Capital reorganisation reserve</t>
        </is>
      </c>
      <c r="B48" s="6" t="n"/>
      <c r="C48" s="6" t="n"/>
      <c r="D48" s="6" t="n"/>
      <c r="E48" s="6" t="n"/>
      <c r="F48" s="6" t="n"/>
      <c r="G48" s="6" t="n"/>
      <c r="H48" s="6" t="n"/>
      <c r="I48" s="6" t="n"/>
      <c r="J48" s="6" t="n"/>
      <c r="K48" s="6" t="n">
        <v>-1311.6</v>
      </c>
      <c r="L48" s="6" t="n">
        <v>-1311.6</v>
      </c>
      <c r="M48" s="6" t="n">
        <v>-1311.6</v>
      </c>
    </row>
    <row r="49">
      <c r="A49" s="6" t="inlineStr">
        <is>
          <t>Capital reserve</t>
        </is>
      </c>
      <c r="B49" s="6" t="n"/>
      <c r="C49" s="6" t="n"/>
      <c r="D49" s="6" t="n"/>
      <c r="E49" s="6" t="n"/>
      <c r="F49" s="6" t="n"/>
      <c r="G49" s="6" t="n"/>
      <c r="H49" s="6" t="n"/>
      <c r="I49" s="6" t="n"/>
      <c r="J49" s="6" t="n"/>
      <c r="K49" s="6" t="n">
        <v>410</v>
      </c>
      <c r="L49" s="6" t="n">
        <v>410</v>
      </c>
      <c r="M49" s="6" t="n">
        <v>410</v>
      </c>
    </row>
    <row r="50">
      <c r="A50" s="6" t="inlineStr">
        <is>
          <t>Retained profits</t>
        </is>
      </c>
      <c r="B50" s="6" t="n">
        <v>1398.4</v>
      </c>
      <c r="C50" s="6" t="n">
        <v>1164.9</v>
      </c>
      <c r="D50" s="6" t="n">
        <v>1261.1</v>
      </c>
      <c r="E50" s="6" t="n">
        <v>1207.7</v>
      </c>
      <c r="F50" s="6" t="n">
        <v>1174.1</v>
      </c>
      <c r="G50" s="6" t="n">
        <v>1045.7</v>
      </c>
      <c r="H50" s="6" t="n">
        <v>1201.9</v>
      </c>
      <c r="I50" s="6" t="n">
        <v>1175.7</v>
      </c>
      <c r="J50" s="6" t="n">
        <v>1300.6</v>
      </c>
      <c r="K50" s="6" t="n">
        <v>1173.7</v>
      </c>
      <c r="L50" s="6" t="n">
        <v>1045.9</v>
      </c>
      <c r="M50" s="6" t="n">
        <v>949</v>
      </c>
    </row>
    <row r="51">
      <c r="A51" s="6" t="inlineStr">
        <is>
          <t>Fair value reserve / Available-for-sale reserve</t>
        </is>
      </c>
      <c r="B51" s="6" t="n">
        <v>-6.2</v>
      </c>
      <c r="C51" s="6" t="n">
        <v>-8</v>
      </c>
      <c r="D51" s="6" t="n">
        <v>-6.5</v>
      </c>
      <c r="E51" s="6" t="n">
        <v>-6.1</v>
      </c>
      <c r="F51" s="6" t="n">
        <v>11.1</v>
      </c>
      <c r="G51" s="6" t="n">
        <v>11.6</v>
      </c>
      <c r="H51" s="6" t="n">
        <v>13.6</v>
      </c>
      <c r="I51" s="6" t="n">
        <v>18.6</v>
      </c>
      <c r="J51" s="6" t="n">
        <v>18.7</v>
      </c>
      <c r="K51" s="6" t="n">
        <v>5.9</v>
      </c>
      <c r="L51" s="6" t="n">
        <v>16.3</v>
      </c>
      <c r="M51" s="6" t="n">
        <v>0.4</v>
      </c>
    </row>
    <row r="52">
      <c r="A52" s="6" t="inlineStr">
        <is>
          <t>Cash flow hedging reserve</t>
        </is>
      </c>
      <c r="B52" s="6" t="n">
        <v>8</v>
      </c>
      <c r="C52" s="6" t="n">
        <v>26</v>
      </c>
      <c r="D52" s="6" t="n">
        <v>12.2</v>
      </c>
      <c r="E52" s="6" t="n">
        <v>40.4</v>
      </c>
      <c r="F52" s="6" t="n">
        <v>-6.6</v>
      </c>
      <c r="G52" s="6" t="n">
        <v>-20.2</v>
      </c>
      <c r="H52" s="6" t="n">
        <v>-2.5</v>
      </c>
      <c r="I52" s="6" t="n">
        <v>-3.2</v>
      </c>
      <c r="J52" s="6" t="n">
        <v>-0.5</v>
      </c>
      <c r="K52" s="6" t="n">
        <v>0.4</v>
      </c>
      <c r="L52" s="6" t="n">
        <v>-0.9</v>
      </c>
      <c r="M52" s="6" t="n"/>
    </row>
    <row r="53">
      <c r="A53" s="5" t="inlineStr">
        <is>
          <t>Total equity</t>
        </is>
      </c>
      <c r="B53" s="5" t="n">
        <v>2338</v>
      </c>
      <c r="C53" s="5" t="n">
        <v>2120.7</v>
      </c>
      <c r="D53" s="5" t="n">
        <v>1954.6</v>
      </c>
      <c r="E53" s="5" t="n">
        <v>1929.8</v>
      </c>
      <c r="F53" s="5" t="n">
        <v>1866.4</v>
      </c>
      <c r="G53" s="5" t="n">
        <v>1724.9</v>
      </c>
      <c r="H53" s="5" t="n">
        <v>1900.8</v>
      </c>
      <c r="I53" s="5" t="n">
        <v>1878.9</v>
      </c>
      <c r="J53" s="5" t="n">
        <v>2006.6</v>
      </c>
      <c r="K53" s="5" t="n">
        <v>1865</v>
      </c>
      <c r="L53" s="5" t="n">
        <v>1746.3</v>
      </c>
      <c r="M53" s="5" t="n">
        <v>1634.4</v>
      </c>
    </row>
    <row r="54">
      <c r="A54" s="5" t="inlineStr">
        <is>
          <t>Total equity and liabilities</t>
        </is>
      </c>
      <c r="B54" s="5" t="n">
        <v>45281.5</v>
      </c>
      <c r="C54" s="5" t="n">
        <v>46099.1</v>
      </c>
      <c r="D54" s="5" t="n">
        <v>47652.9</v>
      </c>
      <c r="E54" s="5" t="n">
        <v>49449.6</v>
      </c>
      <c r="F54" s="5" t="n">
        <v>46705.6</v>
      </c>
      <c r="G54" s="5" t="n">
        <v>42422.4</v>
      </c>
      <c r="H54" s="5" t="n">
        <v>39535.9</v>
      </c>
      <c r="I54" s="5" t="n">
        <v>41138.6</v>
      </c>
      <c r="J54" s="5" t="n">
        <v>42536.7</v>
      </c>
      <c r="K54" s="5" t="n">
        <v>37195.7</v>
      </c>
      <c r="L54" s="5" t="n">
        <v>31618</v>
      </c>
      <c r="M54" s="5" t="n">
        <v>27171.4</v>
      </c>
    </row>
    <row r="56" ht="377" customHeight="1">
      <c r="A56" s="8" t="inlineStr">
        <is>
          <t>Sources - TSB Bank plc / TSB Banking Group plc, Bank (Consolidated) basis, £ million (see entity note below for the FY2014-FY2016 vs FY2017 onward entity change):
FY2025 &amp; FY2024: TSB Bank plc Annual Report and Accounts 2025, p.46 (Balance sheets), p.47 (Consolidated statement of comprehensive income), p.48 (Statements of changes in equity) - https://www.tsb.co.uk/content/dam/tsb-public/documents/investors/financial-results-and-reports/2025/TSB-Bank-ARA-2025.pdf
FY2023 &amp; FY2022: TSB Bank plc Annual Report and Accounts 2023, p.30 (Balance sheets), p.31 (Consolidated statement of comprehensive income), p.32 (Statements of changes in equity) - https://www.tsb.co.uk/content/dam/tsb-public/documents/investors/financial-results-and-reports/2023/TSB-Bank-2023.pdf
FY2021: TSB Bank plc Annual Report and Accounts 2021, p.26 (Balance sheets), p.27 (Consolidated statement of comprehensive income), p.28 (Statements of changes in equity); FY2021's closing equity ties exactly to AR2023's own 'Balance at 1 January 2022' comparative - https://www.tsb.co.uk/content/dam/tsb-public/documents/investors/financial-results-and-reports/2021/tsb-bank-ara-2021.pdf
FY2020 &amp; FY2019: TSB Bank plc Annual Report and Accounts 2020, p.25 (Balance sheets), p.26 (Consolidated statement of comprehensive income), p.27 (Statements of changes in equity) - https://www.tsb.co.uk/content/dam/tsb-public/documents/investors/financial-results-and-reports/2020/tsb-bank-ara-2020.pdf
FY2018 &amp; FY2017: TSB Bank plc Annual Report and Accounts 2018, p.26 (Balance sheets), p.27 (Consolidated statement of comprehensive income), p.28 (Statements of changes in equity); FY2017's closing equity ties exactly to TSB Bank plc Annual Report and Accounts 2017's own p.19-20 figures - https://www.tsb.co.uk/content/dam/tsb-public/documents/investors/financial-results-and-reports/2018/tsb-bank-ara-2018.pdf
FY2016 &amp; FY2015: TSB Banking Group plc Annual Report and Accounts 2016, p.57 (Consolidated balance sheet), p.58 (Consolidated statement of comprehensive income), p.59 (Consolidated statement of changes in equity) - https://www.tsb.co.uk/content/dam/tsb-public/documents/investors/financial-results-and-reports/2016/tsb-2016-results.pdf
FY2014: TSB Banking Group plc Annual Report and Accounts 2015, p.52 (Consolidated balance sheet), p.53 (Consolidated statement of comprehensive income), p.54 (Consolidated statement of changes in equity), FY2014 comparative columns - https://www.tsb.co.uk/content/dam/tsb-public/documents/investors/financial-results-and-reports/2015/tsb-2015-annual-report.pdf
ENTITY NOTE: TSB Bank plc (Companies House SC095237) is the entity on the PRA register; its own Annual Report and Accounts (consolidated 'Bank (Consolidated)' column used throughout) is used for the cash flow statement from FY2017 onward. TSB Banking Group plc's only direct subsidiary is TSB Bank plc, so 'TSB Banking Group plc' consolidated Pillar 3 disclosures (published under that name, as TSB is a 'large subsidiary' of Banco Sabadell for CRR Article 13 purposes) are effectively the same consolidation scope and are used for all Pillar 3 metric sheets.
ENTITY BASIS CHANGE (FY2014-FY2016): no standalone 'TSB Bank plc' entity Annual Report was published for these years, only 'TSB Banking Group plc' (the then Sabadell-owned holding company) Annual Report and Accounts. As TSB Banking Group plc's only direct subsidiary is TSB Bank plc, the underlying banking business and consolidation scope are effectively the same, but the holding company's own share capital/share premium/reserve structure differs from TSB Bank plc's (a holdco-level, not operating-entity-level, difference) - so FY2016 closing Shareholder's equity as reported by the Group (£1,865.0m) does not exactly tie to FY2016 closing equity as later restated in TSB Bank plc's own FY2017 Annual Report comparative (£1,879.6m), a genuine ~£14.6m entity-basis break at the FY2016/FY2017 boundary, not a data error. Balance Sheet/P&amp;L/Equity/Cash Flow/Asset Quality figures for FY2014-FY2016 are TSB Banking Group plc consolidated; FY2017 onward are TSB Bank plc consolidated.
CONTEXT: TSB was owned by Banco de Sabadell, S.A. (Spain) throughout FY2014-FY2025 (following the 2013 demerger from Lloyds Banking Group and TSB Banking Group plc's IPO in 2014; Sabadell acquired full control in 2015). Santander UK plc agreed to acquire TSB in July 2025 and completed the acquisition on 30 April 2026 (after this workbook's FY2025 year-end) - so all years of data here reflect the Sabadell-owned period; TSB's board ceased dividend payments to Sabadell following the announcement per TSB's FY2025 Pillar 3 disclosure.
BASEL II/CRD III CAVEAT: TSB Banking Group plc's Pillar 3 Disclosures 2014 present 31 December 2013 comparatives on both a Basel II basis and a CRD IV-restated basis (CRD IV took effect for the Group's own 31 December 2014 disclosure, its first full year of Pillar 3 reporting as a standalone entity post-demerger) - CET1/Common Equity Tier 1 terminology is already used from FY2014 onward on a CRD IV basis, so no Basel II-era terminology substitution was required for any year in this workbook.
PRESENTATION NOTE: Balance sheet - 'Loans and advances to credit institutions' is shown as a standalone line from FY2025 only; FY2021-FY2024 combine it with central bank placements as 'Loans and advances to central banks and credit institutions' (same figures reused here). 'Other equity instruments' (Additional Tier 1) first appears FY2024, following TSB's first AT1 issuance that year (see Cash Flow Statement financing activities). Income statement - FY2024/FY2025 itemise 'Gains on derecognition of financial assets/liabilities' lines that differ from FY2021-FY2023's own line items (e.g. FVOCI derecognition gains only shown FY2021-23); each year's own as-published structure is preserved rather than forced into a common format.
FY2014-FY2020 PRESENTATION NOTE: pre-IFRS 9 (FY2014-FY2017) balance sheets classify lending as 'Loans and receivables' (IAS 39) rather than 'Financial assets at amortised cost' (IFRS 9, from FY2018); equity reserve line items also change name over time ('Available-for-sale reserve' pre-IFRS 9 becomes 'Fair value reserve' from FY2018, following the reclassification recorded in the FY2018 Statement of Changes in Equity's 'Change on initial application of IFRS 9' transition row - both are shown under their as-published label for each year rather than relabelled retrospectively). TSB Banking Group plc's FY2014-FY2016 equity structure (Share capital £5.0m, Share premium £965.1m, Merger reserve £616.5m, Capital reorganisation reserve -£1,311.6m, Capital reserve £410.0m) differs from TSB Bank plc's own FY2017-2025 structure (Share capital £79.4m, Share premium £195.6m, Merger reserve £412.8m, no separate capital reorganisation/capital reserve lines) - a genuine holdco-vs-operating-entity difference, not a data error; see ENTITY NOTE above.</t>
        </is>
      </c>
    </row>
  </sheetData>
  <mergeCells count="1">
    <mergeCell ref="A56:M5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TSB Bank plc — Consolidated Statement of Comprehensive Income</t>
        </is>
      </c>
    </row>
    <row r="2">
      <c r="A2" s="2" t="inlineStr">
        <is>
          <t>Bank (Consolidated) basis, £ million. 'Total comprehensive income/(loss) for the year' ties exactly to Profit for the year + Other comprehensive income for every year.</t>
        </is>
      </c>
    </row>
    <row r="3">
      <c r="A3" s="4" t="inlineStr">
        <is>
          <t>Line item</t>
        </is>
      </c>
      <c r="B3" s="4" t="inlineStr">
        <is>
          <t>FY2025 (£m)</t>
        </is>
      </c>
      <c r="C3" s="4" t="inlineStr">
        <is>
          <t>FY2024 (£m)</t>
        </is>
      </c>
      <c r="D3" s="4" t="inlineStr">
        <is>
          <t>FY2023 (£m)</t>
        </is>
      </c>
      <c r="E3" s="4" t="inlineStr">
        <is>
          <t>FY2022 (£m)</t>
        </is>
      </c>
      <c r="F3" s="4" t="inlineStr">
        <is>
          <t>FY2021 (£m)</t>
        </is>
      </c>
      <c r="G3" s="4" t="inlineStr">
        <is>
          <t>FY2020 (£m)</t>
        </is>
      </c>
      <c r="H3" s="4" t="inlineStr">
        <is>
          <t>FY2019 (£m)</t>
        </is>
      </c>
      <c r="I3" s="4" t="inlineStr">
        <is>
          <t>FY2018 (£m)</t>
        </is>
      </c>
      <c r="J3" s="4" t="inlineStr">
        <is>
          <t>FY2017 (£m)</t>
        </is>
      </c>
      <c r="K3" s="4" t="inlineStr">
        <is>
          <t>FY2016 (£m)</t>
        </is>
      </c>
      <c r="L3" s="4" t="inlineStr">
        <is>
          <t>FY2015 (£m)</t>
        </is>
      </c>
      <c r="M3" s="4" t="inlineStr">
        <is>
          <t>FY2014 (£m)</t>
        </is>
      </c>
    </row>
    <row r="4">
      <c r="A4" s="5" t="inlineStr">
        <is>
          <t>Interest and similar income</t>
        </is>
      </c>
      <c r="B4" s="6" t="n"/>
      <c r="C4" s="6" t="n"/>
      <c r="D4" s="6" t="n"/>
      <c r="E4" s="6" t="n"/>
      <c r="F4" s="6" t="n"/>
      <c r="G4" s="6" t="n"/>
      <c r="H4" s="6" t="n"/>
      <c r="I4" s="6" t="n"/>
      <c r="J4" s="6" t="n"/>
      <c r="K4" s="6" t="n"/>
      <c r="L4" s="6" t="n"/>
      <c r="M4" s="6" t="n"/>
    </row>
    <row r="5">
      <c r="A5" s="6" t="inlineStr">
        <is>
          <t>Interest income calculated using the effective interest method</t>
        </is>
      </c>
      <c r="B5" s="6" t="n">
        <v>1846.4</v>
      </c>
      <c r="C5" s="6" t="n">
        <v>1803.9</v>
      </c>
      <c r="D5" s="6" t="n">
        <v>1573.5</v>
      </c>
      <c r="E5" s="6" t="n">
        <v>1123</v>
      </c>
      <c r="F5" s="6" t="n">
        <v>946.4</v>
      </c>
      <c r="G5" s="6" t="n">
        <v>922</v>
      </c>
      <c r="H5" s="6" t="n">
        <v>1050.6</v>
      </c>
      <c r="I5" s="6" t="n"/>
      <c r="J5" s="6" t="n"/>
      <c r="K5" s="6" t="n"/>
      <c r="L5" s="6" t="n"/>
      <c r="M5" s="6" t="n"/>
    </row>
    <row r="6">
      <c r="A6" s="6" t="inlineStr">
        <is>
          <t>Other interest income</t>
        </is>
      </c>
      <c r="B6" s="6" t="n">
        <v>129.3</v>
      </c>
      <c r="C6" s="6" t="n">
        <v>273.5</v>
      </c>
      <c r="D6" s="6" t="n">
        <v>368.6</v>
      </c>
      <c r="E6" s="6" t="n">
        <v>108.7</v>
      </c>
      <c r="F6" s="6" t="n">
        <v>-35</v>
      </c>
      <c r="G6" s="6" t="n">
        <v>-41</v>
      </c>
      <c r="H6" s="6" t="n">
        <v>-5.8</v>
      </c>
      <c r="I6" s="6" t="n"/>
      <c r="J6" s="6" t="n"/>
      <c r="K6" s="6" t="n"/>
      <c r="L6" s="6" t="n"/>
      <c r="M6" s="6" t="n"/>
    </row>
    <row r="7">
      <c r="A7" s="5" t="inlineStr">
        <is>
          <t>Total interest and similar income</t>
        </is>
      </c>
      <c r="B7" s="5" t="n">
        <v>1975.7</v>
      </c>
      <c r="C7" s="5" t="n">
        <v>2077.4</v>
      </c>
      <c r="D7" s="5" t="n">
        <v>1942.1</v>
      </c>
      <c r="E7" s="5" t="n">
        <v>1231.7</v>
      </c>
      <c r="F7" s="5" t="n">
        <v>911.4</v>
      </c>
      <c r="G7" s="5" t="n">
        <v>881</v>
      </c>
      <c r="H7" s="5" t="n">
        <v>1044.8</v>
      </c>
      <c r="I7" s="5" t="n">
        <v>1070.2</v>
      </c>
      <c r="J7" s="5" t="n">
        <v>1080.6</v>
      </c>
      <c r="K7" s="5" t="n">
        <v>1097.7</v>
      </c>
      <c r="L7" s="5" t="n">
        <v>967.2</v>
      </c>
      <c r="M7" s="5" t="n">
        <v>979.1</v>
      </c>
    </row>
    <row r="8">
      <c r="A8" s="6" t="inlineStr">
        <is>
          <t>Interest and similar expense</t>
        </is>
      </c>
      <c r="B8" s="6" t="n">
        <v>-920.1</v>
      </c>
      <c r="C8" s="6" t="n">
        <v>-1093</v>
      </c>
      <c r="D8" s="6" t="n">
        <v>-920.1</v>
      </c>
      <c r="E8" s="6" t="n">
        <v>-250</v>
      </c>
      <c r="F8" s="6" t="n">
        <v>-42.5</v>
      </c>
      <c r="G8" s="6" t="n">
        <v>-94.59999999999999</v>
      </c>
      <c r="H8" s="6" t="n">
        <v>-203.7</v>
      </c>
      <c r="I8" s="6" t="n">
        <v>-185.4</v>
      </c>
      <c r="J8" s="6" t="n">
        <v>-175.3</v>
      </c>
      <c r="K8" s="6" t="n">
        <v>-243.9</v>
      </c>
      <c r="L8" s="6" t="n">
        <v>-201.9</v>
      </c>
      <c r="M8" s="6" t="n">
        <v>-220.9</v>
      </c>
    </row>
    <row r="9">
      <c r="A9" s="5" t="inlineStr">
        <is>
          <t>Net interest income</t>
        </is>
      </c>
      <c r="B9" s="5" t="n">
        <v>1055.6</v>
      </c>
      <c r="C9" s="5" t="n">
        <v>984.4</v>
      </c>
      <c r="D9" s="5" t="n">
        <v>1022</v>
      </c>
      <c r="E9" s="5" t="n">
        <v>981.7</v>
      </c>
      <c r="F9" s="5" t="n">
        <v>868.9</v>
      </c>
      <c r="G9" s="5" t="n">
        <v>786.4</v>
      </c>
      <c r="H9" s="5" t="n">
        <v>841.1</v>
      </c>
      <c r="I9" s="5" t="n">
        <v>884.8</v>
      </c>
      <c r="J9" s="5" t="n">
        <v>925.9</v>
      </c>
      <c r="K9" s="5" t="n">
        <v>853.8</v>
      </c>
      <c r="L9" s="5" t="n">
        <v>765.3</v>
      </c>
      <c r="M9" s="5" t="n">
        <v>758.2</v>
      </c>
    </row>
    <row r="10">
      <c r="A10" s="6" t="inlineStr">
        <is>
          <t>Fee and commission income</t>
        </is>
      </c>
      <c r="B10" s="6" t="n">
        <v>114.1</v>
      </c>
      <c r="C10" s="6" t="n">
        <v>124.7</v>
      </c>
      <c r="D10" s="6" t="n">
        <v>129.2</v>
      </c>
      <c r="E10" s="6" t="n">
        <v>135.5</v>
      </c>
      <c r="F10" s="6" t="n">
        <v>121.8</v>
      </c>
      <c r="G10" s="6" t="n">
        <v>122.4</v>
      </c>
      <c r="H10" s="6" t="n">
        <v>159.8</v>
      </c>
      <c r="I10" s="6" t="n">
        <v>122.1</v>
      </c>
      <c r="J10" s="6" t="n">
        <v>193.3</v>
      </c>
      <c r="K10" s="6" t="n">
        <v>197.5</v>
      </c>
      <c r="L10" s="6" t="n">
        <v>198.8</v>
      </c>
      <c r="M10" s="6" t="n">
        <v>208.6</v>
      </c>
    </row>
    <row r="11">
      <c r="A11" s="6" t="inlineStr">
        <is>
          <t>Fee and commission expense</t>
        </is>
      </c>
      <c r="B11" s="6" t="n">
        <v>-37.4</v>
      </c>
      <c r="C11" s="6" t="n">
        <v>-34</v>
      </c>
      <c r="D11" s="6" t="n">
        <v>-21.2</v>
      </c>
      <c r="E11" s="6" t="n">
        <v>-21.3</v>
      </c>
      <c r="F11" s="6" t="n">
        <v>-18.2</v>
      </c>
      <c r="G11" s="6" t="n">
        <v>-36.5</v>
      </c>
      <c r="H11" s="6" t="n">
        <v>-41.5</v>
      </c>
      <c r="I11" s="6" t="n">
        <v>-46.7</v>
      </c>
      <c r="J11" s="6" t="n">
        <v>-109.6</v>
      </c>
      <c r="K11" s="6" t="n">
        <v>-97.3</v>
      </c>
      <c r="L11" s="6" t="n">
        <v>-81.8</v>
      </c>
      <c r="M11" s="6" t="n">
        <v>-70.40000000000001</v>
      </c>
    </row>
    <row r="12">
      <c r="A12" s="5" t="inlineStr">
        <is>
          <t>Net fee and commission income</t>
        </is>
      </c>
      <c r="B12" s="5" t="n">
        <v>76.7</v>
      </c>
      <c r="C12" s="5" t="n">
        <v>90.7</v>
      </c>
      <c r="D12" s="5" t="n">
        <v>108</v>
      </c>
      <c r="E12" s="5" t="n">
        <v>114.2</v>
      </c>
      <c r="F12" s="5" t="n">
        <v>103.6</v>
      </c>
      <c r="G12" s="5" t="n">
        <v>85.90000000000001</v>
      </c>
      <c r="H12" s="5" t="n">
        <v>118.3</v>
      </c>
      <c r="I12" s="5" t="n">
        <v>75.40000000000001</v>
      </c>
      <c r="J12" s="5" t="n">
        <v>83.7</v>
      </c>
      <c r="K12" s="5" t="n">
        <v>100.2</v>
      </c>
      <c r="L12" s="5" t="n">
        <v>117</v>
      </c>
      <c r="M12" s="5" t="n">
        <v>138.2</v>
      </c>
    </row>
    <row r="13">
      <c r="A13" s="5" t="inlineStr">
        <is>
          <t>Other income</t>
        </is>
      </c>
      <c r="B13" s="6" t="n"/>
      <c r="C13" s="6" t="n"/>
      <c r="D13" s="6" t="n"/>
      <c r="E13" s="6" t="n"/>
      <c r="F13" s="6" t="n"/>
      <c r="G13" s="6" t="n"/>
      <c r="H13" s="6" t="n"/>
      <c r="I13" s="6" t="n"/>
      <c r="J13" s="6" t="n"/>
      <c r="K13" s="6" t="n"/>
      <c r="L13" s="6" t="n"/>
      <c r="M13" s="6" t="n"/>
    </row>
    <row r="14">
      <c r="A14" s="6" t="inlineStr">
        <is>
          <t>Gains on derecognition of financial assets measured at amortised cost</t>
        </is>
      </c>
      <c r="B14" s="6" t="n">
        <v>2.8</v>
      </c>
      <c r="C14" s="6" t="n"/>
      <c r="D14" s="6" t="n"/>
      <c r="E14" s="6" t="n"/>
      <c r="F14" s="6" t="n"/>
      <c r="G14" s="6" t="n"/>
      <c r="H14" s="6" t="n"/>
      <c r="I14" s="6" t="n"/>
      <c r="J14" s="6" t="n"/>
      <c r="K14" s="6" t="n"/>
      <c r="L14" s="6" t="n"/>
      <c r="M14" s="6" t="n"/>
    </row>
    <row r="15">
      <c r="A15" s="6" t="inlineStr">
        <is>
          <t>Gains on derecognition of financial assets measured at FVOCI</t>
        </is>
      </c>
      <c r="B15" s="6" t="n"/>
      <c r="C15" s="6" t="n"/>
      <c r="D15" s="6" t="n">
        <v>4.3</v>
      </c>
      <c r="E15" s="6" t="n">
        <v>6.3</v>
      </c>
      <c r="F15" s="6" t="n">
        <v>7</v>
      </c>
      <c r="G15" s="6" t="n">
        <v>21.8</v>
      </c>
      <c r="H15" s="6" t="n">
        <v>24.6</v>
      </c>
      <c r="I15" s="6" t="n"/>
      <c r="J15" s="6" t="n"/>
      <c r="K15" s="6" t="n"/>
      <c r="L15" s="6" t="n"/>
      <c r="M15" s="6" t="n"/>
    </row>
    <row r="16">
      <c r="A16" s="6" t="inlineStr">
        <is>
          <t>Gains on derecognition of financial assets measured at amortised cost / available-for-sale (FY2018 presentation)</t>
        </is>
      </c>
      <c r="B16" s="6" t="n"/>
      <c r="C16" s="6" t="n"/>
      <c r="D16" s="6" t="n"/>
      <c r="E16" s="6" t="n"/>
      <c r="F16" s="6" t="n"/>
      <c r="G16" s="6" t="n"/>
      <c r="H16" s="6" t="n"/>
      <c r="I16" s="6" t="n">
        <v>0</v>
      </c>
      <c r="J16" s="6" t="n"/>
      <c r="K16" s="6" t="n"/>
      <c r="L16" s="6" t="n"/>
      <c r="M16" s="6" t="n"/>
    </row>
    <row r="17">
      <c r="A17" s="6" t="inlineStr">
        <is>
          <t>Gains on derecognition of available-for-sale financial assets (pre-IFRS 9 presentation)</t>
        </is>
      </c>
      <c r="B17" s="6" t="n"/>
      <c r="C17" s="6" t="n"/>
      <c r="D17" s="6" t="n"/>
      <c r="E17" s="6" t="n"/>
      <c r="F17" s="6" t="n"/>
      <c r="G17" s="6" t="n"/>
      <c r="H17" s="6" t="n"/>
      <c r="I17" s="6" t="n"/>
      <c r="J17" s="6" t="n">
        <v>49.8</v>
      </c>
      <c r="K17" s="6" t="n">
        <v>0</v>
      </c>
      <c r="L17" s="6" t="n">
        <v>0</v>
      </c>
      <c r="M17" s="6" t="n">
        <v>0</v>
      </c>
    </row>
    <row r="18">
      <c r="A18" s="6" t="inlineStr">
        <is>
          <t>Losses on derecognition of financial liabilities measured at amortised cost</t>
        </is>
      </c>
      <c r="B18" s="6" t="n"/>
      <c r="C18" s="6" t="n"/>
      <c r="D18" s="6" t="n">
        <v>-1</v>
      </c>
      <c r="E18" s="6" t="n"/>
      <c r="F18" s="6" t="n"/>
      <c r="G18" s="6" t="n"/>
      <c r="H18" s="6" t="n"/>
      <c r="I18" s="6" t="n"/>
      <c r="J18" s="6" t="n"/>
      <c r="K18" s="6" t="n"/>
      <c r="L18" s="6" t="n"/>
      <c r="M18" s="6" t="n"/>
    </row>
    <row r="19">
      <c r="A19" s="6" t="inlineStr">
        <is>
          <t>Gains on financial assets designated at fair value through profit or loss</t>
        </is>
      </c>
      <c r="B19" s="6" t="n"/>
      <c r="C19" s="6" t="n"/>
      <c r="D19" s="6" t="n"/>
      <c r="E19" s="6" t="n"/>
      <c r="F19" s="6" t="n"/>
      <c r="G19" s="6" t="n"/>
      <c r="H19" s="6" t="n"/>
      <c r="I19" s="6" t="n">
        <v>1.4</v>
      </c>
      <c r="J19" s="6" t="n">
        <v>0.1</v>
      </c>
      <c r="K19" s="6" t="n"/>
      <c r="L19" s="6" t="n"/>
      <c r="M19" s="6" t="n"/>
    </row>
    <row r="20">
      <c r="A20" s="6" t="inlineStr">
        <is>
          <t>Gains/(losses) on derivative financial instruments at fair value through profit or loss</t>
        </is>
      </c>
      <c r="B20" s="6" t="n">
        <v>40.5</v>
      </c>
      <c r="C20" s="6" t="n">
        <v>57.6</v>
      </c>
      <c r="D20" s="6" t="n">
        <v>11.2</v>
      </c>
      <c r="E20" s="6" t="n">
        <v>-8.1</v>
      </c>
      <c r="F20" s="6" t="n"/>
      <c r="G20" s="6" t="n"/>
      <c r="H20" s="6" t="n"/>
      <c r="I20" s="6" t="n"/>
      <c r="J20" s="6" t="n"/>
      <c r="K20" s="6" t="n"/>
      <c r="L20" s="6" t="n"/>
      <c r="M20" s="6" t="n"/>
    </row>
    <row r="21">
      <c r="A21" s="6" t="inlineStr">
        <is>
          <t>Losses on derivative financial assets at fair value through profit or loss</t>
        </is>
      </c>
      <c r="B21" s="6" t="n"/>
      <c r="C21" s="6" t="n"/>
      <c r="D21" s="6" t="n"/>
      <c r="E21" s="6" t="n"/>
      <c r="F21" s="6" t="n">
        <v>-2.5</v>
      </c>
      <c r="G21" s="6" t="n">
        <v>-1.3</v>
      </c>
      <c r="H21" s="6" t="n">
        <v>-15.3</v>
      </c>
      <c r="I21" s="6" t="n"/>
      <c r="J21" s="6" t="n"/>
      <c r="K21" s="6" t="n"/>
      <c r="L21" s="6" t="n"/>
      <c r="M21" s="6" t="n"/>
    </row>
    <row r="22">
      <c r="A22" s="6" t="inlineStr">
        <is>
          <t>Losses on financial assets and liabilities held for trading (FY2017/18 presentation)</t>
        </is>
      </c>
      <c r="B22" s="6" t="n"/>
      <c r="C22" s="6" t="n"/>
      <c r="D22" s="6" t="n"/>
      <c r="E22" s="6" t="n"/>
      <c r="F22" s="6" t="n"/>
      <c r="G22" s="6" t="n"/>
      <c r="H22" s="6" t="n"/>
      <c r="I22" s="6" t="n">
        <v>-31.8</v>
      </c>
      <c r="J22" s="6" t="n">
        <v>-14</v>
      </c>
      <c r="K22" s="6" t="n"/>
      <c r="L22" s="6" t="n"/>
      <c r="M22" s="6" t="n"/>
    </row>
    <row r="23">
      <c r="A23" s="6" t="inlineStr">
        <is>
          <t>(Losses)/gains from hedge accounting</t>
        </is>
      </c>
      <c r="B23" s="6" t="n">
        <v>-34.2</v>
      </c>
      <c r="C23" s="6" t="n">
        <v>-30.1</v>
      </c>
      <c r="D23" s="6" t="n">
        <v>-2.2</v>
      </c>
      <c r="E23" s="6" t="n">
        <v>4.2</v>
      </c>
      <c r="F23" s="6" t="n">
        <v>-2.4</v>
      </c>
      <c r="G23" s="6" t="n">
        <v>5.8</v>
      </c>
      <c r="H23" s="6" t="n">
        <v>20.8</v>
      </c>
      <c r="I23" s="6" t="n">
        <v>23.3</v>
      </c>
      <c r="J23" s="6" t="n">
        <v>24.5</v>
      </c>
      <c r="K23" s="6" t="n"/>
      <c r="L23" s="6" t="n"/>
      <c r="M23" s="6" t="n"/>
    </row>
    <row r="24">
      <c r="A24" s="6" t="inlineStr">
        <is>
          <t>Gains/(losses) on derecognition of non-financial assets/liabilities</t>
        </is>
      </c>
      <c r="B24" s="6" t="n">
        <v>0.5</v>
      </c>
      <c r="C24" s="6" t="n">
        <v>-2.3</v>
      </c>
      <c r="D24" s="6" t="n">
        <v>-0.1</v>
      </c>
      <c r="E24" s="6" t="n">
        <v>0.6</v>
      </c>
      <c r="F24" s="6" t="n">
        <v>-2.6</v>
      </c>
      <c r="G24" s="6" t="n">
        <v>-3.5</v>
      </c>
      <c r="H24" s="6" t="n">
        <v>-3.5</v>
      </c>
      <c r="I24" s="6" t="n">
        <v>1.1</v>
      </c>
      <c r="J24" s="6" t="n">
        <v>5.8</v>
      </c>
      <c r="K24" s="6" t="n"/>
      <c r="L24" s="6" t="n"/>
      <c r="M24" s="6" t="n"/>
    </row>
    <row r="25">
      <c r="A25" s="6" t="inlineStr">
        <is>
          <t>Migration related income from LBG</t>
        </is>
      </c>
      <c r="B25" s="6" t="n"/>
      <c r="C25" s="6" t="n"/>
      <c r="D25" s="6" t="n"/>
      <c r="E25" s="6" t="n"/>
      <c r="F25" s="6" t="n"/>
      <c r="G25" s="6" t="n"/>
      <c r="H25" s="6" t="n"/>
      <c r="I25" s="6" t="n">
        <v>318.3</v>
      </c>
      <c r="J25" s="6" t="n"/>
      <c r="K25" s="6" t="n"/>
      <c r="L25" s="6" t="n"/>
      <c r="M25" s="6" t="n"/>
    </row>
    <row r="26">
      <c r="A26" s="6" t="inlineStr">
        <is>
          <t>Other operating income</t>
        </is>
      </c>
      <c r="B26" s="6" t="n">
        <v>30.4</v>
      </c>
      <c r="C26" s="6" t="n">
        <v>36.7</v>
      </c>
      <c r="D26" s="6" t="n">
        <v>14.5</v>
      </c>
      <c r="E26" s="6" t="n">
        <v>6.6</v>
      </c>
      <c r="F26" s="6" t="n">
        <v>10.9</v>
      </c>
      <c r="G26" s="6" t="n">
        <v>37.8</v>
      </c>
      <c r="H26" s="6" t="n">
        <v>1.2</v>
      </c>
      <c r="I26" s="6" t="n">
        <v>1.4</v>
      </c>
      <c r="J26" s="6" t="n">
        <v>1.6</v>
      </c>
      <c r="K26" s="6" t="n">
        <v>50</v>
      </c>
      <c r="L26" s="6" t="n">
        <v>8.4</v>
      </c>
      <c r="M26" s="6" t="n">
        <v>3.8</v>
      </c>
    </row>
    <row r="27">
      <c r="A27" s="5" t="inlineStr">
        <is>
          <t>Other income</t>
        </is>
      </c>
      <c r="B27" s="5" t="n">
        <v>116.7</v>
      </c>
      <c r="C27" s="5" t="n">
        <v>152.6</v>
      </c>
      <c r="D27" s="5" t="n">
        <v>134.7</v>
      </c>
      <c r="E27" s="5" t="n">
        <v>123.8</v>
      </c>
      <c r="F27" s="5" t="n">
        <v>114</v>
      </c>
      <c r="G27" s="5" t="n">
        <v>146.5</v>
      </c>
      <c r="H27" s="5" t="n">
        <v>146.1</v>
      </c>
      <c r="I27" s="5" t="n">
        <v>410.5</v>
      </c>
      <c r="J27" s="5" t="n">
        <v>190.8</v>
      </c>
      <c r="K27" s="5" t="n">
        <v>150.2</v>
      </c>
      <c r="L27" s="5" t="n">
        <v>125.4</v>
      </c>
      <c r="M27" s="5" t="n">
        <v>142</v>
      </c>
    </row>
    <row r="28">
      <c r="A28" s="5" t="inlineStr">
        <is>
          <t>Total income</t>
        </is>
      </c>
      <c r="B28" s="5" t="n">
        <v>1172.3</v>
      </c>
      <c r="C28" s="5" t="n">
        <v>1137</v>
      </c>
      <c r="D28" s="5" t="n">
        <v>1156.7</v>
      </c>
      <c r="E28" s="5" t="n">
        <v>1105.5</v>
      </c>
      <c r="F28" s="5" t="n">
        <v>982.9</v>
      </c>
      <c r="G28" s="5" t="n">
        <v>932.9</v>
      </c>
      <c r="H28" s="5" t="n">
        <v>987.2</v>
      </c>
      <c r="I28" s="5" t="n">
        <v>1295.3</v>
      </c>
      <c r="J28" s="5" t="n">
        <v>1096.1</v>
      </c>
      <c r="K28" s="5" t="n">
        <v>1004</v>
      </c>
      <c r="L28" s="5" t="n">
        <v>890.7</v>
      </c>
      <c r="M28" s="5" t="n">
        <v>900.2</v>
      </c>
    </row>
    <row r="29">
      <c r="A29" s="6" t="inlineStr">
        <is>
          <t>Costs of preparing for migration</t>
        </is>
      </c>
      <c r="B29" s="6" t="n"/>
      <c r="C29" s="6" t="n"/>
      <c r="D29" s="6" t="n"/>
      <c r="E29" s="6" t="n"/>
      <c r="F29" s="6" t="n"/>
      <c r="G29" s="6" t="n"/>
      <c r="H29" s="6" t="n"/>
      <c r="I29" s="6" t="n">
        <v>-417.3</v>
      </c>
      <c r="J29" s="6" t="n"/>
      <c r="K29" s="6" t="n"/>
      <c r="L29" s="6" t="n"/>
      <c r="M29" s="6" t="n"/>
    </row>
    <row r="30">
      <c r="A30" s="6" t="inlineStr">
        <is>
          <t>Defined benefit pension scheme settlement gain (within FY2014 operating expenses)</t>
        </is>
      </c>
      <c r="B30" s="6" t="n"/>
      <c r="C30" s="6" t="n"/>
      <c r="D30" s="6" t="n"/>
      <c r="E30" s="6" t="n"/>
      <c r="F30" s="6" t="n"/>
      <c r="G30" s="6" t="n"/>
      <c r="H30" s="6" t="n"/>
      <c r="I30" s="6" t="n"/>
      <c r="J30" s="6" t="n"/>
      <c r="K30" s="6" t="n"/>
      <c r="L30" s="6" t="n"/>
      <c r="M30" s="6" t="n">
        <v>63.7</v>
      </c>
    </row>
    <row r="31">
      <c r="A31" s="5" t="inlineStr">
        <is>
          <t>Total operating expenses</t>
        </is>
      </c>
      <c r="B31" s="5" t="n">
        <v>-785.9</v>
      </c>
      <c r="C31" s="5" t="n">
        <v>-821.8</v>
      </c>
      <c r="D31" s="5" t="n">
        <v>-852.9</v>
      </c>
      <c r="E31" s="5" t="n">
        <v>-869.5</v>
      </c>
      <c r="F31" s="5" t="n">
        <v>-827.3</v>
      </c>
      <c r="G31" s="5" t="n">
        <v>-969.4</v>
      </c>
      <c r="H31" s="5" t="n">
        <v>-881.3</v>
      </c>
      <c r="I31" s="5" t="n">
        <v>-905.7</v>
      </c>
      <c r="J31" s="5" t="n">
        <v>-859.2</v>
      </c>
      <c r="K31" s="5" t="n">
        <v>-734.7</v>
      </c>
      <c r="L31" s="5" t="n">
        <v>-740.8</v>
      </c>
      <c r="M31" s="5" t="n">
        <v>-632.4</v>
      </c>
    </row>
    <row r="32">
      <c r="A32" s="5" t="inlineStr">
        <is>
          <t>Operating profit/(loss) before impairment losses and taxation</t>
        </is>
      </c>
      <c r="B32" s="5" t="n">
        <v>386.4</v>
      </c>
      <c r="C32" s="5" t="n">
        <v>315.2</v>
      </c>
      <c r="D32" s="5" t="n">
        <v>303.8</v>
      </c>
      <c r="E32" s="5" t="n">
        <v>236</v>
      </c>
      <c r="F32" s="5" t="n">
        <v>155.6</v>
      </c>
      <c r="G32" s="5" t="n">
        <v>-36.5</v>
      </c>
      <c r="H32" s="5" t="n">
        <v>105.9</v>
      </c>
      <c r="I32" s="5" t="n">
        <v>-27.7</v>
      </c>
      <c r="J32" s="5" t="n">
        <v>236.9</v>
      </c>
      <c r="K32" s="5" t="n">
        <v>269.3</v>
      </c>
      <c r="L32" s="5" t="n">
        <v>149.9</v>
      </c>
      <c r="M32" s="5" t="n">
        <v>267.8</v>
      </c>
    </row>
    <row r="33">
      <c r="A33" s="6" t="inlineStr">
        <is>
          <t>Impairment losses on financial assets at amortised cost / loans and advances to customers</t>
        </is>
      </c>
      <c r="B33" s="6" t="n">
        <v>-51.2</v>
      </c>
      <c r="C33" s="6" t="n">
        <v>-31.9</v>
      </c>
      <c r="D33" s="6" t="n">
        <v>-71.8</v>
      </c>
      <c r="E33" s="6" t="n">
        <v>-57.7</v>
      </c>
      <c r="F33" s="6" t="n">
        <v>-2.6</v>
      </c>
      <c r="G33" s="6" t="n">
        <v>-162.7</v>
      </c>
      <c r="H33" s="6" t="n">
        <v>-60.9</v>
      </c>
      <c r="I33" s="6" t="n">
        <v>-72.8</v>
      </c>
      <c r="J33" s="6" t="n">
        <v>-77.8</v>
      </c>
      <c r="K33" s="6" t="n">
        <v>-87.3</v>
      </c>
      <c r="L33" s="6" t="n">
        <v>-82.3</v>
      </c>
      <c r="M33" s="6" t="n">
        <v>-97.59999999999999</v>
      </c>
    </row>
    <row r="34">
      <c r="A34" s="6" t="inlineStr">
        <is>
          <t>Impairment credit/(losses) on loan commitments</t>
        </is>
      </c>
      <c r="B34" s="6" t="n">
        <v>4.2</v>
      </c>
      <c r="C34" s="6" t="n">
        <v>1.8</v>
      </c>
      <c r="D34" s="6" t="n">
        <v>3.5</v>
      </c>
      <c r="E34" s="6" t="n">
        <v>2.8</v>
      </c>
      <c r="F34" s="6" t="n">
        <v>2.5</v>
      </c>
      <c r="G34" s="6" t="n">
        <v>-1.3</v>
      </c>
      <c r="H34" s="6" t="n">
        <v>0.4</v>
      </c>
      <c r="I34" s="6" t="n">
        <v>-0.5</v>
      </c>
      <c r="J34" s="6" t="n"/>
      <c r="K34" s="6" t="n"/>
      <c r="L34" s="6" t="n"/>
      <c r="M34" s="6" t="n"/>
    </row>
    <row r="35">
      <c r="A35" s="5" t="inlineStr">
        <is>
          <t>Total impairment losses</t>
        </is>
      </c>
      <c r="B35" s="5" t="n">
        <v>-47</v>
      </c>
      <c r="C35" s="5" t="n">
        <v>-30.1</v>
      </c>
      <c r="D35" s="5" t="n">
        <v>-68.3</v>
      </c>
      <c r="E35" s="5" t="n">
        <v>-54.9</v>
      </c>
      <c r="F35" s="5" t="n">
        <v>-0.1</v>
      </c>
      <c r="G35" s="5" t="n">
        <v>-164</v>
      </c>
      <c r="H35" s="5" t="n">
        <v>-60.5</v>
      </c>
      <c r="I35" s="5" t="n">
        <v>-73.3</v>
      </c>
      <c r="J35" s="5" t="n"/>
      <c r="K35" s="5" t="n"/>
      <c r="L35" s="5" t="n"/>
      <c r="M35" s="5" t="n"/>
    </row>
    <row r="36">
      <c r="A36" s="5" t="inlineStr">
        <is>
          <t>Profit/(loss) before taxation</t>
        </is>
      </c>
      <c r="B36" s="5" t="n">
        <v>339.4</v>
      </c>
      <c r="C36" s="5" t="n">
        <v>285.1</v>
      </c>
      <c r="D36" s="5" t="n">
        <v>235.5</v>
      </c>
      <c r="E36" s="5" t="n">
        <v>181.1</v>
      </c>
      <c r="F36" s="5" t="n">
        <v>155.5</v>
      </c>
      <c r="G36" s="5" t="n">
        <v>-200.5</v>
      </c>
      <c r="H36" s="5" t="n">
        <v>45.4</v>
      </c>
      <c r="I36" s="5" t="n">
        <v>-101</v>
      </c>
      <c r="J36" s="5" t="n">
        <v>159.1</v>
      </c>
      <c r="K36" s="5" t="n">
        <v>182</v>
      </c>
      <c r="L36" s="5" t="n">
        <v>67.59999999999999</v>
      </c>
      <c r="M36" s="5" t="n">
        <v>170.2</v>
      </c>
    </row>
    <row r="37">
      <c r="A37" s="6" t="inlineStr">
        <is>
          <t>Taxation</t>
        </is>
      </c>
      <c r="B37" s="6" t="n">
        <v>-88.3</v>
      </c>
      <c r="C37" s="6" t="n">
        <v>-81.3</v>
      </c>
      <c r="D37" s="6" t="n">
        <v>-62.1</v>
      </c>
      <c r="E37" s="6" t="n">
        <v>-80.5</v>
      </c>
      <c r="F37" s="6" t="n">
        <v>-27.1</v>
      </c>
      <c r="G37" s="6" t="n">
        <v>44.3</v>
      </c>
      <c r="H37" s="6" t="n">
        <v>-19.2</v>
      </c>
      <c r="I37" s="6" t="n">
        <v>41.9</v>
      </c>
      <c r="J37" s="6" t="n">
        <v>-44</v>
      </c>
      <c r="K37" s="6" t="n">
        <v>-54.2</v>
      </c>
      <c r="L37" s="6" t="n">
        <v>21.2</v>
      </c>
      <c r="M37" s="6" t="n">
        <v>-35.7</v>
      </c>
    </row>
    <row r="38">
      <c r="A38" s="5" t="inlineStr">
        <is>
          <t>Profit/(loss) for the year</t>
        </is>
      </c>
      <c r="B38" s="5" t="n">
        <v>251.1</v>
      </c>
      <c r="C38" s="5" t="n">
        <v>203.8</v>
      </c>
      <c r="D38" s="5" t="n">
        <v>173.4</v>
      </c>
      <c r="E38" s="5" t="n">
        <v>100.6</v>
      </c>
      <c r="F38" s="5" t="n">
        <v>128.4</v>
      </c>
      <c r="G38" s="5" t="n">
        <v>-156.2</v>
      </c>
      <c r="H38" s="5" t="n">
        <v>26.2</v>
      </c>
      <c r="I38" s="5" t="n">
        <v>-59.1</v>
      </c>
      <c r="J38" s="5" t="n">
        <v>115.1</v>
      </c>
      <c r="K38" s="5" t="n">
        <v>127.8</v>
      </c>
      <c r="L38" s="5" t="n">
        <v>88.8</v>
      </c>
      <c r="M38" s="5" t="n">
        <v>134.5</v>
      </c>
    </row>
    <row r="39">
      <c r="A39" s="5" t="inlineStr">
        <is>
          <t>Other comprehensive income/(loss), net of taxation</t>
        </is>
      </c>
      <c r="B39" s="6" t="n"/>
      <c r="C39" s="6" t="n"/>
      <c r="D39" s="6" t="n"/>
      <c r="E39" s="6" t="n"/>
      <c r="F39" s="6" t="n"/>
      <c r="G39" s="6" t="n"/>
      <c r="H39" s="6" t="n"/>
      <c r="I39" s="6" t="n"/>
      <c r="J39" s="6" t="n"/>
      <c r="K39" s="6" t="n"/>
      <c r="L39" s="6" t="n"/>
      <c r="M39" s="6" t="n"/>
    </row>
    <row r="40">
      <c r="A40" s="6" t="inlineStr">
        <is>
          <t>Change in fair value reserve / available-for-sale reserve</t>
        </is>
      </c>
      <c r="B40" s="6" t="n">
        <v>1.8</v>
      </c>
      <c r="C40" s="6" t="n">
        <v>-1.5</v>
      </c>
      <c r="D40" s="6" t="n">
        <v>-0.4</v>
      </c>
      <c r="E40" s="6" t="n">
        <v>-17.2</v>
      </c>
      <c r="F40" s="6" t="n">
        <v>-0.5</v>
      </c>
      <c r="G40" s="6" t="n">
        <v>-2</v>
      </c>
      <c r="H40" s="6" t="n">
        <v>-5</v>
      </c>
      <c r="I40" s="6" t="n">
        <v>1.7</v>
      </c>
      <c r="J40" s="6" t="n">
        <v>12.8</v>
      </c>
      <c r="K40" s="6" t="n">
        <v>-10.4</v>
      </c>
      <c r="L40" s="6" t="n">
        <v>15.9</v>
      </c>
      <c r="M40" s="6" t="n">
        <v>0.4</v>
      </c>
    </row>
    <row r="41">
      <c r="A41" s="6" t="inlineStr">
        <is>
          <t>Change in cash flow hedging reserve</t>
        </is>
      </c>
      <c r="B41" s="6" t="n">
        <v>-18</v>
      </c>
      <c r="C41" s="6" t="n">
        <v>13.8</v>
      </c>
      <c r="D41" s="6" t="n">
        <v>-28.2</v>
      </c>
      <c r="E41" s="6" t="n">
        <v>47</v>
      </c>
      <c r="F41" s="6" t="n">
        <v>13.6</v>
      </c>
      <c r="G41" s="6" t="n">
        <v>-17.7</v>
      </c>
      <c r="H41" s="6" t="n">
        <v>0.7</v>
      </c>
      <c r="I41" s="6" t="n">
        <v>-2.7</v>
      </c>
      <c r="J41" s="6" t="n">
        <v>-0.9</v>
      </c>
      <c r="K41" s="6" t="n">
        <v>1.3</v>
      </c>
      <c r="L41" s="6" t="n">
        <v>-0.9</v>
      </c>
      <c r="M41" s="6" t="n"/>
    </row>
    <row r="42">
      <c r="A42" s="5" t="inlineStr">
        <is>
          <t>Other comprehensive income/(losses) for the year, net of taxation</t>
        </is>
      </c>
      <c r="B42" s="5" t="n">
        <v>-16.2</v>
      </c>
      <c r="C42" s="5" t="n">
        <v>12.3</v>
      </c>
      <c r="D42" s="5" t="n">
        <v>-28.6</v>
      </c>
      <c r="E42" s="5" t="n">
        <v>29.8</v>
      </c>
      <c r="F42" s="5" t="n">
        <v>13.1</v>
      </c>
      <c r="G42" s="5" t="n">
        <v>-19.7</v>
      </c>
      <c r="H42" s="5" t="n">
        <v>-4.3</v>
      </c>
      <c r="I42" s="5" t="n">
        <v>-1</v>
      </c>
      <c r="J42" s="5" t="n">
        <v>11.9</v>
      </c>
      <c r="K42" s="5" t="n">
        <v>-9.1</v>
      </c>
      <c r="L42" s="5" t="n">
        <v>15</v>
      </c>
      <c r="M42" s="5" t="n">
        <v>0.4</v>
      </c>
    </row>
    <row r="43">
      <c r="A43" s="5" t="inlineStr">
        <is>
          <t>Total comprehensive income/(loss) for the year</t>
        </is>
      </c>
      <c r="B43" s="5" t="n">
        <v>234.9</v>
      </c>
      <c r="C43" s="5" t="n">
        <v>216.1</v>
      </c>
      <c r="D43" s="5" t="n">
        <v>144.8</v>
      </c>
      <c r="E43" s="5" t="n">
        <v>130.4</v>
      </c>
      <c r="F43" s="5" t="n">
        <v>141.5</v>
      </c>
      <c r="G43" s="5" t="n">
        <v>-175.9</v>
      </c>
      <c r="H43" s="5" t="n">
        <v>21.9</v>
      </c>
      <c r="I43" s="5" t="n">
        <v>-60.1</v>
      </c>
      <c r="J43" s="5" t="n">
        <v>127</v>
      </c>
      <c r="K43" s="5" t="n">
        <v>118.7</v>
      </c>
      <c r="L43" s="5" t="n">
        <v>103.8</v>
      </c>
      <c r="M43" s="5" t="n">
        <v>134.9</v>
      </c>
    </row>
    <row r="45" ht="377" customHeight="1">
      <c r="A45" s="8" t="inlineStr">
        <is>
          <t>Sources - TSB Bank plc / TSB Banking Group plc, Bank (Consolidated) basis, £ million (see entity note below for the FY2014-FY2016 vs FY2017 onward entity change):
FY2025 &amp; FY2024: TSB Bank plc Annual Report and Accounts 2025, p.46 (Balance sheets), p.47 (Consolidated statement of comprehensive income), p.48 (Statements of changes in equity) - https://www.tsb.co.uk/content/dam/tsb-public/documents/investors/financial-results-and-reports/2025/TSB-Bank-ARA-2025.pdf
FY2023 &amp; FY2022: TSB Bank plc Annual Report and Accounts 2023, p.30 (Balance sheets), p.31 (Consolidated statement of comprehensive income), p.32 (Statements of changes in equity) - https://www.tsb.co.uk/content/dam/tsb-public/documents/investors/financial-results-and-reports/2023/TSB-Bank-2023.pdf
FY2021: TSB Bank plc Annual Report and Accounts 2021, p.26 (Balance sheets), p.27 (Consolidated statement of comprehensive income), p.28 (Statements of changes in equity); FY2021's closing equity ties exactly to AR2023's own 'Balance at 1 January 2022' comparative - https://www.tsb.co.uk/content/dam/tsb-public/documents/investors/financial-results-and-reports/2021/tsb-bank-ara-2021.pdf
FY2020 &amp; FY2019: TSB Bank plc Annual Report and Accounts 2020, p.25 (Balance sheets), p.26 (Consolidated statement of comprehensive income), p.27 (Statements of changes in equity) - https://www.tsb.co.uk/content/dam/tsb-public/documents/investors/financial-results-and-reports/2020/tsb-bank-ara-2020.pdf
FY2018 &amp; FY2017: TSB Bank plc Annual Report and Accounts 2018, p.26 (Balance sheets), p.27 (Consolidated statement of comprehensive income), p.28 (Statements of changes in equity); FY2017's closing equity ties exactly to TSB Bank plc Annual Report and Accounts 2017's own p.19-20 figures - https://www.tsb.co.uk/content/dam/tsb-public/documents/investors/financial-results-and-reports/2018/tsb-bank-ara-2018.pdf
FY2016 &amp; FY2015: TSB Banking Group plc Annual Report and Accounts 2016, p.57 (Consolidated balance sheet), p.58 (Consolidated statement of comprehensive income), p.59 (Consolidated statement of changes in equity) - https://www.tsb.co.uk/content/dam/tsb-public/documents/investors/financial-results-and-reports/2016/tsb-2016-results.pdf
FY2014: TSB Banking Group plc Annual Report and Accounts 2015, p.52 (Consolidated balance sheet), p.53 (Consolidated statement of comprehensive income), p.54 (Consolidated statement of changes in equity), FY2014 comparative columns - https://www.tsb.co.uk/content/dam/tsb-public/documents/investors/financial-results-and-reports/2015/tsb-2015-annual-report.pdf
ENTITY NOTE: TSB Bank plc (Companies House SC095237) is the entity on the PRA register; its own Annual Report and Accounts (consolidated 'Bank (Consolidated)' column used throughout) is used for the cash flow statement from FY2017 onward. TSB Banking Group plc's only direct subsidiary is TSB Bank plc, so 'TSB Banking Group plc' consolidated Pillar 3 disclosures (published under that name, as TSB is a 'large subsidiary' of Banco Sabadell for CRR Article 13 purposes) are effectively the same consolidation scope and are used for all Pillar 3 metric sheets.
ENTITY BASIS CHANGE (FY2014-FY2016): no standalone 'TSB Bank plc' entity Annual Report was published for these years, only 'TSB Banking Group plc' (the then Sabadell-owned holding company) Annual Report and Accounts. As TSB Banking Group plc's only direct subsidiary is TSB Bank plc, the underlying banking business and consolidation scope are effectively the same, but the holding company's own share capital/share premium/reserve structure differs from TSB Bank plc's (a holdco-level, not operating-entity-level, difference) - so FY2016 closing Shareholder's equity as reported by the Group (£1,865.0m) does not exactly tie to FY2016 closing equity as later restated in TSB Bank plc's own FY2017 Annual Report comparative (£1,879.6m), a genuine ~£14.6m entity-basis break at the FY2016/FY2017 boundary, not a data error. Balance Sheet/P&amp;L/Equity/Cash Flow/Asset Quality figures for FY2014-FY2016 are TSB Banking Group plc consolidated; FY2017 onward are TSB Bank plc consolidated.
CONTEXT: TSB was owned by Banco de Sabadell, S.A. (Spain) throughout FY2014-FY2025 (following the 2013 demerger from Lloyds Banking Group and TSB Banking Group plc's IPO in 2014; Sabadell acquired full control in 2015). Santander UK plc agreed to acquire TSB in July 2025 and completed the acquisition on 30 April 2026 (after this workbook's FY2025 year-end) - so all years of data here reflect the Sabadell-owned period; TSB's board ceased dividend payments to Sabadell following the announcement per TSB's FY2025 Pillar 3 disclosure.
BASEL II/CRD III CAVEAT: TSB Banking Group plc's Pillar 3 Disclosures 2014 present 31 December 2013 comparatives on both a Basel II basis and a CRD IV-restated basis (CRD IV took effect for the Group's own 31 December 2014 disclosure, its first full year of Pillar 3 reporting as a standalone entity post-demerger) - CET1/Common Equity Tier 1 terminology is already used from FY2014 onward on a CRD IV basis, so no Basel II-era terminology substitution was required for any year in this workbook.
PRESENTATION NOTE: Balance sheet - 'Loans and advances to credit institutions' is shown as a standalone line from FY2025 only; FY2021-FY2024 combine it with central bank placements as 'Loans and advances to central banks and credit institutions' (same figures reused here). 'Other equity instruments' (Additional Tier 1) first appears FY2024, following TSB's first AT1 issuance that year (see Cash Flow Statement financing activities). Income statement - FY2024/FY2025 itemise 'Gains on derecognition of financial assets/liabilities' lines that differ from FY2021-FY2023's own line items (e.g. FVOCI derecognition gains only shown FY2021-23); each year's own as-published structure is preserved rather than forced into a common format.
FY2014-FY2020 PRESENTATION NOTE: pre-IFRS 9 (FY2014-FY2017) balance sheets classify lending as 'Loans and receivables' (IAS 39) rather than 'Financial assets at amortised cost' (IFRS 9, from FY2018); equity reserve line items also change name over time ('Available-for-sale reserve' pre-IFRS 9 becomes 'Fair value reserve' from FY2018, following the reclassification recorded in the FY2018 Statement of Changes in Equity's 'Change on initial application of IFRS 9' transition row - both are shown under their as-published label for each year rather than relabelled retrospectively). TSB Banking Group plc's FY2014-FY2016 equity structure (Share capital £5.0m, Share premium £965.1m, Merger reserve £616.5m, Capital reorganisation reserve -£1,311.6m, Capital reserve £410.0m) differs from TSB Bank plc's own FY2017-2025 structure (Share capital £79.4m, Share premium £195.6m, Merger reserve £412.8m, no separate capital reorganisation/capital reserve lines) - a genuine holdco-vs-operating-entity difference, not a data error; see ENTITY NOTE above.</t>
        </is>
      </c>
    </row>
  </sheetData>
  <mergeCells count="1">
    <mergeCell ref="A45:M4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72"/>
  <sheetViews>
    <sheetView workbookViewId="0">
      <pane ySplit="4" topLeftCell="A5" activePane="bottomLeft" state="frozen"/>
      <selection pane="bottomLeft" activeCell="A1" sqref="A1"/>
    </sheetView>
  </sheetViews>
  <sheetFormatPr baseColWidth="8" defaultRowHeight="15"/>
  <cols>
    <col width="5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TSB Bank plc — Statement of Changes in Equity</t>
        </is>
      </c>
    </row>
    <row r="2">
      <c r="A2" s="2" t="inlineStr">
        <is>
          <t>Bank (Consolidated) basis, £ million, chronological (oldest to newest). Each year's closing Total equity ties exactly to that year's own Balance Sheet Total equity and to the next year's opening balance - zero undocumented plug rows across all 5 years.</t>
        </is>
      </c>
    </row>
    <row r="3">
      <c r="A3" s="4" t="inlineStr">
        <is>
          <t>Movement</t>
        </is>
      </c>
      <c r="B3" s="4" t="inlineStr">
        <is>
          <t>Share capital</t>
        </is>
      </c>
      <c r="C3" s="4" t="inlineStr">
        <is>
          <t>Share premium</t>
        </is>
      </c>
      <c r="D3" s="4" t="inlineStr">
        <is>
          <t>Other equity instruments</t>
        </is>
      </c>
      <c r="E3" s="4" t="inlineStr">
        <is>
          <t>Merger reserve</t>
        </is>
      </c>
      <c r="F3" s="4" t="inlineStr">
        <is>
          <t>Capital reorg. reserve</t>
        </is>
      </c>
      <c r="G3" s="4" t="inlineStr">
        <is>
          <t>Capital reserve</t>
        </is>
      </c>
      <c r="H3" s="4" t="inlineStr">
        <is>
          <t>Fair value / AFS reserve</t>
        </is>
      </c>
      <c r="I3" s="4" t="inlineStr">
        <is>
          <t>Cash flow hedging reserve</t>
        </is>
      </c>
      <c r="J3" s="4" t="inlineStr">
        <is>
          <t>Retained profit</t>
        </is>
      </c>
      <c r="K3" s="4" t="inlineStr">
        <is>
          <t>Total equity</t>
        </is>
      </c>
    </row>
    <row r="4">
      <c r="A4" s="5" t="inlineStr">
        <is>
          <t>Balance at 1 January 2014</t>
        </is>
      </c>
      <c r="B4" s="5" t="n">
        <v>0.1</v>
      </c>
      <c r="C4" s="5" t="n"/>
      <c r="D4" s="5" t="n"/>
      <c r="E4" s="5" t="n"/>
      <c r="F4" s="5" t="n">
        <v>74.90000000000001</v>
      </c>
      <c r="G4" s="5" t="n">
        <v>410</v>
      </c>
      <c r="H4" s="5" t="n"/>
      <c r="I4" s="5" t="n"/>
      <c r="J4" s="5" t="n">
        <v>821.7</v>
      </c>
      <c r="K4" s="5" t="n">
        <v>1306.7</v>
      </c>
    </row>
    <row r="5">
      <c r="A5" s="6" t="inlineStr">
        <is>
          <t>Profit for the year</t>
        </is>
      </c>
      <c r="B5" s="6" t="n"/>
      <c r="C5" s="6" t="n"/>
      <c r="D5" s="6" t="n"/>
      <c r="E5" s="6" t="n"/>
      <c r="F5" s="6" t="n"/>
      <c r="G5" s="6" t="n"/>
      <c r="H5" s="6" t="n"/>
      <c r="I5" s="6" t="n"/>
      <c r="J5" s="6" t="n">
        <v>134.5</v>
      </c>
      <c r="K5" s="6" t="n">
        <v>134.5</v>
      </c>
    </row>
    <row r="6">
      <c r="A6" s="6" t="inlineStr">
        <is>
          <t>Change in available-for-sale reserve</t>
        </is>
      </c>
      <c r="B6" s="6" t="n"/>
      <c r="C6" s="6" t="n"/>
      <c r="D6" s="6" t="n"/>
      <c r="E6" s="6" t="n"/>
      <c r="F6" s="6" t="n"/>
      <c r="G6" s="6" t="n"/>
      <c r="H6" s="6" t="n">
        <v>0.4</v>
      </c>
      <c r="I6" s="6" t="n"/>
      <c r="J6" s="6" t="n"/>
      <c r="K6" s="6" t="n">
        <v>0.4</v>
      </c>
    </row>
    <row r="7">
      <c r="A7" s="6" t="inlineStr">
        <is>
          <t>Insertion of parent company (2013 demerger completion)</t>
        </is>
      </c>
      <c r="B7" s="6" t="n">
        <v>0.5</v>
      </c>
      <c r="C7" s="6" t="n">
        <v>769.5</v>
      </c>
      <c r="D7" s="6" t="n"/>
      <c r="E7" s="6" t="n">
        <v>616.5</v>
      </c>
      <c r="F7" s="6" t="n">
        <v>-1386.5</v>
      </c>
      <c r="G7" s="6" t="n"/>
      <c r="H7" s="6" t="n"/>
      <c r="I7" s="6" t="n"/>
      <c r="J7" s="6" t="n"/>
      <c r="K7" s="6" t="n">
        <v>0</v>
      </c>
    </row>
    <row r="8">
      <c r="A8" s="6" t="inlineStr">
        <is>
          <t>Issue of new shares</t>
        </is>
      </c>
      <c r="B8" s="6" t="n">
        <v>4.4</v>
      </c>
      <c r="C8" s="6" t="n">
        <v>195.6</v>
      </c>
      <c r="D8" s="6" t="n"/>
      <c r="E8" s="6" t="n"/>
      <c r="F8" s="6" t="n"/>
      <c r="G8" s="6" t="n"/>
      <c r="H8" s="6" t="n"/>
      <c r="I8" s="6" t="n"/>
      <c r="J8" s="6" t="n"/>
      <c r="K8" s="6" t="n">
        <v>200</v>
      </c>
    </row>
    <row r="9">
      <c r="A9" s="6" t="inlineStr">
        <is>
          <t>Movement in shares held by trusts</t>
        </is>
      </c>
      <c r="B9" s="6" t="n"/>
      <c r="C9" s="6" t="n"/>
      <c r="D9" s="6" t="n"/>
      <c r="E9" s="6" t="n"/>
      <c r="F9" s="6" t="n"/>
      <c r="G9" s="6" t="n"/>
      <c r="H9" s="6" t="n"/>
      <c r="I9" s="6" t="n"/>
      <c r="J9" s="6" t="n">
        <v>-9.1</v>
      </c>
      <c r="K9" s="6" t="n">
        <v>-9.1</v>
      </c>
    </row>
    <row r="10">
      <c r="A10" s="6" t="inlineStr">
        <is>
          <t>Value of partner services</t>
        </is>
      </c>
      <c r="B10" s="6" t="n"/>
      <c r="C10" s="6" t="n"/>
      <c r="D10" s="6" t="n"/>
      <c r="E10" s="6" t="n"/>
      <c r="F10" s="6" t="n"/>
      <c r="G10" s="6" t="n"/>
      <c r="H10" s="6" t="n"/>
      <c r="I10" s="6" t="n"/>
      <c r="J10" s="6" t="n">
        <v>1.9</v>
      </c>
      <c r="K10" s="6" t="n">
        <v>1.9</v>
      </c>
    </row>
    <row r="11">
      <c r="A11" s="5" t="inlineStr">
        <is>
          <t>Balance at 31 December 2014</t>
        </is>
      </c>
      <c r="B11" s="5" t="n">
        <v>5</v>
      </c>
      <c r="C11" s="5" t="n">
        <v>965.1</v>
      </c>
      <c r="D11" s="5" t="n"/>
      <c r="E11" s="5" t="n">
        <v>616.5</v>
      </c>
      <c r="F11" s="5" t="n">
        <v>-1311.6</v>
      </c>
      <c r="G11" s="5" t="n">
        <v>410</v>
      </c>
      <c r="H11" s="5" t="n">
        <v>0.4</v>
      </c>
      <c r="I11" s="5" t="n"/>
      <c r="J11" s="5" t="n">
        <v>949</v>
      </c>
      <c r="K11" s="5" t="n">
        <v>1634.4</v>
      </c>
    </row>
    <row r="12">
      <c r="A12" s="6" t="inlineStr">
        <is>
          <t>Profit for the year</t>
        </is>
      </c>
      <c r="B12" s="6" t="n"/>
      <c r="C12" s="6" t="n"/>
      <c r="D12" s="6" t="n"/>
      <c r="E12" s="6" t="n"/>
      <c r="F12" s="6" t="n"/>
      <c r="G12" s="6" t="n"/>
      <c r="H12" s="6" t="n"/>
      <c r="I12" s="6" t="n"/>
      <c r="J12" s="6" t="n">
        <v>88.8</v>
      </c>
      <c r="K12" s="6" t="n">
        <v>88.8</v>
      </c>
    </row>
    <row r="13">
      <c r="A13" s="6" t="inlineStr">
        <is>
          <t>Change in available-for-sale reserve</t>
        </is>
      </c>
      <c r="B13" s="6" t="n"/>
      <c r="C13" s="6" t="n"/>
      <c r="D13" s="6" t="n"/>
      <c r="E13" s="6" t="n"/>
      <c r="F13" s="6" t="n"/>
      <c r="G13" s="6" t="n"/>
      <c r="H13" s="6" t="n">
        <v>15.9</v>
      </c>
      <c r="I13" s="6" t="n"/>
      <c r="J13" s="6" t="n"/>
      <c r="K13" s="6" t="n">
        <v>15.9</v>
      </c>
    </row>
    <row r="14">
      <c r="A14" s="6" t="inlineStr">
        <is>
          <t>Change in cash flow hedging reserve</t>
        </is>
      </c>
      <c r="B14" s="6" t="n"/>
      <c r="C14" s="6" t="n"/>
      <c r="D14" s="6" t="n"/>
      <c r="E14" s="6" t="n"/>
      <c r="F14" s="6" t="n"/>
      <c r="G14" s="6" t="n"/>
      <c r="H14" s="6" t="n"/>
      <c r="I14" s="6" t="n">
        <v>-0.9</v>
      </c>
      <c r="J14" s="6" t="n"/>
      <c r="K14" s="6" t="n">
        <v>-0.9</v>
      </c>
    </row>
    <row r="15">
      <c r="A15" s="6" t="inlineStr">
        <is>
          <t>Movement in shares held by trusts</t>
        </is>
      </c>
      <c r="B15" s="6" t="n"/>
      <c r="C15" s="6" t="n"/>
      <c r="D15" s="6" t="n"/>
      <c r="E15" s="6" t="n"/>
      <c r="F15" s="6" t="n"/>
      <c r="G15" s="6" t="n"/>
      <c r="H15" s="6" t="n"/>
      <c r="I15" s="6" t="n"/>
      <c r="J15" s="6" t="n">
        <v>9.1</v>
      </c>
      <c r="K15" s="6" t="n">
        <v>9.1</v>
      </c>
    </row>
    <row r="16">
      <c r="A16" s="6" t="inlineStr">
        <is>
          <t>Reclassification of equity settled share schemes to cash settled</t>
        </is>
      </c>
      <c r="B16" s="6" t="n"/>
      <c r="C16" s="6" t="n"/>
      <c r="D16" s="6" t="n"/>
      <c r="E16" s="6" t="n"/>
      <c r="F16" s="6" t="n"/>
      <c r="G16" s="6" t="n"/>
      <c r="H16" s="6" t="n"/>
      <c r="I16" s="6" t="n"/>
      <c r="J16" s="6" t="n">
        <v>-3.1</v>
      </c>
      <c r="K16" s="6" t="n">
        <v>-3.1</v>
      </c>
    </row>
    <row r="17">
      <c r="A17" s="6" t="inlineStr">
        <is>
          <t>Value of partner services</t>
        </is>
      </c>
      <c r="B17" s="6" t="n"/>
      <c r="C17" s="6" t="n"/>
      <c r="D17" s="6" t="n"/>
      <c r="E17" s="6" t="n"/>
      <c r="F17" s="6" t="n"/>
      <c r="G17" s="6" t="n"/>
      <c r="H17" s="6" t="n"/>
      <c r="I17" s="6" t="n"/>
      <c r="J17" s="6" t="n">
        <v>2.1</v>
      </c>
      <c r="K17" s="6" t="n">
        <v>2.1</v>
      </c>
    </row>
    <row r="18">
      <c r="A18" s="5" t="inlineStr">
        <is>
          <t>Balance at 31 December 2015</t>
        </is>
      </c>
      <c r="B18" s="5" t="n">
        <v>5</v>
      </c>
      <c r="C18" s="5" t="n">
        <v>965.1</v>
      </c>
      <c r="D18" s="5" t="n"/>
      <c r="E18" s="5" t="n">
        <v>616.5</v>
      </c>
      <c r="F18" s="5" t="n">
        <v>-1311.6</v>
      </c>
      <c r="G18" s="5" t="n">
        <v>410</v>
      </c>
      <c r="H18" s="5" t="n">
        <v>16.3</v>
      </c>
      <c r="I18" s="5" t="n">
        <v>-0.9</v>
      </c>
      <c r="J18" s="5" t="n">
        <v>1045.9</v>
      </c>
      <c r="K18" s="5" t="n">
        <v>1746.3</v>
      </c>
    </row>
    <row r="19">
      <c r="A19" s="6" t="inlineStr">
        <is>
          <t>Profit for the year</t>
        </is>
      </c>
      <c r="B19" s="6" t="n"/>
      <c r="C19" s="6" t="n"/>
      <c r="D19" s="6" t="n"/>
      <c r="E19" s="6" t="n"/>
      <c r="F19" s="6" t="n"/>
      <c r="G19" s="6" t="n"/>
      <c r="H19" s="6" t="n"/>
      <c r="I19" s="6" t="n"/>
      <c r="J19" s="6" t="n">
        <v>127.8</v>
      </c>
      <c r="K19" s="6" t="n">
        <v>127.8</v>
      </c>
    </row>
    <row r="20">
      <c r="A20" s="6" t="inlineStr">
        <is>
          <t>Change in available-for-sale reserve</t>
        </is>
      </c>
      <c r="B20" s="6" t="n"/>
      <c r="C20" s="6" t="n"/>
      <c r="D20" s="6" t="n"/>
      <c r="E20" s="6" t="n"/>
      <c r="F20" s="6" t="n"/>
      <c r="G20" s="6" t="n"/>
      <c r="H20" s="6" t="n">
        <v>-10.4</v>
      </c>
      <c r="I20" s="6" t="n"/>
      <c r="J20" s="6" t="n"/>
      <c r="K20" s="6" t="n">
        <v>-10.4</v>
      </c>
    </row>
    <row r="21">
      <c r="A21" s="6" t="inlineStr">
        <is>
          <t>Change in cash flow hedging reserve</t>
        </is>
      </c>
      <c r="B21" s="6" t="n"/>
      <c r="C21" s="6" t="n"/>
      <c r="D21" s="6" t="n"/>
      <c r="E21" s="6" t="n"/>
      <c r="F21" s="6" t="n"/>
      <c r="G21" s="6" t="n"/>
      <c r="H21" s="6" t="n"/>
      <c r="I21" s="6" t="n">
        <v>1.3</v>
      </c>
      <c r="J21" s="6" t="n"/>
      <c r="K21" s="6" t="n">
        <v>1.3</v>
      </c>
    </row>
    <row r="22">
      <c r="A22" s="5" t="inlineStr">
        <is>
          <t>Balance at 31 December 2016</t>
        </is>
      </c>
      <c r="B22" s="5" t="n">
        <v>5</v>
      </c>
      <c r="C22" s="5" t="n">
        <v>965.1</v>
      </c>
      <c r="D22" s="5" t="n"/>
      <c r="E22" s="5" t="n">
        <v>616.5</v>
      </c>
      <c r="F22" s="5" t="n">
        <v>-1311.6</v>
      </c>
      <c r="G22" s="5" t="n">
        <v>410</v>
      </c>
      <c r="H22" s="5" t="n">
        <v>5.9</v>
      </c>
      <c r="I22" s="5" t="n">
        <v>0.4</v>
      </c>
      <c r="J22" s="5" t="n">
        <v>1173.7</v>
      </c>
      <c r="K22" s="5" t="n">
        <v>1865</v>
      </c>
    </row>
    <row r="23">
      <c r="A23" s="5" t="inlineStr">
        <is>
          <t>Balance at 1 January 2017 (TSB Bank plc entity basis)</t>
        </is>
      </c>
      <c r="B23" s="5" t="n">
        <v>79.40000000000001</v>
      </c>
      <c r="C23" s="5" t="n">
        <v>195.6</v>
      </c>
      <c r="D23" s="5" t="n"/>
      <c r="E23" s="5" t="n">
        <v>412.8</v>
      </c>
      <c r="F23" s="5" t="n"/>
      <c r="G23" s="5" t="n"/>
      <c r="H23" s="5" t="n">
        <v>5.9</v>
      </c>
      <c r="I23" s="5" t="n">
        <v>0.4</v>
      </c>
      <c r="J23" s="5" t="n">
        <v>1185.5</v>
      </c>
      <c r="K23" s="5" t="n">
        <v>1879.6</v>
      </c>
    </row>
    <row r="24">
      <c r="A24" s="6" t="inlineStr">
        <is>
          <t>Profit for the year</t>
        </is>
      </c>
      <c r="B24" s="6" t="n"/>
      <c r="C24" s="6" t="n"/>
      <c r="D24" s="6" t="n"/>
      <c r="E24" s="6" t="n"/>
      <c r="F24" s="6" t="n"/>
      <c r="G24" s="6" t="n"/>
      <c r="H24" s="6" t="n"/>
      <c r="I24" s="6" t="n"/>
      <c r="J24" s="6" t="n">
        <v>115.1</v>
      </c>
      <c r="K24" s="6" t="n">
        <v>115.1</v>
      </c>
    </row>
    <row r="25">
      <c r="A25" s="6" t="inlineStr">
        <is>
          <t>Change in available-for-sale reserve</t>
        </is>
      </c>
      <c r="B25" s="6" t="n"/>
      <c r="C25" s="6" t="n"/>
      <c r="D25" s="6" t="n"/>
      <c r="E25" s="6" t="n"/>
      <c r="F25" s="6" t="n"/>
      <c r="G25" s="6" t="n"/>
      <c r="H25" s="6" t="n">
        <v>12.8</v>
      </c>
      <c r="I25" s="6" t="n"/>
      <c r="J25" s="6" t="n"/>
      <c r="K25" s="6" t="n">
        <v>12.8</v>
      </c>
    </row>
    <row r="26">
      <c r="A26" s="6" t="inlineStr">
        <is>
          <t>Change in cash flow hedging reserve</t>
        </is>
      </c>
      <c r="B26" s="6" t="n"/>
      <c r="C26" s="6" t="n"/>
      <c r="D26" s="6" t="n"/>
      <c r="E26" s="6" t="n"/>
      <c r="F26" s="6" t="n"/>
      <c r="G26" s="6" t="n"/>
      <c r="H26" s="6" t="n"/>
      <c r="I26" s="6" t="n">
        <v>-0.9</v>
      </c>
      <c r="J26" s="6" t="n"/>
      <c r="K26" s="6" t="n">
        <v>-0.9</v>
      </c>
    </row>
    <row r="27">
      <c r="A27" s="5" t="inlineStr">
        <is>
          <t>Balance at 31 December 2017</t>
        </is>
      </c>
      <c r="B27" s="5" t="n">
        <v>79.40000000000001</v>
      </c>
      <c r="C27" s="5" t="n">
        <v>195.6</v>
      </c>
      <c r="D27" s="5" t="n"/>
      <c r="E27" s="5" t="n">
        <v>412.8</v>
      </c>
      <c r="F27" s="5" t="n"/>
      <c r="G27" s="5" t="n"/>
      <c r="H27" s="5" t="n">
        <v>18.7</v>
      </c>
      <c r="I27" s="5" t="n">
        <v>-0.5</v>
      </c>
      <c r="J27" s="5" t="n">
        <v>1300.6</v>
      </c>
      <c r="K27" s="5" t="n">
        <v>2006.6</v>
      </c>
    </row>
    <row r="28">
      <c r="A28" s="6" t="inlineStr">
        <is>
          <t>Change on initial application of IFRS 9 (available-for-sale reserve 18.7 replaced by fair value reserve 16.9; both use the merged column here)</t>
        </is>
      </c>
      <c r="B28" s="6" t="n"/>
      <c r="C28" s="6" t="n"/>
      <c r="D28" s="6" t="n"/>
      <c r="E28" s="6" t="n"/>
      <c r="F28" s="6" t="n"/>
      <c r="G28" s="6" t="n"/>
      <c r="H28" s="6" t="n">
        <v>-1.8</v>
      </c>
      <c r="I28" s="6" t="n"/>
      <c r="J28" s="6" t="n">
        <v>-70.09999999999999</v>
      </c>
      <c r="K28" s="6" t="n">
        <v>-71.90000000000001</v>
      </c>
    </row>
    <row r="29">
      <c r="A29" s="6" t="inlineStr">
        <is>
          <t>Change on initial application of IFRS 15</t>
        </is>
      </c>
      <c r="B29" s="6" t="n"/>
      <c r="C29" s="6" t="n"/>
      <c r="D29" s="6" t="n"/>
      <c r="E29" s="6" t="n"/>
      <c r="F29" s="6" t="n"/>
      <c r="G29" s="6" t="n"/>
      <c r="H29" s="6" t="n"/>
      <c r="I29" s="6" t="n"/>
      <c r="J29" s="6" t="n">
        <v>4.3</v>
      </c>
      <c r="K29" s="6" t="n">
        <v>4.3</v>
      </c>
    </row>
    <row r="30">
      <c r="A30" s="5" t="inlineStr">
        <is>
          <t>Balance at 1 January 2018</t>
        </is>
      </c>
      <c r="B30" s="5" t="n">
        <v>79.40000000000001</v>
      </c>
      <c r="C30" s="5" t="n">
        <v>195.6</v>
      </c>
      <c r="D30" s="5" t="n"/>
      <c r="E30" s="5" t="n">
        <v>412.8</v>
      </c>
      <c r="F30" s="5" t="n"/>
      <c r="G30" s="5" t="n"/>
      <c r="H30" s="5" t="n">
        <v>16.9</v>
      </c>
      <c r="I30" s="5" t="n">
        <v>-0.5</v>
      </c>
      <c r="J30" s="5" t="n">
        <v>1234.8</v>
      </c>
      <c r="K30" s="5" t="n">
        <v>1939</v>
      </c>
    </row>
    <row r="31">
      <c r="A31" s="6" t="inlineStr">
        <is>
          <t>Loss for the year</t>
        </is>
      </c>
      <c r="B31" s="6" t="n"/>
      <c r="C31" s="6" t="n"/>
      <c r="D31" s="6" t="n"/>
      <c r="E31" s="6" t="n"/>
      <c r="F31" s="6" t="n"/>
      <c r="G31" s="6" t="n"/>
      <c r="H31" s="6" t="n"/>
      <c r="I31" s="6" t="n"/>
      <c r="J31" s="6" t="n">
        <v>-59.1</v>
      </c>
      <c r="K31" s="6" t="n">
        <v>-59.1</v>
      </c>
    </row>
    <row r="32">
      <c r="A32" s="6" t="inlineStr">
        <is>
          <t>Change in fair value reserve</t>
        </is>
      </c>
      <c r="B32" s="6" t="n"/>
      <c r="C32" s="6" t="n"/>
      <c r="D32" s="6" t="n"/>
      <c r="E32" s="6" t="n"/>
      <c r="F32" s="6" t="n"/>
      <c r="G32" s="6" t="n"/>
      <c r="H32" s="6" t="n">
        <v>1.7</v>
      </c>
      <c r="I32" s="6" t="n"/>
      <c r="J32" s="6" t="n"/>
      <c r="K32" s="6" t="n">
        <v>1.7</v>
      </c>
    </row>
    <row r="33">
      <c r="A33" s="6" t="inlineStr">
        <is>
          <t>Change in cash flow hedging reserve</t>
        </is>
      </c>
      <c r="B33" s="6" t="n"/>
      <c r="C33" s="6" t="n"/>
      <c r="D33" s="6" t="n"/>
      <c r="E33" s="6" t="n"/>
      <c r="F33" s="6" t="n"/>
      <c r="G33" s="6" t="n"/>
      <c r="H33" s="6" t="n"/>
      <c r="I33" s="6" t="n">
        <v>-2.7</v>
      </c>
      <c r="J33" s="6" t="n"/>
      <c r="K33" s="6" t="n">
        <v>-2.7</v>
      </c>
    </row>
    <row r="34">
      <c r="A34" s="5" t="inlineStr">
        <is>
          <t>Balance at 31 December 2018</t>
        </is>
      </c>
      <c r="B34" s="5" t="n">
        <v>79.40000000000001</v>
      </c>
      <c r="C34" s="5" t="n">
        <v>195.6</v>
      </c>
      <c r="D34" s="5" t="n"/>
      <c r="E34" s="5" t="n">
        <v>412.8</v>
      </c>
      <c r="F34" s="5" t="n"/>
      <c r="G34" s="5" t="n"/>
      <c r="H34" s="5" t="n">
        <v>18.6</v>
      </c>
      <c r="I34" s="5" t="n">
        <v>-3.2</v>
      </c>
      <c r="J34" s="5" t="n">
        <v>1175.7</v>
      </c>
      <c r="K34" s="5" t="n">
        <v>1878.9</v>
      </c>
    </row>
    <row r="35">
      <c r="A35" s="6" t="inlineStr">
        <is>
          <t>Profit for the year</t>
        </is>
      </c>
      <c r="B35" s="6" t="n"/>
      <c r="C35" s="6" t="n"/>
      <c r="D35" s="6" t="n"/>
      <c r="E35" s="6" t="n"/>
      <c r="F35" s="6" t="n"/>
      <c r="G35" s="6" t="n"/>
      <c r="H35" s="6" t="n"/>
      <c r="I35" s="6" t="n"/>
      <c r="J35" s="6" t="n">
        <v>26.2</v>
      </c>
      <c r="K35" s="6" t="n">
        <v>26.2</v>
      </c>
    </row>
    <row r="36">
      <c r="A36" s="6" t="inlineStr">
        <is>
          <t>Change in fair value reserve</t>
        </is>
      </c>
      <c r="B36" s="6" t="n"/>
      <c r="C36" s="6" t="n"/>
      <c r="D36" s="6" t="n"/>
      <c r="E36" s="6" t="n"/>
      <c r="F36" s="6" t="n"/>
      <c r="G36" s="6" t="n"/>
      <c r="H36" s="6" t="n">
        <v>-5</v>
      </c>
      <c r="I36" s="6" t="n"/>
      <c r="J36" s="6" t="n"/>
      <c r="K36" s="6" t="n">
        <v>-5</v>
      </c>
    </row>
    <row r="37">
      <c r="A37" s="6" t="inlineStr">
        <is>
          <t>Change in cash flow hedging reserve</t>
        </is>
      </c>
      <c r="B37" s="6" t="n"/>
      <c r="C37" s="6" t="n"/>
      <c r="D37" s="6" t="n"/>
      <c r="E37" s="6" t="n"/>
      <c r="F37" s="6" t="n"/>
      <c r="G37" s="6" t="n"/>
      <c r="H37" s="6" t="n"/>
      <c r="I37" s="6" t="n">
        <v>0.7</v>
      </c>
      <c r="J37" s="6" t="n"/>
      <c r="K37" s="6" t="n">
        <v>0.7</v>
      </c>
    </row>
    <row r="38">
      <c r="A38" s="5" t="inlineStr">
        <is>
          <t>Balance at 31 December 2019</t>
        </is>
      </c>
      <c r="B38" s="5" t="n">
        <v>79.40000000000001</v>
      </c>
      <c r="C38" s="5" t="n">
        <v>195.6</v>
      </c>
      <c r="D38" s="5" t="n"/>
      <c r="E38" s="5" t="n">
        <v>412.8</v>
      </c>
      <c r="F38" s="5" t="n"/>
      <c r="G38" s="5" t="n"/>
      <c r="H38" s="5" t="n">
        <v>13.6</v>
      </c>
      <c r="I38" s="5" t="n">
        <v>-2.5</v>
      </c>
      <c r="J38" s="5" t="n">
        <v>1201.9</v>
      </c>
      <c r="K38" s="5" t="n">
        <v>1900.8</v>
      </c>
    </row>
    <row r="39">
      <c r="A39" s="6" t="inlineStr">
        <is>
          <t>Loss for the year</t>
        </is>
      </c>
      <c r="B39" s="6" t="n"/>
      <c r="C39" s="6" t="n"/>
      <c r="D39" s="6" t="n"/>
      <c r="E39" s="6" t="n"/>
      <c r="F39" s="6" t="n"/>
      <c r="G39" s="6" t="n"/>
      <c r="H39" s="6" t="n"/>
      <c r="I39" s="6" t="n"/>
      <c r="J39" s="6" t="n">
        <v>-156.2</v>
      </c>
      <c r="K39" s="6" t="n">
        <v>-156.2</v>
      </c>
    </row>
    <row r="40">
      <c r="A40" s="6" t="inlineStr">
        <is>
          <t>Change in fair value reserve</t>
        </is>
      </c>
      <c r="B40" s="6" t="n"/>
      <c r="C40" s="6" t="n"/>
      <c r="D40" s="6" t="n"/>
      <c r="E40" s="6" t="n"/>
      <c r="F40" s="6" t="n"/>
      <c r="G40" s="6" t="n"/>
      <c r="H40" s="6" t="n">
        <v>-2</v>
      </c>
      <c r="I40" s="6" t="n"/>
      <c r="J40" s="6" t="n"/>
      <c r="K40" s="6" t="n">
        <v>-2</v>
      </c>
    </row>
    <row r="41">
      <c r="A41" s="6" t="inlineStr">
        <is>
          <t>Change in cash flow hedging reserve</t>
        </is>
      </c>
      <c r="B41" s="6" t="n"/>
      <c r="C41" s="6" t="n"/>
      <c r="D41" s="6" t="n"/>
      <c r="E41" s="6" t="n"/>
      <c r="F41" s="6" t="n"/>
      <c r="G41" s="6" t="n"/>
      <c r="H41" s="6" t="n"/>
      <c r="I41" s="6" t="n">
        <v>-17.7</v>
      </c>
      <c r="J41" s="6" t="n"/>
      <c r="K41" s="6" t="n">
        <v>-17.7</v>
      </c>
    </row>
    <row r="42">
      <c r="A42" s="5" t="inlineStr">
        <is>
          <t>Balance at 31 December 2020</t>
        </is>
      </c>
      <c r="B42" s="5" t="n">
        <v>79.40000000000001</v>
      </c>
      <c r="C42" s="5" t="n">
        <v>195.6</v>
      </c>
      <c r="D42" s="5" t="n"/>
      <c r="E42" s="5" t="n">
        <v>412.8</v>
      </c>
      <c r="F42" s="5" t="n"/>
      <c r="G42" s="5" t="n"/>
      <c r="H42" s="5" t="n">
        <v>11.6</v>
      </c>
      <c r="I42" s="5" t="n">
        <v>-20.2</v>
      </c>
      <c r="J42" s="5" t="n">
        <v>1045.7</v>
      </c>
      <c r="K42" s="5" t="n">
        <v>1724.9</v>
      </c>
    </row>
    <row r="43">
      <c r="A43" s="5" t="inlineStr">
        <is>
          <t>Balance at 1 January 2021</t>
        </is>
      </c>
      <c r="B43" s="5" t="n">
        <v>79.40000000000001</v>
      </c>
      <c r="C43" s="5" t="n">
        <v>195.6</v>
      </c>
      <c r="D43" s="5" t="n"/>
      <c r="E43" s="5" t="n">
        <v>412.8</v>
      </c>
      <c r="F43" s="5" t="n"/>
      <c r="G43" s="5" t="n"/>
      <c r="H43" s="5" t="n">
        <v>11.6</v>
      </c>
      <c r="I43" s="5" t="n">
        <v>-20.2</v>
      </c>
      <c r="J43" s="5" t="n">
        <v>1045.7</v>
      </c>
      <c r="K43" s="5" t="n">
        <v>1724.9</v>
      </c>
    </row>
    <row r="44">
      <c r="A44" s="6" t="inlineStr">
        <is>
          <t>Profit for the year</t>
        </is>
      </c>
      <c r="B44" s="6" t="n"/>
      <c r="C44" s="6" t="n"/>
      <c r="D44" s="6" t="n"/>
      <c r="E44" s="6" t="n"/>
      <c r="F44" s="6" t="n"/>
      <c r="G44" s="6" t="n"/>
      <c r="H44" s="6" t="n"/>
      <c r="I44" s="6" t="n"/>
      <c r="J44" s="6" t="n">
        <v>128.4</v>
      </c>
      <c r="K44" s="6" t="n">
        <v>128.4</v>
      </c>
    </row>
    <row r="45">
      <c r="A45" s="6" t="inlineStr">
        <is>
          <t>Change in fair value reserve</t>
        </is>
      </c>
      <c r="B45" s="6" t="n"/>
      <c r="C45" s="6" t="n"/>
      <c r="D45" s="6" t="n"/>
      <c r="E45" s="6" t="n"/>
      <c r="F45" s="6" t="n"/>
      <c r="G45" s="6" t="n"/>
      <c r="H45" s="6" t="n">
        <v>-0.5</v>
      </c>
      <c r="I45" s="6" t="n"/>
      <c r="J45" s="6" t="n"/>
      <c r="K45" s="6" t="n">
        <v>-0.5</v>
      </c>
    </row>
    <row r="46">
      <c r="A46" s="6" t="inlineStr">
        <is>
          <t>Change in cash flow hedging reserve</t>
        </is>
      </c>
      <c r="B46" s="6" t="n"/>
      <c r="C46" s="6" t="n"/>
      <c r="D46" s="6" t="n"/>
      <c r="E46" s="6" t="n"/>
      <c r="F46" s="6" t="n"/>
      <c r="G46" s="6" t="n"/>
      <c r="H46" s="6" t="n"/>
      <c r="I46" s="6" t="n">
        <v>13.6</v>
      </c>
      <c r="J46" s="6" t="n"/>
      <c r="K46" s="6" t="n">
        <v>13.6</v>
      </c>
    </row>
    <row r="47">
      <c r="A47" s="5" t="inlineStr">
        <is>
          <t>Balance at 31 December 2021</t>
        </is>
      </c>
      <c r="B47" s="5" t="n">
        <v>79.40000000000001</v>
      </c>
      <c r="C47" s="5" t="n">
        <v>195.6</v>
      </c>
      <c r="D47" s="5" t="n"/>
      <c r="E47" s="5" t="n">
        <v>412.8</v>
      </c>
      <c r="F47" s="5" t="n"/>
      <c r="G47" s="5" t="n"/>
      <c r="H47" s="5" t="n">
        <v>11.1</v>
      </c>
      <c r="I47" s="5" t="n">
        <v>-6.6</v>
      </c>
      <c r="J47" s="5" t="n">
        <v>1174.1</v>
      </c>
      <c r="K47" s="5" t="n">
        <v>1866.4</v>
      </c>
    </row>
    <row r="48">
      <c r="A48" s="6" t="inlineStr">
        <is>
          <t>Profit for the year</t>
        </is>
      </c>
      <c r="B48" s="6" t="n"/>
      <c r="C48" s="6" t="n"/>
      <c r="D48" s="6" t="n"/>
      <c r="E48" s="6" t="n"/>
      <c r="F48" s="6" t="n"/>
      <c r="G48" s="6" t="n"/>
      <c r="H48" s="6" t="n"/>
      <c r="I48" s="6" t="n"/>
      <c r="J48" s="6" t="n">
        <v>100.6</v>
      </c>
      <c r="K48" s="6" t="n">
        <v>100.6</v>
      </c>
    </row>
    <row r="49">
      <c r="A49" s="6" t="inlineStr">
        <is>
          <t>Change in fair value reserve</t>
        </is>
      </c>
      <c r="B49" s="6" t="n"/>
      <c r="C49" s="6" t="n"/>
      <c r="D49" s="6" t="n"/>
      <c r="E49" s="6" t="n"/>
      <c r="F49" s="6" t="n"/>
      <c r="G49" s="6" t="n"/>
      <c r="H49" s="6" t="n">
        <v>-17.2</v>
      </c>
      <c r="I49" s="6" t="n"/>
      <c r="J49" s="6" t="n"/>
      <c r="K49" s="6" t="n">
        <v>-17.2</v>
      </c>
    </row>
    <row r="50">
      <c r="A50" s="6" t="inlineStr">
        <is>
          <t>Change in cash flow hedging reserve</t>
        </is>
      </c>
      <c r="B50" s="6" t="n"/>
      <c r="C50" s="6" t="n"/>
      <c r="D50" s="6" t="n"/>
      <c r="E50" s="6" t="n"/>
      <c r="F50" s="6" t="n"/>
      <c r="G50" s="6" t="n"/>
      <c r="H50" s="6" t="n"/>
      <c r="I50" s="6" t="n">
        <v>47</v>
      </c>
      <c r="J50" s="6" t="n"/>
      <c r="K50" s="6" t="n">
        <v>47</v>
      </c>
    </row>
    <row r="51">
      <c r="A51" s="6" t="inlineStr">
        <is>
          <t>Dividend paid</t>
        </is>
      </c>
      <c r="B51" s="6" t="n"/>
      <c r="C51" s="6" t="n"/>
      <c r="D51" s="6" t="n"/>
      <c r="E51" s="6" t="n"/>
      <c r="F51" s="6" t="n"/>
      <c r="G51" s="6" t="n"/>
      <c r="H51" s="6" t="n"/>
      <c r="I51" s="6" t="n"/>
      <c r="J51" s="6" t="n">
        <v>-67</v>
      </c>
      <c r="K51" s="6" t="n">
        <v>-67</v>
      </c>
    </row>
    <row r="52">
      <c r="A52" s="5" t="inlineStr">
        <is>
          <t>Balance at 31 December 2022</t>
        </is>
      </c>
      <c r="B52" s="5" t="n">
        <v>79.40000000000001</v>
      </c>
      <c r="C52" s="5" t="n">
        <v>195.6</v>
      </c>
      <c r="D52" s="5" t="n"/>
      <c r="E52" s="5" t="n">
        <v>412.8</v>
      </c>
      <c r="F52" s="5" t="n"/>
      <c r="G52" s="5" t="n"/>
      <c r="H52" s="5" t="n">
        <v>-6.1</v>
      </c>
      <c r="I52" s="5" t="n">
        <v>40.4</v>
      </c>
      <c r="J52" s="5" t="n">
        <v>1207.7</v>
      </c>
      <c r="K52" s="5" t="n">
        <v>1929.8</v>
      </c>
    </row>
    <row r="53">
      <c r="A53" s="6" t="inlineStr">
        <is>
          <t>Profit for the year</t>
        </is>
      </c>
      <c r="B53" s="6" t="n"/>
      <c r="C53" s="6" t="n"/>
      <c r="D53" s="6" t="n"/>
      <c r="E53" s="6" t="n"/>
      <c r="F53" s="6" t="n"/>
      <c r="G53" s="6" t="n"/>
      <c r="H53" s="6" t="n"/>
      <c r="I53" s="6" t="n"/>
      <c r="J53" s="6" t="n">
        <v>173.4</v>
      </c>
      <c r="K53" s="6" t="n">
        <v>173.4</v>
      </c>
    </row>
    <row r="54">
      <c r="A54" s="6" t="inlineStr">
        <is>
          <t>Change in fair value reserve</t>
        </is>
      </c>
      <c r="B54" s="6" t="n"/>
      <c r="C54" s="6" t="n"/>
      <c r="D54" s="6" t="n"/>
      <c r="E54" s="6" t="n"/>
      <c r="F54" s="6" t="n"/>
      <c r="G54" s="6" t="n"/>
      <c r="H54" s="6" t="n">
        <v>-0.4</v>
      </c>
      <c r="I54" s="6" t="n"/>
      <c r="J54" s="6" t="n"/>
      <c r="K54" s="6" t="n">
        <v>-0.4</v>
      </c>
    </row>
    <row r="55">
      <c r="A55" s="6" t="inlineStr">
        <is>
          <t>Change in cash flow hedging reserve</t>
        </is>
      </c>
      <c r="B55" s="6" t="n"/>
      <c r="C55" s="6" t="n"/>
      <c r="D55" s="6" t="n"/>
      <c r="E55" s="6" t="n"/>
      <c r="F55" s="6" t="n"/>
      <c r="G55" s="6" t="n"/>
      <c r="H55" s="6" t="n"/>
      <c r="I55" s="6" t="n">
        <v>-28.2</v>
      </c>
      <c r="J55" s="6" t="n"/>
      <c r="K55" s="6" t="n">
        <v>-28.2</v>
      </c>
    </row>
    <row r="56">
      <c r="A56" s="6" t="inlineStr">
        <is>
          <t>Dividend paid</t>
        </is>
      </c>
      <c r="B56" s="6" t="n"/>
      <c r="C56" s="6" t="n"/>
      <c r="D56" s="6" t="n"/>
      <c r="E56" s="6" t="n"/>
      <c r="F56" s="6" t="n"/>
      <c r="G56" s="6" t="n"/>
      <c r="H56" s="6" t="n"/>
      <c r="I56" s="6" t="n"/>
      <c r="J56" s="6" t="n">
        <v>-120</v>
      </c>
      <c r="K56" s="6" t="n">
        <v>-120</v>
      </c>
    </row>
    <row r="57">
      <c r="A57" s="5" t="inlineStr">
        <is>
          <t>Balance at 31 December 2023</t>
        </is>
      </c>
      <c r="B57" s="5" t="n">
        <v>79.40000000000001</v>
      </c>
      <c r="C57" s="5" t="n">
        <v>195.6</v>
      </c>
      <c r="D57" s="5" t="n"/>
      <c r="E57" s="5" t="n">
        <v>412.8</v>
      </c>
      <c r="F57" s="5" t="n"/>
      <c r="G57" s="5" t="n"/>
      <c r="H57" s="5" t="n">
        <v>-6.5</v>
      </c>
      <c r="I57" s="5" t="n">
        <v>12.2</v>
      </c>
      <c r="J57" s="5" t="n">
        <v>1261.1</v>
      </c>
      <c r="K57" s="5" t="n">
        <v>1954.6</v>
      </c>
    </row>
    <row r="58">
      <c r="A58" s="6" t="inlineStr">
        <is>
          <t>Profit for the year</t>
        </is>
      </c>
      <c r="B58" s="6" t="n"/>
      <c r="C58" s="6" t="n"/>
      <c r="D58" s="6" t="n"/>
      <c r="E58" s="6" t="n"/>
      <c r="F58" s="6" t="n"/>
      <c r="G58" s="6" t="n"/>
      <c r="H58" s="6" t="n"/>
      <c r="I58" s="6" t="n"/>
      <c r="J58" s="6" t="n">
        <v>203.8</v>
      </c>
      <c r="K58" s="6" t="n">
        <v>203.8</v>
      </c>
    </row>
    <row r="59">
      <c r="A59" s="6" t="inlineStr">
        <is>
          <t>Change in fair value reserve</t>
        </is>
      </c>
      <c r="B59" s="6" t="n"/>
      <c r="C59" s="6" t="n"/>
      <c r="D59" s="6" t="n"/>
      <c r="E59" s="6" t="n"/>
      <c r="F59" s="6" t="n"/>
      <c r="G59" s="6" t="n"/>
      <c r="H59" s="6" t="n">
        <v>-1.5</v>
      </c>
      <c r="I59" s="6" t="n"/>
      <c r="J59" s="6" t="n"/>
      <c r="K59" s="6" t="n">
        <v>-1.5</v>
      </c>
    </row>
    <row r="60">
      <c r="A60" s="6" t="inlineStr">
        <is>
          <t>Change in cash flow hedging reserve</t>
        </is>
      </c>
      <c r="B60" s="6" t="n"/>
      <c r="C60" s="6" t="n"/>
      <c r="D60" s="6" t="n"/>
      <c r="E60" s="6" t="n"/>
      <c r="F60" s="6" t="n"/>
      <c r="G60" s="6" t="n"/>
      <c r="H60" s="6" t="n"/>
      <c r="I60" s="6" t="n">
        <v>13.8</v>
      </c>
      <c r="J60" s="6" t="n"/>
      <c r="K60" s="6" t="n">
        <v>13.8</v>
      </c>
    </row>
    <row r="61">
      <c r="A61" s="6" t="inlineStr">
        <is>
          <t>Issue of Additional Tier 1 Securities</t>
        </is>
      </c>
      <c r="B61" s="6" t="n"/>
      <c r="C61" s="6" t="n"/>
      <c r="D61" s="6" t="n">
        <v>250</v>
      </c>
      <c r="E61" s="6" t="n"/>
      <c r="F61" s="6" t="n"/>
      <c r="G61" s="6" t="n"/>
      <c r="H61" s="6" t="n"/>
      <c r="I61" s="6" t="n"/>
      <c r="J61" s="6" t="n"/>
      <c r="K61" s="6" t="n">
        <v>250</v>
      </c>
    </row>
    <row r="62">
      <c r="A62" s="6" t="inlineStr">
        <is>
          <t>Dividends paid on ordinary shares</t>
        </is>
      </c>
      <c r="B62" s="6" t="n"/>
      <c r="C62" s="6" t="n"/>
      <c r="D62" s="6" t="n"/>
      <c r="E62" s="6" t="n"/>
      <c r="F62" s="6" t="n"/>
      <c r="G62" s="6" t="n"/>
      <c r="H62" s="6" t="n"/>
      <c r="I62" s="6" t="n"/>
      <c r="J62" s="6" t="n">
        <v>-300</v>
      </c>
      <c r="K62" s="6" t="n">
        <v>-300</v>
      </c>
    </row>
    <row r="63">
      <c r="A63" s="5" t="inlineStr">
        <is>
          <t>Balance at 31 December 2024</t>
        </is>
      </c>
      <c r="B63" s="5" t="n">
        <v>79.40000000000001</v>
      </c>
      <c r="C63" s="5" t="n">
        <v>195.6</v>
      </c>
      <c r="D63" s="5" t="n">
        <v>250</v>
      </c>
      <c r="E63" s="5" t="n">
        <v>412.8</v>
      </c>
      <c r="F63" s="5" t="n"/>
      <c r="G63" s="5" t="n"/>
      <c r="H63" s="5" t="n">
        <v>-8</v>
      </c>
      <c r="I63" s="5" t="n">
        <v>26</v>
      </c>
      <c r="J63" s="5" t="n">
        <v>1164.9</v>
      </c>
      <c r="K63" s="5" t="n">
        <v>2120.7</v>
      </c>
    </row>
    <row r="64">
      <c r="A64" s="6" t="inlineStr">
        <is>
          <t>Profit for the year</t>
        </is>
      </c>
      <c r="B64" s="6" t="n"/>
      <c r="C64" s="6" t="n"/>
      <c r="D64" s="6" t="n"/>
      <c r="E64" s="6" t="n"/>
      <c r="F64" s="6" t="n"/>
      <c r="G64" s="6" t="n"/>
      <c r="H64" s="6" t="n"/>
      <c r="I64" s="6" t="n"/>
      <c r="J64" s="6" t="n">
        <v>251.1</v>
      </c>
      <c r="K64" s="6" t="n">
        <v>251.1</v>
      </c>
    </row>
    <row r="65">
      <c r="A65" s="6" t="inlineStr">
        <is>
          <t>Change in fair value reserve</t>
        </is>
      </c>
      <c r="B65" s="6" t="n"/>
      <c r="C65" s="6" t="n"/>
      <c r="D65" s="6" t="n"/>
      <c r="E65" s="6" t="n"/>
      <c r="F65" s="6" t="n"/>
      <c r="G65" s="6" t="n"/>
      <c r="H65" s="6" t="n">
        <v>1.8</v>
      </c>
      <c r="I65" s="6" t="n"/>
      <c r="J65" s="6" t="n"/>
      <c r="K65" s="6" t="n">
        <v>1.8</v>
      </c>
    </row>
    <row r="66">
      <c r="A66" s="6" t="inlineStr">
        <is>
          <t>Change in cash flow hedging reserve</t>
        </is>
      </c>
      <c r="B66" s="6" t="n"/>
      <c r="C66" s="6" t="n"/>
      <c r="D66" s="6" t="n"/>
      <c r="E66" s="6" t="n"/>
      <c r="F66" s="6" t="n"/>
      <c r="G66" s="6" t="n"/>
      <c r="H66" s="6" t="n"/>
      <c r="I66" s="6" t="n">
        <v>-18</v>
      </c>
      <c r="J66" s="6" t="n"/>
      <c r="K66" s="6" t="n">
        <v>-18</v>
      </c>
    </row>
    <row r="67">
      <c r="A67" s="6" t="inlineStr">
        <is>
          <t>Distributions on other equity instruments</t>
        </is>
      </c>
      <c r="B67" s="6" t="n"/>
      <c r="C67" s="6" t="n"/>
      <c r="D67" s="6" t="n"/>
      <c r="E67" s="6" t="n"/>
      <c r="F67" s="6" t="n"/>
      <c r="G67" s="6" t="n"/>
      <c r="H67" s="6" t="n"/>
      <c r="I67" s="6" t="n"/>
      <c r="J67" s="6" t="n">
        <v>-17.6</v>
      </c>
      <c r="K67" s="6" t="n">
        <v>-17.6</v>
      </c>
    </row>
    <row r="68">
      <c r="A68" s="5" t="inlineStr">
        <is>
          <t>Balance at 31 December 2025</t>
        </is>
      </c>
      <c r="B68" s="5" t="n">
        <v>79.40000000000001</v>
      </c>
      <c r="C68" s="5" t="n">
        <v>195.6</v>
      </c>
      <c r="D68" s="5" t="n">
        <v>250</v>
      </c>
      <c r="E68" s="5" t="n">
        <v>412.8</v>
      </c>
      <c r="F68" s="5" t="n"/>
      <c r="G68" s="5" t="n"/>
      <c r="H68" s="5" t="n">
        <v>-6.2</v>
      </c>
      <c r="I68" s="5" t="n">
        <v>8</v>
      </c>
      <c r="J68" s="5" t="n">
        <v>1398.4</v>
      </c>
      <c r="K68" s="5" t="n">
        <v>2338</v>
      </c>
    </row>
    <row r="70" ht="351" customHeight="1">
      <c r="A70" s="8" t="inlineStr">
        <is>
          <t>Sources - TSB Bank plc / TSB Banking Group plc, Bank (Consolidated) basis, £ million (see entity note below for the FY2014-FY2016 vs FY2017 onward entity change):
FY2025 &amp; FY2024: TSB Bank plc Annual Report and Accounts 2025, p.46 (Balance sheets), p.47 (Consolidated statement of comprehensive income), p.48 (Statements of changes in equity) - https://www.tsb.co.uk/content/dam/tsb-public/documents/investors/financial-results-and-reports/2025/TSB-Bank-ARA-2025.pdf
FY2023 &amp; FY2022: TSB Bank plc Annual Report and Accounts 2023, p.30 (Balance sheets), p.31 (Consolidated statement of comprehensive income), p.32 (Statements of changes in equity) - https://www.tsb.co.uk/content/dam/tsb-public/documents/investors/financial-results-and-reports/2023/TSB-Bank-2023.pdf
FY2021: TSB Bank plc Annual Report and Accounts 2021, p.26 (Balance sheets), p.27 (Consolidated statement of comprehensive income), p.28 (Statements of changes in equity); FY2021's closing equity ties exactly to AR2023's own 'Balance at 1 January 2022' comparative - https://www.tsb.co.uk/content/dam/tsb-public/documents/investors/financial-results-and-reports/2021/tsb-bank-ara-2021.pdf
FY2020 &amp; FY2019: TSB Bank plc Annual Report and Accounts 2020, p.25 (Balance sheets), p.26 (Consolidated statement of comprehensive income), p.27 (Statements of changes in equity) - https://www.tsb.co.uk/content/dam/tsb-public/documents/investors/financial-results-and-reports/2020/tsb-bank-ara-2020.pdf
FY2018 &amp; FY2017: TSB Bank plc Annual Report and Accounts 2018, p.26 (Balance sheets), p.27 (Consolidated statement of comprehensive income), p.28 (Statements of changes in equity); FY2017's closing equity ties exactly to TSB Bank plc Annual Report and Accounts 2017's own p.19-20 figures - https://www.tsb.co.uk/content/dam/tsb-public/documents/investors/financial-results-and-reports/2018/tsb-bank-ara-2018.pdf
FY2016 &amp; FY2015: TSB Banking Group plc Annual Report and Accounts 2016, p.57 (Consolidated balance sheet), p.58 (Consolidated statement of comprehensive income), p.59 (Consolidated statement of changes in equity) - https://www.tsb.co.uk/content/dam/tsb-public/documents/investors/financial-results-and-reports/2016/tsb-2016-results.pdf
FY2014: TSB Banking Group plc Annual Report and Accounts 2015, p.52 (Consolidated balance sheet), p.53 (Consolidated statement of comprehensive income), p.54 (Consolidated statement of changes in equity), FY2014 comparative columns - https://www.tsb.co.uk/content/dam/tsb-public/documents/investors/financial-results-and-reports/2015/tsb-2015-annual-report.pdf
ENTITY NOTE: TSB Bank plc (Companies House SC095237) is the entity on the PRA register; its own Annual Report and Accounts (consolidated 'Bank (Consolidated)' column used throughout) is used for the cash flow statement from FY2017 onward. TSB Banking Group plc's only direct subsidiary is TSB Bank plc, so 'TSB Banking Group plc' consolidated Pillar 3 disclosures (published under that name, as TSB is a 'large subsidiary' of Banco Sabadell for CRR Article 13 purposes) are effectively the same consolidation scope and are used for all Pillar 3 metric sheets.
ENTITY BASIS CHANGE (FY2014-FY2016): no standalone 'TSB Bank plc' entity Annual Report was published for these years, only 'TSB Banking Group plc' (the then Sabadell-owned holding company) Annual Report and Accounts. As TSB Banking Group plc's only direct subsidiary is TSB Bank plc, the underlying banking business and consolidation scope are effectively the same, but the holding company's own share capital/share premium/reserve structure differs from TSB Bank plc's (a holdco-level, not operating-entity-level, difference) - so FY2016 closing Shareholder's equity as reported by the Group (£1,865.0m) does not exactly tie to FY2016 closing equity as later restated in TSB Bank plc's own FY2017 Annual Report comparative (£1,879.6m), a genuine ~£14.6m entity-basis break at the FY2016/FY2017 boundary, not a data error. Balance Sheet/P&amp;L/Equity/Cash Flow/Asset Quality figures for FY2014-FY2016 are TSB Banking Group plc consolidated; FY2017 onward are TSB Bank plc consolidated.
CONTEXT: TSB was owned by Banco de Sabadell, S.A. (Spain) throughout FY2014-FY2025 (following the 2013 demerger from Lloyds Banking Group and TSB Banking Group plc's IPO in 2014; Sabadell acquired full control in 2015). Santander UK plc agreed to acquire TSB in July 2025 and completed the acquisition on 30 April 2026 (after this workbook's FY2025 year-end) - so all years of data here reflect the Sabadell-owned period; TSB's board ceased dividend payments to Sabadell following the announcement per TSB's FY2025 Pillar 3 disclosure.
BASEL II/CRD III CAVEAT: TSB Banking Group plc's Pillar 3 Disclosures 2014 present 31 December 2013 comparatives on both a Basel II basis and a CRD IV-restated basis (CRD IV took effect for the Group's own 31 December 2014 disclosure, its first full year of Pillar 3 reporting as a standalone entity post-demerger) - CET1/Common Equity Tier 1 terminology is already used from FY2014 onward on a CRD IV basis, so no Basel II-era terminology substitution was required for any year in this workbook.</t>
        </is>
      </c>
    </row>
    <row r="72" ht="230" customHeight="1">
      <c r="A72" s="8" t="inlineStr">
        <is>
          <t>(continued)
PRESENTATION NOTE: Balance sheet - 'Loans and advances to credit institutions' is shown as a standalone line from FY2025 only; FY2021-FY2024 combine it with central bank placements as 'Loans and advances to central banks and credit institutions' (same figures reused here). 'Other equity instruments' (Additional Tier 1) first appears FY2024, following TSB's first AT1 issuance that year (see Cash Flow Statement financing activities). Income statement - FY2024/FY2025 itemise 'Gains on derecognition of financial assets/liabilities' lines that differ from FY2021-FY2023's own line items (e.g. FVOCI derecognition gains only shown FY2021-23); each year's own as-published structure is preserved rather than forced into a common format.
FY2014-FY2020 PRESENTATION NOTE: pre-IFRS 9 (FY2014-FY2017) balance sheets classify lending as 'Loans and receivables' (IAS 39) rather than 'Financial assets at amortised cost' (IFRS 9, from FY2018); equity reserve line items also change name over time ('Available-for-sale reserve' pre-IFRS 9 becomes 'Fair value reserve' from FY2018, following the reclassification recorded in the FY2018 Statement of Changes in Equity's 'Change on initial application of IFRS 9' transition row - both are shown under their as-published label for each year rather than relabelled retrospectively). TSB Banking Group plc's FY2014-FY2016 equity structure (Share capital £5.0m, Share premium £965.1m, Merger reserve £616.5m, Capital reorganisation reserve -£1,311.6m, Capital reserve £410.0m) differs from TSB Bank plc's own FY2017-2025 structure (Share capital £79.4m, Share premium £195.6m, Merger reserve £412.8m, no separate capital reorganisation/capital reserve lines) - a genuine holdco-vs-operating-entity difference, not a data error; see ENTITY NOTE above.</t>
        </is>
      </c>
    </row>
  </sheetData>
  <mergeCells count="2">
    <mergeCell ref="A72:K72"/>
    <mergeCell ref="A70:K7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9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8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TSB Bank plc — Consolidated Cash Flow Statement</t>
        </is>
      </c>
    </row>
    <row r="2">
      <c r="A2" s="2" t="inlineStr">
        <is>
          <t>Bank (Consolidated) basis, £ million unless stated. See source note at bottom (incl. an FY2021/FY2022 restatement break).</t>
        </is>
      </c>
    </row>
    <row r="3">
      <c r="A3" s="4" t="inlineStr">
        <is>
          <t>Line item</t>
        </is>
      </c>
      <c r="B3" s="4" t="inlineStr">
        <is>
          <t>FY2025 (£m)</t>
        </is>
      </c>
      <c r="C3" s="4" t="inlineStr">
        <is>
          <t>FY2024 (£m)</t>
        </is>
      </c>
      <c r="D3" s="4" t="inlineStr">
        <is>
          <t>FY2023 (£m)</t>
        </is>
      </c>
      <c r="E3" s="4" t="inlineStr">
        <is>
          <t>FY2022 (£m)</t>
        </is>
      </c>
      <c r="F3" s="4" t="inlineStr">
        <is>
          <t>FY2021 (£m)</t>
        </is>
      </c>
      <c r="G3" s="4" t="inlineStr">
        <is>
          <t>FY2020 (£m)</t>
        </is>
      </c>
      <c r="H3" s="4" t="inlineStr">
        <is>
          <t>FY2019 (£m)</t>
        </is>
      </c>
      <c r="I3" s="4" t="inlineStr">
        <is>
          <t>FY2018 (£m)</t>
        </is>
      </c>
      <c r="J3" s="4" t="inlineStr">
        <is>
          <t>FY2017 (£m)</t>
        </is>
      </c>
      <c r="K3" s="4" t="inlineStr">
        <is>
          <t>FY2016 (£m)</t>
        </is>
      </c>
      <c r="L3" s="4" t="inlineStr">
        <is>
          <t>FY2015 (£m)</t>
        </is>
      </c>
      <c r="M3" s="4" t="inlineStr">
        <is>
          <t>FY2014 (£m)</t>
        </is>
      </c>
    </row>
    <row r="4">
      <c r="A4" s="5" t="inlineStr">
        <is>
          <t>Cash flows from operating activities</t>
        </is>
      </c>
      <c r="B4" s="6" t="n"/>
      <c r="C4" s="6" t="n"/>
      <c r="D4" s="6" t="n"/>
      <c r="E4" s="6" t="n"/>
      <c r="F4" s="6" t="n"/>
      <c r="G4" s="6" t="n"/>
      <c r="H4" s="6" t="n"/>
      <c r="I4" s="6" t="n"/>
      <c r="J4" s="6" t="n"/>
      <c r="K4" s="6" t="n"/>
      <c r="L4" s="6" t="n"/>
      <c r="M4" s="6" t="n"/>
    </row>
    <row r="5">
      <c r="A5" s="6" t="inlineStr">
        <is>
          <t>Profit/(loss) before taxation</t>
        </is>
      </c>
      <c r="B5" s="6" t="n">
        <v>339.4</v>
      </c>
      <c r="C5" s="6" t="n">
        <v>285.1</v>
      </c>
      <c r="D5" s="6" t="n">
        <v>235.5</v>
      </c>
      <c r="E5" s="6" t="n">
        <v>181.1</v>
      </c>
      <c r="F5" s="6" t="n">
        <v>155.5</v>
      </c>
      <c r="G5" s="6" t="n">
        <v>-200.5</v>
      </c>
      <c r="H5" s="6" t="n">
        <v>45.4</v>
      </c>
      <c r="I5" s="6" t="n">
        <v>-101</v>
      </c>
      <c r="J5" s="6" t="n">
        <v>159.1</v>
      </c>
      <c r="K5" s="6" t="n">
        <v>182</v>
      </c>
      <c r="L5" s="6" t="n">
        <v>67.59999999999999</v>
      </c>
      <c r="M5" s="6" t="n">
        <v>170.2</v>
      </c>
    </row>
    <row r="6">
      <c r="A6" s="6" t="inlineStr">
        <is>
          <t>Decrease in loans to central banks</t>
        </is>
      </c>
      <c r="B6" s="6" t="n">
        <v>0</v>
      </c>
      <c r="C6" s="6" t="n">
        <v>136</v>
      </c>
      <c r="D6" s="6" t="n"/>
      <c r="E6" s="6" t="n"/>
      <c r="F6" s="6" t="n"/>
      <c r="G6" s="6" t="n"/>
      <c r="H6" s="6" t="n"/>
      <c r="I6" s="6" t="n"/>
      <c r="J6" s="6" t="n"/>
      <c r="K6" s="6" t="n"/>
      <c r="L6" s="6" t="n"/>
      <c r="M6" s="6" t="n"/>
    </row>
    <row r="7">
      <c r="A7" s="6" t="inlineStr">
        <is>
          <t>Increase in loans to central banks (FY2019-20 presentation)</t>
        </is>
      </c>
      <c r="B7" s="6" t="n"/>
      <c r="C7" s="6" t="n"/>
      <c r="D7" s="6" t="n"/>
      <c r="E7" s="6" t="n"/>
      <c r="F7" s="6" t="n"/>
      <c r="G7" s="6" t="n">
        <v>-24.8</v>
      </c>
      <c r="H7" s="6" t="n">
        <v>-8.300000000000001</v>
      </c>
      <c r="I7" s="6" t="n"/>
      <c r="J7" s="6" t="n"/>
      <c r="K7" s="6" t="n"/>
      <c r="L7" s="6" t="n"/>
      <c r="M7" s="6" t="n"/>
    </row>
    <row r="8">
      <c r="A8" s="6" t="inlineStr">
        <is>
          <t>Increase in loans to central banks (FY2021 presentation)</t>
        </is>
      </c>
      <c r="B8" s="6" t="n"/>
      <c r="C8" s="6" t="n"/>
      <c r="D8" s="6" t="n"/>
      <c r="E8" s="6" t="n"/>
      <c r="F8" s="6" t="n">
        <v>-22.7</v>
      </c>
      <c r="G8" s="6" t="n"/>
      <c r="H8" s="6" t="n"/>
      <c r="I8" s="6" t="n"/>
      <c r="J8" s="6" t="n"/>
      <c r="K8" s="6" t="n"/>
      <c r="L8" s="6" t="n"/>
      <c r="M8" s="6" t="n"/>
    </row>
    <row r="9">
      <c r="A9" s="6" t="inlineStr">
        <is>
          <t>(Increase)/decrease in loans to credit institutions</t>
        </is>
      </c>
      <c r="B9" s="6" t="n"/>
      <c r="C9" s="6" t="n"/>
      <c r="D9" s="6" t="n"/>
      <c r="E9" s="6" t="n"/>
      <c r="F9" s="6" t="n">
        <v>-12.8</v>
      </c>
      <c r="G9" s="6" t="n"/>
      <c r="H9" s="6" t="n"/>
      <c r="I9" s="6" t="n"/>
      <c r="J9" s="6" t="n"/>
      <c r="K9" s="6" t="n"/>
      <c r="L9" s="6" t="n"/>
      <c r="M9" s="6" t="n"/>
    </row>
    <row r="10">
      <c r="A10" s="6" t="inlineStr">
        <is>
          <t>Decrease/(increase) in loans to credit institutions (FY2019-20 presentation)</t>
        </is>
      </c>
      <c r="B10" s="6" t="n"/>
      <c r="C10" s="6" t="n"/>
      <c r="D10" s="6" t="n"/>
      <c r="E10" s="6" t="n"/>
      <c r="F10" s="6" t="n"/>
      <c r="G10" s="6" t="n">
        <v>329.9</v>
      </c>
      <c r="H10" s="6" t="n">
        <v>-2.6</v>
      </c>
      <c r="I10" s="6" t="n"/>
      <c r="J10" s="6" t="n"/>
      <c r="K10" s="6" t="n"/>
      <c r="L10" s="6" t="n"/>
      <c r="M10" s="6" t="n"/>
    </row>
    <row r="11">
      <c r="A11" s="6" t="inlineStr">
        <is>
          <t>Decrease/(increase) in loans and advances to customers</t>
        </is>
      </c>
      <c r="B11" s="6" t="n">
        <v>-1.4</v>
      </c>
      <c r="C11" s="6" t="n">
        <v>-124.6</v>
      </c>
      <c r="D11" s="6" t="n">
        <v>1719.2</v>
      </c>
      <c r="E11" s="6" t="n">
        <v>-722.5</v>
      </c>
      <c r="F11" s="6" t="n">
        <v>-4070.2</v>
      </c>
      <c r="G11" s="6" t="n">
        <v>-2402.4</v>
      </c>
      <c r="H11" s="6" t="n">
        <v>-1132.8</v>
      </c>
      <c r="I11" s="6" t="n"/>
      <c r="J11" s="6" t="n"/>
      <c r="K11" s="6" t="n"/>
      <c r="L11" s="6" t="n"/>
      <c r="M11" s="6" t="n"/>
    </row>
    <row r="12">
      <c r="A12" s="6" t="inlineStr">
        <is>
          <t>Change in operating assets (as reported, FY2014-FY2018 presentation)</t>
        </is>
      </c>
      <c r="B12" s="6" t="n"/>
      <c r="C12" s="6" t="n"/>
      <c r="D12" s="6" t="n"/>
      <c r="E12" s="6" t="n"/>
      <c r="F12" s="6" t="n"/>
      <c r="G12" s="6" t="n"/>
      <c r="H12" s="6" t="n"/>
      <c r="I12" s="6" t="n">
        <v>1194.6</v>
      </c>
      <c r="J12" s="6" t="n">
        <v>-1482.9</v>
      </c>
      <c r="K12" s="6" t="n">
        <v>-3920.6</v>
      </c>
      <c r="L12" s="6" t="n">
        <v>-2270.5</v>
      </c>
      <c r="M12" s="6" t="n">
        <v>5697.6</v>
      </c>
    </row>
    <row r="13">
      <c r="A13" s="6" t="inlineStr">
        <is>
          <t>Change in operating liabilities (as reported, FY2014-FY2018 presentation)</t>
        </is>
      </c>
      <c r="B13" s="6" t="n"/>
      <c r="C13" s="6" t="n"/>
      <c r="D13" s="6" t="n"/>
      <c r="E13" s="6" t="n"/>
      <c r="F13" s="6" t="n"/>
      <c r="G13" s="6" t="n"/>
      <c r="H13" s="6" t="n"/>
      <c r="I13" s="6" t="n">
        <v>-1557.8</v>
      </c>
      <c r="J13" s="6" t="n">
        <v>1173.8</v>
      </c>
      <c r="K13" s="6" t="n">
        <v>3990.2</v>
      </c>
      <c r="L13" s="6" t="n">
        <v>1478.1</v>
      </c>
      <c r="M13" s="6" t="n">
        <v>1568.5</v>
      </c>
    </row>
    <row r="14">
      <c r="A14" s="6" t="inlineStr">
        <is>
          <t>Increase in reverse repurchase agreements</t>
        </is>
      </c>
      <c r="B14" s="6" t="n">
        <v>-62</v>
      </c>
      <c r="C14" s="6" t="n">
        <v>0</v>
      </c>
      <c r="D14" s="6" t="n"/>
      <c r="E14" s="6" t="n"/>
      <c r="F14" s="6" t="n"/>
      <c r="G14" s="6" t="n"/>
      <c r="H14" s="6" t="n"/>
      <c r="I14" s="6" t="n"/>
      <c r="J14" s="6" t="n"/>
      <c r="K14" s="6" t="n"/>
      <c r="L14" s="6" t="n"/>
      <c r="M14" s="6" t="n"/>
    </row>
    <row r="15">
      <c r="A15" s="6" t="inlineStr">
        <is>
          <t>Decrease in reverse purchase agreements (FY2021 presentation)</t>
        </is>
      </c>
      <c r="B15" s="6" t="n"/>
      <c r="C15" s="6" t="n"/>
      <c r="D15" s="6" t="n"/>
      <c r="E15" s="6" t="n"/>
      <c r="F15" s="6" t="n">
        <v>0</v>
      </c>
      <c r="G15" s="6" t="n"/>
      <c r="H15" s="6" t="n"/>
      <c r="I15" s="6" t="n"/>
      <c r="J15" s="6" t="n"/>
      <c r="K15" s="6" t="n"/>
      <c r="L15" s="6" t="n"/>
      <c r="M15" s="6" t="n"/>
    </row>
    <row r="16">
      <c r="A16" s="6" t="inlineStr">
        <is>
          <t>Decrease/(increase) in reverse purchase agreements (FY2019-20 presentation)</t>
        </is>
      </c>
      <c r="B16" s="6" t="n"/>
      <c r="C16" s="6" t="n"/>
      <c r="D16" s="6" t="n"/>
      <c r="E16" s="6" t="n"/>
      <c r="F16" s="6" t="n"/>
      <c r="G16" s="6" t="n">
        <v>201.1</v>
      </c>
      <c r="H16" s="6" t="n">
        <v>-201.1</v>
      </c>
      <c r="I16" s="6" t="n"/>
      <c r="J16" s="6" t="n"/>
      <c r="K16" s="6" t="n"/>
      <c r="L16" s="6" t="n"/>
      <c r="M16" s="6" t="n"/>
    </row>
    <row r="17">
      <c r="A17" s="6" t="inlineStr">
        <is>
          <t>Decrease/(increase) in other advances</t>
        </is>
      </c>
      <c r="B17" s="6" t="n">
        <v>63.3</v>
      </c>
      <c r="C17" s="6" t="n">
        <v>79.3</v>
      </c>
      <c r="D17" s="6" t="n">
        <v>493.6</v>
      </c>
      <c r="E17" s="6" t="n">
        <v>-622.6</v>
      </c>
      <c r="F17" s="6" t="n">
        <v>136.8</v>
      </c>
      <c r="G17" s="6" t="n">
        <v>62.1</v>
      </c>
      <c r="H17" s="6" t="n">
        <v>101.8</v>
      </c>
      <c r="I17" s="6" t="n"/>
      <c r="J17" s="6" t="n"/>
      <c r="K17" s="6" t="n"/>
      <c r="L17" s="6" t="n"/>
      <c r="M17" s="6" t="n"/>
    </row>
    <row r="18">
      <c r="A18" s="6" t="inlineStr">
        <is>
          <t>Net change in derivative financial instruments and FV adjustments for portfolio hedged risk (within operating assets/liabilities - FY2021/22 as originally presented)</t>
        </is>
      </c>
      <c r="B18" s="6" t="n"/>
      <c r="C18" s="6" t="n"/>
      <c r="D18" s="6" t="n"/>
      <c r="E18" s="6" t="n">
        <v>-63.1</v>
      </c>
      <c r="F18" s="6" t="n">
        <v>-147.6</v>
      </c>
      <c r="G18" s="6" t="n"/>
      <c r="H18" s="6" t="n"/>
      <c r="I18" s="6" t="n"/>
      <c r="J18" s="6" t="n"/>
      <c r="K18" s="6" t="n"/>
      <c r="L18" s="6" t="n"/>
      <c r="M18" s="6" t="n"/>
    </row>
    <row r="19">
      <c r="A19" s="6" t="inlineStr">
        <is>
          <t>Net change in derivative financial instruments and FV adjustments for portfolio hedged risk (within operating assets/liabilities - FY2019/20 as originally presented)</t>
        </is>
      </c>
      <c r="B19" s="6" t="n"/>
      <c r="C19" s="6" t="n"/>
      <c r="D19" s="6" t="n"/>
      <c r="E19" s="6" t="n"/>
      <c r="F19" s="6" t="n"/>
      <c r="G19" s="6" t="n">
        <v>-216</v>
      </c>
      <c r="H19" s="6" t="n">
        <v>-161.7</v>
      </c>
      <c r="I19" s="6" t="n"/>
      <c r="J19" s="6" t="n"/>
      <c r="K19" s="6" t="n"/>
      <c r="L19" s="6" t="n"/>
      <c r="M19" s="6" t="n"/>
    </row>
    <row r="20">
      <c r="A20" s="6" t="inlineStr">
        <is>
          <t>Decrease/(increase) in other assets</t>
        </is>
      </c>
      <c r="B20" s="6" t="n">
        <v>11.2</v>
      </c>
      <c r="C20" s="6" t="n">
        <v>2</v>
      </c>
      <c r="D20" s="6" t="n">
        <v>-6.5</v>
      </c>
      <c r="E20" s="6" t="n">
        <v>72.40000000000001</v>
      </c>
      <c r="F20" s="6" t="n">
        <v>18.6</v>
      </c>
      <c r="G20" s="6" t="n">
        <v>-25.4</v>
      </c>
      <c r="H20" s="6" t="n">
        <v>52.3</v>
      </c>
      <c r="I20" s="6" t="n"/>
      <c r="J20" s="6" t="n"/>
      <c r="K20" s="6" t="n"/>
      <c r="L20" s="6" t="n"/>
      <c r="M20" s="6" t="n"/>
    </row>
    <row r="21">
      <c r="A21" s="6" t="inlineStr">
        <is>
          <t>(Decrease)/increase in deposits from credit institutions (FY2021 presentation)</t>
        </is>
      </c>
      <c r="B21" s="6" t="n"/>
      <c r="C21" s="6" t="n"/>
      <c r="D21" s="6" t="n"/>
      <c r="E21" s="6" t="n"/>
      <c r="F21" s="6" t="n">
        <v>0</v>
      </c>
      <c r="G21" s="6" t="n"/>
      <c r="H21" s="6" t="n"/>
      <c r="I21" s="6" t="n"/>
      <c r="J21" s="6" t="n"/>
      <c r="K21" s="6" t="n"/>
      <c r="L21" s="6" t="n"/>
      <c r="M21" s="6" t="n"/>
    </row>
    <row r="22">
      <c r="A22" s="6" t="inlineStr">
        <is>
          <t>Increase/(decrease) in deposits from credit institutions (FY2019-20 presentation)</t>
        </is>
      </c>
      <c r="B22" s="6" t="n"/>
      <c r="C22" s="6" t="n"/>
      <c r="D22" s="6" t="n"/>
      <c r="E22" s="6" t="n"/>
      <c r="F22" s="6" t="n"/>
      <c r="G22" s="6" t="n">
        <v>4.2</v>
      </c>
      <c r="H22" s="6" t="n">
        <v>-2.7</v>
      </c>
      <c r="I22" s="6" t="n"/>
      <c r="J22" s="6" t="n"/>
      <c r="K22" s="6" t="n"/>
      <c r="L22" s="6" t="n"/>
      <c r="M22" s="6" t="n"/>
    </row>
    <row r="23">
      <c r="A23" s="6" t="inlineStr">
        <is>
          <t>Increase/(decrease) in customer deposits</t>
        </is>
      </c>
      <c r="B23" s="6" t="n">
        <v>176</v>
      </c>
      <c r="C23" s="6" t="n">
        <v>280.8</v>
      </c>
      <c r="D23" s="6" t="n">
        <v>-1666.5</v>
      </c>
      <c r="E23" s="6" t="n">
        <v>357</v>
      </c>
      <c r="F23" s="6" t="n">
        <v>1591.2</v>
      </c>
      <c r="G23" s="6" t="n">
        <v>4217</v>
      </c>
      <c r="H23" s="6" t="n">
        <v>1089.9</v>
      </c>
      <c r="I23" s="6" t="n"/>
      <c r="J23" s="6" t="n"/>
      <c r="K23" s="6" t="n"/>
      <c r="L23" s="6" t="n"/>
      <c r="M23" s="6" t="n"/>
    </row>
    <row r="24">
      <c r="A24" s="6" t="inlineStr">
        <is>
          <t>(Decrease)/increase in other financial liabilities</t>
        </is>
      </c>
      <c r="B24" s="6" t="n">
        <v>-148.8</v>
      </c>
      <c r="C24" s="6" t="n">
        <v>-91.90000000000001</v>
      </c>
      <c r="D24" s="6" t="n">
        <v>-156.4</v>
      </c>
      <c r="E24" s="6" t="n">
        <v>1126.5</v>
      </c>
      <c r="F24" s="6" t="n">
        <v>141.9</v>
      </c>
      <c r="G24" s="6" t="n">
        <v>-33.3</v>
      </c>
      <c r="H24" s="6" t="n">
        <v>13.6</v>
      </c>
      <c r="I24" s="6" t="n"/>
      <c r="J24" s="6" t="n"/>
      <c r="K24" s="6" t="n"/>
      <c r="L24" s="6" t="n"/>
      <c r="M24" s="6" t="n"/>
    </row>
    <row r="25">
      <c r="A25" s="6" t="inlineStr">
        <is>
          <t>(Decrease)/increase in provisions</t>
        </is>
      </c>
      <c r="B25" s="6" t="n">
        <v>-13.4</v>
      </c>
      <c r="C25" s="6" t="n">
        <v>-33.5</v>
      </c>
      <c r="D25" s="6" t="n">
        <v>-46.5</v>
      </c>
      <c r="E25" s="6" t="n">
        <v>17.6</v>
      </c>
      <c r="F25" s="6" t="n">
        <v>-40.4</v>
      </c>
      <c r="G25" s="6" t="n">
        <v>101.3</v>
      </c>
      <c r="H25" s="6" t="n">
        <v>-11.8</v>
      </c>
      <c r="I25" s="6" t="n"/>
      <c r="J25" s="6" t="n"/>
      <c r="K25" s="6" t="n"/>
      <c r="L25" s="6" t="n"/>
      <c r="M25" s="6" t="n"/>
    </row>
    <row r="26">
      <c r="A26" s="6" t="inlineStr">
        <is>
          <t>Increase/(decrease) in other liabilities</t>
        </is>
      </c>
      <c r="B26" s="6" t="n">
        <v>16.4</v>
      </c>
      <c r="C26" s="6" t="n">
        <v>-3.3</v>
      </c>
      <c r="D26" s="6" t="n">
        <v>-11.6</v>
      </c>
      <c r="E26" s="6" t="n">
        <v>-25.4</v>
      </c>
      <c r="F26" s="6" t="n">
        <v>0.7</v>
      </c>
      <c r="G26" s="6" t="n">
        <v>41.9</v>
      </c>
      <c r="H26" s="6" t="n">
        <v>-332.9</v>
      </c>
      <c r="I26" s="6" t="n"/>
      <c r="J26" s="6" t="n"/>
      <c r="K26" s="6" t="n"/>
      <c r="L26" s="6" t="n"/>
      <c r="M26" s="6" t="n"/>
    </row>
    <row r="27">
      <c r="A27" s="5" t="inlineStr">
        <is>
          <t>Change in operating assets and liabilities (as reported)</t>
        </is>
      </c>
      <c r="B27" s="5" t="n">
        <v>41.3</v>
      </c>
      <c r="C27" s="5" t="n">
        <v>244.8</v>
      </c>
      <c r="D27" s="5" t="n">
        <v>333.6</v>
      </c>
      <c r="E27" s="5" t="n">
        <v>202.3</v>
      </c>
      <c r="F27" s="5" t="n">
        <v>-2404.5</v>
      </c>
      <c r="G27" s="5" t="n">
        <v>2255.6</v>
      </c>
      <c r="H27" s="5" t="n">
        <v>-596.3</v>
      </c>
      <c r="I27" s="5" t="n"/>
      <c r="J27" s="5" t="n"/>
      <c r="K27" s="5" t="n"/>
      <c r="L27" s="5" t="n"/>
      <c r="M27" s="5" t="n"/>
    </row>
    <row r="28">
      <c r="A28" s="6" t="inlineStr">
        <is>
          <t>Interest expense on financing activities</t>
        </is>
      </c>
      <c r="B28" s="6" t="n">
        <v>291.1</v>
      </c>
      <c r="C28" s="6" t="n">
        <v>402.3</v>
      </c>
      <c r="D28" s="6" t="n">
        <v>398.8</v>
      </c>
      <c r="E28" s="6" t="n">
        <v>160</v>
      </c>
      <c r="F28" s="6" t="n"/>
      <c r="G28" s="6" t="n"/>
      <c r="H28" s="6" t="n"/>
      <c r="I28" s="6" t="n"/>
      <c r="J28" s="6" t="n"/>
      <c r="K28" s="6" t="n"/>
      <c r="L28" s="6" t="n"/>
      <c r="M28" s="6" t="n"/>
    </row>
    <row r="29">
      <c r="A29" s="6" t="inlineStr">
        <is>
          <t>Interest income on investing activities</t>
        </is>
      </c>
      <c r="B29" s="6" t="n">
        <v>-63.4</v>
      </c>
      <c r="C29" s="6" t="n">
        <v>-63.2</v>
      </c>
      <c r="D29" s="6" t="n">
        <v>-60</v>
      </c>
      <c r="E29" s="6" t="n">
        <v>-33.2</v>
      </c>
      <c r="F29" s="6" t="n"/>
      <c r="G29" s="6" t="n"/>
      <c r="H29" s="6" t="n"/>
      <c r="I29" s="6" t="n"/>
      <c r="J29" s="6" t="n"/>
      <c r="K29" s="6" t="n"/>
      <c r="L29" s="6" t="n"/>
      <c r="M29" s="6" t="n"/>
    </row>
    <row r="30">
      <c r="A30" s="6" t="inlineStr">
        <is>
          <t>Net change in derivative financial instruments and FV adjustments for portfolio hedged risk (within non-cash items - FY2023 onward presentation)</t>
        </is>
      </c>
      <c r="B30" s="6" t="n">
        <v>127.1</v>
      </c>
      <c r="C30" s="6" t="n">
        <v>259.6</v>
      </c>
      <c r="D30" s="6" t="n">
        <v>147.6</v>
      </c>
      <c r="E30" s="6" t="n"/>
      <c r="F30" s="6" t="n"/>
      <c r="G30" s="6" t="n"/>
      <c r="H30" s="6" t="n"/>
      <c r="I30" s="6" t="n"/>
      <c r="J30" s="6" t="n"/>
      <c r="K30" s="6" t="n"/>
      <c r="L30" s="6" t="n"/>
      <c r="M30" s="6" t="n"/>
    </row>
    <row r="31">
      <c r="A31" s="6" t="inlineStr">
        <is>
          <t>Depreciation and amortisation</t>
        </is>
      </c>
      <c r="B31" s="6" t="n">
        <v>63.4</v>
      </c>
      <c r="C31" s="6" t="n">
        <v>72.5</v>
      </c>
      <c r="D31" s="6" t="n">
        <v>67</v>
      </c>
      <c r="E31" s="6" t="n">
        <v>66</v>
      </c>
      <c r="F31" s="6" t="n">
        <v>70.2</v>
      </c>
      <c r="G31" s="6" t="n">
        <v>74.3</v>
      </c>
      <c r="H31" s="6" t="n">
        <v>60.2</v>
      </c>
      <c r="I31" s="6" t="n"/>
      <c r="J31" s="6" t="n"/>
      <c r="K31" s="6" t="n"/>
      <c r="L31" s="6" t="n"/>
      <c r="M31" s="6" t="n"/>
    </row>
    <row r="32">
      <c r="A32" s="6" t="inlineStr">
        <is>
          <t>Net movement in allowance for credit impairment losses</t>
        </is>
      </c>
      <c r="B32" s="6" t="n">
        <v>-8.9</v>
      </c>
      <c r="C32" s="6" t="n">
        <v>-31.7</v>
      </c>
      <c r="D32" s="6" t="n"/>
      <c r="E32" s="6" t="n"/>
      <c r="F32" s="6" t="n"/>
      <c r="G32" s="6" t="n"/>
      <c r="H32" s="6" t="n"/>
      <c r="I32" s="6" t="n"/>
      <c r="J32" s="6" t="n"/>
      <c r="K32" s="6" t="n"/>
      <c r="L32" s="6" t="n"/>
      <c r="M32" s="6" t="n"/>
    </row>
    <row r="33">
      <c r="A33" s="6" t="inlineStr">
        <is>
          <t>Impairment losses on loans and advances to customers (FY2021-23 presentation)</t>
        </is>
      </c>
      <c r="B33" s="6" t="n"/>
      <c r="C33" s="6" t="n"/>
      <c r="D33" s="6" t="n">
        <v>13.8</v>
      </c>
      <c r="E33" s="6" t="n">
        <v>57.8</v>
      </c>
      <c r="F33" s="6" t="n">
        <v>2.6</v>
      </c>
      <c r="G33" s="6" t="n"/>
      <c r="H33" s="6" t="n"/>
      <c r="I33" s="6" t="n"/>
      <c r="J33" s="6" t="n"/>
      <c r="K33" s="6" t="n"/>
      <c r="L33" s="6" t="n"/>
      <c r="M33" s="6" t="n"/>
    </row>
    <row r="34">
      <c r="A34" s="6" t="inlineStr">
        <is>
          <t>Impairment losses on loans and advances to customers (FY2019-20 presentation)</t>
        </is>
      </c>
      <c r="B34" s="6" t="n"/>
      <c r="C34" s="6" t="n"/>
      <c r="D34" s="6" t="n"/>
      <c r="E34" s="6" t="n"/>
      <c r="F34" s="6" t="n"/>
      <c r="G34" s="6" t="n">
        <v>162.7</v>
      </c>
      <c r="H34" s="6" t="n">
        <v>60.9</v>
      </c>
      <c r="I34" s="6" t="n"/>
      <c r="J34" s="6" t="n"/>
      <c r="K34" s="6" t="n"/>
      <c r="L34" s="6" t="n"/>
      <c r="M34" s="6" t="n"/>
    </row>
    <row r="35">
      <c r="A35" s="6" t="inlineStr">
        <is>
          <t>Exchange differences</t>
        </is>
      </c>
      <c r="B35" s="6" t="n"/>
      <c r="C35" s="6" t="n"/>
      <c r="D35" s="6" t="n"/>
      <c r="E35" s="6" t="n"/>
      <c r="F35" s="6" t="n">
        <v>0</v>
      </c>
      <c r="G35" s="6" t="n">
        <v>13.7</v>
      </c>
      <c r="H35" s="6" t="n">
        <v>-20.5</v>
      </c>
      <c r="I35" s="6" t="n"/>
      <c r="J35" s="6" t="n"/>
      <c r="K35" s="6" t="n"/>
      <c r="L35" s="6" t="n"/>
      <c r="M35" s="6" t="n"/>
    </row>
    <row r="36">
      <c r="A36" s="6" t="inlineStr">
        <is>
          <t>Other non-cash items</t>
        </is>
      </c>
      <c r="B36" s="6" t="n">
        <v>-48.8</v>
      </c>
      <c r="C36" s="6" t="n">
        <v>-115.5</v>
      </c>
      <c r="D36" s="6" t="n">
        <v>97.40000000000001</v>
      </c>
      <c r="E36" s="6" t="n">
        <v>-64.2</v>
      </c>
      <c r="F36" s="6" t="n">
        <v>39.2</v>
      </c>
      <c r="G36" s="6" t="n">
        <v>13.9</v>
      </c>
      <c r="H36" s="6" t="n">
        <v>69.5</v>
      </c>
      <c r="I36" s="6" t="n">
        <v>152.4</v>
      </c>
      <c r="J36" s="6" t="n">
        <v>116.4</v>
      </c>
      <c r="K36" s="6" t="n">
        <v>76.2</v>
      </c>
      <c r="L36" s="6" t="n">
        <v>142.1</v>
      </c>
      <c r="M36" s="6" t="n">
        <v>41.1</v>
      </c>
    </row>
    <row r="37">
      <c r="A37" s="5" t="inlineStr">
        <is>
          <t>Non-cash and other items (as reported)</t>
        </is>
      </c>
      <c r="B37" s="5" t="n">
        <v>360.5</v>
      </c>
      <c r="C37" s="5" t="n">
        <v>524</v>
      </c>
      <c r="D37" s="5" t="n">
        <v>664.6</v>
      </c>
      <c r="E37" s="5" t="n">
        <v>247.4</v>
      </c>
      <c r="F37" s="5" t="n">
        <v>112</v>
      </c>
      <c r="G37" s="5" t="n">
        <v>264.6</v>
      </c>
      <c r="H37" s="5" t="n">
        <v>170.1</v>
      </c>
      <c r="I37" s="5" t="n"/>
      <c r="J37" s="5" t="n"/>
      <c r="K37" s="5" t="n"/>
      <c r="L37" s="5" t="n"/>
      <c r="M37" s="5" t="n"/>
    </row>
    <row r="38">
      <c r="A38" s="6" t="inlineStr">
        <is>
          <t>Taxation paid</t>
        </is>
      </c>
      <c r="B38" s="6" t="n">
        <v>-78.8</v>
      </c>
      <c r="C38" s="6" t="n">
        <v>-57</v>
      </c>
      <c r="D38" s="6" t="n">
        <v>-33</v>
      </c>
      <c r="E38" s="6" t="n">
        <v>-34.4</v>
      </c>
      <c r="F38" s="6" t="n">
        <v>-8.699999999999999</v>
      </c>
      <c r="G38" s="6" t="n">
        <v>0</v>
      </c>
      <c r="H38" s="6" t="n">
        <v>20.5</v>
      </c>
      <c r="I38" s="6" t="n">
        <v>-7</v>
      </c>
      <c r="J38" s="6" t="n">
        <v>-25.5</v>
      </c>
      <c r="K38" s="6" t="n">
        <v>-8.699999999999999</v>
      </c>
      <c r="L38" s="6" t="n">
        <v>-8.5</v>
      </c>
      <c r="M38" s="6" t="n">
        <v>-3.7</v>
      </c>
    </row>
    <row r="39">
      <c r="A39" s="5" t="inlineStr">
        <is>
          <t>Net cash (used in)/provided by operating activities</t>
        </is>
      </c>
      <c r="B39" s="5" t="n">
        <v>662.4</v>
      </c>
      <c r="C39" s="5" t="n">
        <v>996.9</v>
      </c>
      <c r="D39" s="5" t="n">
        <v>1200.7</v>
      </c>
      <c r="E39" s="5" t="n">
        <v>596.4</v>
      </c>
      <c r="F39" s="5" t="n">
        <v>-2145.7</v>
      </c>
      <c r="G39" s="5" t="n">
        <v>2319.7</v>
      </c>
      <c r="H39" s="5" t="n">
        <v>-360.3</v>
      </c>
      <c r="I39" s="5" t="n">
        <v>-318.8</v>
      </c>
      <c r="J39" s="5" t="n">
        <v>-59.1</v>
      </c>
      <c r="K39" s="5" t="n">
        <v>319.1</v>
      </c>
      <c r="L39" s="5" t="n">
        <v>-591.2</v>
      </c>
      <c r="M39" s="5" t="n">
        <v>7473.7</v>
      </c>
    </row>
    <row r="40">
      <c r="A40" s="5" t="inlineStr">
        <is>
          <t>Cash flows from investing activities</t>
        </is>
      </c>
      <c r="B40" s="6" t="n"/>
      <c r="C40" s="6" t="n"/>
      <c r="D40" s="6" t="n"/>
      <c r="E40" s="6" t="n"/>
      <c r="F40" s="6" t="n"/>
      <c r="G40" s="6" t="n"/>
      <c r="H40" s="6" t="n"/>
      <c r="I40" s="6" t="n"/>
      <c r="J40" s="6" t="n"/>
      <c r="K40" s="6" t="n"/>
      <c r="L40" s="6" t="n"/>
      <c r="M40" s="6" t="n"/>
    </row>
    <row r="41">
      <c r="A41" s="6" t="inlineStr">
        <is>
          <t>Purchase of property and equipment</t>
        </is>
      </c>
      <c r="B41" s="6" t="n">
        <v>-18.3</v>
      </c>
      <c r="C41" s="6" t="n">
        <v>-22.2</v>
      </c>
      <c r="D41" s="6" t="n">
        <v>-20.2</v>
      </c>
      <c r="E41" s="6" t="n">
        <v>-36.8</v>
      </c>
      <c r="F41" s="6" t="n">
        <v>-44.5</v>
      </c>
      <c r="G41" s="6" t="n">
        <v>-30.2</v>
      </c>
      <c r="H41" s="6" t="n">
        <v>-18</v>
      </c>
      <c r="I41" s="6" t="n">
        <v>-15.8</v>
      </c>
      <c r="J41" s="6" t="n">
        <v>-15.8</v>
      </c>
      <c r="K41" s="6" t="n">
        <v>-35.9</v>
      </c>
      <c r="L41" s="6" t="n">
        <v>-39.7</v>
      </c>
      <c r="M41" s="6" t="n">
        <v>-85.8</v>
      </c>
    </row>
    <row r="42">
      <c r="A42" s="6" t="inlineStr">
        <is>
          <t>Purchase and development of intangible assets</t>
        </is>
      </c>
      <c r="B42" s="6" t="n">
        <v>-38.4</v>
      </c>
      <c r="C42" s="6" t="n">
        <v>-41.8</v>
      </c>
      <c r="D42" s="6" t="n">
        <v>-28</v>
      </c>
      <c r="E42" s="6" t="n">
        <v>-17.5</v>
      </c>
      <c r="F42" s="6" t="n">
        <v>-30.3</v>
      </c>
      <c r="G42" s="6" t="n">
        <v>-35.9</v>
      </c>
      <c r="H42" s="6" t="n">
        <v>-7.6</v>
      </c>
      <c r="I42" s="6" t="n"/>
      <c r="J42" s="6" t="n"/>
      <c r="K42" s="6" t="n"/>
      <c r="L42" s="6" t="n"/>
      <c r="M42" s="6" t="n"/>
    </row>
    <row r="43">
      <c r="A43" s="6" t="inlineStr">
        <is>
          <t>Purchase of financial assets (FY2014-FY2018 presentation)</t>
        </is>
      </c>
      <c r="B43" s="6" t="n"/>
      <c r="C43" s="6" t="n"/>
      <c r="D43" s="6" t="n"/>
      <c r="E43" s="6" t="n"/>
      <c r="F43" s="6" t="n"/>
      <c r="G43" s="6" t="n"/>
      <c r="H43" s="6" t="n"/>
      <c r="I43" s="6" t="n">
        <v>-398.1</v>
      </c>
      <c r="J43" s="6" t="n">
        <v>-62.9</v>
      </c>
      <c r="K43" s="6" t="n">
        <v>-779.2</v>
      </c>
      <c r="L43" s="6" t="n">
        <v>-3969.6</v>
      </c>
      <c r="M43" s="6" t="n">
        <v>-3682.1</v>
      </c>
    </row>
    <row r="44">
      <c r="A44" s="6" t="inlineStr">
        <is>
          <t>Interest received on financial assets (FY2014-FY2018 presentation)</t>
        </is>
      </c>
      <c r="B44" s="6" t="n"/>
      <c r="C44" s="6" t="n"/>
      <c r="D44" s="6" t="n"/>
      <c r="E44" s="6" t="n"/>
      <c r="F44" s="6" t="n"/>
      <c r="G44" s="6" t="n"/>
      <c r="H44" s="6" t="n"/>
      <c r="I44" s="6" t="n">
        <v>76.59999999999999</v>
      </c>
      <c r="J44" s="6" t="n">
        <v>83.3</v>
      </c>
      <c r="K44" s="6" t="n">
        <v>53.7</v>
      </c>
      <c r="L44" s="6" t="n">
        <v>32.8</v>
      </c>
      <c r="M44" s="6" t="n"/>
    </row>
    <row r="45">
      <c r="A45" s="6" t="inlineStr">
        <is>
          <t>Proceeds on disposal of equity assets</t>
        </is>
      </c>
      <c r="B45" s="6" t="n"/>
      <c r="C45" s="6" t="n"/>
      <c r="D45" s="6" t="n"/>
      <c r="E45" s="6" t="n"/>
      <c r="F45" s="6" t="n"/>
      <c r="G45" s="6" t="n"/>
      <c r="H45" s="6" t="n"/>
      <c r="I45" s="6" t="n">
        <v>9.199999999999999</v>
      </c>
      <c r="J45" s="6" t="n"/>
      <c r="K45" s="6" t="n">
        <v>25.3</v>
      </c>
      <c r="L45" s="6" t="n"/>
      <c r="M45" s="6" t="n"/>
    </row>
    <row r="46">
      <c r="A46" s="6" t="inlineStr">
        <is>
          <t>Maturity/(issue) of reverse repurchase agreements (FY2014-16 presentation)</t>
        </is>
      </c>
      <c r="B46" s="6" t="n"/>
      <c r="C46" s="6" t="n"/>
      <c r="D46" s="6" t="n"/>
      <c r="E46" s="6" t="n"/>
      <c r="F46" s="6" t="n"/>
      <c r="G46" s="6" t="n"/>
      <c r="H46" s="6" t="n"/>
      <c r="I46" s="6" t="n"/>
      <c r="J46" s="6" t="n"/>
      <c r="K46" s="6" t="n">
        <v>20.3</v>
      </c>
      <c r="L46" s="6" t="n">
        <v>-20.3</v>
      </c>
      <c r="M46" s="6" t="n"/>
    </row>
    <row r="47">
      <c r="A47" s="6" t="inlineStr">
        <is>
          <t>Interest received on reverse repurchase agreements</t>
        </is>
      </c>
      <c r="B47" s="6" t="n"/>
      <c r="C47" s="6" t="n"/>
      <c r="D47" s="6" t="n"/>
      <c r="E47" s="6" t="n"/>
      <c r="F47" s="6" t="n"/>
      <c r="G47" s="6" t="n"/>
      <c r="H47" s="6" t="n"/>
      <c r="I47" s="6" t="n">
        <v>0.4</v>
      </c>
      <c r="J47" s="6" t="n">
        <v>0.4</v>
      </c>
      <c r="K47" s="6" t="n">
        <v>2.2</v>
      </c>
      <c r="L47" s="6" t="n"/>
      <c r="M47" s="6" t="n"/>
    </row>
    <row r="48">
      <c r="A48" s="6" t="inlineStr">
        <is>
          <t>Purchase of Sabadell shares</t>
        </is>
      </c>
      <c r="B48" s="6" t="n"/>
      <c r="C48" s="6" t="n"/>
      <c r="D48" s="6" t="n"/>
      <c r="E48" s="6" t="n"/>
      <c r="F48" s="6" t="n"/>
      <c r="G48" s="6" t="n"/>
      <c r="H48" s="6" t="n"/>
      <c r="I48" s="6" t="n">
        <v>-0.9</v>
      </c>
      <c r="J48" s="6" t="n">
        <v>-0.9</v>
      </c>
      <c r="K48" s="6" t="n">
        <v>-5.2</v>
      </c>
      <c r="L48" s="6" t="n">
        <v>-7.1</v>
      </c>
      <c r="M48" s="6" t="n"/>
    </row>
    <row r="49">
      <c r="A49" s="6" t="inlineStr">
        <is>
          <t>Disposal/(purchase) of shares held by trusts</t>
        </is>
      </c>
      <c r="B49" s="6" t="n"/>
      <c r="C49" s="6" t="n"/>
      <c r="D49" s="6" t="n"/>
      <c r="E49" s="6" t="n"/>
      <c r="F49" s="6" t="n"/>
      <c r="G49" s="6" t="n"/>
      <c r="H49" s="6" t="n"/>
      <c r="I49" s="6" t="n"/>
      <c r="J49" s="6" t="n"/>
      <c r="K49" s="6" t="n"/>
      <c r="L49" s="6" t="n">
        <v>7.6</v>
      </c>
      <c r="M49" s="6" t="n">
        <v>-9.1</v>
      </c>
    </row>
    <row r="50">
      <c r="A50" s="6" t="inlineStr">
        <is>
          <t>Purchase of debt securities</t>
        </is>
      </c>
      <c r="B50" s="6" t="n">
        <v>-247.4</v>
      </c>
      <c r="C50" s="6" t="n">
        <v>-124.7</v>
      </c>
      <c r="D50" s="6" t="n">
        <v>-219.8</v>
      </c>
      <c r="E50" s="6" t="n">
        <v>-580.1</v>
      </c>
      <c r="F50" s="6" t="n">
        <v>-1324.5</v>
      </c>
      <c r="G50" s="6" t="n">
        <v>-1341.3</v>
      </c>
      <c r="H50" s="6" t="n">
        <v>-994.9</v>
      </c>
      <c r="I50" s="6" t="n"/>
      <c r="J50" s="6" t="n"/>
      <c r="K50" s="6" t="n"/>
      <c r="L50" s="6" t="n"/>
      <c r="M50" s="6" t="n"/>
    </row>
    <row r="51">
      <c r="A51" s="6" t="inlineStr">
        <is>
          <t>Sale of debt securities</t>
        </is>
      </c>
      <c r="B51" s="6" t="n"/>
      <c r="C51" s="6" t="n">
        <v>0</v>
      </c>
      <c r="D51" s="6" t="n">
        <v>252.6</v>
      </c>
      <c r="E51" s="6" t="n">
        <v>442.6</v>
      </c>
      <c r="F51" s="6" t="n">
        <v>500.9</v>
      </c>
      <c r="G51" s="6" t="n">
        <v>977.8</v>
      </c>
      <c r="H51" s="6" t="n">
        <v>1424.3</v>
      </c>
      <c r="I51" s="6" t="n"/>
      <c r="J51" s="6" t="n"/>
      <c r="K51" s="6" t="n"/>
      <c r="L51" s="6" t="n"/>
      <c r="M51" s="6" t="n"/>
    </row>
    <row r="52">
      <c r="A52" s="6" t="inlineStr">
        <is>
          <t>Proceeds from maturing investments</t>
        </is>
      </c>
      <c r="B52" s="6" t="n">
        <v>169.3</v>
      </c>
      <c r="C52" s="6" t="n">
        <v>141.7</v>
      </c>
      <c r="D52" s="6" t="n">
        <v>39.3</v>
      </c>
      <c r="E52" s="6" t="n">
        <v>67</v>
      </c>
      <c r="F52" s="6" t="n">
        <v>23</v>
      </c>
      <c r="G52" s="6" t="n"/>
      <c r="H52" s="6" t="n"/>
      <c r="I52" s="6" t="n"/>
      <c r="J52" s="6" t="n"/>
      <c r="K52" s="6" t="n"/>
      <c r="L52" s="6" t="n"/>
      <c r="M52" s="6" t="n"/>
    </row>
    <row r="53">
      <c r="A53" s="6" t="inlineStr">
        <is>
          <t>Interest received on debt securities</t>
        </is>
      </c>
      <c r="B53" s="6" t="n">
        <v>67.59999999999999</v>
      </c>
      <c r="C53" s="6" t="n">
        <v>68.09999999999999</v>
      </c>
      <c r="D53" s="6" t="n">
        <v>64.59999999999999</v>
      </c>
      <c r="E53" s="6" t="n">
        <v>44.5</v>
      </c>
      <c r="F53" s="6" t="n">
        <v>36.3</v>
      </c>
      <c r="G53" s="6" t="n"/>
      <c r="H53" s="6" t="n"/>
      <c r="I53" s="6" t="n"/>
      <c r="J53" s="6" t="n"/>
      <c r="K53" s="6" t="n"/>
      <c r="L53" s="6" t="n"/>
      <c r="M53" s="6" t="n"/>
    </row>
    <row r="54">
      <c r="A54" s="5" t="inlineStr">
        <is>
          <t>Net cash (used in)/provided by investing activities</t>
        </is>
      </c>
      <c r="B54" s="5" t="n">
        <v>-67.2</v>
      </c>
      <c r="C54" s="5" t="n">
        <v>21.1</v>
      </c>
      <c r="D54" s="5" t="n">
        <v>88.5</v>
      </c>
      <c r="E54" s="5" t="n">
        <v>-80.3</v>
      </c>
      <c r="F54" s="5" t="n">
        <v>-839.1</v>
      </c>
      <c r="G54" s="5" t="n">
        <v>-429.6</v>
      </c>
      <c r="H54" s="5" t="n">
        <v>403.8</v>
      </c>
      <c r="I54" s="5" t="n">
        <v>-328.6</v>
      </c>
      <c r="J54" s="5" t="n">
        <v>4.1</v>
      </c>
      <c r="K54" s="5" t="n">
        <v>-718.8</v>
      </c>
      <c r="L54" s="5" t="n">
        <v>-3996.3</v>
      </c>
      <c r="M54" s="5" t="n">
        <v>-3777</v>
      </c>
    </row>
    <row r="55">
      <c r="A55" s="5" t="inlineStr">
        <is>
          <t>Cash flows from financing activities</t>
        </is>
      </c>
      <c r="B55" s="6" t="n"/>
      <c r="C55" s="6" t="n"/>
      <c r="D55" s="6" t="n"/>
      <c r="E55" s="6" t="n"/>
      <c r="F55" s="6" t="n"/>
      <c r="G55" s="6" t="n"/>
      <c r="H55" s="6" t="n"/>
      <c r="I55" s="6" t="n"/>
      <c r="J55" s="6" t="n"/>
      <c r="K55" s="6" t="n"/>
      <c r="L55" s="6" t="n"/>
      <c r="M55" s="6" t="n"/>
    </row>
    <row r="56">
      <c r="A56" s="6" t="inlineStr">
        <is>
          <t>Additional borrowings from central banks</t>
        </is>
      </c>
      <c r="B56" s="6" t="n">
        <v>5</v>
      </c>
      <c r="C56" s="6" t="n">
        <v>0</v>
      </c>
      <c r="D56" s="6" t="n">
        <v>5</v>
      </c>
      <c r="E56" s="6" t="n">
        <v>510</v>
      </c>
      <c r="F56" s="6" t="n">
        <v>5500</v>
      </c>
      <c r="G56" s="6" t="n"/>
      <c r="H56" s="6" t="n"/>
      <c r="I56" s="6" t="n"/>
      <c r="J56" s="6" t="n"/>
      <c r="K56" s="6" t="n"/>
      <c r="L56" s="6" t="n"/>
      <c r="M56" s="6" t="n"/>
    </row>
    <row r="57">
      <c r="A57" s="6" t="inlineStr">
        <is>
          <t>Proceeds from borrowings from central banks (FY2017-18 presentation)</t>
        </is>
      </c>
      <c r="B57" s="6" t="n"/>
      <c r="C57" s="6" t="n"/>
      <c r="D57" s="6" t="n"/>
      <c r="E57" s="6" t="n"/>
      <c r="F57" s="6" t="n"/>
      <c r="G57" s="6" t="n"/>
      <c r="H57" s="6" t="n"/>
      <c r="I57" s="6" t="n">
        <v>850</v>
      </c>
      <c r="J57" s="6" t="n">
        <v>5615</v>
      </c>
      <c r="K57" s="6" t="n"/>
      <c r="L57" s="6" t="n"/>
      <c r="M57" s="6" t="n"/>
    </row>
    <row r="58">
      <c r="A58" s="6" t="inlineStr">
        <is>
          <t>Repayment of borrowing from central banks</t>
        </is>
      </c>
      <c r="B58" s="6" t="n">
        <v>-797</v>
      </c>
      <c r="C58" s="6" t="n">
        <v>-2620</v>
      </c>
      <c r="D58" s="6" t="n">
        <v>-1500</v>
      </c>
      <c r="E58" s="6" t="n">
        <v>-510</v>
      </c>
      <c r="F58" s="6" t="n">
        <v>-3065</v>
      </c>
      <c r="G58" s="6" t="n">
        <v>-1410</v>
      </c>
      <c r="H58" s="6" t="n">
        <v>-1995</v>
      </c>
      <c r="I58" s="6" t="n"/>
      <c r="J58" s="6" t="n"/>
      <c r="K58" s="6" t="n"/>
      <c r="L58" s="6" t="n"/>
      <c r="M58" s="6" t="n"/>
    </row>
    <row r="59">
      <c r="A59" s="6" t="inlineStr">
        <is>
          <t>Repayment of debt securities in issue (incl. securitisation repayments, FY2017-FY2020 presentation)</t>
        </is>
      </c>
      <c r="B59" s="6" t="n"/>
      <c r="C59" s="6" t="n"/>
      <c r="D59" s="6" t="n"/>
      <c r="E59" s="6" t="n"/>
      <c r="F59" s="6" t="n"/>
      <c r="G59" s="6" t="n">
        <v>-440.2</v>
      </c>
      <c r="H59" s="6" t="n">
        <v>-177.5</v>
      </c>
      <c r="I59" s="6" t="n">
        <v>-197.9</v>
      </c>
      <c r="J59" s="6" t="n">
        <v>-2128.4</v>
      </c>
      <c r="K59" s="6" t="n">
        <v>-557.4</v>
      </c>
      <c r="L59" s="6" t="n"/>
      <c r="M59" s="6" t="n"/>
    </row>
    <row r="60">
      <c r="A60" s="6" t="inlineStr">
        <is>
          <t>Proceeds from debt securities issued (FY2014-16 presentation)</t>
        </is>
      </c>
      <c r="B60" s="6" t="n"/>
      <c r="C60" s="6" t="n"/>
      <c r="D60" s="6" t="n"/>
      <c r="E60" s="6" t="n"/>
      <c r="F60" s="6" t="n"/>
      <c r="G60" s="6" t="n"/>
      <c r="H60" s="6" t="n"/>
      <c r="I60" s="6" t="n"/>
      <c r="J60" s="6" t="n"/>
      <c r="K60" s="6" t="n">
        <v>553.7</v>
      </c>
      <c r="L60" s="6" t="n">
        <v>2873.7</v>
      </c>
      <c r="M60" s="6" t="n">
        <v>10</v>
      </c>
    </row>
    <row r="61">
      <c r="A61" s="6" t="inlineStr">
        <is>
          <t>Interest paid on debt securities in issue (FY2017-18 presentation)</t>
        </is>
      </c>
      <c r="B61" s="6" t="n"/>
      <c r="C61" s="6" t="n"/>
      <c r="D61" s="6" t="n"/>
      <c r="E61" s="6" t="n"/>
      <c r="F61" s="6" t="n"/>
      <c r="G61" s="6" t="n"/>
      <c r="H61" s="6" t="n"/>
      <c r="I61" s="6" t="n">
        <v>-12.4</v>
      </c>
      <c r="J61" s="6" t="n">
        <v>-13.4</v>
      </c>
      <c r="K61" s="6" t="n">
        <v>-40.6</v>
      </c>
      <c r="L61" s="6" t="n">
        <v>-0.3</v>
      </c>
      <c r="M61" s="6" t="n">
        <v>-0.6</v>
      </c>
    </row>
    <row r="62">
      <c r="A62" s="6" t="inlineStr">
        <is>
          <t>Repurchase of debt securities</t>
        </is>
      </c>
      <c r="B62" s="6" t="n"/>
      <c r="C62" s="6" t="n"/>
      <c r="D62" s="6" t="n"/>
      <c r="E62" s="6" t="n"/>
      <c r="F62" s="6" t="n"/>
      <c r="G62" s="6" t="n"/>
      <c r="H62" s="6" t="n"/>
      <c r="I62" s="6" t="n"/>
      <c r="J62" s="6" t="n"/>
      <c r="K62" s="6" t="n"/>
      <c r="L62" s="6" t="n"/>
      <c r="M62" s="6" t="n">
        <v>-0.8</v>
      </c>
    </row>
    <row r="63">
      <c r="A63" s="6" t="inlineStr">
        <is>
          <t>Proceeds from subordinated liabilities issued</t>
        </is>
      </c>
      <c r="B63" s="6" t="n"/>
      <c r="C63" s="6" t="n"/>
      <c r="D63" s="6" t="n"/>
      <c r="E63" s="6" t="n"/>
      <c r="F63" s="6" t="n"/>
      <c r="G63" s="6" t="n"/>
      <c r="H63" s="6" t="n"/>
      <c r="I63" s="6" t="n"/>
      <c r="J63" s="6" t="n"/>
      <c r="K63" s="6" t="n"/>
      <c r="L63" s="6" t="n"/>
      <c r="M63" s="6" t="n">
        <v>383</v>
      </c>
    </row>
    <row r="64">
      <c r="A64" s="6" t="inlineStr">
        <is>
          <t>Interest paid on borrowings from central banks</t>
        </is>
      </c>
      <c r="B64" s="6" t="n">
        <v>-46.2</v>
      </c>
      <c r="C64" s="6" t="n">
        <v>-177.1</v>
      </c>
      <c r="D64" s="6" t="n">
        <v>-191.7</v>
      </c>
      <c r="E64" s="6" t="n">
        <v>-57.3</v>
      </c>
      <c r="F64" s="6" t="n">
        <v>-7.8</v>
      </c>
      <c r="G64" s="6" t="n"/>
      <c r="H64" s="6" t="n"/>
      <c r="I64" s="6" t="n">
        <v>-32</v>
      </c>
      <c r="J64" s="6" t="n">
        <v>-6.4</v>
      </c>
      <c r="K64" s="6" t="n"/>
      <c r="L64" s="6" t="n"/>
      <c r="M64" s="6" t="n"/>
    </row>
    <row r="65">
      <c r="A65" s="6" t="inlineStr">
        <is>
          <t>Issue of covered bonds</t>
        </is>
      </c>
      <c r="B65" s="6" t="n">
        <v>495.5</v>
      </c>
      <c r="C65" s="6" t="n">
        <v>926.1</v>
      </c>
      <c r="D65" s="6" t="n">
        <v>1750</v>
      </c>
      <c r="E65" s="6" t="n">
        <v>0</v>
      </c>
      <c r="F65" s="6" t="n"/>
      <c r="G65" s="6" t="n"/>
      <c r="H65" s="6" t="n">
        <v>750</v>
      </c>
      <c r="I65" s="6" t="n"/>
      <c r="J65" s="6" t="n"/>
      <c r="K65" s="6" t="n"/>
      <c r="L65" s="6" t="n"/>
      <c r="M65" s="6" t="n"/>
    </row>
    <row r="66">
      <c r="A66" s="6" t="inlineStr">
        <is>
          <t>Repayment of covered bonds</t>
        </is>
      </c>
      <c r="B66" s="6" t="n">
        <v>0</v>
      </c>
      <c r="C66" s="6" t="n">
        <v>-500</v>
      </c>
      <c r="D66" s="6" t="n"/>
      <c r="E66" s="6" t="n"/>
      <c r="F66" s="6" t="n"/>
      <c r="G66" s="6" t="n"/>
      <c r="H66" s="6" t="n"/>
      <c r="I66" s="6" t="n"/>
      <c r="J66" s="6" t="n"/>
      <c r="K66" s="6" t="n"/>
      <c r="L66" s="6" t="n"/>
      <c r="M66" s="6" t="n"/>
    </row>
    <row r="67">
      <c r="A67" s="6" t="inlineStr">
        <is>
          <t>Buyback of covered bonds</t>
        </is>
      </c>
      <c r="B67" s="6" t="n"/>
      <c r="C67" s="6" t="n"/>
      <c r="D67" s="6" t="n">
        <v>-251</v>
      </c>
      <c r="E67" s="6" t="n">
        <v>-500</v>
      </c>
      <c r="F67" s="6" t="n"/>
      <c r="G67" s="6" t="n"/>
      <c r="H67" s="6" t="n"/>
      <c r="I67" s="6" t="n"/>
      <c r="J67" s="6" t="n"/>
      <c r="K67" s="6" t="n"/>
      <c r="L67" s="6" t="n"/>
      <c r="M67" s="6" t="n"/>
    </row>
    <row r="68">
      <c r="A68" s="6" t="inlineStr">
        <is>
          <t>Interest paid on covered bonds</t>
        </is>
      </c>
      <c r="B68" s="6" t="n">
        <v>-143.2</v>
      </c>
      <c r="C68" s="6" t="n">
        <v>-144.4</v>
      </c>
      <c r="D68" s="6" t="n">
        <v>-120.1</v>
      </c>
      <c r="E68" s="6" t="n">
        <v>-29.5</v>
      </c>
      <c r="F68" s="6" t="n"/>
      <c r="G68" s="6" t="n"/>
      <c r="H68" s="6" t="n"/>
      <c r="I68" s="6" t="n"/>
      <c r="J68" s="6" t="n"/>
      <c r="K68" s="6" t="n"/>
      <c r="L68" s="6" t="n"/>
      <c r="M68" s="6" t="n"/>
    </row>
    <row r="69">
      <c r="A69" s="6" t="inlineStr">
        <is>
          <t>Issue of securitisation notes</t>
        </is>
      </c>
      <c r="B69" s="6" t="n">
        <v>0</v>
      </c>
      <c r="C69" s="6" t="n">
        <v>498.3</v>
      </c>
      <c r="D69" s="6" t="n"/>
      <c r="E69" s="6" t="n"/>
      <c r="F69" s="6" t="n"/>
      <c r="G69" s="6" t="n"/>
      <c r="H69" s="6" t="n"/>
      <c r="I69" s="6" t="n"/>
      <c r="J69" s="6" t="n"/>
      <c r="K69" s="6" t="n"/>
      <c r="L69" s="6" t="n"/>
      <c r="M69" s="6" t="n"/>
    </row>
    <row r="70">
      <c r="A70" s="6" t="inlineStr">
        <is>
          <t>Repayment of securitisation notes</t>
        </is>
      </c>
      <c r="B70" s="6" t="n">
        <v>-20</v>
      </c>
      <c r="C70" s="6" t="n">
        <v>-5</v>
      </c>
      <c r="D70" s="6" t="n"/>
      <c r="E70" s="6" t="n"/>
      <c r="F70" s="6" t="n"/>
      <c r="G70" s="6" t="n"/>
      <c r="H70" s="6" t="n"/>
      <c r="I70" s="6" t="n"/>
      <c r="J70" s="6" t="n"/>
      <c r="K70" s="6" t="n"/>
      <c r="L70" s="6" t="n"/>
      <c r="M70" s="6" t="n"/>
    </row>
    <row r="71">
      <c r="A71" s="6" t="inlineStr">
        <is>
          <t>Interest paid on securitisation notes</t>
        </is>
      </c>
      <c r="B71" s="6" t="n">
        <v>-24.2</v>
      </c>
      <c r="C71" s="6" t="n">
        <v>-11.8</v>
      </c>
      <c r="D71" s="6" t="n"/>
      <c r="E71" s="6" t="n"/>
      <c r="F71" s="6" t="n"/>
      <c r="G71" s="6" t="n"/>
      <c r="H71" s="6" t="n"/>
      <c r="I71" s="6" t="n"/>
      <c r="J71" s="6" t="n"/>
      <c r="K71" s="6" t="n"/>
      <c r="L71" s="6" t="n"/>
      <c r="M71" s="6" t="n"/>
    </row>
    <row r="72">
      <c r="A72" s="6" t="inlineStr">
        <is>
          <t>Issue of Additional Tier 1 securities</t>
        </is>
      </c>
      <c r="B72" s="6" t="n">
        <v>0</v>
      </c>
      <c r="C72" s="6" t="n">
        <v>249.7</v>
      </c>
      <c r="D72" s="6" t="n"/>
      <c r="E72" s="6" t="n"/>
      <c r="F72" s="6" t="n"/>
      <c r="G72" s="6" t="n"/>
      <c r="H72" s="6" t="n"/>
      <c r="I72" s="6" t="n"/>
      <c r="J72" s="6" t="n"/>
      <c r="K72" s="6" t="n"/>
      <c r="L72" s="6" t="n"/>
      <c r="M72" s="6" t="n"/>
    </row>
    <row r="73">
      <c r="A73" s="6" t="inlineStr">
        <is>
          <t>Issue of senior unsecured debt securities</t>
        </is>
      </c>
      <c r="B73" s="6" t="n"/>
      <c r="C73" s="6" t="n">
        <v>0</v>
      </c>
      <c r="D73" s="6" t="n">
        <v>200</v>
      </c>
      <c r="E73" s="6" t="n">
        <v>700</v>
      </c>
      <c r="F73" s="6" t="n"/>
      <c r="G73" s="6" t="n">
        <v>450</v>
      </c>
      <c r="H73" s="6" t="n"/>
      <c r="I73" s="6" t="n"/>
      <c r="J73" s="6" t="n"/>
      <c r="K73" s="6" t="n"/>
      <c r="L73" s="6" t="n"/>
      <c r="M73" s="6" t="n"/>
    </row>
    <row r="74">
      <c r="A74" s="6" t="inlineStr">
        <is>
          <t>Repayment of senior unsecured debt securities</t>
        </is>
      </c>
      <c r="B74" s="6" t="n">
        <v>-250</v>
      </c>
      <c r="C74" s="6" t="n">
        <v>0</v>
      </c>
      <c r="D74" s="6" t="n">
        <v>0</v>
      </c>
      <c r="E74" s="6" t="n">
        <v>-450</v>
      </c>
      <c r="F74" s="6" t="n"/>
      <c r="G74" s="6" t="n"/>
      <c r="H74" s="6" t="n"/>
      <c r="I74" s="6" t="n"/>
      <c r="J74" s="6" t="n"/>
      <c r="K74" s="6" t="n"/>
      <c r="L74" s="6" t="n"/>
      <c r="M74" s="6" t="n"/>
    </row>
    <row r="75">
      <c r="A75" s="6" t="inlineStr">
        <is>
          <t>Interest paid on senior unsecured debt securities</t>
        </is>
      </c>
      <c r="B75" s="6" t="n">
        <v>-65.3</v>
      </c>
      <c r="C75" s="6" t="n">
        <v>-72.40000000000001</v>
      </c>
      <c r="D75" s="6" t="n">
        <v>-51.1</v>
      </c>
      <c r="E75" s="6" t="n">
        <v>-15.8</v>
      </c>
      <c r="F75" s="6" t="n"/>
      <c r="G75" s="6" t="n"/>
      <c r="H75" s="6" t="n"/>
      <c r="I75" s="6" t="n"/>
      <c r="J75" s="6" t="n"/>
      <c r="K75" s="6" t="n"/>
      <c r="L75" s="6" t="n"/>
      <c r="M75" s="6" t="n"/>
    </row>
    <row r="76">
      <c r="A76" s="6" t="inlineStr">
        <is>
          <t>Issue of debt securities in issue (FY2021 presentation)</t>
        </is>
      </c>
      <c r="B76" s="6" t="n"/>
      <c r="C76" s="6" t="n"/>
      <c r="D76" s="6" t="n"/>
      <c r="E76" s="6" t="n"/>
      <c r="F76" s="6" t="n">
        <v>500</v>
      </c>
      <c r="G76" s="6" t="n"/>
      <c r="H76" s="6" t="n"/>
      <c r="I76" s="6" t="n"/>
      <c r="J76" s="6" t="n"/>
      <c r="K76" s="6" t="n"/>
      <c r="L76" s="6" t="n"/>
      <c r="M76" s="6" t="n"/>
    </row>
    <row r="77">
      <c r="A77" s="6" t="inlineStr">
        <is>
          <t>Interest paid on debt securities in issue (FY2021 presentation)</t>
        </is>
      </c>
      <c r="B77" s="6" t="n"/>
      <c r="C77" s="6" t="n"/>
      <c r="D77" s="6" t="n"/>
      <c r="E77" s="6" t="n"/>
      <c r="F77" s="6" t="n">
        <v>-21</v>
      </c>
      <c r="G77" s="6" t="n"/>
      <c r="H77" s="6" t="n"/>
      <c r="I77" s="6" t="n"/>
      <c r="J77" s="6" t="n"/>
      <c r="K77" s="6" t="n"/>
      <c r="L77" s="6" t="n"/>
      <c r="M77" s="6" t="n"/>
    </row>
    <row r="78">
      <c r="A78" s="6" t="inlineStr">
        <is>
          <t>Issue of subordinated liabilities</t>
        </is>
      </c>
      <c r="B78" s="6" t="n"/>
      <c r="C78" s="6" t="n"/>
      <c r="D78" s="6" t="n"/>
      <c r="E78" s="6" t="n"/>
      <c r="F78" s="6" t="n">
        <v>300</v>
      </c>
      <c r="G78" s="6" t="n"/>
      <c r="H78" s="6" t="n"/>
      <c r="I78" s="6" t="n"/>
      <c r="J78" s="6" t="n"/>
      <c r="K78" s="6" t="n"/>
      <c r="L78" s="6" t="n"/>
      <c r="M78" s="6" t="n"/>
    </row>
    <row r="79">
      <c r="A79" s="6" t="inlineStr">
        <is>
          <t>Repayment of subordinated liabilities</t>
        </is>
      </c>
      <c r="B79" s="6" t="n"/>
      <c r="C79" s="6" t="n"/>
      <c r="D79" s="6" t="n"/>
      <c r="E79" s="6" t="n"/>
      <c r="F79" s="6" t="n">
        <v>-385</v>
      </c>
      <c r="G79" s="6" t="n"/>
      <c r="H79" s="6" t="n"/>
      <c r="I79" s="6" t="n"/>
      <c r="J79" s="6" t="n"/>
      <c r="K79" s="6" t="n"/>
      <c r="L79" s="6" t="n"/>
      <c r="M79" s="6" t="n"/>
    </row>
    <row r="80">
      <c r="A80" s="6" t="inlineStr">
        <is>
          <t>Interest paid on subordinated liabilities</t>
        </is>
      </c>
      <c r="B80" s="6" t="n">
        <v>-10.3</v>
      </c>
      <c r="C80" s="6" t="n">
        <v>-10.3</v>
      </c>
      <c r="D80" s="6" t="n">
        <v>-10.3</v>
      </c>
      <c r="E80" s="6" t="n">
        <v>-10.3</v>
      </c>
      <c r="F80" s="6" t="n">
        <v>-18.8</v>
      </c>
      <c r="G80" s="6" t="n"/>
      <c r="H80" s="6" t="n"/>
      <c r="I80" s="6" t="n">
        <v>-22.4</v>
      </c>
      <c r="J80" s="6" t="n">
        <v>-22.1</v>
      </c>
      <c r="K80" s="6" t="n">
        <v>-22.1</v>
      </c>
      <c r="L80" s="6" t="n">
        <v>-22.1</v>
      </c>
      <c r="M80" s="6" t="n">
        <v>-11.4</v>
      </c>
    </row>
    <row r="81">
      <c r="A81" s="6" t="inlineStr">
        <is>
          <t>Proceeds from shares issued</t>
        </is>
      </c>
      <c r="B81" s="6" t="n"/>
      <c r="C81" s="6" t="n"/>
      <c r="D81" s="6" t="n"/>
      <c r="E81" s="6" t="n"/>
      <c r="F81" s="6" t="n"/>
      <c r="G81" s="6" t="n"/>
      <c r="H81" s="6" t="n"/>
      <c r="I81" s="6" t="n"/>
      <c r="J81" s="6" t="n"/>
      <c r="K81" s="6" t="n"/>
      <c r="L81" s="6" t="n"/>
      <c r="M81" s="6" t="n">
        <v>200</v>
      </c>
    </row>
    <row r="82">
      <c r="A82" s="6" t="inlineStr">
        <is>
          <t>Proceeds from/(repayment of) repurchase agreements (FY2014-16 presentation)</t>
        </is>
      </c>
      <c r="B82" s="6" t="n"/>
      <c r="C82" s="6" t="n"/>
      <c r="D82" s="6" t="n"/>
      <c r="E82" s="6" t="n"/>
      <c r="F82" s="6" t="n"/>
      <c r="G82" s="6" t="n"/>
      <c r="H82" s="6" t="n"/>
      <c r="I82" s="6" t="n"/>
      <c r="J82" s="6" t="n"/>
      <c r="K82" s="6" t="n">
        <v>1408.6</v>
      </c>
      <c r="L82" s="6" t="n">
        <v>-32.5</v>
      </c>
      <c r="M82" s="6" t="n">
        <v>32.5</v>
      </c>
    </row>
    <row r="83">
      <c r="A83" s="6" t="inlineStr">
        <is>
          <t>(Repayment)/issue of repurchase agreements</t>
        </is>
      </c>
      <c r="B83" s="6" t="n"/>
      <c r="C83" s="6" t="n"/>
      <c r="D83" s="6" t="n">
        <v>-359.9</v>
      </c>
      <c r="E83" s="6" t="n">
        <v>359.9</v>
      </c>
      <c r="F83" s="6" t="n"/>
      <c r="G83" s="6" t="n"/>
      <c r="H83" s="6" t="n"/>
      <c r="I83" s="6" t="n">
        <v>-361.9</v>
      </c>
      <c r="J83" s="6" t="n">
        <v>36.9</v>
      </c>
      <c r="K83" s="6" t="n"/>
      <c r="L83" s="6" t="n"/>
      <c r="M83" s="6" t="n"/>
    </row>
    <row r="84">
      <c r="A84" s="6" t="inlineStr">
        <is>
          <t>Interest paid on repurchase agreements</t>
        </is>
      </c>
      <c r="B84" s="6" t="n"/>
      <c r="C84" s="6" t="n"/>
      <c r="D84" s="6" t="n">
        <v>-1</v>
      </c>
      <c r="E84" s="6" t="n">
        <v>-2.6</v>
      </c>
      <c r="F84" s="6" t="n"/>
      <c r="G84" s="6" t="n"/>
      <c r="H84" s="6" t="n"/>
      <c r="I84" s="6" t="n">
        <v>-3.5</v>
      </c>
      <c r="J84" s="6" t="n">
        <v>-8.4</v>
      </c>
      <c r="K84" s="6" t="n">
        <v>-9.5</v>
      </c>
      <c r="L84" s="6" t="n">
        <v>-0.4</v>
      </c>
      <c r="M84" s="6" t="n"/>
    </row>
    <row r="85">
      <c r="A85" s="6" t="inlineStr">
        <is>
          <t>Net securitisation funding (FY2021 presentation)</t>
        </is>
      </c>
      <c r="B85" s="6" t="n"/>
      <c r="C85" s="6" t="n"/>
      <c r="D85" s="6" t="n"/>
      <c r="E85" s="6" t="n"/>
      <c r="F85" s="6" t="n">
        <v>0</v>
      </c>
      <c r="G85" s="6" t="n"/>
      <c r="H85" s="6" t="n"/>
      <c r="I85" s="6" t="n"/>
      <c r="J85" s="6" t="n"/>
      <c r="K85" s="6" t="n"/>
      <c r="L85" s="6" t="n"/>
      <c r="M85" s="6" t="n"/>
    </row>
    <row r="86">
      <c r="A86" s="6" t="inlineStr">
        <is>
          <t>Lease payments</t>
        </is>
      </c>
      <c r="B86" s="6" t="n">
        <v>-16.2</v>
      </c>
      <c r="C86" s="6" t="n">
        <v>-18.8</v>
      </c>
      <c r="D86" s="6" t="n">
        <v>-17.8</v>
      </c>
      <c r="E86" s="6" t="n">
        <v>-19.7</v>
      </c>
      <c r="F86" s="6" t="n">
        <v>-22.8</v>
      </c>
      <c r="G86" s="6" t="n">
        <v>-26.4</v>
      </c>
      <c r="H86" s="6" t="n">
        <v>-38.8</v>
      </c>
      <c r="I86" s="6" t="n"/>
      <c r="J86" s="6" t="n"/>
      <c r="K86" s="6" t="n"/>
      <c r="L86" s="6" t="n"/>
      <c r="M86" s="6" t="n"/>
    </row>
    <row r="87">
      <c r="A87" s="6" t="inlineStr">
        <is>
          <t>Distributions on other equity instruments</t>
        </is>
      </c>
      <c r="B87" s="6" t="n">
        <v>-17.6</v>
      </c>
      <c r="C87" s="6" t="n">
        <v>0</v>
      </c>
      <c r="D87" s="6" t="n"/>
      <c r="E87" s="6" t="n"/>
      <c r="F87" s="6" t="n"/>
      <c r="G87" s="6" t="n"/>
      <c r="H87" s="6" t="n"/>
      <c r="I87" s="6" t="n"/>
      <c r="J87" s="6" t="n"/>
      <c r="K87" s="6" t="n"/>
      <c r="L87" s="6" t="n"/>
      <c r="M87" s="6" t="n"/>
    </row>
    <row r="88">
      <c r="A88" s="6" t="inlineStr">
        <is>
          <t>Dividends paid</t>
        </is>
      </c>
      <c r="B88" s="6" t="n">
        <v>-300</v>
      </c>
      <c r="C88" s="6" t="n">
        <v>-120</v>
      </c>
      <c r="D88" s="6" t="n">
        <v>-50</v>
      </c>
      <c r="E88" s="6" t="n">
        <v>0</v>
      </c>
      <c r="F88" s="6" t="n"/>
      <c r="G88" s="6" t="n"/>
      <c r="H88" s="6" t="n"/>
      <c r="I88" s="6" t="n"/>
      <c r="J88" s="6" t="n"/>
      <c r="K88" s="6" t="n"/>
      <c r="L88" s="6" t="n"/>
      <c r="M88" s="6" t="n"/>
    </row>
    <row r="89">
      <c r="A89" s="5" t="inlineStr">
        <is>
          <t>Net cash (used in)/provided by financing activities</t>
        </is>
      </c>
      <c r="B89" s="5" t="n">
        <v>-1189.5</v>
      </c>
      <c r="C89" s="5" t="n">
        <v>-2005.7</v>
      </c>
      <c r="D89" s="5" t="n">
        <v>-597.9</v>
      </c>
      <c r="E89" s="5" t="n">
        <v>-25.3</v>
      </c>
      <c r="F89" s="5" t="n">
        <v>2779.6</v>
      </c>
      <c r="G89" s="5" t="n">
        <v>-1426.6</v>
      </c>
      <c r="H89" s="5" t="n">
        <v>-2545.8</v>
      </c>
      <c r="I89" s="5" t="n">
        <v>219.9</v>
      </c>
      <c r="J89" s="5" t="n">
        <v>3970.7</v>
      </c>
      <c r="K89" s="5" t="n">
        <v>1332.7</v>
      </c>
      <c r="L89" s="5" t="n">
        <v>2818.4</v>
      </c>
      <c r="M89" s="5" t="n">
        <v>612.7</v>
      </c>
    </row>
    <row r="90">
      <c r="A90" s="5" t="inlineStr">
        <is>
          <t>Change in cash and cash equivalents</t>
        </is>
      </c>
      <c r="B90" s="5" t="n">
        <v>-594.3</v>
      </c>
      <c r="C90" s="5" t="n">
        <v>-987.7</v>
      </c>
      <c r="D90" s="5" t="n">
        <v>691.3</v>
      </c>
      <c r="E90" s="5" t="n">
        <v>490.8</v>
      </c>
      <c r="F90" s="5" t="n">
        <v>-205.2</v>
      </c>
      <c r="G90" s="5" t="n">
        <v>463.5</v>
      </c>
      <c r="H90" s="5" t="n">
        <v>-2543.1</v>
      </c>
      <c r="I90" s="5" t="n">
        <v>-427.5</v>
      </c>
      <c r="J90" s="5" t="n">
        <v>3915.7</v>
      </c>
      <c r="K90" s="5" t="n">
        <v>933</v>
      </c>
      <c r="L90" s="5" t="n">
        <v>-1769.1</v>
      </c>
      <c r="M90" s="5" t="n">
        <v>4309.4</v>
      </c>
    </row>
    <row r="91">
      <c r="A91" s="6" t="inlineStr">
        <is>
          <t>Cash and cash equivalents at 1 January</t>
        </is>
      </c>
      <c r="B91" s="6" t="n">
        <v>5101.6</v>
      </c>
      <c r="C91" s="6" t="n">
        <v>6089.3</v>
      </c>
      <c r="D91" s="6" t="n">
        <v>5398</v>
      </c>
      <c r="E91" s="6" t="n">
        <v>4907.2</v>
      </c>
      <c r="F91" s="6" t="n">
        <v>5056.3</v>
      </c>
      <c r="G91" s="6" t="n">
        <v>4592.8</v>
      </c>
      <c r="H91" s="6" t="n">
        <v>7135.9</v>
      </c>
      <c r="I91" s="6" t="n">
        <v>7563.4</v>
      </c>
      <c r="J91" s="6" t="n">
        <v>3647.7</v>
      </c>
      <c r="K91" s="6" t="n">
        <v>2714.7</v>
      </c>
      <c r="L91" s="6" t="n">
        <v>4483.8</v>
      </c>
      <c r="M91" s="6" t="n">
        <v>174.4</v>
      </c>
    </row>
    <row r="92">
      <c r="A92" s="5" t="inlineStr">
        <is>
          <t>Cash and cash equivalents at 31 December</t>
        </is>
      </c>
      <c r="B92" s="5" t="n">
        <v>4507.3</v>
      </c>
      <c r="C92" s="5" t="n">
        <v>5101.6</v>
      </c>
      <c r="D92" s="5" t="n">
        <v>6089.3</v>
      </c>
      <c r="E92" s="5" t="n">
        <v>5398</v>
      </c>
      <c r="F92" s="5" t="n">
        <v>4851.1</v>
      </c>
      <c r="G92" s="5" t="n">
        <v>5056.3</v>
      </c>
      <c r="H92" s="5" t="n">
        <v>4592.8</v>
      </c>
      <c r="I92" s="5" t="n">
        <v>7135.9</v>
      </c>
      <c r="J92" s="5" t="n">
        <v>7563.4</v>
      </c>
      <c r="K92" s="5" t="n">
        <v>3647.7</v>
      </c>
      <c r="L92" s="5" t="n">
        <v>2714.7</v>
      </c>
      <c r="M92" s="5" t="n">
        <v>4483.8</v>
      </c>
    </row>
    <row r="94" ht="377" customHeight="1">
      <c r="A94" s="8" t="inlineStr">
        <is>
          <t>Sources - all figures are TSB Bank plc / TSB Banking Group plc Bank (Consolidated) basis, £ million (see entity note below for the FY2014-FY2016 vs FY2017 onward entity change).
FY2025 &amp; FY2024: TSB Bank plc Annual Report and Accounts 2025, p.49 and p.106 (Cash flow statements and note 32) - https://www.tsb.co.uk/content/dam/tsb-public/documents/investors/financial-results-and-reports/2025/TSB-Bank-ARA-2025.pdf
FY2023 &amp; FY2022 (restated): TSB Bank plc Annual Report and Accounts 2023, p.33-34 and p.83-84 (Cash flow statements and note 32) - https://www.tsb.co.uk/content/dam/tsb-public/documents/investors/financial-results-and-reports/2023/TSB-Bank-2023.pdf
FY2021: TSB Bank plc Annual Report and Accounts 2021, p.29 and p.78 (Cash flow statements and note 31) - https://www.tsb.co.uk/content/dam/tsb-public/documents/investors/financial-results-and-reports/2021/tsb-bank-ara-2021.pdf
FY2020 &amp; FY2019: TSB Bank plc Annual Report and Accounts 2020, p.27-28 and p.75-76 (Cash flow statements and note 32) - https://www.tsb.co.uk/content/dam/tsb-public/documents/investors/financial-results-and-reports/2020/tsb-bank-ara-2020.pdf
FY2018 &amp; FY2017: TSB Bank plc Annual Report and Accounts 2018, p.29-30 and p.78-79 (Cash flow statements and note 34) - https://www.tsb.co.uk/content/dam/tsb-public/documents/investors/financial-results-and-reports/2018/tsb-bank-ara-2018.pdf
FY2016 &amp; FY2015: TSB Banking Group plc Annual Report and Accounts 2016, p.60 (Consolidated cash flow statement) - https://www.tsb.co.uk/content/dam/tsb-public/documents/investors/financial-results-and-reports/2016/tsb-2016-results.pdf
FY2014: TSB Banking Group plc Annual Report and Accounts 2015, p.55 (Consolidated cash flow statement, FY2014 comparative column) - https://www.tsb.co.uk/content/dam/tsb-public/documents/investors/financial-results-and-reports/2015/tsb-2015-annual-report.pdf
ENTITY NOTE: TSB Bank plc (Companies House SC095237) is the entity on the PRA register; its own Annual Report and Accounts (consolidated 'Bank (Consolidated)' column used throughout) is used for the cash flow statement from FY2017 onward. TSB Banking Group plc's only direct subsidiary is TSB Bank plc, so 'TSB Banking Group plc' consolidated Pillar 3 disclosures (published under that name, as TSB is a 'large subsidiary' of Banco Sabadell for CRR Article 13 purposes) are effectively the same consolidation scope and are used for all Pillar 3 metric sheets.
ENTITY BASIS CHANGE (FY2014-FY2016): no standalone 'TSB Bank plc' entity Annual Report was published for these years, only 'TSB Banking Group plc' (the then Sabadell-owned holding company) Annual Report and Accounts. As TSB Banking Group plc's only direct subsidiary is TSB Bank plc, the underlying banking business and consolidation scope are effectively the same, but the holding company's own share capital/share premium/reserve structure differs from TSB Bank plc's (a holdco-level, not operating-entity-level, difference) - so FY2016 closing Shareholder's equity as reported by the Group (£1,865.0m) does not exactly tie to FY2016 closing equity as later restated in TSB Bank plc's own FY2017 Annual Report comparative (£1,879.6m), a genuine ~£14.6m entity-basis break at the FY2016/FY2017 boundary, not a data error. Balance Sheet/P&amp;L/Equity/Cash Flow/Asset Quality figures for FY2014-FY2016 are TSB Banking Group plc consolidated; FY2017 onward are TSB Bank plc consolidated.
CONTEXT: TSB was owned by Banco de Sabadell, S.A. (Spain) throughout FY2014-FY2025 (following the 2013 demerger from Lloyds Banking Group and TSB Banking Group plc's IPO in 2014; Sabadell acquired full control in 2015). Santander UK plc agreed to acquire TSB in July 2025 and completed the acquisition on 30 April 2026 (after this workbook's FY2025 year-end) - so all years of data here reflect the Sabadell-owned period; TSB's board ceased dividend payments to Sabadell following the announcement per TSB's FY2025 Pillar 3 disclosure.
BASEL II/CRD III CAVEAT: TSB Banking Group plc's Pillar 3 Disclosures 2014 present 31 December 2013 comparatives on both a Basel II basis and a CRD IV-restated basis (CRD IV took effect for the Group's own 31 December 2014 disclosure, its first full year of Pillar 3 reporting as a standalone entity post-demerger) - CET1/Common Equity Tier 1 terminology is already used from FY2014 onward on a CRD IV basis, so no Basel II-era terminology substitution was required for any year in this workbook.
RESTATEMENT NOTE: The 2023 Annual Report restated FY2022 (and earlier) to include on-demand loans and advances to credit institutions within cash and cash equivalents; this added £56.1m to the FY2021 closing cash position and £159.2m to the FY2022 opening position on a comparative basis, but FY2021's own Annual Report was never itself restated. As a result, FY2021's closing cash and cash equivalents (£4,851.1m, as originally reported) does not exactly tie to FY2022's opening balance shown here (£4,907.2m, restated) - a known £56.1m definitional break at that one boundary, not a data error. FY2022 onward reconciles exactly. The 2023 Annual Report also reclassified a derivatives/hedge-accounting fair value line from 'change in operating assets and liabilities' into 'non-cash and other items' from FY2023 onward; FY2021 and FY2022 keep their original as-reported classification for that line (see the two separate rows below).
PRESENTATION NOTE: Line items were relabelled and reorganised across these 5 years as TSB's funding mix evolved (e.g. 'Issue of debt securities in issue' in FY2021 became separate covered bond/senior unsecured/securitisation/AT1 lines by FY2024-25; a repurchase-agreements financing line appeared only in FY2022-23). Blank cells indicate that year's report did not disclose or did not have that specific line; '0' indicates the report explicitly showed a nil ('-') value. The 'Change in operating assets and liabilities' and 'Non-cash and other items' rows are TSB's own audited primary-statement subtotals; the rows above each are the supporting breakdown from the cash flow note.
FY2019 RECONCILIATION NOTE: TSB Bank plc Annual Report and Accounts 2020's own FY2019 comparative column shows Net cash used in operating activities of £(360.3)m, investing £403.8m and financing £(2,545.8)m, which sum to £(2,502.3)m - not the £(2,543.1)m 'Change in cash and cash equivalents' also shown in that same comparative column, a £40.8m gap. The 2020 Annual Report's own footnote explains why: 'interest received on debt securities of £53.2 million and interest paid on borrowings from central banks, debt securities in issue and subordinated liabilities of £(94.0) million' were reclassified into operating activities for FY2020 but the FY2019 comparative subtotals shown were not fully restated to match (94.0-53.2=40.8, exactly the gap) - reproduced exactly as TSB's own report shows it, not force-tied.</t>
        </is>
      </c>
    </row>
    <row r="96" ht="220" customHeight="1">
      <c r="A96" s="8" t="inlineStr">
        <is>
          <t>(continued)
FY2014-FY2016 PRESENTATION NOTE: TSB Banking Group plc's FY2014-FY2016 cash flow statements only disclose 'Change in operating assets' and 'Change in operating liabilities' as two combined top-level subtotals (no further line-item breakdown was published for those years, unlike the note-32/34 breakdowns available from FY2017 onward), and financing-activity interest payments are presented net within each funding-source line rather than split out - reproduced at the level of detail each year's own report actually discloses, not forced into the later years' more granular structure.</t>
        </is>
      </c>
    </row>
  </sheetData>
  <mergeCells count="2">
    <mergeCell ref="A96:M96"/>
    <mergeCell ref="A94:M9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TSB Bank plc — Asset Quality</t>
        </is>
      </c>
    </row>
    <row r="2">
      <c r="A2" s="2" t="inlineStr">
        <is>
          <t>Bank and Company, £ million. See source note for why this doesn't tie exactly to the Balance Sheet's Loans and advances to customers line, and for a FY2021 vs FY2022-25 disclosure-basis difference.</t>
        </is>
      </c>
    </row>
    <row r="3">
      <c r="A3" s="4" t="inlineStr">
        <is>
          <t>Line item</t>
        </is>
      </c>
      <c r="B3" s="4" t="inlineStr">
        <is>
          <t>FY2025 (£m)</t>
        </is>
      </c>
      <c r="C3" s="4" t="inlineStr">
        <is>
          <t>FY2024 (£m)</t>
        </is>
      </c>
      <c r="D3" s="4" t="inlineStr">
        <is>
          <t>FY2023 (£m)</t>
        </is>
      </c>
      <c r="E3" s="4" t="inlineStr">
        <is>
          <t>FY2022 (£m)</t>
        </is>
      </c>
      <c r="F3" s="4" t="inlineStr">
        <is>
          <t>FY2021 (£m)</t>
        </is>
      </c>
      <c r="G3" s="4" t="inlineStr">
        <is>
          <t>FY2020 (£m)</t>
        </is>
      </c>
      <c r="H3" s="4" t="inlineStr">
        <is>
          <t>FY2019 (£m)</t>
        </is>
      </c>
      <c r="I3" s="4" t="inlineStr">
        <is>
          <t>FY2018 (£m)</t>
        </is>
      </c>
      <c r="J3" s="4" t="inlineStr">
        <is>
          <t>FY2017 (£m)</t>
        </is>
      </c>
      <c r="K3" s="4" t="inlineStr">
        <is>
          <t>FY2016 (£m)</t>
        </is>
      </c>
      <c r="L3" s="4" t="inlineStr">
        <is>
          <t>FY2015 (£m)</t>
        </is>
      </c>
      <c r="M3" s="4" t="inlineStr">
        <is>
          <t>FY2014 (£m)</t>
        </is>
      </c>
    </row>
    <row r="4">
      <c r="A4" s="5" t="inlineStr">
        <is>
          <t>Gross customer lending balances by IFRS 9 stage (weighted forecast)</t>
        </is>
      </c>
      <c r="B4" s="6" t="n"/>
      <c r="C4" s="6" t="n"/>
      <c r="D4" s="6" t="n"/>
      <c r="E4" s="6" t="n"/>
      <c r="F4" s="6" t="n"/>
      <c r="G4" s="6" t="n"/>
      <c r="H4" s="6" t="n"/>
      <c r="I4" s="6" t="n"/>
      <c r="J4" s="6" t="n"/>
      <c r="K4" s="6" t="n"/>
      <c r="L4" s="6" t="n"/>
      <c r="M4" s="6" t="n"/>
    </row>
    <row r="5">
      <c r="A5" s="6" t="inlineStr">
        <is>
          <t>Stage 1</t>
        </is>
      </c>
      <c r="B5" s="6" t="n">
        <v>33038.7</v>
      </c>
      <c r="C5" s="6" t="n">
        <v>33151.6</v>
      </c>
      <c r="D5" s="6" t="n">
        <v>32115.9</v>
      </c>
      <c r="E5" s="6" t="n">
        <v>33737.1</v>
      </c>
      <c r="F5" s="6" t="n">
        <v>34280.5</v>
      </c>
      <c r="G5" s="6" t="n">
        <v>29753.5</v>
      </c>
      <c r="H5" s="6" t="n">
        <v>28181.7</v>
      </c>
      <c r="I5" s="6" t="n">
        <v>26732.5</v>
      </c>
      <c r="J5" s="6" t="n"/>
      <c r="K5" s="6" t="n"/>
      <c r="L5" s="6" t="n"/>
      <c r="M5" s="6" t="n"/>
    </row>
    <row r="6">
      <c r="A6" s="6" t="inlineStr">
        <is>
          <t>Stage 2</t>
        </is>
      </c>
      <c r="B6" s="6" t="n">
        <v>2738.6</v>
      </c>
      <c r="C6" s="6" t="n">
        <v>2697.2</v>
      </c>
      <c r="D6" s="6" t="n">
        <v>3684.9</v>
      </c>
      <c r="E6" s="6" t="n">
        <v>3866.8</v>
      </c>
      <c r="F6" s="6" t="n">
        <v>2583.9</v>
      </c>
      <c r="G6" s="6" t="n">
        <v>3201.4</v>
      </c>
      <c r="H6" s="6" t="n">
        <v>2449.9</v>
      </c>
      <c r="I6" s="6" t="n">
        <v>2884.2</v>
      </c>
      <c r="J6" s="6" t="n"/>
      <c r="K6" s="6" t="n"/>
      <c r="L6" s="6" t="n"/>
      <c r="M6" s="6" t="n"/>
    </row>
    <row r="7">
      <c r="A7" s="6" t="inlineStr">
        <is>
          <t>Stage 3 (non-performing)</t>
        </is>
      </c>
      <c r="B7" s="6" t="n">
        <v>525.7</v>
      </c>
      <c r="C7" s="6" t="n">
        <v>528.2</v>
      </c>
      <c r="D7" s="6" t="n">
        <v>508.1</v>
      </c>
      <c r="E7" s="6" t="n">
        <v>472.1</v>
      </c>
      <c r="F7" s="6" t="n">
        <v>502.4</v>
      </c>
      <c r="G7" s="6" t="n">
        <v>399.5</v>
      </c>
      <c r="H7" s="6" t="n">
        <v>382.5</v>
      </c>
      <c r="I7" s="6" t="n">
        <v>400.3</v>
      </c>
      <c r="J7" s="6" t="n"/>
      <c r="K7" s="6" t="n"/>
      <c r="L7" s="6" t="n"/>
      <c r="M7" s="6" t="n"/>
    </row>
    <row r="8">
      <c r="A8" s="6" t="inlineStr">
        <is>
          <t>POCI (purchased or originated credit impaired)</t>
        </is>
      </c>
      <c r="B8" s="6" t="n">
        <v>73.2</v>
      </c>
      <c r="C8" s="6" t="n">
        <v>84.09999999999999</v>
      </c>
      <c r="D8" s="6" t="n">
        <v>94.90000000000001</v>
      </c>
      <c r="E8" s="6" t="n">
        <v>109.3</v>
      </c>
      <c r="F8" s="6" t="n">
        <v>124.8</v>
      </c>
      <c r="G8" s="6" t="n">
        <v>144</v>
      </c>
      <c r="H8" s="6" t="n">
        <v>161.3</v>
      </c>
      <c r="I8" s="6" t="n">
        <v>190.2</v>
      </c>
      <c r="J8" s="6" t="n"/>
      <c r="K8" s="6" t="n"/>
      <c r="L8" s="6" t="n"/>
      <c r="M8" s="6" t="n"/>
    </row>
    <row r="9">
      <c r="A9" s="6" t="inlineStr">
        <is>
          <t>Impaired loans (IAS 39 basis, pre-IFRS 9 - broadly equivalent to Stage 3 above)</t>
        </is>
      </c>
      <c r="B9" s="6" t="n"/>
      <c r="C9" s="6" t="n"/>
      <c r="D9" s="6" t="n"/>
      <c r="E9" s="6" t="n"/>
      <c r="F9" s="6" t="n"/>
      <c r="G9" s="6" t="n"/>
      <c r="H9" s="6" t="n"/>
      <c r="I9" s="6" t="n"/>
      <c r="J9" s="6" t="n">
        <v>154.1</v>
      </c>
      <c r="K9" s="6" t="n">
        <v>140</v>
      </c>
      <c r="L9" s="6" t="n">
        <v>159</v>
      </c>
      <c r="M9" s="6" t="n">
        <v>205</v>
      </c>
    </row>
    <row r="10">
      <c r="A10" s="5" t="inlineStr">
        <is>
          <t>Total gross customer lending balances</t>
        </is>
      </c>
      <c r="B10" s="5" t="n">
        <v>36376.2</v>
      </c>
      <c r="C10" s="5" t="n">
        <v>36461.1</v>
      </c>
      <c r="D10" s="5" t="n">
        <v>36403.8</v>
      </c>
      <c r="E10" s="5" t="n">
        <v>38185.3</v>
      </c>
      <c r="F10" s="5" t="n">
        <v>37491.6</v>
      </c>
      <c r="G10" s="5" t="n">
        <v>33498.4</v>
      </c>
      <c r="H10" s="5" t="n">
        <v>31175.4</v>
      </c>
      <c r="I10" s="5" t="n">
        <v>30207.2</v>
      </c>
      <c r="J10" s="5" t="n">
        <v>30925.8</v>
      </c>
      <c r="K10" s="5" t="n">
        <v>29492.8</v>
      </c>
      <c r="L10" s="5" t="n">
        <v>26473.4</v>
      </c>
      <c r="M10" s="5" t="n">
        <v>21727.5</v>
      </c>
    </row>
    <row r="11">
      <c r="A11" s="5" t="inlineStr">
        <is>
          <t>Allowance for credit losses and credit impairment provisions</t>
        </is>
      </c>
      <c r="B11" s="6" t="n"/>
      <c r="C11" s="6" t="n"/>
      <c r="D11" s="6" t="n"/>
      <c r="E11" s="6" t="n"/>
      <c r="F11" s="6" t="n"/>
      <c r="G11" s="6" t="n"/>
      <c r="H11" s="6" t="n"/>
      <c r="I11" s="6" t="n"/>
      <c r="J11" s="6" t="n"/>
      <c r="K11" s="6" t="n"/>
      <c r="L11" s="6" t="n"/>
      <c r="M11" s="6" t="n"/>
    </row>
    <row r="12">
      <c r="A12" s="6" t="inlineStr">
        <is>
          <t>Stage 1</t>
        </is>
      </c>
      <c r="B12" s="6" t="n">
        <v>34.1</v>
      </c>
      <c r="C12" s="6" t="n">
        <v>50.2</v>
      </c>
      <c r="D12" s="6" t="n">
        <v>60.5</v>
      </c>
      <c r="E12" s="6" t="n">
        <v>42.5</v>
      </c>
      <c r="F12" s="6" t="n">
        <v>59</v>
      </c>
      <c r="G12" s="6" t="n">
        <v>66.90000000000001</v>
      </c>
      <c r="H12" s="6" t="n">
        <v>52.3</v>
      </c>
      <c r="I12" s="6" t="n">
        <v>50.8</v>
      </c>
      <c r="J12" s="6" t="n"/>
      <c r="K12" s="6" t="n"/>
      <c r="L12" s="6" t="n"/>
      <c r="M12" s="6" t="n"/>
    </row>
    <row r="13">
      <c r="A13" s="6" t="inlineStr">
        <is>
          <t>Stage 2</t>
        </is>
      </c>
      <c r="B13" s="6" t="n">
        <v>52.4</v>
      </c>
      <c r="C13" s="6" t="n">
        <v>57.7</v>
      </c>
      <c r="D13" s="6" t="n">
        <v>80.90000000000001</v>
      </c>
      <c r="E13" s="6" t="n">
        <v>103.2</v>
      </c>
      <c r="F13" s="6" t="n">
        <v>74.40000000000001</v>
      </c>
      <c r="G13" s="6" t="n">
        <v>119.2</v>
      </c>
      <c r="H13" s="6" t="n">
        <v>60.8</v>
      </c>
      <c r="I13" s="6" t="n">
        <v>69.7</v>
      </c>
      <c r="J13" s="6" t="n"/>
      <c r="K13" s="6" t="n"/>
      <c r="L13" s="6" t="n"/>
      <c r="M13" s="6" t="n"/>
    </row>
    <row r="14">
      <c r="A14" s="6" t="inlineStr">
        <is>
          <t>Stage 3</t>
        </is>
      </c>
      <c r="B14" s="6" t="n">
        <v>86.5</v>
      </c>
      <c r="C14" s="6" t="n">
        <v>80</v>
      </c>
      <c r="D14" s="6" t="n">
        <v>79.8</v>
      </c>
      <c r="E14" s="6" t="n">
        <v>65.5</v>
      </c>
      <c r="F14" s="6" t="n">
        <v>55.4</v>
      </c>
      <c r="G14" s="6" t="n">
        <v>50.1</v>
      </c>
      <c r="H14" s="6" t="n">
        <v>47.7</v>
      </c>
      <c r="I14" s="6" t="n">
        <v>71</v>
      </c>
      <c r="J14" s="6" t="n"/>
      <c r="K14" s="6" t="n"/>
      <c r="L14" s="6" t="n"/>
      <c r="M14" s="6" t="n"/>
    </row>
    <row r="15">
      <c r="A15" s="6" t="inlineStr">
        <is>
          <t>POCI</t>
        </is>
      </c>
      <c r="B15" s="6" t="n">
        <v>2.6</v>
      </c>
      <c r="C15" s="6" t="n">
        <v>0.8</v>
      </c>
      <c r="D15" s="6" t="n">
        <v>1</v>
      </c>
      <c r="E15" s="6" t="n">
        <v>0.7</v>
      </c>
      <c r="F15" s="6" t="n">
        <v>0.8</v>
      </c>
      <c r="G15" s="6" t="n">
        <v>2.8</v>
      </c>
      <c r="H15" s="6" t="n">
        <v>2.2</v>
      </c>
      <c r="I15" s="6" t="n">
        <v>7.2</v>
      </c>
      <c r="J15" s="6" t="n"/>
      <c r="K15" s="6" t="n"/>
      <c r="L15" s="6" t="n"/>
      <c r="M15" s="6" t="n"/>
    </row>
    <row r="16">
      <c r="A16" s="6" t="inlineStr">
        <is>
          <t>Allowance for impairment losses (IAS 39 basis, pre-IFRS 9)</t>
        </is>
      </c>
      <c r="B16" s="6" t="n"/>
      <c r="C16" s="6" t="n"/>
      <c r="D16" s="6" t="n"/>
      <c r="E16" s="6" t="n"/>
      <c r="F16" s="6" t="n"/>
      <c r="G16" s="6" t="n"/>
      <c r="H16" s="6" t="n"/>
      <c r="I16" s="6" t="n"/>
      <c r="J16" s="6" t="n">
        <v>71.59999999999999</v>
      </c>
      <c r="K16" s="6" t="n">
        <v>73.7</v>
      </c>
      <c r="L16" s="6" t="n">
        <v>71.2</v>
      </c>
      <c r="M16" s="6" t="n">
        <v>86.09999999999999</v>
      </c>
    </row>
    <row r="17">
      <c r="A17" s="5" t="inlineStr">
        <is>
          <t>Total allowance for credit losses and credit impairment provisions</t>
        </is>
      </c>
      <c r="B17" s="5" t="n">
        <v>175.6</v>
      </c>
      <c r="C17" s="5" t="n">
        <v>188.7</v>
      </c>
      <c r="D17" s="5" t="n">
        <v>222.2</v>
      </c>
      <c r="E17" s="5" t="n">
        <v>211.9</v>
      </c>
      <c r="F17" s="5" t="n">
        <v>189.6</v>
      </c>
      <c r="G17" s="5" t="n">
        <v>239</v>
      </c>
      <c r="H17" s="5" t="n">
        <v>163</v>
      </c>
      <c r="I17" s="5" t="n">
        <v>198.7</v>
      </c>
      <c r="J17" s="5" t="n">
        <v>71.59999999999999</v>
      </c>
      <c r="K17" s="5" t="n">
        <v>73.7</v>
      </c>
      <c r="L17" s="5" t="n">
        <v>71.2</v>
      </c>
      <c r="M17" s="5" t="n">
        <v>86.09999999999999</v>
      </c>
    </row>
    <row r="18">
      <c r="A18" s="5" t="inlineStr">
        <is>
          <t>Derived ratios</t>
        </is>
      </c>
      <c r="B18" s="6" t="n"/>
      <c r="C18" s="6" t="n"/>
      <c r="D18" s="6" t="n"/>
      <c r="E18" s="6" t="n"/>
      <c r="F18" s="6" t="n"/>
      <c r="G18" s="6" t="n"/>
      <c r="H18" s="6" t="n"/>
      <c r="I18" s="6" t="n"/>
      <c r="J18" s="6" t="n"/>
      <c r="K18" s="6" t="n"/>
      <c r="L18" s="6" t="n"/>
      <c r="M18" s="6" t="n"/>
    </row>
    <row r="19">
      <c r="A19" s="6" t="inlineStr">
        <is>
          <t>NPL / impaired ratio (Stage 3 or impaired gross / Total gross customer lending)</t>
        </is>
      </c>
      <c r="B19" s="6" t="inlineStr">
        <is>
          <t>1.45%</t>
        </is>
      </c>
      <c r="C19" s="6" t="inlineStr">
        <is>
          <t>1.45%</t>
        </is>
      </c>
      <c r="D19" s="6" t="inlineStr">
        <is>
          <t>1.40%</t>
        </is>
      </c>
      <c r="E19" s="6" t="inlineStr">
        <is>
          <t>1.24%</t>
        </is>
      </c>
      <c r="F19" s="6" t="inlineStr">
        <is>
          <t>1.34%</t>
        </is>
      </c>
      <c r="G19" s="6" t="inlineStr">
        <is>
          <t>1.19%</t>
        </is>
      </c>
      <c r="H19" s="6" t="inlineStr">
        <is>
          <t>1.23%</t>
        </is>
      </c>
      <c r="I19" s="6" t="inlineStr">
        <is>
          <t>1.33%</t>
        </is>
      </c>
      <c r="J19" s="6" t="inlineStr">
        <is>
          <t>0.50%</t>
        </is>
      </c>
      <c r="K19" s="6" t="inlineStr">
        <is>
          <t>0.47%</t>
        </is>
      </c>
      <c r="L19" s="6" t="inlineStr">
        <is>
          <t>0.60%</t>
        </is>
      </c>
      <c r="M19" s="6" t="inlineStr">
        <is>
          <t>0.94%</t>
        </is>
      </c>
    </row>
    <row r="20">
      <c r="A20" s="6" t="inlineStr">
        <is>
          <t>Stage 3 coverage ratio (Stage 3 allowance / Stage 3 gross) - not meaningful pre-IFRS 9</t>
        </is>
      </c>
      <c r="B20" s="6" t="inlineStr">
        <is>
          <t>16.45%</t>
        </is>
      </c>
      <c r="C20" s="6" t="inlineStr">
        <is>
          <t>15.15%</t>
        </is>
      </c>
      <c r="D20" s="6" t="inlineStr">
        <is>
          <t>15.71%</t>
        </is>
      </c>
      <c r="E20" s="6" t="inlineStr">
        <is>
          <t>13.87%</t>
        </is>
      </c>
      <c r="F20" s="6" t="inlineStr">
        <is>
          <t>11.03%</t>
        </is>
      </c>
      <c r="G20" s="6" t="inlineStr">
        <is>
          <t>12.54%</t>
        </is>
      </c>
      <c r="H20" s="6" t="inlineStr">
        <is>
          <t>12.47%</t>
        </is>
      </c>
      <c r="I20" s="6" t="inlineStr">
        <is>
          <t>17.74%</t>
        </is>
      </c>
      <c r="J20" s="6" t="n"/>
      <c r="K20" s="6" t="n"/>
      <c r="L20" s="6" t="n"/>
      <c r="M20" s="6" t="n"/>
    </row>
    <row r="21">
      <c r="A21" s="6" t="inlineStr">
        <is>
          <t>Total coverage ratio (Total allowance / Total gross)</t>
        </is>
      </c>
      <c r="B21" s="6" t="inlineStr">
        <is>
          <t>0.48%</t>
        </is>
      </c>
      <c r="C21" s="6" t="inlineStr">
        <is>
          <t>0.52%</t>
        </is>
      </c>
      <c r="D21" s="6" t="inlineStr">
        <is>
          <t>0.61%</t>
        </is>
      </c>
      <c r="E21" s="6" t="inlineStr">
        <is>
          <t>0.55%</t>
        </is>
      </c>
      <c r="F21" s="6" t="inlineStr">
        <is>
          <t>0.51%</t>
        </is>
      </c>
      <c r="G21" s="6" t="inlineStr">
        <is>
          <t>0.71%</t>
        </is>
      </c>
      <c r="H21" s="6" t="inlineStr">
        <is>
          <t>0.52%</t>
        </is>
      </c>
      <c r="I21" s="6" t="inlineStr">
        <is>
          <t>0.66%</t>
        </is>
      </c>
      <c r="J21" s="6" t="inlineStr">
        <is>
          <t>0.23%</t>
        </is>
      </c>
      <c r="K21" s="6" t="inlineStr">
        <is>
          <t>0.25%</t>
        </is>
      </c>
      <c r="L21" s="6" t="inlineStr">
        <is>
          <t>0.27%</t>
        </is>
      </c>
      <c r="M21" s="6" t="inlineStr">
        <is>
          <t>0.40%</t>
        </is>
      </c>
    </row>
    <row r="23" ht="364" customHeight="1">
      <c r="A23" s="8" t="inlineStr">
        <is>
          <t>Sources - Bank and Company basis, £ million:
FY2025: TSB Bank plc Annual Report and Accounts 2025, p.62 (Note 8, 'Sensitivity to alternative economic scenario weightings', weighted column) - https://www.tsb.co.uk/content/dam/tsb-public/documents/investors/financial-results-and-reports/2025/TSB-Bank-ARA-2025.pdf
FY2024: TSB Bank plc Annual Report and Accounts 2025, p.63 (Note 8, FY2024 comparative, weighted column) - https://www.tsb.co.uk/content/dam/tsb-public/documents/investors/financial-results-and-reports/2025/TSB-Bank-ARA-2025.pdf
FY2023: TSB Bank plc Annual Report and Accounts 2023, p.45 (Note 8, weighted column) - https://www.tsb.co.uk/content/dam/tsb-public/documents/investors/financial-results-and-reports/2023/TSB-Bank-2023.pdf
FY2022: TSB Bank plc Annual Report and Accounts 2023, p.46 (Note 8, FY2022 comparative, weighted column) - https://www.tsb.co.uk/content/dam/tsb-public/documents/investors/financial-results-and-reports/2023/TSB-Bank-2023.pdf
FY2021: TSB Bank plc Annual Report and Accounts 2021, p.54 ('Reconciliation of movements in gross customer balances and allowances for credit impairment losses', at 31 December 2021 closing row) - https://www.tsb.co.uk/content/dam/tsb-public/documents/investors/financial-results-and-reports/2021/tsb-bank-ara-2021.pdf
FY2020 &amp; FY2019: TSB Bank plc Annual Report and Accounts 2020, p.38-39 (Note 9, 'Allowance for credit impairment losses on financial assets at amortised cost', closing rows) - https://www.tsb.co.uk/content/dam/tsb-public/documents/investors/financial-results-and-reports/2020/tsb-bank-ara-2020.pdf
FY2018 &amp; FY2017 (as if IFRS 9): TSB Bank plc Annual Report and Accounts 2018, p.42 (Note 11, 'Allowance for credit impairment losses on financial assets at amortised cost - IFRS 9', closing row) - https://www.tsb.co.uk/content/dam/tsb-public/documents/investors/financial-results-and-reports/2018/tsb-bank-ara-2018.pdf
FY2017 (IAS 39, as originally reported) &amp; FY2016: TSB Bank plc Annual Report and Accounts 2017, p.32-33 (Note 9, 'Allowance for impairment losses on loans and receivables' and 'Credit quality of assets' tables) - https://www.tsb.co.uk/content/dam/tsb-public/documents/investors/financial-results-and-reports/2017/tsb-bank-ara-2017.pdf
FY2015 &amp; FY2014: TSB Banking Group plc Annual Report and Accounts 2015, p.62-63 (Note 10, 'Allowance for impairment losses on loans and receivables' and 'Credit quality of assets' tables) - https://www.tsb.co.uk/content/dam/tsb-public/documents/investors/financial-results-and-reports/2015/tsb-2015-annual-report.pdf
PRESENTATION NOTE: FY2022-FY2025 use the 'Sensitivity to alternative economic scenario weightings' note's weighted-forecast gross lending/ECL table (a narrower disclosure scope than the full 'Reconciliation of movements' table, which TSB stopped publishing after the 2021 Annual Report). FY2021-FY2018 use that older, fuller reconciliation table instead ('Note 9'/'Note 11: Allowance for credit impairment losses on financial assets at amortised cost') - a genuine disclosure-format change, not a data error. Neither table's Total gross/Total allowance figures tie exactly to the Balance Sheet's 'Loans and advances to customers' net line (a small gap, consistent in direction and rough magnitude across years, most likely reflecting a scope difference such as loan commitment provisions or accrued interest treated differently between the two disclosures) - reproduced faithfully from each source rather than forced to tie.
IAS 39/IFRS 9 CAVEAT (FY2014-FY2017): TSB adopted IFRS 9 from 1 January 2018 (see the Statement of Changes in Equity sheet's 'Change on initial application of IFRS 9' transition row). FY2014-FY2017 predate IFRS 9 and use IAS 39's 'incurred loss' impairment model instead: loans are classified as 'neither past due nor impaired', 'past due but not impaired', or 'impaired' (no Stage 1/2/3/POCI concept existed), and the allowance is split into 'specific coverage (individual)', 'specific coverage (collective)' and 'incurred but not reported (IBNR)' categories rather than by stage. The 'Impaired loans' row above is the closest IAS 39-era equivalent to the IFRS 9 'Stage 3' concept, and 'NPL / impaired ratio' is computed on the same basis for comparability across the full FY2014-FY2025 window; 'Stage 3 coverage ratio' has no equivalent IAS 39 breakdown and is left blank for FY2014-FY2017 rather than approximated.
ENTITY NOTE: TSB Bank plc (Companies House SC095237) is the entity on the PRA register; its own Annual Report and Accounts (consolidated 'Bank (Consolidated)' column used throughout) is used for the cash flow statement from FY2017 onward. TSB Banking Group plc's only direct subsidiary is TSB Bank plc, so 'TSB Banking Group plc' consolidated Pillar 3 disclosures (published under that name, as TSB is a 'large subsidiary' of Banco Sabadell for CRR Article 13 purposes) are effectively the same consolidation scope and are used for all Pillar 3 metric sheets.
ENTITY BASIS CHANGE (FY2014-FY2016): no standalone 'TSB Bank plc' entity Annual Report was published for these years, only 'TSB Banking Group plc' (the then Sabadell-owned holding company) Annual Report and Accounts. As TSB Banking Group plc's only direct subsidiary is TSB Bank plc, the underlying banking business and consolidation scope are effectively the same, but the holding company's own share capital/share premium/reserve structure differs from TSB Bank plc's (a holdco-level, not operating-entity-level, difference) - so FY2016 closing Shareholder's equity as reported by the Group (£1,865.0m) does not exactly tie to FY2016 closing equity as later restated in TSB Bank plc's own FY2017 Annual Report comparative (£1,879.6m), a genuine ~£14.6m entity-basis break at the FY2016/FY2017 boundary, not a data error. Balance Sheet/P&amp;L/Equity/Cash Flow/Asset Quality figures for FY2014-FY2016 are TSB Banking Group plc consolidated; FY2017 onward are TSB Bank plc consolidated.
CONTEXT: TSB was owned by Banco de Sabadell, S.A. (Spain) throughout FY2014-FY2025 (following the 2013 demerger from Lloyds Banking Group and TSB Banking Group plc's IPO in 2014; Sabadell acquired full control in 2015). Santander UK plc agreed to acquire TSB in July 2025 and completed the acquisition on 30 April 2026 (after this workbook's FY2025 year-end) - so all years of data here reflect the Sabadell-owned period; TSB's board ceased dividend payments to Sabadell following the announcement per TSB's FY2025 Pillar 3 disclosure.
BASEL II/CRD III CAVEAT: TSB Banking Group plc's Pillar 3 Disclosures 2014 present 31 December 2013 comparatives on both a Basel II basis and a CRD IV-restated basis (CRD IV took effect for the Group's own 31 December 2014 disclosure, its first full year of Pillar 3 reporting as a standalone entity post-demerger) - CET1/Common Equity Tier 1 terminology is already used from FY2014 onward on a CRD IV basis, so no Basel II-era terminology substitution was required for any year in this workbook.</t>
        </is>
      </c>
    </row>
  </sheetData>
  <mergeCells count="1">
    <mergeCell ref="A23:M2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9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TSB Bank plc — KM1 Key Metrics</t>
        </is>
      </c>
    </row>
    <row r="2">
      <c r="A2" s="2" t="inlineStr">
        <is>
          <t>TSB Banking Group plc's own published key-metrics template, reproduced whole in its own row order, labels and precision. TSB prints it UNNUMBERED in every edition, so no row numbers are shown. Two caption blocks: the pre-2022 Basel 'Table KM1 / IFRS 9-FL' printed in the FY2017-FY2020 editions, and the UK template printed from FY2021 - nothing is merged across them. Amounts as labelled, ratios as printed. FY2014-FY2016 carry no column: no edition publishes the template for those years.</t>
        </is>
      </c>
    </row>
    <row r="3">
      <c r="A3" s="4" t="inlineStr">
        <is>
          <t>Line item</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row>
    <row r="4">
      <c r="A4" s="5" t="inlineStr">
        <is>
          <t>PRE-2022 BASEL TEMPLATE - 'Table 1: Key metrics (KM1 / IFRS 9-FL)', as printed in the FY2017, FY2018, FY2019 and FY2020 editions</t>
        </is>
      </c>
      <c r="B4" s="6" t="n"/>
      <c r="C4" s="6" t="n"/>
      <c r="D4" s="6" t="n"/>
      <c r="E4" s="6" t="n"/>
      <c r="F4" s="6" t="n"/>
      <c r="G4" s="6" t="n"/>
      <c r="H4" s="6" t="n"/>
      <c r="I4" s="6" t="n"/>
      <c r="J4" s="6" t="n"/>
    </row>
    <row r="5">
      <c r="A5" s="5" t="inlineStr">
        <is>
          <t>Available capital (amounts)</t>
        </is>
      </c>
      <c r="B5" s="6" t="n"/>
      <c r="C5" s="6" t="n"/>
      <c r="D5" s="6" t="n"/>
      <c r="E5" s="6" t="n"/>
      <c r="F5" s="6" t="n"/>
      <c r="G5" s="6" t="n"/>
      <c r="H5" s="6" t="n"/>
      <c r="I5" s="6" t="n"/>
      <c r="J5" s="6" t="n"/>
    </row>
    <row r="6">
      <c r="A6" s="6" t="inlineStr">
        <is>
          <t>Common Equity Tier 1 (CET1) (£'000)</t>
        </is>
      </c>
      <c r="B6" s="6" t="n"/>
      <c r="C6" s="6" t="n"/>
      <c r="D6" s="6" t="n"/>
      <c r="E6" s="6" t="n"/>
      <c r="F6" s="6" t="n"/>
      <c r="G6" s="6" t="n">
        <v>1630434</v>
      </c>
      <c r="H6" s="6" t="n">
        <v>1837943</v>
      </c>
      <c r="I6" s="6" t="n">
        <v>1821180</v>
      </c>
      <c r="J6" s="6" t="n">
        <v>1898142</v>
      </c>
    </row>
    <row r="7">
      <c r="A7" s="6" t="inlineStr">
        <is>
          <t>CET1 as if IFRS 9 or analogous Expected Credit Losses (ECLs) transitional arrangements had not been applied (£'000)</t>
        </is>
      </c>
      <c r="B7" s="6" t="n"/>
      <c r="C7" s="6" t="n"/>
      <c r="D7" s="6" t="n"/>
      <c r="E7" s="6" t="n"/>
      <c r="F7" s="6" t="n"/>
      <c r="G7" s="6" t="n">
        <v>1581426</v>
      </c>
      <c r="H7" s="6" t="n">
        <v>1823450</v>
      </c>
      <c r="I7" s="6" t="n">
        <v>1805472</v>
      </c>
      <c r="J7" s="6" t="inlineStr">
        <is>
          <t>-</t>
        </is>
      </c>
    </row>
    <row r="8">
      <c r="A8" s="6" t="inlineStr">
        <is>
          <t>Tier 1 capital (£'000)</t>
        </is>
      </c>
      <c r="B8" s="6" t="n"/>
      <c r="C8" s="6" t="n"/>
      <c r="D8" s="6" t="n"/>
      <c r="E8" s="6" t="n"/>
      <c r="F8" s="6" t="n"/>
      <c r="G8" s="6" t="n">
        <v>1630434</v>
      </c>
      <c r="H8" s="6" t="n">
        <v>1837943</v>
      </c>
      <c r="I8" s="6" t="n">
        <v>1821180</v>
      </c>
      <c r="J8" s="6" t="n">
        <v>1898142</v>
      </c>
    </row>
    <row r="9">
      <c r="A9" s="6" t="inlineStr">
        <is>
          <t>Tier 1 capital as if IFRS 9 or analogous ECLs transitional arrangements had not been applied (£'000)</t>
        </is>
      </c>
      <c r="B9" s="6" t="n"/>
      <c r="C9" s="6" t="n"/>
      <c r="D9" s="6" t="n"/>
      <c r="E9" s="6" t="n"/>
      <c r="F9" s="6" t="n"/>
      <c r="G9" s="6" t="n">
        <v>1581426</v>
      </c>
      <c r="H9" s="6" t="n">
        <v>1823450</v>
      </c>
      <c r="I9" s="6" t="n">
        <v>1805472</v>
      </c>
      <c r="J9" s="6" t="inlineStr">
        <is>
          <t>-</t>
        </is>
      </c>
    </row>
    <row r="10">
      <c r="A10" s="6" t="inlineStr">
        <is>
          <t>Total capital (£'000)</t>
        </is>
      </c>
      <c r="B10" s="6" t="n"/>
      <c r="C10" s="6" t="n"/>
      <c r="D10" s="6" t="n"/>
      <c r="E10" s="6" t="n"/>
      <c r="F10" s="6" t="n"/>
      <c r="G10" s="6" t="n">
        <v>2015339</v>
      </c>
      <c r="H10" s="6" t="n">
        <v>2222569</v>
      </c>
      <c r="I10" s="6" t="n">
        <v>2205528</v>
      </c>
      <c r="J10" s="6" t="n">
        <v>2282211</v>
      </c>
    </row>
    <row r="11">
      <c r="A11" s="6" t="inlineStr">
        <is>
          <t>Total capital as if IFRS 9 or analogous ECLs transitional arrangements had not been applied (£'000)</t>
        </is>
      </c>
      <c r="B11" s="6" t="n"/>
      <c r="C11" s="6" t="n"/>
      <c r="D11" s="6" t="n"/>
      <c r="E11" s="6" t="n"/>
      <c r="F11" s="6" t="n"/>
      <c r="G11" s="6" t="n">
        <v>2014227</v>
      </c>
      <c r="H11" s="6" t="n">
        <v>2216937</v>
      </c>
      <c r="I11" s="6" t="n">
        <v>2196027</v>
      </c>
      <c r="J11" s="6" t="inlineStr">
        <is>
          <t>-</t>
        </is>
      </c>
    </row>
    <row r="12">
      <c r="A12" s="5" t="inlineStr">
        <is>
          <t>Risk-weighted assets (amounts)</t>
        </is>
      </c>
      <c r="B12" s="6" t="n"/>
      <c r="C12" s="6" t="n"/>
      <c r="D12" s="6" t="n"/>
      <c r="E12" s="6" t="n"/>
      <c r="F12" s="6" t="n"/>
      <c r="G12" s="6" t="n"/>
      <c r="H12" s="6" t="n"/>
      <c r="I12" s="6" t="n"/>
      <c r="J12" s="6" t="n"/>
    </row>
    <row r="13">
      <c r="A13" s="6" t="inlineStr">
        <is>
          <t>Total Risk-weighted assets (RWA) (£'000)</t>
        </is>
      </c>
      <c r="B13" s="6" t="n"/>
      <c r="C13" s="6" t="n"/>
      <c r="D13" s="6" t="n"/>
      <c r="E13" s="6" t="n"/>
      <c r="F13" s="6" t="n"/>
      <c r="G13" s="6" t="n">
        <v>10644263</v>
      </c>
      <c r="H13" s="6" t="n">
        <v>8841425</v>
      </c>
      <c r="I13" s="6" t="n">
        <v>9257644</v>
      </c>
      <c r="J13" s="6" t="n">
        <v>9490710</v>
      </c>
    </row>
    <row r="14">
      <c r="A14" s="6" t="inlineStr">
        <is>
          <t>Total Risk-weighted assets as if IFRS 9 or analogous ECLs transitional arrangements had not been applied (£'000)</t>
        </is>
      </c>
      <c r="B14" s="6" t="n"/>
      <c r="C14" s="6" t="n"/>
      <c r="D14" s="6" t="n"/>
      <c r="E14" s="6" t="n"/>
      <c r="F14" s="6" t="n"/>
      <c r="G14" s="6" t="n">
        <v>10685144</v>
      </c>
      <c r="H14" s="6" t="n">
        <v>8853794</v>
      </c>
      <c r="I14" s="6" t="n">
        <v>9271050</v>
      </c>
      <c r="J14" s="6" t="inlineStr">
        <is>
          <t>-</t>
        </is>
      </c>
    </row>
    <row r="15">
      <c r="A15" s="5" t="inlineStr">
        <is>
          <t>Risk-based capital ratios as a percentage of RWA</t>
        </is>
      </c>
      <c r="B15" s="6" t="n"/>
      <c r="C15" s="6" t="n"/>
      <c r="D15" s="6" t="n"/>
      <c r="E15" s="6" t="n"/>
      <c r="F15" s="6" t="n"/>
      <c r="G15" s="6" t="n"/>
      <c r="H15" s="6" t="n"/>
      <c r="I15" s="6" t="n"/>
      <c r="J15" s="6" t="n"/>
    </row>
    <row r="16">
      <c r="A16" s="6" t="inlineStr">
        <is>
          <t>CET1 (as a percentage of risk exposure amount)</t>
        </is>
      </c>
      <c r="B16" s="6" t="n"/>
      <c r="C16" s="6" t="n"/>
      <c r="D16" s="6" t="n"/>
      <c r="E16" s="6" t="n"/>
      <c r="F16" s="6" t="n"/>
      <c r="G16" s="6" t="inlineStr">
        <is>
          <t>15.3%</t>
        </is>
      </c>
      <c r="H16" s="6" t="inlineStr">
        <is>
          <t>20.8%</t>
        </is>
      </c>
      <c r="I16" s="6" t="inlineStr">
        <is>
          <t>19.7%</t>
        </is>
      </c>
      <c r="J16" s="6" t="inlineStr">
        <is>
          <t>20.0%</t>
        </is>
      </c>
    </row>
    <row r="17">
      <c r="A17" s="6" t="inlineStr">
        <is>
          <t>CET1 ratio (as a percentage of risk exposure amount) as if IFRS 9 or analogous ECLs transitional arrangements had not been applied</t>
        </is>
      </c>
      <c r="B17" s="6" t="n"/>
      <c r="C17" s="6" t="n"/>
      <c r="D17" s="6" t="n"/>
      <c r="E17" s="6" t="n"/>
      <c r="F17" s="6" t="n"/>
      <c r="G17" s="6" t="inlineStr">
        <is>
          <t>14.8%</t>
        </is>
      </c>
      <c r="H17" s="6" t="inlineStr">
        <is>
          <t>20.6%</t>
        </is>
      </c>
      <c r="I17" s="6" t="inlineStr">
        <is>
          <t>19.5%</t>
        </is>
      </c>
      <c r="J17" s="6" t="inlineStr">
        <is>
          <t>-</t>
        </is>
      </c>
    </row>
    <row r="18">
      <c r="A18" s="6" t="inlineStr">
        <is>
          <t>Tier 1 capital ratio (as a percentage of risk exposure amount)</t>
        </is>
      </c>
      <c r="B18" s="6" t="n"/>
      <c r="C18" s="6" t="n"/>
      <c r="D18" s="6" t="n"/>
      <c r="E18" s="6" t="n"/>
      <c r="F18" s="6" t="n"/>
      <c r="G18" s="6" t="inlineStr">
        <is>
          <t>15.3%</t>
        </is>
      </c>
      <c r="H18" s="6" t="inlineStr">
        <is>
          <t>20.8%</t>
        </is>
      </c>
      <c r="I18" s="6" t="inlineStr">
        <is>
          <t>19.7%</t>
        </is>
      </c>
      <c r="J18" s="6" t="inlineStr">
        <is>
          <t>20.0%</t>
        </is>
      </c>
    </row>
    <row r="19">
      <c r="A19" s="6" t="inlineStr">
        <is>
          <t>Tier 1 capital ratio (as a percentage of risk exposure amount) as if IFRS 9 or analogous ECLs transitional arrangements had not been applied</t>
        </is>
      </c>
      <c r="B19" s="6" t="n"/>
      <c r="C19" s="6" t="n"/>
      <c r="D19" s="6" t="n"/>
      <c r="E19" s="6" t="n"/>
      <c r="F19" s="6" t="n"/>
      <c r="G19" s="6" t="inlineStr">
        <is>
          <t>14.8%</t>
        </is>
      </c>
      <c r="H19" s="6" t="inlineStr">
        <is>
          <t>20.6%</t>
        </is>
      </c>
      <c r="I19" s="6" t="inlineStr">
        <is>
          <t>19.5%</t>
        </is>
      </c>
      <c r="J19" s="6" t="inlineStr">
        <is>
          <t>-</t>
        </is>
      </c>
    </row>
    <row r="20">
      <c r="A20" s="6" t="inlineStr">
        <is>
          <t>Total capital ratio (as a percentage of risk exposure amount)</t>
        </is>
      </c>
      <c r="B20" s="6" t="n"/>
      <c r="C20" s="6" t="n"/>
      <c r="D20" s="6" t="n"/>
      <c r="E20" s="6" t="n"/>
      <c r="F20" s="6" t="n"/>
      <c r="G20" s="6" t="inlineStr">
        <is>
          <t>18.9%</t>
        </is>
      </c>
      <c r="H20" s="6" t="inlineStr">
        <is>
          <t>25.1%</t>
        </is>
      </c>
      <c r="I20" s="6" t="inlineStr">
        <is>
          <t>23.8%</t>
        </is>
      </c>
      <c r="J20" s="6" t="inlineStr">
        <is>
          <t>24.0%</t>
        </is>
      </c>
    </row>
    <row r="21">
      <c r="A21" s="6" t="inlineStr">
        <is>
          <t>Total capital ratio (as a percentage of risk exposure amount) as if IFRS 9 or analogous ECLs transitional arrangements had not been applied</t>
        </is>
      </c>
      <c r="B21" s="6" t="n"/>
      <c r="C21" s="6" t="n"/>
      <c r="D21" s="6" t="n"/>
      <c r="E21" s="6" t="n"/>
      <c r="F21" s="6" t="n"/>
      <c r="G21" s="6" t="inlineStr">
        <is>
          <t>18.9%</t>
        </is>
      </c>
      <c r="H21" s="6" t="inlineStr">
        <is>
          <t>25.0%</t>
        </is>
      </c>
      <c r="I21" s="6" t="inlineStr">
        <is>
          <t>23.7%</t>
        </is>
      </c>
      <c r="J21" s="6" t="inlineStr">
        <is>
          <t>-</t>
        </is>
      </c>
    </row>
    <row r="22">
      <c r="A22" s="5" t="inlineStr">
        <is>
          <t>Additional CET1 buffer requirements as a percentage of RWA</t>
        </is>
      </c>
      <c r="B22" s="6" t="n"/>
      <c r="C22" s="6" t="n"/>
      <c r="D22" s="6" t="n"/>
      <c r="E22" s="6" t="n"/>
      <c r="F22" s="6" t="n"/>
      <c r="G22" s="6" t="n"/>
      <c r="H22" s="6" t="n"/>
      <c r="I22" s="6" t="n"/>
      <c r="J22" s="6" t="n"/>
    </row>
    <row r="23">
      <c r="A23" s="6" t="inlineStr">
        <is>
          <t>Capital conservation buffer requirement</t>
        </is>
      </c>
      <c r="B23" s="6" t="n"/>
      <c r="C23" s="6" t="n"/>
      <c r="D23" s="6" t="n"/>
      <c r="E23" s="6" t="n"/>
      <c r="F23" s="6" t="n"/>
      <c r="G23" s="6" t="inlineStr">
        <is>
          <t>2.5%</t>
        </is>
      </c>
      <c r="H23" s="6" t="inlineStr">
        <is>
          <t>2.5%</t>
        </is>
      </c>
      <c r="I23" s="6" t="inlineStr">
        <is>
          <t>1.88%</t>
        </is>
      </c>
      <c r="J23" s="6" t="inlineStr">
        <is>
          <t>1.25%</t>
        </is>
      </c>
    </row>
    <row r="24">
      <c r="A24" s="6" t="inlineStr">
        <is>
          <t>Countercyclical buffer requirement</t>
        </is>
      </c>
      <c r="B24" s="6" t="n"/>
      <c r="C24" s="6" t="n"/>
      <c r="D24" s="6" t="n"/>
      <c r="E24" s="6" t="n"/>
      <c r="F24" s="6" t="n"/>
      <c r="G24" s="6" t="inlineStr">
        <is>
          <t>0.0%</t>
        </is>
      </c>
      <c r="H24" s="6" t="inlineStr">
        <is>
          <t>1.0%</t>
        </is>
      </c>
      <c r="I24" s="6" t="inlineStr">
        <is>
          <t>1.00%</t>
        </is>
      </c>
      <c r="J24" s="6" t="inlineStr">
        <is>
          <t>0.00%</t>
        </is>
      </c>
    </row>
    <row r="25">
      <c r="A25" s="6" t="inlineStr">
        <is>
          <t>Bank G-SIB and/or D-SIB additional requirement</t>
        </is>
      </c>
      <c r="B25" s="6" t="n"/>
      <c r="C25" s="6" t="n"/>
      <c r="D25" s="6" t="n"/>
      <c r="E25" s="6" t="n"/>
      <c r="F25" s="6" t="n"/>
      <c r="G25" s="6" t="inlineStr">
        <is>
          <t>-</t>
        </is>
      </c>
      <c r="H25" s="6" t="inlineStr">
        <is>
          <t>-</t>
        </is>
      </c>
      <c r="I25" s="6" t="inlineStr">
        <is>
          <t>-</t>
        </is>
      </c>
      <c r="J25" s="6" t="inlineStr">
        <is>
          <t>-</t>
        </is>
      </c>
    </row>
    <row r="26">
      <c r="A26" s="6" t="inlineStr">
        <is>
          <t>Total CET1 specific buffer requirements</t>
        </is>
      </c>
      <c r="B26" s="6" t="n"/>
      <c r="C26" s="6" t="n"/>
      <c r="D26" s="6" t="n"/>
      <c r="E26" s="6" t="n"/>
      <c r="F26" s="6" t="n"/>
      <c r="G26" s="6" t="inlineStr">
        <is>
          <t>2.5%</t>
        </is>
      </c>
      <c r="H26" s="6" t="inlineStr">
        <is>
          <t>3.5%</t>
        </is>
      </c>
      <c r="I26" s="6" t="inlineStr">
        <is>
          <t>2.88%</t>
        </is>
      </c>
      <c r="J26" s="6" t="inlineStr">
        <is>
          <t>1.25%</t>
        </is>
      </c>
    </row>
    <row r="27">
      <c r="A27" s="6" t="inlineStr">
        <is>
          <t>CET1 available after meeting minimum capital requirements</t>
        </is>
      </c>
      <c r="B27" s="6" t="n"/>
      <c r="C27" s="6" t="n"/>
      <c r="D27" s="6" t="n"/>
      <c r="E27" s="6" t="n"/>
      <c r="F27" s="6" t="n"/>
      <c r="G27" s="6" t="inlineStr">
        <is>
          <t>10.8%</t>
        </is>
      </c>
      <c r="H27" s="6" t="inlineStr">
        <is>
          <t>16.3%</t>
        </is>
      </c>
      <c r="I27" s="6" t="inlineStr">
        <is>
          <t>15.2%</t>
        </is>
      </c>
      <c r="J27" s="6" t="inlineStr">
        <is>
          <t>15.5%</t>
        </is>
      </c>
    </row>
    <row r="28">
      <c r="A28" s="5" t="inlineStr">
        <is>
          <t>Leverage ratio</t>
        </is>
      </c>
      <c r="B28" s="6" t="n"/>
      <c r="C28" s="6" t="n"/>
      <c r="D28" s="6" t="n"/>
      <c r="E28" s="6" t="n"/>
      <c r="F28" s="6" t="n"/>
      <c r="G28" s="6" t="n"/>
      <c r="H28" s="6" t="n"/>
      <c r="I28" s="6" t="n"/>
      <c r="J28" s="6" t="n"/>
    </row>
    <row r="29">
      <c r="A29" s="6" t="inlineStr">
        <is>
          <t>Leverage ratio exposure measure (£'000)</t>
        </is>
      </c>
      <c r="B29" s="6" t="n"/>
      <c r="C29" s="6" t="n"/>
      <c r="D29" s="6" t="n"/>
      <c r="E29" s="6" t="n"/>
      <c r="F29" s="6" t="n"/>
      <c r="G29" s="6" t="n">
        <v>42933969</v>
      </c>
      <c r="H29" s="6" t="n">
        <v>39889242</v>
      </c>
      <c r="I29" s="6" t="n">
        <v>41466642</v>
      </c>
      <c r="J29" s="6" t="n">
        <v>42626131</v>
      </c>
    </row>
    <row r="30">
      <c r="A30" s="6" t="inlineStr">
        <is>
          <t>Leverage ratio</t>
        </is>
      </c>
      <c r="B30" s="6" t="n"/>
      <c r="C30" s="6" t="n"/>
      <c r="D30" s="6" t="n"/>
      <c r="E30" s="6" t="n"/>
      <c r="F30" s="6" t="n"/>
      <c r="G30" s="6" t="inlineStr">
        <is>
          <t>3.8%</t>
        </is>
      </c>
      <c r="H30" s="6" t="inlineStr">
        <is>
          <t>4.6%</t>
        </is>
      </c>
      <c r="I30" s="6" t="inlineStr">
        <is>
          <t>4.4%</t>
        </is>
      </c>
      <c r="J30" s="6" t="inlineStr">
        <is>
          <t>4.5%</t>
        </is>
      </c>
    </row>
    <row r="31">
      <c r="A31" s="6" t="inlineStr">
        <is>
          <t>Leverage ratio as if IFRS 9 or analogous ECLs transitional arrangements had not been applied</t>
        </is>
      </c>
      <c r="B31" s="6" t="n"/>
      <c r="C31" s="6" t="n"/>
      <c r="D31" s="6" t="n"/>
      <c r="E31" s="6" t="n"/>
      <c r="F31" s="6" t="n"/>
      <c r="G31" s="6" t="inlineStr">
        <is>
          <t>3.7%</t>
        </is>
      </c>
      <c r="H31" s="6" t="inlineStr">
        <is>
          <t>4.6%</t>
        </is>
      </c>
      <c r="I31" s="6" t="inlineStr">
        <is>
          <t>4.4%</t>
        </is>
      </c>
      <c r="J31" s="6" t="inlineStr">
        <is>
          <t>-</t>
        </is>
      </c>
    </row>
    <row r="32">
      <c r="A32" s="5" t="inlineStr">
        <is>
          <t>UK TEMPLATE - 'Table 1/1a: Key metrics (KM1)', as printed in the FY2021, FY2022, FY2023, FY2024 and FY2025 editions</t>
        </is>
      </c>
      <c r="B32" s="6" t="n"/>
      <c r="C32" s="6" t="n"/>
      <c r="D32" s="6" t="n"/>
      <c r="E32" s="6" t="n"/>
      <c r="F32" s="6" t="n"/>
      <c r="G32" s="6" t="n"/>
      <c r="H32" s="6" t="n"/>
      <c r="I32" s="6" t="n"/>
      <c r="J32" s="6" t="n"/>
    </row>
    <row r="33">
      <c r="A33" s="5" t="inlineStr">
        <is>
          <t>Available capital (amounts)</t>
        </is>
      </c>
      <c r="B33" s="6" t="n"/>
      <c r="C33" s="6" t="n"/>
      <c r="D33" s="6" t="n"/>
      <c r="E33" s="6" t="n"/>
      <c r="F33" s="6" t="n"/>
      <c r="G33" s="6" t="n"/>
      <c r="H33" s="6" t="n"/>
      <c r="I33" s="6" t="n"/>
      <c r="J33" s="6" t="n"/>
    </row>
    <row r="34">
      <c r="A34" s="6" t="inlineStr">
        <is>
          <t>Common Equity Tier 1 (CET1) (£000)</t>
        </is>
      </c>
      <c r="B34" s="6" t="n">
        <v>1949276</v>
      </c>
      <c r="C34" s="6" t="n">
        <v>1738133</v>
      </c>
      <c r="D34" s="6" t="n">
        <v>1842646</v>
      </c>
      <c r="E34" s="6" t="n">
        <v>1791545</v>
      </c>
      <c r="F34" s="6" t="n">
        <v>1724002</v>
      </c>
      <c r="G34" s="6" t="n"/>
      <c r="H34" s="6" t="n"/>
      <c r="I34" s="6" t="n"/>
      <c r="J34" s="6" t="n"/>
    </row>
    <row r="35">
      <c r="A35" s="6" t="inlineStr">
        <is>
          <t>Common Equity Tier 1 (CET1) as if IFRS9 or analogous ECLs transitional arrangements had not been applied (£000)</t>
        </is>
      </c>
      <c r="B35" s="6" t="n"/>
      <c r="C35" s="6" t="n"/>
      <c r="D35" s="6" t="n"/>
      <c r="E35" s="6" t="n"/>
      <c r="F35" s="6" t="n">
        <v>1712550</v>
      </c>
      <c r="G35" s="6" t="n"/>
      <c r="H35" s="6" t="n"/>
      <c r="I35" s="6" t="n"/>
      <c r="J35" s="6" t="n"/>
    </row>
    <row r="36">
      <c r="A36" s="6" t="inlineStr">
        <is>
          <t>Tier 1 capital (£000)</t>
        </is>
      </c>
      <c r="B36" s="6" t="n">
        <v>2198973</v>
      </c>
      <c r="C36" s="6" t="n">
        <v>1987837</v>
      </c>
      <c r="D36" s="6" t="n">
        <v>1842646</v>
      </c>
      <c r="E36" s="6" t="n">
        <v>1791545</v>
      </c>
      <c r="F36" s="6" t="n">
        <v>1724002</v>
      </c>
      <c r="G36" s="6" t="n"/>
      <c r="H36" s="6" t="n"/>
      <c r="I36" s="6" t="n"/>
      <c r="J36" s="6" t="n"/>
    </row>
    <row r="37">
      <c r="A37" s="6" t="inlineStr">
        <is>
          <t>Tier 1 capital as if IFRS9 or analogous ECLs transitional arrangements had not been applied (£000)</t>
        </is>
      </c>
      <c r="B37" s="6" t="n"/>
      <c r="C37" s="6" t="n"/>
      <c r="D37" s="6" t="n"/>
      <c r="E37" s="6" t="n"/>
      <c r="F37" s="6" t="n">
        <v>1712550</v>
      </c>
      <c r="G37" s="6" t="n"/>
      <c r="H37" s="6" t="n"/>
      <c r="I37" s="6" t="n"/>
      <c r="J37" s="6" t="n"/>
    </row>
    <row r="38">
      <c r="A38" s="6" t="inlineStr">
        <is>
          <t>Total capital (£000)</t>
        </is>
      </c>
      <c r="B38" s="6" t="n">
        <v>2498973</v>
      </c>
      <c r="C38" s="6" t="n">
        <v>2287837</v>
      </c>
      <c r="D38" s="6" t="n">
        <v>2167829</v>
      </c>
      <c r="E38" s="6" t="n">
        <v>2109761</v>
      </c>
      <c r="F38" s="6" t="n">
        <v>2024002</v>
      </c>
      <c r="G38" s="6" t="n"/>
      <c r="H38" s="6" t="n"/>
      <c r="I38" s="6" t="n"/>
      <c r="J38" s="6" t="n"/>
    </row>
    <row r="39">
      <c r="A39" s="6" t="inlineStr">
        <is>
          <t>Total capital as if IFRS9 or analogous ECLs transitional arrangements had not been applied (£000)</t>
        </is>
      </c>
      <c r="B39" s="6" t="n"/>
      <c r="C39" s="6" t="n"/>
      <c r="D39" s="6" t="n"/>
      <c r="E39" s="6" t="n"/>
      <c r="F39" s="6" t="n">
        <v>2018430</v>
      </c>
      <c r="G39" s="6" t="n"/>
      <c r="H39" s="6" t="n"/>
      <c r="I39" s="6" t="n"/>
      <c r="J39" s="6" t="n"/>
    </row>
    <row r="40">
      <c r="A40" s="5" t="inlineStr">
        <is>
          <t>Risk-weighted exposure amounts</t>
        </is>
      </c>
      <c r="B40" s="6" t="n"/>
      <c r="C40" s="6" t="n"/>
      <c r="D40" s="6" t="n"/>
      <c r="E40" s="6" t="n"/>
      <c r="F40" s="6" t="n"/>
      <c r="G40" s="6" t="n"/>
      <c r="H40" s="6" t="n"/>
      <c r="I40" s="6" t="n"/>
      <c r="J40" s="6" t="n"/>
    </row>
    <row r="41">
      <c r="A41" s="6" t="inlineStr">
        <is>
          <t>Total risk-weighted exposure amount (£000)</t>
        </is>
      </c>
      <c r="B41" s="6" t="n">
        <v>11646331</v>
      </c>
      <c r="C41" s="6" t="n">
        <v>11250820</v>
      </c>
      <c r="D41" s="6" t="n">
        <v>11052751</v>
      </c>
      <c r="E41" s="6" t="n">
        <v>10442066</v>
      </c>
      <c r="F41" s="6" t="n">
        <v>10851867</v>
      </c>
      <c r="G41" s="6" t="n"/>
      <c r="H41" s="6" t="n"/>
      <c r="I41" s="6" t="n"/>
      <c r="J41" s="6" t="n"/>
    </row>
    <row r="42">
      <c r="A42" s="6" t="inlineStr">
        <is>
          <t>Total risk-weighted exposure amount as if IFRS9 or analogous ECLs transitional arrangements had not been applied (£000)</t>
        </is>
      </c>
      <c r="B42" s="6" t="n"/>
      <c r="C42" s="6" t="n"/>
      <c r="D42" s="6" t="n"/>
      <c r="E42" s="6" t="n"/>
      <c r="F42" s="6" t="n">
        <v>10855618</v>
      </c>
      <c r="G42" s="6" t="n"/>
      <c r="H42" s="6" t="n"/>
      <c r="I42" s="6" t="n"/>
      <c r="J42" s="6" t="n"/>
    </row>
    <row r="43">
      <c r="A43" s="5" t="inlineStr">
        <is>
          <t>Capital ratios (as a percentage of risk-weighted exposure amount)</t>
        </is>
      </c>
      <c r="B43" s="6" t="n"/>
      <c r="C43" s="6" t="n"/>
      <c r="D43" s="6" t="n"/>
      <c r="E43" s="6" t="n"/>
      <c r="F43" s="6" t="n"/>
      <c r="G43" s="6" t="n"/>
      <c r="H43" s="6" t="n"/>
      <c r="I43" s="6" t="n"/>
      <c r="J43" s="6" t="n"/>
    </row>
    <row r="44">
      <c r="A44" s="6" t="inlineStr">
        <is>
          <t>Common Equity Tier 1 ratio</t>
        </is>
      </c>
      <c r="B44" s="6" t="inlineStr">
        <is>
          <t>16.74%</t>
        </is>
      </c>
      <c r="C44" s="6" t="inlineStr">
        <is>
          <t>15.45%</t>
        </is>
      </c>
      <c r="D44" s="6" t="inlineStr">
        <is>
          <t>16.7%</t>
        </is>
      </c>
      <c r="E44" s="6" t="inlineStr">
        <is>
          <t>17.2%</t>
        </is>
      </c>
      <c r="F44" s="6" t="inlineStr">
        <is>
          <t>15.9%</t>
        </is>
      </c>
      <c r="G44" s="6" t="n"/>
      <c r="H44" s="6" t="n"/>
      <c r="I44" s="6" t="n"/>
      <c r="J44" s="6" t="n"/>
    </row>
    <row r="45">
      <c r="A45" s="6" t="inlineStr">
        <is>
          <t>Common Equity Tier 1 ratio (%) as if IFRS9 or analogous ECLs transitional arrangements had not been applied</t>
        </is>
      </c>
      <c r="B45" s="6" t="n"/>
      <c r="C45" s="6" t="n"/>
      <c r="D45" s="6" t="n"/>
      <c r="E45" s="6" t="n"/>
      <c r="F45" s="6" t="inlineStr">
        <is>
          <t>15.8%</t>
        </is>
      </c>
      <c r="G45" s="6" t="n"/>
      <c r="H45" s="6" t="n"/>
      <c r="I45" s="6" t="n"/>
      <c r="J45" s="6" t="n"/>
    </row>
    <row r="46">
      <c r="A46" s="6" t="inlineStr">
        <is>
          <t>Tier 1 ratio</t>
        </is>
      </c>
      <c r="B46" s="6" t="inlineStr">
        <is>
          <t>18.88%</t>
        </is>
      </c>
      <c r="C46" s="6" t="inlineStr">
        <is>
          <t>17.67%</t>
        </is>
      </c>
      <c r="D46" s="6" t="inlineStr">
        <is>
          <t>16.7%</t>
        </is>
      </c>
      <c r="E46" s="6" t="inlineStr">
        <is>
          <t>17.2%</t>
        </is>
      </c>
      <c r="F46" s="6" t="inlineStr">
        <is>
          <t>15.9%</t>
        </is>
      </c>
      <c r="G46" s="6" t="n"/>
      <c r="H46" s="6" t="n"/>
      <c r="I46" s="6" t="n"/>
      <c r="J46" s="6" t="n"/>
    </row>
    <row r="47">
      <c r="A47" s="6" t="inlineStr">
        <is>
          <t>Tier 1 ratio (%) as if IFRS9 or analogous ECLs transitional arrangements had not been applied</t>
        </is>
      </c>
      <c r="B47" s="6" t="n"/>
      <c r="C47" s="6" t="n"/>
      <c r="D47" s="6" t="n"/>
      <c r="E47" s="6" t="n"/>
      <c r="F47" s="6" t="inlineStr">
        <is>
          <t>15.8%</t>
        </is>
      </c>
      <c r="G47" s="6" t="n"/>
      <c r="H47" s="6" t="n"/>
      <c r="I47" s="6" t="n"/>
      <c r="J47" s="6" t="n"/>
    </row>
    <row r="48">
      <c r="A48" s="6" t="inlineStr">
        <is>
          <t>Total capital ratio</t>
        </is>
      </c>
      <c r="B48" s="6" t="inlineStr">
        <is>
          <t>21.46%</t>
        </is>
      </c>
      <c r="C48" s="6" t="inlineStr">
        <is>
          <t>20.33%</t>
        </is>
      </c>
      <c r="D48" s="6" t="inlineStr">
        <is>
          <t>19.6%</t>
        </is>
      </c>
      <c r="E48" s="6" t="inlineStr">
        <is>
          <t>20.2%</t>
        </is>
      </c>
      <c r="F48" s="6" t="inlineStr">
        <is>
          <t>18.7%</t>
        </is>
      </c>
      <c r="G48" s="6" t="n"/>
      <c r="H48" s="6" t="n"/>
      <c r="I48" s="6" t="n"/>
      <c r="J48" s="6" t="n"/>
    </row>
    <row r="49">
      <c r="A49" s="6" t="inlineStr">
        <is>
          <t>Total capital ratio (%) as if IFRS9 or analogous ECLs transitional arrangements had not been applied</t>
        </is>
      </c>
      <c r="B49" s="6" t="n"/>
      <c r="C49" s="6" t="n"/>
      <c r="D49" s="6" t="n"/>
      <c r="E49" s="6" t="n"/>
      <c r="F49" s="6" t="inlineStr">
        <is>
          <t>18.6%</t>
        </is>
      </c>
      <c r="G49" s="6" t="n"/>
      <c r="H49" s="6" t="n"/>
      <c r="I49" s="6" t="n"/>
      <c r="J49" s="6" t="n"/>
    </row>
    <row r="50">
      <c r="A50" s="5" t="inlineStr">
        <is>
          <t>Additional own funds requirements to address risks other than the risk of excessive leverage (as a percentage of risk-weighted exposure amount)</t>
        </is>
      </c>
      <c r="B50" s="6" t="n"/>
      <c r="C50" s="6" t="n"/>
      <c r="D50" s="6" t="n"/>
      <c r="E50" s="6" t="n"/>
      <c r="F50" s="6" t="n"/>
      <c r="G50" s="6" t="n"/>
      <c r="H50" s="6" t="n"/>
      <c r="I50" s="6" t="n"/>
      <c r="J50" s="6" t="n"/>
    </row>
    <row r="51">
      <c r="A51" s="6" t="inlineStr">
        <is>
          <t>Additional own funds requirements to address risks other than the risk of excessive leverage</t>
        </is>
      </c>
      <c r="B51" s="6" t="inlineStr">
        <is>
          <t>2.60%</t>
        </is>
      </c>
      <c r="C51" s="6" t="inlineStr">
        <is>
          <t>2.85%</t>
        </is>
      </c>
      <c r="D51" s="6" t="inlineStr">
        <is>
          <t>2.2%</t>
        </is>
      </c>
      <c r="E51" s="6" t="inlineStr">
        <is>
          <t>1.8%</t>
        </is>
      </c>
      <c r="F51" s="6" t="inlineStr">
        <is>
          <t>1.8%</t>
        </is>
      </c>
      <c r="G51" s="6" t="n"/>
      <c r="H51" s="6" t="n"/>
      <c r="I51" s="6" t="n"/>
      <c r="J51" s="6" t="n"/>
    </row>
    <row r="52">
      <c r="A52" s="6" t="inlineStr">
        <is>
          <t>Of which: to be made up of CET1 capital</t>
        </is>
      </c>
      <c r="B52" s="6" t="inlineStr">
        <is>
          <t>1.46%</t>
        </is>
      </c>
      <c r="C52" s="6" t="inlineStr">
        <is>
          <t>1.60%</t>
        </is>
      </c>
      <c r="D52" s="6" t="inlineStr">
        <is>
          <t>1.2%</t>
        </is>
      </c>
      <c r="E52" s="6" t="inlineStr">
        <is>
          <t>1.0%</t>
        </is>
      </c>
      <c r="F52" s="6" t="inlineStr">
        <is>
          <t>1.0%</t>
        </is>
      </c>
      <c r="G52" s="6" t="n"/>
      <c r="H52" s="6" t="n"/>
      <c r="I52" s="6" t="n"/>
      <c r="J52" s="6" t="n"/>
    </row>
    <row r="53">
      <c r="A53" s="6" t="inlineStr">
        <is>
          <t>Of which: to be made up of Tier 1 capital</t>
        </is>
      </c>
      <c r="B53" s="6" t="inlineStr">
        <is>
          <t>1.95%</t>
        </is>
      </c>
      <c r="C53" s="6" t="inlineStr">
        <is>
          <t>2.14%</t>
        </is>
      </c>
      <c r="D53" s="6" t="inlineStr">
        <is>
          <t>1.7%</t>
        </is>
      </c>
      <c r="E53" s="6" t="inlineStr">
        <is>
          <t>1.4%</t>
        </is>
      </c>
      <c r="F53" s="6" t="inlineStr">
        <is>
          <t>1.4%</t>
        </is>
      </c>
      <c r="G53" s="6" t="n"/>
      <c r="H53" s="6" t="n"/>
      <c r="I53" s="6" t="n"/>
      <c r="J53" s="6" t="n"/>
    </row>
    <row r="54">
      <c r="A54" s="6" t="inlineStr">
        <is>
          <t>Total SREP own funds requirements</t>
        </is>
      </c>
      <c r="B54" s="6" t="inlineStr">
        <is>
          <t>10.60%</t>
        </is>
      </c>
      <c r="C54" s="6" t="inlineStr">
        <is>
          <t>10.85%</t>
        </is>
      </c>
      <c r="D54" s="6" t="inlineStr">
        <is>
          <t>10.2%</t>
        </is>
      </c>
      <c r="E54" s="6" t="inlineStr">
        <is>
          <t>9.8%</t>
        </is>
      </c>
      <c r="F54" s="6" t="inlineStr">
        <is>
          <t>9.8%</t>
        </is>
      </c>
      <c r="G54" s="6" t="n"/>
      <c r="H54" s="6" t="n"/>
      <c r="I54" s="6" t="n"/>
      <c r="J54" s="6" t="n"/>
    </row>
    <row r="55">
      <c r="A55" s="5" t="inlineStr">
        <is>
          <t>Combined buffer requirement (as a percentage of risk-weighted exposure amount)</t>
        </is>
      </c>
      <c r="B55" s="6" t="n"/>
      <c r="C55" s="6" t="n"/>
      <c r="D55" s="6" t="n"/>
      <c r="E55" s="6" t="n"/>
      <c r="F55" s="6" t="n"/>
      <c r="G55" s="6" t="n"/>
      <c r="H55" s="6" t="n"/>
      <c r="I55" s="6" t="n"/>
      <c r="J55" s="6" t="n"/>
    </row>
    <row r="56">
      <c r="A56" s="6" t="inlineStr">
        <is>
          <t>Capital conservation buffer</t>
        </is>
      </c>
      <c r="B56" s="6" t="inlineStr">
        <is>
          <t>2.50%</t>
        </is>
      </c>
      <c r="C56" s="6" t="inlineStr">
        <is>
          <t>2.50%</t>
        </is>
      </c>
      <c r="D56" s="6" t="inlineStr">
        <is>
          <t>2.5%</t>
        </is>
      </c>
      <c r="E56" s="6" t="inlineStr">
        <is>
          <t>2.5%</t>
        </is>
      </c>
      <c r="F56" s="6" t="inlineStr">
        <is>
          <t>2.5%</t>
        </is>
      </c>
      <c r="G56" s="6" t="n"/>
      <c r="H56" s="6" t="n"/>
      <c r="I56" s="6" t="n"/>
      <c r="J56" s="6" t="n"/>
    </row>
    <row r="57">
      <c r="A57" s="6" t="inlineStr">
        <is>
          <t>Conservation buffer due to macro-prudential or systemic risk identified at the level of a Member state</t>
        </is>
      </c>
      <c r="B57" s="6" t="n"/>
      <c r="C57" s="6" t="n"/>
      <c r="D57" s="6" t="n"/>
      <c r="E57" s="6" t="inlineStr">
        <is>
          <t>0.0%</t>
        </is>
      </c>
      <c r="F57" s="6" t="inlineStr">
        <is>
          <t>0.0%</t>
        </is>
      </c>
      <c r="G57" s="6" t="n"/>
      <c r="H57" s="6" t="n"/>
      <c r="I57" s="6" t="n"/>
      <c r="J57" s="6" t="n"/>
    </row>
    <row r="58">
      <c r="A58" s="6" t="inlineStr">
        <is>
          <t>Institutional specific countercyclical capital buffer</t>
        </is>
      </c>
      <c r="B58" s="6" t="inlineStr">
        <is>
          <t>2.00%</t>
        </is>
      </c>
      <c r="C58" s="6" t="inlineStr">
        <is>
          <t>2.00%</t>
        </is>
      </c>
      <c r="D58" s="6" t="inlineStr">
        <is>
          <t>2.0%</t>
        </is>
      </c>
      <c r="E58" s="6" t="inlineStr">
        <is>
          <t>1.0%</t>
        </is>
      </c>
      <c r="F58" s="6" t="inlineStr">
        <is>
          <t>-</t>
        </is>
      </c>
      <c r="G58" s="6" t="n"/>
      <c r="H58" s="6" t="n"/>
      <c r="I58" s="6" t="n"/>
      <c r="J58" s="6" t="n"/>
    </row>
    <row r="59">
      <c r="A59" s="6" t="inlineStr">
        <is>
          <t>Systemic buffer (%)</t>
        </is>
      </c>
      <c r="B59" s="6" t="n"/>
      <c r="C59" s="6" t="n"/>
      <c r="D59" s="6" t="n"/>
      <c r="E59" s="6" t="n"/>
      <c r="F59" s="6" t="inlineStr">
        <is>
          <t>-</t>
        </is>
      </c>
      <c r="G59" s="6" t="n"/>
      <c r="H59" s="6" t="n"/>
      <c r="I59" s="6" t="n"/>
      <c r="J59" s="6" t="n"/>
    </row>
    <row r="60">
      <c r="A60" s="6" t="inlineStr">
        <is>
          <t>Global Systemically important institution buffer (%)</t>
        </is>
      </c>
      <c r="B60" s="6" t="n"/>
      <c r="C60" s="6" t="n"/>
      <c r="D60" s="6" t="n"/>
      <c r="E60" s="6" t="n"/>
      <c r="F60" s="6" t="inlineStr">
        <is>
          <t>-</t>
        </is>
      </c>
      <c r="G60" s="6" t="n"/>
      <c r="H60" s="6" t="n"/>
      <c r="I60" s="6" t="n"/>
      <c r="J60" s="6" t="n"/>
    </row>
    <row r="61">
      <c r="A61" s="6" t="inlineStr">
        <is>
          <t>Other systemically important institution buffer</t>
        </is>
      </c>
      <c r="B61" s="6" t="n"/>
      <c r="C61" s="6" t="n"/>
      <c r="D61" s="6" t="n"/>
      <c r="E61" s="6" t="n"/>
      <c r="F61" s="6" t="inlineStr">
        <is>
          <t>-</t>
        </is>
      </c>
      <c r="G61" s="6" t="n"/>
      <c r="H61" s="6" t="n"/>
      <c r="I61" s="6" t="n"/>
      <c r="J61" s="6" t="n"/>
    </row>
    <row r="62">
      <c r="A62" s="6" t="inlineStr">
        <is>
          <t>Combined buffer requirement</t>
        </is>
      </c>
      <c r="B62" s="6" t="inlineStr">
        <is>
          <t>4.50%</t>
        </is>
      </c>
      <c r="C62" s="6" t="inlineStr">
        <is>
          <t>4.50%</t>
        </is>
      </c>
      <c r="D62" s="6" t="inlineStr">
        <is>
          <t>4.5%</t>
        </is>
      </c>
      <c r="E62" s="6" t="inlineStr">
        <is>
          <t>3.5%</t>
        </is>
      </c>
      <c r="F62" s="6" t="inlineStr">
        <is>
          <t>2.5%</t>
        </is>
      </c>
      <c r="G62" s="6" t="n"/>
      <c r="H62" s="6" t="n"/>
      <c r="I62" s="6" t="n"/>
      <c r="J62" s="6" t="n"/>
    </row>
    <row r="63">
      <c r="A63" s="6" t="inlineStr">
        <is>
          <t>Overall capital requirements</t>
        </is>
      </c>
      <c r="B63" s="6" t="inlineStr">
        <is>
          <t>15.10%</t>
        </is>
      </c>
      <c r="C63" s="6" t="inlineStr">
        <is>
          <t>15.35%</t>
        </is>
      </c>
      <c r="D63" s="6" t="inlineStr">
        <is>
          <t>14.7%</t>
        </is>
      </c>
      <c r="E63" s="6" t="inlineStr">
        <is>
          <t>13.3%</t>
        </is>
      </c>
      <c r="F63" s="6" t="inlineStr">
        <is>
          <t>12.3%</t>
        </is>
      </c>
      <c r="G63" s="6" t="n"/>
      <c r="H63" s="6" t="n"/>
      <c r="I63" s="6" t="n"/>
      <c r="J63" s="6" t="n"/>
    </row>
    <row r="64">
      <c r="A64" s="6" t="inlineStr">
        <is>
          <t>CET1 available after meeting the total SREP own funds requirements</t>
        </is>
      </c>
      <c r="B64" s="6" t="inlineStr">
        <is>
          <t>10.77%</t>
        </is>
      </c>
      <c r="C64" s="6" t="inlineStr">
        <is>
          <t>9.30%</t>
        </is>
      </c>
      <c r="D64" s="6" t="inlineStr">
        <is>
          <t>9.0%</t>
        </is>
      </c>
      <c r="E64" s="6" t="inlineStr">
        <is>
          <t>9.8%</t>
        </is>
      </c>
      <c r="F64" s="6" t="inlineStr">
        <is>
          <t>8.5%</t>
        </is>
      </c>
      <c r="G64" s="6" t="n"/>
      <c r="H64" s="6" t="n"/>
      <c r="I64" s="6" t="n"/>
      <c r="J64" s="6" t="n"/>
    </row>
    <row r="65">
      <c r="A65" s="5" t="inlineStr">
        <is>
          <t>Leverage Ratio</t>
        </is>
      </c>
      <c r="B65" s="6" t="n"/>
      <c r="C65" s="6" t="n"/>
      <c r="D65" s="6" t="n"/>
      <c r="E65" s="6" t="n"/>
      <c r="F65" s="6" t="n"/>
      <c r="G65" s="6" t="n"/>
      <c r="H65" s="6" t="n"/>
      <c r="I65" s="6" t="n"/>
      <c r="J65" s="6" t="n"/>
    </row>
    <row r="66">
      <c r="A66" s="6" t="inlineStr">
        <is>
          <t>Leverage ratio total exposure measure (£000)</t>
        </is>
      </c>
      <c r="B66" s="6" t="n">
        <v>40220383</v>
      </c>
      <c r="C66" s="6" t="n">
        <v>40126116</v>
      </c>
      <c r="D66" s="6" t="n">
        <v>40338726</v>
      </c>
      <c r="E66" s="6" t="n">
        <v>42544451</v>
      </c>
      <c r="F66" s="6" t="n">
        <v>47412008</v>
      </c>
      <c r="G66" s="6" t="n"/>
      <c r="H66" s="6" t="n"/>
      <c r="I66" s="6" t="n"/>
      <c r="J66" s="6" t="n"/>
    </row>
    <row r="67">
      <c r="A67" s="6" t="inlineStr">
        <is>
          <t>Leverage ratio</t>
        </is>
      </c>
      <c r="B67" s="6" t="inlineStr">
        <is>
          <t>5.47%</t>
        </is>
      </c>
      <c r="C67" s="6" t="inlineStr">
        <is>
          <t>4.95%</t>
        </is>
      </c>
      <c r="D67" s="6" t="inlineStr">
        <is>
          <t>4.6%</t>
        </is>
      </c>
      <c r="E67" s="6" t="inlineStr">
        <is>
          <t>4.2%</t>
        </is>
      </c>
      <c r="F67" s="6" t="inlineStr">
        <is>
          <t>3.6%</t>
        </is>
      </c>
      <c r="G67" s="6" t="n"/>
      <c r="H67" s="6" t="n"/>
      <c r="I67" s="6" t="n"/>
      <c r="J67" s="6" t="n"/>
    </row>
    <row r="68">
      <c r="A68" s="6" t="inlineStr">
        <is>
          <t>Leverage ratio as if IFRS9 or analogous ECLs transitional arrangements had not been applied</t>
        </is>
      </c>
      <c r="B68" s="6" t="n"/>
      <c r="C68" s="6" t="n"/>
      <c r="D68" s="6" t="n"/>
      <c r="E68" s="6" t="n"/>
      <c r="F68" s="6" t="inlineStr">
        <is>
          <t>3.6%</t>
        </is>
      </c>
      <c r="G68" s="6" t="n"/>
      <c r="H68" s="6" t="n"/>
      <c r="I68" s="6" t="n"/>
      <c r="J68" s="6" t="n"/>
    </row>
    <row r="69">
      <c r="A69" s="5" t="inlineStr">
        <is>
          <t>Additional own funds requirements to address risks of excessive leverage (as a percentage of leverage ratio total exposure amount)</t>
        </is>
      </c>
      <c r="B69" s="6" t="n"/>
      <c r="C69" s="6" t="n"/>
      <c r="D69" s="6" t="n"/>
      <c r="E69" s="6" t="n"/>
      <c r="F69" s="6" t="n"/>
      <c r="G69" s="6" t="n"/>
      <c r="H69" s="6" t="n"/>
      <c r="I69" s="6" t="n"/>
      <c r="J69" s="6" t="n"/>
    </row>
    <row r="70">
      <c r="A70" s="6" t="inlineStr">
        <is>
          <t>Additional own funds requirements to address the risk of the excessive leverage (%)</t>
        </is>
      </c>
      <c r="B70" s="6" t="n"/>
      <c r="C70" s="6" t="n"/>
      <c r="D70" s="6" t="n"/>
      <c r="E70" s="6" t="n"/>
      <c r="F70" s="6" t="inlineStr">
        <is>
          <t>0.0%</t>
        </is>
      </c>
      <c r="G70" s="6" t="n"/>
      <c r="H70" s="6" t="n"/>
      <c r="I70" s="6" t="n"/>
      <c r="J70" s="6" t="n"/>
    </row>
    <row r="71">
      <c r="A71" s="6" t="inlineStr">
        <is>
          <t>Of which: they will be composed of Common Equity Tier 1 capital (%)</t>
        </is>
      </c>
      <c r="B71" s="6" t="n"/>
      <c r="C71" s="6" t="n"/>
      <c r="D71" s="6" t="n"/>
      <c r="E71" s="6" t="n"/>
      <c r="F71" s="6" t="inlineStr">
        <is>
          <t>0.0%</t>
        </is>
      </c>
      <c r="G71" s="6" t="n"/>
      <c r="H71" s="6" t="n"/>
      <c r="I71" s="6" t="n"/>
      <c r="J71" s="6" t="n"/>
    </row>
    <row r="72">
      <c r="A72" s="6" t="inlineStr">
        <is>
          <t>Total SREP leverage ratio requirements (%)</t>
        </is>
      </c>
      <c r="B72" s="6" t="n"/>
      <c r="C72" s="6" t="n"/>
      <c r="D72" s="6" t="n"/>
      <c r="E72" s="6" t="n"/>
      <c r="F72" s="6" t="inlineStr">
        <is>
          <t>0.0%</t>
        </is>
      </c>
      <c r="G72" s="6" t="n"/>
      <c r="H72" s="6" t="n"/>
      <c r="I72" s="6" t="n"/>
      <c r="J72" s="6" t="n"/>
    </row>
    <row r="73">
      <c r="A73" s="5" t="inlineStr">
        <is>
          <t>Leverage ratio buffer and overall leverage ratio requirement (as a percentage of the total exposure amount)</t>
        </is>
      </c>
      <c r="B73" s="6" t="n"/>
      <c r="C73" s="6" t="n"/>
      <c r="D73" s="6" t="n"/>
      <c r="E73" s="6" t="n"/>
      <c r="F73" s="6" t="n"/>
      <c r="G73" s="6" t="n"/>
      <c r="H73" s="6" t="n"/>
      <c r="I73" s="6" t="n"/>
      <c r="J73" s="6" t="n"/>
    </row>
    <row r="74">
      <c r="A74" s="6" t="inlineStr">
        <is>
          <t>Leverage ratio buffer requirement (%)</t>
        </is>
      </c>
      <c r="B74" s="6" t="n"/>
      <c r="C74" s="6" t="n"/>
      <c r="D74" s="6" t="n"/>
      <c r="E74" s="6" t="n"/>
      <c r="F74" s="6" t="inlineStr">
        <is>
          <t>0.0%</t>
        </is>
      </c>
      <c r="G74" s="6" t="n"/>
      <c r="H74" s="6" t="n"/>
      <c r="I74" s="6" t="n"/>
      <c r="J74" s="6" t="n"/>
    </row>
    <row r="75">
      <c r="A75" s="6" t="inlineStr">
        <is>
          <t>Overall leverage ratio requirement (%)</t>
        </is>
      </c>
      <c r="B75" s="6" t="n"/>
      <c r="C75" s="6" t="n"/>
      <c r="D75" s="6" t="n"/>
      <c r="E75" s="6" t="n"/>
      <c r="F75" s="6" t="inlineStr">
        <is>
          <t>0.0%</t>
        </is>
      </c>
      <c r="G75" s="6" t="n"/>
      <c r="H75" s="6" t="n"/>
      <c r="I75" s="6" t="n"/>
      <c r="J75" s="6" t="n"/>
    </row>
    <row r="76">
      <c r="A76" s="5" t="inlineStr">
        <is>
          <t>Liquidity Coverage Ratio</t>
        </is>
      </c>
      <c r="B76" s="6" t="n"/>
      <c r="C76" s="6" t="n"/>
      <c r="D76" s="6" t="n"/>
      <c r="E76" s="6" t="n"/>
      <c r="F76" s="6" t="n"/>
      <c r="G76" s="6" t="n"/>
      <c r="H76" s="6" t="n"/>
      <c r="I76" s="6" t="n"/>
      <c r="J76" s="6" t="n"/>
    </row>
    <row r="77">
      <c r="A77" s="6" t="inlineStr">
        <is>
          <t>Total high-quality liquid assets (HQLA) (Weighted value - average) (£000)</t>
        </is>
      </c>
      <c r="B77" s="6" t="n">
        <v>6476199</v>
      </c>
      <c r="C77" s="6" t="n">
        <v>6921589</v>
      </c>
      <c r="D77" s="6" t="n">
        <v>7371627</v>
      </c>
      <c r="E77" s="6" t="n">
        <v>6788964</v>
      </c>
      <c r="F77" s="6" t="n">
        <v>7513828</v>
      </c>
      <c r="G77" s="6" t="n"/>
      <c r="H77" s="6" t="n"/>
      <c r="I77" s="6" t="n"/>
      <c r="J77" s="6" t="n"/>
    </row>
    <row r="78">
      <c r="A78" s="6" t="inlineStr">
        <is>
          <t>Cash outflows - Total weighted value (£000)</t>
        </is>
      </c>
      <c r="B78" s="6" t="n">
        <v>3765659</v>
      </c>
      <c r="C78" s="6" t="n">
        <v>4056488</v>
      </c>
      <c r="D78" s="6" t="n">
        <v>4134068</v>
      </c>
      <c r="E78" s="6" t="n">
        <v>4326960</v>
      </c>
      <c r="F78" s="6" t="n">
        <v>4077424</v>
      </c>
      <c r="G78" s="6" t="n"/>
      <c r="H78" s="6" t="n"/>
      <c r="I78" s="6" t="n"/>
      <c r="J78" s="6" t="n"/>
    </row>
    <row r="79">
      <c r="A79" s="6" t="inlineStr">
        <is>
          <t>Cash inflows - Total weighted value (£000)</t>
        </is>
      </c>
      <c r="B79" s="6" t="n">
        <v>250510</v>
      </c>
      <c r="C79" s="6" t="n">
        <v>230451</v>
      </c>
      <c r="D79" s="6" t="n">
        <v>218878</v>
      </c>
      <c r="E79" s="6" t="n">
        <v>260513</v>
      </c>
      <c r="F79" s="6" t="n">
        <v>213669</v>
      </c>
      <c r="G79" s="6" t="n"/>
      <c r="H79" s="6" t="n"/>
      <c r="I79" s="6" t="n"/>
      <c r="J79" s="6" t="n"/>
    </row>
    <row r="80">
      <c r="A80" s="6" t="inlineStr">
        <is>
          <t>Total net cash outflows (adjusted value) (£000)</t>
        </is>
      </c>
      <c r="B80" s="6" t="n">
        <v>3515149</v>
      </c>
      <c r="C80" s="6" t="n">
        <v>3826038</v>
      </c>
      <c r="D80" s="6" t="n">
        <v>3915190</v>
      </c>
      <c r="E80" s="6" t="n">
        <v>4066447</v>
      </c>
      <c r="F80" s="6" t="n">
        <v>3863755</v>
      </c>
      <c r="G80" s="6" t="n"/>
      <c r="H80" s="6" t="n"/>
      <c r="I80" s="6" t="n"/>
      <c r="J80" s="6" t="n"/>
    </row>
    <row r="81">
      <c r="A81" s="6" t="inlineStr">
        <is>
          <t>Liquidity coverage ratio</t>
        </is>
      </c>
      <c r="B81" s="6" t="inlineStr">
        <is>
          <t>185%</t>
        </is>
      </c>
      <c r="C81" s="6" t="inlineStr">
        <is>
          <t>182%</t>
        </is>
      </c>
      <c r="D81" s="6" t="inlineStr">
        <is>
          <t>188%</t>
        </is>
      </c>
      <c r="E81" s="6" t="inlineStr">
        <is>
          <t>168%</t>
        </is>
      </c>
      <c r="F81" s="6" t="inlineStr">
        <is>
          <t>194%</t>
        </is>
      </c>
      <c r="G81" s="6" t="n"/>
      <c r="H81" s="6" t="n"/>
      <c r="I81" s="6" t="n"/>
      <c r="J81" s="6" t="n"/>
    </row>
    <row r="82">
      <c r="A82" s="5" t="inlineStr">
        <is>
          <t>Net Stable Funding Ratio (NSFR)</t>
        </is>
      </c>
      <c r="B82" s="6" t="n"/>
      <c r="C82" s="6" t="n"/>
      <c r="D82" s="6" t="n"/>
      <c r="E82" s="6" t="n"/>
      <c r="F82" s="6" t="n"/>
      <c r="G82" s="6" t="n"/>
      <c r="H82" s="6" t="n"/>
      <c r="I82" s="6" t="n"/>
      <c r="J82" s="6" t="n"/>
    </row>
    <row r="83">
      <c r="A83" s="6" t="inlineStr">
        <is>
          <t>Total available stable funding (£000)</t>
        </is>
      </c>
      <c r="B83" s="6" t="n">
        <v>40945691</v>
      </c>
      <c r="C83" s="6" t="n">
        <v>42119435</v>
      </c>
      <c r="D83" s="6" t="n">
        <v>42368266</v>
      </c>
      <c r="E83" s="6" t="n">
        <v>42774578</v>
      </c>
      <c r="F83" s="6" t="n">
        <v>42912975</v>
      </c>
      <c r="G83" s="6" t="n"/>
      <c r="H83" s="6" t="n"/>
      <c r="I83" s="6" t="n"/>
      <c r="J83" s="6" t="n"/>
    </row>
    <row r="84">
      <c r="A84" s="6" t="inlineStr">
        <is>
          <t>Total required stable funding (£000)</t>
        </is>
      </c>
      <c r="B84" s="6" t="inlineStr">
        <is>
          <t>26,999.917</t>
        </is>
      </c>
      <c r="C84" s="6" t="n">
        <v>27582817</v>
      </c>
      <c r="D84" s="6" t="n">
        <v>27601540</v>
      </c>
      <c r="E84" s="6" t="n">
        <v>28845131</v>
      </c>
      <c r="F84" s="6" t="n">
        <v>28710989</v>
      </c>
      <c r="G84" s="6" t="n"/>
      <c r="H84" s="6" t="n"/>
      <c r="I84" s="6" t="n"/>
      <c r="J84" s="6" t="n"/>
    </row>
    <row r="85">
      <c r="A85" s="6" t="inlineStr">
        <is>
          <t>NSFR ratio</t>
        </is>
      </c>
      <c r="B85" s="6" t="inlineStr">
        <is>
          <t>152%</t>
        </is>
      </c>
      <c r="C85" s="6" t="inlineStr">
        <is>
          <t>153%</t>
        </is>
      </c>
      <c r="D85" s="6" t="inlineStr">
        <is>
          <t>154%</t>
        </is>
      </c>
      <c r="E85" s="6" t="inlineStr">
        <is>
          <t>148%</t>
        </is>
      </c>
      <c r="F85" s="6" t="inlineStr">
        <is>
          <t>149%</t>
        </is>
      </c>
      <c r="G85" s="6" t="n"/>
      <c r="H85" s="6" t="n"/>
      <c r="I85" s="6" t="n"/>
      <c r="J85" s="6" t="n"/>
    </row>
    <row r="87" ht="409" customHeight="1">
      <c r="A87" s="8" t="inlineStr">
        <is>
          <t>Sources - TSB Banking Group plc consolidated Pillar 3/capital disclosure basis. Each column is taken from the edition in which that date is the REPORTING date, never from a later edition's comparative, with the one exception stated for FY2017 below.
FY2025: Large Subsidiary Disclosures, as at 31 December 2025, p.6 (Table 1: Key metrics (KM1), '31 December 2025' column) - https://www.tsb.co.uk/content/dam/tsb-public/documents/investors/rns/tsb-large-subsidiary-disclosure-2025.pdf
FY2024: Large Subsidiary Disclosures, as at 31 December 2024, p.6 (Table 1a: Key metrics (KM1), '31 December 2024' column) - https://www.tsb.co.uk/content/dam/tsb-public/documents/investors/rns/TSB-Large-subsidiary-Disclosure-2024.pdf
FY2023: Large Subsidiary Disclosures 2023, p.6 (Table 1a: Key metrics (KM1), '31 December 2023' column) - https://www.tsb.co.uk/content/dam/tsb-public/documents/investors/rns/TSB-large-subsidiary-disclosure-2023.pdf
FY2022: Large Subsidiary Disclosures 2022, p.6 (Table 1a: Key metrics (KM1), '31 December 2022' column) - https://www.tsb.co.uk/content/dam/tsb-public/documents/investors/rns/TSB-Large-subsidiary-Disclosure-2022.pdf
FY2021: Large Subsidiary Disclosures 2021, pp.5-6 (Table 1: Key metrics (KM1 / IFRS 9-FL), '2021' column). THIS EDITION'S TABLE BREAKS ACROSS TWO PAGES: capital, ratios, SREP, buffers and the leverage blocks on p.5, then the LCR and NSFR blocks on p.6 under 'Table 1 ... (continued)' - https://www.tsb.co.uk/content/dam/tsb-public/documents/investors/rns/TSB-Large-Subsidiary-Disclosure-2021.pdf
FY2020: Significant Subsidiary Disclosures 2020, p.6 (Table 1: Key metrics (KM1 / IFRS 9-FL), '2020' column) - https://www.tsb.co.uk/content/dam/tsb-public/documents/investors/rns/TSB-Significant-Subsidiary-Disclosure-2020.pdf
FY2019: Significant Subsidiary Disclosures 2019, p.6 (Table 1: Key metrics (KM1/IFRS 9-FL), '2019' column) - https://web.archive.org/web/20230807234216id_/https://www.tsb.co.uk/investors/tsb-significant-subsidiary-disclosure-2019.pdf
FY2018: Significant Subsidiary Disclosures 2018, p.5 (Table 1: Key metrics (KM1/IFRS 9-FL), '2018' column) - https://web.archive.org/web/20230807142122id_/https://www.tsb.co.uk/investors/tsb-significant-subsidiary-disclosure.pdf
FY2017: the FY2018 edition's own '2017' COMPARATIVE column, p.5 of https://web.archive.org/web/20230807142122id_/https://www.tsb.co.uk/investors/tsb-significant-subsidiary-disclosure.pdf - see the next paragraph for why this one column is a comparative.
WHY FY2017 IS FILLED FROM A COMPARATIVE. TSB's FY2017 Significant Subsidiary Disclosures publishes no key-metrics template at all. It carries OFD2/OFD3 own-funds tables, the LRSum/LRCom leverage templates and the full credit-risk template set, and its Executive Summary carries a bespoke ten-line 'Key metrics' summary - CET1 £1.9bn, CET1 ratio 20.0%, Total Capital £2.3bn, Total Capital ratio 24.0%, credit-risk exposure at default, credit and operational RWAs, Basel III leverage 4.5%, UK leverage 5.4% - with no Tier 1 row, no SREP rows, no buffer block, no LCR and no NSFR. That is a different and shorter table, not an unnumbered template, so it is not transcribed as one. Where a year's own edition prints no template and a later edition prints a comparative for it, the column is filled from that comparative and labelled as such; that is what has been done here.
FY2014-FY2016 CARRY NO COLUMN AND THE SHEET SHOWS NONE. TSB's Pillar 3 documents for 31 December 2014, 2015 and 2016 were each fetched from TSB's own site (the 2015 edition from the Wayback snapshot noted below), verified as PDFs and read on 2026-09-18. Each prints the same bespoke eight- to ten-line 'Key metrics' summary in its Executive Summary - CET1, CET1 ratio, Total Capital, Total Capital ratio, credit-risk exposure at default, credit and operational RWAs, Total RWAs and the Basel III leverage ratio, in £bn to one decimal - with no Tier 1 row, no SREP rows, no buffer block, no LCR and no NSFR. That is the same short table the FY2017 edition prints, and it is a different and shorter table rather than an unnumbered template, so none of these three years is transcribed as one. The string 'KM1' does not occur in any of the three (0 matches each), against 16-19 matches for 'own funds', 18-28 for 'leverage ratio' and 22-48 for 'risk-weighted' in the same documents - so the zero is a fact about the documents and not about the search. No later edition carries a 31-Dec-2016 or earlier comparative in a key-metrics template either: the FY2017 edition, which would be the only candidate, publishes no template at all. Those years are genuinely absent rather than unresearched.
TSB PRINTS THIS TEMPLATE UNNUMBERED IN EVERY EDITION, so no row numbers appear on this sheet. None of the nine editions prints 'UK 7a', '8', 'UK 9a' or any other template row reference anywhere in the table; attaching numbers here would assert a row correspondence TSB never published. The rows are in TSB's own printed order within each of the two blocks.
WHY THERE ARE TWO BLOCKS, AND WHY NOTHING IS MERGED ACROSS THEM. The FY2017-FY2020 editions print the PRE-2022 Basel 'Table KM1' and the FY2021-FY2025 editions print the UK template, and the two are not the same table with different wording. The older one has no SREP block at all, expresses buffers as 'Additional CET1 buffer requirements' ending in 'Total CET1 specific buffer requirements', and footnotes 'CET1 available after meeting minimum capital requirements' as 'CET1 less Pillar 1 requirement of 4.5%' - whereas the UK template's similarly-named row is measured after Pillar 1 AND Pillar 2A ('the minimum CET1 requirement is equivalent to 4.5% (Pillar 1) plus additional CET1 SREP requirement (56% of Pillar 2A)', FY2025 edition footnote 1). It also has no LCR and no NSFR block. Reading the two blocks as one series would splice two different measures under one heading.</t>
        </is>
      </c>
    </row>
    <row r="89" ht="409" customHeight="1">
      <c r="A89" s="8" t="inlineStr">
        <is>
          <t>(continued)
THE LEVERAGE SERIES ALSO BREAKS, WITHIN THE SECOND BLOCK, AND TSB SAYS SO ITSELF. From the PRA Rulebook change effective January 2022 the exposure measure excludes qualifying claims on central banks. TSB's caption does not change, so the break is not visible in the row label: the FY2021 edition prints 47,412,008 / 3.6% on the pre-2022 basis, and the FY2022 edition's footnote 1 states 'Leverage ratio exposure and leverage ratio % have been calculated as defined in the PRA Rulebook introduced with effect from January 2022. December 2021 information has been restated for consistency excluding exposures to Central Banks', printing 42,569,754 / 4.0% for that same date. FY2021 is shown here on its OWN edition's basis (47,412,008 / 3.6%); the restated pair is on the Leverage Ratio metric sheet, which carries both.
THE FY2021 LCR ROW IS POINT-IN-TIME, NOT THE TWELVE-MONTH AVERAGE THE OTHER YEARS CARRY. The FY2021 edition's key-metrics table prints HQLA 7,513,828, net outflows 3,863,755 and an LCR of 194%, and that edition's own narrative is explicit: 'As at 31 December 2021, TSB's LCR was 194% (December 2020: 201%). The table below reflects the trailing 12 month-end average LCR balances at the applicable quarter end dates. The trailing 12 month-end average LCR to 31 December 2021 was 165%'. The FY2022-FY2025 columns here are all twelve-month averages (each edition footnotes them as such). The LCR metric sheet carries the AVERAGE for FY2021 (165%, from that same edition's LIQ1 template on p.39), so the two sheets deliberately differ on that one row and each is captioned with the basis it is on. Neither figure is a restatement of the other.
THE FY2021 NSFR ROW IS LIKEWISE POINT-IN-TIME AND ON THE EU CRR2 BASIS: 'The TSB NSFR was 149% as at 31 December 2021 ... note this is based on the CRR2 regulation which became applicable in the EU from June 2021 and UK from January 2022' (FY2021 edition, p.40). The FY2022 edition prints no 31-Dec-2021 NSFR comparative at all and says why - 'Comparative have not been reported as the average calculation methodology was introduced by the PRA at 1 January 2022'.
GLYPHS AND BLANK CELLS. Cells reading '-' are where TSB printed the glyph 'n/a' (map rule 2: the cell carries a plain ASCII '-', the glyph is recorded here; converted from the text 'n/a' under GA-020, 2026-09-19) - they are TSB stating the row does not apply to it, which is a different statement from silence. They occur on the G-SIB/D-SIB row in all four pre-2022 editions; on the FY2017 comparative of every 'as if IFRS 9 ... had not been applied' row (IFRS 9 was not yet in force at 31 December 2017); and on the FY2021 systemic-buffer, G-SII, O-SII and institution-specific countercyclical buffer rows. A cell left BLANK means that edition did not print that row at all - which is why the 'as if IFRS9' rows carry only FY2021 in the second block (the FY2022-FY2025 editions move those rows out of the key-metrics table into a separate 'Table 1b: Comparison between institutions own funds capital ratios and leverage ratios with and without applying the transitional arrangements of IFRS9', which is a different template), and why the 'Conservation buffer due to macro-prudential or systemic risk' row carries a printed 0.0% for FY2021 and FY2022 and nothing afterwards.
THREE SOURCE DEFECTS, REPRODUCED AS PUBLISHED AND NOT CORRECTED.
1. The FY2025 edition prints required stable funding as '26,999.917' - a decimal point where the thousands separator belongs. It is shown here exactly as printed. The intended figure is £26,999,917 thousand: that is what the same row's own NSFR ratio of 152% implies against available stable funding of £40,945,691 thousand, and it is the figure the NSFR metric sheet carries. The two adjacent columns in the same row are printed correctly (27,182,866 and 27,582,817).
2. The FY2022 edition prints 'Total risk-weighted exposure amount' TWICE - once in its proper place under the 'Risk-weighted exposure amounts' heading, and once stranded inside the 'Available capital (amounts)' block between the Tier 1 capital and Total capital rows, with identical figures in all three columns. The row appears once on this sheet, in its proper place; the duplicate is recorded here rather than reproduced, because a sheet cannot carry the same row label twice within one block.
3. Every edition from FY2020 onward renders 'Leverage ratio total exposure measure' with a subsetted font whose 'asu' glyphs carry no Unicode mapping, so text extraction returns 'exposure me re'. The page was rendered at 150dpi and read to confirm the printed label is 'measure'; the FY2019 and earlier editions extract the word normally.
LABEL DRIFT BETWEEN EDITIONS, KEYED BY ROW. The label shown is the one the most recent edition in that block prints. (a) 'Capital conservation buffer requirement' reads 'Capital conservation buffer requirement (2.5% from 2019)' in the FY2018 edition only. (b) The FY2021 edition suffixes '(%)' to every ratio row it prints ('Common Equity Tier 1 ratio (%)', 'Tier 1 ratio (%)', 'Total capital ratio (%)', 'Liquidity coverage ratio (%)', 'NSFR ratio (%)'); the FY2022-FY2025 editions drop it. (c) The FY2022 edition indents 'Of which: to be made up of CET1 capital' one level further than FY2023 onward. None of these changes the row's identity.
PRECISION IS TSB'S OWN AND IS NOT NORMALISED. The FY2024 and FY2025 editions print capital and buffer ratios to two decimal places; the FY2021, FY2022 and FY2023 editions print the same rows to one. The FY2018 edition prints its buffer rows to two decimals (1.88%, 1.00%, 2.88%) while the FY2019 and FY2020 editions print them to one (2.5%, 1.0%). One consequence worth naming: this sheet's FY2023 leverage ratio reads 4.6%, which is what the FY2023 edition printed, while the Leverage Ratio metric sheet reads 4.57% from the FY2024 edition's more precise comparative for the same date.</t>
        </is>
      </c>
    </row>
    <row r="91" ht="409" customHeight="1">
      <c r="A91" s="8" t="inlineStr">
        <is>
          <t>(continued)
ONE KNOWN CROSS-SHEET DIFFERENCE OF £1 THOUSAND, ON FY2017 TOTAL CAPITAL. This sheet shows 2,282,211, which is what the FY2018 edition's 2017 comparative prints. The Total Capital metric sheet shows 2,282,212, which is what the FY2017 edition's own Table 1 (Own Funds, OFD2) prints. Both are reproduced from their own documents and neither is adjusted to the other.
ENTITY. Every column is TSB Banking Group plc consolidated, the basis named in each document's own title and running header. No edition prints a second entity's columns beside it and no edition prints the template twice, so there is no entity ambiguity to resolve - see the ENTITY NOTE on the Cash Flow Statement sheet for why that sub-group basis is the banking entity in this workbook.
FY2017-FY2019 PILLAR 3 RECOVERY AND CORRECTION (2026-09-18). An earlier revision of this workbook stated that TSB published no standalone Pillar 3/Significant Subsidiary Disclosure document for FY2017 and FY2018, and sourced those two years' capital metrics from the TSB Banking Group plc Annual Report's own 'Capital resources' table instead. THAT STATEMENT WAS FALSE and has been withdrawn. TSB Banking Group plc published a Significant Subsidiary Disclosures document for FY2017 (48pp), FY2018 (46pp) and FY2019 (52pp), and each of the three prints a full 'Table 1: Key metrics (KM1 / IFRS 9-FL)'. The FY2019 document had likewise never been used here: FY2019 figures were being taken from the FY2020 edition's comparative column, and now come from FY2019's own edition.
HOW THEY WERE FOUND, AND WHY THE URLS ARE ARCHIVE URLS. None of the three is linked from any page of tsb.co.uk today, and every plausible live path returns HTTP 404 with Content-Type text/html (the investors index, the regulatory-news-service index and the DAM document paths were all checked on 2026-09-18). A Wayback CDX domain sweep of tsb.co.uk filtered on '(pillar|subsidiary)' listed all three in one call. The citations therefore give the 'id_' snapshot form, which returns the original archived bytes rather than the Wayback viewer page, and each was verified on fetch by status, Content-Type and '%PDF' magic bytes. TSB's own dead URLs are recorded above beside each snapshot so the original provenance stays readable.
WHAT CHANGED IN THE FIGURES, AND WHY. The Annual Report table these years used to be sourced from is captioned 'fully loaded' - it prints TSB's IFRS 9 FULLY-LOADED capital, RWAs and leverage exposure, which is the second line of each pair in the Pillar 3 key-metrics table, not the headline. Every other year on these sheets carries the headline (IFRS 9 transitional) figure, so FY2018 sat on a different basis from its neighbours with nothing saying so. FY2018 now reads CET1/Tier 1 1,821,180 (was 1,805,500, the fully-loaded figure as rounded by the Annual Report to £1,805.5m), total capital 2,205,528 (was 2,196,100), RWAs 9,257,644 (was 9,271,000) and the capital ratios 19.7%/19.7%/23.8% (were 19.5%/19.5%/23.7%) - in every case the transitional figure printed by the FY2018 edition's own Table 1. FY2017 predates IFRS 9, so no transitional/fully-loaded split exists for it and the amounts barely move; they are now exact £'000 figures from the FY2017 edition's own Table 1 (Own Funds, OFD2) rather than the Annual Report's £0.1m roundings: CET1/Tier 1 1,898,142 (was 1,898,100), total capital 2,282,212 (was 2,282,200), RWAs 9,490,710 (was 9,490,700).
THE LEVERAGE EXPOSURE MEASURE MOVES FOR A DIFFERENT REASON, and both printings are real. TSB's Pillar 3 documents print a 31-Dec-2018 leverage exposure of 41,466,642 and a 31-Dec-2017 exposure of 42,626,131 (FY2018 edition Table 1 and Table 26 LRSum; FY2017 edition Table 27 LRSum). The Annual Report's 'Total exposures' line for the same two dates reads 41,445.9m and 42,668.6m, under a 'Total Tier 1 Capital for leverage ratio (fully loaded)' heading. The Pillar 3 figures are used here, because every other year on the Leverage Ratio sheet comes from a Pillar 3 document; the Annual Report figures are recorded here rather than discarded. The leverage RATIO is 4.4% (2018) and 4.5% (2017) in both sources.
FY2017 IS THE ONE YEAR IN THIS RANGE WITH NO KM1 OF ITS OWN. The FY2017 edition publishes OFD2/OFD3, LRSum/LRCom and the full credit-risk template set, but no key-metrics template - its Executive Summary carries a bespoke ten-line 'Key metrics' summary (CET1 £1.9bn, CET1 ratio 20.0%, Total Capital £2.3bn, Total Capital ratio 24.0%, credit-risk EAD, credit/operational RWAs, Basel III leverage 4.5%, UK leverage 5.4%) which carries no Tier 1 row, no SREP rows, no buffer block, no LCR and no NSFR, and so is a different and shorter table rather than an unnumbered template. The KM1 Key Metrics sheet's FY2017 column is therefore filled from the FY2018 edition's own 31-Dec-2017 comparative column, and says so.</t>
        </is>
      </c>
    </row>
  </sheetData>
  <mergeCells count="3">
    <mergeCell ref="A91:J91"/>
    <mergeCell ref="A87:J87"/>
    <mergeCell ref="A89:J89"/>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TSB Bank plc — CET1 Capital</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Common Equity Tier 1 (CET1) capital</t>
        </is>
      </c>
      <c r="B4" s="6" t="n">
        <v>1949276</v>
      </c>
      <c r="C4" s="6" t="n">
        <v>1738133</v>
      </c>
      <c r="D4" s="6" t="n">
        <v>1842646</v>
      </c>
      <c r="E4" s="6" t="n">
        <v>1791545</v>
      </c>
      <c r="F4" s="6" t="n">
        <v>1724002</v>
      </c>
      <c r="G4" s="6" t="n">
        <v>1630434</v>
      </c>
      <c r="H4" s="6" t="n">
        <v>1837943</v>
      </c>
      <c r="I4" s="6" t="n">
        <v>1821180</v>
      </c>
      <c r="J4" s="6" t="n">
        <v>1898142</v>
      </c>
      <c r="K4" s="6" t="n">
        <v>1785437</v>
      </c>
      <c r="L4" s="6" t="n">
        <v>1672458</v>
      </c>
      <c r="M4" s="6" t="n">
        <v>1593000</v>
      </c>
    </row>
    <row r="6" ht="377" customHeight="1">
      <c r="A6" s="8" t="inlineStr">
        <is>
          <t>Sources - TSB Banking Group plc consolidated Pillar 3/capital disclosure basis (see entity note on Cash Flow Statement sheet):
FY2025: TSB Banking Group plc Large Subsidiary Disclosures, as at 31 December 2025, p.6 (Table 1: Key metrics (KM1)) - https://www.tsb.co.uk/content/dam/tsb-public/documents/investors/rns/tsb-large-subsidiary-disclosure-2025.pdf
FY2024: TSB Banking Group plc Large Subsidiary Disclosures, as at 31 December 2024, p.6 (Table 1a: Key metrics (KM1)) - https://www.tsb.co.uk/content/dam/tsb-public/documents/investors/rns/TSB-Large-subsidiary-Disclosure-2024.pdf
FY2023: TSB Banking Group plc Large Subsidiary Disclosures 2023, p.6 (Table 1a: Key metrics (KM1)) - https://www.tsb.co.uk/content/dam/tsb-public/documents/investors/rns/TSB-large-subsidiary-disclosure-2023.pdf
FY2022: TSB Banking Group plc Large Subsidiary Disclosures 2022, p.6 (Table 1a: Key metrics (KM1)) - https://www.tsb.co.uk/content/dam/tsb-public/documents/investors/rns/TSB-Large-subsidiary-Disclosure-2022.pdf
FY2021: TSB Banking Group plc Large Subsidiary Disclosures 2021, pp.5-6 (Table 1: Key metrics (KM1 / IFRS 9-FL); the table BREAKS ACROSS TWO PAGES - capital, ratios, SREP, buffers and leverage on p.5, the LCR and NSFR blocks on p.6 under 'Table 1 ... (continued)') - https://www.tsb.co.uk/content/dam/tsb-public/documents/investors/rns/TSB-Large-Subsidiary-Disclosure-2021.pdf
FY2020: TSB Banking Group plc Significant Subsidiary Disclosures 2020, p.6 (Table 1: Key metrics (KM1 / IFRS 9-FL)) - https://www.tsb.co.uk/content/dam/tsb-public/documents/investors/rns/TSB-Significant-Subsidiary-Disclosure-2020.pdf
FY2019: TSB Banking Group plc Significant Subsidiary Disclosures 2019, p.6 (Table 1: Key metrics (KM1/IFRS 9-FL)) - https://web.archive.org/web/20230807234216id_/https://www.tsb.co.uk/investors/tsb-significant-subsidiary-disclosure-2019.pdf (TSB's own published URL for this document, https://www.tsb.co.uk/investors/tsb-significant-subsidiary-disclosure-2019.pdf, is DEAD as at 2026-09-18 and returns HTTP 404; the Wayback 'id_' snapshot cited here is the working replacement - see the FY2017-FY2019 recovery note below)
FY2018: TSB Banking Group plc Significant Subsidiary Disclosures 2018, p.5 (Table 1: Key metrics (KM1/IFRS 9-FL)) - https://web.archive.org/web/20230807142122id_/https://www.tsb.co.uk/investors/tsb-significant-subsidiary-disclosure.pdf (TSB's own published URL for this document, https://www.tsb.co.uk/investors/tsb-significant-subsidiary-disclosure.pdf, is DEAD as at 2026-09-18 and returns HTTP 404)
FY2017: TSB Banking Group plc Significant Subsidiary Disclosures 2017, p.7 (Table 1: Own Funds (OFD2)), p.11 (Table 5: Total amount of risk weighted assets and minimum own funds requirements) and p.33 (Table 27: LRSum) - this edition publishes no key-metrics template - https://web.archive.org/web/20230807174501id_/https://www.tsb.co.uk/significant-subsidiary-disclosures.pdf (TSB's own published URL for this document, https://www.tsb.co.uk/significant-subsidiary-disclosures.pdf, is DEAD as at 2026-09-18 and returns HTTP 404)
FY2016: TSB Banking Group plc Material Subsidiary Pillar 3 Disclosures 2016, p.4 (Table 1: Own funds) - https://www.tsb.co.uk/content/dam/tsb-public/documents/investors/financial-results-and-reports/2016/tsb-material-subsidiary-2016.pdf
FY2015: TSB Banking Group plc Pillar 3 Disclosures 2015 (cover title 'Significant Subsidiary Disclosures, 31 December 2015'), p.5 (Table 1: Own funds) - https://web.archive.org/web/20221214093332id_/https://www.tsb.co.uk/investors/results-and-reports/TSB-Significant-Subsidiary-Disclosures-2015.pdf (TSB's own published URL for this document is DEAD as at 2026-09-16 and returns HTTP 404; the Wayback 'id_' snapshot cited here is the working replacement - see the dead source URL register below)
FY2014: TSB Banking Group plc Pillar 3 Disclosures 2014, p.17 (Table 6: Own funds) - https://www.tsb.co.uk/content/dam/tsb-public/documents/investors/financial-results-and-reports/2014/TSB-Pillar-3-2014,0.pdf
LATEST-EDITION CHECK, 2026-09-18: TSB's own investor pages (tsb.co.uk/investors/results-reports.html and tsb.co.uk/investors/regulatory-news-service.html, both fetched directly as static HTML with real document hrefs - not Wayback and not the URLs already cited here) list the Large Subsidiary Disclosures for 31 December 2025 as the newest ANNUAL edition and the TSB Bank plc / TSB Banking Group plc Annual Report and Accounts 2025 as the newest annual report. Both are already carried in this workbook, so: checked, none newer. TSB also publishes quarterly Pillar 3 disclosures (the newest listed being Q1 2026 and the Q2 2026 Large Subsidiary Disclosure); they report interim dates rather than a further financial year and are not used here.
FY2017-FY2019 PILLAR 3 RECOVERY AND CORRECTION (2026-09-18). An earlier revision of this workbook stated that TSB published no standalone Pillar 3/Significant Subsidiary Disclosure document for FY2017 and FY2018, and sourced those two years' capital metrics from the TSB Banking Group plc Annual Report's own 'Capital resources' table instead. THAT STATEMENT WAS FALSE and has been withdrawn. TSB Banking Group plc published a Significant Subsidiary Disclosures document for FY2017 (48pp), FY2018 (46pp) and FY2019 (52pp), and each of the three prints a full 'Table 1: Key metrics (KM1 / IFRS 9-FL)'. The FY2019 document had likewise never been used here: FY2019 figures were being taken from the FY2020 edition's comparative column, and now come from FY2019's own edition.
HOW THEY WERE FOUND, AND WHY THE URLS ARE ARCHIVE URLS. None of the three is linked from any page of tsb.co.uk today, and every plausible live path returns HTTP 404 with Content-Type text/html (the investors index, the regulatory-news-service index and the DAM document paths were all checked on 2026-09-18). A Wayback CDX domain sweep of tsb.co.uk filtered on '(pillar|subsidiary)' listed all three in one call. The citations therefore give the 'id_' snapshot form, which returns the original archived bytes rather than the Wayback viewer page, and each was verified on fetch by status, Content-Type and '%PDF' magic bytes. TSB's own dead URLs are recorded above beside each snapshot so the original provenance stays readable.</t>
        </is>
      </c>
    </row>
    <row r="8" ht="338" customHeight="1">
      <c r="A8" s="8" t="inlineStr">
        <is>
          <t>(continued)
WHAT CHANGED IN THE FIGURES, AND WHY. The Annual Report table these years used to be sourced from is captioned 'fully loaded' - it prints TSB's IFRS 9 FULLY-LOADED capital, RWAs and leverage exposure, which is the second line of each pair in the Pillar 3 key-metrics table, not the headline. Every other year on these sheets carries the headline (IFRS 9 transitional) figure, so FY2018 sat on a different basis from its neighbours with nothing saying so. FY2018 now reads CET1/Tier 1 1,821,180 (was 1,805,500, the fully-loaded figure as rounded by the Annual Report to £1,805.5m), total capital 2,205,528 (was 2,196,100), RWAs 9,257,644 (was 9,271,000) and the capital ratios 19.7%/19.7%/23.8% (were 19.5%/19.5%/23.7%) - in every case the transitional figure printed by the FY2018 edition's own Table 1. FY2017 predates IFRS 9, so no transitional/fully-loaded split exists for it and the amounts barely move; they are now exact £'000 figures from the FY2017 edition's own Table 1 (Own Funds, OFD2) rather than the Annual Report's £0.1m roundings: CET1/Tier 1 1,898,142 (was 1,898,100), total capital 2,282,212 (was 2,282,200), RWAs 9,490,710 (was 9,490,700).
THE LEVERAGE EXPOSURE MEASURE MOVES FOR A DIFFERENT REASON, and both printings are real. TSB's Pillar 3 documents print a 31-Dec-2018 leverage exposure of 41,466,642 and a 31-Dec-2017 exposure of 42,626,131 (FY2018 edition Table 1 and Table 26 LRSum; FY2017 edition Table 27 LRSum). The Annual Report's 'Total exposures' line for the same two dates reads 41,445.9m and 42,668.6m, under a 'Total Tier 1 Capital for leverage ratio (fully loaded)' heading. The Pillar 3 figures are used here, because every other year on the Leverage Ratio sheet comes from a Pillar 3 document; the Annual Report figures are recorded here rather than discarded. The leverage RATIO is 4.4% (2018) and 4.5% (2017) in both sources.
FY2017 IS THE ONE YEAR IN THIS RANGE WITH NO KM1 OF ITS OWN. The FY2017 edition publishes OFD2/OFD3, LRSum/LRCom and the full credit-risk template set, but no key-metrics template - its Executive Summary carries a bespoke ten-line 'Key metrics' summary (CET1 £1.9bn, CET1 ratio 20.0%, Total Capital £2.3bn, Total Capital ratio 24.0%, credit-risk EAD, credit/operational RWAs, Basel III leverage 4.5%, UK leverage 5.4%) which carries no Tier 1 row, no SREP rows, no buffer block, no LCR and no NSFR, and so is a different and shorter table rather than an unnumbered template. The KM1 Key Metrics sheet's FY2017 column is therefore filled from the FY2018 edition's own 31-Dec-2017 comparative column, and says so.
DEAD SOURCE URL REGISTER (recorded 2026-09-16, nothing deleted). The FY2015 Significant Subsidiary Disclosures were published at https://www.tsb.co.uk/investors/results-and-reports/TSB-Significant-Subsidiary-Disclosures-2015.pdf and that URL is now DEAD: re-fetched 2026-09-16 it returns HTTP 404 with Content-Type text/html, not a PDF. It is kept on the record here rather than deleted so the provenance of the FY2015 capital figures stays readable now that TSB no longer serves the file. The working replacement, cited above, is the Wayback Machine snapshot https://web.archive.org/web/20221214093332id_/https://www.tsb.co.uk/investors/results-and-reports/TSB-Significant-Subsidiary-Disclosures-2015.pdf - given in the 'id_' form, which returns the original archived bytes rather than the Wayback viewer page. Verified on fetch: begins '%PDF', 440,862 bytes, 37pp. DOCUMENT AND BASIS CONFIRMED BY OPENING IT, NOT INFERRED. Its cover reads 'TSB Banking Group plc / Significant Subsidiary Disclosures / 31 December 2015' and its running header reads 'TSB Banking Group plc Pillar 3 Disclosures 2015' - both titles belong to this one document, which is why it is cited above under the latter name. Its Introduction states verbatim: 'This document presents the Pillar III Significant Subsidiary Disclosures at 31 December 2015 relating to TSB Banking Group plc (TSB Group) as part of the Banco de Sabadell Group (Sabadell). Following TSB Group's acquisition by Sabadell in June 2015, TSB is not required to produce and publish full Pillar III disclosures. TSB Group's risk disclosures are included in Sabadell's consolidated Pillar III disclosures.' This is therefore the significant-subsidiaries annex form: a disclosure naming a specific subsidiary within a foreign parent's consolidation, which under this project's rules IS usable entity data rather than a parent-group figure substituted for the entity. The named subsidiary is TSB Banking GROUP plc (the UK consolidated sub-group inside Sabadell), NOT TSB Bank plc solo - exactly the basis the Pillar 3 sheets are already labelled with ('TSB Banking Group plc consolidated Pillar 3/capital disclosure basis'), and the same basis as the FY2016 Material Subsidiary and FY2019-FY2025 Significant/Large Subsidiary disclosures either side of it, so the series is consistent. See the ENTITY NOTE for why that sub-group basis is treated as the banking entity here (TSB Banking Group plc's only direct subsidiary is TSB Bank plc) and for the genuine entity-basis break at the FY2016/FY2017 boundary. VALIDATION GATE PASSED. The recovered document's own Executive Summary key-metrics table (2015 / 2014 columns) reads: CET1 £1.7bn / £1.6bn, CET1 ratio 17.8% / 23.0%, Total Capital £2.1bn / £2.0bn, Total Capital ratio 21.9% / 28.5%, Total RWAs £9.4bn / £6.9bn. Every one of those reproduces the FY2015 figures already in this workbook (CET1 £1,672,458k, CET1 ratio 17.8%, Total capital £2,055,971k, Total capital ratio 21.9%, Total RWAs £9,402,364k), and its narrative total-assets figure ('TSB Group's total assets grew from £27.2bn to £31.6bn') reproduces the Balance Sheet sheet's FY2015 total assets of £31,618.0m. The replacement document is therefore the same edition the figures were transcribed from, not a restatement. NO figure in this workbook was changed as part of this URL repair. ONE DISCLOSED-BUT-DELIBERATELY-UNUSED FIGURE, recorded so it is not re-chased: the same table also gives a 'Basel III Leverage ratio' of 5.2% (2015) and 5.8% (2014), while the Leverage Ratio sheet leaves FY2015 and FY2014 blank. That blank is deliberate and correct, NOT an unresearched gap. The Leverage Ratio sheet's row is specifically 'Leverage ratio excluding claims on central banks (%)' - the UK exclusion-basis measure used from FY2019 onward - whereas this 2015 document's 5.2% is the original Basel III/CRD IV leverage ratio, whose exposure measure INCLUDES claims on central banks. They are two different series and must never be merged into one row, the same discipline applied to point-in-time vs 12-month-average LCR elsewhere in this project. The 5.2%/5.8% figures are preserved here on the record rather than written into the sheet.</t>
        </is>
      </c>
    </row>
  </sheetData>
  <mergeCells count="2">
    <mergeCell ref="A8:M8"/>
    <mergeCell ref="A6:M6"/>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TSB Bank plc — CET1 Ratio</t>
        </is>
      </c>
    </row>
    <row r="2">
      <c r="A2" s="2" t="inlineStr">
        <is>
          <t>% of RWA</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Common Equity Tier 1 (CET1) ratio</t>
        </is>
      </c>
      <c r="B4" s="6" t="inlineStr">
        <is>
          <t>16.74%</t>
        </is>
      </c>
      <c r="C4" s="6" t="inlineStr">
        <is>
          <t>15.45%</t>
        </is>
      </c>
      <c r="D4" s="6" t="inlineStr">
        <is>
          <t>16.7%</t>
        </is>
      </c>
      <c r="E4" s="6" t="inlineStr">
        <is>
          <t>17.2%</t>
        </is>
      </c>
      <c r="F4" s="6" t="inlineStr">
        <is>
          <t>15.9%</t>
        </is>
      </c>
      <c r="G4" s="6" t="inlineStr">
        <is>
          <t>15.3%</t>
        </is>
      </c>
      <c r="H4" s="6" t="inlineStr">
        <is>
          <t>20.8%</t>
        </is>
      </c>
      <c r="I4" s="6" t="inlineStr">
        <is>
          <t>19.7%</t>
        </is>
      </c>
      <c r="J4" s="6" t="inlineStr">
        <is>
          <t>20.0%</t>
        </is>
      </c>
      <c r="K4" s="6" t="inlineStr">
        <is>
          <t>18.5%</t>
        </is>
      </c>
      <c r="L4" s="6" t="inlineStr">
        <is>
          <t>17.8%</t>
        </is>
      </c>
      <c r="M4" s="6" t="inlineStr">
        <is>
          <t>23.0%</t>
        </is>
      </c>
    </row>
    <row r="6" ht="377" customHeight="1">
      <c r="A6" s="8" t="inlineStr">
        <is>
          <t>Sources - TSB Banking Group plc consolidated Pillar 3/capital disclosure basis (see entity note on Cash Flow Statement sheet):
FY2025: TSB Banking Group plc Large Subsidiary Disclosures, as at 31 December 2025, p.6 (Table 1: Key metrics (KM1)) - https://www.tsb.co.uk/content/dam/tsb-public/documents/investors/rns/tsb-large-subsidiary-disclosure-2025.pdf
FY2024: TSB Banking Group plc Large Subsidiary Disclosures, as at 31 December 2024, p.6 (Table 1a: Key metrics (KM1)) - https://www.tsb.co.uk/content/dam/tsb-public/documents/investors/rns/TSB-Large-subsidiary-Disclosure-2024.pdf
FY2023: TSB Banking Group plc Large Subsidiary Disclosures 2023, p.6 (Table 1a: Key metrics (KM1)) - https://www.tsb.co.uk/content/dam/tsb-public/documents/investors/rns/TSB-large-subsidiary-disclosure-2023.pdf
FY2022: TSB Banking Group plc Large Subsidiary Disclosures 2022, p.6 (Table 1a: Key metrics (KM1)) - https://www.tsb.co.uk/content/dam/tsb-public/documents/investors/rns/TSB-Large-subsidiary-Disclosure-2022.pdf
FY2021: TSB Banking Group plc Large Subsidiary Disclosures 2021, pp.5-6 (Table 1: Key metrics (KM1 / IFRS 9-FL); the table BREAKS ACROSS TWO PAGES - capital, ratios, SREP, buffers and leverage on p.5, the LCR and NSFR blocks on p.6 under 'Table 1 ... (continued)') - https://www.tsb.co.uk/content/dam/tsb-public/documents/investors/rns/TSB-Large-Subsidiary-Disclosure-2021.pdf
FY2020: TSB Banking Group plc Significant Subsidiary Disclosures 2020, p.6 (Table 1: Key metrics (KM1 / IFRS 9-FL)) - https://www.tsb.co.uk/content/dam/tsb-public/documents/investors/rns/TSB-Significant-Subsidiary-Disclosure-2020.pdf
FY2019: TSB Banking Group plc Significant Subsidiary Disclosures 2019, p.6 (Table 1: Key metrics (KM1/IFRS 9-FL)) - https://web.archive.org/web/20230807234216id_/https://www.tsb.co.uk/investors/tsb-significant-subsidiary-disclosure-2019.pdf (TSB's own published URL for this document, https://www.tsb.co.uk/investors/tsb-significant-subsidiary-disclosure-2019.pdf, is DEAD as at 2026-09-18 and returns HTTP 404; the Wayback 'id_' snapshot cited here is the working replacement - see the FY2017-FY2019 recovery note below)
FY2018: TSB Banking Group plc Significant Subsidiary Disclosures 2018, p.5 (Table 1: Key metrics (KM1/IFRS 9-FL)) - https://web.archive.org/web/20230807142122id_/https://www.tsb.co.uk/investors/tsb-significant-subsidiary-disclosure.pdf (TSB's own published URL for this document, https://www.tsb.co.uk/investors/tsb-significant-subsidiary-disclosure.pdf, is DEAD as at 2026-09-18 and returns HTTP 404)
FY2017: TSB Banking Group plc Significant Subsidiary Disclosures 2017, p.7 (Table 1: Own Funds (OFD2)), p.11 (Table 5: Total amount of risk weighted assets and minimum own funds requirements) and p.33 (Table 27: LRSum) - this edition publishes no key-metrics template - https://web.archive.org/web/20230807174501id_/https://www.tsb.co.uk/significant-subsidiary-disclosures.pdf (TSB's own published URL for this document, https://www.tsb.co.uk/significant-subsidiary-disclosures.pdf, is DEAD as at 2026-09-18 and returns HTTP 404)
FY2016: TSB Banking Group plc Material Subsidiary Pillar 3 Disclosures 2016, p.4 (Table 1: Own funds) - https://www.tsb.co.uk/content/dam/tsb-public/documents/investors/financial-results-and-reports/2016/tsb-material-subsidiary-2016.pdf
FY2015: TSB Banking Group plc Pillar 3 Disclosures 2015 (cover title 'Significant Subsidiary Disclosures, 31 December 2015'), p.5 (Table 1: Own funds) - https://web.archive.org/web/20221214093332id_/https://www.tsb.co.uk/investors/results-and-reports/TSB-Significant-Subsidiary-Disclosures-2015.pdf (TSB's own published URL for this document is DEAD as at 2026-09-16 and returns HTTP 404; the Wayback 'id_' snapshot cited here is the working replacement - see the dead source URL register below)
FY2014: TSB Banking Group plc Pillar 3 Disclosures 2014, p.17 (Table 6: Own funds) - https://www.tsb.co.uk/content/dam/tsb-public/documents/investors/financial-results-and-reports/2014/TSB-Pillar-3-2014,0.pdf
LATEST-EDITION CHECK, 2026-09-18: TSB's own investor pages (tsb.co.uk/investors/results-reports.html and tsb.co.uk/investors/regulatory-news-service.html, both fetched directly as static HTML with real document hrefs - not Wayback and not the URLs already cited here) list the Large Subsidiary Disclosures for 31 December 2025 as the newest ANNUAL edition and the TSB Bank plc / TSB Banking Group plc Annual Report and Accounts 2025 as the newest annual report. Both are already carried in this workbook, so: checked, none newer. TSB also publishes quarterly Pillar 3 disclosures (the newest listed being Q1 2026 and the Q2 2026 Large Subsidiary Disclosure); they report interim dates rather than a further financial year and are not used here.
FY2017-FY2019 PILLAR 3 RECOVERY AND CORRECTION (2026-09-18). An earlier revision of this workbook stated that TSB published no standalone Pillar 3/Significant Subsidiary Disclosure document for FY2017 and FY2018, and sourced those two years' capital metrics from the TSB Banking Group plc Annual Report's own 'Capital resources' table instead. THAT STATEMENT WAS FALSE and has been withdrawn. TSB Banking Group plc published a Significant Subsidiary Disclosures document for FY2017 (48pp), FY2018 (46pp) and FY2019 (52pp), and each of the three prints a full 'Table 1: Key metrics (KM1 / IFRS 9-FL)'. The FY2019 document had likewise never been used here: FY2019 figures were being taken from the FY2020 edition's comparative column, and now come from FY2019's own edition.
HOW THEY WERE FOUND, AND WHY THE URLS ARE ARCHIVE URLS. None of the three is linked from any page of tsb.co.uk today, and every plausible live path returns HTTP 404 with Content-Type text/html (the investors index, the regulatory-news-service index and the DAM document paths were all checked on 2026-09-18). A Wayback CDX domain sweep of tsb.co.uk filtered on '(pillar|subsidiary)' listed all three in one call. The citations therefore give the 'id_' snapshot form, which returns the original archived bytes rather than the Wayback viewer page, and each was verified on fetch by status, Content-Type and '%PDF' magic bytes. TSB's own dead URLs are recorded above beside each snapshot so the original provenance stays readable.</t>
        </is>
      </c>
    </row>
    <row r="8" ht="338" customHeight="1">
      <c r="A8" s="8" t="inlineStr">
        <is>
          <t>(continued)
WHAT CHANGED IN THE FIGURES, AND WHY. The Annual Report table these years used to be sourced from is captioned 'fully loaded' - it prints TSB's IFRS 9 FULLY-LOADED capital, RWAs and leverage exposure, which is the second line of each pair in the Pillar 3 key-metrics table, not the headline. Every other year on these sheets carries the headline (IFRS 9 transitional) figure, so FY2018 sat on a different basis from its neighbours with nothing saying so. FY2018 now reads CET1/Tier 1 1,821,180 (was 1,805,500, the fully-loaded figure as rounded by the Annual Report to £1,805.5m), total capital 2,205,528 (was 2,196,100), RWAs 9,257,644 (was 9,271,000) and the capital ratios 19.7%/19.7%/23.8% (were 19.5%/19.5%/23.7%) - in every case the transitional figure printed by the FY2018 edition's own Table 1. FY2017 predates IFRS 9, so no transitional/fully-loaded split exists for it and the amounts barely move; they are now exact £'000 figures from the FY2017 edition's own Table 1 (Own Funds, OFD2) rather than the Annual Report's £0.1m roundings: CET1/Tier 1 1,898,142 (was 1,898,100), total capital 2,282,212 (was 2,282,200), RWAs 9,490,710 (was 9,490,700).
THE LEVERAGE EXPOSURE MEASURE MOVES FOR A DIFFERENT REASON, and both printings are real. TSB's Pillar 3 documents print a 31-Dec-2018 leverage exposure of 41,466,642 and a 31-Dec-2017 exposure of 42,626,131 (FY2018 edition Table 1 and Table 26 LRSum; FY2017 edition Table 27 LRSum). The Annual Report's 'Total exposures' line for the same two dates reads 41,445.9m and 42,668.6m, under a 'Total Tier 1 Capital for leverage ratio (fully loaded)' heading. The Pillar 3 figures are used here, because every other year on the Leverage Ratio sheet comes from a Pillar 3 document; the Annual Report figures are recorded here rather than discarded. The leverage RATIO is 4.4% (2018) and 4.5% (2017) in both sources.
FY2017 IS THE ONE YEAR IN THIS RANGE WITH NO KM1 OF ITS OWN. The FY2017 edition publishes OFD2/OFD3, LRSum/LRCom and the full credit-risk template set, but no key-metrics template - its Executive Summary carries a bespoke ten-line 'Key metrics' summary (CET1 £1.9bn, CET1 ratio 20.0%, Total Capital £2.3bn, Total Capital ratio 24.0%, credit-risk EAD, credit/operational RWAs, Basel III leverage 4.5%, UK leverage 5.4%) which carries no Tier 1 row, no SREP rows, no buffer block, no LCR and no NSFR, and so is a different and shorter table rather than an unnumbered template. The KM1 Key Metrics sheet's FY2017 column is therefore filled from the FY2018 edition's own 31-Dec-2017 comparative column, and says so.
DEAD SOURCE URL REGISTER (recorded 2026-09-16, nothing deleted). The FY2015 Significant Subsidiary Disclosures were published at https://www.tsb.co.uk/investors/results-and-reports/TSB-Significant-Subsidiary-Disclosures-2015.pdf and that URL is now DEAD: re-fetched 2026-09-16 it returns HTTP 404 with Content-Type text/html, not a PDF. It is kept on the record here rather than deleted so the provenance of the FY2015 capital figures stays readable now that TSB no longer serves the file. The working replacement, cited above, is the Wayback Machine snapshot https://web.archive.org/web/20221214093332id_/https://www.tsb.co.uk/investors/results-and-reports/TSB-Significant-Subsidiary-Disclosures-2015.pdf - given in the 'id_' form, which returns the original archived bytes rather than the Wayback viewer page. Verified on fetch: begins '%PDF', 440,862 bytes, 37pp. DOCUMENT AND BASIS CONFIRMED BY OPENING IT, NOT INFERRED. Its cover reads 'TSB Banking Group plc / Significant Subsidiary Disclosures / 31 December 2015' and its running header reads 'TSB Banking Group plc Pillar 3 Disclosures 2015' - both titles belong to this one document, which is why it is cited above under the latter name. Its Introduction states verbatim: 'This document presents the Pillar III Significant Subsidiary Disclosures at 31 December 2015 relating to TSB Banking Group plc (TSB Group) as part of the Banco de Sabadell Group (Sabadell). Following TSB Group's acquisition by Sabadell in June 2015, TSB is not required to produce and publish full Pillar III disclosures. TSB Group's risk disclosures are included in Sabadell's consolidated Pillar III disclosures.' This is therefore the significant-subsidiaries annex form: a disclosure naming a specific subsidiary within a foreign parent's consolidation, which under this project's rules IS usable entity data rather than a parent-group figure substituted for the entity. The named subsidiary is TSB Banking GROUP plc (the UK consolidated sub-group inside Sabadell), NOT TSB Bank plc solo - exactly the basis the Pillar 3 sheets are already labelled with ('TSB Banking Group plc consolidated Pillar 3/capital disclosure basis'), and the same basis as the FY2016 Material Subsidiary and FY2019-FY2025 Significant/Large Subsidiary disclosures either side of it, so the series is consistent. See the ENTITY NOTE for why that sub-group basis is treated as the banking entity here (TSB Banking Group plc's only direct subsidiary is TSB Bank plc) and for the genuine entity-basis break at the FY2016/FY2017 boundary. VALIDATION GATE PASSED. The recovered document's own Executive Summary key-metrics table (2015 / 2014 columns) reads: CET1 £1.7bn / £1.6bn, CET1 ratio 17.8% / 23.0%, Total Capital £2.1bn / £2.0bn, Total Capital ratio 21.9% / 28.5%, Total RWAs £9.4bn / £6.9bn. Every one of those reproduces the FY2015 figures already in this workbook (CET1 £1,672,458k, CET1 ratio 17.8%, Total capital £2,055,971k, Total capital ratio 21.9%, Total RWAs £9,402,364k), and its narrative total-assets figure ('TSB Group's total assets grew from £27.2bn to £31.6bn') reproduces the Balance Sheet sheet's FY2015 total assets of £31,618.0m. The replacement document is therefore the same edition the figures were transcribed from, not a restatement. NO figure in this workbook was changed as part of this URL repair. ONE DISCLOSED-BUT-DELIBERATELY-UNUSED FIGURE, recorded so it is not re-chased: the same table also gives a 'Basel III Leverage ratio' of 5.2% (2015) and 5.8% (2014), while the Leverage Ratio sheet leaves FY2015 and FY2014 blank. That blank is deliberate and correct, NOT an unresearched gap. The Leverage Ratio sheet's row is specifically 'Leverage ratio excluding claims on central banks (%)' - the UK exclusion-basis measure used from FY2019 onward - whereas this 2015 document's 5.2% is the original Basel III/CRD IV leverage ratio, whose exposure measure INCLUDES claims on central banks. They are two different series and must never be merged into one row, the same discipline applied to point-in-time vs 12-month-average LCR elsewhere in this project. The 5.2%/5.8% figures are preserved here on the record rather than written into the sheet.</t>
        </is>
      </c>
    </row>
  </sheetData>
  <mergeCells count="2">
    <mergeCell ref="A8:M8"/>
    <mergeCell ref="A6:M6"/>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9"/>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TSB Bank plc — Tier 1 Capital</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Tier 1 capital</t>
        </is>
      </c>
      <c r="B4" s="6" t="n">
        <v>2198973</v>
      </c>
      <c r="C4" s="6" t="n">
        <v>1987837</v>
      </c>
      <c r="D4" s="6" t="n">
        <v>1842646</v>
      </c>
      <c r="E4" s="6" t="n">
        <v>1791545</v>
      </c>
      <c r="F4" s="6" t="n">
        <v>1724002</v>
      </c>
      <c r="G4" s="6" t="n">
        <v>1630434</v>
      </c>
      <c r="H4" s="6" t="n">
        <v>1837943</v>
      </c>
      <c r="I4" s="6" t="n">
        <v>1821180</v>
      </c>
      <c r="J4" s="6" t="n">
        <v>1898142</v>
      </c>
      <c r="K4" s="6" t="n">
        <v>1785437</v>
      </c>
      <c r="L4" s="6" t="n">
        <v>1672458</v>
      </c>
      <c r="M4" s="6" t="n">
        <v>1593000</v>
      </c>
    </row>
    <row r="5" ht="30" customHeight="1">
      <c r="A5" s="7" t="inlineStr">
        <is>
          <t>Note: Equal to CET1 capital for every year FY2014-FY2023 - TSB held no Additional Tier 1 (AT1) capital until it issued £249.7m of AT1 securities during FY2024 (see the Cash Flow Statement sheet), which is why Tier 1 capital first exceeds CET1 capital from FY2024 onward.</t>
        </is>
      </c>
    </row>
    <row r="7" ht="377" customHeight="1">
      <c r="A7" s="8" t="inlineStr">
        <is>
          <t>Sources - TSB Banking Group plc consolidated Pillar 3/capital disclosure basis (see entity note on Cash Flow Statement sheet):
FY2025: TSB Banking Group plc Large Subsidiary Disclosures, as at 31 December 2025, p.6 (Table 1: Key metrics (KM1)) - https://www.tsb.co.uk/content/dam/tsb-public/documents/investors/rns/tsb-large-subsidiary-disclosure-2025.pdf
FY2024: TSB Banking Group plc Large Subsidiary Disclosures, as at 31 December 2024, p.6 (Table 1a: Key metrics (KM1)) - https://www.tsb.co.uk/content/dam/tsb-public/documents/investors/rns/TSB-Large-subsidiary-Disclosure-2024.pdf
FY2023: TSB Banking Group plc Large Subsidiary Disclosures 2023, p.6 (Table 1a: Key metrics (KM1)) - https://www.tsb.co.uk/content/dam/tsb-public/documents/investors/rns/TSB-large-subsidiary-disclosure-2023.pdf
FY2022: TSB Banking Group plc Large Subsidiary Disclosures 2022, p.6 (Table 1a: Key metrics (KM1)) - https://www.tsb.co.uk/content/dam/tsb-public/documents/investors/rns/TSB-Large-subsidiary-Disclosure-2022.pdf
FY2021: TSB Banking Group plc Large Subsidiary Disclosures 2021, pp.5-6 (Table 1: Key metrics (KM1 / IFRS 9-FL); the table BREAKS ACROSS TWO PAGES - capital, ratios, SREP, buffers and leverage on p.5, the LCR and NSFR blocks on p.6 under 'Table 1 ... (continued)') - https://www.tsb.co.uk/content/dam/tsb-public/documents/investors/rns/TSB-Large-Subsidiary-Disclosure-2021.pdf
FY2020: TSB Banking Group plc Significant Subsidiary Disclosures 2020, p.6 (Table 1: Key metrics (KM1 / IFRS 9-FL)) - https://www.tsb.co.uk/content/dam/tsb-public/documents/investors/rns/TSB-Significant-Subsidiary-Disclosure-2020.pdf
FY2019: TSB Banking Group plc Significant Subsidiary Disclosures 2019, p.6 (Table 1: Key metrics (KM1/IFRS 9-FL)) - https://web.archive.org/web/20230807234216id_/https://www.tsb.co.uk/investors/tsb-significant-subsidiary-disclosure-2019.pdf (TSB's own published URL for this document, https://www.tsb.co.uk/investors/tsb-significant-subsidiary-disclosure-2019.pdf, is DEAD as at 2026-09-18 and returns HTTP 404; the Wayback 'id_' snapshot cited here is the working replacement - see the FY2017-FY2019 recovery note below)
FY2018: TSB Banking Group plc Significant Subsidiary Disclosures 2018, p.5 (Table 1: Key metrics (KM1/IFRS 9-FL)) - https://web.archive.org/web/20230807142122id_/https://www.tsb.co.uk/investors/tsb-significant-subsidiary-disclosure.pdf (TSB's own published URL for this document, https://www.tsb.co.uk/investors/tsb-significant-subsidiary-disclosure.pdf, is DEAD as at 2026-09-18 and returns HTTP 404)
FY2017: TSB Banking Group plc Significant Subsidiary Disclosures 2017, p.7 (Table 1: Own Funds (OFD2)), p.11 (Table 5: Total amount of risk weighted assets and minimum own funds requirements) and p.33 (Table 27: LRSum) - this edition publishes no key-metrics template - https://web.archive.org/web/20230807174501id_/https://www.tsb.co.uk/significant-subsidiary-disclosures.pdf (TSB's own published URL for this document, https://www.tsb.co.uk/significant-subsidiary-disclosures.pdf, is DEAD as at 2026-09-18 and returns HTTP 404)
FY2016: TSB Banking Group plc Material Subsidiary Pillar 3 Disclosures 2016, p.4 (Table 1: Own funds) - https://www.tsb.co.uk/content/dam/tsb-public/documents/investors/financial-results-and-reports/2016/tsb-material-subsidiary-2016.pdf
FY2015: TSB Banking Group plc Pillar 3 Disclosures 2015 (cover title 'Significant Subsidiary Disclosures, 31 December 2015'), p.5 (Table 1: Own funds) - https://web.archive.org/web/20221214093332id_/https://www.tsb.co.uk/investors/results-and-reports/TSB-Significant-Subsidiary-Disclosures-2015.pdf (TSB's own published URL for this document is DEAD as at 2026-09-16 and returns HTTP 404; the Wayback 'id_' snapshot cited here is the working replacement - see the dead source URL register below)
FY2014: TSB Banking Group plc Pillar 3 Disclosures 2014, p.17 (Table 6: Own funds) - https://www.tsb.co.uk/content/dam/tsb-public/documents/investors/financial-results-and-reports/2014/TSB-Pillar-3-2014,0.pdf
LATEST-EDITION CHECK, 2026-09-18: TSB's own investor pages (tsb.co.uk/investors/results-reports.html and tsb.co.uk/investors/regulatory-news-service.html, both fetched directly as static HTML with real document hrefs - not Wayback and not the URLs already cited here) list the Large Subsidiary Disclosures for 31 December 2025 as the newest ANNUAL edition and the TSB Bank plc / TSB Banking Group plc Annual Report and Accounts 2025 as the newest annual report. Both are already carried in this workbook, so: checked, none newer. TSB also publishes quarterly Pillar 3 disclosures (the newest listed being Q1 2026 and the Q2 2026 Large Subsidiary Disclosure); they report interim dates rather than a further financial year and are not used here.
FY2017-FY2019 PILLAR 3 RECOVERY AND CORRECTION (2026-09-18). An earlier revision of this workbook stated that TSB published no standalone Pillar 3/Significant Subsidiary Disclosure document for FY2017 and FY2018, and sourced those two years' capital metrics from the TSB Banking Group plc Annual Report's own 'Capital resources' table instead. THAT STATEMENT WAS FALSE and has been withdrawn. TSB Banking Group plc published a Significant Subsidiary Disclosures document for FY2017 (48pp), FY2018 (46pp) and FY2019 (52pp), and each of the three prints a full 'Table 1: Key metrics (KM1 / IFRS 9-FL)'. The FY2019 document had likewise never been used here: FY2019 figures were being taken from the FY2020 edition's comparative column, and now come from FY2019's own edition.
HOW THEY WERE FOUND, AND WHY THE URLS ARE ARCHIVE URLS. None of the three is linked from any page of tsb.co.uk today, and every plausible live path returns HTTP 404 with Content-Type text/html (the investors index, the regulatory-news-service index and the DAM document paths were all checked on 2026-09-18). A Wayback CDX domain sweep of tsb.co.uk filtered on '(pillar|subsidiary)' listed all three in one call. The citations therefore give the 'id_' snapshot form, which returns the original archived bytes rather than the Wayback viewer page, and each was verified on fetch by status, Content-Type and '%PDF' magic bytes. TSB's own dead URLs are recorded above beside each snapshot so the original provenance stays readable.</t>
        </is>
      </c>
    </row>
    <row r="9" ht="338" customHeight="1">
      <c r="A9" s="8" t="inlineStr">
        <is>
          <t>(continued)
WHAT CHANGED IN THE FIGURES, AND WHY. The Annual Report table these years used to be sourced from is captioned 'fully loaded' - it prints TSB's IFRS 9 FULLY-LOADED capital, RWAs and leverage exposure, which is the second line of each pair in the Pillar 3 key-metrics table, not the headline. Every other year on these sheets carries the headline (IFRS 9 transitional) figure, so FY2018 sat on a different basis from its neighbours with nothing saying so. FY2018 now reads CET1/Tier 1 1,821,180 (was 1,805,500, the fully-loaded figure as rounded by the Annual Report to £1,805.5m), total capital 2,205,528 (was 2,196,100), RWAs 9,257,644 (was 9,271,000) and the capital ratios 19.7%/19.7%/23.8% (were 19.5%/19.5%/23.7%) - in every case the transitional figure printed by the FY2018 edition's own Table 1. FY2017 predates IFRS 9, so no transitional/fully-loaded split exists for it and the amounts barely move; they are now exact £'000 figures from the FY2017 edition's own Table 1 (Own Funds, OFD2) rather than the Annual Report's £0.1m roundings: CET1/Tier 1 1,898,142 (was 1,898,100), total capital 2,282,212 (was 2,282,200), RWAs 9,490,710 (was 9,490,700).
THE LEVERAGE EXPOSURE MEASURE MOVES FOR A DIFFERENT REASON, and both printings are real. TSB's Pillar 3 documents print a 31-Dec-2018 leverage exposure of 41,466,642 and a 31-Dec-2017 exposure of 42,626,131 (FY2018 edition Table 1 and Table 26 LRSum; FY2017 edition Table 27 LRSum). The Annual Report's 'Total exposures' line for the same two dates reads 41,445.9m and 42,668.6m, under a 'Total Tier 1 Capital for leverage ratio (fully loaded)' heading. The Pillar 3 figures are used here, because every other year on the Leverage Ratio sheet comes from a Pillar 3 document; the Annual Report figures are recorded here rather than discarded. The leverage RATIO is 4.4% (2018) and 4.5% (2017) in both sources.
FY2017 IS THE ONE YEAR IN THIS RANGE WITH NO KM1 OF ITS OWN. The FY2017 edition publishes OFD2/OFD3, LRSum/LRCom and the full credit-risk template set, but no key-metrics template - its Executive Summary carries a bespoke ten-line 'Key metrics' summary (CET1 £1.9bn, CET1 ratio 20.0%, Total Capital £2.3bn, Total Capital ratio 24.0%, credit-risk EAD, credit/operational RWAs, Basel III leverage 4.5%, UK leverage 5.4%) which carries no Tier 1 row, no SREP rows, no buffer block, no LCR and no NSFR, and so is a different and shorter table rather than an unnumbered template. The KM1 Key Metrics sheet's FY2017 column is therefore filled from the FY2018 edition's own 31-Dec-2017 comparative column, and says so.
DEAD SOURCE URL REGISTER (recorded 2026-09-16, nothing deleted). The FY2015 Significant Subsidiary Disclosures were published at https://www.tsb.co.uk/investors/results-and-reports/TSB-Significant-Subsidiary-Disclosures-2015.pdf and that URL is now DEAD: re-fetched 2026-09-16 it returns HTTP 404 with Content-Type text/html, not a PDF. It is kept on the record here rather than deleted so the provenance of the FY2015 capital figures stays readable now that TSB no longer serves the file. The working replacement, cited above, is the Wayback Machine snapshot https://web.archive.org/web/20221214093332id_/https://www.tsb.co.uk/investors/results-and-reports/TSB-Significant-Subsidiary-Disclosures-2015.pdf - given in the 'id_' form, which returns the original archived bytes rather than the Wayback viewer page. Verified on fetch: begins '%PDF', 440,862 bytes, 37pp. DOCUMENT AND BASIS CONFIRMED BY OPENING IT, NOT INFERRED. Its cover reads 'TSB Banking Group plc / Significant Subsidiary Disclosures / 31 December 2015' and its running header reads 'TSB Banking Group plc Pillar 3 Disclosures 2015' - both titles belong to this one document, which is why it is cited above under the latter name. Its Introduction states verbatim: 'This document presents the Pillar III Significant Subsidiary Disclosures at 31 December 2015 relating to TSB Banking Group plc (TSB Group) as part of the Banco de Sabadell Group (Sabadell). Following TSB Group's acquisition by Sabadell in June 2015, TSB is not required to produce and publish full Pillar III disclosures. TSB Group's risk disclosures are included in Sabadell's consolidated Pillar III disclosures.' This is therefore the significant-subsidiaries annex form: a disclosure naming a specific subsidiary within a foreign parent's consolidation, which under this project's rules IS usable entity data rather than a parent-group figure substituted for the entity. The named subsidiary is TSB Banking GROUP plc (the UK consolidated sub-group inside Sabadell), NOT TSB Bank plc solo - exactly the basis the Pillar 3 sheets are already labelled with ('TSB Banking Group plc consolidated Pillar 3/capital disclosure basis'), and the same basis as the FY2016 Material Subsidiary and FY2019-FY2025 Significant/Large Subsidiary disclosures either side of it, so the series is consistent. See the ENTITY NOTE for why that sub-group basis is treated as the banking entity here (TSB Banking Group plc's only direct subsidiary is TSB Bank plc) and for the genuine entity-basis break at the FY2016/FY2017 boundary. VALIDATION GATE PASSED. The recovered document's own Executive Summary key-metrics table (2015 / 2014 columns) reads: CET1 £1.7bn / £1.6bn, CET1 ratio 17.8% / 23.0%, Total Capital £2.1bn / £2.0bn, Total Capital ratio 21.9% / 28.5%, Total RWAs £9.4bn / £6.9bn. Every one of those reproduces the FY2015 figures already in this workbook (CET1 £1,672,458k, CET1 ratio 17.8%, Total capital £2,055,971k, Total capital ratio 21.9%, Total RWAs £9,402,364k), and its narrative total-assets figure ('TSB Group's total assets grew from £27.2bn to £31.6bn') reproduces the Balance Sheet sheet's FY2015 total assets of £31,618.0m. The replacement document is therefore the same edition the figures were transcribed from, not a restatement. NO figure in this workbook was changed as part of this URL repair. ONE DISCLOSED-BUT-DELIBERATELY-UNUSED FIGURE, recorded so it is not re-chased: the same table also gives a 'Basel III Leverage ratio' of 5.2% (2015) and 5.8% (2014), while the Leverage Ratio sheet leaves FY2015 and FY2014 blank. That blank is deliberate and correct, NOT an unresearched gap. The Leverage Ratio sheet's row is specifically 'Leverage ratio excluding claims on central banks (%)' - the UK exclusion-basis measure used from FY2019 onward - whereas this 2015 document's 5.2% is the original Basel III/CRD IV leverage ratio, whose exposure measure INCLUDES claims on central banks. They are two different series and must never be merged into one row, the same discipline applied to point-in-time vs 12-month-average LCR elsewhere in this project. The 5.2%/5.8% figures are preserved here on the record rather than written into the sheet.</t>
        </is>
      </c>
    </row>
  </sheetData>
  <mergeCells count="3">
    <mergeCell ref="A9:M9"/>
    <mergeCell ref="A5:M5"/>
    <mergeCell ref="A7:M7"/>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TSB Bank plc — Tier 1 Ratio</t>
        </is>
      </c>
    </row>
    <row r="2">
      <c r="A2" s="2" t="inlineStr">
        <is>
          <t>% of RWA</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Tier 1 ratio</t>
        </is>
      </c>
      <c r="B4" s="6" t="inlineStr">
        <is>
          <t>18.88%</t>
        </is>
      </c>
      <c r="C4" s="6" t="inlineStr">
        <is>
          <t>17.67%</t>
        </is>
      </c>
      <c r="D4" s="6" t="inlineStr">
        <is>
          <t>16.7%</t>
        </is>
      </c>
      <c r="E4" s="6" t="inlineStr">
        <is>
          <t>17.2%</t>
        </is>
      </c>
      <c r="F4" s="6" t="inlineStr">
        <is>
          <t>15.9%</t>
        </is>
      </c>
      <c r="G4" s="6" t="inlineStr">
        <is>
          <t>15.3%</t>
        </is>
      </c>
      <c r="H4" s="6" t="inlineStr">
        <is>
          <t>20.8%</t>
        </is>
      </c>
      <c r="I4" s="6" t="inlineStr">
        <is>
          <t>19.7%</t>
        </is>
      </c>
      <c r="J4" s="6" t="inlineStr">
        <is>
          <t>20.0%</t>
        </is>
      </c>
      <c r="K4" s="6" t="inlineStr">
        <is>
          <t>18.5%</t>
        </is>
      </c>
      <c r="L4" s="6" t="inlineStr">
        <is>
          <t>17.8%</t>
        </is>
      </c>
      <c r="M4" s="6" t="inlineStr">
        <is>
          <t>23.0%</t>
        </is>
      </c>
    </row>
    <row r="6" ht="377" customHeight="1">
      <c r="A6" s="8" t="inlineStr">
        <is>
          <t>Sources - TSB Banking Group plc consolidated Pillar 3/capital disclosure basis (see entity note on Cash Flow Statement sheet):
FY2025: TSB Banking Group plc Large Subsidiary Disclosures, as at 31 December 2025, p.6 (Table 1: Key metrics (KM1)) - https://www.tsb.co.uk/content/dam/tsb-public/documents/investors/rns/tsb-large-subsidiary-disclosure-2025.pdf
FY2024: TSB Banking Group plc Large Subsidiary Disclosures, as at 31 December 2024, p.6 (Table 1a: Key metrics (KM1)) - https://www.tsb.co.uk/content/dam/tsb-public/documents/investors/rns/TSB-Large-subsidiary-Disclosure-2024.pdf
FY2023: TSB Banking Group plc Large Subsidiary Disclosures 2023, p.6 (Table 1a: Key metrics (KM1)) - https://www.tsb.co.uk/content/dam/tsb-public/documents/investors/rns/TSB-large-subsidiary-disclosure-2023.pdf
FY2022: TSB Banking Group plc Large Subsidiary Disclosures 2022, p.6 (Table 1a: Key metrics (KM1)) - https://www.tsb.co.uk/content/dam/tsb-public/documents/investors/rns/TSB-Large-subsidiary-Disclosure-2022.pdf
FY2021: TSB Banking Group plc Large Subsidiary Disclosures 2021, pp.5-6 (Table 1: Key metrics (KM1 / IFRS 9-FL); the table BREAKS ACROSS TWO PAGES - capital, ratios, SREP, buffers and leverage on p.5, the LCR and NSFR blocks on p.6 under 'Table 1 ... (continued)') - https://www.tsb.co.uk/content/dam/tsb-public/documents/investors/rns/TSB-Large-Subsidiary-Disclosure-2021.pdf
FY2020: TSB Banking Group plc Significant Subsidiary Disclosures 2020, p.6 (Table 1: Key metrics (KM1 / IFRS 9-FL)) - https://www.tsb.co.uk/content/dam/tsb-public/documents/investors/rns/TSB-Significant-Subsidiary-Disclosure-2020.pdf
FY2019: TSB Banking Group plc Significant Subsidiary Disclosures 2019, p.6 (Table 1: Key metrics (KM1/IFRS 9-FL)) - https://web.archive.org/web/20230807234216id_/https://www.tsb.co.uk/investors/tsb-significant-subsidiary-disclosure-2019.pdf (TSB's own published URL for this document, https://www.tsb.co.uk/investors/tsb-significant-subsidiary-disclosure-2019.pdf, is DEAD as at 2026-09-18 and returns HTTP 404; the Wayback 'id_' snapshot cited here is the working replacement - see the FY2017-FY2019 recovery note below)
FY2018: TSB Banking Group plc Significant Subsidiary Disclosures 2018, p.5 (Table 1: Key metrics (KM1/IFRS 9-FL)) - https://web.archive.org/web/20230807142122id_/https://www.tsb.co.uk/investors/tsb-significant-subsidiary-disclosure.pdf (TSB's own published URL for this document, https://www.tsb.co.uk/investors/tsb-significant-subsidiary-disclosure.pdf, is DEAD as at 2026-09-18 and returns HTTP 404)
FY2017: TSB Banking Group plc Significant Subsidiary Disclosures 2017, p.7 (Table 1: Own Funds (OFD2)), p.11 (Table 5: Total amount of risk weighted assets and minimum own funds requirements) and p.33 (Table 27: LRSum) - this edition publishes no key-metrics template - https://web.archive.org/web/20230807174501id_/https://www.tsb.co.uk/significant-subsidiary-disclosures.pdf (TSB's own published URL for this document, https://www.tsb.co.uk/significant-subsidiary-disclosures.pdf, is DEAD as at 2026-09-18 and returns HTTP 404)
FY2016: TSB Banking Group plc Material Subsidiary Pillar 3 Disclosures 2016, p.4 (Table 1: Own funds) - https://www.tsb.co.uk/content/dam/tsb-public/documents/investors/financial-results-and-reports/2016/tsb-material-subsidiary-2016.pdf
FY2015: TSB Banking Group plc Pillar 3 Disclosures 2015 (cover title 'Significant Subsidiary Disclosures, 31 December 2015'), p.5 (Table 1: Own funds) - https://web.archive.org/web/20221214093332id_/https://www.tsb.co.uk/investors/results-and-reports/TSB-Significant-Subsidiary-Disclosures-2015.pdf (TSB's own published URL for this document is DEAD as at 2026-09-16 and returns HTTP 404; the Wayback 'id_' snapshot cited here is the working replacement - see the dead source URL register below)
FY2014: TSB Banking Group plc Pillar 3 Disclosures 2014, p.17 (Table 6: Own funds) - https://www.tsb.co.uk/content/dam/tsb-public/documents/investors/financial-results-and-reports/2014/TSB-Pillar-3-2014,0.pdf
LATEST-EDITION CHECK, 2026-09-18: TSB's own investor pages (tsb.co.uk/investors/results-reports.html and tsb.co.uk/investors/regulatory-news-service.html, both fetched directly as static HTML with real document hrefs - not Wayback and not the URLs already cited here) list the Large Subsidiary Disclosures for 31 December 2025 as the newest ANNUAL edition and the TSB Bank plc / TSB Banking Group plc Annual Report and Accounts 2025 as the newest annual report. Both are already carried in this workbook, so: checked, none newer. TSB also publishes quarterly Pillar 3 disclosures (the newest listed being Q1 2026 and the Q2 2026 Large Subsidiary Disclosure); they report interim dates rather than a further financial year and are not used here.
FY2017-FY2019 PILLAR 3 RECOVERY AND CORRECTION (2026-09-18). An earlier revision of this workbook stated that TSB published no standalone Pillar 3/Significant Subsidiary Disclosure document for FY2017 and FY2018, and sourced those two years' capital metrics from the TSB Banking Group plc Annual Report's own 'Capital resources' table instead. THAT STATEMENT WAS FALSE and has been withdrawn. TSB Banking Group plc published a Significant Subsidiary Disclosures document for FY2017 (48pp), FY2018 (46pp) and FY2019 (52pp), and each of the three prints a full 'Table 1: Key metrics (KM1 / IFRS 9-FL)'. The FY2019 document had likewise never been used here: FY2019 figures were being taken from the FY2020 edition's comparative column, and now come from FY2019's own edition.
HOW THEY WERE FOUND, AND WHY THE URLS ARE ARCHIVE URLS. None of the three is linked from any page of tsb.co.uk today, and every plausible live path returns HTTP 404 with Content-Type text/html (the investors index, the regulatory-news-service index and the DAM document paths were all checked on 2026-09-18). A Wayback CDX domain sweep of tsb.co.uk filtered on '(pillar|subsidiary)' listed all three in one call. The citations therefore give the 'id_' snapshot form, which returns the original archived bytes rather than the Wayback viewer page, and each was verified on fetch by status, Content-Type and '%PDF' magic bytes. TSB's own dead URLs are recorded above beside each snapshot so the original provenance stays readable.</t>
        </is>
      </c>
    </row>
    <row r="8" ht="338" customHeight="1">
      <c r="A8" s="8" t="inlineStr">
        <is>
          <t>(continued)
WHAT CHANGED IN THE FIGURES, AND WHY. The Annual Report table these years used to be sourced from is captioned 'fully loaded' - it prints TSB's IFRS 9 FULLY-LOADED capital, RWAs and leverage exposure, which is the second line of each pair in the Pillar 3 key-metrics table, not the headline. Every other year on these sheets carries the headline (IFRS 9 transitional) figure, so FY2018 sat on a different basis from its neighbours with nothing saying so. FY2018 now reads CET1/Tier 1 1,821,180 (was 1,805,500, the fully-loaded figure as rounded by the Annual Report to £1,805.5m), total capital 2,205,528 (was 2,196,100), RWAs 9,257,644 (was 9,271,000) and the capital ratios 19.7%/19.7%/23.8% (were 19.5%/19.5%/23.7%) - in every case the transitional figure printed by the FY2018 edition's own Table 1. FY2017 predates IFRS 9, so no transitional/fully-loaded split exists for it and the amounts barely move; they are now exact £'000 figures from the FY2017 edition's own Table 1 (Own Funds, OFD2) rather than the Annual Report's £0.1m roundings: CET1/Tier 1 1,898,142 (was 1,898,100), total capital 2,282,212 (was 2,282,200), RWAs 9,490,710 (was 9,490,700).
THE LEVERAGE EXPOSURE MEASURE MOVES FOR A DIFFERENT REASON, and both printings are real. TSB's Pillar 3 documents print a 31-Dec-2018 leverage exposure of 41,466,642 and a 31-Dec-2017 exposure of 42,626,131 (FY2018 edition Table 1 and Table 26 LRSum; FY2017 edition Table 27 LRSum). The Annual Report's 'Total exposures' line for the same two dates reads 41,445.9m and 42,668.6m, under a 'Total Tier 1 Capital for leverage ratio (fully loaded)' heading. The Pillar 3 figures are used here, because every other year on the Leverage Ratio sheet comes from a Pillar 3 document; the Annual Report figures are recorded here rather than discarded. The leverage RATIO is 4.4% (2018) and 4.5% (2017) in both sources.
FY2017 IS THE ONE YEAR IN THIS RANGE WITH NO KM1 OF ITS OWN. The FY2017 edition publishes OFD2/OFD3, LRSum/LRCom and the full credit-risk template set, but no key-metrics template - its Executive Summary carries a bespoke ten-line 'Key metrics' summary (CET1 £1.9bn, CET1 ratio 20.0%, Total Capital £2.3bn, Total Capital ratio 24.0%, credit-risk EAD, credit/operational RWAs, Basel III leverage 4.5%, UK leverage 5.4%) which carries no Tier 1 row, no SREP rows, no buffer block, no LCR and no NSFR, and so is a different and shorter table rather than an unnumbered template. The KM1 Key Metrics sheet's FY2017 column is therefore filled from the FY2018 edition's own 31-Dec-2017 comparative column, and says so.
DEAD SOURCE URL REGISTER (recorded 2026-09-16, nothing deleted). The FY2015 Significant Subsidiary Disclosures were published at https://www.tsb.co.uk/investors/results-and-reports/TSB-Significant-Subsidiary-Disclosures-2015.pdf and that URL is now DEAD: re-fetched 2026-09-16 it returns HTTP 404 with Content-Type text/html, not a PDF. It is kept on the record here rather than deleted so the provenance of the FY2015 capital figures stays readable now that TSB no longer serves the file. The working replacement, cited above, is the Wayback Machine snapshot https://web.archive.org/web/20221214093332id_/https://www.tsb.co.uk/investors/results-and-reports/TSB-Significant-Subsidiary-Disclosures-2015.pdf - given in the 'id_' form, which returns the original archived bytes rather than the Wayback viewer page. Verified on fetch: begins '%PDF', 440,862 bytes, 37pp. DOCUMENT AND BASIS CONFIRMED BY OPENING IT, NOT INFERRED. Its cover reads 'TSB Banking Group plc / Significant Subsidiary Disclosures / 31 December 2015' and its running header reads 'TSB Banking Group plc Pillar 3 Disclosures 2015' - both titles belong to this one document, which is why it is cited above under the latter name. Its Introduction states verbatim: 'This document presents the Pillar III Significant Subsidiary Disclosures at 31 December 2015 relating to TSB Banking Group plc (TSB Group) as part of the Banco de Sabadell Group (Sabadell). Following TSB Group's acquisition by Sabadell in June 2015, TSB is not required to produce and publish full Pillar III disclosures. TSB Group's risk disclosures are included in Sabadell's consolidated Pillar III disclosures.' This is therefore the significant-subsidiaries annex form: a disclosure naming a specific subsidiary within a foreign parent's consolidation, which under this project's rules IS usable entity data rather than a parent-group figure substituted for the entity. The named subsidiary is TSB Banking GROUP plc (the UK consolidated sub-group inside Sabadell), NOT TSB Bank plc solo - exactly the basis the Pillar 3 sheets are already labelled with ('TSB Banking Group plc consolidated Pillar 3/capital disclosure basis'), and the same basis as the FY2016 Material Subsidiary and FY2019-FY2025 Significant/Large Subsidiary disclosures either side of it, so the series is consistent. See the ENTITY NOTE for why that sub-group basis is treated as the banking entity here (TSB Banking Group plc's only direct subsidiary is TSB Bank plc) and for the genuine entity-basis break at the FY2016/FY2017 boundary. VALIDATION GATE PASSED. The recovered document's own Executive Summary key-metrics table (2015 / 2014 columns) reads: CET1 £1.7bn / £1.6bn, CET1 ratio 17.8% / 23.0%, Total Capital £2.1bn / £2.0bn, Total Capital ratio 21.9% / 28.5%, Total RWAs £9.4bn / £6.9bn. Every one of those reproduces the FY2015 figures already in this workbook (CET1 £1,672,458k, CET1 ratio 17.8%, Total capital £2,055,971k, Total capital ratio 21.9%, Total RWAs £9,402,364k), and its narrative total-assets figure ('TSB Group's total assets grew from £27.2bn to £31.6bn') reproduces the Balance Sheet sheet's FY2015 total assets of £31,618.0m. The replacement document is therefore the same edition the figures were transcribed from, not a restatement. NO figure in this workbook was changed as part of this URL repair. ONE DISCLOSED-BUT-DELIBERATELY-UNUSED FIGURE, recorded so it is not re-chased: the same table also gives a 'Basel III Leverage ratio' of 5.2% (2015) and 5.8% (2014), while the Leverage Ratio sheet leaves FY2015 and FY2014 blank. That blank is deliberate and correct, NOT an unresearched gap. The Leverage Ratio sheet's row is specifically 'Leverage ratio excluding claims on central banks (%)' - the UK exclusion-basis measure used from FY2019 onward - whereas this 2015 document's 5.2% is the original Basel III/CRD IV leverage ratio, whose exposure measure INCLUDES claims on central banks. They are two different series and must never be merged into one row, the same discipline applied to point-in-time vs 12-month-average LCR elsewhere in this project. The 5.2%/5.8% figures are preserved here on the record rather than written into the sheet.</t>
        </is>
      </c>
    </row>
  </sheetData>
  <mergeCells count="2">
    <mergeCell ref="A8:M8"/>
    <mergeCell ref="A6:M6"/>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TSB Bank plc — Total Capital</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Total capital</t>
        </is>
      </c>
      <c r="B4" s="6" t="n">
        <v>2498973</v>
      </c>
      <c r="C4" s="6" t="n">
        <v>2287837</v>
      </c>
      <c r="D4" s="6" t="n">
        <v>2167829</v>
      </c>
      <c r="E4" s="6" t="n">
        <v>2109761</v>
      </c>
      <c r="F4" s="6" t="n">
        <v>2024002</v>
      </c>
      <c r="G4" s="6" t="n">
        <v>2015339</v>
      </c>
      <c r="H4" s="6" t="n">
        <v>2222569</v>
      </c>
      <c r="I4" s="6" t="n">
        <v>2205528</v>
      </c>
      <c r="J4" s="6" t="n">
        <v>2282212</v>
      </c>
      <c r="K4" s="6" t="n">
        <v>2169371</v>
      </c>
      <c r="L4" s="6" t="n">
        <v>2055971</v>
      </c>
      <c r="M4" s="6" t="n">
        <v>1977300</v>
      </c>
    </row>
    <row r="6" ht="377" customHeight="1">
      <c r="A6" s="8" t="inlineStr">
        <is>
          <t>Sources - TSB Banking Group plc consolidated Pillar 3/capital disclosure basis (see entity note on Cash Flow Statement sheet):
FY2025: TSB Banking Group plc Large Subsidiary Disclosures, as at 31 December 2025, p.6 (Table 1: Key metrics (KM1)) - https://www.tsb.co.uk/content/dam/tsb-public/documents/investors/rns/tsb-large-subsidiary-disclosure-2025.pdf
FY2024: TSB Banking Group plc Large Subsidiary Disclosures, as at 31 December 2024, p.6 (Table 1a: Key metrics (KM1)) - https://www.tsb.co.uk/content/dam/tsb-public/documents/investors/rns/TSB-Large-subsidiary-Disclosure-2024.pdf
FY2023: TSB Banking Group plc Large Subsidiary Disclosures 2023, p.6 (Table 1a: Key metrics (KM1)) - https://www.tsb.co.uk/content/dam/tsb-public/documents/investors/rns/TSB-large-subsidiary-disclosure-2023.pdf
FY2022: TSB Banking Group plc Large Subsidiary Disclosures 2022, p.6 (Table 1a: Key metrics (KM1)) - https://www.tsb.co.uk/content/dam/tsb-public/documents/investors/rns/TSB-Large-subsidiary-Disclosure-2022.pdf
FY2021: TSB Banking Group plc Large Subsidiary Disclosures 2021, pp.5-6 (Table 1: Key metrics (KM1 / IFRS 9-FL); the table BREAKS ACROSS TWO PAGES - capital, ratios, SREP, buffers and leverage on p.5, the LCR and NSFR blocks on p.6 under 'Table 1 ... (continued)') - https://www.tsb.co.uk/content/dam/tsb-public/documents/investors/rns/TSB-Large-Subsidiary-Disclosure-2021.pdf
FY2020: TSB Banking Group plc Significant Subsidiary Disclosures 2020, p.6 (Table 1: Key metrics (KM1 / IFRS 9-FL)) - https://www.tsb.co.uk/content/dam/tsb-public/documents/investors/rns/TSB-Significant-Subsidiary-Disclosure-2020.pdf
FY2019: TSB Banking Group plc Significant Subsidiary Disclosures 2019, p.6 (Table 1: Key metrics (KM1/IFRS 9-FL)) - https://web.archive.org/web/20230807234216id_/https://www.tsb.co.uk/investors/tsb-significant-subsidiary-disclosure-2019.pdf (TSB's own published URL for this document, https://www.tsb.co.uk/investors/tsb-significant-subsidiary-disclosure-2019.pdf, is DEAD as at 2026-09-18 and returns HTTP 404; the Wayback 'id_' snapshot cited here is the working replacement - see the FY2017-FY2019 recovery note below)
FY2018: TSB Banking Group plc Significant Subsidiary Disclosures 2018, p.5 (Table 1: Key metrics (KM1/IFRS 9-FL)) - https://web.archive.org/web/20230807142122id_/https://www.tsb.co.uk/investors/tsb-significant-subsidiary-disclosure.pdf (TSB's own published URL for this document, https://www.tsb.co.uk/investors/tsb-significant-subsidiary-disclosure.pdf, is DEAD as at 2026-09-18 and returns HTTP 404)
FY2017: TSB Banking Group plc Significant Subsidiary Disclosures 2017, p.7 (Table 1: Own Funds (OFD2)), p.11 (Table 5: Total amount of risk weighted assets and minimum own funds requirements) and p.33 (Table 27: LRSum) - this edition publishes no key-metrics template - https://web.archive.org/web/20230807174501id_/https://www.tsb.co.uk/significant-subsidiary-disclosures.pdf (TSB's own published URL for this document, https://www.tsb.co.uk/significant-subsidiary-disclosures.pdf, is DEAD as at 2026-09-18 and returns HTTP 404)
FY2016: TSB Banking Group plc Material Subsidiary Pillar 3 Disclosures 2016, p.4 (Table 1: Own funds) - https://www.tsb.co.uk/content/dam/tsb-public/documents/investors/financial-results-and-reports/2016/tsb-material-subsidiary-2016.pdf
FY2015: TSB Banking Group plc Pillar 3 Disclosures 2015 (cover title 'Significant Subsidiary Disclosures, 31 December 2015'), p.5 (Table 1: Own funds) - https://web.archive.org/web/20221214093332id_/https://www.tsb.co.uk/investors/results-and-reports/TSB-Significant-Subsidiary-Disclosures-2015.pdf (TSB's own published URL for this document is DEAD as at 2026-09-16 and returns HTTP 404; the Wayback 'id_' snapshot cited here is the working replacement - see the dead source URL register below)
FY2014: TSB Banking Group plc Pillar 3 Disclosures 2014, p.17 (Table 6: Own funds) - https://www.tsb.co.uk/content/dam/tsb-public/documents/investors/financial-results-and-reports/2014/TSB-Pillar-3-2014,0.pdf
LATEST-EDITION CHECK, 2026-09-18: TSB's own investor pages (tsb.co.uk/investors/results-reports.html and tsb.co.uk/investors/regulatory-news-service.html, both fetched directly as static HTML with real document hrefs - not Wayback and not the URLs already cited here) list the Large Subsidiary Disclosures for 31 December 2025 as the newest ANNUAL edition and the TSB Bank plc / TSB Banking Group plc Annual Report and Accounts 2025 as the newest annual report. Both are already carried in this workbook, so: checked, none newer. TSB also publishes quarterly Pillar 3 disclosures (the newest listed being Q1 2026 and the Q2 2026 Large Subsidiary Disclosure); they report interim dates rather than a further financial year and are not used here.
FY2017-FY2019 PILLAR 3 RECOVERY AND CORRECTION (2026-09-18). An earlier revision of this workbook stated that TSB published no standalone Pillar 3/Significant Subsidiary Disclosure document for FY2017 and FY2018, and sourced those two years' capital metrics from the TSB Banking Group plc Annual Report's own 'Capital resources' table instead. THAT STATEMENT WAS FALSE and has been withdrawn. TSB Banking Group plc published a Significant Subsidiary Disclosures document for FY2017 (48pp), FY2018 (46pp) and FY2019 (52pp), and each of the three prints a full 'Table 1: Key metrics (KM1 / IFRS 9-FL)'. The FY2019 document had likewise never been used here: FY2019 figures were being taken from the FY2020 edition's comparative column, and now come from FY2019's own edition.
HOW THEY WERE FOUND, AND WHY THE URLS ARE ARCHIVE URLS. None of the three is linked from any page of tsb.co.uk today, and every plausible live path returns HTTP 404 with Content-Type text/html (the investors index, the regulatory-news-service index and the DAM document paths were all checked on 2026-09-18). A Wayback CDX domain sweep of tsb.co.uk filtered on '(pillar|subsidiary)' listed all three in one call. The citations therefore give the 'id_' snapshot form, which returns the original archived bytes rather than the Wayback viewer page, and each was verified on fetch by status, Content-Type and '%PDF' magic bytes. TSB's own dead URLs are recorded above beside each snapshot so the original provenance stays readable.</t>
        </is>
      </c>
    </row>
    <row r="8" ht="338" customHeight="1">
      <c r="A8" s="8" t="inlineStr">
        <is>
          <t>(continued)
WHAT CHANGED IN THE FIGURES, AND WHY. The Annual Report table these years used to be sourced from is captioned 'fully loaded' - it prints TSB's IFRS 9 FULLY-LOADED capital, RWAs and leverage exposure, which is the second line of each pair in the Pillar 3 key-metrics table, not the headline. Every other year on these sheets carries the headline (IFRS 9 transitional) figure, so FY2018 sat on a different basis from its neighbours with nothing saying so. FY2018 now reads CET1/Tier 1 1,821,180 (was 1,805,500, the fully-loaded figure as rounded by the Annual Report to £1,805.5m), total capital 2,205,528 (was 2,196,100), RWAs 9,257,644 (was 9,271,000) and the capital ratios 19.7%/19.7%/23.8% (were 19.5%/19.5%/23.7%) - in every case the transitional figure printed by the FY2018 edition's own Table 1. FY2017 predates IFRS 9, so no transitional/fully-loaded split exists for it and the amounts barely move; they are now exact £'000 figures from the FY2017 edition's own Table 1 (Own Funds, OFD2) rather than the Annual Report's £0.1m roundings: CET1/Tier 1 1,898,142 (was 1,898,100), total capital 2,282,212 (was 2,282,200), RWAs 9,490,710 (was 9,490,700).
THE LEVERAGE EXPOSURE MEASURE MOVES FOR A DIFFERENT REASON, and both printings are real. TSB's Pillar 3 documents print a 31-Dec-2018 leverage exposure of 41,466,642 and a 31-Dec-2017 exposure of 42,626,131 (FY2018 edition Table 1 and Table 26 LRSum; FY2017 edition Table 27 LRSum). The Annual Report's 'Total exposures' line for the same two dates reads 41,445.9m and 42,668.6m, under a 'Total Tier 1 Capital for leverage ratio (fully loaded)' heading. The Pillar 3 figures are used here, because every other year on the Leverage Ratio sheet comes from a Pillar 3 document; the Annual Report figures are recorded here rather than discarded. The leverage RATIO is 4.4% (2018) and 4.5% (2017) in both sources.
FY2017 IS THE ONE YEAR IN THIS RANGE WITH NO KM1 OF ITS OWN. The FY2017 edition publishes OFD2/OFD3, LRSum/LRCom and the full credit-risk template set, but no key-metrics template - its Executive Summary carries a bespoke ten-line 'Key metrics' summary (CET1 £1.9bn, CET1 ratio 20.0%, Total Capital £2.3bn, Total Capital ratio 24.0%, credit-risk EAD, credit/operational RWAs, Basel III leverage 4.5%, UK leverage 5.4%) which carries no Tier 1 row, no SREP rows, no buffer block, no LCR and no NSFR, and so is a different and shorter table rather than an unnumbered template. The KM1 Key Metrics sheet's FY2017 column is therefore filled from the FY2018 edition's own 31-Dec-2017 comparative column, and says so.
DEAD SOURCE URL REGISTER (recorded 2026-09-16, nothing deleted). The FY2015 Significant Subsidiary Disclosures were published at https://www.tsb.co.uk/investors/results-and-reports/TSB-Significant-Subsidiary-Disclosures-2015.pdf and that URL is now DEAD: re-fetched 2026-09-16 it returns HTTP 404 with Content-Type text/html, not a PDF. It is kept on the record here rather than deleted so the provenance of the FY2015 capital figures stays readable now that TSB no longer serves the file. The working replacement, cited above, is the Wayback Machine snapshot https://web.archive.org/web/20221214093332id_/https://www.tsb.co.uk/investors/results-and-reports/TSB-Significant-Subsidiary-Disclosures-2015.pdf - given in the 'id_' form, which returns the original archived bytes rather than the Wayback viewer page. Verified on fetch: begins '%PDF', 440,862 bytes, 37pp. DOCUMENT AND BASIS CONFIRMED BY OPENING IT, NOT INFERRED. Its cover reads 'TSB Banking Group plc / Significant Subsidiary Disclosures / 31 December 2015' and its running header reads 'TSB Banking Group plc Pillar 3 Disclosures 2015' - both titles belong to this one document, which is why it is cited above under the latter name. Its Introduction states verbatim: 'This document presents the Pillar III Significant Subsidiary Disclosures at 31 December 2015 relating to TSB Banking Group plc (TSB Group) as part of the Banco de Sabadell Group (Sabadell). Following TSB Group's acquisition by Sabadell in June 2015, TSB is not required to produce and publish full Pillar III disclosures. TSB Group's risk disclosures are included in Sabadell's consolidated Pillar III disclosures.' This is therefore the significant-subsidiaries annex form: a disclosure naming a specific subsidiary within a foreign parent's consolidation, which under this project's rules IS usable entity data rather than a parent-group figure substituted for the entity. The named subsidiary is TSB Banking GROUP plc (the UK consolidated sub-group inside Sabadell), NOT TSB Bank plc solo - exactly the basis the Pillar 3 sheets are already labelled with ('TSB Banking Group plc consolidated Pillar 3/capital disclosure basis'), and the same basis as the FY2016 Material Subsidiary and FY2019-FY2025 Significant/Large Subsidiary disclosures either side of it, so the series is consistent. See the ENTITY NOTE for why that sub-group basis is treated as the banking entity here (TSB Banking Group plc's only direct subsidiary is TSB Bank plc) and for the genuine entity-basis break at the FY2016/FY2017 boundary. VALIDATION GATE PASSED. The recovered document's own Executive Summary key-metrics table (2015 / 2014 columns) reads: CET1 £1.7bn / £1.6bn, CET1 ratio 17.8% / 23.0%, Total Capital £2.1bn / £2.0bn, Total Capital ratio 21.9% / 28.5%, Total RWAs £9.4bn / £6.9bn. Every one of those reproduces the FY2015 figures already in this workbook (CET1 £1,672,458k, CET1 ratio 17.8%, Total capital £2,055,971k, Total capital ratio 21.9%, Total RWAs £9,402,364k), and its narrative total-assets figure ('TSB Group's total assets grew from £27.2bn to £31.6bn') reproduces the Balance Sheet sheet's FY2015 total assets of £31,618.0m. The replacement document is therefore the same edition the figures were transcribed from, not a restatement. NO figure in this workbook was changed as part of this URL repair. ONE DISCLOSED-BUT-DELIBERATELY-UNUSED FIGURE, recorded so it is not re-chased: the same table also gives a 'Basel III Leverage ratio' of 5.2% (2015) and 5.8% (2014), while the Leverage Ratio sheet leaves FY2015 and FY2014 blank. That blank is deliberate and correct, NOT an unresearched gap. The Leverage Ratio sheet's row is specifically 'Leverage ratio excluding claims on central banks (%)' - the UK exclusion-basis measure used from FY2019 onward - whereas this 2015 document's 5.2% is the original Basel III/CRD IV leverage ratio, whose exposure measure INCLUDES claims on central banks. They are two different series and must never be merged into one row, the same discipline applied to point-in-time vs 12-month-average LCR elsewhere in this project. The 5.2%/5.8% figures are preserved here on the record rather than written into the sheet.</t>
        </is>
      </c>
    </row>
  </sheetData>
  <mergeCells count="2">
    <mergeCell ref="A8:M8"/>
    <mergeCell ref="A6:M6"/>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TSB Bank plc — Total Capital Ratio</t>
        </is>
      </c>
    </row>
    <row r="2">
      <c r="A2" s="2" t="inlineStr">
        <is>
          <t>% of RWA</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Total capital ratio</t>
        </is>
      </c>
      <c r="B4" s="6" t="inlineStr">
        <is>
          <t>21.46%</t>
        </is>
      </c>
      <c r="C4" s="6" t="inlineStr">
        <is>
          <t>20.33%</t>
        </is>
      </c>
      <c r="D4" s="6" t="inlineStr">
        <is>
          <t>19.6%</t>
        </is>
      </c>
      <c r="E4" s="6" t="inlineStr">
        <is>
          <t>20.2%</t>
        </is>
      </c>
      <c r="F4" s="6" t="inlineStr">
        <is>
          <t>18.7%</t>
        </is>
      </c>
      <c r="G4" s="6" t="inlineStr">
        <is>
          <t>18.9%</t>
        </is>
      </c>
      <c r="H4" s="6" t="inlineStr">
        <is>
          <t>25.1%</t>
        </is>
      </c>
      <c r="I4" s="6" t="inlineStr">
        <is>
          <t>23.8%</t>
        </is>
      </c>
      <c r="J4" s="6" t="inlineStr">
        <is>
          <t>24.0%</t>
        </is>
      </c>
      <c r="K4" s="6" t="inlineStr">
        <is>
          <t>22.4%</t>
        </is>
      </c>
      <c r="L4" s="6" t="inlineStr">
        <is>
          <t>21.9%</t>
        </is>
      </c>
      <c r="M4" s="6" t="inlineStr">
        <is>
          <t>28.5%</t>
        </is>
      </c>
    </row>
    <row r="6" ht="377" customHeight="1">
      <c r="A6" s="8" t="inlineStr">
        <is>
          <t>Sources - TSB Banking Group plc consolidated Pillar 3/capital disclosure basis (see entity note on Cash Flow Statement sheet):
FY2025: TSB Banking Group plc Large Subsidiary Disclosures, as at 31 December 2025, p.6 (Table 1: Key metrics (KM1)) - https://www.tsb.co.uk/content/dam/tsb-public/documents/investors/rns/tsb-large-subsidiary-disclosure-2025.pdf
FY2024: TSB Banking Group plc Large Subsidiary Disclosures, as at 31 December 2024, p.6 (Table 1a: Key metrics (KM1)) - https://www.tsb.co.uk/content/dam/tsb-public/documents/investors/rns/TSB-Large-subsidiary-Disclosure-2024.pdf
FY2023: TSB Banking Group plc Large Subsidiary Disclosures 2023, p.6 (Table 1a: Key metrics (KM1)) - https://www.tsb.co.uk/content/dam/tsb-public/documents/investors/rns/TSB-large-subsidiary-disclosure-2023.pdf
FY2022: TSB Banking Group plc Large Subsidiary Disclosures 2022, p.6 (Table 1a: Key metrics (KM1)) - https://www.tsb.co.uk/content/dam/tsb-public/documents/investors/rns/TSB-Large-subsidiary-Disclosure-2022.pdf
FY2021: TSB Banking Group plc Large Subsidiary Disclosures 2021, pp.5-6 (Table 1: Key metrics (KM1 / IFRS 9-FL); the table BREAKS ACROSS TWO PAGES - capital, ratios, SREP, buffers and leverage on p.5, the LCR and NSFR blocks on p.6 under 'Table 1 ... (continued)') - https://www.tsb.co.uk/content/dam/tsb-public/documents/investors/rns/TSB-Large-Subsidiary-Disclosure-2021.pdf
FY2020: TSB Banking Group plc Significant Subsidiary Disclosures 2020, p.6 (Table 1: Key metrics (KM1 / IFRS 9-FL)) - https://www.tsb.co.uk/content/dam/tsb-public/documents/investors/rns/TSB-Significant-Subsidiary-Disclosure-2020.pdf
FY2019: TSB Banking Group plc Significant Subsidiary Disclosures 2019, p.6 (Table 1: Key metrics (KM1/IFRS 9-FL)) - https://web.archive.org/web/20230807234216id_/https://www.tsb.co.uk/investors/tsb-significant-subsidiary-disclosure-2019.pdf (TSB's own published URL for this document, https://www.tsb.co.uk/investors/tsb-significant-subsidiary-disclosure-2019.pdf, is DEAD as at 2026-09-18 and returns HTTP 404; the Wayback 'id_' snapshot cited here is the working replacement - see the FY2017-FY2019 recovery note below)
FY2018: TSB Banking Group plc Significant Subsidiary Disclosures 2018, p.5 (Table 1: Key metrics (KM1/IFRS 9-FL)) - https://web.archive.org/web/20230807142122id_/https://www.tsb.co.uk/investors/tsb-significant-subsidiary-disclosure.pdf (TSB's own published URL for this document, https://www.tsb.co.uk/investors/tsb-significant-subsidiary-disclosure.pdf, is DEAD as at 2026-09-18 and returns HTTP 404)
FY2017: TSB Banking Group plc Significant Subsidiary Disclosures 2017, p.7 (Table 1: Own Funds (OFD2)), p.11 (Table 5: Total amount of risk weighted assets and minimum own funds requirements) and p.33 (Table 27: LRSum) - this edition publishes no key-metrics template - https://web.archive.org/web/20230807174501id_/https://www.tsb.co.uk/significant-subsidiary-disclosures.pdf (TSB's own published URL for this document, https://www.tsb.co.uk/significant-subsidiary-disclosures.pdf, is DEAD as at 2026-09-18 and returns HTTP 404)
FY2016: TSB Banking Group plc Material Subsidiary Pillar 3 Disclosures 2016, p.4 (Table 1: Own funds) - https://www.tsb.co.uk/content/dam/tsb-public/documents/investors/financial-results-and-reports/2016/tsb-material-subsidiary-2016.pdf
FY2015: TSB Banking Group plc Pillar 3 Disclosures 2015 (cover title 'Significant Subsidiary Disclosures, 31 December 2015'), p.5 (Table 1: Own funds) - https://web.archive.org/web/20221214093332id_/https://www.tsb.co.uk/investors/results-and-reports/TSB-Significant-Subsidiary-Disclosures-2015.pdf (TSB's own published URL for this document is DEAD as at 2026-09-16 and returns HTTP 404; the Wayback 'id_' snapshot cited here is the working replacement - see the dead source URL register below)
FY2014: TSB Banking Group plc Pillar 3 Disclosures 2014, p.17 (Table 6: Own funds) - https://www.tsb.co.uk/content/dam/tsb-public/documents/investors/financial-results-and-reports/2014/TSB-Pillar-3-2014,0.pdf
LATEST-EDITION CHECK, 2026-09-18: TSB's own investor pages (tsb.co.uk/investors/results-reports.html and tsb.co.uk/investors/regulatory-news-service.html, both fetched directly as static HTML with real document hrefs - not Wayback and not the URLs already cited here) list the Large Subsidiary Disclosures for 31 December 2025 as the newest ANNUAL edition and the TSB Bank plc / TSB Banking Group plc Annual Report and Accounts 2025 as the newest annual report. Both are already carried in this workbook, so: checked, none newer. TSB also publishes quarterly Pillar 3 disclosures (the newest listed being Q1 2026 and the Q2 2026 Large Subsidiary Disclosure); they report interim dates rather than a further financial year and are not used here.
FY2017-FY2019 PILLAR 3 RECOVERY AND CORRECTION (2026-09-18). An earlier revision of this workbook stated that TSB published no standalone Pillar 3/Significant Subsidiary Disclosure document for FY2017 and FY2018, and sourced those two years' capital metrics from the TSB Banking Group plc Annual Report's own 'Capital resources' table instead. THAT STATEMENT WAS FALSE and has been withdrawn. TSB Banking Group plc published a Significant Subsidiary Disclosures document for FY2017 (48pp), FY2018 (46pp) and FY2019 (52pp), and each of the three prints a full 'Table 1: Key metrics (KM1 / IFRS 9-FL)'. The FY2019 document had likewise never been used here: FY2019 figures were being taken from the FY2020 edition's comparative column, and now come from FY2019's own edition.
HOW THEY WERE FOUND, AND WHY THE URLS ARE ARCHIVE URLS. None of the three is linked from any page of tsb.co.uk today, and every plausible live path returns HTTP 404 with Content-Type text/html (the investors index, the regulatory-news-service index and the DAM document paths were all checked on 2026-09-18). A Wayback CDX domain sweep of tsb.co.uk filtered on '(pillar|subsidiary)' listed all three in one call. The citations therefore give the 'id_' snapshot form, which returns the original archived bytes rather than the Wayback viewer page, and each was verified on fetch by status, Content-Type and '%PDF' magic bytes. TSB's own dead URLs are recorded above beside each snapshot so the original provenance stays readable.</t>
        </is>
      </c>
    </row>
    <row r="8" ht="338" customHeight="1">
      <c r="A8" s="8" t="inlineStr">
        <is>
          <t>(continued)
WHAT CHANGED IN THE FIGURES, AND WHY. The Annual Report table these years used to be sourced from is captioned 'fully loaded' - it prints TSB's IFRS 9 FULLY-LOADED capital, RWAs and leverage exposure, which is the second line of each pair in the Pillar 3 key-metrics table, not the headline. Every other year on these sheets carries the headline (IFRS 9 transitional) figure, so FY2018 sat on a different basis from its neighbours with nothing saying so. FY2018 now reads CET1/Tier 1 1,821,180 (was 1,805,500, the fully-loaded figure as rounded by the Annual Report to £1,805.5m), total capital 2,205,528 (was 2,196,100), RWAs 9,257,644 (was 9,271,000) and the capital ratios 19.7%/19.7%/23.8% (were 19.5%/19.5%/23.7%) - in every case the transitional figure printed by the FY2018 edition's own Table 1. FY2017 predates IFRS 9, so no transitional/fully-loaded split exists for it and the amounts barely move; they are now exact £'000 figures from the FY2017 edition's own Table 1 (Own Funds, OFD2) rather than the Annual Report's £0.1m roundings: CET1/Tier 1 1,898,142 (was 1,898,100), total capital 2,282,212 (was 2,282,200), RWAs 9,490,710 (was 9,490,700).
THE LEVERAGE EXPOSURE MEASURE MOVES FOR A DIFFERENT REASON, and both printings are real. TSB's Pillar 3 documents print a 31-Dec-2018 leverage exposure of 41,466,642 and a 31-Dec-2017 exposure of 42,626,131 (FY2018 edition Table 1 and Table 26 LRSum; FY2017 edition Table 27 LRSum). The Annual Report's 'Total exposures' line for the same two dates reads 41,445.9m and 42,668.6m, under a 'Total Tier 1 Capital for leverage ratio (fully loaded)' heading. The Pillar 3 figures are used here, because every other year on the Leverage Ratio sheet comes from a Pillar 3 document; the Annual Report figures are recorded here rather than discarded. The leverage RATIO is 4.4% (2018) and 4.5% (2017) in both sources.
FY2017 IS THE ONE YEAR IN THIS RANGE WITH NO KM1 OF ITS OWN. The FY2017 edition publishes OFD2/OFD3, LRSum/LRCom and the full credit-risk template set, but no key-metrics template - its Executive Summary carries a bespoke ten-line 'Key metrics' summary (CET1 £1.9bn, CET1 ratio 20.0%, Total Capital £2.3bn, Total Capital ratio 24.0%, credit-risk EAD, credit/operational RWAs, Basel III leverage 4.5%, UK leverage 5.4%) which carries no Tier 1 row, no SREP rows, no buffer block, no LCR and no NSFR, and so is a different and shorter table rather than an unnumbered template. The KM1 Key Metrics sheet's FY2017 column is therefore filled from the FY2018 edition's own 31-Dec-2017 comparative column, and says so.
DEAD SOURCE URL REGISTER (recorded 2026-09-16, nothing deleted). The FY2015 Significant Subsidiary Disclosures were published at https://www.tsb.co.uk/investors/results-and-reports/TSB-Significant-Subsidiary-Disclosures-2015.pdf and that URL is now DEAD: re-fetched 2026-09-16 it returns HTTP 404 with Content-Type text/html, not a PDF. It is kept on the record here rather than deleted so the provenance of the FY2015 capital figures stays readable now that TSB no longer serves the file. The working replacement, cited above, is the Wayback Machine snapshot https://web.archive.org/web/20221214093332id_/https://www.tsb.co.uk/investors/results-and-reports/TSB-Significant-Subsidiary-Disclosures-2015.pdf - given in the 'id_' form, which returns the original archived bytes rather than the Wayback viewer page. Verified on fetch: begins '%PDF', 440,862 bytes, 37pp. DOCUMENT AND BASIS CONFIRMED BY OPENING IT, NOT INFERRED. Its cover reads 'TSB Banking Group plc / Significant Subsidiary Disclosures / 31 December 2015' and its running header reads 'TSB Banking Group plc Pillar 3 Disclosures 2015' - both titles belong to this one document, which is why it is cited above under the latter name. Its Introduction states verbatim: 'This document presents the Pillar III Significant Subsidiary Disclosures at 31 December 2015 relating to TSB Banking Group plc (TSB Group) as part of the Banco de Sabadell Group (Sabadell). Following TSB Group's acquisition by Sabadell in June 2015, TSB is not required to produce and publish full Pillar III disclosures. TSB Group's risk disclosures are included in Sabadell's consolidated Pillar III disclosures.' This is therefore the significant-subsidiaries annex form: a disclosure naming a specific subsidiary within a foreign parent's consolidation, which under this project's rules IS usable entity data rather than a parent-group figure substituted for the entity. The named subsidiary is TSB Banking GROUP plc (the UK consolidated sub-group inside Sabadell), NOT TSB Bank plc solo - exactly the basis the Pillar 3 sheets are already labelled with ('TSB Banking Group plc consolidated Pillar 3/capital disclosure basis'), and the same basis as the FY2016 Material Subsidiary and FY2019-FY2025 Significant/Large Subsidiary disclosures either side of it, so the series is consistent. See the ENTITY NOTE for why that sub-group basis is treated as the banking entity here (TSB Banking Group plc's only direct subsidiary is TSB Bank plc) and for the genuine entity-basis break at the FY2016/FY2017 boundary. VALIDATION GATE PASSED. The recovered document's own Executive Summary key-metrics table (2015 / 2014 columns) reads: CET1 £1.7bn / £1.6bn, CET1 ratio 17.8% / 23.0%, Total Capital £2.1bn / £2.0bn, Total Capital ratio 21.9% / 28.5%, Total RWAs £9.4bn / £6.9bn. Every one of those reproduces the FY2015 figures already in this workbook (CET1 £1,672,458k, CET1 ratio 17.8%, Total capital £2,055,971k, Total capital ratio 21.9%, Total RWAs £9,402,364k), and its narrative total-assets figure ('TSB Group's total assets grew from £27.2bn to £31.6bn') reproduces the Balance Sheet sheet's FY2015 total assets of £31,618.0m. The replacement document is therefore the same edition the figures were transcribed from, not a restatement. NO figure in this workbook was changed as part of this URL repair. ONE DISCLOSED-BUT-DELIBERATELY-UNUSED FIGURE, recorded so it is not re-chased: the same table also gives a 'Basel III Leverage ratio' of 5.2% (2015) and 5.8% (2014), while the Leverage Ratio sheet leaves FY2015 and FY2014 blank. That blank is deliberate and correct, NOT an unresearched gap. The Leverage Ratio sheet's row is specifically 'Leverage ratio excluding claims on central banks (%)' - the UK exclusion-basis measure used from FY2019 onward - whereas this 2015 document's 5.2% is the original Basel III/CRD IV leverage ratio, whose exposure measure INCLUDES claims on central banks. They are two different series and must never be merged into one row, the same discipline applied to point-in-time vs 12-month-average LCR elsewhere in this project. The 5.2%/5.8% figures are preserved here on the record rather than written into the sheet.</t>
        </is>
      </c>
    </row>
  </sheetData>
  <mergeCells count="2">
    <mergeCell ref="A8:M8"/>
    <mergeCell ref="A6:M6"/>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TSB Bank plc — Total RWAs</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Total risk-weighted exposure amount</t>
        </is>
      </c>
      <c r="B4" s="6" t="n">
        <v>11646331</v>
      </c>
      <c r="C4" s="6" t="n">
        <v>11250820</v>
      </c>
      <c r="D4" s="6" t="n">
        <v>11052751</v>
      </c>
      <c r="E4" s="6" t="n">
        <v>10442066</v>
      </c>
      <c r="F4" s="6" t="n">
        <v>10851867</v>
      </c>
      <c r="G4" s="6" t="n">
        <v>10644263</v>
      </c>
      <c r="H4" s="6" t="n">
        <v>8841425</v>
      </c>
      <c r="I4" s="6" t="n">
        <v>9257644</v>
      </c>
      <c r="J4" s="6" t="n">
        <v>9490710</v>
      </c>
      <c r="K4" s="6" t="n">
        <v>9674544</v>
      </c>
      <c r="L4" s="6" t="n">
        <v>9402364</v>
      </c>
      <c r="M4" s="6" t="n">
        <v>6930200</v>
      </c>
    </row>
    <row r="6" ht="377" customHeight="1">
      <c r="A6" s="8" t="inlineStr">
        <is>
          <t>Sources - TSB Banking Group plc consolidated Pillar 3/capital disclosure basis (see entity note on Cash Flow Statement sheet):
FY2025: TSB Banking Group plc Large Subsidiary Disclosures, as at 31 December 2025, p.6 (Table 1: Key metrics (KM1)) - https://www.tsb.co.uk/content/dam/tsb-public/documents/investors/rns/tsb-large-subsidiary-disclosure-2025.pdf
FY2024: TSB Banking Group plc Large Subsidiary Disclosures, as at 31 December 2024, p.6 (Table 1a: Key metrics (KM1)) - https://www.tsb.co.uk/content/dam/tsb-public/documents/investors/rns/TSB-Large-subsidiary-Disclosure-2024.pdf
FY2023: TSB Banking Group plc Large Subsidiary Disclosures 2023, p.6 (Table 1a: Key metrics (KM1)) - https://www.tsb.co.uk/content/dam/tsb-public/documents/investors/rns/TSB-large-subsidiary-disclosure-2023.pdf
FY2022: TSB Banking Group plc Large Subsidiary Disclosures 2022, p.6 (Table 1a: Key metrics (KM1)) - https://www.tsb.co.uk/content/dam/tsb-public/documents/investors/rns/TSB-Large-subsidiary-Disclosure-2022.pdf
FY2021: TSB Banking Group plc Large Subsidiary Disclosures 2021, pp.5-6 (Table 1: Key metrics (KM1 / IFRS 9-FL); the table BREAKS ACROSS TWO PAGES - capital, ratios, SREP, buffers and leverage on p.5, the LCR and NSFR blocks on p.6 under 'Table 1 ... (continued)') - https://www.tsb.co.uk/content/dam/tsb-public/documents/investors/rns/TSB-Large-Subsidiary-Disclosure-2021.pdf
FY2020: TSB Banking Group plc Significant Subsidiary Disclosures 2020, p.6 (Table 1: Key metrics (KM1 / IFRS 9-FL)) - https://www.tsb.co.uk/content/dam/tsb-public/documents/investors/rns/TSB-Significant-Subsidiary-Disclosure-2020.pdf
FY2019: TSB Banking Group plc Significant Subsidiary Disclosures 2019, p.6 (Table 1: Key metrics (KM1/IFRS 9-FL)) - https://web.archive.org/web/20230807234216id_/https://www.tsb.co.uk/investors/tsb-significant-subsidiary-disclosure-2019.pdf (TSB's own published URL for this document, https://www.tsb.co.uk/investors/tsb-significant-subsidiary-disclosure-2019.pdf, is DEAD as at 2026-09-18 and returns HTTP 404; the Wayback 'id_' snapshot cited here is the working replacement - see the FY2017-FY2019 recovery note below)
FY2018: TSB Banking Group plc Significant Subsidiary Disclosures 2018, p.5 (Table 1: Key metrics (KM1/IFRS 9-FL)) - https://web.archive.org/web/20230807142122id_/https://www.tsb.co.uk/investors/tsb-significant-subsidiary-disclosure.pdf (TSB's own published URL for this document, https://www.tsb.co.uk/investors/tsb-significant-subsidiary-disclosure.pdf, is DEAD as at 2026-09-18 and returns HTTP 404)
FY2017: TSB Banking Group plc Significant Subsidiary Disclosures 2017, p.7 (Table 1: Own Funds (OFD2)), p.11 (Table 5: Total amount of risk weighted assets and minimum own funds requirements) and p.33 (Table 27: LRSum) - this edition publishes no key-metrics template - https://web.archive.org/web/20230807174501id_/https://www.tsb.co.uk/significant-subsidiary-disclosures.pdf (TSB's own published URL for this document, https://www.tsb.co.uk/significant-subsidiary-disclosures.pdf, is DEAD as at 2026-09-18 and returns HTTP 404)
FY2016: TSB Banking Group plc Material Subsidiary Pillar 3 Disclosures 2016, p.4 (Table 1: Own funds) - https://www.tsb.co.uk/content/dam/tsb-public/documents/investors/financial-results-and-reports/2016/tsb-material-subsidiary-2016.pdf
FY2015: TSB Banking Group plc Pillar 3 Disclosures 2015 (cover title 'Significant Subsidiary Disclosures, 31 December 2015'), p.5 (Table 1: Own funds) - https://web.archive.org/web/20221214093332id_/https://www.tsb.co.uk/investors/results-and-reports/TSB-Significant-Subsidiary-Disclosures-2015.pdf (TSB's own published URL for this document is DEAD as at 2026-09-16 and returns HTTP 404; the Wayback 'id_' snapshot cited here is the working replacement - see the dead source URL register below)
FY2014: TSB Banking Group plc Pillar 3 Disclosures 2014, p.17 (Table 6: Own funds) - https://www.tsb.co.uk/content/dam/tsb-public/documents/investors/financial-results-and-reports/2014/TSB-Pillar-3-2014,0.pdf
LATEST-EDITION CHECK, 2026-09-18: TSB's own investor pages (tsb.co.uk/investors/results-reports.html and tsb.co.uk/investors/regulatory-news-service.html, both fetched directly as static HTML with real document hrefs - not Wayback and not the URLs already cited here) list the Large Subsidiary Disclosures for 31 December 2025 as the newest ANNUAL edition and the TSB Bank plc / TSB Banking Group plc Annual Report and Accounts 2025 as the newest annual report. Both are already carried in this workbook, so: checked, none newer. TSB also publishes quarterly Pillar 3 disclosures (the newest listed being Q1 2026 and the Q2 2026 Large Subsidiary Disclosure); they report interim dates rather than a further financial year and are not used here.
FY2017-FY2019 PILLAR 3 RECOVERY AND CORRECTION (2026-09-18). An earlier revision of this workbook stated that TSB published no standalone Pillar 3/Significant Subsidiary Disclosure document for FY2017 and FY2018, and sourced those two years' capital metrics from the TSB Banking Group plc Annual Report's own 'Capital resources' table instead. THAT STATEMENT WAS FALSE and has been withdrawn. TSB Banking Group plc published a Significant Subsidiary Disclosures document for FY2017 (48pp), FY2018 (46pp) and FY2019 (52pp), and each of the three prints a full 'Table 1: Key metrics (KM1 / IFRS 9-FL)'. The FY2019 document had likewise never been used here: FY2019 figures were being taken from the FY2020 edition's comparative column, and now come from FY2019's own edition.
HOW THEY WERE FOUND, AND WHY THE URLS ARE ARCHIVE URLS. None of the three is linked from any page of tsb.co.uk today, and every plausible live path returns HTTP 404 with Content-Type text/html (the investors index, the regulatory-news-service index and the DAM document paths were all checked on 2026-09-18). A Wayback CDX domain sweep of tsb.co.uk filtered on '(pillar|subsidiary)' listed all three in one call. The citations therefore give the 'id_' snapshot form, which returns the original archived bytes rather than the Wayback viewer page, and each was verified on fetch by status, Content-Type and '%PDF' magic bytes. TSB's own dead URLs are recorded above beside each snapshot so the original provenance stays readable.</t>
        </is>
      </c>
    </row>
    <row r="8" ht="338" customHeight="1">
      <c r="A8" s="8" t="inlineStr">
        <is>
          <t>(continued)
WHAT CHANGED IN THE FIGURES, AND WHY. The Annual Report table these years used to be sourced from is captioned 'fully loaded' - it prints TSB's IFRS 9 FULLY-LOADED capital, RWAs and leverage exposure, which is the second line of each pair in the Pillar 3 key-metrics table, not the headline. Every other year on these sheets carries the headline (IFRS 9 transitional) figure, so FY2018 sat on a different basis from its neighbours with nothing saying so. FY2018 now reads CET1/Tier 1 1,821,180 (was 1,805,500, the fully-loaded figure as rounded by the Annual Report to £1,805.5m), total capital 2,205,528 (was 2,196,100), RWAs 9,257,644 (was 9,271,000) and the capital ratios 19.7%/19.7%/23.8% (were 19.5%/19.5%/23.7%) - in every case the transitional figure printed by the FY2018 edition's own Table 1. FY2017 predates IFRS 9, so no transitional/fully-loaded split exists for it and the amounts barely move; they are now exact £'000 figures from the FY2017 edition's own Table 1 (Own Funds, OFD2) rather than the Annual Report's £0.1m roundings: CET1/Tier 1 1,898,142 (was 1,898,100), total capital 2,282,212 (was 2,282,200), RWAs 9,490,710 (was 9,490,700).
THE LEVERAGE EXPOSURE MEASURE MOVES FOR A DIFFERENT REASON, and both printings are real. TSB's Pillar 3 documents print a 31-Dec-2018 leverage exposure of 41,466,642 and a 31-Dec-2017 exposure of 42,626,131 (FY2018 edition Table 1 and Table 26 LRSum; FY2017 edition Table 27 LRSum). The Annual Report's 'Total exposures' line for the same two dates reads 41,445.9m and 42,668.6m, under a 'Total Tier 1 Capital for leverage ratio (fully loaded)' heading. The Pillar 3 figures are used here, because every other year on the Leverage Ratio sheet comes from a Pillar 3 document; the Annual Report figures are recorded here rather than discarded. The leverage RATIO is 4.4% (2018) and 4.5% (2017) in both sources.
FY2017 IS THE ONE YEAR IN THIS RANGE WITH NO KM1 OF ITS OWN. The FY2017 edition publishes OFD2/OFD3, LRSum/LRCom and the full credit-risk template set, but no key-metrics template - its Executive Summary carries a bespoke ten-line 'Key metrics' summary (CET1 £1.9bn, CET1 ratio 20.0%, Total Capital £2.3bn, Total Capital ratio 24.0%, credit-risk EAD, credit/operational RWAs, Basel III leverage 4.5%, UK leverage 5.4%) which carries no Tier 1 row, no SREP rows, no buffer block, no LCR and no NSFR, and so is a different and shorter table rather than an unnumbered template. The KM1 Key Metrics sheet's FY2017 column is therefore filled from the FY2018 edition's own 31-Dec-2017 comparative column, and says so.
DEAD SOURCE URL REGISTER (recorded 2026-09-16, nothing deleted). The FY2015 Significant Subsidiary Disclosures were published at https://www.tsb.co.uk/investors/results-and-reports/TSB-Significant-Subsidiary-Disclosures-2015.pdf and that URL is now DEAD: re-fetched 2026-09-16 it returns HTTP 404 with Content-Type text/html, not a PDF. It is kept on the record here rather than deleted so the provenance of the FY2015 capital figures stays readable now that TSB no longer serves the file. The working replacement, cited above, is the Wayback Machine snapshot https://web.archive.org/web/20221214093332id_/https://www.tsb.co.uk/investors/results-and-reports/TSB-Significant-Subsidiary-Disclosures-2015.pdf - given in the 'id_' form, which returns the original archived bytes rather than the Wayback viewer page. Verified on fetch: begins '%PDF', 440,862 bytes, 37pp. DOCUMENT AND BASIS CONFIRMED BY OPENING IT, NOT INFERRED. Its cover reads 'TSB Banking Group plc / Significant Subsidiary Disclosures / 31 December 2015' and its running header reads 'TSB Banking Group plc Pillar 3 Disclosures 2015' - both titles belong to this one document, which is why it is cited above under the latter name. Its Introduction states verbatim: 'This document presents the Pillar III Significant Subsidiary Disclosures at 31 December 2015 relating to TSB Banking Group plc (TSB Group) as part of the Banco de Sabadell Group (Sabadell). Following TSB Group's acquisition by Sabadell in June 2015, TSB is not required to produce and publish full Pillar III disclosures. TSB Group's risk disclosures are included in Sabadell's consolidated Pillar III disclosures.' This is therefore the significant-subsidiaries annex form: a disclosure naming a specific subsidiary within a foreign parent's consolidation, which under this project's rules IS usable entity data rather than a parent-group figure substituted for the entity. The named subsidiary is TSB Banking GROUP plc (the UK consolidated sub-group inside Sabadell), NOT TSB Bank plc solo - exactly the basis the Pillar 3 sheets are already labelled with ('TSB Banking Group plc consolidated Pillar 3/capital disclosure basis'), and the same basis as the FY2016 Material Subsidiary and FY2019-FY2025 Significant/Large Subsidiary disclosures either side of it, so the series is consistent. See the ENTITY NOTE for why that sub-group basis is treated as the banking entity here (TSB Banking Group plc's only direct subsidiary is TSB Bank plc) and for the genuine entity-basis break at the FY2016/FY2017 boundary. VALIDATION GATE PASSED. The recovered document's own Executive Summary key-metrics table (2015 / 2014 columns) reads: CET1 £1.7bn / £1.6bn, CET1 ratio 17.8% / 23.0%, Total Capital £2.1bn / £2.0bn, Total Capital ratio 21.9% / 28.5%, Total RWAs £9.4bn / £6.9bn. Every one of those reproduces the FY2015 figures already in this workbook (CET1 £1,672,458k, CET1 ratio 17.8%, Total capital £2,055,971k, Total capital ratio 21.9%, Total RWAs £9,402,364k), and its narrative total-assets figure ('TSB Group's total assets grew from £27.2bn to £31.6bn') reproduces the Balance Sheet sheet's FY2015 total assets of £31,618.0m. The replacement document is therefore the same edition the figures were transcribed from, not a restatement. NO figure in this workbook was changed as part of this URL repair. ONE DISCLOSED-BUT-DELIBERATELY-UNUSED FIGURE, recorded so it is not re-chased: the same table also gives a 'Basel III Leverage ratio' of 5.2% (2015) and 5.8% (2014), while the Leverage Ratio sheet leaves FY2015 and FY2014 blank. That blank is deliberate and correct, NOT an unresearched gap. The Leverage Ratio sheet's row is specifically 'Leverage ratio excluding claims on central banks (%)' - the UK exclusion-basis measure used from FY2019 onward - whereas this 2015 document's 5.2% is the original Basel III/CRD IV leverage ratio, whose exposure measure INCLUDES claims on central banks. They are two different series and must never be merged into one row, the same discipline applied to point-in-time vs 12-month-average LCR elsewhere in this project. The 5.2%/5.8% figures are preserved here on the record rather than written into the sheet.</t>
        </is>
      </c>
    </row>
  </sheetData>
  <mergeCells count="2">
    <mergeCell ref="A8:M8"/>
    <mergeCell ref="A6:M6"/>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2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TSB Bank plc — RWA Breakdown</t>
        </is>
      </c>
    </row>
    <row r="2">
      <c r="A2" s="2" t="inlineStr">
        <is>
          <t>TSB Banking Group plc consolidated Pillar 3 basis, £'000. FY2019-FY2025 and FY2015-FY2016 use the standard 4-row UK OV1 template, which sums exactly to Total RWAs; FY2017-FY2018 and FY2014 are shown on each year's own as-published, non-OV1-template category structure (FY2017-FY2018's five rows sum exactly to the total; FY2014's memo rows do not double-count into it - see PRESENTATION NOTE below).</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c r="I3" s="4" t="inlineStr">
        <is>
          <t>FY2018 (£'000)</t>
        </is>
      </c>
      <c r="J3" s="4" t="inlineStr">
        <is>
          <t>FY2017 (£'000)</t>
        </is>
      </c>
      <c r="K3" s="4" t="inlineStr">
        <is>
          <t>FY2016 (£'000)</t>
        </is>
      </c>
      <c r="L3" s="4" t="inlineStr">
        <is>
          <t>FY2015 (£'000)</t>
        </is>
      </c>
      <c r="M3" s="4" t="inlineStr">
        <is>
          <t>FY2014 (£'000)</t>
        </is>
      </c>
    </row>
    <row r="4">
      <c r="A4" s="5" t="inlineStr">
        <is>
          <t>RWA by risk category (Pillar 3 UK OV1 template)</t>
        </is>
      </c>
      <c r="B4" s="6" t="n"/>
      <c r="C4" s="6" t="n"/>
      <c r="D4" s="6" t="n"/>
      <c r="E4" s="6" t="n"/>
      <c r="F4" s="6" t="n"/>
      <c r="G4" s="6" t="n"/>
      <c r="H4" s="6" t="n"/>
      <c r="I4" s="6" t="n"/>
      <c r="J4" s="6" t="n"/>
      <c r="K4" s="6" t="n"/>
      <c r="L4" s="6" t="n"/>
      <c r="M4" s="6" t="n"/>
    </row>
    <row r="5">
      <c r="A5" s="6" t="inlineStr">
        <is>
          <t>Credit risk (excluding counterparty credit risk)</t>
        </is>
      </c>
      <c r="B5" s="6" t="n">
        <v>9802107</v>
      </c>
      <c r="C5" s="6" t="n">
        <v>9417095</v>
      </c>
      <c r="D5" s="6" t="n">
        <v>9285021</v>
      </c>
      <c r="E5" s="6" t="n">
        <v>8781922</v>
      </c>
      <c r="F5" s="6" t="n">
        <v>9375601</v>
      </c>
      <c r="G5" s="6" t="n">
        <v>7584270</v>
      </c>
      <c r="H5" s="6" t="n">
        <v>7181081</v>
      </c>
      <c r="I5" s="6" t="n"/>
      <c r="J5" s="6" t="n"/>
      <c r="K5" s="6" t="n">
        <v>7796692</v>
      </c>
      <c r="L5" s="6" t="n">
        <v>7618079</v>
      </c>
      <c r="M5" s="6" t="n"/>
    </row>
    <row r="6">
      <c r="A6" s="6" t="inlineStr">
        <is>
          <t>Counterparty credit risk (CCR, incl. CVA)</t>
        </is>
      </c>
      <c r="B6" s="6" t="n">
        <v>34637</v>
      </c>
      <c r="C6" s="6" t="n">
        <v>44008</v>
      </c>
      <c r="D6" s="6" t="n">
        <v>47113</v>
      </c>
      <c r="E6" s="6" t="n">
        <v>107036</v>
      </c>
      <c r="F6" s="6" t="n">
        <v>17276</v>
      </c>
      <c r="G6" s="6" t="n">
        <v>17452</v>
      </c>
      <c r="H6" s="6" t="n">
        <v>48287</v>
      </c>
      <c r="I6" s="6" t="n"/>
      <c r="J6" s="6" t="n"/>
      <c r="K6" s="6" t="n">
        <v>206645</v>
      </c>
      <c r="L6" s="6" t="n">
        <v>52017</v>
      </c>
      <c r="M6" s="6" t="n"/>
    </row>
    <row r="7">
      <c r="A7" s="6" t="inlineStr">
        <is>
          <t>Operational risk</t>
        </is>
      </c>
      <c r="B7" s="6" t="n">
        <v>1725340</v>
      </c>
      <c r="C7" s="6" t="n">
        <v>1710925</v>
      </c>
      <c r="D7" s="6" t="n">
        <v>1633140</v>
      </c>
      <c r="E7" s="6" t="n">
        <v>1475213</v>
      </c>
      <c r="F7" s="6" t="n">
        <v>1400010</v>
      </c>
      <c r="G7" s="6" t="n">
        <v>1400392</v>
      </c>
      <c r="H7" s="6" t="n">
        <v>1484429</v>
      </c>
      <c r="I7" s="6" t="n"/>
      <c r="J7" s="6" t="n"/>
      <c r="K7" s="6" t="n">
        <v>1400642</v>
      </c>
      <c r="L7" s="6" t="n">
        <v>1416377</v>
      </c>
      <c r="M7" s="6" t="n"/>
    </row>
    <row r="8">
      <c r="A8" s="6" t="inlineStr">
        <is>
          <t>Amounts below the thresholds for deduction (subject to 250% risk weight)</t>
        </is>
      </c>
      <c r="B8" s="6" t="n">
        <v>84247</v>
      </c>
      <c r="C8" s="6" t="n">
        <v>78792</v>
      </c>
      <c r="D8" s="6" t="n">
        <v>87477</v>
      </c>
      <c r="E8" s="6" t="n">
        <v>77895</v>
      </c>
      <c r="F8" s="6" t="n">
        <v>58980</v>
      </c>
      <c r="G8" s="6" t="n">
        <v>50591</v>
      </c>
      <c r="H8" s="6" t="n">
        <v>127628</v>
      </c>
      <c r="I8" s="6" t="n"/>
      <c r="J8" s="6" t="n"/>
      <c r="K8" s="6" t="n">
        <v>270565</v>
      </c>
      <c r="L8" s="6" t="n">
        <v>315891</v>
      </c>
      <c r="M8" s="6" t="n"/>
    </row>
    <row r="9">
      <c r="A9" s="6" t="inlineStr">
        <is>
          <t>Other risk exposure amounts</t>
        </is>
      </c>
      <c r="B9" s="6" t="n"/>
      <c r="C9" s="6" t="n"/>
      <c r="D9" s="6" t="n"/>
      <c r="E9" s="6" t="n"/>
      <c r="F9" s="6" t="n"/>
      <c r="G9" s="6" t="n">
        <v>1591558</v>
      </c>
      <c r="H9" s="6" t="n"/>
      <c r="I9" s="6" t="n"/>
      <c r="J9" s="6" t="n"/>
      <c r="K9" s="6" t="n"/>
      <c r="L9" s="6" t="n"/>
      <c r="M9" s="6" t="n"/>
    </row>
    <row r="10">
      <c r="A10" s="6" t="inlineStr">
        <is>
          <t>Credit risk, standardised approach (FY2017-FY2018 presentation)</t>
        </is>
      </c>
      <c r="B10" s="6" t="n"/>
      <c r="C10" s="6" t="n"/>
      <c r="D10" s="6" t="n"/>
      <c r="E10" s="6" t="n"/>
      <c r="F10" s="6" t="n"/>
      <c r="G10" s="6" t="n"/>
      <c r="H10" s="6" t="n"/>
      <c r="I10" s="6" t="n">
        <v>1627797</v>
      </c>
      <c r="J10" s="6" t="n">
        <v>1866265</v>
      </c>
      <c r="K10" s="6" t="n"/>
      <c r="L10" s="6" t="n"/>
      <c r="M10" s="6" t="n"/>
    </row>
    <row r="11">
      <c r="A11" s="6" t="inlineStr">
        <is>
          <t>Credit risk, internal ratings-based approach (FY2017-FY2018 presentation)</t>
        </is>
      </c>
      <c r="B11" s="6" t="n"/>
      <c r="C11" s="6" t="n"/>
      <c r="D11" s="6" t="n"/>
      <c r="E11" s="6" t="n"/>
      <c r="F11" s="6" t="n"/>
      <c r="G11" s="6" t="n"/>
      <c r="H11" s="6" t="n"/>
      <c r="I11" s="6" t="n">
        <v>6099522</v>
      </c>
      <c r="J11" s="6" t="n">
        <v>6095155</v>
      </c>
      <c r="K11" s="6" t="n"/>
      <c r="L11" s="6" t="n"/>
      <c r="M11" s="6" t="n"/>
    </row>
    <row r="12">
      <c r="A12" s="6" t="inlineStr">
        <is>
          <t>Contribution to default guarantee fund of a CCP (FY2017-FY2018 presentation)</t>
        </is>
      </c>
      <c r="B12" s="6" t="n"/>
      <c r="C12" s="6" t="n"/>
      <c r="D12" s="6" t="n"/>
      <c r="E12" s="6" t="n"/>
      <c r="F12" s="6" t="n"/>
      <c r="G12" s="6" t="n"/>
      <c r="H12" s="6" t="n"/>
      <c r="I12" s="6" t="n">
        <v>2618</v>
      </c>
      <c r="J12" s="6" t="n">
        <v>4634</v>
      </c>
      <c r="K12" s="6" t="n"/>
      <c r="L12" s="6" t="n"/>
      <c r="M12" s="6" t="n"/>
    </row>
    <row r="13">
      <c r="A13" s="6" t="inlineStr">
        <is>
          <t>Operational risk (FY2017-FY2018 presentation)</t>
        </is>
      </c>
      <c r="B13" s="6" t="n"/>
      <c r="C13" s="6" t="n"/>
      <c r="D13" s="6" t="n"/>
      <c r="E13" s="6" t="n"/>
      <c r="F13" s="6" t="n"/>
      <c r="G13" s="6" t="n"/>
      <c r="H13" s="6" t="n"/>
      <c r="I13" s="6" t="n">
        <v>1487617</v>
      </c>
      <c r="J13" s="6" t="n">
        <v>1463693</v>
      </c>
      <c r="K13" s="6" t="n"/>
      <c r="L13" s="6" t="n"/>
      <c r="M13" s="6" t="n"/>
    </row>
    <row r="14">
      <c r="A14" s="6" t="inlineStr">
        <is>
          <t>Credit valuation adjustment risk (FY2017-FY2018 presentation)</t>
        </is>
      </c>
      <c r="B14" s="6" t="n"/>
      <c r="C14" s="6" t="n"/>
      <c r="D14" s="6" t="n"/>
      <c r="E14" s="6" t="n"/>
      <c r="F14" s="6" t="n"/>
      <c r="G14" s="6" t="n"/>
      <c r="H14" s="6" t="n"/>
      <c r="I14" s="6" t="n">
        <v>40090</v>
      </c>
      <c r="J14" s="6" t="n">
        <v>60963</v>
      </c>
      <c r="K14" s="6" t="n"/>
      <c r="L14" s="6" t="n"/>
      <c r="M14" s="6" t="n"/>
    </row>
    <row r="15">
      <c r="A15" s="6" t="inlineStr">
        <is>
          <t>Credit risk (IRB approach, FY2014 presentation)</t>
        </is>
      </c>
      <c r="B15" s="6" t="n"/>
      <c r="C15" s="6" t="n"/>
      <c r="D15" s="6" t="n"/>
      <c r="E15" s="6" t="n"/>
      <c r="F15" s="6" t="n"/>
      <c r="G15" s="6" t="n"/>
      <c r="H15" s="6" t="n"/>
      <c r="I15" s="6" t="n"/>
      <c r="J15" s="6" t="n"/>
      <c r="K15" s="6" t="n"/>
      <c r="L15" s="6" t="n"/>
      <c r="M15" s="6" t="n">
        <v>3187300</v>
      </c>
    </row>
    <row r="16">
      <c r="A16" s="6" t="inlineStr">
        <is>
          <t>Credit risk (Standardised approach, FY2014 presentation)</t>
        </is>
      </c>
      <c r="B16" s="6" t="n"/>
      <c r="C16" s="6" t="n"/>
      <c r="D16" s="6" t="n"/>
      <c r="E16" s="6" t="n"/>
      <c r="F16" s="6" t="n"/>
      <c r="G16" s="6" t="n"/>
      <c r="H16" s="6" t="n"/>
      <c r="I16" s="6" t="n"/>
      <c r="J16" s="6" t="n"/>
      <c r="K16" s="6" t="n"/>
      <c r="L16" s="6" t="n"/>
      <c r="M16" s="6" t="n">
        <v>2285400</v>
      </c>
    </row>
    <row r="17">
      <c r="A17" s="6" t="inlineStr">
        <is>
          <t>Credit risk (CCP contribution, FY2014 presentation)</t>
        </is>
      </c>
      <c r="B17" s="6" t="n"/>
      <c r="C17" s="6" t="n"/>
      <c r="D17" s="6" t="n"/>
      <c r="E17" s="6" t="n"/>
      <c r="F17" s="6" t="n"/>
      <c r="G17" s="6" t="n"/>
      <c r="H17" s="6" t="n"/>
      <c r="I17" s="6" t="n"/>
      <c r="J17" s="6" t="n"/>
      <c r="K17" s="6" t="n"/>
      <c r="L17" s="6" t="n"/>
      <c r="M17" s="6" t="n">
        <v>1000</v>
      </c>
    </row>
    <row r="18">
      <c r="A18" s="6" t="inlineStr">
        <is>
          <t>Counterparty credit risk (FY2014 presentation, memo only - already included above)</t>
        </is>
      </c>
      <c r="B18" s="6" t="n"/>
      <c r="C18" s="6" t="n"/>
      <c r="D18" s="6" t="n"/>
      <c r="E18" s="6" t="n"/>
      <c r="F18" s="6" t="n"/>
      <c r="G18" s="6" t="n"/>
      <c r="H18" s="6" t="n"/>
      <c r="I18" s="6" t="n"/>
      <c r="J18" s="6" t="n"/>
      <c r="K18" s="6" t="n"/>
      <c r="L18" s="6" t="n"/>
      <c r="M18" s="6" t="n">
        <v>4300</v>
      </c>
    </row>
    <row r="19">
      <c r="A19" s="6" t="inlineStr">
        <is>
          <t>Credit valuation adjustment (CVA) risk (FY2014 presentation)</t>
        </is>
      </c>
      <c r="B19" s="6" t="n"/>
      <c r="C19" s="6" t="n"/>
      <c r="D19" s="6" t="n"/>
      <c r="E19" s="6" t="n"/>
      <c r="F19" s="6" t="n"/>
      <c r="G19" s="6" t="n"/>
      <c r="H19" s="6" t="n"/>
      <c r="I19" s="6" t="n"/>
      <c r="J19" s="6" t="n"/>
      <c r="K19" s="6" t="n"/>
      <c r="L19" s="6" t="n"/>
      <c r="M19" s="6" t="n">
        <v>700</v>
      </c>
    </row>
    <row r="20">
      <c r="A20" s="6" t="inlineStr">
        <is>
          <t>Operational risk (FY2014 presentation)</t>
        </is>
      </c>
      <c r="B20" s="6" t="n"/>
      <c r="C20" s="6" t="n"/>
      <c r="D20" s="6" t="n"/>
      <c r="E20" s="6" t="n"/>
      <c r="F20" s="6" t="n"/>
      <c r="G20" s="6" t="n"/>
      <c r="H20" s="6" t="n"/>
      <c r="I20" s="6" t="n"/>
      <c r="J20" s="6" t="n"/>
      <c r="K20" s="6" t="n"/>
      <c r="L20" s="6" t="n"/>
      <c r="M20" s="6" t="n">
        <v>1451500</v>
      </c>
    </row>
    <row r="21">
      <c r="A21" s="5" t="inlineStr">
        <is>
          <t>Total RWAs</t>
        </is>
      </c>
      <c r="B21" s="5" t="n">
        <v>11646331</v>
      </c>
      <c r="C21" s="5" t="n">
        <v>11250820</v>
      </c>
      <c r="D21" s="5" t="n">
        <v>11052751</v>
      </c>
      <c r="E21" s="5" t="n">
        <v>10442066</v>
      </c>
      <c r="F21" s="5" t="n">
        <v>10851867</v>
      </c>
      <c r="G21" s="5" t="n">
        <v>10644263</v>
      </c>
      <c r="H21" s="5" t="n">
        <v>8841425</v>
      </c>
      <c r="I21" s="5" t="n">
        <v>9257644</v>
      </c>
      <c r="J21" s="5" t="n">
        <v>9490710</v>
      </c>
      <c r="K21" s="5" t="n">
        <v>9674544</v>
      </c>
      <c r="L21" s="5" t="n">
        <v>9402364</v>
      </c>
      <c r="M21" s="5" t="n">
        <v>6930200</v>
      </c>
    </row>
    <row r="23" ht="340" customHeight="1">
      <c r="A23" s="8" t="inlineStr">
        <is>
          <t>Sources - TSB Banking Group plc consolidated Pillar 3 basis, UK OV1: Overview of risk-weighted exposure amounts (see entity note on Cash Flow Statement sheet):
FY2025: TSB Banking Group plc Large Subsidiary Disclosures, as at 31 December 2025, p.10 (Table 4: OV1) - https://www.tsb.co.uk/content/dam/tsb-public/documents/investors/rns/tsb-large-subsidiary-disclosure-2025.pdf
FY2024: TSB Banking Group plc Large Subsidiary Disclosures, as at 31 December 2024, p.12 (Table 5: OV1; independently cross-checked against the FY2025 disclosure's own FY2024 comparative column, which agrees exactly) - https://www.tsb.co.uk/content/dam/tsb-public/documents/investors/rns/TSB-Large-subsidiary-Disclosure-2024.pdf
FY2023: TSB Banking Group plc Large Subsidiary Disclosures, as at 31 December 2024, p.12 (Table 5: OV1, FY2023 comparative column) - https://www.tsb.co.uk/content/dam/tsb-public/documents/investors/rns/TSB-Large-subsidiary-Disclosure-2024.pdf
FY2022: TSB Banking Group plc Large Subsidiary Disclosures 2022, p.12 (Table 5: OV1) - https://www.tsb.co.uk/content/dam/tsb-public/documents/investors/rns/TSB-Large-subsidiary-Disclosure-2022.pdf
FY2021: TSB Banking Group plc Large Subsidiary Disclosures 2021, p.11 (Table 5: OV1; independently cross-checked against the 2022 disclosure's own FY2021 comparative column, which agrees exactly) - https://www.tsb.co.uk/content/dam/tsb-public/documents/investors/rns/TSB-Large-Subsidiary-Disclosure-2021.pdf
FY2020/FY2019: TSB Banking Group plc Significant Subsidiary Disclosures 2020, p.12 (Table 5: Overview of RWAs (EU OV1); FY2019 as its own comparative column) - https://www.tsb.co.uk/content/dam/tsb-public/documents/investors/rns/TSB-Significant-Subsidiary-Disclosure-2020.pdf
FY2018: TSB Banking Group plc Significant Subsidiary Disclosures 2018, p.11 (Table 6: Total amount of risk weighted assets and minimum own funds requirements) - https://web.archive.org/web/20230807142122id_/https://www.tsb.co.uk/investors/tsb-significant-subsidiary-disclosure.pdf
FY2017: TSB Banking Group plc Significant Subsidiary Disclosures 2017, p.11 (Table 5: Total amount of risk weighted assets and minimum own funds requirements; independently cross-checked against the FY2018 edition's own 31-Dec-2017 comparative column, which agrees exactly on every row) - https://web.archive.org/web/20230807174501id_/https://www.tsb.co.uk/significant-subsidiary-disclosures.pdf
FY2016: TSB Banking Group plc Large Subsidiary Disclosures, as at 31 December 2016, OV1 table (also gives FY2015 as its own comparative column, used for the FY2015 figures here) - https://www.tsb.co.uk/content/dam/tsb-public/documents/investors/financial-results-and-reports/2016/tsb-material-subsidiary-2016.pdf
FY2015: as above (FY2016 disclosure's own FY2015 comparative column) - https://www.tsb.co.uk/content/dam/tsb-public/documents/investors/financial-results-and-reports/2016/tsb-material-subsidiary-2016.pdf
FY2014: TSB Banking Group plc Pillar 3 Disclosures 2014, Table 3 (own-year IRB/Standardised/CCP/CCR/CVA/operational risk breakdown) - https://www.tsb.co.uk/content/dam/tsb-public/documents/investors/financial-results-and-reports/2014/TSB-Pillar-3-2014,0.pdf
PRESENTATION NOTE (FY2014, FY2017, FY2018): these three years predate the standardised UK OV1 template's 4-category structure and are instead shown using each year's own as-published risk-category breakdown (FY2017/FY2018: standardised-approach credit risk, IRB credit risk, CCP default-guarantee-fund contribution, operational risk and CVA risk, which are the five top-level lines of that year's own Pillar 3 RWA table and which sum exactly to Total RWAs; FY2014: IRB + Standardised + CCP credit risk components, CCR memo, CVA risk, and operational risk from the Pillar 3 disclosure's own Table 3). The FY2014 'memo only' CCR row is already included within the adjacent credit-risk row(s) above it (exactly as that source document presents it) and is shown separately purely for transparency - it does not double count into Total RWAs, which ties exactly to the Total RWAs metric sheet for every year.
CORRECTION 2026-09-18 (FY2020). This sheet was missing the FY2020 OV1's 'Other risk exposure amounts' row entirely, so the FY2020 column's four rows summed to 9,052,705 against a printed total of 10,644,263 - a gap of exactly the 1,591,558 that row carries. The row is now shown. The FY2020 edition explains it in its own footnote 3: 'RWAs reported in Other risk exposure amounts relate to new secured rating system applied to mortgage franchise IRB and associated IFRS 9 transitional adjustment from change in expected loss'. It is a FY2020-only row; the FY2019 comparative column in the same table prints nothing against it, and no other year's OV1 carries it.
CORRECTION 2026-09-18 (FY2017/FY2018). These two years previously carried three rows taken from the Banking Group Annual Report's 'Capital resources' table - standardised credit risk 7,673,500/7,907,400 labelled as including counterparty credit risk, a CCR memo row 109,900/119,600 labelled as already included in it, and operational risk 1,487,600/1,463,700. Those rows did not sum to the year's total: the CCR row was in fact ADDITIVE, not a memo, so the label contradicted the arithmetic (7,673.5 + 1,487.6 = 9,161.1 against a total of 9,271.0, a gap of exactly the 109.9 CCR row). They also sat on the IFRS 9 fully-loaded RWA total. Both years are now taken from TSB's own Pillar 3 documents, at full £'000 precision and on the same IFRS 9 transitional basis as every other year here, and the five rows sum exactly to the printed total (1,627,797 + 6,099,522 + 2,618 + 1,487,617 + 40,090 = 9,257,644 for FY2018; 1,866,265 + 6,095,155 + 4,634 + 1,463,693 + 60,963 = 9,490,710 for FY2017). See the FY2017-FY2019 recovery note on the Pillar 3 metric sheets for how those documents were found.</t>
        </is>
      </c>
    </row>
  </sheetData>
  <mergeCells count="1">
    <mergeCell ref="A23:M23"/>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15"/>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TSB Bank plc — Leverage Ratio</t>
        </is>
      </c>
    </row>
    <row r="2">
      <c r="A2" s="2" t="inlineStr">
        <is>
          <t>£'000 / %</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Total exposure measure including claims on central banks</t>
        </is>
      </c>
      <c r="B4" s="6" t="n">
        <v>44410648</v>
      </c>
      <c r="C4" s="6" t="n">
        <v>44941926</v>
      </c>
      <c r="D4" s="6" t="n">
        <v>46230149</v>
      </c>
      <c r="E4" s="6" t="n">
        <v>47773487</v>
      </c>
      <c r="F4" s="6" t="n">
        <v>47412008</v>
      </c>
      <c r="G4" s="6" t="n"/>
      <c r="H4" s="6" t="n"/>
      <c r="I4" s="6" t="n"/>
      <c r="J4" s="6" t="n"/>
      <c r="K4" s="6" t="n"/>
      <c r="L4" s="6" t="n"/>
      <c r="M4" s="6" t="n"/>
    </row>
    <row r="5">
      <c r="A5" s="6" t="inlineStr">
        <is>
          <t>Claims on central banks excluded</t>
        </is>
      </c>
      <c r="B5" s="6" t="n">
        <v>-4190265</v>
      </c>
      <c r="C5" s="6" t="n">
        <v>-4815810</v>
      </c>
      <c r="D5" s="6" t="n">
        <v>-5891423</v>
      </c>
      <c r="E5" s="6" t="n">
        <v>-5229036</v>
      </c>
      <c r="F5" s="6" t="n">
        <v>-4842254</v>
      </c>
      <c r="G5" s="6" t="n"/>
      <c r="H5" s="6" t="n"/>
      <c r="I5" s="6" t="n"/>
      <c r="J5" s="6" t="n"/>
      <c r="K5" s="6" t="n"/>
      <c r="L5" s="6" t="n"/>
      <c r="M5" s="6" t="n"/>
    </row>
    <row r="6">
      <c r="A6" s="6" t="inlineStr">
        <is>
          <t>Total exposure measure excluding claims on central banks</t>
        </is>
      </c>
      <c r="B6" s="6" t="n">
        <v>40220383</v>
      </c>
      <c r="C6" s="6" t="n">
        <v>40126116</v>
      </c>
      <c r="D6" s="6" t="n">
        <v>40338726</v>
      </c>
      <c r="E6" s="6" t="n">
        <v>42544451</v>
      </c>
      <c r="F6" s="6" t="n">
        <v>42569754</v>
      </c>
      <c r="G6" s="6" t="n"/>
      <c r="H6" s="6" t="n"/>
      <c r="I6" s="6" t="n"/>
      <c r="J6" s="6" t="n"/>
      <c r="K6" s="6" t="n"/>
      <c r="L6" s="6" t="n"/>
      <c r="M6" s="6" t="n"/>
    </row>
    <row r="7">
      <c r="A7" s="6" t="inlineStr">
        <is>
          <t>Leverage ratio excluding claims on central banks (%)</t>
        </is>
      </c>
      <c r="B7" s="6" t="inlineStr">
        <is>
          <t>5.47%</t>
        </is>
      </c>
      <c r="C7" s="6" t="inlineStr">
        <is>
          <t>4.95%</t>
        </is>
      </c>
      <c r="D7" s="6" t="inlineStr">
        <is>
          <t>4.57%</t>
        </is>
      </c>
      <c r="E7" s="6" t="inlineStr">
        <is>
          <t>4.2%</t>
        </is>
      </c>
      <c r="F7" s="6" t="inlineStr">
        <is>
          <t>4.0%</t>
        </is>
      </c>
      <c r="G7" s="6" t="n"/>
      <c r="H7" s="6" t="n"/>
      <c r="I7" s="6" t="n"/>
      <c r="J7" s="6" t="n"/>
      <c r="K7" s="6" t="n"/>
      <c r="L7" s="6" t="n"/>
      <c r="M7" s="6" t="n"/>
    </row>
    <row r="8">
      <c r="A8" s="6" t="inlineStr">
        <is>
          <t>Leverage ratio including claims on central banks (%)</t>
        </is>
      </c>
      <c r="B8" s="6" t="inlineStr">
        <is>
          <t>4.95%</t>
        </is>
      </c>
      <c r="C8" s="6" t="inlineStr">
        <is>
          <t>4.42%</t>
        </is>
      </c>
      <c r="D8" s="6" t="inlineStr">
        <is>
          <t>4.0%</t>
        </is>
      </c>
      <c r="E8" s="6" t="inlineStr">
        <is>
          <t>3.8%</t>
        </is>
      </c>
      <c r="F8" s="6" t="inlineStr">
        <is>
          <t>3.6%</t>
        </is>
      </c>
      <c r="G8" s="6" t="n"/>
      <c r="H8" s="6" t="n"/>
      <c r="I8" s="6" t="n"/>
      <c r="J8" s="6" t="n"/>
      <c r="K8" s="6" t="n"/>
      <c r="L8" s="6" t="n"/>
      <c r="M8" s="6" t="n"/>
    </row>
    <row r="9">
      <c r="A9" s="6" t="inlineStr">
        <is>
          <t>Total exposure measure (FY2014-FY2020 as originally reported, pre-2022 PRA methodology, including claims on central banks)</t>
        </is>
      </c>
      <c r="B9" s="6" t="n"/>
      <c r="C9" s="6" t="n"/>
      <c r="D9" s="6" t="n"/>
      <c r="E9" s="6" t="n"/>
      <c r="F9" s="6" t="n"/>
      <c r="G9" s="6" t="n">
        <v>42933969</v>
      </c>
      <c r="H9" s="6" t="n">
        <v>39889242</v>
      </c>
      <c r="I9" s="6" t="n">
        <v>41466642</v>
      </c>
      <c r="J9" s="6" t="n">
        <v>42626131</v>
      </c>
      <c r="K9" s="6" t="n">
        <v>37525812</v>
      </c>
      <c r="L9" s="6" t="n">
        <v>32026192</v>
      </c>
      <c r="M9" s="6" t="n"/>
    </row>
    <row r="10">
      <c r="A10" s="6" t="inlineStr">
        <is>
          <t>Leverage ratio (%) (FY2014-FY2020 as originally reported, pre-2022 PRA methodology)</t>
        </is>
      </c>
      <c r="B10" s="6" t="n"/>
      <c r="C10" s="6" t="n"/>
      <c r="D10" s="6" t="n"/>
      <c r="E10" s="6" t="n"/>
      <c r="F10" s="6" t="n"/>
      <c r="G10" s="6" t="inlineStr">
        <is>
          <t>3.8%</t>
        </is>
      </c>
      <c r="H10" s="6" t="inlineStr">
        <is>
          <t>4.6%</t>
        </is>
      </c>
      <c r="I10" s="6" t="inlineStr">
        <is>
          <t>4.4%</t>
        </is>
      </c>
      <c r="J10" s="6" t="inlineStr">
        <is>
          <t>4.5%</t>
        </is>
      </c>
      <c r="K10" s="6" t="inlineStr">
        <is>
          <t>4.8%</t>
        </is>
      </c>
      <c r="L10" s="6" t="inlineStr">
        <is>
          <t>5.2%</t>
        </is>
      </c>
      <c r="M10" s="6" t="inlineStr">
        <is>
          <t>5.8%</t>
        </is>
      </c>
    </row>
    <row r="11" ht="260" customHeight="1">
      <c r="A11" s="7" t="inlineStr">
        <is>
          <t>Note: BOTH BASES ARE CARRIED FOR FY2021-FY2025 (GA-026, added 2026-10-09). TSB publishes the including- and excluding-central-banks exposure measures and ratios side by side in every edition's own 'Table 21: LRCom - Leverage ratio common disclosure (UK LR2)'; until 2026-10-09 only the exclusion basis was carried here for FY2022-FY2025. Each year's figures are now taken from THAT YEAR'S OWN edition (FY2025 p.37, FY2024 p.43, FY2023 p.43, FY2022 p.48) and were read off 300 dpi page renders, not the text layer. NO RESTATEMENT EXISTS on the including basis: every edition's prior-year comparative column reproduces the preceding edition's own figure exactly (31 Dec 2024 44,941,926 in both the FY2025 and FY2024 editions; 31 Dec 2023 46,230,149 in both the FY2024 and FY2023 editions; 31 Dec 2022 47,773,487 in both the FY2023 and FY2022 editions), and all five years foot exactly - including minus 'Claims on central banks excluded' equals excluding.
WHY THE TWO BASES MUST NOT BE READ AS ONE SERIES: they diverge by roughly half a percentage point and the gap moves. FY2025 is 5.47% excluding against 4.95% including; FY2024 is 4.95% against 4.42%. Note that FY2024's EXCLUDING ratio and FY2025's INCLUDING ratio are both 4.95% - identical numbers on different bases one year apart, which is exactly how a wrong year-on-year comparison gets made.
TWO DISAGREEMENTS INSIDE TSB'S OWN FY2022 DOCUMENT, RECORDED NOT RECONCILED. (1) For 31 December 2021 on the exclusion basis, that edition's Table 1a (KM1, p.6) and Table 1b (IFRS 9-FL, p.7) both print a leverage ratio of 4.0%, while its Table 21 (LRCom, p.48) prints 4.1% on the transitional row and 4.0% on the fully-loaded row directly beneath it. The 4.0% used here is the one that reproduces arithmetically (Tier 1 1,724,002 / 42,569,754 = 4.05%) and the one two of the three tables print; the 4.1% is TSB's own and is recorded here rather than discarded. (2) The same document prints the 31 December 2021 exclusion-basis exposure measure as 42,569,754 in Table 1a and Table 21 but as 42,569,755 in Table 1b - a £1k difference between three printings of one figure in one document. The ...754 majority figure is used.
FY2023's EXCLUSION RATIO IS CARRIED AT 2dp FROM A LATER EDITION. FY2023's own edition prints 4.6% (1dp); the 4.57% shown here is the FY2024 edition's own 31 Dec 2023 comparative. This is a precision difference, not a restatement - 4.57% rounds to 4.6% - but it is a deviation from the own-edition rule and is recorded so it is not mistaken for a correction. The same applies to FY2023's including ratio, printed 4.0% in its own edition and 3.99% in the FY2024 edition's comparative; the own-edition 4.0% is used.
THE 30 JUNE INTERIM COLUMNS ARE DELIBERATELY NOT USED HERE. Every Table 21 carries a half-year column between the two year-ends (e.g. 30 June 2025: 40,251,519 / 5.22%). An interim reporting date belongs on the Interim Pillar 3 sheet with its date stated, never in an annual FY column.
FY2021 sits on both bases because the FY2022 edition represented it: its exclusion-basis figures (42,569,754 / 4.0%) are that restatement, published as the FY2021 comparator and not in TSB's own FY2021 report, while its including-basis figures (47,412,008 / 3.6%) are what TSB's own FY2021 report printed under the pre-2022 methodology AND what the FY2022 edition's represented comparative prints - the two agree digit for digit, which is why the including row runs continuously from FY2021. The FY2022 edition's own footnote reads: '31 December 2021 reporting has been represented following new PRA reporting requirements including adjustment for exemption of exposures to central banks.' FY2014-FY2020 are shown on the pre-2022 'including claims on central banks' basis throughout, as originally reported each year (not restated) - FY2020's leverage ratio also had a temporary COVID-related alternative measure of 4.3% disclosed alongside the standard 3.8% figure used here; FY2014's leverage-ratio capital numerator basis in the source Pillar 3 table is not fully reconcilable to the CET1 figure used elsewhere on this sheet, so only the ratio itself (5.8%, as published) is shown for FY2014, with the exposure measure left blank rather than backed into.</t>
        </is>
      </c>
    </row>
    <row r="13" ht="377" customHeight="1">
      <c r="A13" s="8" t="inlineStr">
        <is>
          <t>Sources - TSB Banking Group plc consolidated Pillar 3/capital disclosure basis (see entity note on Cash Flow Statement sheet):
FY2025: TSB Banking Group plc Large Subsidiary Disclosures, as at 31 December 2025, p.6 (Table 1: Key metrics (KM1)) - https://www.tsb.co.uk/content/dam/tsb-public/documents/investors/rns/tsb-large-subsidiary-disclosure-2025.pdf
FY2024: TSB Banking Group plc Large Subsidiary Disclosures, as at 31 December 2024, p.6 (Table 1a: Key metrics (KM1)) - https://www.tsb.co.uk/content/dam/tsb-public/documents/investors/rns/TSB-Large-subsidiary-Disclosure-2024.pdf
FY2023: TSB Banking Group plc Large Subsidiary Disclosures 2023, p.6 (Table 1a: Key metrics (KM1)) - https://www.tsb.co.uk/content/dam/tsb-public/documents/investors/rns/TSB-large-subsidiary-disclosure-2023.pdf
FY2022: TSB Banking Group plc Large Subsidiary Disclosures 2022, p.6 (Table 1a: Key metrics (KM1)) - https://www.tsb.co.uk/content/dam/tsb-public/documents/investors/rns/TSB-Large-subsidiary-Disclosure-2022.pdf
FY2021: TSB Banking Group plc Large Subsidiary Disclosures 2021, pp.5-6 (Table 1: Key metrics (KM1 / IFRS 9-FL); the table BREAKS ACROSS TWO PAGES - capital, ratios, SREP, buffers and leverage on p.5, the LCR and NSFR blocks on p.6 under 'Table 1 ... (continued)') - https://www.tsb.co.uk/content/dam/tsb-public/documents/investors/rns/TSB-Large-Subsidiary-Disclosure-2021.pdf
FY2020: TSB Banking Group plc Significant Subsidiary Disclosures 2020, p.6 (Table 1: Key metrics (KM1 / IFRS 9-FL)) - https://www.tsb.co.uk/content/dam/tsb-public/documents/investors/rns/TSB-Significant-Subsidiary-Disclosure-2020.pdf
FY2019: TSB Banking Group plc Significant Subsidiary Disclosures 2019, p.6 (Table 1: Key metrics (KM1/IFRS 9-FL)) - https://web.archive.org/web/20230807234216id_/https://www.tsb.co.uk/investors/tsb-significant-subsidiary-disclosure-2019.pdf (TSB's own published URL for this document, https://www.tsb.co.uk/investors/tsb-significant-subsidiary-disclosure-2019.pdf, is DEAD as at 2026-09-18 and returns HTTP 404; the Wayback 'id_' snapshot cited here is the working replacement - see the FY2017-FY2019 recovery note below)
FY2018: TSB Banking Group plc Significant Subsidiary Disclosures 2018, p.5 (Table 1: Key metrics (KM1/IFRS 9-FL)) - https://web.archive.org/web/20230807142122id_/https://www.tsb.co.uk/investors/tsb-significant-subsidiary-disclosure.pdf (TSB's own published URL for this document, https://www.tsb.co.uk/investors/tsb-significant-subsidiary-disclosure.pdf, is DEAD as at 2026-09-18 and returns HTTP 404)
FY2017: TSB Banking Group plc Significant Subsidiary Disclosures 2017, p.7 (Table 1: Own Funds (OFD2)), p.11 (Table 5: Total amount of risk weighted assets and minimum own funds requirements) and p.33 (Table 27: LRSum) - this edition publishes no key-metrics template - https://web.archive.org/web/20230807174501id_/https://www.tsb.co.uk/significant-subsidiary-disclosures.pdf (TSB's own published URL for this document, https://www.tsb.co.uk/significant-subsidiary-disclosures.pdf, is DEAD as at 2026-09-18 and returns HTTP 404)
FY2016: TSB Banking Group plc Material Subsidiary Pillar 3 Disclosures 2016, p.4 (Table 1: Own funds) - https://www.tsb.co.uk/content/dam/tsb-public/documents/investors/financial-results-and-reports/2016/tsb-material-subsidiary-2016.pdf
FY2015: TSB Banking Group plc Pillar 3 Disclosures 2015 (cover title 'Significant Subsidiary Disclosures, 31 December 2015'), p.5 (Table 1: Own funds) - https://web.archive.org/web/20221214093332id_/https://www.tsb.co.uk/investors/results-and-reports/TSB-Significant-Subsidiary-Disclosures-2015.pdf (TSB's own published URL for this document is DEAD as at 2026-09-16 and returns HTTP 404; the Wayback 'id_' snapshot cited here is the working replacement - see the dead source URL register below)
FY2014: TSB Banking Group plc Pillar 3 Disclosures 2014, p.17 (Table 6: Own funds) - https://www.tsb.co.uk/content/dam/tsb-public/documents/investors/financial-results-and-reports/2014/TSB-Pillar-3-2014,0.pdf
LATEST-EDITION CHECK, 2026-09-18: TSB's own investor pages (tsb.co.uk/investors/results-reports.html and tsb.co.uk/investors/regulatory-news-service.html, both fetched directly as static HTML with real document hrefs - not Wayback and not the URLs already cited here) list the Large Subsidiary Disclosures for 31 December 2025 as the newest ANNUAL edition and the TSB Bank plc / TSB Banking Group plc Annual Report and Accounts 2025 as the newest annual report. Both are already carried in this workbook, so: checked, none newer. TSB also publishes quarterly Pillar 3 disclosures (the newest listed being Q1 2026 and the Q2 2026 Large Subsidiary Disclosure); they report interim dates rather than a further financial year and are not used here.
FY2017-FY2019 PILLAR 3 RECOVERY AND CORRECTION (2026-09-18). An earlier revision of this workbook stated that TSB published no standalone Pillar 3/Significant Subsidiary Disclosure document for FY2017 and FY2018, and sourced those two years' capital metrics from the TSB Banking Group plc Annual Report's own 'Capital resources' table instead. THAT STATEMENT WAS FALSE and has been withdrawn. TSB Banking Group plc published a Significant Subsidiary Disclosures document for FY2017 (48pp), FY2018 (46pp) and FY2019 (52pp), and each of the three prints a full 'Table 1: Key metrics (KM1 / IFRS 9-FL)'. The FY2019 document had likewise never been used here: FY2019 figures were being taken from the FY2020 edition's comparative column, and now come from FY2019's own edition.
HOW THEY WERE FOUND, AND WHY THE URLS ARE ARCHIVE URLS. None of the three is linked from any page of tsb.co.uk today, and every plausible live path returns HTTP 404 with Content-Type text/html (the investors index, the regulatory-news-service index and the DAM document paths were all checked on 2026-09-18). A Wayback CDX domain sweep of tsb.co.uk filtered on '(pillar|subsidiary)' listed all three in one call. The citations therefore give the 'id_' snapshot form, which returns the original archived bytes rather than the Wayback viewer page, and each was verified on fetch by status, Content-Type and '%PDF' magic bytes. TSB's own dead URLs are recorded above beside each snapshot so the original provenance stays readable.</t>
        </is>
      </c>
    </row>
    <row r="15" ht="338" customHeight="1">
      <c r="A15" s="8" t="inlineStr">
        <is>
          <t>(continued)
WHAT CHANGED IN THE FIGURES, AND WHY. The Annual Report table these years used to be sourced from is captioned 'fully loaded' - it prints TSB's IFRS 9 FULLY-LOADED capital, RWAs and leverage exposure, which is the second line of each pair in the Pillar 3 key-metrics table, not the headline. Every other year on these sheets carries the headline (IFRS 9 transitional) figure, so FY2018 sat on a different basis from its neighbours with nothing saying so. FY2018 now reads CET1/Tier 1 1,821,180 (was 1,805,500, the fully-loaded figure as rounded by the Annual Report to £1,805.5m), total capital 2,205,528 (was 2,196,100), RWAs 9,257,644 (was 9,271,000) and the capital ratios 19.7%/19.7%/23.8% (were 19.5%/19.5%/23.7%) - in every case the transitional figure printed by the FY2018 edition's own Table 1. FY2017 predates IFRS 9, so no transitional/fully-loaded split exists for it and the amounts barely move; they are now exact £'000 figures from the FY2017 edition's own Table 1 (Own Funds, OFD2) rather than the Annual Report's £0.1m roundings: CET1/Tier 1 1,898,142 (was 1,898,100), total capital 2,282,212 (was 2,282,200), RWAs 9,490,710 (was 9,490,700).
THE LEVERAGE EXPOSURE MEASURE MOVES FOR A DIFFERENT REASON, and both printings are real. TSB's Pillar 3 documents print a 31-Dec-2018 leverage exposure of 41,466,642 and a 31-Dec-2017 exposure of 42,626,131 (FY2018 edition Table 1 and Table 26 LRSum; FY2017 edition Table 27 LRSum). The Annual Report's 'Total exposures' line for the same two dates reads 41,445.9m and 42,668.6m, under a 'Total Tier 1 Capital for leverage ratio (fully loaded)' heading. The Pillar 3 figures are used here, because every other year on the Leverage Ratio sheet comes from a Pillar 3 document; the Annual Report figures are recorded here rather than discarded. The leverage RATIO is 4.4% (2018) and 4.5% (2017) in both sources.
FY2017 IS THE ONE YEAR IN THIS RANGE WITH NO KM1 OF ITS OWN. The FY2017 edition publishes OFD2/OFD3, LRSum/LRCom and the full credit-risk template set, but no key-metrics template - its Executive Summary carries a bespoke ten-line 'Key metrics' summary (CET1 £1.9bn, CET1 ratio 20.0%, Total Capital £2.3bn, Total Capital ratio 24.0%, credit-risk EAD, credit/operational RWAs, Basel III leverage 4.5%, UK leverage 5.4%) which carries no Tier 1 row, no SREP rows, no buffer block, no LCR and no NSFR, and so is a different and shorter table rather than an unnumbered template. The KM1 Key Metrics sheet's FY2017 column is therefore filled from the FY2018 edition's own 31-Dec-2017 comparative column, and says so.
DEAD SOURCE URL REGISTER (recorded 2026-09-16, nothing deleted). The FY2015 Significant Subsidiary Disclosures were published at https://www.tsb.co.uk/investors/results-and-reports/TSB-Significant-Subsidiary-Disclosures-2015.pdf and that URL is now DEAD: re-fetched 2026-09-16 it returns HTTP 404 with Content-Type text/html, not a PDF. It is kept on the record here rather than deleted so the provenance of the FY2015 capital figures stays readable now that TSB no longer serves the file. The working replacement, cited above, is the Wayback Machine snapshot https://web.archive.org/web/20221214093332id_/https://www.tsb.co.uk/investors/results-and-reports/TSB-Significant-Subsidiary-Disclosures-2015.pdf - given in the 'id_' form, which returns the original archived bytes rather than the Wayback viewer page. Verified on fetch: begins '%PDF', 440,862 bytes, 37pp. DOCUMENT AND BASIS CONFIRMED BY OPENING IT, NOT INFERRED. Its cover reads 'TSB Banking Group plc / Significant Subsidiary Disclosures / 31 December 2015' and its running header reads 'TSB Banking Group plc Pillar 3 Disclosures 2015' - both titles belong to this one document, which is why it is cited above under the latter name. Its Introduction states verbatim: 'This document presents the Pillar III Significant Subsidiary Disclosures at 31 December 2015 relating to TSB Banking Group plc (TSB Group) as part of the Banco de Sabadell Group (Sabadell). Following TSB Group's acquisition by Sabadell in June 2015, TSB is not required to produce and publish full Pillar III disclosures. TSB Group's risk disclosures are included in Sabadell's consolidated Pillar III disclosures.' This is therefore the significant-subsidiaries annex form: a disclosure naming a specific subsidiary within a foreign parent's consolidation, which under this project's rules IS usable entity data rather than a parent-group figure substituted for the entity. The named subsidiary is TSB Banking GROUP plc (the UK consolidated sub-group inside Sabadell), NOT TSB Bank plc solo - exactly the basis the Pillar 3 sheets are already labelled with ('TSB Banking Group plc consolidated Pillar 3/capital disclosure basis'), and the same basis as the FY2016 Material Subsidiary and FY2019-FY2025 Significant/Large Subsidiary disclosures either side of it, so the series is consistent. See the ENTITY NOTE for why that sub-group basis is treated as the banking entity here (TSB Banking Group plc's only direct subsidiary is TSB Bank plc) and for the genuine entity-basis break at the FY2016/FY2017 boundary. VALIDATION GATE PASSED. The recovered document's own Executive Summary key-metrics table (2015 / 2014 columns) reads: CET1 £1.7bn / £1.6bn, CET1 ratio 17.8% / 23.0%, Total Capital £2.1bn / £2.0bn, Total Capital ratio 21.9% / 28.5%, Total RWAs £9.4bn / £6.9bn. Every one of those reproduces the FY2015 figures already in this workbook (CET1 £1,672,458k, CET1 ratio 17.8%, Total capital £2,055,971k, Total capital ratio 21.9%, Total RWAs £9,402,364k), and its narrative total-assets figure ('TSB Group's total assets grew from £27.2bn to £31.6bn') reproduces the Balance Sheet sheet's FY2015 total assets of £31,618.0m. The replacement document is therefore the same edition the figures were transcribed from, not a restatement. NO figure in this workbook was changed as part of this URL repair. ONE DISCLOSED-BUT-DELIBERATELY-UNUSED FIGURE, recorded so it is not re-chased: the same table also gives a 'Basel III Leverage ratio' of 5.2% (2015) and 5.8% (2014), while the Leverage Ratio sheet leaves FY2015 and FY2014 blank. That blank is deliberate and correct, NOT an unresearched gap. The Leverage Ratio sheet's row is specifically 'Leverage ratio excluding claims on central banks (%)' - the UK exclusion-basis measure used from FY2019 onward - whereas this 2015 document's 5.2% is the original Basel III/CRD IV leverage ratio, whose exposure measure INCLUDES claims on central banks. They are two different series and must never be merged into one row, the same discipline applied to point-in-time vs 12-month-average LCR elsewhere in this project. The 5.2%/5.8% figures are preserved here on the record rather than written into the sheet.</t>
        </is>
      </c>
    </row>
  </sheetData>
  <mergeCells count="3">
    <mergeCell ref="A13:M13"/>
    <mergeCell ref="A11:M11"/>
    <mergeCell ref="A15:M1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TSB Bank plc — LCR</t>
        </is>
      </c>
    </row>
    <row r="2">
      <c r="A2" s="2" t="inlineStr">
        <is>
          <t>£'000 / %</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high-quality liquid assets (HQLA) (weighted value - average)</t>
        </is>
      </c>
      <c r="B4" s="6" t="n">
        <v>6476199</v>
      </c>
      <c r="C4" s="6" t="n">
        <v>6921589</v>
      </c>
      <c r="D4" s="6" t="n">
        <v>7371627</v>
      </c>
      <c r="E4" s="6" t="n">
        <v>6788964</v>
      </c>
      <c r="F4" s="6" t="n">
        <v>6441563</v>
      </c>
    </row>
    <row r="5">
      <c r="A5" s="6" t="inlineStr">
        <is>
          <t>Cash outflows - total weighted value</t>
        </is>
      </c>
      <c r="B5" s="6" t="n">
        <v>3765659</v>
      </c>
      <c r="C5" s="6" t="n">
        <v>4056488</v>
      </c>
      <c r="D5" s="6" t="n">
        <v>4134068</v>
      </c>
      <c r="E5" s="6" t="n">
        <v>4326960</v>
      </c>
      <c r="F5" s="6" t="n">
        <v>4123393</v>
      </c>
    </row>
    <row r="6">
      <c r="A6" s="6" t="inlineStr">
        <is>
          <t>Cash inflows - total weighted value</t>
        </is>
      </c>
      <c r="B6" s="6" t="n">
        <v>250510</v>
      </c>
      <c r="C6" s="6" t="n">
        <v>230451</v>
      </c>
      <c r="D6" s="6" t="n">
        <v>218878</v>
      </c>
      <c r="E6" s="6" t="n">
        <v>260513</v>
      </c>
      <c r="F6" s="6" t="n">
        <v>202253</v>
      </c>
    </row>
    <row r="7">
      <c r="A7" s="6" t="inlineStr">
        <is>
          <t>Total net cash outflows (adjusted value)</t>
        </is>
      </c>
      <c r="B7" s="6" t="n">
        <v>3515149</v>
      </c>
      <c r="C7" s="6" t="n">
        <v>3826038</v>
      </c>
      <c r="D7" s="6" t="n">
        <v>3915190</v>
      </c>
      <c r="E7" s="6" t="n">
        <v>4066447</v>
      </c>
      <c r="F7" s="6" t="n">
        <v>3921140</v>
      </c>
    </row>
    <row r="8">
      <c r="A8" s="6" t="inlineStr">
        <is>
          <t>Liquidity Coverage Ratio (%)</t>
        </is>
      </c>
      <c r="B8" s="6" t="inlineStr">
        <is>
          <t>185%</t>
        </is>
      </c>
      <c r="C8" s="6" t="inlineStr">
        <is>
          <t>182%</t>
        </is>
      </c>
      <c r="D8" s="6" t="inlineStr">
        <is>
          <t>188%</t>
        </is>
      </c>
      <c r="E8" s="6" t="inlineStr">
        <is>
          <t>168%</t>
        </is>
      </c>
      <c r="F8" s="6" t="inlineStr">
        <is>
          <t>165%</t>
        </is>
      </c>
    </row>
    <row r="9" ht="130" customHeight="1">
      <c r="A9" s="7" t="inlineStr">
        <is>
          <t>Note: LCR is a twelve-month simple average of month-end ratios per TSB's disclosed methodology.
THE FY2021 FIGURES COME FROM THE LIQ1 TEMPLATE, NOT FROM THAT EDITION'S KM1 ROW, AND THE TWO ARE ON DIFFERENT BASES. TSB's FY2021 Large Subsidiary Disclosures print an LCR of 194% in the key-metrics table on p.6 (HQLA £7,513,828k over net outflows £3,863,755k) and 165% in the LIQ1 template on p.39 (HQLA £6,441,563k over net outflows £3,921,140k). Both are that edition's own figures and neither is wrong: the edition's own narrative says 'As at 31 December 2021, TSB's LCR was 194% (December 2020: 201%). The table below reflects the trailing 12 month-end average LCR balances ... The trailing 12 month-end average LCR to 31 December 2021 was 165%'. The AVERAGE is used on this sheet, because that is the basis every other year here is on; the point-in-time 194% is reproduced on the KM1 Key Metrics sheet, where the template row carries it. The FY2022 edition's own 31-Dec-2021 comparative column reproduces the average figures exactly (6,441,563 / 4,123,393 / 202,253 / 3,921,140 / 165%), which is what confirms the reading.
FY2014-FY2020 are blank because no LCR is published for those years. The FY2017, FY2018, FY2019 and FY2020 Significant Subsidiary Disclosures were each searched in full on 2026-09-18 and return ZERO matches for 'liquidity coverage', 'LCR' and 'high-quality liquid assets', against 29-31 matches for 'own funds' and 36-41 for 'leverage ratio' in the same documents - the zeroes are a fact about the documents, which carry no liquidity section at all, and not about the search. Left blank rather than estimated.</t>
        </is>
      </c>
    </row>
    <row r="11" ht="390" customHeight="1">
      <c r="A11" s="8" t="inlineStr">
        <is>
          <t>Sources - TSB Banking Group plc consolidated Pillar 3/capital disclosure basis (see entity note on Cash Flow Statement sheet):
FY2025: TSB Banking Group plc Large Subsidiary Disclosures, as at 31 December 2025, p.6 (Table 1: Key metrics (KM1)) - https://www.tsb.co.uk/content/dam/tsb-public/documents/investors/rns/tsb-large-subsidiary-disclosure-2025.pdf
FY2024: TSB Banking Group plc Large Subsidiary Disclosures, as at 31 December 2024, p.6 (Table 1a: Key metrics (KM1)) - https://www.tsb.co.uk/content/dam/tsb-public/documents/investors/rns/TSB-Large-subsidiary-Disclosure-2024.pdf
FY2023: TSB Banking Group plc Large Subsidiary Disclosures 2023, p.6 (Table 1a: Key metrics (KM1)) - https://www.tsb.co.uk/content/dam/tsb-public/documents/investors/rns/TSB-large-subsidiary-disclosure-2023.pdf
FY2022: TSB Banking Group plc Large Subsidiary Disclosures 2022, p.6 (Table 1a: Key metrics (KM1)) - https://www.tsb.co.uk/content/dam/tsb-public/documents/investors/rns/TSB-Large-subsidiary-Disclosure-2022.pdf
FY2021: TSB Banking Group plc Large Subsidiary Disclosures 2021, pp.5-6 (Table 1: Key metrics (KM1 / IFRS 9-FL); the table BREAKS ACROSS TWO PAGES - capital, ratios, SREP, buffers and leverage on p.5, the LCR and NSFR blocks on p.6 under 'Table 1 ... (continued)') - https://www.tsb.co.uk/content/dam/tsb-public/documents/investors/rns/TSB-Large-Subsidiary-Disclosure-2021.pdf
FY2020: TSB Banking Group plc Significant Subsidiary Disclosures 2020, p.6 (Table 1: Key metrics (KM1 / IFRS 9-FL)) - https://www.tsb.co.uk/content/dam/tsb-public/documents/investors/rns/TSB-Significant-Subsidiary-Disclosure-2020.pdf
FY2019: TSB Banking Group plc Significant Subsidiary Disclosures 2019, p.6 (Table 1: Key metrics (KM1/IFRS 9-FL)) - https://web.archive.org/web/20230807234216id_/https://www.tsb.co.uk/investors/tsb-significant-subsidiary-disclosure-2019.pdf (TSB's own published URL for this document, https://www.tsb.co.uk/investors/tsb-significant-subsidiary-disclosure-2019.pdf, is DEAD as at 2026-09-18 and returns HTTP 404; the Wayback 'id_' snapshot cited here is the working replacement - see the FY2017-FY2019 recovery note below)
FY2018: TSB Banking Group plc Significant Subsidiary Disclosures 2018, p.5 (Table 1: Key metrics (KM1/IFRS 9-FL)) - https://web.archive.org/web/20230807142122id_/https://www.tsb.co.uk/investors/tsb-significant-subsidiary-disclosure.pdf (TSB's own published URL for this document, https://www.tsb.co.uk/investors/tsb-significant-subsidiary-disclosure.pdf, is DEAD as at 2026-09-18 and returns HTTP 404)
FY2017: TSB Banking Group plc Significant Subsidiary Disclosures 2017, p.7 (Table 1: Own Funds (OFD2)), p.11 (Table 5: Total amount of risk weighted assets and minimum own funds requirements) and p.33 (Table 27: LRSum) - this edition publishes no key-metrics template - https://web.archive.org/web/20230807174501id_/https://www.tsb.co.uk/significant-subsidiary-disclosures.pdf (TSB's own published URL for this document, https://www.tsb.co.uk/significant-subsidiary-disclosures.pdf, is DEAD as at 2026-09-18 and returns HTTP 404)
FY2016: TSB Banking Group plc Material Subsidiary Pillar 3 Disclosures 2016, p.4 (Table 1: Own funds) - https://www.tsb.co.uk/content/dam/tsb-public/documents/investors/financial-results-and-reports/2016/tsb-material-subsidiary-2016.pdf
FY2015: TSB Banking Group plc Pillar 3 Disclosures 2015 (cover title 'Significant Subsidiary Disclosures, 31 December 2015'), p.5 (Table 1: Own funds) - https://web.archive.org/web/20221214093332id_/https://www.tsb.co.uk/investors/results-and-reports/TSB-Significant-Subsidiary-Disclosures-2015.pdf (TSB's own published URL for this document is DEAD as at 2026-09-16 and returns HTTP 404; the Wayback 'id_' snapshot cited here is the working replacement - see the dead source URL register below)</t>
        </is>
      </c>
    </row>
    <row r="13" ht="351" customHeight="1">
      <c r="A13" s="8" t="inlineStr">
        <is>
          <t>(continued)
FY2014: TSB Banking Group plc Pillar 3 Disclosures 2014, p.17 (Table 6: Own funds) - https://www.tsb.co.uk/content/dam/tsb-public/documents/investors/financial-results-and-reports/2014/TSB-Pillar-3-2014,0.pdf
LATEST-EDITION CHECK, 2026-09-18: TSB's own investor pages (tsb.co.uk/investors/results-reports.html and tsb.co.uk/investors/regulatory-news-service.html, both fetched directly as static HTML with real document hrefs - not Wayback and not the URLs already cited here) list the Large Subsidiary Disclosures for 31 December 2025 as the newest ANNUAL edition and the TSB Bank plc / TSB Banking Group plc Annual Report and Accounts 2025 as the newest annual report. Both are already carried in this workbook, so: checked, none newer. TSB also publishes quarterly Pillar 3 disclosures (the newest listed being Q1 2026 and the Q2 2026 Large Subsidiary Disclosure); they report interim dates rather than a further financial year and are not used here.
FY2017-FY2019 PILLAR 3 RECOVERY AND CORRECTION (2026-09-18). An earlier revision of this workbook stated that TSB published no standalone Pillar 3/Significant Subsidiary Disclosure document for FY2017 and FY2018, and sourced those two years' capital metrics from the TSB Banking Group plc Annual Report's own 'Capital resources' table instead. THAT STATEMENT WAS FALSE and has been withdrawn. TSB Banking Group plc published a Significant Subsidiary Disclosures document for FY2017 (48pp), FY2018 (46pp) and FY2019 (52pp), and each of the three prints a full 'Table 1: Key metrics (KM1 / IFRS 9-FL)'. The FY2019 document had likewise never been used here: FY2019 figures were being taken from the FY2020 edition's comparative column, and now come from FY2019's own edition.
HOW THEY WERE FOUND, AND WHY THE URLS ARE ARCHIVE URLS. None of the three is linked from any page of tsb.co.uk today, and every plausible live path returns HTTP 404 with Content-Type text/html (the investors index, the regulatory-news-service index and the DAM document paths were all checked on 2026-09-18). A Wayback CDX domain sweep of tsb.co.uk filtered on '(pillar|subsidiary)' listed all three in one call. The citations therefore give the 'id_' snapshot form, which returns the original archived bytes rather than the Wayback viewer page, and each was verified on fetch by status, Content-Type and '%PDF' magic bytes. TSB's own dead URLs are recorded above beside each snapshot so the original provenance stays readable.
WHAT CHANGED IN THE FIGURES, AND WHY. The Annual Report table these years used to be sourced from is captioned 'fully loaded' - it prints TSB's IFRS 9 FULLY-LOADED capital, RWAs and leverage exposure, which is the second line of each pair in the Pillar 3 key-metrics table, not the headline. Every other year on these sheets carries the headline (IFRS 9 transitional) figure, so FY2018 sat on a different basis from its neighbours with nothing saying so. FY2018 now reads CET1/Tier 1 1,821,180 (was 1,805,500, the fully-loaded figure as rounded by the Annual Report to £1,805.5m), total capital 2,205,528 (was 2,196,100), RWAs 9,257,644 (was 9,271,000) and the capital ratios 19.7%/19.7%/23.8% (were 19.5%/19.5%/23.7%) - in every case the transitional figure printed by the FY2018 edition's own Table 1. FY2017 predates IFRS 9, so no transitional/fully-loaded split exists for it and the amounts barely move; they are now exact £'000 figures from the FY2017 edition's own Table 1 (Own Funds, OFD2) rather than the Annual Report's £0.1m roundings: CET1/Tier 1 1,898,142 (was 1,898,100), total capital 2,282,212 (was 2,282,200), RWAs 9,490,710 (was 9,490,700).</t>
        </is>
      </c>
    </row>
    <row r="15" ht="409" customHeight="1">
      <c r="A15" s="8" t="inlineStr">
        <is>
          <t>(continued)
THE LEVERAGE EXPOSURE MEASURE MOVES FOR A DIFFERENT REASON, and both printings are real. TSB's Pillar 3 documents print a 31-Dec-2018 leverage exposure of 41,466,642 and a 31-Dec-2017 exposure of 42,626,131 (FY2018 edition Table 1 and Table 26 LRSum; FY2017 edition Table 27 LRSum). The Annual Report's 'Total exposures' line for the same two dates reads 41,445.9m and 42,668.6m, under a 'Total Tier 1 Capital for leverage ratio (fully loaded)' heading. The Pillar 3 figures are used here, because every other year on the Leverage Ratio sheet comes from a Pillar 3 document; the Annual Report figures are recorded here rather than discarded. The leverage RATIO is 4.4% (2018) and 4.5% (2017) in both sources.
FY2017 IS THE ONE YEAR IN THIS RANGE WITH NO KM1 OF ITS OWN. The FY2017 edition publishes OFD2/OFD3, LRSum/LRCom and the full credit-risk template set, but no key-metrics template - its Executive Summary carries a bespoke ten-line 'Key metrics' summary (CET1 £1.9bn, CET1 ratio 20.0%, Total Capital £2.3bn, Total Capital ratio 24.0%, credit-risk EAD, credit/operational RWAs, Basel III leverage 4.5%, UK leverage 5.4%) which carries no Tier 1 row, no SREP rows, no buffer block, no LCR and no NSFR, and so is a different and shorter table rather than an unnumbered template. The KM1 Key Metrics sheet's FY2017 column is therefore filled from the FY2018 edition's own 31-Dec-2017 comparative column, and says so.
DEAD SOURCE URL REGISTER (recorded 2026-09-16, nothing deleted). The FY2015 Significant Subsidiary Disclosures were published at https://www.tsb.co.uk/investors/results-and-reports/TSB-Significant-Subsidiary-Disclosures-2015.pdf and that URL is now DEAD: re-fetched 2026-09-16 it returns HTTP 404 with Content-Type text/html, not a PDF. It is kept on the record here rather than deleted so the provenance of the FY2015 capital figures stays readable now that TSB no longer serves the file. The working replacement, cited above, is the Wayback Machine snapshot https://web.archive.org/web/20221214093332id_/https://www.tsb.co.uk/investors/results-and-reports/TSB-Significant-Subsidiary-Disclosures-2015.pdf - given in the 'id_' form, which returns the original archived bytes rather than the Wayback viewer page. Verified on fetch: begins '%PDF', 440,862 bytes, 37pp. DOCUMENT AND BASIS CONFIRMED BY OPENING IT, NOT INFERRED. Its cover reads 'TSB Banking Group plc / Significant Subsidiary Disclosures / 31 December 2015' and its running header reads 'TSB Banking Group plc Pillar 3 Disclosures 2015' - both titles belong to this one document, which is why it is cited above under the latter name. Its Introduction states verbatim: 'This document presents the Pillar III Significant Subsidiary Disclosures at 31 December 2015 relating to TSB Banking Group plc (TSB Group) as part of the Banco de Sabadell Group (Sabadell). Following TSB Group's acquisition by Sabadell in June 2015, TSB is not required to produce and publish full Pillar III disclosures. TSB Group's risk disclosures are included in Sabadell's consolidated Pillar III disclosures.' This is therefore the significant-subsidiaries annex form: a disclosure naming a specific subsidiary within a foreign parent's consolidation, which under this project's rules IS usable entity data rather than a parent-group figure substituted for the entity. The named subsidiary is TSB Banking GROUP plc (the UK consolidated sub-group inside Sabadell), NOT TSB Bank plc solo - exactly the basis the Pillar 3 sheets are already labelled with ('TSB Banking Group plc consolidated Pillar 3/capital disclosure basis'), and the same basis as the FY2016 Material Subsidiary and FY2019-FY2025 Significant/Large Subsidiary disclosures either side of it, so the series is consistent. See the ENTITY NOTE for why that sub-group basis is treated as the banking entity here (TSB Banking Group plc's only direct subsidiary is TSB Bank plc) and for the genuine entity-basis break at the FY2016/FY2017 boundary. VALIDATION GATE PASSED. The recovered document's own Executive Summary key-metrics table (2015 / 2014 columns) reads: CET1 £1.7bn / £1.6bn, CET1 ratio 17.8% / 23.0%, Total Capital £2.1bn / £2.0bn, Total Capital ratio 21.9% / 28.5%, Total RWAs £9.4bn / £6.9bn. Every one of those reproduces the FY2015 figures already in this workbook (CET1 £1,672,458k, CET1 ratio 17.8%, Total capital £2,055,971k, Total capital ratio 21.9%, Total RWAs £9,402,364k), and its narrative total-assets figure ('TSB Group's total assets grew from £27.2bn to £31.6bn') reproduces the Balance Sheet sheet's FY2015 total assets of £31,618.0m. The replacement document is therefore the same edition the figures were transcribed from, not a restatement. NO figure in this workbook was changed as part of this URL repair.</t>
        </is>
      </c>
    </row>
    <row r="17" ht="120" customHeight="1">
      <c r="A17" s="8" t="inlineStr">
        <is>
          <t>(continued)
ONE DISCLOSED-BUT-DELIBERATELY-UNUSED FIGURE, recorded so it is not re-chased: the same table also gives a 'Basel III Leverage ratio' of 5.2% (2015) and 5.8% (2014), while the Leverage Ratio sheet leaves FY2015 and FY2014 blank. That blank is deliberate and correct, NOT an unresearched gap. The Leverage Ratio sheet's row is specifically 'Leverage ratio excluding claims on central banks (%)' - the UK exclusion-basis measure used from FY2019 onward - whereas this 2015 document's 5.2% is the original Basel III/CRD IV leverage ratio, whose exposure measure INCLUDES claims on central banks. They are two different series and must never be merged into one row, the same discipline applied to point-in-time vs 12-month-average LCR elsewhere in this project. The 5.2%/5.8% figures are preserved here on the record rather than written into the sheet.</t>
        </is>
      </c>
    </row>
  </sheetData>
  <mergeCells count="5">
    <mergeCell ref="A11:F11"/>
    <mergeCell ref="A13:F13"/>
    <mergeCell ref="A9:F9"/>
    <mergeCell ref="A17:F17"/>
    <mergeCell ref="A15:F15"/>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TSB Bank plc — NSFR</t>
        </is>
      </c>
    </row>
    <row r="2">
      <c r="A2" s="2" t="inlineStr">
        <is>
          <t>£'000 / %</t>
        </is>
      </c>
    </row>
    <row r="3">
      <c r="A3" s="4" t="inlineStr">
        <is>
          <t>Metric</t>
        </is>
      </c>
      <c r="B3" s="4" t="inlineStr">
        <is>
          <t>FY2025</t>
        </is>
      </c>
      <c r="C3" s="4" t="inlineStr">
        <is>
          <t>FY2024</t>
        </is>
      </c>
      <c r="D3" s="4" t="inlineStr">
        <is>
          <t>FY2023</t>
        </is>
      </c>
      <c r="E3" s="4" t="inlineStr">
        <is>
          <t>FY2022</t>
        </is>
      </c>
      <c r="F3" s="4" t="inlineStr">
        <is>
          <t>FY2021</t>
        </is>
      </c>
    </row>
    <row r="4">
      <c r="A4" s="6" t="inlineStr">
        <is>
          <t>Total available stable funding</t>
        </is>
      </c>
      <c r="B4" s="6" t="n">
        <v>40945691</v>
      </c>
      <c r="C4" s="6" t="n">
        <v>42119435</v>
      </c>
      <c r="D4" s="6" t="n">
        <v>42368266</v>
      </c>
      <c r="E4" s="6" t="n">
        <v>42774578</v>
      </c>
      <c r="F4" s="6" t="n">
        <v>42912975</v>
      </c>
    </row>
    <row r="5">
      <c r="A5" s="6" t="inlineStr">
        <is>
          <t>Total required stable funding</t>
        </is>
      </c>
      <c r="B5" s="6" t="n">
        <v>26999917</v>
      </c>
      <c r="C5" s="6" t="n">
        <v>27582817</v>
      </c>
      <c r="D5" s="6" t="n">
        <v>27601540</v>
      </c>
      <c r="E5" s="6" t="n">
        <v>28845131</v>
      </c>
      <c r="F5" s="6" t="n">
        <v>28710989</v>
      </c>
    </row>
    <row r="6">
      <c r="A6" s="6" t="inlineStr">
        <is>
          <t>Net Stable Funding Ratio (%)</t>
        </is>
      </c>
      <c r="B6" s="6" t="inlineStr">
        <is>
          <t>152%</t>
        </is>
      </c>
      <c r="C6" s="6" t="inlineStr">
        <is>
          <t>153%</t>
        </is>
      </c>
      <c r="D6" s="6" t="inlineStr">
        <is>
          <t>154%</t>
        </is>
      </c>
      <c r="E6" s="6" t="inlineStr">
        <is>
          <t>148%</t>
        </is>
      </c>
      <c r="F6" s="6" t="inlineStr">
        <is>
          <t>149%</t>
        </is>
      </c>
    </row>
    <row r="7" ht="182" customHeight="1">
      <c r="A7" s="7" t="inlineStr">
        <is>
          <t>Note: FY2022 onward is a four-quarter simple average per TSB's disclosed methodology.
FY2021 IS A DIFFERENT BASIS AND IS NOT AN AVERAGE. TSB's own FY2021 Large Subsidiary Disclosures print an NSFR of 149% at 31 December 2021, with available stable funding of £42,912,975k and required stable funding of £28,710,989k, in the KM1 key-metrics table on p.6 and again in the LIQ2 template on p.40. That edition states the basis in its own words: 'The TSB NSFR was 149% as at 31 December 2021 ... note this is based on the CRR2 regulation which became applicable in the EU from June 2021 and UK from January 2022' - so it is a point-in-time ratio on the EU CRR2 basis, not the four-quarter average the UK template carries from FY2022. It is shown here on that basis rather than blanked.
CORRECTION 2026-09-18: FY2021 previously read 'Not disclosed' on this sheet, on the reasoning that the PRA's averaging methodology began only on 1 January 2022 and that the FY2022 disclosure prints no FY2021 comparative. The second half of that is true and is TSB's own stated reason for the missing comparative ('Comparative have not been reported as the average calculation methodology was introduced by the PRA at 1 January 2022'); the conclusion drawn from it was not, because TSB's own FY2021 edition discloses the ratio directly. The absence was a property of the FY2022 edition's comparative column, not of TSB's FY2021 disclosure.
Separately, the FY2024 disclosure's own FY2023 comparator shows NSFR as 153% rather than the 154% in TSB's own FY2023 disclosure used here - a 1 percentage point drift, most likely rounding/methodology refinement between report vintages rather than an error; both are reproduced faithfully from their respective source documents.
FY2014-FY2020 are blank because no NSFR of any kind is published for those years. The FY2017, FY2018, FY2019 and FY2020 Significant Subsidiary Disclosures were each searched in full on 2026-09-18 and return ZERO matches for 'NSFR', 'net stable funding', 'LCR', 'liquidity coverage' and 'high-quality liquid assets', against 29-31 matches for 'own funds' and 36-41 for 'leverage ratio' in the same documents - so the zeroes are a fact about the documents and not about the search. Those editions carry no liquidity section at all.</t>
        </is>
      </c>
    </row>
    <row r="9" ht="390" customHeight="1">
      <c r="A9" s="8" t="inlineStr">
        <is>
          <t>Sources - TSB Banking Group plc consolidated Pillar 3/capital disclosure basis (see entity note on Cash Flow Statement sheet):
FY2025: TSB Banking Group plc Large Subsidiary Disclosures, as at 31 December 2025, p.6 (Table 1: Key metrics (KM1)) - https://www.tsb.co.uk/content/dam/tsb-public/documents/investors/rns/tsb-large-subsidiary-disclosure-2025.pdf
FY2024: TSB Banking Group plc Large Subsidiary Disclosures, as at 31 December 2024, p.6 (Table 1a: Key metrics (KM1)) - https://www.tsb.co.uk/content/dam/tsb-public/documents/investors/rns/TSB-Large-subsidiary-Disclosure-2024.pdf
FY2023: TSB Banking Group plc Large Subsidiary Disclosures 2023, p.6 (Table 1a: Key metrics (KM1)) - https://www.tsb.co.uk/content/dam/tsb-public/documents/investors/rns/TSB-large-subsidiary-disclosure-2023.pdf
FY2022: TSB Banking Group plc Large Subsidiary Disclosures 2022, p.6 (Table 1a: Key metrics (KM1)) - https://www.tsb.co.uk/content/dam/tsb-public/documents/investors/rns/TSB-Large-subsidiary-Disclosure-2022.pdf
FY2021: TSB Banking Group plc Large Subsidiary Disclosures 2021, pp.5-6 (Table 1: Key metrics (KM1 / IFRS 9-FL); the table BREAKS ACROSS TWO PAGES - capital, ratios, SREP, buffers and leverage on p.5, the LCR and NSFR blocks on p.6 under 'Table 1 ... (continued)') - https://www.tsb.co.uk/content/dam/tsb-public/documents/investors/rns/TSB-Large-Subsidiary-Disclosure-2021.pdf
FY2020: TSB Banking Group plc Significant Subsidiary Disclosures 2020, p.6 (Table 1: Key metrics (KM1 / IFRS 9-FL)) - https://www.tsb.co.uk/content/dam/tsb-public/documents/investors/rns/TSB-Significant-Subsidiary-Disclosure-2020.pdf
FY2019: TSB Banking Group plc Significant Subsidiary Disclosures 2019, p.6 (Table 1: Key metrics (KM1/IFRS 9-FL)) - https://web.archive.org/web/20230807234216id_/https://www.tsb.co.uk/investors/tsb-significant-subsidiary-disclosure-2019.pdf (TSB's own published URL for this document, https://www.tsb.co.uk/investors/tsb-significant-subsidiary-disclosure-2019.pdf, is DEAD as at 2026-09-18 and returns HTTP 404; the Wayback 'id_' snapshot cited here is the working replacement - see the FY2017-FY2019 recovery note below)
FY2018: TSB Banking Group plc Significant Subsidiary Disclosures 2018, p.5 (Table 1: Key metrics (KM1/IFRS 9-FL)) - https://web.archive.org/web/20230807142122id_/https://www.tsb.co.uk/investors/tsb-significant-subsidiary-disclosure.pdf (TSB's own published URL for this document, https://www.tsb.co.uk/investors/tsb-significant-subsidiary-disclosure.pdf, is DEAD as at 2026-09-18 and returns HTTP 404)
FY2017: TSB Banking Group plc Significant Subsidiary Disclosures 2017, p.7 (Table 1: Own Funds (OFD2)), p.11 (Table 5: Total amount of risk weighted assets and minimum own funds requirements) and p.33 (Table 27: LRSum) - this edition publishes no key-metrics template - https://web.archive.org/web/20230807174501id_/https://www.tsb.co.uk/significant-subsidiary-disclosures.pdf (TSB's own published URL for this document, https://www.tsb.co.uk/significant-subsidiary-disclosures.pdf, is DEAD as at 2026-09-18 and returns HTTP 404)
FY2016: TSB Banking Group plc Material Subsidiary Pillar 3 Disclosures 2016, p.4 (Table 1: Own funds) - https://www.tsb.co.uk/content/dam/tsb-public/documents/investors/financial-results-and-reports/2016/tsb-material-subsidiary-2016.pdf
FY2015: TSB Banking Group plc Pillar 3 Disclosures 2015 (cover title 'Significant Subsidiary Disclosures, 31 December 2015'), p.5 (Table 1: Own funds) - https://web.archive.org/web/20221214093332id_/https://www.tsb.co.uk/investors/results-and-reports/TSB-Significant-Subsidiary-Disclosures-2015.pdf (TSB's own published URL for this document is DEAD as at 2026-09-16 and returns HTTP 404; the Wayback 'id_' snapshot cited here is the working replacement - see the dead source URL register below)</t>
        </is>
      </c>
    </row>
    <row r="11" ht="351" customHeight="1">
      <c r="A11" s="8" t="inlineStr">
        <is>
          <t>(continued)
FY2014: TSB Banking Group plc Pillar 3 Disclosures 2014, p.17 (Table 6: Own funds) - https://www.tsb.co.uk/content/dam/tsb-public/documents/investors/financial-results-and-reports/2014/TSB-Pillar-3-2014,0.pdf
LATEST-EDITION CHECK, 2026-09-18: TSB's own investor pages (tsb.co.uk/investors/results-reports.html and tsb.co.uk/investors/regulatory-news-service.html, both fetched directly as static HTML with real document hrefs - not Wayback and not the URLs already cited here) list the Large Subsidiary Disclosures for 31 December 2025 as the newest ANNUAL edition and the TSB Bank plc / TSB Banking Group plc Annual Report and Accounts 2025 as the newest annual report. Both are already carried in this workbook, so: checked, none newer. TSB also publishes quarterly Pillar 3 disclosures (the newest listed being Q1 2026 and the Q2 2026 Large Subsidiary Disclosure); they report interim dates rather than a further financial year and are not used here.
FY2017-FY2019 PILLAR 3 RECOVERY AND CORRECTION (2026-09-18). An earlier revision of this workbook stated that TSB published no standalone Pillar 3/Significant Subsidiary Disclosure document for FY2017 and FY2018, and sourced those two years' capital metrics from the TSB Banking Group plc Annual Report's own 'Capital resources' table instead. THAT STATEMENT WAS FALSE and has been withdrawn. TSB Banking Group plc published a Significant Subsidiary Disclosures document for FY2017 (48pp), FY2018 (46pp) and FY2019 (52pp), and each of the three prints a full 'Table 1: Key metrics (KM1 / IFRS 9-FL)'. The FY2019 document had likewise never been used here: FY2019 figures were being taken from the FY2020 edition's comparative column, and now come from FY2019's own edition.
HOW THEY WERE FOUND, AND WHY THE URLS ARE ARCHIVE URLS. None of the three is linked from any page of tsb.co.uk today, and every plausible live path returns HTTP 404 with Content-Type text/html (the investors index, the regulatory-news-service index and the DAM document paths were all checked on 2026-09-18). A Wayback CDX domain sweep of tsb.co.uk filtered on '(pillar|subsidiary)' listed all three in one call. The citations therefore give the 'id_' snapshot form, which returns the original archived bytes rather than the Wayback viewer page, and each was verified on fetch by status, Content-Type and '%PDF' magic bytes. TSB's own dead URLs are recorded above beside each snapshot so the original provenance stays readable.
WHAT CHANGED IN THE FIGURES, AND WHY. The Annual Report table these years used to be sourced from is captioned 'fully loaded' - it prints TSB's IFRS 9 FULLY-LOADED capital, RWAs and leverage exposure, which is the second line of each pair in the Pillar 3 key-metrics table, not the headline. Every other year on these sheets carries the headline (IFRS 9 transitional) figure, so FY2018 sat on a different basis from its neighbours with nothing saying so. FY2018 now reads CET1/Tier 1 1,821,180 (was 1,805,500, the fully-loaded figure as rounded by the Annual Report to £1,805.5m), total capital 2,205,528 (was 2,196,100), RWAs 9,257,644 (was 9,271,000) and the capital ratios 19.7%/19.7%/23.8% (were 19.5%/19.5%/23.7%) - in every case the transitional figure printed by the FY2018 edition's own Table 1. FY2017 predates IFRS 9, so no transitional/fully-loaded split exists for it and the amounts barely move; they are now exact £'000 figures from the FY2017 edition's own Table 1 (Own Funds, OFD2) rather than the Annual Report's £0.1m roundings: CET1/Tier 1 1,898,142 (was 1,898,100), total capital 2,282,212 (was 2,282,200), RWAs 9,490,710 (was 9,490,700).</t>
        </is>
      </c>
    </row>
    <row r="13" ht="409" customHeight="1">
      <c r="A13" s="8" t="inlineStr">
        <is>
          <t>(continued)
THE LEVERAGE EXPOSURE MEASURE MOVES FOR A DIFFERENT REASON, and both printings are real. TSB's Pillar 3 documents print a 31-Dec-2018 leverage exposure of 41,466,642 and a 31-Dec-2017 exposure of 42,626,131 (FY2018 edition Table 1 and Table 26 LRSum; FY2017 edition Table 27 LRSum). The Annual Report's 'Total exposures' line for the same two dates reads 41,445.9m and 42,668.6m, under a 'Total Tier 1 Capital for leverage ratio (fully loaded)' heading. The Pillar 3 figures are used here, because every other year on the Leverage Ratio sheet comes from a Pillar 3 document; the Annual Report figures are recorded here rather than discarded. The leverage RATIO is 4.4% (2018) and 4.5% (2017) in both sources.
FY2017 IS THE ONE YEAR IN THIS RANGE WITH NO KM1 OF ITS OWN. The FY2017 edition publishes OFD2/OFD3, LRSum/LRCom and the full credit-risk template set, but no key-metrics template - its Executive Summary carries a bespoke ten-line 'Key metrics' summary (CET1 £1.9bn, CET1 ratio 20.0%, Total Capital £2.3bn, Total Capital ratio 24.0%, credit-risk EAD, credit/operational RWAs, Basel III leverage 4.5%, UK leverage 5.4%) which carries no Tier 1 row, no SREP rows, no buffer block, no LCR and no NSFR, and so is a different and shorter table rather than an unnumbered template. The KM1 Key Metrics sheet's FY2017 column is therefore filled from the FY2018 edition's own 31-Dec-2017 comparative column, and says so.
DEAD SOURCE URL REGISTER (recorded 2026-09-16, nothing deleted). The FY2015 Significant Subsidiary Disclosures were published at https://www.tsb.co.uk/investors/results-and-reports/TSB-Significant-Subsidiary-Disclosures-2015.pdf and that URL is now DEAD: re-fetched 2026-09-16 it returns HTTP 404 with Content-Type text/html, not a PDF. It is kept on the record here rather than deleted so the provenance of the FY2015 capital figures stays readable now that TSB no longer serves the file. The working replacement, cited above, is the Wayback Machine snapshot https://web.archive.org/web/20221214093332id_/https://www.tsb.co.uk/investors/results-and-reports/TSB-Significant-Subsidiary-Disclosures-2015.pdf - given in the 'id_' form, which returns the original archived bytes rather than the Wayback viewer page. Verified on fetch: begins '%PDF', 440,862 bytes, 37pp. DOCUMENT AND BASIS CONFIRMED BY OPENING IT, NOT INFERRED. Its cover reads 'TSB Banking Group plc / Significant Subsidiary Disclosures / 31 December 2015' and its running header reads 'TSB Banking Group plc Pillar 3 Disclosures 2015' - both titles belong to this one document, which is why it is cited above under the latter name. Its Introduction states verbatim: 'This document presents the Pillar III Significant Subsidiary Disclosures at 31 December 2015 relating to TSB Banking Group plc (TSB Group) as part of the Banco de Sabadell Group (Sabadell). Following TSB Group's acquisition by Sabadell in June 2015, TSB is not required to produce and publish full Pillar III disclosures. TSB Group's risk disclosures are included in Sabadell's consolidated Pillar III disclosures.' This is therefore the significant-subsidiaries annex form: a disclosure naming a specific subsidiary within a foreign parent's consolidation, which under this project's rules IS usable entity data rather than a parent-group figure substituted for the entity. The named subsidiary is TSB Banking GROUP plc (the UK consolidated sub-group inside Sabadell), NOT TSB Bank plc solo - exactly the basis the Pillar 3 sheets are already labelled with ('TSB Banking Group plc consolidated Pillar 3/capital disclosure basis'), and the same basis as the FY2016 Material Subsidiary and FY2019-FY2025 Significant/Large Subsidiary disclosures either side of it, so the series is consistent. See the ENTITY NOTE for why that sub-group basis is treated as the banking entity here (TSB Banking Group plc's only direct subsidiary is TSB Bank plc) and for the genuine entity-basis break at the FY2016/FY2017 boundary. VALIDATION GATE PASSED. The recovered document's own Executive Summary key-metrics table (2015 / 2014 columns) reads: CET1 £1.7bn / £1.6bn, CET1 ratio 17.8% / 23.0%, Total Capital £2.1bn / £2.0bn, Total Capital ratio 21.9% / 28.5%, Total RWAs £9.4bn / £6.9bn. Every one of those reproduces the FY2015 figures already in this workbook (CET1 £1,672,458k, CET1 ratio 17.8%, Total capital £2,055,971k, Total capital ratio 21.9%, Total RWAs £9,402,364k), and its narrative total-assets figure ('TSB Group's total assets grew from £27.2bn to £31.6bn') reproduces the Balance Sheet sheet's FY2015 total assets of £31,618.0m. The replacement document is therefore the same edition the figures were transcribed from, not a restatement. NO figure in this workbook was changed as part of this URL repair.</t>
        </is>
      </c>
    </row>
    <row r="15" ht="120" customHeight="1">
      <c r="A15" s="8" t="inlineStr">
        <is>
          <t>(continued)
ONE DISCLOSED-BUT-DELIBERATELY-UNUSED FIGURE, recorded so it is not re-chased: the same table also gives a 'Basel III Leverage ratio' of 5.2% (2015) and 5.8% (2014), while the Leverage Ratio sheet leaves FY2015 and FY2014 blank. That blank is deliberate and correct, NOT an unresearched gap. The Leverage Ratio sheet's row is specifically 'Leverage ratio excluding claims on central banks (%)' - the UK exclusion-basis measure used from FY2019 onward - whereas this 2015 document's 5.2% is the original Basel III/CRD IV leverage ratio, whose exposure measure INCLUDES claims on central banks. They are two different series and must never be merged into one row, the same discipline applied to point-in-time vs 12-month-average LCR elsewhere in this project. The 5.2%/5.8% figures are preserved here on the record rather than written into the sheet.</t>
        </is>
      </c>
    </row>
  </sheetData>
  <mergeCells count="5">
    <mergeCell ref="A11:F11"/>
    <mergeCell ref="A13:F13"/>
    <mergeCell ref="A9:F9"/>
    <mergeCell ref="A15:F15"/>
    <mergeCell ref="A7:F7"/>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TSB Bank plc — MREL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FY2020</t>
        </is>
      </c>
    </row>
    <row r="4">
      <c r="A4" s="6" t="inlineStr">
        <is>
          <t>MREL ratio</t>
        </is>
      </c>
      <c r="B4" s="6" t="inlineStr">
        <is>
          <t>27.04%</t>
        </is>
      </c>
      <c r="C4" s="6" t="inlineStr">
        <is>
          <t>28.33%</t>
        </is>
      </c>
      <c r="D4" s="6" t="inlineStr">
        <is>
          <t>27.8%</t>
        </is>
      </c>
      <c r="E4" s="6" t="inlineStr">
        <is>
          <t>26.9%</t>
        </is>
      </c>
      <c r="F4" s="6" t="inlineStr">
        <is>
          <t>22.8%</t>
        </is>
      </c>
      <c r="G4" s="6" t="inlineStr">
        <is>
          <t>23.2%</t>
        </is>
      </c>
    </row>
    <row r="5">
      <c r="A5" s="6" t="inlineStr">
        <is>
          <t>Internal MREL requirement (TSB is a UK subsidiary of Banco Sabadell; not a resolution entity in its own right)</t>
        </is>
      </c>
      <c r="B5" s="6" t="inlineStr">
        <is>
          <t>23.58%</t>
        </is>
      </c>
      <c r="C5" s="6" t="inlineStr">
        <is>
          <t>24.03%</t>
        </is>
      </c>
      <c r="D5" s="6" t="inlineStr">
        <is>
          <t>18.4%</t>
        </is>
      </c>
      <c r="E5" s="6" t="inlineStr">
        <is>
          <t>16.2%</t>
        </is>
      </c>
      <c r="F5" s="6" t="inlineStr">
        <is>
          <t>16.2%</t>
        </is>
      </c>
      <c r="G5" s="6" t="inlineStr">
        <is>
          <t>16.2%</t>
        </is>
      </c>
    </row>
    <row r="6" ht="65" customHeight="1">
      <c r="A6" s="7" t="inlineStr">
        <is>
          <t>Note: TSB is subject to an internal MREL requirement (not external/resolution-entity MREL) as a UK subsidiary of Banco Sabadell. The requirement shown is TSB's disclosed internal MREL requirement each year - basis changed from 'excluding regulatory stress buffers' (FY2021-23) to an all-in figure 'including regulatory stress buffers' (FY2024-25), per TSB's own wording each year; TSB's MREL ratio exceeded its requirement in every year shown. Not disclosed for FY2014-FY2019: the interim MREL requirement period only began 1 January 2020 per TSB's own FY2020 disclosure, and FY2020 is the first year TSB reports an MREL ratio at all (no FY2019 comparator is given in the FY2020 disclosure) - FY2014-FY2019 left blank as genuinely not applicable/not yet in effect, rather than simply undisclosed.</t>
        </is>
      </c>
    </row>
    <row r="8" ht="130" customHeight="1">
      <c r="A8" s="8" t="inlineStr">
        <is>
          <t>Sources - TSB Banking Group plc consolidated Pillar 3 basis, Section 4.4 'Minimum requirement for own funds and eligible liabilities (MREL)' (see entity note on Cash Flow Statement sheet):
FY2025: TSB Banking Group plc Large Subsidiary Disclosures, as at 31 December 2025, p.13 - https://www.tsb.co.uk/content/dam/tsb-public/documents/investors/rns/tsb-large-subsidiary-disclosure-2025.pdf
FY2024: TSB Banking Group plc Large Subsidiary Disclosures, as at 31 December 2024, p.16 - https://www.tsb.co.uk/content/dam/tsb-public/documents/investors/rns/TSB-Large-subsidiary-Disclosure-2024.pdf
FY2023: TSB Banking Group plc Large Subsidiary Disclosures 2023, p.16 - https://www.tsb.co.uk/content/dam/tsb-public/documents/investors/rns/TSB-large-subsidiary-disclosure-2023.pdf
FY2022: TSB Banking Group plc Large Subsidiary Disclosures 2022, p.17 - https://www.tsb.co.uk/content/dam/tsb-public/documents/investors/rns/TSB-Large-subsidiary-Disclosure-2022.pdf
FY2021: TSB Banking Group plc Large Subsidiary Disclosures 2021, p.14 - https://www.tsb.co.uk/content/dam/tsb-public/documents/investors/rns/TSB-Large-Subsidiary-Disclosure-2021.pdf
FY2020: TSB Banking Group plc Large Subsidiary Disclosures, as at 31 December 2020, Section 4.4 'Minimum requirement for own funds and eligible liabilities (MREL)' - https://www.tsb.co.uk/content/dam/tsb-public/documents/investors/rns/TSB-Significant-Subsidiary-Disclosure-2020.pdf</t>
        </is>
      </c>
    </row>
  </sheetData>
  <mergeCells count="2">
    <mergeCell ref="A8:G8"/>
    <mergeCell ref="A6:G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2026-10-10T15:08:43Z</dcterms:created>
  <dcterms:modified xmlns:dcterms="http://purl.org/dc/terms/" xmlns:xsi="http://www.w3.org/2001/XMLSchema-instance" xsi:type="dcterms:W3CDTF">2026-10-10T15:08:43Z</dcterms:modified>
</cp:coreProperties>
</file>