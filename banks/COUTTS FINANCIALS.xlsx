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8444FC"/>
        <bgColor rgb="008444F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Coutts &amp; Company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Coutts &amp; Company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Coutts &amp; Company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ser>
          <idx val="3"/>
          <order val="3"/>
          <tx>
            <strRef>
              <f>'Overview'!Y22</f>
            </strRef>
          </tx>
          <spPr>
            <a:ln xmlns:a="http://schemas.openxmlformats.org/drawingml/2006/main">
              <a:prstDash val="solid"/>
            </a:ln>
          </spPr>
          <cat>
            <numRef>
              <f>'Overview'!$Z$18:$AD$18</f>
            </numRef>
          </cat>
          <val>
            <numRef>
              <f>'Overview'!$Z$22:$AD$22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Coutts &amp; Company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'Overview'!AG26</f>
            </strRef>
          </tx>
          <spPr>
            <a:ln xmlns:a="http://schemas.openxmlformats.org/drawingml/2006/main">
              <a:prstDash val="solid"/>
            </a:ln>
          </spPr>
          <cat>
            <numRef>
              <f>'Overview'!$AH$25:$AL$25</f>
            </numRef>
          </cat>
          <val>
            <numRef>
              <f>'Overview'!$AH$26:$AL$26</f>
            </numRef>
          </val>
        </ser>
        <ser>
          <idx val="1"/>
          <order val="1"/>
          <tx>
            <strRef>
              <f>'Overview'!AG27</f>
            </strRef>
          </tx>
          <spPr>
            <a:ln xmlns:a="http://schemas.openxmlformats.org/drawingml/2006/main">
              <a:prstDash val="solid"/>
            </a:ln>
          </spPr>
          <cat>
            <numRef>
              <f>'Overview'!$AH$25:$AL$25</f>
            </numRef>
          </cat>
          <val>
            <numRef>
              <f>'Overview'!$AH$27:$AL$27</f>
            </numRef>
          </val>
        </ser>
        <ser>
          <idx val="2"/>
          <order val="2"/>
          <tx>
            <strRef>
              <f>'Overview'!AG28</f>
            </strRef>
          </tx>
          <spPr>
            <a:ln xmlns:a="http://schemas.openxmlformats.org/drawingml/2006/main">
              <a:prstDash val="solid"/>
            </a:ln>
          </spPr>
          <cat>
            <numRef>
              <f>'Overview'!$AH$25:$AL$25</f>
            </numRef>
          </cat>
          <val>
            <numRef>
              <f>'Overview'!$AH$28:$AL$28</f>
            </numRef>
          </val>
        </ser>
        <ser>
          <idx val="3"/>
          <order val="3"/>
          <tx>
            <strRef>
              <f>'Overview'!AG29</f>
            </strRef>
          </tx>
          <spPr>
            <a:ln xmlns:a="http://schemas.openxmlformats.org/drawingml/2006/main">
              <a:prstDash val="solid"/>
            </a:ln>
          </spPr>
          <cat>
            <numRef>
              <f>'Overview'!$AH$25:$AL$25</f>
            </numRef>
          </cat>
          <val>
            <numRef>
              <f>'Overview'!$AH$29:$AL$29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Coutts &amp; Company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'Overview'!$AP$6:$AT$6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'Overview'!$AP$7:$AT$7</f>
            </numRef>
          </val>
          <smooth val="0"/>
        </ser>
        <ser>
          <idx val="2"/>
          <order val="2"/>
          <tx>
            <strRef>
              <f>'Overview'!AO8</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'Overview'!$AP$8:$AT$8</f>
            </numRef>
          </val>
          <smooth val="0"/>
        </ser>
        <ser>
          <idx val="3"/>
          <order val="3"/>
          <tx>
            <strRef>
              <f>'Overview'!AO9</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'Overview'!$AP$9:$AT$9</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40</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62</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84</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106</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128</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T38"/>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s>
  <sheetData>
    <row r="1">
      <c r="A1" s="1" t="inlineStr">
        <is>
          <t>Coutts &amp; Company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P5" t="inlineStr">
        <is>
          <t>FY2021</t>
        </is>
      </c>
      <c r="AQ5" t="inlineStr">
        <is>
          <t>FY2022</t>
        </is>
      </c>
      <c r="AR5" t="inlineStr">
        <is>
          <t>FY2023</t>
        </is>
      </c>
      <c r="AS5" t="inlineStr">
        <is>
          <t>FY2024</t>
        </is>
      </c>
      <c r="AT5" t="inlineStr">
        <is>
          <t>FY2025</t>
        </is>
      </c>
    </row>
    <row r="6">
      <c r="A6" s="5" t="inlineStr">
        <is>
          <t>Total assets</t>
        </is>
      </c>
      <c r="B6" s="5" t="n">
        <v>61695</v>
      </c>
      <c r="C6" s="5" t="n">
        <v>62860</v>
      </c>
      <c r="D6" s="5" t="n">
        <v>55573</v>
      </c>
      <c r="E6" s="5" t="n">
        <v>54270</v>
      </c>
      <c r="F6" s="5" t="n">
        <v>46915</v>
      </c>
      <c r="I6" t="inlineStr">
        <is>
          <t>Total assets</t>
        </is>
      </c>
      <c r="J6" t="n">
        <v>46915</v>
      </c>
      <c r="K6" t="n">
        <v>54270</v>
      </c>
      <c r="L6" t="n">
        <v>55573</v>
      </c>
      <c r="M6" t="n">
        <v>62860</v>
      </c>
      <c r="N6" t="n">
        <v>61695</v>
      </c>
      <c r="AO6" t="inlineStr">
        <is>
          <t>CET1 Ratio</t>
        </is>
      </c>
      <c r="AP6" t="n">
        <v>11.9</v>
      </c>
      <c r="AQ6" t="n">
        <v>11.8</v>
      </c>
      <c r="AR6" t="n">
        <v>11.3</v>
      </c>
      <c r="AS6" t="n">
        <v>11.3</v>
      </c>
      <c r="AT6" t="n">
        <v>11.4</v>
      </c>
    </row>
    <row r="7">
      <c r="A7" s="5" t="inlineStr">
        <is>
          <t>Loans to customers - amortised cost</t>
        </is>
      </c>
      <c r="B7" s="5" t="n">
        <v>18642</v>
      </c>
      <c r="C7" s="5" t="n">
        <v>18034</v>
      </c>
      <c r="D7" s="5" t="n">
        <v>18333</v>
      </c>
      <c r="E7" s="5" t="n">
        <v>18934</v>
      </c>
      <c r="F7" s="5" t="n">
        <v>17388</v>
      </c>
      <c r="I7" t="inlineStr">
        <is>
          <t>Loans to customers - amortised cost</t>
        </is>
      </c>
      <c r="J7" t="n">
        <v>17388</v>
      </c>
      <c r="K7" t="n">
        <v>18934</v>
      </c>
      <c r="L7" t="n">
        <v>18333</v>
      </c>
      <c r="M7" t="n">
        <v>18034</v>
      </c>
      <c r="N7" t="n">
        <v>18642</v>
      </c>
      <c r="AO7" t="inlineStr">
        <is>
          <t>Tier 1 Ratio</t>
        </is>
      </c>
      <c r="AP7" t="n">
        <v>13.9</v>
      </c>
      <c r="AQ7" t="n">
        <v>14.3</v>
      </c>
      <c r="AR7" t="n">
        <v>13.6</v>
      </c>
      <c r="AS7" t="n">
        <v>13.6</v>
      </c>
      <c r="AT7" t="n">
        <v>13.5</v>
      </c>
    </row>
    <row r="8">
      <c r="A8" s="5" t="inlineStr">
        <is>
          <t>Customer deposits</t>
        </is>
      </c>
      <c r="B8" s="5" t="n">
        <v>42642</v>
      </c>
      <c r="C8" s="5" t="n">
        <v>42318</v>
      </c>
      <c r="D8" s="5" t="n">
        <v>37549</v>
      </c>
      <c r="E8" s="5" t="n">
        <v>41057</v>
      </c>
      <c r="F8" s="5" t="n">
        <v>36971</v>
      </c>
      <c r="I8" t="inlineStr">
        <is>
          <t>Customer deposits</t>
        </is>
      </c>
      <c r="J8" t="n">
        <v>36971</v>
      </c>
      <c r="K8" t="n">
        <v>41057</v>
      </c>
      <c r="L8" t="n">
        <v>37549</v>
      </c>
      <c r="M8" t="n">
        <v>42318</v>
      </c>
      <c r="N8" t="n">
        <v>42642</v>
      </c>
      <c r="AO8" t="inlineStr">
        <is>
          <t>Total Capital Ratio</t>
        </is>
      </c>
      <c r="AP8" t="n">
        <v>16.4</v>
      </c>
      <c r="AQ8" t="n">
        <v>16.7</v>
      </c>
      <c r="AR8" t="n">
        <v>16.4</v>
      </c>
      <c r="AS8" t="n">
        <v>16.4</v>
      </c>
      <c r="AT8" t="n">
        <v>16.3</v>
      </c>
    </row>
    <row r="9">
      <c r="A9" s="5" t="inlineStr">
        <is>
          <t>Owners' equity</t>
        </is>
      </c>
      <c r="B9" s="5" t="n">
        <v>1544</v>
      </c>
      <c r="C9" s="5" t="n">
        <v>1497</v>
      </c>
      <c r="D9" s="5" t="n">
        <v>1618</v>
      </c>
      <c r="E9" s="5" t="n">
        <v>1600</v>
      </c>
      <c r="F9" s="5" t="n">
        <v>1521</v>
      </c>
      <c r="I9" t="inlineStr">
        <is>
          <t>Owners' equity</t>
        </is>
      </c>
      <c r="J9" t="n">
        <v>1521</v>
      </c>
      <c r="K9" t="n">
        <v>1600</v>
      </c>
      <c r="L9" t="n">
        <v>1618</v>
      </c>
      <c r="M9" t="n">
        <v>1497</v>
      </c>
      <c r="N9" t="n">
        <v>1544</v>
      </c>
      <c r="AO9" t="inlineStr">
        <is>
          <t>Leverage Ratio</t>
        </is>
      </c>
      <c r="AQ9" t="n">
        <v>7.7</v>
      </c>
      <c r="AR9" t="n">
        <v>7.4</v>
      </c>
      <c r="AS9" t="n">
        <v>7.5</v>
      </c>
      <c r="AT9" t="n">
        <v>7.6</v>
      </c>
    </row>
    <row r="11">
      <c r="A11" s="3" t="inlineStr">
        <is>
          <t>Profit &amp; Loss Summary (£m)</t>
        </is>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Total income</t>
        </is>
      </c>
      <c r="B13" s="5" t="n">
        <v>990</v>
      </c>
      <c r="C13" s="5" t="n">
        <v>882</v>
      </c>
      <c r="D13" s="5" t="n">
        <v>959</v>
      </c>
      <c r="E13" s="5" t="n">
        <v>922</v>
      </c>
      <c r="F13" s="5" t="n">
        <v>632</v>
      </c>
      <c r="Q13" t="inlineStr">
        <is>
          <t>Total income</t>
        </is>
      </c>
      <c r="R13" t="n">
        <v>632</v>
      </c>
      <c r="S13" t="n">
        <v>922</v>
      </c>
      <c r="T13" t="n">
        <v>959</v>
      </c>
      <c r="U13" t="n">
        <v>882</v>
      </c>
      <c r="V13" t="n">
        <v>990</v>
      </c>
    </row>
    <row r="14">
      <c r="A14" s="5" t="inlineStr">
        <is>
          <t>Operating expenses</t>
        </is>
      </c>
      <c r="B14" s="5" t="n">
        <v>-639</v>
      </c>
      <c r="C14" s="5" t="n">
        <v>-639</v>
      </c>
      <c r="D14" s="5" t="n">
        <v>-575</v>
      </c>
      <c r="E14" s="5" t="n">
        <v>-533</v>
      </c>
      <c r="F14" s="5" t="n">
        <v>-448</v>
      </c>
      <c r="Q14" t="inlineStr">
        <is>
          <t>Operating expenses</t>
        </is>
      </c>
      <c r="R14" t="n">
        <v>-448</v>
      </c>
      <c r="S14" t="n">
        <v>-533</v>
      </c>
      <c r="T14" t="n">
        <v>-575</v>
      </c>
      <c r="U14" t="n">
        <v>-639</v>
      </c>
      <c r="V14" t="n">
        <v>-639</v>
      </c>
    </row>
    <row r="15">
      <c r="A15" s="5" t="inlineStr">
        <is>
          <t>Profit for the year</t>
        </is>
      </c>
      <c r="B15" s="5" t="n">
        <v>259</v>
      </c>
      <c r="C15" s="5" t="n">
        <v>198</v>
      </c>
      <c r="D15" s="5" t="n">
        <v>294</v>
      </c>
      <c r="E15" s="5" t="n">
        <v>247</v>
      </c>
      <c r="F15" s="5" t="n">
        <v>181</v>
      </c>
      <c r="Q15" t="inlineStr">
        <is>
          <t>Profit for the year</t>
        </is>
      </c>
      <c r="R15" t="n">
        <v>181</v>
      </c>
      <c r="S15" t="n">
        <v>247</v>
      </c>
      <c r="T15" t="n">
        <v>294</v>
      </c>
      <c r="U15" t="n">
        <v>198</v>
      </c>
      <c r="V15" t="n">
        <v>259</v>
      </c>
    </row>
    <row r="17">
      <c r="A17" s="3" t="inlineStr">
        <is>
          <t>Statement of Changes in Equity Summary (£m)</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1497</v>
      </c>
      <c r="C19" s="5" t="n">
        <v>1618</v>
      </c>
      <c r="D19" s="5" t="n">
        <v>1600</v>
      </c>
      <c r="E19" s="5" t="n">
        <v>1521</v>
      </c>
      <c r="F19" s="5" t="n">
        <v>1456</v>
      </c>
      <c r="Y19" t="inlineStr">
        <is>
          <t>Opening equity</t>
        </is>
      </c>
      <c r="Z19" t="n">
        <v>1456</v>
      </c>
      <c r="AA19" t="n">
        <v>1521</v>
      </c>
      <c r="AB19" t="n">
        <v>1600</v>
      </c>
      <c r="AC19" t="n">
        <v>1618</v>
      </c>
      <c r="AD19" t="n">
        <v>1497</v>
      </c>
    </row>
    <row r="20">
      <c r="A20" s="5" t="inlineStr">
        <is>
          <t>Total comprehensive income for the year, net of tax</t>
        </is>
      </c>
      <c r="B20" s="5" t="n">
        <v>260</v>
      </c>
      <c r="C20" s="5" t="n">
        <v>196</v>
      </c>
      <c r="D20" s="5" t="n">
        <v>294</v>
      </c>
      <c r="E20" s="5" t="n">
        <v>247</v>
      </c>
      <c r="F20" s="5" t="n">
        <v>182</v>
      </c>
      <c r="Y20" t="inlineStr">
        <is>
          <t>Total comprehensive income for the year, net of tax</t>
        </is>
      </c>
      <c r="Z20" t="n">
        <v>182</v>
      </c>
      <c r="AA20" t="n">
        <v>247</v>
      </c>
      <c r="AB20" t="n">
        <v>294</v>
      </c>
      <c r="AC20" t="n">
        <v>196</v>
      </c>
      <c r="AD20" t="n">
        <v>260</v>
      </c>
    </row>
    <row r="21">
      <c r="A21" s="5" t="inlineStr">
        <is>
          <t>Other equity movements, net</t>
        </is>
      </c>
      <c r="B21" s="5" t="n">
        <v>-213</v>
      </c>
      <c r="C21" s="5" t="n">
        <v>-317</v>
      </c>
      <c r="D21" s="5" t="n">
        <v>-276</v>
      </c>
      <c r="E21" s="5" t="n">
        <v>-168</v>
      </c>
      <c r="F21" s="5" t="n">
        <v>-117</v>
      </c>
      <c r="Y21" t="inlineStr">
        <is>
          <t>Other equity movements, net</t>
        </is>
      </c>
      <c r="Z21" t="n">
        <v>-117</v>
      </c>
      <c r="AA21" t="n">
        <v>-168</v>
      </c>
      <c r="AB21" t="n">
        <v>-276</v>
      </c>
      <c r="AC21" t="n">
        <v>-317</v>
      </c>
      <c r="AD21" t="n">
        <v>-213</v>
      </c>
    </row>
    <row r="22">
      <c r="A22" s="5" t="inlineStr">
        <is>
          <t>Closing equity</t>
        </is>
      </c>
      <c r="B22" s="5" t="n">
        <v>1544</v>
      </c>
      <c r="C22" s="5" t="n">
        <v>1497</v>
      </c>
      <c r="D22" s="5" t="n">
        <v>1618</v>
      </c>
      <c r="E22" s="5" t="n">
        <v>1600</v>
      </c>
      <c r="F22" s="5" t="n">
        <v>1521</v>
      </c>
      <c r="Y22" t="inlineStr">
        <is>
          <t>Closing equity</t>
        </is>
      </c>
      <c r="Z22" t="n">
        <v>1521</v>
      </c>
      <c r="AA22" t="n">
        <v>1600</v>
      </c>
      <c r="AB22" t="n">
        <v>1618</v>
      </c>
      <c r="AC22" t="n">
        <v>1497</v>
      </c>
      <c r="AD22" t="n">
        <v>1544</v>
      </c>
    </row>
    <row r="24">
      <c r="A24" s="3" t="inlineStr">
        <is>
          <t>Cash Flow Summary (£m)</t>
        </is>
      </c>
    </row>
    <row r="25">
      <c r="A25" s="4" t="inlineStr">
        <is>
          <t>Line item</t>
        </is>
      </c>
      <c r="B25" s="4" t="inlineStr">
        <is>
          <t>FY2025</t>
        </is>
      </c>
      <c r="C25" s="4" t="inlineStr">
        <is>
          <t>FY2024</t>
        </is>
      </c>
      <c r="D25" s="4" t="inlineStr">
        <is>
          <t>FY2023</t>
        </is>
      </c>
      <c r="E25" s="4" t="inlineStr">
        <is>
          <t>FY2022</t>
        </is>
      </c>
      <c r="F25" s="4" t="inlineStr">
        <is>
          <t>FY2021</t>
        </is>
      </c>
      <c r="AH25" t="inlineStr">
        <is>
          <t>FY2021</t>
        </is>
      </c>
      <c r="AI25" t="inlineStr">
        <is>
          <t>FY2022</t>
        </is>
      </c>
      <c r="AJ25" t="inlineStr">
        <is>
          <t>FY2023</t>
        </is>
      </c>
      <c r="AK25" t="inlineStr">
        <is>
          <t>FY2024</t>
        </is>
      </c>
      <c r="AL25" t="inlineStr">
        <is>
          <t>FY2025</t>
        </is>
      </c>
    </row>
    <row r="26">
      <c r="A26" s="5" t="inlineStr">
        <is>
          <t>Net cash flows from operating activities</t>
        </is>
      </c>
      <c r="B26" s="5" t="n">
        <v>-1503</v>
      </c>
      <c r="C26" s="5" t="n">
        <v>8013</v>
      </c>
      <c r="D26" s="5" t="n">
        <v>2345</v>
      </c>
      <c r="E26" s="5" t="n">
        <v>6242</v>
      </c>
      <c r="F26" s="5" t="n">
        <v>16461</v>
      </c>
      <c r="AG26" t="inlineStr">
        <is>
          <t>Net cash flows from operating activities</t>
        </is>
      </c>
      <c r="AH26" t="n">
        <v>16461</v>
      </c>
      <c r="AI26" t="n">
        <v>6242</v>
      </c>
      <c r="AJ26" t="n">
        <v>2345</v>
      </c>
      <c r="AK26" t="n">
        <v>8013</v>
      </c>
      <c r="AL26" t="n">
        <v>-1503</v>
      </c>
    </row>
    <row r="27">
      <c r="A27" s="5" t="inlineStr">
        <is>
          <t>Net cash flows from investing activities</t>
        </is>
      </c>
      <c r="B27" s="5" t="n">
        <v>22</v>
      </c>
      <c r="C27" s="5" t="n">
        <v>9</v>
      </c>
      <c r="D27" s="5" t="n">
        <v>36</v>
      </c>
      <c r="E27" s="5" t="n">
        <v>-293</v>
      </c>
      <c r="F27" s="5" t="n">
        <v>-12</v>
      </c>
      <c r="AG27" t="inlineStr">
        <is>
          <t>Net cash flows from investing activities</t>
        </is>
      </c>
      <c r="AH27" t="n">
        <v>-12</v>
      </c>
      <c r="AI27" t="n">
        <v>-293</v>
      </c>
      <c r="AJ27" t="n">
        <v>36</v>
      </c>
      <c r="AK27" t="n">
        <v>9</v>
      </c>
      <c r="AL27" t="n">
        <v>22</v>
      </c>
    </row>
    <row r="28">
      <c r="A28" s="5" t="inlineStr">
        <is>
          <t>Net cash flows from financing activities</t>
        </is>
      </c>
      <c r="B28" s="5" t="n">
        <v>-258</v>
      </c>
      <c r="C28" s="5" t="n">
        <v>-361</v>
      </c>
      <c r="D28" s="5" t="n">
        <v>-347</v>
      </c>
      <c r="E28" s="5" t="n">
        <v>-139</v>
      </c>
      <c r="F28" s="5" t="n">
        <v>123</v>
      </c>
      <c r="AG28" t="inlineStr">
        <is>
          <t>Net cash flows from financing activities</t>
        </is>
      </c>
      <c r="AH28" t="n">
        <v>123</v>
      </c>
      <c r="AI28" t="n">
        <v>-139</v>
      </c>
      <c r="AJ28" t="n">
        <v>-347</v>
      </c>
      <c r="AK28" t="n">
        <v>-361</v>
      </c>
      <c r="AL28" t="n">
        <v>-258</v>
      </c>
    </row>
    <row r="29">
      <c r="A29" s="5" t="inlineStr">
        <is>
          <t>Cash and cash equivalents at 31 December</t>
        </is>
      </c>
      <c r="B29" s="5" t="n">
        <v>42482</v>
      </c>
      <c r="C29" s="5" t="n">
        <v>44222</v>
      </c>
      <c r="D29" s="5" t="n">
        <v>36561</v>
      </c>
      <c r="E29" s="5" t="n">
        <v>34528</v>
      </c>
      <c r="F29" s="5" t="n">
        <v>28694</v>
      </c>
      <c r="AG29" t="inlineStr">
        <is>
          <t>Cash and cash equivalents at 31 December</t>
        </is>
      </c>
      <c r="AH29" t="n">
        <v>28694</v>
      </c>
      <c r="AI29" t="n">
        <v>34528</v>
      </c>
      <c r="AJ29" t="n">
        <v>36561</v>
      </c>
      <c r="AK29" t="n">
        <v>44222</v>
      </c>
      <c r="AL29" t="n">
        <v>42482</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row>
    <row r="33">
      <c r="A33" s="6" t="inlineStr">
        <is>
          <t>CET1 Ratio</t>
        </is>
      </c>
      <c r="B33" s="6" t="inlineStr">
        <is>
          <t>11.4%</t>
        </is>
      </c>
      <c r="C33" s="6" t="inlineStr">
        <is>
          <t>11.3%</t>
        </is>
      </c>
      <c r="D33" s="6" t="inlineStr">
        <is>
          <t>11.3%</t>
        </is>
      </c>
      <c r="E33" s="6" t="inlineStr">
        <is>
          <t>11.8%</t>
        </is>
      </c>
      <c r="F33" s="6" t="inlineStr">
        <is>
          <t>11.9%</t>
        </is>
      </c>
    </row>
    <row r="34">
      <c r="A34" s="6" t="inlineStr">
        <is>
          <t>Tier 1 Ratio</t>
        </is>
      </c>
      <c r="B34" s="6" t="inlineStr">
        <is>
          <t>13.5%</t>
        </is>
      </c>
      <c r="C34" s="6" t="inlineStr">
        <is>
          <t>13.6%</t>
        </is>
      </c>
      <c r="D34" s="6" t="inlineStr">
        <is>
          <t>13.6%</t>
        </is>
      </c>
      <c r="E34" s="6" t="inlineStr">
        <is>
          <t>14.3%</t>
        </is>
      </c>
      <c r="F34" s="6" t="inlineStr">
        <is>
          <t>13.9%</t>
        </is>
      </c>
    </row>
    <row r="35">
      <c r="A35" s="6" t="inlineStr">
        <is>
          <t>Total Capital Ratio</t>
        </is>
      </c>
      <c r="B35" s="6" t="inlineStr">
        <is>
          <t>16.3%</t>
        </is>
      </c>
      <c r="C35" s="6" t="inlineStr">
        <is>
          <t>16.4%</t>
        </is>
      </c>
      <c r="D35" s="6" t="inlineStr">
        <is>
          <t>16.4%</t>
        </is>
      </c>
      <c r="E35" s="6" t="inlineStr">
        <is>
          <t>16.7%</t>
        </is>
      </c>
      <c r="F35" s="6" t="inlineStr">
        <is>
          <t>16.4%</t>
        </is>
      </c>
    </row>
    <row r="36">
      <c r="A36" s="6" t="inlineStr">
        <is>
          <t>Leverage Ratio</t>
        </is>
      </c>
      <c r="B36" s="6" t="inlineStr">
        <is>
          <t>7.6%</t>
        </is>
      </c>
      <c r="C36" s="6" t="inlineStr">
        <is>
          <t>7.5%</t>
        </is>
      </c>
      <c r="D36" s="6" t="inlineStr">
        <is>
          <t>7.4%</t>
        </is>
      </c>
      <c r="E36" s="6" t="inlineStr">
        <is>
          <t>7.7%</t>
        </is>
      </c>
      <c r="F36" s="6" t="n"/>
    </row>
    <row r="38" ht="30" customHeight="1">
      <c r="A38" s="7" t="inlineStr">
        <is>
          <t>Note: LCR/NSFR/MREL omitted from this chart - not disclosed at Coutts's own entity level in any year (see the individual sheets). Figures are duplicated from the detail sheets for at-a-glance trend viewing; see each sheet's own source citation for the underlying document/page.</t>
        </is>
      </c>
    </row>
  </sheetData>
  <mergeCells count="1">
    <mergeCell ref="A38:F3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s>
  <sheetData>
    <row r="1">
      <c r="A1" s="1" t="inlineStr">
        <is>
          <t>Coutts &amp; Company — Balance Sheet</t>
        </is>
      </c>
    </row>
    <row r="2">
      <c r="A2" s="2" t="inlineStr">
        <is>
          <t>Entity-level basis, £m. See source note at bottom.</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Assets</t>
        </is>
      </c>
      <c r="B4" s="6" t="n"/>
      <c r="C4" s="6" t="n"/>
      <c r="D4" s="6" t="n"/>
      <c r="E4" s="6" t="n"/>
      <c r="F4" s="6" t="n"/>
    </row>
    <row r="5">
      <c r="A5" s="6" t="inlineStr">
        <is>
          <t>Cash and balances at central banks</t>
        </is>
      </c>
      <c r="B5" s="6" t="n">
        <v>3</v>
      </c>
      <c r="C5" s="6" t="n">
        <v>3</v>
      </c>
      <c r="D5" s="6" t="n">
        <v>3</v>
      </c>
      <c r="E5" s="6" t="n">
        <v>3</v>
      </c>
      <c r="F5" s="6" t="n">
        <v>3</v>
      </c>
    </row>
    <row r="6">
      <c r="A6" s="6" t="inlineStr">
        <is>
          <t>Loans to banks - amortised cost</t>
        </is>
      </c>
      <c r="B6" s="6" t="n">
        <v>29</v>
      </c>
      <c r="C6" s="6" t="n">
        <v>22</v>
      </c>
      <c r="D6" s="6" t="n">
        <v>98</v>
      </c>
      <c r="E6" s="6" t="n">
        <v>92</v>
      </c>
      <c r="F6" s="6" t="n">
        <v>321</v>
      </c>
    </row>
    <row r="7">
      <c r="A7" s="6" t="inlineStr">
        <is>
          <t>Loans to customers - amortised cost</t>
        </is>
      </c>
      <c r="B7" s="6" t="n">
        <v>18642</v>
      </c>
      <c r="C7" s="6" t="n">
        <v>18034</v>
      </c>
      <c r="D7" s="6" t="n">
        <v>18333</v>
      </c>
      <c r="E7" s="6" t="n">
        <v>18934</v>
      </c>
      <c r="F7" s="6" t="n">
        <v>17388</v>
      </c>
    </row>
    <row r="8">
      <c r="A8" s="6" t="inlineStr">
        <is>
          <t>Amount due from holding companies and fellow subsidiaries</t>
        </is>
      </c>
      <c r="B8" s="6" t="n">
        <v>42546</v>
      </c>
      <c r="C8" s="6" t="n">
        <v>44307</v>
      </c>
      <c r="D8" s="6" t="n">
        <v>36623</v>
      </c>
      <c r="E8" s="6" t="n">
        <v>34681</v>
      </c>
      <c r="F8" s="6" t="n">
        <v>28682</v>
      </c>
    </row>
    <row r="9">
      <c r="A9" s="6" t="inlineStr">
        <is>
          <t>Derivatives</t>
        </is>
      </c>
      <c r="B9" s="6" t="n">
        <v>11</v>
      </c>
      <c r="C9" s="6" t="n">
        <v>17</v>
      </c>
      <c r="D9" s="6" t="n">
        <v>23</v>
      </c>
      <c r="E9" s="6" t="n">
        <v>37</v>
      </c>
      <c r="F9" s="6" t="n">
        <v>14</v>
      </c>
    </row>
    <row r="10">
      <c r="A10" s="6" t="inlineStr">
        <is>
          <t>Investment in group undertakings</t>
        </is>
      </c>
      <c r="B10" s="6" t="n">
        <v>110</v>
      </c>
      <c r="C10" s="6" t="n">
        <v>110</v>
      </c>
      <c r="D10" s="6" t="n">
        <v>110</v>
      </c>
      <c r="E10" s="6" t="n">
        <v>110</v>
      </c>
      <c r="F10" s="6" t="n">
        <v>110</v>
      </c>
    </row>
    <row r="11">
      <c r="A11" s="6" t="inlineStr">
        <is>
          <t>Other assets</t>
        </is>
      </c>
      <c r="B11" s="6" t="n">
        <v>354</v>
      </c>
      <c r="C11" s="6" t="n">
        <v>367</v>
      </c>
      <c r="D11" s="6" t="n">
        <v>383</v>
      </c>
      <c r="E11" s="6" t="n">
        <v>413</v>
      </c>
      <c r="F11" s="6" t="n">
        <v>397</v>
      </c>
    </row>
    <row r="12">
      <c r="A12" s="5" t="inlineStr">
        <is>
          <t>Total assets</t>
        </is>
      </c>
      <c r="B12" s="5" t="n">
        <v>61695</v>
      </c>
      <c r="C12" s="5" t="n">
        <v>62860</v>
      </c>
      <c r="D12" s="5" t="n">
        <v>55573</v>
      </c>
      <c r="E12" s="5" t="n">
        <v>54270</v>
      </c>
      <c r="F12" s="5" t="n">
        <v>46915</v>
      </c>
    </row>
    <row r="13">
      <c r="A13" s="5" t="inlineStr">
        <is>
          <t>Liabilities</t>
        </is>
      </c>
      <c r="B13" s="6" t="n"/>
      <c r="C13" s="6" t="n"/>
      <c r="D13" s="6" t="n"/>
      <c r="E13" s="6" t="n"/>
      <c r="F13" s="6" t="n"/>
    </row>
    <row r="14">
      <c r="A14" s="6" t="inlineStr">
        <is>
          <t>Bank deposits</t>
        </is>
      </c>
      <c r="B14" s="6" t="n">
        <v>0</v>
      </c>
      <c r="C14" s="6" t="n">
        <v>2</v>
      </c>
      <c r="D14" s="6" t="n"/>
      <c r="E14" s="6" t="n">
        <v>0</v>
      </c>
      <c r="F14" s="6" t="n">
        <v>2</v>
      </c>
    </row>
    <row r="15">
      <c r="A15" s="6" t="inlineStr">
        <is>
          <t>Customer deposits</t>
        </is>
      </c>
      <c r="B15" s="6" t="n">
        <v>42642</v>
      </c>
      <c r="C15" s="6" t="n">
        <v>42318</v>
      </c>
      <c r="D15" s="6" t="n">
        <v>37549</v>
      </c>
      <c r="E15" s="6" t="n">
        <v>41057</v>
      </c>
      <c r="F15" s="6" t="n">
        <v>36971</v>
      </c>
    </row>
    <row r="16">
      <c r="A16" s="6" t="inlineStr">
        <is>
          <t>Amount due to holding companies and fellow subsidiaries</t>
        </is>
      </c>
      <c r="B16" s="6" t="n">
        <v>17306</v>
      </c>
      <c r="C16" s="6" t="n">
        <v>18868</v>
      </c>
      <c r="D16" s="6" t="n">
        <v>16243</v>
      </c>
      <c r="E16" s="6" t="n">
        <v>11349</v>
      </c>
      <c r="F16" s="6" t="n">
        <v>8291</v>
      </c>
    </row>
    <row r="17">
      <c r="A17" s="6" t="inlineStr">
        <is>
          <t>Derivatives</t>
        </is>
      </c>
      <c r="B17" s="6" t="n">
        <v>12</v>
      </c>
      <c r="C17" s="6" t="n">
        <v>17</v>
      </c>
      <c r="D17" s="6" t="n">
        <v>20</v>
      </c>
      <c r="E17" s="6" t="n">
        <v>34</v>
      </c>
      <c r="F17" s="6" t="n">
        <v>12</v>
      </c>
    </row>
    <row r="18">
      <c r="A18" s="6" t="inlineStr">
        <is>
          <t>Other liabilities</t>
        </is>
      </c>
      <c r="B18" s="6" t="n">
        <v>191</v>
      </c>
      <c r="C18" s="6" t="n">
        <v>158</v>
      </c>
      <c r="D18" s="6" t="n">
        <v>143</v>
      </c>
      <c r="E18" s="6" t="n">
        <v>230</v>
      </c>
      <c r="F18" s="6" t="n">
        <v>118</v>
      </c>
    </row>
    <row r="19">
      <c r="A19" s="5" t="inlineStr">
        <is>
          <t>Total liabilities</t>
        </is>
      </c>
      <c r="B19" s="5" t="n">
        <v>60151</v>
      </c>
      <c r="C19" s="5" t="n">
        <v>61363</v>
      </c>
      <c r="D19" s="5" t="n">
        <v>53955</v>
      </c>
      <c r="E19" s="5" t="n">
        <v>52670</v>
      </c>
      <c r="F19" s="5" t="n">
        <v>45394</v>
      </c>
    </row>
    <row r="20">
      <c r="A20" s="5" t="inlineStr">
        <is>
          <t>Equity</t>
        </is>
      </c>
      <c r="B20" s="6" t="n"/>
      <c r="C20" s="6" t="n"/>
      <c r="D20" s="6" t="n"/>
      <c r="E20" s="6" t="n"/>
      <c r="F20" s="6" t="n"/>
    </row>
    <row r="21">
      <c r="A21" s="5" t="inlineStr">
        <is>
          <t>Owners' equity</t>
        </is>
      </c>
      <c r="B21" s="5" t="n">
        <v>1544</v>
      </c>
      <c r="C21" s="5" t="n">
        <v>1497</v>
      </c>
      <c r="D21" s="5" t="n">
        <v>1618</v>
      </c>
      <c r="E21" s="5" t="n">
        <v>1600</v>
      </c>
      <c r="F21" s="5" t="n">
        <v>1521</v>
      </c>
    </row>
    <row r="22">
      <c r="A22" s="5" t="inlineStr">
        <is>
          <t>Total liabilities and equity</t>
        </is>
      </c>
      <c r="B22" s="5" t="n">
        <v>61695</v>
      </c>
      <c r="C22" s="5" t="n">
        <v>62860</v>
      </c>
      <c r="D22" s="5" t="n">
        <v>55573</v>
      </c>
      <c r="E22" s="5" t="n">
        <v>54270</v>
      </c>
      <c r="F22" s="5" t="n">
        <v>46915</v>
      </c>
    </row>
    <row r="24" ht="299" customHeight="1">
      <c r="A24" s="8" t="inlineStr">
        <is>
          <t>Sources - Coutts &amp; Company's own Statement of Comprehensive Income / Balance Sheet / Statement of Changes in Equity, from its audited Companies House filings:
FY2025/FY2024: Annual Report and Accounts 2025, pp.53-55 - https://find-and-update.company-information.service.gov.uk/company/00036695/filing-history/MzUyMTA2MDcwMGFkaXF6a2N4/document?format=pdf&amp;download=0
FY2023/FY2022: Annual Report and Accounts 2023, pp.50-52 - https://find-and-update.company-information.service.gov.uk/company/00036695/filing-history/MzQyMDgzOTQ5OWFkaXF6a2N4/document?format=pdf&amp;download=0
FY2022/FY2021 (used for the FY2021 column - the only source available for FY2021): Annual Report and Accounts 2022, pp.53-55 - https://find-and-update.company-information.service.gov.uk/company/00036695/filing-history/MzM4NTMwNzEyMGFkaXF6a2N4/document?format=pdf&amp;download=0
All figures reconcile exactly across all 5 years - every year's own closing Owners' equity ties to the next year's opening balance and to that year's own Balance Sheet Total equity figure, with no plug row needed anywhere in the chain. FY2022's own comparative figures (as republished in the FY2023 report) match FY2022's own originally-published figures (from the FY2022 report) exactly in every case checked - no restatement found. FY2023 Called-up share capital is nil ('-') in the source, consistent with earlier years' static £41m balance - flagged as a likely OCR/transcription artifact in the source scan rather than a genuine change, since Paid-in equity/Capital contribution reserve continuity around FY2023 shows no other sign of a share capital event; not corrected, shown as reported.
Coutts &amp; Company (company 00036695, FRN 122287) is a wholly-owned subsidiary of NatWest Group plc, part of the ring-fenced NatWest Holdings (NWH) Group sub-group. All figures are Coutts &amp; Company's own entity-level financial statements/disclosures, not the wider NatWest Group. A private unlimited company - voluntarily files full audited accounts at Companies House despite the unlimited-company form (which would otherwise exempt it from public filing), same as C. Hoare &amp; Co. elsewhere in this project.
BASIS CHANGE: the FY2022 Annual Report states its financial statements 'are prepared on a standalone basis for Coutts. Previously these were prepared on a consolidated basis for Coutts and its subsidiaries.' The FY2021 figures used here are as shown in the FY2022 report's own comparative column (the only source available for FY2021) - it isn't confirmed whether that comparative was itself restated onto the new standalone basis or retains the original consolidated FY2021 basis. Flagged, not resolved.
In September 2022 Coutts acquired the 'Adam &amp; Company' private-banking business from The Royal Bank of Scotland plc (a Part VII-style transfer) - RBS plc is a separate entity already built in this project; that acquisition is the source-side counterpart of this project's earlier RBS plc entity-identity finding.</t>
        </is>
      </c>
    </row>
  </sheetData>
  <mergeCells count="1">
    <mergeCell ref="A24:F2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s>
  <sheetData>
    <row r="1">
      <c r="A1" s="1" t="inlineStr">
        <is>
          <t>Coutts &amp; Company — Statement of Comprehensive Income</t>
        </is>
      </c>
    </row>
    <row r="2">
      <c r="A2" s="2" t="inlineStr">
        <is>
          <t>Entity-level basis, £m. See source note at bottom.</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Income</t>
        </is>
      </c>
      <c r="B4" s="6" t="n"/>
      <c r="C4" s="6" t="n"/>
      <c r="D4" s="6" t="n"/>
      <c r="E4" s="6" t="n"/>
      <c r="F4" s="6" t="n"/>
    </row>
    <row r="5">
      <c r="A5" s="6" t="inlineStr">
        <is>
          <t>Interest receivable</t>
        </is>
      </c>
      <c r="B5" s="6" t="n">
        <v>2404</v>
      </c>
      <c r="C5" s="6" t="n">
        <v>2450</v>
      </c>
      <c r="D5" s="6" t="n">
        <v>1861</v>
      </c>
      <c r="E5" s="6" t="n">
        <v>934</v>
      </c>
      <c r="F5" s="6" t="n">
        <v>486</v>
      </c>
    </row>
    <row r="6">
      <c r="A6" s="6" t="inlineStr">
        <is>
          <t>Interest payable</t>
        </is>
      </c>
      <c r="B6" s="6" t="n">
        <v>-1729</v>
      </c>
      <c r="C6" s="6" t="n">
        <v>-1839</v>
      </c>
      <c r="D6" s="6" t="n">
        <v>-1160</v>
      </c>
      <c r="E6" s="6" t="n">
        <v>-225</v>
      </c>
      <c r="F6" s="6" t="n">
        <v>-72</v>
      </c>
    </row>
    <row r="7">
      <c r="A7" s="5" t="inlineStr">
        <is>
          <t>Net interest income</t>
        </is>
      </c>
      <c r="B7" s="5" t="n">
        <v>675</v>
      </c>
      <c r="C7" s="5" t="n">
        <v>611</v>
      </c>
      <c r="D7" s="5" t="n">
        <v>701</v>
      </c>
      <c r="E7" s="5" t="n">
        <v>709</v>
      </c>
      <c r="F7" s="5" t="n">
        <v>414</v>
      </c>
    </row>
    <row r="8">
      <c r="A8" s="6" t="inlineStr">
        <is>
          <t>Fees and commissions receivable</t>
        </is>
      </c>
      <c r="B8" s="6" t="n">
        <v>266</v>
      </c>
      <c r="C8" s="6" t="n">
        <v>229</v>
      </c>
      <c r="D8" s="6" t="n">
        <v>197</v>
      </c>
      <c r="E8" s="6" t="n">
        <v>207</v>
      </c>
      <c r="F8" s="6" t="n">
        <v>208</v>
      </c>
    </row>
    <row r="9">
      <c r="A9" s="6" t="inlineStr">
        <is>
          <t>Fees and commissions payable</t>
        </is>
      </c>
      <c r="B9" s="6" t="n">
        <v>-21</v>
      </c>
      <c r="C9" s="6" t="n">
        <v>-20</v>
      </c>
      <c r="D9" s="6" t="n">
        <v>-22</v>
      </c>
      <c r="E9" s="6" t="n">
        <v>-25</v>
      </c>
      <c r="F9" s="6" t="n">
        <v>-29</v>
      </c>
    </row>
    <row r="10">
      <c r="A10" s="6" t="inlineStr">
        <is>
          <t>Other operating income</t>
        </is>
      </c>
      <c r="B10" s="6" t="n">
        <v>70</v>
      </c>
      <c r="C10" s="6" t="n">
        <v>62</v>
      </c>
      <c r="D10" s="6" t="n">
        <v>83</v>
      </c>
      <c r="E10" s="6" t="n">
        <v>31</v>
      </c>
      <c r="F10" s="6" t="n">
        <v>39</v>
      </c>
    </row>
    <row r="11">
      <c r="A11" s="5" t="inlineStr">
        <is>
          <t>Non-interest income</t>
        </is>
      </c>
      <c r="B11" s="5" t="n">
        <v>315</v>
      </c>
      <c r="C11" s="5" t="n">
        <v>271</v>
      </c>
      <c r="D11" s="5" t="n">
        <v>258</v>
      </c>
      <c r="E11" s="5" t="n">
        <v>213</v>
      </c>
      <c r="F11" s="5" t="n">
        <v>218</v>
      </c>
    </row>
    <row r="12">
      <c r="A12" s="5" t="inlineStr">
        <is>
          <t>Total income</t>
        </is>
      </c>
      <c r="B12" s="5" t="n">
        <v>990</v>
      </c>
      <c r="C12" s="5" t="n">
        <v>882</v>
      </c>
      <c r="D12" s="5" t="n">
        <v>959</v>
      </c>
      <c r="E12" s="5" t="n">
        <v>922</v>
      </c>
      <c r="F12" s="5" t="n">
        <v>632</v>
      </c>
    </row>
    <row r="13">
      <c r="A13" s="6" t="inlineStr">
        <is>
          <t>Staff costs</t>
        </is>
      </c>
      <c r="B13" s="6" t="n">
        <v>-235</v>
      </c>
      <c r="C13" s="6" t="n">
        <v>-213</v>
      </c>
      <c r="D13" s="6" t="n">
        <v>-196</v>
      </c>
      <c r="E13" s="6" t="n">
        <v>-176</v>
      </c>
      <c r="F13" s="6" t="n">
        <v>-150</v>
      </c>
    </row>
    <row r="14">
      <c r="A14" s="6" t="inlineStr">
        <is>
          <t>Premises and equipment</t>
        </is>
      </c>
      <c r="B14" s="6" t="n">
        <v>-19</v>
      </c>
      <c r="C14" s="6" t="n">
        <v>-13</v>
      </c>
      <c r="D14" s="6" t="n">
        <v>-12</v>
      </c>
      <c r="E14" s="6" t="n">
        <v>-20</v>
      </c>
      <c r="F14" s="6" t="n">
        <v>-36</v>
      </c>
    </row>
    <row r="15">
      <c r="A15" s="6" t="inlineStr">
        <is>
          <t>Depreciation and amortisation</t>
        </is>
      </c>
      <c r="B15" s="6" t="n">
        <v>-34</v>
      </c>
      <c r="C15" s="6" t="n">
        <v>-34</v>
      </c>
      <c r="D15" s="6" t="n">
        <v>-38</v>
      </c>
      <c r="E15" s="6" t="n">
        <v>-21</v>
      </c>
      <c r="F15" s="6" t="n">
        <v>-19</v>
      </c>
    </row>
    <row r="16">
      <c r="A16" s="6" t="inlineStr">
        <is>
          <t>Other administrative expenses</t>
        </is>
      </c>
      <c r="B16" s="6" t="n">
        <v>-351</v>
      </c>
      <c r="C16" s="6" t="n">
        <v>-379</v>
      </c>
      <c r="D16" s="6" t="n">
        <v>-329</v>
      </c>
      <c r="E16" s="6" t="n">
        <v>-316</v>
      </c>
      <c r="F16" s="6" t="n">
        <v>-243</v>
      </c>
    </row>
    <row r="17">
      <c r="A17" s="5" t="inlineStr">
        <is>
          <t>Operating expenses</t>
        </is>
      </c>
      <c r="B17" s="5" t="n">
        <v>-639</v>
      </c>
      <c r="C17" s="5" t="n">
        <v>-639</v>
      </c>
      <c r="D17" s="5" t="n">
        <v>-575</v>
      </c>
      <c r="E17" s="5" t="n">
        <v>-533</v>
      </c>
      <c r="F17" s="5" t="n">
        <v>-448</v>
      </c>
    </row>
    <row r="18">
      <c r="A18" s="5" t="inlineStr">
        <is>
          <t>Profit before impairments</t>
        </is>
      </c>
      <c r="B18" s="5" t="n">
        <v>351</v>
      </c>
      <c r="C18" s="5" t="n">
        <v>243</v>
      </c>
      <c r="D18" s="5" t="n">
        <v>384</v>
      </c>
      <c r="E18" s="5" t="n">
        <v>389</v>
      </c>
      <c r="F18" s="5" t="n">
        <v>184</v>
      </c>
    </row>
    <row r="19">
      <c r="A19" s="6" t="inlineStr">
        <is>
          <t>Impairment (losses)/releases</t>
        </is>
      </c>
      <c r="B19" s="6" t="n">
        <v>-5</v>
      </c>
      <c r="C19" s="6" t="n">
        <v>19</v>
      </c>
      <c r="D19" s="6" t="n">
        <v>-3</v>
      </c>
      <c r="E19" s="6" t="n">
        <v>-31</v>
      </c>
      <c r="F19" s="6" t="n">
        <v>57</v>
      </c>
    </row>
    <row r="20">
      <c r="A20" s="5" t="inlineStr">
        <is>
          <t>Operating profit before tax</t>
        </is>
      </c>
      <c r="B20" s="5" t="n">
        <v>346</v>
      </c>
      <c r="C20" s="5" t="n">
        <v>262</v>
      </c>
      <c r="D20" s="5" t="n">
        <v>381</v>
      </c>
      <c r="E20" s="5" t="n">
        <v>358</v>
      </c>
      <c r="F20" s="5" t="n">
        <v>241</v>
      </c>
    </row>
    <row r="21">
      <c r="A21" s="6" t="inlineStr">
        <is>
          <t>Tax charge</t>
        </is>
      </c>
      <c r="B21" s="6" t="n">
        <v>-87</v>
      </c>
      <c r="C21" s="6" t="n">
        <v>-64</v>
      </c>
      <c r="D21" s="6" t="n">
        <v>-87</v>
      </c>
      <c r="E21" s="6" t="n">
        <v>-111</v>
      </c>
      <c r="F21" s="6" t="n">
        <v>-60</v>
      </c>
    </row>
    <row r="22">
      <c r="A22" s="5" t="inlineStr">
        <is>
          <t>Profit for the year</t>
        </is>
      </c>
      <c r="B22" s="5" t="n">
        <v>259</v>
      </c>
      <c r="C22" s="5" t="n">
        <v>198</v>
      </c>
      <c r="D22" s="5" t="n">
        <v>294</v>
      </c>
      <c r="E22" s="5" t="n">
        <v>247</v>
      </c>
      <c r="F22" s="5" t="n">
        <v>181</v>
      </c>
    </row>
    <row r="23">
      <c r="A23" s="5" t="inlineStr">
        <is>
          <t>Other comprehensive income</t>
        </is>
      </c>
      <c r="B23" s="6" t="n"/>
      <c r="C23" s="6" t="n"/>
      <c r="D23" s="6" t="n"/>
      <c r="E23" s="6" t="n"/>
      <c r="F23" s="6" t="n"/>
    </row>
    <row r="24">
      <c r="A24" s="6" t="inlineStr">
        <is>
          <t>Cash flow hedges</t>
        </is>
      </c>
      <c r="B24" s="6" t="n">
        <v>1</v>
      </c>
      <c r="C24" s="6" t="n">
        <v>-3</v>
      </c>
      <c r="D24" s="6" t="n">
        <v>0</v>
      </c>
      <c r="E24" s="6" t="n">
        <v>1</v>
      </c>
      <c r="F24" s="6" t="n">
        <v>1</v>
      </c>
    </row>
    <row r="25">
      <c r="A25" s="6" t="inlineStr">
        <is>
          <t>Tax</t>
        </is>
      </c>
      <c r="B25" s="6" t="n">
        <v>0</v>
      </c>
      <c r="C25" s="6" t="n">
        <v>1</v>
      </c>
      <c r="D25" s="6" t="n">
        <v>0</v>
      </c>
      <c r="E25" s="6" t="n">
        <v>-1</v>
      </c>
      <c r="F25" s="6" t="n">
        <v>0</v>
      </c>
    </row>
    <row r="26">
      <c r="A26" s="5" t="inlineStr">
        <is>
          <t>Other comprehensive income/(losses) after tax</t>
        </is>
      </c>
      <c r="B26" s="5" t="n">
        <v>1</v>
      </c>
      <c r="C26" s="5" t="n">
        <v>-2</v>
      </c>
      <c r="D26" s="5" t="n">
        <v>0</v>
      </c>
      <c r="E26" s="5" t="n">
        <v>0</v>
      </c>
      <c r="F26" s="5" t="n">
        <v>1</v>
      </c>
    </row>
    <row r="27">
      <c r="A27" s="5" t="inlineStr">
        <is>
          <t>Total comprehensive income for the year, net of tax</t>
        </is>
      </c>
      <c r="B27" s="5" t="n">
        <v>260</v>
      </c>
      <c r="C27" s="5" t="n">
        <v>196</v>
      </c>
      <c r="D27" s="5" t="n">
        <v>294</v>
      </c>
      <c r="E27" s="5" t="n">
        <v>247</v>
      </c>
      <c r="F27" s="5" t="n">
        <v>182</v>
      </c>
    </row>
    <row r="29" ht="299" customHeight="1">
      <c r="A29" s="8" t="inlineStr">
        <is>
          <t>Sources - Coutts &amp; Company's own Statement of Comprehensive Income / Balance Sheet / Statement of Changes in Equity, from its audited Companies House filings:
FY2025/FY2024: Annual Report and Accounts 2025, pp.53-55 - https://find-and-update.company-information.service.gov.uk/company/00036695/filing-history/MzUyMTA2MDcwMGFkaXF6a2N4/document?format=pdf&amp;download=0
FY2023/FY2022: Annual Report and Accounts 2023, pp.50-52 - https://find-and-update.company-information.service.gov.uk/company/00036695/filing-history/MzQyMDgzOTQ5OWFkaXF6a2N4/document?format=pdf&amp;download=0
FY2022/FY2021 (used for the FY2021 column - the only source available for FY2021): Annual Report and Accounts 2022, pp.53-55 - https://find-and-update.company-information.service.gov.uk/company/00036695/filing-history/MzM4NTMwNzEyMGFkaXF6a2N4/document?format=pdf&amp;download=0
All figures reconcile exactly across all 5 years - every year's own closing Owners' equity ties to the next year's opening balance and to that year's own Balance Sheet Total equity figure, with no plug row needed anywhere in the chain. FY2022's own comparative figures (as republished in the FY2023 report) match FY2022's own originally-published figures (from the FY2022 report) exactly in every case checked - no restatement found. FY2023 Called-up share capital is nil ('-') in the source, consistent with earlier years' static £41m balance - flagged as a likely OCR/transcription artifact in the source scan rather than a genuine change, since Paid-in equity/Capital contribution reserve continuity around FY2023 shows no other sign of a share capital event; not corrected, shown as reported.
Coutts &amp; Company (company 00036695, FRN 122287) is a wholly-owned subsidiary of NatWest Group plc, part of the ring-fenced NatWest Holdings (NWH) Group sub-group. All figures are Coutts &amp; Company's own entity-level financial statements/disclosures, not the wider NatWest Group. A private unlimited company - voluntarily files full audited accounts at Companies House despite the unlimited-company form (which would otherwise exempt it from public filing), same as C. Hoare &amp; Co. elsewhere in this project.
BASIS CHANGE: the FY2022 Annual Report states its financial statements 'are prepared on a standalone basis for Coutts. Previously these were prepared on a consolidated basis for Coutts and its subsidiaries.' The FY2021 figures used here are as shown in the FY2022 report's own comparative column (the only source available for FY2021) - it isn't confirmed whether that comparative was itself restated onto the new standalone basis or retains the original consolidated FY2021 basis. Flagged, not resolved.
In September 2022 Coutts acquired the 'Adam &amp; Company' private-banking business from The Royal Bank of Scotland plc (a Part VII-style transfer) - RBS plc is a separate entity already built in this project; that acquisition is the source-side counterpart of this project's earlier RBS plc entity-identity finding.</t>
        </is>
      </c>
    </row>
  </sheetData>
  <mergeCells count="1">
    <mergeCell ref="A29:F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0"/>
  <sheetViews>
    <sheetView workbookViewId="0">
      <pane ySplit="4" topLeftCell="A5" activePane="bottomLeft" state="frozen"/>
      <selection pane="bottomLef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Coutts &amp; Company — Statement of Changes in Equity</t>
        </is>
      </c>
    </row>
    <row r="2">
      <c r="A2" s="2" t="inlineStr">
        <is>
          <t>Entity-level basis, £m, chronological (oldest to newest). See source note at bottom.</t>
        </is>
      </c>
    </row>
    <row r="3">
      <c r="A3" s="4" t="inlineStr">
        <is>
          <t>Movement</t>
        </is>
      </c>
      <c r="B3" s="4" t="inlineStr">
        <is>
          <t>Called-up share capital</t>
        </is>
      </c>
      <c r="C3" s="4" t="inlineStr">
        <is>
          <t>Paid-in equity</t>
        </is>
      </c>
      <c r="D3" s="4" t="inlineStr">
        <is>
          <t>Cash flow hedging reserve</t>
        </is>
      </c>
      <c r="E3" s="4" t="inlineStr">
        <is>
          <t>Capital contribution reserve</t>
        </is>
      </c>
      <c r="F3" s="4" t="inlineStr">
        <is>
          <t>Retained earnings</t>
        </is>
      </c>
      <c r="G3" s="4" t="inlineStr">
        <is>
          <t>Total</t>
        </is>
      </c>
    </row>
    <row r="4">
      <c r="A4" s="5" t="inlineStr">
        <is>
          <t>At 1 January 2021</t>
        </is>
      </c>
      <c r="B4" s="5" t="n">
        <v>41</v>
      </c>
      <c r="C4" s="5" t="n">
        <v>200</v>
      </c>
      <c r="D4" s="5" t="n">
        <v>0</v>
      </c>
      <c r="E4" s="5" t="n">
        <v>382</v>
      </c>
      <c r="F4" s="5" t="n">
        <v>833</v>
      </c>
      <c r="G4" s="5" t="n">
        <v>1456</v>
      </c>
    </row>
    <row r="5">
      <c r="A5" s="6" t="inlineStr">
        <is>
          <t>Profit for the year (FY2021)</t>
        </is>
      </c>
      <c r="B5" s="6" t="n"/>
      <c r="C5" s="6" t="n"/>
      <c r="D5" s="6" t="n"/>
      <c r="E5" s="6" t="n"/>
      <c r="F5" s="6" t="n">
        <v>181</v>
      </c>
      <c r="G5" s="6" t="n">
        <v>181</v>
      </c>
    </row>
    <row r="6">
      <c r="A6" s="6" t="inlineStr">
        <is>
          <t>Cash flow hedges: amount recognised in equity (FY2021)</t>
        </is>
      </c>
      <c r="B6" s="6" t="n"/>
      <c r="C6" s="6" t="n"/>
      <c r="D6" s="6" t="n">
        <v>1</v>
      </c>
      <c r="E6" s="6" t="n"/>
      <c r="F6" s="6" t="n"/>
      <c r="G6" s="6" t="n">
        <v>1</v>
      </c>
    </row>
    <row r="7">
      <c r="A7" s="6" t="inlineStr">
        <is>
          <t>Paid-in equity dividends paid (FY2021)</t>
        </is>
      </c>
      <c r="B7" s="6" t="n"/>
      <c r="C7" s="6" t="n"/>
      <c r="D7" s="6" t="n"/>
      <c r="E7" s="6" t="n"/>
      <c r="F7" s="6" t="n">
        <v>-12</v>
      </c>
      <c r="G7" s="6" t="n">
        <v>-12</v>
      </c>
    </row>
    <row r="8">
      <c r="A8" s="6" t="inlineStr">
        <is>
          <t>Ordinary dividends paid (FY2021)</t>
        </is>
      </c>
      <c r="B8" s="6" t="n"/>
      <c r="C8" s="6" t="n"/>
      <c r="D8" s="6" t="n"/>
      <c r="E8" s="6" t="n"/>
      <c r="F8" s="6" t="n">
        <v>-105</v>
      </c>
      <c r="G8" s="6" t="n">
        <v>-105</v>
      </c>
    </row>
    <row r="9">
      <c r="A9" s="5" t="inlineStr">
        <is>
          <t>At 31 December 2021</t>
        </is>
      </c>
      <c r="B9" s="5" t="n">
        <v>41</v>
      </c>
      <c r="C9" s="5" t="n">
        <v>200</v>
      </c>
      <c r="D9" s="5" t="n">
        <v>1</v>
      </c>
      <c r="E9" s="5" t="n">
        <v>382</v>
      </c>
      <c r="F9" s="5" t="n">
        <v>897</v>
      </c>
      <c r="G9" s="5" t="n">
        <v>1521</v>
      </c>
    </row>
    <row r="10">
      <c r="A10" s="6" t="inlineStr">
        <is>
          <t>Profit for the year (FY2022)</t>
        </is>
      </c>
      <c r="B10" s="6" t="n"/>
      <c r="C10" s="6" t="n"/>
      <c r="D10" s="6" t="n"/>
      <c r="E10" s="6" t="n"/>
      <c r="F10" s="6" t="n">
        <v>247</v>
      </c>
      <c r="G10" s="6" t="n">
        <v>247</v>
      </c>
    </row>
    <row r="11">
      <c r="A11" s="6" t="inlineStr">
        <is>
          <t>Paid-in equity redeemed (FY2022)</t>
        </is>
      </c>
      <c r="B11" s="6" t="n"/>
      <c r="C11" s="6" t="n">
        <v>-165</v>
      </c>
      <c r="D11" s="6" t="n"/>
      <c r="E11" s="6" t="n"/>
      <c r="F11" s="6" t="n"/>
      <c r="G11" s="6" t="n">
        <v>-165</v>
      </c>
    </row>
    <row r="12">
      <c r="A12" s="6" t="inlineStr">
        <is>
          <t>Paid-in equity issued (FY2022)</t>
        </is>
      </c>
      <c r="B12" s="6" t="n"/>
      <c r="C12" s="6" t="n">
        <v>240</v>
      </c>
      <c r="D12" s="6" t="n"/>
      <c r="E12" s="6" t="n"/>
      <c r="F12" s="6" t="n"/>
      <c r="G12" s="6" t="n">
        <v>240</v>
      </c>
    </row>
    <row r="13">
      <c r="A13" s="6" t="inlineStr">
        <is>
          <t>Cash flow hedges: amount recognised in equity (FY2022)</t>
        </is>
      </c>
      <c r="B13" s="6" t="n"/>
      <c r="C13" s="6" t="n"/>
      <c r="D13" s="6" t="n">
        <v>4</v>
      </c>
      <c r="E13" s="6" t="n"/>
      <c r="F13" s="6" t="n"/>
      <c r="G13" s="6" t="n">
        <v>4</v>
      </c>
    </row>
    <row r="14">
      <c r="A14" s="6" t="inlineStr">
        <is>
          <t>Cash flow hedges: amount transferred from equity to earnings (FY2022)</t>
        </is>
      </c>
      <c r="B14" s="6" t="n"/>
      <c r="C14" s="6" t="n"/>
      <c r="D14" s="6" t="n">
        <v>-3</v>
      </c>
      <c r="E14" s="6" t="n"/>
      <c r="F14" s="6" t="n"/>
      <c r="G14" s="6" t="n">
        <v>-3</v>
      </c>
    </row>
    <row r="15">
      <c r="A15" s="6" t="inlineStr">
        <is>
          <t>Cash flow hedges: tax (FY2022)</t>
        </is>
      </c>
      <c r="B15" s="6" t="n"/>
      <c r="C15" s="6" t="n"/>
      <c r="D15" s="6" t="n">
        <v>-1</v>
      </c>
      <c r="E15" s="6" t="n"/>
      <c r="F15" s="6" t="n"/>
      <c r="G15" s="6" t="n">
        <v>-1</v>
      </c>
    </row>
    <row r="16">
      <c r="A16" s="6" t="inlineStr">
        <is>
          <t>Paid-in equity dividends paid (FY2022)</t>
        </is>
      </c>
      <c r="B16" s="6" t="n"/>
      <c r="C16" s="6" t="n"/>
      <c r="D16" s="6" t="n"/>
      <c r="E16" s="6" t="n"/>
      <c r="F16" s="6" t="n">
        <v>-16</v>
      </c>
      <c r="G16" s="6" t="n">
        <v>-16</v>
      </c>
    </row>
    <row r="17">
      <c r="A17" s="6" t="inlineStr">
        <is>
          <t>Ordinary dividends paid (FY2022)</t>
        </is>
      </c>
      <c r="B17" s="6" t="n"/>
      <c r="C17" s="6" t="n"/>
      <c r="D17" s="6" t="n"/>
      <c r="E17" s="6" t="n"/>
      <c r="F17" s="6" t="n">
        <v>-225</v>
      </c>
      <c r="G17" s="6" t="n">
        <v>-225</v>
      </c>
    </row>
    <row r="18">
      <c r="A18" s="6" t="inlineStr">
        <is>
          <t>Redemption of paid-in equity, gross (FY2022)</t>
        </is>
      </c>
      <c r="B18" s="6" t="n"/>
      <c r="C18" s="6" t="n"/>
      <c r="D18" s="6" t="n"/>
      <c r="E18" s="6" t="n"/>
      <c r="F18" s="6" t="n">
        <v>-2</v>
      </c>
      <c r="G18" s="6" t="n">
        <v>-2</v>
      </c>
    </row>
    <row r="19">
      <c r="A19" s="5" t="inlineStr">
        <is>
          <t>At 31 December 2022</t>
        </is>
      </c>
      <c r="B19" s="5" t="n">
        <v>41</v>
      </c>
      <c r="C19" s="5" t="n">
        <v>275</v>
      </c>
      <c r="D19" s="5" t="n">
        <v>1</v>
      </c>
      <c r="E19" s="5" t="n">
        <v>382</v>
      </c>
      <c r="F19" s="5" t="n">
        <v>901</v>
      </c>
      <c r="G19" s="5" t="n">
        <v>1600</v>
      </c>
    </row>
    <row r="20">
      <c r="A20" s="6" t="inlineStr">
        <is>
          <t>Profit for the year (FY2023)</t>
        </is>
      </c>
      <c r="B20" s="6" t="n"/>
      <c r="C20" s="6" t="n"/>
      <c r="D20" s="6" t="n"/>
      <c r="E20" s="6" t="n"/>
      <c r="F20" s="6" t="n">
        <v>294</v>
      </c>
      <c r="G20" s="6" t="n">
        <v>294</v>
      </c>
    </row>
    <row r="21">
      <c r="A21" s="6" t="inlineStr">
        <is>
          <t>Paid-in equity redeemed (FY2023)</t>
        </is>
      </c>
      <c r="B21" s="6" t="n"/>
      <c r="C21" s="6" t="n">
        <v>-35</v>
      </c>
      <c r="D21" s="6" t="n"/>
      <c r="E21" s="6" t="n"/>
      <c r="F21" s="6" t="n"/>
      <c r="G21" s="6" t="n">
        <v>-35</v>
      </c>
    </row>
    <row r="22">
      <c r="A22" s="6" t="inlineStr">
        <is>
          <t>Cash flow hedges: amount recognised in equity (FY2023)</t>
        </is>
      </c>
      <c r="B22" s="6" t="n"/>
      <c r="C22" s="6" t="n"/>
      <c r="D22" s="6" t="n">
        <v>1</v>
      </c>
      <c r="E22" s="6" t="n"/>
      <c r="F22" s="6" t="n"/>
      <c r="G22" s="6" t="n">
        <v>1</v>
      </c>
    </row>
    <row r="23">
      <c r="A23" s="6" t="inlineStr">
        <is>
          <t>Cash flow hedges: amount transferred from equity to earnings (FY2023)</t>
        </is>
      </c>
      <c r="B23" s="6" t="n"/>
      <c r="C23" s="6" t="n"/>
      <c r="D23" s="6" t="n">
        <v>-1</v>
      </c>
      <c r="E23" s="6" t="n"/>
      <c r="F23" s="6" t="n"/>
      <c r="G23" s="6" t="n">
        <v>-1</v>
      </c>
    </row>
    <row r="24">
      <c r="A24" s="6" t="inlineStr">
        <is>
          <t>Paid-in equity dividends paid (FY2023)</t>
        </is>
      </c>
      <c r="B24" s="6" t="n"/>
      <c r="C24" s="6" t="n"/>
      <c r="D24" s="6" t="n"/>
      <c r="E24" s="6" t="n"/>
      <c r="F24" s="6" t="n">
        <v>-31</v>
      </c>
      <c r="G24" s="6" t="n">
        <v>-31</v>
      </c>
    </row>
    <row r="25">
      <c r="A25" s="6" t="inlineStr">
        <is>
          <t>Ordinary dividends paid (FY2023)</t>
        </is>
      </c>
      <c r="B25" s="6" t="n"/>
      <c r="C25" s="6" t="n"/>
      <c r="D25" s="6" t="n"/>
      <c r="E25" s="6" t="n"/>
      <c r="F25" s="6" t="n">
        <v>-210</v>
      </c>
      <c r="G25" s="6" t="n">
        <v>-210</v>
      </c>
    </row>
    <row r="26">
      <c r="A26" s="5" t="inlineStr">
        <is>
          <t>At 31 December 2023</t>
        </is>
      </c>
      <c r="B26" s="5" t="n">
        <v>41</v>
      </c>
      <c r="C26" s="5" t="n">
        <v>240</v>
      </c>
      <c r="D26" s="5" t="n">
        <v>1</v>
      </c>
      <c r="E26" s="5" t="n">
        <v>382</v>
      </c>
      <c r="F26" s="5" t="n">
        <v>954</v>
      </c>
      <c r="G26" s="5" t="n">
        <v>1618</v>
      </c>
    </row>
    <row r="27">
      <c r="A27" s="6" t="inlineStr">
        <is>
          <t>Profit for the year (FY2024)</t>
        </is>
      </c>
      <c r="B27" s="6" t="n"/>
      <c r="C27" s="6" t="n"/>
      <c r="D27" s="6" t="n"/>
      <c r="E27" s="6" t="n"/>
      <c r="F27" s="6" t="n">
        <v>198</v>
      </c>
      <c r="G27" s="6" t="n">
        <v>198</v>
      </c>
    </row>
    <row r="28">
      <c r="A28" s="6" t="inlineStr">
        <is>
          <t>Cash flow hedges: amount recognised in equity (FY2024)</t>
        </is>
      </c>
      <c r="B28" s="6" t="n"/>
      <c r="C28" s="6" t="n"/>
      <c r="D28" s="6" t="n">
        <v>-6</v>
      </c>
      <c r="E28" s="6" t="n"/>
      <c r="F28" s="6" t="n"/>
      <c r="G28" s="6" t="n">
        <v>-6</v>
      </c>
    </row>
    <row r="29">
      <c r="A29" s="6" t="inlineStr">
        <is>
          <t>Cash flow hedges: reclassification of OCI to P&amp;L (FY2024)</t>
        </is>
      </c>
      <c r="B29" s="6" t="n"/>
      <c r="C29" s="6" t="n"/>
      <c r="D29" s="6" t="n">
        <v>3</v>
      </c>
      <c r="E29" s="6" t="n"/>
      <c r="F29" s="6" t="n"/>
      <c r="G29" s="6" t="n">
        <v>3</v>
      </c>
    </row>
    <row r="30">
      <c r="A30" s="6" t="inlineStr">
        <is>
          <t>Cash flow hedges: tax (FY2024)</t>
        </is>
      </c>
      <c r="B30" s="6" t="n"/>
      <c r="C30" s="6" t="n"/>
      <c r="D30" s="6" t="n">
        <v>1</v>
      </c>
      <c r="E30" s="6" t="n"/>
      <c r="F30" s="6" t="n"/>
      <c r="G30" s="6" t="n">
        <v>1</v>
      </c>
    </row>
    <row r="31">
      <c r="A31" s="6" t="inlineStr">
        <is>
          <t>Paid-in equity dividends paid (FY2024)</t>
        </is>
      </c>
      <c r="B31" s="6" t="n"/>
      <c r="C31" s="6" t="n"/>
      <c r="D31" s="6" t="n"/>
      <c r="E31" s="6" t="n"/>
      <c r="F31" s="6" t="n">
        <v>-28</v>
      </c>
      <c r="G31" s="6" t="n">
        <v>-28</v>
      </c>
    </row>
    <row r="32">
      <c r="A32" s="6" t="inlineStr">
        <is>
          <t>Ordinary dividends paid (FY2024)</t>
        </is>
      </c>
      <c r="B32" s="6" t="n"/>
      <c r="C32" s="6" t="n"/>
      <c r="D32" s="6" t="n"/>
      <c r="E32" s="6" t="n"/>
      <c r="F32" s="6" t="n">
        <v>-289</v>
      </c>
      <c r="G32" s="6" t="n">
        <v>-289</v>
      </c>
    </row>
    <row r="33">
      <c r="A33" s="5" t="inlineStr">
        <is>
          <t>At 31 December 2024</t>
        </is>
      </c>
      <c r="B33" s="5" t="n">
        <v>41</v>
      </c>
      <c r="C33" s="5" t="n">
        <v>240</v>
      </c>
      <c r="D33" s="5" t="n">
        <v>-1</v>
      </c>
      <c r="E33" s="5" t="n">
        <v>382</v>
      </c>
      <c r="F33" s="5" t="n">
        <v>835</v>
      </c>
      <c r="G33" s="5" t="n">
        <v>1497</v>
      </c>
    </row>
    <row r="34">
      <c r="A34" s="6" t="inlineStr">
        <is>
          <t>Profit for the year (FY2025)</t>
        </is>
      </c>
      <c r="B34" s="6" t="n"/>
      <c r="C34" s="6" t="n"/>
      <c r="D34" s="6" t="n"/>
      <c r="E34" s="6" t="n"/>
      <c r="F34" s="6" t="n">
        <v>259</v>
      </c>
      <c r="G34" s="6" t="n">
        <v>259</v>
      </c>
    </row>
    <row r="35">
      <c r="A35" s="6" t="inlineStr">
        <is>
          <t>Cash flow hedges: reclassification of OCI to P&amp;L (FY2025)</t>
        </is>
      </c>
      <c r="B35" s="6" t="n"/>
      <c r="C35" s="6" t="n"/>
      <c r="D35" s="6" t="n">
        <v>1</v>
      </c>
      <c r="E35" s="6" t="n"/>
      <c r="F35" s="6" t="n"/>
      <c r="G35" s="6" t="n">
        <v>1</v>
      </c>
    </row>
    <row r="36">
      <c r="A36" s="6" t="inlineStr">
        <is>
          <t>Paid-in equity dividends paid (FY2025)</t>
        </is>
      </c>
      <c r="B36" s="6" t="n"/>
      <c r="C36" s="6" t="n"/>
      <c r="D36" s="6" t="n"/>
      <c r="E36" s="6" t="n"/>
      <c r="F36" s="6" t="n">
        <v>-26</v>
      </c>
      <c r="G36" s="6" t="n">
        <v>-26</v>
      </c>
    </row>
    <row r="37">
      <c r="A37" s="6" t="inlineStr">
        <is>
          <t>Ordinary dividends paid (FY2025)</t>
        </is>
      </c>
      <c r="B37" s="6" t="n"/>
      <c r="C37" s="6" t="n"/>
      <c r="D37" s="6" t="n"/>
      <c r="E37" s="6" t="n"/>
      <c r="F37" s="6" t="n">
        <v>-187</v>
      </c>
      <c r="G37" s="6" t="n">
        <v>-187</v>
      </c>
    </row>
    <row r="38">
      <c r="A38" s="5" t="inlineStr">
        <is>
          <t>At 31 December 2025</t>
        </is>
      </c>
      <c r="B38" s="5" t="n">
        <v>41</v>
      </c>
      <c r="C38" s="5" t="n">
        <v>240</v>
      </c>
      <c r="D38" s="5" t="n">
        <v>0</v>
      </c>
      <c r="E38" s="5" t="n">
        <v>382</v>
      </c>
      <c r="F38" s="5" t="n">
        <v>881</v>
      </c>
      <c r="G38" s="5" t="n">
        <v>1544</v>
      </c>
    </row>
    <row r="40" ht="273" customHeight="1">
      <c r="A40" s="8" t="inlineStr">
        <is>
          <t>Sources - Coutts &amp; Company's own Statement of Comprehensive Income / Balance Sheet / Statement of Changes in Equity, from its audited Companies House filings:
FY2025/FY2024: Annual Report and Accounts 2025, pp.53-55 - https://find-and-update.company-information.service.gov.uk/company/00036695/filing-history/MzUyMTA2MDcwMGFkaXF6a2N4/document?format=pdf&amp;download=0
FY2023/FY2022: Annual Report and Accounts 2023, pp.50-52 - https://find-and-update.company-information.service.gov.uk/company/00036695/filing-history/MzQyMDgzOTQ5OWFkaXF6a2N4/document?format=pdf&amp;download=0
FY2022/FY2021 (used for the FY2021 column - the only source available for FY2021): Annual Report and Accounts 2022, pp.53-55 - https://find-and-update.company-information.service.gov.uk/company/00036695/filing-history/MzM4NTMwNzEyMGFkaXF6a2N4/document?format=pdf&amp;download=0
All figures reconcile exactly across all 5 years - every year's own closing Owners' equity ties to the next year's opening balance and to that year's own Balance Sheet Total equity figure, with no plug row needed anywhere in the chain. FY2022's own comparative figures (as republished in the FY2023 report) match FY2022's own originally-published figures (from the FY2022 report) exactly in every case checked - no restatement found. FY2023 Called-up share capital is nil ('-') in the source, consistent with earlier years' static £41m balance - flagged as a likely OCR/transcription artifact in the source scan rather than a genuine change, since Paid-in equity/Capital contribution reserve continuity around FY2023 shows no other sign of a share capital event; not corrected, shown as reported.
Coutts &amp; Company (company 00036695, FRN 122287) is a wholly-owned subsidiary of NatWest Group plc, part of the ring-fenced NatWest Holdings (NWH) Group sub-group. All figures are Coutts &amp; Company's own entity-level financial statements/disclosures, not the wider NatWest Group. A private unlimited company - voluntarily files full audited accounts at Companies House despite the unlimited-company form (which would otherwise exempt it from public filing), same as C. Hoare &amp; Co. elsewhere in this project.
BASIS CHANGE: the FY2022 Annual Report states its financial statements 'are prepared on a standalone basis for Coutts. Previously these were prepared on a consolidated basis for Coutts and its subsidiaries.' The FY2021 figures used here are as shown in the FY2022 report's own comparative column (the only source available for FY2021) - it isn't confirmed whether that comparative was itself restated onto the new standalone basis or retains the original consolidated FY2021 basis. Flagged, not resolved.
In September 2022 Coutts acquired the 'Adam &amp; Company' private-banking business from The Royal Bank of Scotland plc (a Part VII-style transfer) - RBS plc is a separate entity already built in this project; that acquisition is the source-side counterpart of this project's earlier RBS plc entity-identity finding.</t>
        </is>
      </c>
    </row>
  </sheetData>
  <mergeCells count="1">
    <mergeCell ref="A40:G4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5" customWidth="1" min="1" max="1"/>
    <col width="15" customWidth="1" min="2" max="2"/>
    <col width="15" customWidth="1" min="3" max="3"/>
    <col width="15" customWidth="1" min="4" max="4"/>
    <col width="15" customWidth="1" min="5" max="5"/>
    <col width="15" customWidth="1" min="6" max="6"/>
  </cols>
  <sheetData>
    <row r="1">
      <c r="A1" s="1" t="inlineStr">
        <is>
          <t>Coutts &amp; Company — Cash Flow Statement</t>
        </is>
      </c>
    </row>
    <row r="2">
      <c r="A2" s="2" t="inlineStr">
        <is>
          <t>Entity-level basis, £m. Presentation varies by year - see source note at bottom.</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Operating activities</t>
        </is>
      </c>
      <c r="B4" s="6" t="n"/>
      <c r="C4" s="6" t="n"/>
      <c r="D4" s="6" t="n"/>
      <c r="E4" s="6" t="n"/>
      <c r="F4" s="6" t="n"/>
    </row>
    <row r="5">
      <c r="A5" s="6" t="inlineStr">
        <is>
          <t>Operating profit before tax</t>
        </is>
      </c>
      <c r="B5" s="6" t="n">
        <v>346</v>
      </c>
      <c r="C5" s="6" t="n">
        <v>262</v>
      </c>
      <c r="D5" s="6" t="n">
        <v>381</v>
      </c>
      <c r="E5" s="6" t="n">
        <v>358</v>
      </c>
      <c r="F5" s="6" t="n">
        <v>241</v>
      </c>
    </row>
    <row r="6">
      <c r="A6" s="6" t="inlineStr">
        <is>
          <t>Non-cash and other items (FY2023-FY2025 summary presentation)</t>
        </is>
      </c>
      <c r="B6" s="6" t="n">
        <v>81</v>
      </c>
      <c r="C6" s="6" t="n">
        <v>39</v>
      </c>
      <c r="D6" s="6" t="n">
        <v>61</v>
      </c>
      <c r="E6" s="6" t="n"/>
      <c r="F6" s="6" t="n"/>
    </row>
    <row r="7">
      <c r="A7" s="6" t="inlineStr">
        <is>
          <t>Depreciation and amortisation (FY2021-FY2022 detailed presentation)</t>
        </is>
      </c>
      <c r="B7" s="6" t="n"/>
      <c r="C7" s="6" t="n"/>
      <c r="D7" s="6" t="n"/>
      <c r="E7" s="6" t="n">
        <v>21</v>
      </c>
      <c r="F7" s="6" t="n">
        <v>19</v>
      </c>
    </row>
    <row r="8">
      <c r="A8" s="6" t="inlineStr">
        <is>
          <t>Impairment losses/(releases) (FY2021-FY2022 detailed presentation)</t>
        </is>
      </c>
      <c r="B8" s="6" t="n"/>
      <c r="C8" s="6" t="n"/>
      <c r="D8" s="6" t="n"/>
      <c r="E8" s="6" t="n">
        <v>31</v>
      </c>
      <c r="F8" s="6" t="n">
        <v>-57</v>
      </c>
    </row>
    <row r="9">
      <c r="A9" s="6" t="inlineStr">
        <is>
          <t>Other non-cash items (FY2021-FY2022 detailed presentation)</t>
        </is>
      </c>
      <c r="B9" s="6" t="n"/>
      <c r="C9" s="6" t="n"/>
      <c r="D9" s="6" t="n"/>
      <c r="E9" s="6" t="n">
        <v>8</v>
      </c>
      <c r="F9" s="6" t="n">
        <v>3</v>
      </c>
    </row>
    <row r="10">
      <c r="A10" s="6" t="inlineStr">
        <is>
          <t>Provision releases (FY2021-FY2022 detailed presentation)</t>
        </is>
      </c>
      <c r="B10" s="6" t="n"/>
      <c r="C10" s="6" t="n"/>
      <c r="D10" s="6" t="n"/>
      <c r="E10" s="6" t="n">
        <v>-1</v>
      </c>
      <c r="F10" s="6" t="n">
        <v>-3</v>
      </c>
    </row>
    <row r="11">
      <c r="A11" s="6" t="inlineStr">
        <is>
          <t>Elimination of foreign exchange differences (FY2021-FY2022 detailed presentation)</t>
        </is>
      </c>
      <c r="B11" s="6" t="n"/>
      <c r="C11" s="6" t="n"/>
      <c r="D11" s="6" t="n"/>
      <c r="E11" s="6" t="n">
        <v>-11</v>
      </c>
      <c r="F11" s="6" t="n">
        <v>30</v>
      </c>
    </row>
    <row r="12">
      <c r="A12" s="6" t="inlineStr">
        <is>
          <t>Interest payable on debt securities in issue and subordinated liabilities (FY2021-FY2022 detailed presentation)</t>
        </is>
      </c>
      <c r="B12" s="6" t="n"/>
      <c r="C12" s="6" t="n"/>
      <c r="D12" s="6" t="n"/>
      <c r="E12" s="6" t="n">
        <v>23</v>
      </c>
      <c r="F12" s="6" t="n">
        <v>12</v>
      </c>
    </row>
    <row r="13">
      <c r="A13" s="6" t="inlineStr">
        <is>
          <t>Dividends receivable from subsidiaries (FY2021-FY2022 detailed presentation)</t>
        </is>
      </c>
      <c r="B13" s="6" t="n"/>
      <c r="C13" s="6" t="n"/>
      <c r="D13" s="6" t="n"/>
      <c r="E13" s="6" t="n">
        <v>-8</v>
      </c>
      <c r="F13" s="6" t="n">
        <v>-15</v>
      </c>
    </row>
    <row r="14">
      <c r="A14" s="5" t="inlineStr">
        <is>
          <t>Net cash flows from trading activities (FY2021-FY2022 subtotal; no equivalent line FY2023-FY2025)</t>
        </is>
      </c>
      <c r="B14" s="5" t="n"/>
      <c r="C14" s="5" t="n"/>
      <c r="D14" s="5" t="n"/>
      <c r="E14" s="5" t="n">
        <v>421</v>
      </c>
      <c r="F14" s="5" t="n">
        <v>230</v>
      </c>
    </row>
    <row r="15">
      <c r="A15" s="6" t="inlineStr">
        <is>
          <t>(Increase)/decrease in derivative assets</t>
        </is>
      </c>
      <c r="B15" s="6" t="n"/>
      <c r="C15" s="6" t="n"/>
      <c r="D15" s="6" t="n"/>
      <c r="E15" s="6" t="n">
        <v>-18</v>
      </c>
      <c r="F15" s="6" t="n">
        <v>15</v>
      </c>
    </row>
    <row r="16">
      <c r="A16" s="6" t="inlineStr">
        <is>
          <t>Decrease in loans to banks</t>
        </is>
      </c>
      <c r="B16" s="6" t="n"/>
      <c r="C16" s="6" t="n"/>
      <c r="D16" s="6" t="n"/>
      <c r="E16" s="6" t="n">
        <v>5</v>
      </c>
      <c r="F16" s="6" t="n">
        <v>49</v>
      </c>
    </row>
    <row r="17">
      <c r="A17" s="6" t="inlineStr">
        <is>
          <t>Increase in loans to customers</t>
        </is>
      </c>
      <c r="B17" s="6" t="n"/>
      <c r="C17" s="6" t="n"/>
      <c r="D17" s="6" t="n"/>
      <c r="E17" s="6" t="n">
        <v>-944</v>
      </c>
      <c r="F17" s="6" t="n">
        <v>-1449</v>
      </c>
    </row>
    <row r="18">
      <c r="A18" s="6" t="inlineStr">
        <is>
          <t>Decrease in amounts due from holding companies and fellow subsidiaries</t>
        </is>
      </c>
      <c r="B18" s="6" t="n"/>
      <c r="C18" s="6" t="n"/>
      <c r="D18" s="6" t="n"/>
      <c r="E18" s="6" t="n">
        <v>2234</v>
      </c>
      <c r="F18" s="6" t="n">
        <v>9513</v>
      </c>
    </row>
    <row r="19">
      <c r="A19" s="6" t="inlineStr">
        <is>
          <t>Increase in other assets</t>
        </is>
      </c>
      <c r="B19" s="6" t="n"/>
      <c r="C19" s="6" t="n"/>
      <c r="D19" s="6" t="n"/>
      <c r="E19" s="6" t="n">
        <v>-4</v>
      </c>
      <c r="F19" s="6" t="n">
        <v>-2</v>
      </c>
    </row>
    <row r="20">
      <c r="A20" s="6" t="inlineStr">
        <is>
          <t>Decrease in bank deposits</t>
        </is>
      </c>
      <c r="B20" s="6" t="n"/>
      <c r="C20" s="6" t="n"/>
      <c r="D20" s="6" t="n"/>
      <c r="E20" s="6" t="n">
        <v>-2</v>
      </c>
      <c r="F20" s="6" t="n">
        <v>-2</v>
      </c>
    </row>
    <row r="21">
      <c r="A21" s="6" t="inlineStr">
        <is>
          <t>Increase in customer deposits</t>
        </is>
      </c>
      <c r="B21" s="6" t="n"/>
      <c r="C21" s="6" t="n"/>
      <c r="D21" s="6" t="n"/>
      <c r="E21" s="6" t="n">
        <v>1847</v>
      </c>
      <c r="F21" s="6" t="n">
        <v>6829</v>
      </c>
    </row>
    <row r="22">
      <c r="A22" s="6" t="inlineStr">
        <is>
          <t>Increase in amounts due to holding companies and fellow subsidiaries</t>
        </is>
      </c>
      <c r="B22" s="6" t="n"/>
      <c r="C22" s="6" t="n"/>
      <c r="D22" s="6" t="n"/>
      <c r="E22" s="6" t="n">
        <v>2680</v>
      </c>
      <c r="F22" s="6" t="n">
        <v>1360</v>
      </c>
    </row>
    <row r="23">
      <c r="A23" s="6" t="inlineStr">
        <is>
          <t>Increase/(decrease) in derivative liabilities</t>
        </is>
      </c>
      <c r="B23" s="6" t="n"/>
      <c r="C23" s="6" t="n"/>
      <c r="D23" s="6" t="n"/>
      <c r="E23" s="6" t="n">
        <v>22</v>
      </c>
      <c r="F23" s="6" t="n">
        <v>-16</v>
      </c>
    </row>
    <row r="24">
      <c r="A24" s="6" t="inlineStr">
        <is>
          <t>Increase in other liabilities</t>
        </is>
      </c>
      <c r="B24" s="6" t="n"/>
      <c r="C24" s="6" t="n"/>
      <c r="D24" s="6" t="n"/>
      <c r="E24" s="6" t="n">
        <v>1</v>
      </c>
      <c r="F24" s="6" t="n">
        <v>5</v>
      </c>
    </row>
    <row r="25">
      <c r="A25" s="5" t="inlineStr">
        <is>
          <t>Changes in operating assets and liabilities</t>
        </is>
      </c>
      <c r="B25" s="5" t="n">
        <v>-1841</v>
      </c>
      <c r="C25" s="5" t="n">
        <v>7767</v>
      </c>
      <c r="D25" s="5" t="n">
        <v>2095</v>
      </c>
      <c r="E25" s="5" t="n">
        <v>5821</v>
      </c>
      <c r="F25" s="5" t="n">
        <v>16302</v>
      </c>
    </row>
    <row r="26">
      <c r="A26" s="6" t="inlineStr">
        <is>
          <t>Income taxes paid</t>
        </is>
      </c>
      <c r="B26" s="6" t="n">
        <v>-89</v>
      </c>
      <c r="C26" s="6" t="n">
        <v>-55</v>
      </c>
      <c r="D26" s="6" t="n">
        <v>-192</v>
      </c>
      <c r="E26" s="6" t="n">
        <v>0</v>
      </c>
      <c r="F26" s="6" t="n">
        <v>-71</v>
      </c>
    </row>
    <row r="27">
      <c r="A27" s="5" t="inlineStr">
        <is>
          <t>Net cash flows from operating activities</t>
        </is>
      </c>
      <c r="B27" s="5" t="n">
        <v>-1503</v>
      </c>
      <c r="C27" s="5" t="n">
        <v>8013</v>
      </c>
      <c r="D27" s="5" t="n">
        <v>2345</v>
      </c>
      <c r="E27" s="5" t="n">
        <v>6242</v>
      </c>
      <c r="F27" s="5" t="n">
        <v>16461</v>
      </c>
    </row>
    <row r="28">
      <c r="A28" s="5" t="inlineStr">
        <is>
          <t>Investing activities</t>
        </is>
      </c>
      <c r="B28" s="6" t="n"/>
      <c r="C28" s="6" t="n"/>
      <c r="D28" s="6" t="n"/>
      <c r="E28" s="6" t="n"/>
      <c r="F28" s="6" t="n"/>
    </row>
    <row r="29">
      <c r="A29" s="6" t="inlineStr">
        <is>
          <t>Purchase of property, plant and equipment</t>
        </is>
      </c>
      <c r="B29" s="6" t="n">
        <v>-2</v>
      </c>
      <c r="C29" s="6" t="n">
        <v>-9</v>
      </c>
      <c r="D29" s="6" t="n">
        <v>-2</v>
      </c>
      <c r="E29" s="6" t="n">
        <v>-3</v>
      </c>
      <c r="F29" s="6" t="n">
        <v>-4</v>
      </c>
    </row>
    <row r="30">
      <c r="A30" s="6" t="inlineStr">
        <is>
          <t>Sale of property, plant and equipment</t>
        </is>
      </c>
      <c r="B30" s="6" t="n"/>
      <c r="C30" s="6" t="n"/>
      <c r="D30" s="6" t="n"/>
      <c r="E30" s="6" t="n">
        <v>0</v>
      </c>
      <c r="F30" s="6" t="n">
        <v>3</v>
      </c>
    </row>
    <row r="31">
      <c r="A31" s="6" t="inlineStr">
        <is>
          <t>Cash expenditure on / purchase of intangible assets</t>
        </is>
      </c>
      <c r="B31" s="6" t="n">
        <v>-9</v>
      </c>
      <c r="C31" s="6" t="n">
        <v>-10</v>
      </c>
      <c r="D31" s="6" t="n">
        <v>-22</v>
      </c>
      <c r="E31" s="6" t="n">
        <v>-28</v>
      </c>
      <c r="F31" s="6" t="n">
        <v>-27</v>
      </c>
    </row>
    <row r="32">
      <c r="A32" s="6" t="inlineStr">
        <is>
          <t>Sale of intangible assets</t>
        </is>
      </c>
      <c r="B32" s="6" t="n"/>
      <c r="C32" s="6" t="n"/>
      <c r="D32" s="6" t="n"/>
      <c r="E32" s="6" t="n">
        <v>0</v>
      </c>
      <c r="F32" s="6" t="n">
        <v>1</v>
      </c>
    </row>
    <row r="33">
      <c r="A33" s="6" t="inlineStr">
        <is>
          <t>Purchase of net assets and liabilities</t>
        </is>
      </c>
      <c r="B33" s="6" t="n"/>
      <c r="C33" s="6" t="n"/>
      <c r="D33" s="6" t="n">
        <v>0</v>
      </c>
      <c r="E33" s="6" t="n">
        <v>-270</v>
      </c>
      <c r="F33" s="6" t="n">
        <v>0</v>
      </c>
    </row>
    <row r="34">
      <c r="A34" s="6" t="inlineStr">
        <is>
          <t>Dividends received from subsidiaries</t>
        </is>
      </c>
      <c r="B34" s="6" t="n">
        <v>33</v>
      </c>
      <c r="C34" s="6" t="n">
        <v>28</v>
      </c>
      <c r="D34" s="6" t="n">
        <v>60</v>
      </c>
      <c r="E34" s="6" t="n">
        <v>8</v>
      </c>
      <c r="F34" s="6" t="n">
        <v>15</v>
      </c>
    </row>
    <row r="35">
      <c r="A35" s="5" t="inlineStr">
        <is>
          <t>Net cash flows from investing activities</t>
        </is>
      </c>
      <c r="B35" s="5" t="n">
        <v>22</v>
      </c>
      <c r="C35" s="5" t="n">
        <v>9</v>
      </c>
      <c r="D35" s="5" t="n">
        <v>36</v>
      </c>
      <c r="E35" s="5" t="n">
        <v>-293</v>
      </c>
      <c r="F35" s="5" t="n">
        <v>-12</v>
      </c>
    </row>
    <row r="36">
      <c r="A36" s="5" t="inlineStr">
        <is>
          <t>Financing activities</t>
        </is>
      </c>
      <c r="B36" s="6" t="n"/>
      <c r="C36" s="6" t="n"/>
      <c r="D36" s="6" t="n"/>
      <c r="E36" s="6" t="n"/>
      <c r="F36" s="6" t="n"/>
    </row>
    <row r="37">
      <c r="A37" s="6" t="inlineStr">
        <is>
          <t>Issue of debt securities in issue</t>
        </is>
      </c>
      <c r="B37" s="6" t="n">
        <v>0</v>
      </c>
      <c r="C37" s="6" t="n">
        <v>260</v>
      </c>
      <c r="D37" s="6" t="n">
        <v>0</v>
      </c>
      <c r="E37" s="6" t="n">
        <v>50</v>
      </c>
      <c r="F37" s="6" t="n">
        <v>252</v>
      </c>
    </row>
    <row r="38">
      <c r="A38" s="6" t="inlineStr">
        <is>
          <t>Redemption of debt securities in issue</t>
        </is>
      </c>
      <c r="B38" s="6" t="n">
        <v>0</v>
      </c>
      <c r="C38" s="6" t="n">
        <v>-260</v>
      </c>
      <c r="D38" s="6" t="n">
        <v>-50</v>
      </c>
      <c r="E38" s="6" t="n">
        <v>0</v>
      </c>
      <c r="F38" s="6" t="n">
        <v>0</v>
      </c>
    </row>
    <row r="39">
      <c r="A39" s="6" t="inlineStr">
        <is>
          <t>Issue of paid-in equity</t>
        </is>
      </c>
      <c r="B39" s="6" t="n"/>
      <c r="C39" s="6" t="n"/>
      <c r="D39" s="6" t="n">
        <v>0</v>
      </c>
      <c r="E39" s="6" t="n">
        <v>240</v>
      </c>
      <c r="F39" s="6" t="n">
        <v>0</v>
      </c>
    </row>
    <row r="40">
      <c r="A40" s="6" t="inlineStr">
        <is>
          <t>Redemption of paid-in equity</t>
        </is>
      </c>
      <c r="B40" s="6" t="n"/>
      <c r="C40" s="6" t="n"/>
      <c r="D40" s="6" t="n">
        <v>-35</v>
      </c>
      <c r="E40" s="6" t="n">
        <v>-167</v>
      </c>
      <c r="F40" s="6" t="n">
        <v>0</v>
      </c>
    </row>
    <row r="41">
      <c r="A41" s="6" t="inlineStr">
        <is>
          <t>Issue of subordinated liabilities</t>
        </is>
      </c>
      <c r="B41" s="6" t="n"/>
      <c r="C41" s="6" t="n"/>
      <c r="D41" s="6" t="n">
        <v>300</v>
      </c>
      <c r="E41" s="6" t="n">
        <v>0</v>
      </c>
      <c r="F41" s="6" t="n"/>
    </row>
    <row r="42">
      <c r="A42" s="6" t="inlineStr">
        <is>
          <t>Redemption of subordinated liabilities</t>
        </is>
      </c>
      <c r="B42" s="6" t="n"/>
      <c r="C42" s="6" t="n"/>
      <c r="D42" s="6" t="n">
        <v>-266</v>
      </c>
      <c r="E42" s="6" t="n">
        <v>0</v>
      </c>
      <c r="F42" s="6" t="n"/>
    </row>
    <row r="43">
      <c r="A43" s="6" t="inlineStr">
        <is>
          <t>Interest paid on subordinated liabilities and debt securities in issue</t>
        </is>
      </c>
      <c r="B43" s="6" t="n">
        <v>-45</v>
      </c>
      <c r="C43" s="6" t="n">
        <v>-44</v>
      </c>
      <c r="D43" s="6" t="n">
        <v>-55</v>
      </c>
      <c r="E43" s="6" t="n">
        <v>-21</v>
      </c>
      <c r="F43" s="6" t="n">
        <v>-12</v>
      </c>
    </row>
    <row r="44">
      <c r="A44" s="6" t="inlineStr">
        <is>
          <t>Paid-in equity dividends paid</t>
        </is>
      </c>
      <c r="B44" s="6" t="n">
        <v>-26</v>
      </c>
      <c r="C44" s="6" t="n">
        <v>-28</v>
      </c>
      <c r="D44" s="6" t="n">
        <v>-31</v>
      </c>
      <c r="E44" s="6" t="n">
        <v>-16</v>
      </c>
      <c r="F44" s="6" t="n">
        <v>-12</v>
      </c>
    </row>
    <row r="45">
      <c r="A45" s="6" t="inlineStr">
        <is>
          <t>Dividends paid</t>
        </is>
      </c>
      <c r="B45" s="6" t="n">
        <v>-187</v>
      </c>
      <c r="C45" s="6" t="n">
        <v>-289</v>
      </c>
      <c r="D45" s="6" t="n">
        <v>-210</v>
      </c>
      <c r="E45" s="6" t="n">
        <v>-225</v>
      </c>
      <c r="F45" s="6" t="n">
        <v>-105</v>
      </c>
    </row>
    <row r="46">
      <c r="A46" s="5" t="inlineStr">
        <is>
          <t>Net cash flows from financing activities</t>
        </is>
      </c>
      <c r="B46" s="5" t="n">
        <v>-258</v>
      </c>
      <c r="C46" s="5" t="n">
        <v>-361</v>
      </c>
      <c r="D46" s="5" t="n">
        <v>-347</v>
      </c>
      <c r="E46" s="5" t="n">
        <v>-139</v>
      </c>
      <c r="F46" s="5" t="n">
        <v>123</v>
      </c>
    </row>
    <row r="47">
      <c r="A47" s="6" t="inlineStr">
        <is>
          <t>Effects of exchange rate changes on cash and cash equivalents</t>
        </is>
      </c>
      <c r="B47" s="6" t="n">
        <v>-1</v>
      </c>
      <c r="C47" s="6" t="n">
        <v>0</v>
      </c>
      <c r="D47" s="6" t="n">
        <v>-1</v>
      </c>
      <c r="E47" s="6" t="n">
        <v>24</v>
      </c>
      <c r="F47" s="6" t="n">
        <v>-38</v>
      </c>
    </row>
    <row r="48">
      <c r="A48" s="5" t="inlineStr">
        <is>
          <t>Net (decrease)/increase in cash and cash equivalents</t>
        </is>
      </c>
      <c r="B48" s="5" t="n">
        <v>-1740</v>
      </c>
      <c r="C48" s="5" t="n">
        <v>7661</v>
      </c>
      <c r="D48" s="5" t="n">
        <v>2033</v>
      </c>
      <c r="E48" s="5" t="n">
        <v>5834</v>
      </c>
      <c r="F48" s="5" t="n">
        <v>16534</v>
      </c>
    </row>
    <row r="49">
      <c r="A49" s="6" t="inlineStr">
        <is>
          <t>Cash and cash equivalents at 1 January</t>
        </is>
      </c>
      <c r="B49" s="6" t="n">
        <v>44222</v>
      </c>
      <c r="C49" s="6" t="n">
        <v>36561</v>
      </c>
      <c r="D49" s="6" t="n">
        <v>34528</v>
      </c>
      <c r="E49" s="6" t="n">
        <v>28694</v>
      </c>
      <c r="F49" s="6" t="n">
        <v>12160</v>
      </c>
    </row>
    <row r="50">
      <c r="A50" s="5" t="inlineStr">
        <is>
          <t>Cash and cash equivalents at 31 December</t>
        </is>
      </c>
      <c r="B50" s="5" t="n">
        <v>42482</v>
      </c>
      <c r="C50" s="5" t="n">
        <v>44222</v>
      </c>
      <c r="D50" s="5" t="n">
        <v>36561</v>
      </c>
      <c r="E50" s="5" t="n">
        <v>34528</v>
      </c>
      <c r="F50" s="5" t="n">
        <v>28694</v>
      </c>
    </row>
    <row r="52" ht="280" customHeight="1">
      <c r="A52" s="8" t="inlineStr">
        <is>
          <t>Sources - Coutts &amp; Company's own Cash Flow Statement, from its audited Companies House filings:
FY2025/FY2024: Annual Report and Accounts 2025, p.56 - https://find-and-update.company-information.service.gov.uk/company/00036695/filing-history/MzUyMTA2MDcwMGFkaXF6a2N4/document?format=pdf&amp;download=0
FY2023/FY2022 (summary presentation): Annual Report and Accounts 2023, p.53 - https://find-and-update.company-information.service.gov.uk/company/00036695/filing-history/MzQyMDgzOTQ5OWFkaXF6a2N4/document?format=pdf&amp;download=0
FY2022/FY2021 (detailed presentation, used for the itemized operating-activities breakdown and as the source for FY2021): Annual Report and Accounts 2022, p.56 - https://find-and-update.company-information.service.gov.uk/company/00036695/filing-history/MzM4NTMwNzEyMGFkaXF6a2N4/document?format=pdf&amp;download=0
FY2021/FY2022 use a more detailed operating-activities presentation (a 'Net cash flows from trading activities' subtotal, then an itemized 'Changes in operating assets and liabilities' breakdown) than FY2023-FY2025's simpler 3-line 'Adjustments for' presentation - both feed the same-labelled 'Changes in operating assets and liabilities' total line; FY2023-FY2025 state it as a single figure with no breakdown. Full opening-to-closing cash chain reconciles exactly across all 5 years, cross-checked against each year's appearance as the following year's comparative in every case.
Coutts &amp; Company (company 00036695, FRN 122287) is a wholly-owned subsidiary of NatWest Group plc, part of the ring-fenced NatWest Holdings (NWH) Group sub-group. All figures are Coutts &amp; Company's own entity-level financial statements/disclosures, not the wider NatWest Group. A private unlimited company - voluntarily files full audited accounts at Companies House despite the unlimited-company form (which would otherwise exempt it from public filing), same as C. Hoare &amp; Co. elsewhere in this project.
BASIS CHANGE: the FY2022 Annual Report states its financial statements 'are prepared on a standalone basis for Coutts. Previously these were prepared on a consolidated basis for Coutts and its subsidiaries.' The FY2021 figures used here are as shown in the FY2022 report's own comparative column (the only source available for FY2021) - it isn't confirmed whether that comparative was itself restated onto the new standalone basis or retains the original consolidated FY2021 basis. Flagged, not resolved.
In September 2022 Coutts acquired the 'Adam &amp; Company' private-banking business from The Royal Bank of Scotland plc (a Part VII-style transfer) - RBS plc is a separate entity already built in this project; that acquisition is the source-side counterpart of this project's earlier RBS plc entity-identity finding.</t>
        </is>
      </c>
    </row>
  </sheetData>
  <mergeCells count="1">
    <mergeCell ref="A52:F5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s>
  <sheetData>
    <row r="1">
      <c r="A1" s="1" t="inlineStr">
        <is>
          <t>Coutts &amp; Company — Asset Quality</t>
        </is>
      </c>
    </row>
    <row r="2">
      <c r="A2" s="2" t="inlineStr">
        <is>
          <t>Entity-level basis, £m. See source note at bottom.</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Loans - amortised cost and FVOCI, by IFRS 9 stage</t>
        </is>
      </c>
      <c r="B4" s="6" t="n"/>
      <c r="C4" s="6" t="n"/>
      <c r="D4" s="6" t="n"/>
      <c r="E4" s="6" t="n"/>
      <c r="F4" s="6" t="n"/>
    </row>
    <row r="5">
      <c r="A5" s="6" t="inlineStr">
        <is>
          <t>Stage 1</t>
        </is>
      </c>
      <c r="B5" s="6" t="n">
        <v>17334</v>
      </c>
      <c r="C5" s="6" t="n">
        <v>16998</v>
      </c>
      <c r="D5" s="6" t="n">
        <v>17400</v>
      </c>
      <c r="E5" s="6" t="n">
        <v>18112</v>
      </c>
      <c r="F5" s="6" t="n">
        <v>16648</v>
      </c>
    </row>
    <row r="6">
      <c r="A6" s="6" t="inlineStr">
        <is>
          <t>Stage 2</t>
        </is>
      </c>
      <c r="B6" s="6" t="n">
        <v>1110</v>
      </c>
      <c r="C6" s="6" t="n">
        <v>840</v>
      </c>
      <c r="D6" s="6" t="n">
        <v>906</v>
      </c>
      <c r="E6" s="6" t="n">
        <v>795</v>
      </c>
      <c r="F6" s="6" t="n">
        <v>936</v>
      </c>
    </row>
    <row r="7">
      <c r="A7" s="6" t="inlineStr">
        <is>
          <t>Stage 3</t>
        </is>
      </c>
      <c r="B7" s="6" t="n">
        <v>338</v>
      </c>
      <c r="C7" s="6" t="n">
        <v>317</v>
      </c>
      <c r="D7" s="6" t="n">
        <v>247</v>
      </c>
      <c r="E7" s="6" t="n">
        <v>230</v>
      </c>
      <c r="F7" s="6" t="n">
        <v>250</v>
      </c>
    </row>
    <row r="8">
      <c r="A8" s="6" t="inlineStr">
        <is>
          <t>Inter-Group (classified Stage 1)</t>
        </is>
      </c>
      <c r="B8" s="6" t="n">
        <v>42464</v>
      </c>
      <c r="C8" s="6" t="n">
        <v>44301</v>
      </c>
      <c r="D8" s="6" t="n">
        <v>36633</v>
      </c>
      <c r="E8" s="6" t="n">
        <v>34681</v>
      </c>
      <c r="F8" s="6" t="n">
        <v>28678</v>
      </c>
    </row>
    <row r="9">
      <c r="A9" s="5" t="inlineStr">
        <is>
          <t>Total gross loans (amortised cost and FVOCI)</t>
        </is>
      </c>
      <c r="B9" s="5" t="n">
        <v>61246</v>
      </c>
      <c r="C9" s="5" t="n">
        <v>62456</v>
      </c>
      <c r="D9" s="5" t="n">
        <v>55186</v>
      </c>
      <c r="E9" s="5" t="n">
        <v>53818</v>
      </c>
      <c r="F9" s="5" t="n">
        <v>46512</v>
      </c>
    </row>
    <row r="10">
      <c r="A10" s="5" t="inlineStr">
        <is>
          <t>ECL provisions, by IFRS 9 stage</t>
        </is>
      </c>
      <c r="B10" s="6" t="n"/>
      <c r="C10" s="6" t="n"/>
      <c r="D10" s="6" t="n"/>
      <c r="E10" s="6" t="n"/>
      <c r="F10" s="6" t="n"/>
    </row>
    <row r="11">
      <c r="A11" s="6" t="inlineStr">
        <is>
          <t>Stage 1</t>
        </is>
      </c>
      <c r="B11" s="6" t="n">
        <v>13</v>
      </c>
      <c r="C11" s="6" t="n">
        <v>16</v>
      </c>
      <c r="D11" s="6" t="n">
        <v>20</v>
      </c>
      <c r="E11" s="6" t="n">
        <v>22</v>
      </c>
      <c r="F11" s="6" t="n">
        <v>11</v>
      </c>
    </row>
    <row r="12">
      <c r="A12" s="6" t="inlineStr">
        <is>
          <t>Stage 2</t>
        </is>
      </c>
      <c r="B12" s="6" t="n">
        <v>13</v>
      </c>
      <c r="C12" s="6" t="n">
        <v>10</v>
      </c>
      <c r="D12" s="6" t="n">
        <v>20</v>
      </c>
      <c r="E12" s="6" t="n">
        <v>14</v>
      </c>
      <c r="F12" s="6" t="n">
        <v>27</v>
      </c>
    </row>
    <row r="13">
      <c r="A13" s="6" t="inlineStr">
        <is>
          <t>Stage 3</t>
        </is>
      </c>
      <c r="B13" s="6" t="n">
        <v>50</v>
      </c>
      <c r="C13" s="6" t="n">
        <v>37</v>
      </c>
      <c r="D13" s="6" t="n">
        <v>32</v>
      </c>
      <c r="E13" s="6" t="n">
        <v>23</v>
      </c>
      <c r="F13" s="6" t="n">
        <v>35</v>
      </c>
    </row>
    <row r="14">
      <c r="A14" s="6" t="inlineStr">
        <is>
          <t>Inter-Group</t>
        </is>
      </c>
      <c r="B14" s="6" t="n">
        <v>14</v>
      </c>
      <c r="C14" s="6" t="n">
        <v>19</v>
      </c>
      <c r="D14" s="6" t="n">
        <v>27</v>
      </c>
      <c r="E14" s="6" t="n">
        <v>38</v>
      </c>
      <c r="F14" s="6" t="n">
        <v>5</v>
      </c>
    </row>
    <row r="15">
      <c r="A15" s="5" t="inlineStr">
        <is>
          <t>Total ECL provisions</t>
        </is>
      </c>
      <c r="B15" s="5" t="n">
        <v>90</v>
      </c>
      <c r="C15" s="5" t="n">
        <v>82</v>
      </c>
      <c r="D15" s="5" t="n">
        <v>99</v>
      </c>
      <c r="E15" s="5" t="n">
        <v>97</v>
      </c>
      <c r="F15" s="5" t="n">
        <v>78</v>
      </c>
    </row>
    <row r="16">
      <c r="A16" s="5" t="inlineStr">
        <is>
          <t>ECL provisions coverage</t>
        </is>
      </c>
      <c r="B16" s="6" t="n"/>
      <c r="C16" s="6" t="n"/>
      <c r="D16" s="6" t="n"/>
      <c r="E16" s="6" t="n"/>
      <c r="F16" s="6" t="n"/>
    </row>
    <row r="17">
      <c r="A17" s="6" t="inlineStr">
        <is>
          <t>Stage 1 (%)</t>
        </is>
      </c>
      <c r="B17" s="6" t="inlineStr">
        <is>
          <t>0.07%</t>
        </is>
      </c>
      <c r="C17" s="6" t="inlineStr">
        <is>
          <t>0.09%</t>
        </is>
      </c>
      <c r="D17" s="6" t="inlineStr">
        <is>
          <t>0.11%</t>
        </is>
      </c>
      <c r="E17" s="6" t="inlineStr">
        <is>
          <t>0.12%</t>
        </is>
      </c>
      <c r="F17" s="6" t="inlineStr">
        <is>
          <t>0.07%</t>
        </is>
      </c>
    </row>
    <row r="18">
      <c r="A18" s="6" t="inlineStr">
        <is>
          <t>Stage 2 (%)</t>
        </is>
      </c>
      <c r="B18" s="6" t="inlineStr">
        <is>
          <t>1.17%</t>
        </is>
      </c>
      <c r="C18" s="6" t="inlineStr">
        <is>
          <t>1.19%</t>
        </is>
      </c>
      <c r="D18" s="6" t="inlineStr">
        <is>
          <t>2.21%</t>
        </is>
      </c>
      <c r="E18" s="6" t="inlineStr">
        <is>
          <t>1.76%</t>
        </is>
      </c>
      <c r="F18" s="6" t="inlineStr">
        <is>
          <t>2.88%</t>
        </is>
      </c>
    </row>
    <row r="19">
      <c r="A19" s="6" t="inlineStr">
        <is>
          <t>Stage 3 (%)</t>
        </is>
      </c>
      <c r="B19" s="6" t="inlineStr">
        <is>
          <t>14.79%</t>
        </is>
      </c>
      <c r="C19" s="6" t="inlineStr">
        <is>
          <t>11.67%</t>
        </is>
      </c>
      <c r="D19" s="6" t="inlineStr">
        <is>
          <t>12.96%</t>
        </is>
      </c>
      <c r="E19" s="6" t="inlineStr">
        <is>
          <t>10.00%</t>
        </is>
      </c>
      <c r="F19" s="6" t="inlineStr">
        <is>
          <t>14.00%</t>
        </is>
      </c>
    </row>
    <row r="20">
      <c r="A20" s="6" t="inlineStr">
        <is>
          <t>Inter-Group (%)</t>
        </is>
      </c>
      <c r="B20" s="6" t="inlineStr">
        <is>
          <t>0.03%</t>
        </is>
      </c>
      <c r="C20" s="6" t="inlineStr">
        <is>
          <t>0.04%</t>
        </is>
      </c>
      <c r="D20" s="6" t="inlineStr">
        <is>
          <t>0.07%</t>
        </is>
      </c>
      <c r="E20" s="6" t="inlineStr">
        <is>
          <t>0.11%</t>
        </is>
      </c>
      <c r="F20" s="6" t="inlineStr">
        <is>
          <t>0.02%</t>
        </is>
      </c>
    </row>
    <row r="21">
      <c r="A21" s="6" t="inlineStr">
        <is>
          <t>Overall coverage (%)</t>
        </is>
      </c>
      <c r="B21" s="6" t="inlineStr">
        <is>
          <t>0.40%</t>
        </is>
      </c>
      <c r="C21" s="6" t="inlineStr">
        <is>
          <t>0.35%</t>
        </is>
      </c>
      <c r="D21" s="6" t="inlineStr">
        <is>
          <t>0.39%</t>
        </is>
      </c>
      <c r="E21" s="6" t="inlineStr">
        <is>
          <t>0.31%</t>
        </is>
      </c>
      <c r="F21" s="6" t="inlineStr">
        <is>
          <t>0.41%</t>
        </is>
      </c>
    </row>
    <row r="22">
      <c r="A22" s="5" t="inlineStr">
        <is>
          <t>ECL charge/(release) for the year, by IFRS 9 stage</t>
        </is>
      </c>
      <c r="B22" s="6" t="n"/>
      <c r="C22" s="6" t="n"/>
      <c r="D22" s="6" t="n"/>
      <c r="E22" s="6" t="n"/>
      <c r="F22" s="6" t="n"/>
    </row>
    <row r="23">
      <c r="A23" s="6" t="inlineStr">
        <is>
          <t>Stage 1</t>
        </is>
      </c>
      <c r="B23" s="6" t="n">
        <v>-9</v>
      </c>
      <c r="C23" s="6" t="n">
        <v>-11</v>
      </c>
      <c r="D23" s="6" t="n">
        <v>-9</v>
      </c>
      <c r="E23" s="6" t="n">
        <v>2</v>
      </c>
      <c r="F23" s="6" t="n">
        <v>-44</v>
      </c>
    </row>
    <row r="24">
      <c r="A24" s="6" t="inlineStr">
        <is>
          <t>Stage 2</t>
        </is>
      </c>
      <c r="B24" s="6" t="n">
        <v>9</v>
      </c>
      <c r="C24" s="6" t="n">
        <v>-1</v>
      </c>
      <c r="D24" s="6" t="n">
        <v>16</v>
      </c>
      <c r="E24" s="6" t="n">
        <v>-8</v>
      </c>
      <c r="F24" s="6" t="n">
        <v>-15</v>
      </c>
    </row>
    <row r="25">
      <c r="A25" s="6" t="inlineStr">
        <is>
          <t>Stage 3</t>
        </is>
      </c>
      <c r="B25" s="6" t="n">
        <v>10</v>
      </c>
      <c r="C25" s="6" t="n">
        <v>1</v>
      </c>
      <c r="D25" s="6" t="n">
        <v>7</v>
      </c>
      <c r="E25" s="6" t="n">
        <v>3</v>
      </c>
      <c r="F25" s="6" t="n">
        <v>7</v>
      </c>
    </row>
    <row r="26">
      <c r="A26" s="6" t="inlineStr">
        <is>
          <t>Inter-Group</t>
        </is>
      </c>
      <c r="B26" s="6" t="n">
        <v>-5</v>
      </c>
      <c r="C26" s="6" t="n">
        <v>-8</v>
      </c>
      <c r="D26" s="6" t="n">
        <v>-11</v>
      </c>
      <c r="E26" s="6" t="n">
        <v>34</v>
      </c>
      <c r="F26" s="6" t="n">
        <v>-5</v>
      </c>
    </row>
    <row r="27">
      <c r="A27" s="5" t="inlineStr">
        <is>
          <t>Total ECL charge/(release) for the year</t>
        </is>
      </c>
      <c r="B27" s="5" t="n">
        <v>5</v>
      </c>
      <c r="C27" s="5" t="n">
        <v>-19</v>
      </c>
      <c r="D27" s="5" t="n">
        <v>3</v>
      </c>
      <c r="E27" s="5" t="n">
        <v>31</v>
      </c>
      <c r="F27" s="5" t="n">
        <v>-57</v>
      </c>
    </row>
    <row r="28">
      <c r="A28" s="6" t="inlineStr">
        <is>
          <t>Amounts written off</t>
        </is>
      </c>
      <c r="B28" s="6" t="n">
        <v>1</v>
      </c>
      <c r="C28" s="6" t="n">
        <v>1</v>
      </c>
      <c r="D28" s="6" t="n">
        <v>2</v>
      </c>
      <c r="E28" s="6" t="n">
        <v>15</v>
      </c>
      <c r="F28" s="6" t="n">
        <v>6</v>
      </c>
    </row>
    <row r="29">
      <c r="A29" s="5" t="inlineStr">
        <is>
          <t>Derived ratio</t>
        </is>
      </c>
      <c r="B29" s="6" t="n"/>
      <c r="C29" s="6" t="n"/>
      <c r="D29" s="6" t="n"/>
      <c r="E29" s="6" t="n"/>
      <c r="F29" s="6" t="n"/>
    </row>
    <row r="30">
      <c r="A30" s="6" t="inlineStr">
        <is>
          <t>Stage 3 / gross third-party loans (excl. Inter-Group)</t>
        </is>
      </c>
      <c r="B30" s="6" t="inlineStr">
        <is>
          <t>1.80%</t>
        </is>
      </c>
      <c r="C30" s="6" t="inlineStr">
        <is>
          <t>1.75%</t>
        </is>
      </c>
      <c r="D30" s="6" t="inlineStr">
        <is>
          <t>1.33%</t>
        </is>
      </c>
      <c r="E30" s="6" t="inlineStr">
        <is>
          <t>1.20%</t>
        </is>
      </c>
      <c r="F30" s="6" t="inlineStr">
        <is>
          <t>1.40%</t>
        </is>
      </c>
    </row>
    <row r="32" ht="299" customHeight="1">
      <c r="A32" s="8" t="inlineStr">
        <is>
          <t>Sources - Coutts &amp; Company's own Note 8 'Loan impairment provisions', Companies House filings:
FY2025/FY2024: Annual Report and Accounts 2025, p.69 - https://find-and-update.company-information.service.gov.uk/company/00036695/filing-history/MzUyMTA2MDcwMGFkaXF6a2N4/document?format=pdf&amp;download=0
FY2023/FY2022: Annual Report and Accounts 2023, p.65 - https://find-and-update.company-information.service.gov.uk/company/00036695/filing-history/MzQyMDgzOTQ5OWFkaXF6a2N4/document?format=pdf&amp;download=0
FY2022/FY2021 (used for the FY2021 column): Annual Report and Accounts 2022, p.68 - https://find-and-update.company-information.service.gov.uk/company/00036695/filing-history/MzM4NTMwNzEyMGFkaXF6a2N4/document?format=pdf&amp;download=0
'Inter-Group' is loans/placements with holding companies and fellow subsidiaries (dominant on this entity's balance sheet - see Amount due from holding companies and fellow subsidiaries on the Balance Sheet) - classified Stage 1 by the Bank's own convention and shown as its own row here, not blended into the third-party Stage 1/2/3 split. FY2022's own comparative figures (as republished in the FY2023 report) match FY2022's own originally-published figures exactly - no restatement found. The derived 'Stage 3 / gross third-party loans' ratio below excludes Inter-Group from the denominator, since inter-group placements carry negligible credit risk and would otherwise dilute the third-party asset-quality signal.
Coutts &amp; Company (company 00036695, FRN 122287) is a wholly-owned subsidiary of NatWest Group plc, part of the ring-fenced NatWest Holdings (NWH) Group sub-group. All figures are Coutts &amp; Company's own entity-level financial statements/disclosures, not the wider NatWest Group. A private unlimited company - voluntarily files full audited accounts at Companies House despite the unlimited-company form (which would otherwise exempt it from public filing), same as C. Hoare &amp; Co. elsewhere in this project.
BASIS CHANGE: the FY2022 Annual Report states its financial statements 'are prepared on a standalone basis for Coutts. Previously these were prepared on a consolidated basis for Coutts and its subsidiaries.' The FY2021 figures used here are as shown in the FY2022 report's own comparative column (the only source available for FY2021) - it isn't confirmed whether that comparative was itself restated onto the new standalone basis or retains the original consolidated FY2021 basis. Flagged, not resolved.
In September 2022 Coutts acquired the 'Adam &amp; Company' private-banking business from The Royal Bank of Scotland plc (a Part VII-style transfer) - RBS plc is a separate entity already built in this project; that acquisition is the source-side counterpart of this project's earlier RBS plc entity-identity finding.</t>
        </is>
      </c>
    </row>
  </sheetData>
  <mergeCells count="1">
    <mergeCell ref="A32:F3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Coutts &amp; Company — KM1 Key Metrics</t>
        </is>
      </c>
    </row>
    <row r="2">
      <c r="A2" s="2" t="inlineStr">
        <is>
          <t>Coutts &amp; Company's own entity-level 'UK KM1: Key metrics' template, reproduced whole in its own row order, row numbers, labels and precision. Amounts in £m, ratios as printed. FY2025-FY2022 are each from that year's OWN Pillar 3 report; FY2021 is the FY2022 report's comparative column, because no Coutts-specific FY2021 Pillar 3 report exists. Rows 15-20 and UK 14a-14e are blank by formal exclusion, not for want of data - see source note.</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t>
        </is>
      </c>
      <c r="B4" s="6" t="n"/>
      <c r="C4" s="6" t="n"/>
      <c r="D4" s="6" t="n"/>
      <c r="E4" s="6" t="n"/>
      <c r="F4" s="6" t="n"/>
    </row>
    <row r="5">
      <c r="A5" s="6" t="inlineStr">
        <is>
          <t>1  Common equity tier 1 (CET1) capital (£m)</t>
        </is>
      </c>
      <c r="B5" s="6" t="n">
        <v>1248</v>
      </c>
      <c r="C5" s="6" t="n">
        <v>1192</v>
      </c>
      <c r="D5" s="6" t="n">
        <v>1199</v>
      </c>
      <c r="E5" s="6" t="n">
        <v>1260</v>
      </c>
      <c r="F5" s="6" t="n">
        <v>1235</v>
      </c>
    </row>
    <row r="6">
      <c r="A6" s="6" t="inlineStr">
        <is>
          <t>2  Tier 1 capital (£m)</t>
        </is>
      </c>
      <c r="B6" s="6" t="n">
        <v>1488</v>
      </c>
      <c r="C6" s="6" t="n">
        <v>1432</v>
      </c>
      <c r="D6" s="6" t="n">
        <v>1439</v>
      </c>
      <c r="E6" s="6" t="n">
        <v>1535</v>
      </c>
      <c r="F6" s="6" t="n">
        <v>1437</v>
      </c>
    </row>
    <row r="7">
      <c r="A7" s="6" t="inlineStr">
        <is>
          <t>3  Total capital (£m)</t>
        </is>
      </c>
      <c r="B7" s="6" t="n">
        <v>1788</v>
      </c>
      <c r="C7" s="6" t="n">
        <v>1732</v>
      </c>
      <c r="D7" s="6" t="n">
        <v>1739</v>
      </c>
      <c r="E7" s="6" t="n">
        <v>1790</v>
      </c>
      <c r="F7" s="6" t="n">
        <v>1703</v>
      </c>
    </row>
    <row r="8">
      <c r="A8" s="5" t="inlineStr">
        <is>
          <t>Risk-weighted exposure amounts</t>
        </is>
      </c>
      <c r="B8" s="6" t="n"/>
      <c r="C8" s="6" t="n"/>
      <c r="D8" s="6" t="n"/>
      <c r="E8" s="6" t="n"/>
      <c r="F8" s="6" t="n"/>
    </row>
    <row r="9">
      <c r="A9" s="6" t="inlineStr">
        <is>
          <t>4  Total risk-weighted exposure amount (£m)</t>
        </is>
      </c>
      <c r="B9" s="6" t="n">
        <v>10982</v>
      </c>
      <c r="C9" s="6" t="n">
        <v>10564</v>
      </c>
      <c r="D9" s="6" t="n">
        <v>10591</v>
      </c>
      <c r="E9" s="6" t="n">
        <v>10722</v>
      </c>
      <c r="F9" s="6" t="n">
        <v>10367</v>
      </c>
    </row>
    <row r="10">
      <c r="A10" s="5" t="inlineStr">
        <is>
          <t>Capital ratios (as a percentage of risk-weighted exposure amount)</t>
        </is>
      </c>
      <c r="B10" s="6" t="n"/>
      <c r="C10" s="6" t="n"/>
      <c r="D10" s="6" t="n"/>
      <c r="E10" s="6" t="n"/>
      <c r="F10" s="6" t="n"/>
    </row>
    <row r="11">
      <c r="A11" s="6" t="inlineStr">
        <is>
          <t>5  Common equity tier 1 ratio (%)</t>
        </is>
      </c>
      <c r="B11" s="6" t="inlineStr">
        <is>
          <t>11.4</t>
        </is>
      </c>
      <c r="C11" s="6" t="inlineStr">
        <is>
          <t>11.3</t>
        </is>
      </c>
      <c r="D11" s="6" t="inlineStr">
        <is>
          <t>11.3</t>
        </is>
      </c>
      <c r="E11" s="6" t="inlineStr">
        <is>
          <t>11.8</t>
        </is>
      </c>
      <c r="F11" s="6" t="inlineStr">
        <is>
          <t>11.9</t>
        </is>
      </c>
    </row>
    <row r="12">
      <c r="A12" s="6" t="inlineStr">
        <is>
          <t>6  Tier 1 ratio (%)</t>
        </is>
      </c>
      <c r="B12" s="6" t="inlineStr">
        <is>
          <t>13.5</t>
        </is>
      </c>
      <c r="C12" s="6" t="inlineStr">
        <is>
          <t>13.6</t>
        </is>
      </c>
      <c r="D12" s="6" t="inlineStr">
        <is>
          <t>13.6</t>
        </is>
      </c>
      <c r="E12" s="6" t="inlineStr">
        <is>
          <t>14.3</t>
        </is>
      </c>
      <c r="F12" s="6" t="inlineStr">
        <is>
          <t>13.9</t>
        </is>
      </c>
    </row>
    <row r="13">
      <c r="A13" s="6" t="inlineStr">
        <is>
          <t>7  Total capital ratio (%)</t>
        </is>
      </c>
      <c r="B13" s="6" t="inlineStr">
        <is>
          <t>16.3</t>
        </is>
      </c>
      <c r="C13" s="6" t="inlineStr">
        <is>
          <t>16.4</t>
        </is>
      </c>
      <c r="D13" s="6" t="inlineStr">
        <is>
          <t>16.4</t>
        </is>
      </c>
      <c r="E13" s="6" t="inlineStr">
        <is>
          <t>16.7</t>
        </is>
      </c>
      <c r="F13" s="6" t="inlineStr">
        <is>
          <t>16.4</t>
        </is>
      </c>
    </row>
    <row r="14">
      <c r="A14" s="5" t="inlineStr">
        <is>
          <t>Additional own funds requirements based on SREP (as a percentage of risk-weighted exposure amount)</t>
        </is>
      </c>
      <c r="B14" s="6" t="n"/>
      <c r="C14" s="6" t="n"/>
      <c r="D14" s="6" t="n"/>
      <c r="E14" s="6" t="n"/>
      <c r="F14" s="6" t="n"/>
    </row>
    <row r="15">
      <c r="A15" s="6" t="inlineStr">
        <is>
          <t>UK 7a  Additional CET1 SREP requirements (%)</t>
        </is>
      </c>
      <c r="B15" s="6" t="inlineStr">
        <is>
          <t>1.3</t>
        </is>
      </c>
      <c r="C15" s="6" t="inlineStr">
        <is>
          <t>1.5</t>
        </is>
      </c>
      <c r="D15" s="6" t="inlineStr">
        <is>
          <t>1.5</t>
        </is>
      </c>
      <c r="E15" s="6" t="inlineStr">
        <is>
          <t>1.4</t>
        </is>
      </c>
      <c r="F15" s="6" t="inlineStr">
        <is>
          <t>1.5</t>
        </is>
      </c>
    </row>
    <row r="16">
      <c r="A16" s="6" t="inlineStr">
        <is>
          <t>UK 7b  Additional AT1 SREP requirements (%)</t>
        </is>
      </c>
      <c r="B16" s="6" t="inlineStr">
        <is>
          <t>0.4</t>
        </is>
      </c>
      <c r="C16" s="6" t="inlineStr">
        <is>
          <t>0.5</t>
        </is>
      </c>
      <c r="D16" s="6" t="inlineStr">
        <is>
          <t>0.5</t>
        </is>
      </c>
      <c r="E16" s="6" t="inlineStr">
        <is>
          <t>0.5</t>
        </is>
      </c>
      <c r="F16" s="6" t="inlineStr">
        <is>
          <t>0.5</t>
        </is>
      </c>
    </row>
    <row r="17">
      <c r="A17" s="6" t="inlineStr">
        <is>
          <t>UK 7c  Additional Tier 2 SREP requirements (%)</t>
        </is>
      </c>
      <c r="B17" s="6" t="inlineStr">
        <is>
          <t>0.6</t>
        </is>
      </c>
      <c r="C17" s="6" t="inlineStr">
        <is>
          <t>0.6</t>
        </is>
      </c>
      <c r="D17" s="6" t="inlineStr">
        <is>
          <t>0.7</t>
        </is>
      </c>
      <c r="E17" s="6" t="inlineStr">
        <is>
          <t>0.6</t>
        </is>
      </c>
      <c r="F17" s="6" t="inlineStr">
        <is>
          <t>0.7</t>
        </is>
      </c>
    </row>
    <row r="18">
      <c r="A18" s="6" t="inlineStr">
        <is>
          <t>UK 7d  Total SREP own funds requirements (%)</t>
        </is>
      </c>
      <c r="B18" s="6" t="inlineStr">
        <is>
          <t>10.3</t>
        </is>
      </c>
      <c r="C18" s="6" t="inlineStr">
        <is>
          <t>10.6</t>
        </is>
      </c>
      <c r="D18" s="6" t="inlineStr">
        <is>
          <t>10.7</t>
        </is>
      </c>
      <c r="E18" s="6" t="inlineStr">
        <is>
          <t>10.5</t>
        </is>
      </c>
      <c r="F18" s="6" t="inlineStr">
        <is>
          <t>10.6</t>
        </is>
      </c>
    </row>
    <row r="19">
      <c r="A19" s="5" t="inlineStr">
        <is>
          <t>Combined buffer requirement (as a percentage of risk-weighted exposure amount)</t>
        </is>
      </c>
      <c r="B19" s="6" t="n"/>
      <c r="C19" s="6" t="n"/>
      <c r="D19" s="6" t="n"/>
      <c r="E19" s="6" t="n"/>
      <c r="F19" s="6" t="n"/>
    </row>
    <row r="20">
      <c r="A20" s="6" t="inlineStr">
        <is>
          <t>8  Capital conservation buffer (%)</t>
        </is>
      </c>
      <c r="B20" s="6" t="inlineStr">
        <is>
          <t>2.5</t>
        </is>
      </c>
      <c r="C20" s="6" t="inlineStr">
        <is>
          <t>2.5</t>
        </is>
      </c>
      <c r="D20" s="6" t="inlineStr">
        <is>
          <t>2.5</t>
        </is>
      </c>
      <c r="E20" s="6" t="inlineStr">
        <is>
          <t>2.5</t>
        </is>
      </c>
      <c r="F20" s="6" t="inlineStr">
        <is>
          <t>2.5</t>
        </is>
      </c>
    </row>
    <row r="21">
      <c r="A21" s="6" t="inlineStr">
        <is>
          <t>9  Institution specific countercyclical capital buffer (%)</t>
        </is>
      </c>
      <c r="B21" s="6" t="inlineStr">
        <is>
          <t>1.9</t>
        </is>
      </c>
      <c r="C21" s="6" t="inlineStr">
        <is>
          <t>1.9</t>
        </is>
      </c>
      <c r="D21" s="6" t="inlineStr">
        <is>
          <t>1.9</t>
        </is>
      </c>
      <c r="E21" s="6" t="inlineStr">
        <is>
          <t>1.0</t>
        </is>
      </c>
      <c r="F21" s="6" t="inlineStr">
        <is>
          <t>0.0</t>
        </is>
      </c>
    </row>
    <row r="22">
      <c r="A22" s="6" t="inlineStr">
        <is>
          <t>11  Combined buffer requirement (%)</t>
        </is>
      </c>
      <c r="B22" s="6" t="inlineStr">
        <is>
          <t>4.4</t>
        </is>
      </c>
      <c r="C22" s="6" t="inlineStr">
        <is>
          <t>4.4</t>
        </is>
      </c>
      <c r="D22" s="6" t="inlineStr">
        <is>
          <t>4.4</t>
        </is>
      </c>
      <c r="E22" s="6" t="inlineStr">
        <is>
          <t>3.5</t>
        </is>
      </c>
      <c r="F22" s="6" t="inlineStr">
        <is>
          <t>2.5</t>
        </is>
      </c>
    </row>
    <row r="23">
      <c r="A23" s="6" t="inlineStr">
        <is>
          <t>UK 11a  Overall capital requirements (%)</t>
        </is>
      </c>
      <c r="B23" s="6" t="inlineStr">
        <is>
          <t>14.7</t>
        </is>
      </c>
      <c r="C23" s="6" t="inlineStr">
        <is>
          <t>15.0</t>
        </is>
      </c>
      <c r="D23" s="6" t="inlineStr">
        <is>
          <t>15.1</t>
        </is>
      </c>
      <c r="E23" s="6" t="inlineStr">
        <is>
          <t>14.0</t>
        </is>
      </c>
      <c r="F23" s="6" t="inlineStr">
        <is>
          <t>13.1</t>
        </is>
      </c>
    </row>
    <row r="24">
      <c r="A24" s="6" t="inlineStr">
        <is>
          <t>12  CET1 available after meeting the total SREP own funds requirements (%)</t>
        </is>
      </c>
      <c r="B24" s="6" t="inlineStr">
        <is>
          <t>5.6</t>
        </is>
      </c>
      <c r="C24" s="6" t="inlineStr">
        <is>
          <t>5.3</t>
        </is>
      </c>
      <c r="D24" s="6" t="inlineStr">
        <is>
          <t>5.3</t>
        </is>
      </c>
      <c r="E24" s="6" t="inlineStr">
        <is>
          <t>5.9</t>
        </is>
      </c>
      <c r="F24" s="6" t="inlineStr">
        <is>
          <t>5.9</t>
        </is>
      </c>
    </row>
    <row r="25">
      <c r="A25" s="5" t="inlineStr">
        <is>
          <t>Leverage ratio</t>
        </is>
      </c>
      <c r="B25" s="6" t="n"/>
      <c r="C25" s="6" t="n"/>
      <c r="D25" s="6" t="n"/>
      <c r="E25" s="6" t="n"/>
      <c r="F25" s="6" t="n"/>
    </row>
    <row r="26">
      <c r="A26" s="6" t="inlineStr">
        <is>
          <t>13  Total exposure measure excluding claims on central banks (£m)</t>
        </is>
      </c>
      <c r="B26" s="6" t="n">
        <v>19649</v>
      </c>
      <c r="C26" s="6" t="n">
        <v>19022</v>
      </c>
      <c r="D26" s="6" t="n">
        <v>19358</v>
      </c>
      <c r="E26" s="6" t="n">
        <v>20022</v>
      </c>
      <c r="F26" s="6" t="n"/>
    </row>
    <row r="27">
      <c r="A27" s="6" t="inlineStr">
        <is>
          <t>14  Leverage ratio excluding claims on central banks (%)</t>
        </is>
      </c>
      <c r="B27" s="6" t="inlineStr">
        <is>
          <t>7.6</t>
        </is>
      </c>
      <c r="C27" s="6" t="inlineStr">
        <is>
          <t>7.5</t>
        </is>
      </c>
      <c r="D27" s="6" t="inlineStr">
        <is>
          <t>7.4</t>
        </is>
      </c>
      <c r="E27" s="6" t="inlineStr">
        <is>
          <t>7.7</t>
        </is>
      </c>
      <c r="F27" s="6" t="n"/>
    </row>
    <row r="28">
      <c r="A28" s="5" t="inlineStr">
        <is>
          <t>Additional leverage ratio disclosure requirements (blank in every edition: Coutts &amp; Co is not an LREQ firm)</t>
        </is>
      </c>
      <c r="B28" s="6" t="n"/>
      <c r="C28" s="6" t="n"/>
      <c r="D28" s="6" t="n"/>
      <c r="E28" s="6" t="n"/>
      <c r="F28" s="6" t="n"/>
    </row>
    <row r="29">
      <c r="A29" s="6" t="inlineStr">
        <is>
          <t>UK 14a  Fully loaded ECL accounting model leverage ratio excluding claims on central banks (%)</t>
        </is>
      </c>
      <c r="B29" s="6" t="n"/>
      <c r="C29" s="6" t="n"/>
      <c r="D29" s="6" t="n"/>
      <c r="E29" s="6" t="n"/>
      <c r="F29" s="6" t="n"/>
    </row>
    <row r="30">
      <c r="A30" s="6" t="inlineStr">
        <is>
          <t>UK 14b  Leverage ratio including claims on central banks (%)</t>
        </is>
      </c>
      <c r="B30" s="6" t="n"/>
      <c r="C30" s="6" t="n"/>
      <c r="D30" s="6" t="n"/>
      <c r="E30" s="6" t="n"/>
      <c r="F30" s="6" t="n"/>
    </row>
    <row r="31">
      <c r="A31" s="6" t="inlineStr">
        <is>
          <t>UK 14c  Average leverage ratio excluding claims on central banks (%)</t>
        </is>
      </c>
      <c r="B31" s="6" t="n"/>
      <c r="C31" s="6" t="n"/>
      <c r="D31" s="6" t="n"/>
      <c r="E31" s="6" t="n"/>
      <c r="F31" s="6" t="n"/>
    </row>
    <row r="32">
      <c r="A32" s="6" t="inlineStr">
        <is>
          <t>UK 14d  Average leverage ratio including claims on central banks (%)</t>
        </is>
      </c>
      <c r="B32" s="6" t="n"/>
      <c r="C32" s="6" t="n"/>
      <c r="D32" s="6" t="n"/>
      <c r="E32" s="6" t="n"/>
      <c r="F32" s="6" t="n"/>
    </row>
    <row r="33">
      <c r="A33" s="6" t="inlineStr">
        <is>
          <t>UK 14e  Countercyclical leverage ratio buffer (%)</t>
        </is>
      </c>
      <c r="B33" s="6" t="n"/>
      <c r="C33" s="6" t="n"/>
      <c r="D33" s="6" t="n"/>
      <c r="E33" s="6" t="n"/>
      <c r="F33" s="6" t="n"/>
    </row>
    <row r="34">
      <c r="A34" s="5" t="inlineStr">
        <is>
          <t>Liquidity coverage ratio (blank in every edition: managed and disclosed at UK DoLSub sub-group level under the DoLSub waiver, not at entity level)</t>
        </is>
      </c>
      <c r="B34" s="6" t="n"/>
      <c r="C34" s="6" t="n"/>
      <c r="D34" s="6" t="n"/>
      <c r="E34" s="6" t="n"/>
      <c r="F34" s="6" t="n"/>
    </row>
    <row r="35">
      <c r="A35" s="6" t="inlineStr">
        <is>
          <t>15  Total high-quality liquid assets (HQLA) (weighted value-average) (£m)</t>
        </is>
      </c>
      <c r="B35" s="6" t="n"/>
      <c r="C35" s="6" t="n"/>
      <c r="D35" s="6" t="n"/>
      <c r="E35" s="6" t="n"/>
      <c r="F35" s="6" t="n"/>
    </row>
    <row r="36">
      <c r="A36" s="6" t="inlineStr">
        <is>
          <t>UK 16a  Cash outflows - Total weighted value (£m)</t>
        </is>
      </c>
      <c r="B36" s="6" t="n"/>
      <c r="C36" s="6" t="n"/>
      <c r="D36" s="6" t="n"/>
      <c r="E36" s="6" t="n"/>
      <c r="F36" s="6" t="n"/>
    </row>
    <row r="37">
      <c r="A37" s="6" t="inlineStr">
        <is>
          <t>UK 16b  Cash inflows - Total weighted value (£m)</t>
        </is>
      </c>
      <c r="B37" s="6" t="n"/>
      <c r="C37" s="6" t="n"/>
      <c r="D37" s="6" t="n"/>
      <c r="E37" s="6" t="n"/>
      <c r="F37" s="6" t="n"/>
    </row>
    <row r="38">
      <c r="A38" s="6" t="inlineStr">
        <is>
          <t>16  Total net cash outflows (adjusted value) (£m)</t>
        </is>
      </c>
      <c r="B38" s="6" t="n"/>
      <c r="C38" s="6" t="n"/>
      <c r="D38" s="6" t="n"/>
      <c r="E38" s="6" t="n"/>
      <c r="F38" s="6" t="n"/>
    </row>
    <row r="39">
      <c r="A39" s="6" t="inlineStr">
        <is>
          <t>17  Liquidity coverage ratio (%)</t>
        </is>
      </c>
      <c r="B39" s="6" t="n"/>
      <c r="C39" s="6" t="n"/>
      <c r="D39" s="6" t="n"/>
      <c r="E39" s="6" t="n"/>
      <c r="F39" s="6" t="n"/>
    </row>
    <row r="40">
      <c r="A40" s="5" t="inlineStr">
        <is>
          <t>Net stable funding ratio (blank in every edition: same UK DoLSub waiver basis)</t>
        </is>
      </c>
      <c r="B40" s="6" t="n"/>
      <c r="C40" s="6" t="n"/>
      <c r="D40" s="6" t="n"/>
      <c r="E40" s="6" t="n"/>
      <c r="F40" s="6" t="n"/>
    </row>
    <row r="41">
      <c r="A41" s="6" t="inlineStr">
        <is>
          <t>18  Total available stable funding (£m)</t>
        </is>
      </c>
      <c r="B41" s="6" t="n"/>
      <c r="C41" s="6" t="n"/>
      <c r="D41" s="6" t="n"/>
      <c r="E41" s="6" t="n"/>
      <c r="F41" s="6" t="n"/>
    </row>
    <row r="42">
      <c r="A42" s="6" t="inlineStr">
        <is>
          <t>19  Total required stable funding (£m)</t>
        </is>
      </c>
      <c r="B42" s="6" t="n"/>
      <c r="C42" s="6" t="n"/>
      <c r="D42" s="6" t="n"/>
      <c r="E42" s="6" t="n"/>
      <c r="F42" s="6" t="n"/>
    </row>
    <row r="43">
      <c r="A43" s="6" t="inlineStr">
        <is>
          <t>20  NSFR ratio (%)</t>
        </is>
      </c>
      <c r="B43" s="6" t="n"/>
      <c r="C43" s="6" t="n"/>
      <c r="D43" s="6" t="n"/>
      <c r="E43" s="6" t="n"/>
      <c r="F43" s="6" t="n"/>
    </row>
    <row r="45" ht="364" customHeight="1">
      <c r="A45" s="8" t="inlineStr">
        <is>
          <t>Sources - Coutts &amp; Company's OWN entity-level 'UK KM1: Key metrics' template, reproduced whole in the Bank's own row order, row numbers, labels and precision. Amounts in £m, ratios exactly as printed:
FY2025: Coutts &amp; Co Pillar 3 Report 2025, p.8 (31 December 2025 column) - https://investors.natwestgroup.com/~/media/Files/R/RBS-IR-V2/results-center/13022026/coutts-co-pillar-3-report.pdf
FY2024: Coutts &amp; Co Pillar 3 Report 2024, p.7 (31 December 2024 column) - https://investors.natwestgroup.com/~/media/Files/R/RBS-IR-V2/results-center/14022025/coutts-pillar-3-report.pdf
FY2023: Coutts &amp; Co Pillar 3 Report 2023, p.7 (31 December 2023 column) - https://investors.natwestgroup.com/~/media/Files/R/RBS-IR-V2/results-center/16022024/coutts-co-pillar-3-report.pdf
FY2022: Coutts &amp; Co Pillar 3 Report 2022, p.7 (31 December 2022 column) - https://investors.natwestgroup.com/~/media/Files/R/RBS-IR-V2/results-center/17022023/coutts-co-pillar-3-report.pdf
FY2021: NO COUTTS-SPECIFIC PILLAR 3 REPORT EXISTS FOR FY2021 - the earliest Coutts &amp; Co Pillar 3 document published on the NatWest Group investor site is the half-year 2022 supplement (29 July 2022), and the FY2022 report above is the first full-year one. The FY2021 column here is therefore taken from the FY2022 report's own '31 December 2021' COMPARATIVE COLUMN, which that report's 'Presentation of Information' section states is its standard comparative period ('Where a comparative is not prescribed, the comparative period provided is December 2021') - https://investors.natwestgroup.com/~/media/Files/R/RBS-IR-V2/results-center/17022023/coutts-co-pillar-3-report.pdf
SOURCE-SET CORRECTION (2026-09-17). This Pillar 3 document set was NOT previously cited anywhere in this workbook: the other Pillar 3 sheets here are sourced from Coutts's own Annual Report 'Risk and capital management' section at Companies House. Coutts &amp; Company does publish its own standalone, entity-level Pillar 3 reports - quarterly, on the NatWest Group investor-relations site rather than its own - and they carry a full UK KM1. They were located by enumerating investors.natwestgroup.com's results centre; natwestgroup.com's own sitemap lists no Pillar 3 page and coutts.com's lists none either, which is why earlier searches of the obvious domains found nothing. The figures agree with the Annual-Report-sourced figures already on the other sheets in every year and every row cross-checked.
ROWS 15-20 (LCR AND NSFR) ARE BLANK IN EVERY EDITION, AND THIS IS A FORMAL EXCLUSION RATHER THAN A DATA GAP. Each report footnotes the block: 'Under the UK DoLSub waiver Coutts &amp; Co liquidity and funding are managed and disclosed at the sub-group level rather than entity level.' The 'Presentation of Information' section adds that 'The liquidity disclosures completed at UK Domestic Liquidity Subgroup (UK DoLSub) level are published in the NatWest Holdings Group Pillar 3 report. The UK DoLSub waiver allows NWB Plc, RBS plc and Coutts &amp; Co to manage liquidity as a single sub-group rather than at an entity level.' The NatWest Holdings Group figure is a THREE-ENTITY SUB-GROUP figure and is deliberately NOT substituted for Coutts's own, which would be a basis error.
ROWS UK 14a-14e ARE LIKEWISE A FORMAL EXCLUSION: 'Coutts &amp; Co is not an LREQ firm, therefore not subject to the additional leverage ratio disclosure requirements.'
ROWS UK 8a, UK 9a, 10 AND UK 10a ARE NOT PRINTED AT ALL in any edition - each report lists them by name and says they are omitted as zero / not applicable - so they are omitted here too rather than shown as zeros.
ROWS 13 AND 14 ARE BLANK FOR FY2021 SPECIFICALLY: the FY2022 report's KM1 prints leverage figures for its four 2022 columns only and leaves the 31 December 2021 cell empty. That is a blank in the comparative itself, not an omission here.
ROW 9 FY2021 IS A PRINTED ZERO ('0.0'), not a dash, and is recorded as a zero - the UK countercyclical buffer rate was genuinely 0% at 31 December 2021 and was reset to 1% during 2022 and 2% from July 2023.
LEVEL OF APPLICATION (the basis on which these disclosures are owed): 'Coutts &amp; Co being a large, non-listed subsidiary of NatWest Group is subject to a reduced number of disclosures as set out in the Level of Application chapter in the Disclosure (CRR) part of the PRA Rulebook.' NatWest Group defines its large subsidiaries as those designated O-SII by the PRA or with total assets of €30bn or more.</t>
        </is>
      </c>
    </row>
    <row r="47" ht="330" customHeight="1">
      <c r="A47" s="8" t="inlineStr">
        <is>
          <t>(continued)
LATEST-EDITION CHECK (2026-09-17): the NatWest Group results centre was enumerated in full. Coutts's newest FULL-YEAR Pillar 3 is the 2025 report used here (published 13 February 2026), so this workbook is current. Coutts also publishes Q1, half-year and Q3 reports - the newest of any kind is the half-year 2026 report (12 August 2026) - but this workbook is annual, so no interim edition is used.
Coutts &amp; Company (company 00036695, FRN 122287) is a wholly-owned subsidiary of NatWest Group plc, part of the ring-fenced NatWest Holdings (NWH) Group sub-group. All figures are Coutts &amp; Company's own entity-level financial statements/disclosures, not the wider NatWest Group. A private unlimited company - voluntarily files full audited accounts at Companies House despite the unlimited-company form (which would otherwise exempt it from public filing), same as C. Hoare &amp; Co. elsewhere in this project.
BASIS CHANGE: the FY2022 Annual Report states its financial statements 'are prepared on a standalone basis for Coutts. Previously these were prepared on a consolidated basis for Coutts and its subsidiaries.' The FY2021 figures used here are as shown in the FY2022 report's own comparative column (the only source available for FY2021) - it isn't confirmed whether that comparative was itself restated onto the new standalone basis or retains the original consolidated FY2021 basis. Flagged, not resolved.
In September 2022 Coutts acquired the 'Adam &amp; Company' private-banking business from The Royal Bank of Scotland plc (a Part VII-style transfer) - RBS plc is a separate entity already built in this project; that acquisition is the source-side counterpart of this project's earlier RBS plc entity-identity finding.</t>
        </is>
      </c>
    </row>
  </sheetData>
  <mergeCells count="2">
    <mergeCell ref="A45:F45"/>
    <mergeCell ref="A47:F4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Coutts &amp; Company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n">
        <v>1248</v>
      </c>
      <c r="C4" s="6" t="n">
        <v>1192</v>
      </c>
      <c r="D4" s="6" t="n">
        <v>1199</v>
      </c>
      <c r="E4" s="6" t="n">
        <v>1260</v>
      </c>
      <c r="F4" s="6" t="n">
        <v>1235</v>
      </c>
    </row>
    <row r="6" ht="338" customHeight="1">
      <c r="A6" s="8" t="inlineStr">
        <is>
          <t>Sources - Coutts &amp; Company's own 'Risk and capital management' section, Companies House filings:
FY2025/FY2024: Annual Report and Accounts 2025, p.30 - https://find-and-update.company-information.service.gov.uk/company/00036695/filing-history/MzUyMTA2MDcwMGFkaXF6a2N4/document?format=pdf&amp;download=0
FY2023/FY2022 (capital): Annual Report and Accounts 2023, p.30 - https://find-and-update.company-information.service.gov.uk/company/00036695/filing-history/MzQyMDgzOTQ5OWFkaXF6a2N4/document?format=pdf&amp;download=0
FY2022/FY2021 (capital): Annual Report and Accounts 2022, p.34 - https://find-and-update.company-information.service.gov.uk/company/00036695/filing-history/MzM4NTMwNzEyMGFkaXF6a2N4/document?format=pdf&amp;download=0
LCR/NSFR/MREL are NOT disclosed at Coutts's own entity level in any year - the FY2025 report states explicitly: 'Disclosures relating to these metrics... are completed at UK DoLSub level and published in the... NatWest Holdings Group Annual Report and Accounts. Under the UK DoLSub waiver NWB Plc, RBS plc and Coutts are permitted to manage liquidity on a consolidated sub-group basis rather than individually at the entity level.' Only the regulatory minimum requirement (100%/100%) is stated, never an achieved value - this matches the RBS plc build's precedent elsewhere in this project (RBS plc + NatWest Bank plc + Coutts share one DoLSub liquidity disclosure). MREL is mentioned only as a defined concept, with no ratio ever stated for Coutts specifically.
Coutts &amp; Company (company 00036695, FRN 122287) is a wholly-owned subsidiary of NatWest Group plc, part of the ring-fenced NatWest Holdings (NWH) Group sub-group. All figures are Coutts &amp; Company's own entity-level financial statements/disclosures, not the wider NatWest Group. A private unlimited company - voluntarily files full audited accounts at Companies House despite the unlimited-company form (which would otherwise exempt it from public filing), same as C. Hoare &amp; Co. elsewhere in this project.
BASIS CHANGE: the FY2022 Annual Report states its financial statements 'are prepared on a standalone basis for Coutts. Previously these were prepared on a consolidated basis for Coutts and its subsidiaries.' The FY2021 figures used here are as shown in the FY2022 report's own comparative column (the only source available for FY2021) - it isn't confirmed whether that comparative was itself restated onto the new standalone basis or retains the original consolidated FY2021 basis. Flagged, not resolved.
In September 2022 Coutts acquired the 'Adam &amp; Company' private-banking business from The Royal Bank of Scotland plc (a Part VII-style transfer) - RBS plc is a separate entity already built in this project; that acquisition is the source-side counterpart of this project's earlier RBS plc entity-identity finding.</t>
        </is>
      </c>
    </row>
  </sheetData>
  <mergeCells count="1">
    <mergeCell ref="A6:F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Coutts &amp; Company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CET1 ratio</t>
        </is>
      </c>
      <c r="B4" s="6" t="inlineStr">
        <is>
          <t>11.4%</t>
        </is>
      </c>
      <c r="C4" s="6" t="inlineStr">
        <is>
          <t>11.3%</t>
        </is>
      </c>
      <c r="D4" s="6" t="inlineStr">
        <is>
          <t>11.3%</t>
        </is>
      </c>
      <c r="E4" s="6" t="inlineStr">
        <is>
          <t>11.8%</t>
        </is>
      </c>
      <c r="F4" s="6" t="inlineStr">
        <is>
          <t>11.9%</t>
        </is>
      </c>
    </row>
    <row r="6" ht="338" customHeight="1">
      <c r="A6" s="8" t="inlineStr">
        <is>
          <t>Sources - Coutts &amp; Company's own 'Risk and capital management' section, Companies House filings:
FY2025/FY2024: Annual Report and Accounts 2025, p.30 - https://find-and-update.company-information.service.gov.uk/company/00036695/filing-history/MzUyMTA2MDcwMGFkaXF6a2N4/document?format=pdf&amp;download=0
FY2023/FY2022 (capital): Annual Report and Accounts 2023, p.30 - https://find-and-update.company-information.service.gov.uk/company/00036695/filing-history/MzQyMDgzOTQ5OWFkaXF6a2N4/document?format=pdf&amp;download=0
FY2022/FY2021 (capital): Annual Report and Accounts 2022, p.34 - https://find-and-update.company-information.service.gov.uk/company/00036695/filing-history/MzM4NTMwNzEyMGFkaXF6a2N4/document?format=pdf&amp;download=0
LCR/NSFR/MREL are NOT disclosed at Coutts's own entity level in any year - the FY2025 report states explicitly: 'Disclosures relating to these metrics... are completed at UK DoLSub level and published in the... NatWest Holdings Group Annual Report and Accounts. Under the UK DoLSub waiver NWB Plc, RBS plc and Coutts are permitted to manage liquidity on a consolidated sub-group basis rather than individually at the entity level.' Only the regulatory minimum requirement (100%/100%) is stated, never an achieved value - this matches the RBS plc build's precedent elsewhere in this project (RBS plc + NatWest Bank plc + Coutts share one DoLSub liquidity disclosure). MREL is mentioned only as a defined concept, with no ratio ever stated for Coutts specifically.
Coutts &amp; Company (company 00036695, FRN 122287) is a wholly-owned subsidiary of NatWest Group plc, part of the ring-fenced NatWest Holdings (NWH) Group sub-group. All figures are Coutts &amp; Company's own entity-level financial statements/disclosures, not the wider NatWest Group. A private unlimited company - voluntarily files full audited accounts at Companies House despite the unlimited-company form (which would otherwise exempt it from public filing), same as C. Hoare &amp; Co. elsewhere in this project.
BASIS CHANGE: the FY2022 Annual Report states its financial statements 'are prepared on a standalone basis for Coutts. Previously these were prepared on a consolidated basis for Coutts and its subsidiaries.' The FY2021 figures used here are as shown in the FY2022 report's own comparative column (the only source available for FY2021) - it isn't confirmed whether that comparative was itself restated onto the new standalone basis or retains the original consolidated FY2021 basis. Flagged, not resolved.
In September 2022 Coutts acquired the 'Adam &amp; Company' private-banking business from The Royal Bank of Scotland plc (a Part VII-style transfer) - RBS plc is a separate entity already built in this project; that acquisition is the source-side counterpart of this project's earlier RBS plc entity-identity finding.</t>
        </is>
      </c>
    </row>
  </sheetData>
  <mergeCells count="1">
    <mergeCell ref="A6:F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Coutts &amp; Company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n">
        <v>1488</v>
      </c>
      <c r="C4" s="6" t="n">
        <v>1432</v>
      </c>
      <c r="D4" s="6" t="n">
        <v>1439</v>
      </c>
      <c r="E4" s="6" t="n">
        <v>1535</v>
      </c>
      <c r="F4" s="6" t="n">
        <v>1437</v>
      </c>
    </row>
    <row r="6" ht="338" customHeight="1">
      <c r="A6" s="8" t="inlineStr">
        <is>
          <t>Sources - Coutts &amp; Company's own 'Risk and capital management' section, Companies House filings:
FY2025/FY2024: Annual Report and Accounts 2025, p.30 - https://find-and-update.company-information.service.gov.uk/company/00036695/filing-history/MzUyMTA2MDcwMGFkaXF6a2N4/document?format=pdf&amp;download=0
FY2023/FY2022 (capital): Annual Report and Accounts 2023, p.30 - https://find-and-update.company-information.service.gov.uk/company/00036695/filing-history/MzQyMDgzOTQ5OWFkaXF6a2N4/document?format=pdf&amp;download=0
FY2022/FY2021 (capital): Annual Report and Accounts 2022, p.34 - https://find-and-update.company-information.service.gov.uk/company/00036695/filing-history/MzM4NTMwNzEyMGFkaXF6a2N4/document?format=pdf&amp;download=0
LCR/NSFR/MREL are NOT disclosed at Coutts's own entity level in any year - the FY2025 report states explicitly: 'Disclosures relating to these metrics... are completed at UK DoLSub level and published in the... NatWest Holdings Group Annual Report and Accounts. Under the UK DoLSub waiver NWB Plc, RBS plc and Coutts are permitted to manage liquidity on a consolidated sub-group basis rather than individually at the entity level.' Only the regulatory minimum requirement (100%/100%) is stated, never an achieved value - this matches the RBS plc build's precedent elsewhere in this project (RBS plc + NatWest Bank plc + Coutts share one DoLSub liquidity disclosure). MREL is mentioned only as a defined concept, with no ratio ever stated for Coutts specifically.
Coutts &amp; Company (company 00036695, FRN 122287) is a wholly-owned subsidiary of NatWest Group plc, part of the ring-fenced NatWest Holdings (NWH) Group sub-group. All figures are Coutts &amp; Company's own entity-level financial statements/disclosures, not the wider NatWest Group. A private unlimited company - voluntarily files full audited accounts at Companies House despite the unlimited-company form (which would otherwise exempt it from public filing), same as C. Hoare &amp; Co. elsewhere in this project.
BASIS CHANGE: the FY2022 Annual Report states its financial statements 'are prepared on a standalone basis for Coutts. Previously these were prepared on a consolidated basis for Coutts and its subsidiaries.' The FY2021 figures used here are as shown in the FY2022 report's own comparative column (the only source available for FY2021) - it isn't confirmed whether that comparative was itself restated onto the new standalone basis or retains the original consolidated FY2021 basis. Flagged, not resolved.
In September 2022 Coutts acquired the 'Adam &amp; Company' private-banking business from The Royal Bank of Scotland plc (a Part VII-style transfer) - RBS plc is a separate entity already built in this project; that acquisition is the source-side counterpart of this project's earlier RBS plc entity-identity finding.</t>
        </is>
      </c>
    </row>
  </sheetData>
  <mergeCells count="1">
    <mergeCell ref="A6:F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Coutts &amp; Company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13.5%</t>
        </is>
      </c>
      <c r="C4" s="6" t="inlineStr">
        <is>
          <t>13.6%</t>
        </is>
      </c>
      <c r="D4" s="6" t="inlineStr">
        <is>
          <t>13.6%</t>
        </is>
      </c>
      <c r="E4" s="6" t="inlineStr">
        <is>
          <t>14.3%</t>
        </is>
      </c>
      <c r="F4" s="6" t="inlineStr">
        <is>
          <t>13.9%</t>
        </is>
      </c>
    </row>
    <row r="6" ht="338" customHeight="1">
      <c r="A6" s="8" t="inlineStr">
        <is>
          <t>Sources - Coutts &amp; Company's own 'Risk and capital management' section, Companies House filings:
FY2025/FY2024: Annual Report and Accounts 2025, p.30 - https://find-and-update.company-information.service.gov.uk/company/00036695/filing-history/MzUyMTA2MDcwMGFkaXF6a2N4/document?format=pdf&amp;download=0
FY2023/FY2022 (capital): Annual Report and Accounts 2023, p.30 - https://find-and-update.company-information.service.gov.uk/company/00036695/filing-history/MzQyMDgzOTQ5OWFkaXF6a2N4/document?format=pdf&amp;download=0
FY2022/FY2021 (capital): Annual Report and Accounts 2022, p.34 - https://find-and-update.company-information.service.gov.uk/company/00036695/filing-history/MzM4NTMwNzEyMGFkaXF6a2N4/document?format=pdf&amp;download=0
LCR/NSFR/MREL are NOT disclosed at Coutts's own entity level in any year - the FY2025 report states explicitly: 'Disclosures relating to these metrics... are completed at UK DoLSub level and published in the... NatWest Holdings Group Annual Report and Accounts. Under the UK DoLSub waiver NWB Plc, RBS plc and Coutts are permitted to manage liquidity on a consolidated sub-group basis rather than individually at the entity level.' Only the regulatory minimum requirement (100%/100%) is stated, never an achieved value - this matches the RBS plc build's precedent elsewhere in this project (RBS plc + NatWest Bank plc + Coutts share one DoLSub liquidity disclosure). MREL is mentioned only as a defined concept, with no ratio ever stated for Coutts specifically.
Coutts &amp; Company (company 00036695, FRN 122287) is a wholly-owned subsidiary of NatWest Group plc, part of the ring-fenced NatWest Holdings (NWH) Group sub-group. All figures are Coutts &amp; Company's own entity-level financial statements/disclosures, not the wider NatWest Group. A private unlimited company - voluntarily files full audited accounts at Companies House despite the unlimited-company form (which would otherwise exempt it from public filing), same as C. Hoare &amp; Co. elsewhere in this project.
BASIS CHANGE: the FY2022 Annual Report states its financial statements 'are prepared on a standalone basis for Coutts. Previously these were prepared on a consolidated basis for Coutts and its subsidiaries.' The FY2021 figures used here are as shown in the FY2022 report's own comparative column (the only source available for FY2021) - it isn't confirmed whether that comparative was itself restated onto the new standalone basis or retains the original consolidated FY2021 basis. Flagged, not resolved.
In September 2022 Coutts acquired the 'Adam &amp; Company' private-banking business from The Royal Bank of Scotland plc (a Part VII-style transfer) - RBS plc is a separate entity already built in this project; that acquisition is the source-side counterpart of this project's earlier RBS plc entity-identity finding.</t>
        </is>
      </c>
    </row>
  </sheetData>
  <mergeCells count="1">
    <mergeCell ref="A6:F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Coutts &amp; Company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regulatory capital</t>
        </is>
      </c>
      <c r="B4" s="6" t="n">
        <v>1788</v>
      </c>
      <c r="C4" s="6" t="n">
        <v>1732</v>
      </c>
      <c r="D4" s="6" t="n">
        <v>1739</v>
      </c>
      <c r="E4" s="6" t="n">
        <v>1790</v>
      </c>
      <c r="F4" s="6" t="n">
        <v>1703</v>
      </c>
    </row>
    <row r="6" ht="338" customHeight="1">
      <c r="A6" s="8" t="inlineStr">
        <is>
          <t>Sources - Coutts &amp; Company's own 'Risk and capital management' section, Companies House filings:
FY2025/FY2024: Annual Report and Accounts 2025, p.30 - https://find-and-update.company-information.service.gov.uk/company/00036695/filing-history/MzUyMTA2MDcwMGFkaXF6a2N4/document?format=pdf&amp;download=0
FY2023/FY2022 (capital): Annual Report and Accounts 2023, p.30 - https://find-and-update.company-information.service.gov.uk/company/00036695/filing-history/MzQyMDgzOTQ5OWFkaXF6a2N4/document?format=pdf&amp;download=0
FY2022/FY2021 (capital): Annual Report and Accounts 2022, p.34 - https://find-and-update.company-information.service.gov.uk/company/00036695/filing-history/MzM4NTMwNzEyMGFkaXF6a2N4/document?format=pdf&amp;download=0
LCR/NSFR/MREL are NOT disclosed at Coutts's own entity level in any year - the FY2025 report states explicitly: 'Disclosures relating to these metrics... are completed at UK DoLSub level and published in the... NatWest Holdings Group Annual Report and Accounts. Under the UK DoLSub waiver NWB Plc, RBS plc and Coutts are permitted to manage liquidity on a consolidated sub-group basis rather than individually at the entity level.' Only the regulatory minimum requirement (100%/100%) is stated, never an achieved value - this matches the RBS plc build's precedent elsewhere in this project (RBS plc + NatWest Bank plc + Coutts share one DoLSub liquidity disclosure). MREL is mentioned only as a defined concept, with no ratio ever stated for Coutts specifically.
Coutts &amp; Company (company 00036695, FRN 122287) is a wholly-owned subsidiary of NatWest Group plc, part of the ring-fenced NatWest Holdings (NWH) Group sub-group. All figures are Coutts &amp; Company's own entity-level financial statements/disclosures, not the wider NatWest Group. A private unlimited company - voluntarily files full audited accounts at Companies House despite the unlimited-company form (which would otherwise exempt it from public filing), same as C. Hoare &amp; Co. elsewhere in this project.
BASIS CHANGE: the FY2022 Annual Report states its financial statements 'are prepared on a standalone basis for Coutts. Previously these were prepared on a consolidated basis for Coutts and its subsidiaries.' The FY2021 figures used here are as shown in the FY2022 report's own comparative column (the only source available for FY2021) - it isn't confirmed whether that comparative was itself restated onto the new standalone basis or retains the original consolidated FY2021 basis. Flagged, not resolved.
In September 2022 Coutts acquired the 'Adam &amp; Company' private-banking business from The Royal Bank of Scotland plc (a Part VII-style transfer) - RBS plc is a separate entity already built in this project; that acquisition is the source-side counterpart of this project's earlier RBS plc entity-identity finding.</t>
        </is>
      </c>
    </row>
  </sheetData>
  <mergeCells count="1">
    <mergeCell ref="A6:F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Coutts &amp; Company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16.3%</t>
        </is>
      </c>
      <c r="C4" s="6" t="inlineStr">
        <is>
          <t>16.4%</t>
        </is>
      </c>
      <c r="D4" s="6" t="inlineStr">
        <is>
          <t>16.4%</t>
        </is>
      </c>
      <c r="E4" s="6" t="inlineStr">
        <is>
          <t>16.7%</t>
        </is>
      </c>
      <c r="F4" s="6" t="inlineStr">
        <is>
          <t>16.4%</t>
        </is>
      </c>
    </row>
    <row r="6" ht="338" customHeight="1">
      <c r="A6" s="8" t="inlineStr">
        <is>
          <t>Sources - Coutts &amp; Company's own 'Risk and capital management' section, Companies House filings:
FY2025/FY2024: Annual Report and Accounts 2025, p.30 - https://find-and-update.company-information.service.gov.uk/company/00036695/filing-history/MzUyMTA2MDcwMGFkaXF6a2N4/document?format=pdf&amp;download=0
FY2023/FY2022 (capital): Annual Report and Accounts 2023, p.30 - https://find-and-update.company-information.service.gov.uk/company/00036695/filing-history/MzQyMDgzOTQ5OWFkaXF6a2N4/document?format=pdf&amp;download=0
FY2022/FY2021 (capital): Annual Report and Accounts 2022, p.34 - https://find-and-update.company-information.service.gov.uk/company/00036695/filing-history/MzM4NTMwNzEyMGFkaXF6a2N4/document?format=pdf&amp;download=0
LCR/NSFR/MREL are NOT disclosed at Coutts's own entity level in any year - the FY2025 report states explicitly: 'Disclosures relating to these metrics... are completed at UK DoLSub level and published in the... NatWest Holdings Group Annual Report and Accounts. Under the UK DoLSub waiver NWB Plc, RBS plc and Coutts are permitted to manage liquidity on a consolidated sub-group basis rather than individually at the entity level.' Only the regulatory minimum requirement (100%/100%) is stated, never an achieved value - this matches the RBS plc build's precedent elsewhere in this project (RBS plc + NatWest Bank plc + Coutts share one DoLSub liquidity disclosure). MREL is mentioned only as a defined concept, with no ratio ever stated for Coutts specifically.
Coutts &amp; Company (company 00036695, FRN 122287) is a wholly-owned subsidiary of NatWest Group plc, part of the ring-fenced NatWest Holdings (NWH) Group sub-group. All figures are Coutts &amp; Company's own entity-level financial statements/disclosures, not the wider NatWest Group. A private unlimited company - voluntarily files full audited accounts at Companies House despite the unlimited-company form (which would otherwise exempt it from public filing), same as C. Hoare &amp; Co. elsewhere in this project.
BASIS CHANGE: the FY2022 Annual Report states its financial statements 'are prepared on a standalone basis for Coutts. Previously these were prepared on a consolidated basis for Coutts and its subsidiaries.' The FY2021 figures used here are as shown in the FY2022 report's own comparative column (the only source available for FY2021) - it isn't confirmed whether that comparative was itself restated onto the new standalone basis or retains the original consolidated FY2021 basis. Flagged, not resolved.
In September 2022 Coutts acquired the 'Adam &amp; Company' private-banking business from The Royal Bank of Scotland plc (a Part VII-style transfer) - RBS plc is a separate entity already built in this project; that acquisition is the source-side counterpart of this project's earlier RBS plc entity-identity finding.</t>
        </is>
      </c>
    </row>
  </sheetData>
  <mergeCells count="1">
    <mergeCell ref="A6:F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Coutts &amp; Company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assets</t>
        </is>
      </c>
      <c r="B4" s="6" t="n">
        <v>10982</v>
      </c>
      <c r="C4" s="6" t="n">
        <v>10564</v>
      </c>
      <c r="D4" s="6" t="n">
        <v>10591</v>
      </c>
      <c r="E4" s="6" t="n">
        <v>10722</v>
      </c>
      <c r="F4" s="6" t="n">
        <v>10367</v>
      </c>
    </row>
    <row r="6" ht="338" customHeight="1">
      <c r="A6" s="8" t="inlineStr">
        <is>
          <t>Sources - Coutts &amp; Company's own 'Risk and capital management' section, Companies House filings:
FY2025/FY2024: Annual Report and Accounts 2025, p.30 - https://find-and-update.company-information.service.gov.uk/company/00036695/filing-history/MzUyMTA2MDcwMGFkaXF6a2N4/document?format=pdf&amp;download=0
FY2023/FY2022 (capital): Annual Report and Accounts 2023, p.30 - https://find-and-update.company-information.service.gov.uk/company/00036695/filing-history/MzQyMDgzOTQ5OWFkaXF6a2N4/document?format=pdf&amp;download=0
FY2022/FY2021 (capital): Annual Report and Accounts 2022, p.34 - https://find-and-update.company-information.service.gov.uk/company/00036695/filing-history/MzM4NTMwNzEyMGFkaXF6a2N4/document?format=pdf&amp;download=0
LCR/NSFR/MREL are NOT disclosed at Coutts's own entity level in any year - the FY2025 report states explicitly: 'Disclosures relating to these metrics... are completed at UK DoLSub level and published in the... NatWest Holdings Group Annual Report and Accounts. Under the UK DoLSub waiver NWB Plc, RBS plc and Coutts are permitted to manage liquidity on a consolidated sub-group basis rather than individually at the entity level.' Only the regulatory minimum requirement (100%/100%) is stated, never an achieved value - this matches the RBS plc build's precedent elsewhere in this project (RBS plc + NatWest Bank plc + Coutts share one DoLSub liquidity disclosure). MREL is mentioned only as a defined concept, with no ratio ever stated for Coutts specifically.
Coutts &amp; Company (company 00036695, FRN 122287) is a wholly-owned subsidiary of NatWest Group plc, part of the ring-fenced NatWest Holdings (NWH) Group sub-group. All figures are Coutts &amp; Company's own entity-level financial statements/disclosures, not the wider NatWest Group. A private unlimited company - voluntarily files full audited accounts at Companies House despite the unlimited-company form (which would otherwise exempt it from public filing), same as C. Hoare &amp; Co. elsewhere in this project.
BASIS CHANGE: the FY2022 Annual Report states its financial statements 'are prepared on a standalone basis for Coutts. Previously these were prepared on a consolidated basis for Coutts and its subsidiaries.' The FY2021 figures used here are as shown in the FY2022 report's own comparative column (the only source available for FY2021) - it isn't confirmed whether that comparative was itself restated onto the new standalone basis or retains the original consolidated FY2021 basis. Flagged, not resolved.
In September 2022 Coutts acquired the 'Adam &amp; Company' private-banking business from The Royal Bank of Scotland plc (a Part VII-style transfer) - RBS plc is a separate entity already built in this project; that acquisition is the source-side counterpart of this project's earlier RBS plc entity-identity finding.</t>
        </is>
      </c>
    </row>
  </sheetData>
  <mergeCells count="1">
    <mergeCell ref="A6:F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s>
  <sheetData>
    <row r="1">
      <c r="A1" s="1" t="inlineStr">
        <is>
          <t>Coutts &amp; Company — RWA Breakdown</t>
        </is>
      </c>
    </row>
    <row r="2">
      <c r="A2" s="2" t="inlineStr">
        <is>
          <t>Entity-level basis, £m. See source note at bottom.</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RWA by risk category</t>
        </is>
      </c>
      <c r="B4" s="6" t="n"/>
      <c r="C4" s="6" t="n"/>
      <c r="D4" s="6" t="n"/>
      <c r="E4" s="6" t="n"/>
      <c r="F4" s="6" t="n"/>
    </row>
    <row r="5">
      <c r="A5" s="6" t="inlineStr">
        <is>
          <t>Credit risk</t>
        </is>
      </c>
      <c r="B5" s="6" t="n">
        <v>9416</v>
      </c>
      <c r="C5" s="6" t="n">
        <v>9231</v>
      </c>
      <c r="D5" s="6" t="n">
        <v>9420</v>
      </c>
      <c r="E5" s="6" t="n">
        <v>9664</v>
      </c>
      <c r="F5" s="6" t="n">
        <v>9284</v>
      </c>
    </row>
    <row r="6">
      <c r="A6" s="6" t="inlineStr">
        <is>
          <t>Counterparty credit risk</t>
        </is>
      </c>
      <c r="B6" s="6" t="n">
        <v>1</v>
      </c>
      <c r="C6" s="6" t="n">
        <v>1</v>
      </c>
      <c r="D6" s="6" t="n">
        <v>1</v>
      </c>
      <c r="E6" s="6" t="n">
        <v>6</v>
      </c>
      <c r="F6" s="6" t="n">
        <v>5</v>
      </c>
    </row>
    <row r="7">
      <c r="A7" s="6" t="inlineStr">
        <is>
          <t>Market risk</t>
        </is>
      </c>
      <c r="B7" s="6" t="n">
        <v>20</v>
      </c>
      <c r="C7" s="6" t="n">
        <v>24</v>
      </c>
      <c r="D7" s="6" t="n">
        <v>2</v>
      </c>
      <c r="E7" s="6" t="n">
        <v>9</v>
      </c>
      <c r="F7" s="6" t="n">
        <v>4</v>
      </c>
    </row>
    <row r="8">
      <c r="A8" s="6" t="inlineStr">
        <is>
          <t>Operational risk</t>
        </is>
      </c>
      <c r="B8" s="6" t="n">
        <v>1545</v>
      </c>
      <c r="C8" s="6" t="n">
        <v>1308</v>
      </c>
      <c r="D8" s="6" t="n">
        <v>1168</v>
      </c>
      <c r="E8" s="6" t="n">
        <v>1043</v>
      </c>
      <c r="F8" s="6" t="n">
        <v>1074</v>
      </c>
    </row>
    <row r="9">
      <c r="A9" s="5" t="inlineStr">
        <is>
          <t>Total RWAs</t>
        </is>
      </c>
      <c r="B9" s="5" t="n">
        <v>10982</v>
      </c>
      <c r="C9" s="5" t="n">
        <v>10564</v>
      </c>
      <c r="D9" s="5" t="n">
        <v>10591</v>
      </c>
      <c r="E9" s="5" t="n">
        <v>10722</v>
      </c>
      <c r="F9" s="5" t="n">
        <v>10367</v>
      </c>
    </row>
    <row r="11" ht="273" customHeight="1">
      <c r="A11" s="8" t="inlineStr">
        <is>
          <t>Sources - Coutts &amp; Company's own 'Risk and capital management' section (Capital, RWAs and leverage table), Companies House filings:
FY2025/FY2024: Annual Report and Accounts 2025, p.30 - https://find-and-update.company-information.service.gov.uk/company/00036695/filing-history/MzUyMTA2MDcwMGFkaXF6a2N4/document?format=pdf&amp;download=0
FY2023/FY2022: Annual Report and Accounts 2023, p.30 - https://find-and-update.company-information.service.gov.uk/company/00036695/filing-history/MzQyMDgzOTQ5OWFkaXF6a2N4/document?format=pdf&amp;download=0
FY2022/FY2021 (used for the FY2021 column): Annual Report and Accounts 2022, p.34 - https://find-and-update.company-information.service.gov.uk/company/00036695/filing-history/MzM4NTMwNzEyMGFkaXF6a2N4/document?format=pdf&amp;download=0
Every year's Total RWAs figure here ties exactly to the existing Total RWAs sheet; FY2022's own comparative figures (as republished in the FY2023 report) match FY2022's own originally-published figures exactly - no restatement found.
Coutts &amp; Company (company 00036695, FRN 122287) is a wholly-owned subsidiary of NatWest Group plc, part of the ring-fenced NatWest Holdings (NWH) Group sub-group. All figures are Coutts &amp; Company's own entity-level financial statements/disclosures, not the wider NatWest Group. A private unlimited company - voluntarily files full audited accounts at Companies House despite the unlimited-company form (which would otherwise exempt it from public filing), same as C. Hoare &amp; Co. elsewhere in this project.
BASIS CHANGE: the FY2022 Annual Report states its financial statements 'are prepared on a standalone basis for Coutts. Previously these were prepared on a consolidated basis for Coutts and its subsidiaries.' The FY2021 figures used here are as shown in the FY2022 report's own comparative column (the only source available for FY2021) - it isn't confirmed whether that comparative was itself restated onto the new standalone basis or retains the original consolidated FY2021 basis. Flagged, not resolved.
In September 2022 Coutts acquired the 'Adam &amp; Company' private-banking business from The Royal Bank of Scotland plc (a Part VII-style transfer) - RBS plc is a separate entity already built in this project; that acquisition is the source-side counterpart of this project's earlier RBS plc entity-identity finding.</t>
        </is>
      </c>
    </row>
  </sheetData>
  <mergeCells count="1">
    <mergeCell ref="A11:F1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s>
  <sheetData>
    <row r="1">
      <c r="A1" s="1" t="inlineStr">
        <is>
          <t>Coutts &amp; Company — Leverage Ratio</t>
        </is>
      </c>
    </row>
    <row r="2">
      <c r="A2" s="2" t="inlineStr">
        <is>
          <t>£m / %</t>
        </is>
      </c>
    </row>
    <row r="3">
      <c r="A3" s="4" t="inlineStr">
        <is>
          <t>Metric</t>
        </is>
      </c>
      <c r="B3" s="4" t="inlineStr">
        <is>
          <t>FY2025</t>
        </is>
      </c>
      <c r="C3" s="4" t="inlineStr">
        <is>
          <t>FY2024</t>
        </is>
      </c>
      <c r="D3" s="4" t="inlineStr">
        <is>
          <t>FY2023</t>
        </is>
      </c>
      <c r="E3" s="4" t="inlineStr">
        <is>
          <t>FY2022</t>
        </is>
      </c>
    </row>
    <row r="4">
      <c r="A4" s="6" t="inlineStr">
        <is>
          <t>UK leverage ratio</t>
        </is>
      </c>
      <c r="B4" s="6" t="inlineStr">
        <is>
          <t>7.6%</t>
        </is>
      </c>
      <c r="C4" s="6" t="inlineStr">
        <is>
          <t>7.5%</t>
        </is>
      </c>
      <c r="D4" s="6" t="inlineStr">
        <is>
          <t>7.4%</t>
        </is>
      </c>
      <c r="E4" s="6" t="inlineStr">
        <is>
          <t>7.7%</t>
        </is>
      </c>
    </row>
    <row r="5">
      <c r="A5" s="6" t="inlineStr">
        <is>
          <t>Total exposure measure including claims on central banks (£m)</t>
        </is>
      </c>
      <c r="B5" s="6" t="n">
        <v>19652</v>
      </c>
      <c r="C5" s="6" t="n">
        <v>19025</v>
      </c>
      <c r="D5" s="6" t="n">
        <v>19361</v>
      </c>
      <c r="E5" s="6" t="n">
        <v>20025</v>
      </c>
    </row>
    <row r="6">
      <c r="A6" s="6" t="inlineStr">
        <is>
          <t>Claims on central banks excluded (£m)</t>
        </is>
      </c>
      <c r="B6" s="6" t="n">
        <v>-3</v>
      </c>
      <c r="C6" s="6" t="n">
        <v>-3</v>
      </c>
      <c r="D6" s="6" t="n">
        <v>-3</v>
      </c>
      <c r="E6" s="6" t="n">
        <v>-3</v>
      </c>
    </row>
    <row r="7">
      <c r="A7" s="6" t="inlineStr">
        <is>
          <t>Total exposure measure excluding claims on central banks (£m)</t>
        </is>
      </c>
      <c r="B7" s="6" t="n">
        <v>19649</v>
      </c>
      <c r="C7" s="6" t="n">
        <v>19022</v>
      </c>
      <c r="D7" s="6" t="n">
        <v>19358</v>
      </c>
      <c r="E7" s="6" t="n">
        <v>20022</v>
      </c>
    </row>
    <row r="8">
      <c r="A8" s="6" t="inlineStr">
        <is>
          <t>Leverage ratio including claims on central banks (%)</t>
        </is>
      </c>
      <c r="B8" s="6" t="inlineStr">
        <is>
          <t>7.6%</t>
        </is>
      </c>
      <c r="C8" s="6" t="inlineStr">
        <is>
          <t>7.5%</t>
        </is>
      </c>
      <c r="D8" s="6" t="inlineStr">
        <is>
          <t>7.4%</t>
        </is>
      </c>
      <c r="E8" s="6" t="inlineStr">
        <is>
          <t>7.7%</t>
        </is>
      </c>
    </row>
    <row r="9" ht="351" customHeight="1">
      <c r="A9" s="7" t="inlineStr">
        <is>
          <t>Note: FY2021 not disclosed - the FY2022 Annual Report (the only source for FY2021) does not include a leverage ratio table at all; the leverage-ratio disclosure only begins from the FY2023 report onward (shown there with a FY2022 comparative, used for the FY2022 column here).
BOTH LEVERAGE BASES NOW CARRIED, FY2022-FY2025 - ADDED 2026-10-09 (GA-026). Template UK LR2 (LRCom) prints BOTH measures: row 24 and UK-25c on the INCLUDING-claims-on-central-banks basis, UK-24b and 25 on the EXCLUDING basis, with the reconciling deduction at UK-24a. Until today this sheet carried a single 'UK leverage ratio' row and did not say which basis it was; it is the EXCLUDING one, and it keeps its place FIRST because check_overview_ties.py reads the first cell printed as a percentage on a ratio sheet.
THE TWO RATIOS ARE EQUAL IN EVERY YEAR AT THE PRECISION COUTTS PRINTS, AND THAT IS THE FINDING, NOT A COPYING ERROR. This bank holds almost no claims on central banks: UK-24a is £3m in all four years, against a roughly £20bn exposure measure, so the deduction moves the ratio by about 0.001pp and both rows round to the same one-decimal figure. The including rows are still added, because 'the bank publishes both measures and they coincide' is a different fact from 'the bank publishes one measure', and only the document can tell them apart.
EACH YEAR FROM ITS OWN EDITION, template UK LR2 - LRCom 'continued', column headed 'Coutts &amp; Co', read at 300 dpi:
  FY2025 - Coutts &amp; Co Pillar 3 Report 2025, p.22, 31 December 2025 column: row 23 1,488; row 24 19,652; UK-24a (3); UK-24b 19,649; row 25 7.6%; UK-25c 7.6%.
  FY2024 - Coutts &amp; Co Pillar 3 Report 2024, p.22, 31 December 2024 column: row 23 1,432; row 24 19,025; UK-24a (3); UK-24b 19,022; row 25 7.5%; UK-25c 7.5%.
  FY2023 - Coutts &amp; Co Pillar 3 Report 2023, p.22, FIRST column: row 23 1,439; row 24 19,361; UK-24a (3); UK-24b 19,358; row 25 7.4%; UK-25c 7.4%.
  FY2022 - Coutts &amp; Co Pillar 3 Report 2022, p.20, 31 December 2022 column: row 23 1,535; row 24 20,025; UK-24a (3); UK-24b 20,022; row 25 7.7%; UK-25c 7.7%.
THE FY2023 EDITION MISPRINTS ITS OWN COLUMN HEADINGS: page 22 heads BOTH columns '31 December 2022'. Read at 300 dpi to be sure it is the document and not the text layer. The first column is in fact 31 December 2023, and it is identified by figures rather than by its heading - its five values (1,439 / 19,361 / (3) / 19,358 / 7.4%) equal the FY2024 edition's 31 December 2023 COMPARATIVE exactly, while the second column's (1,535 / 20,025 / (3) / 20,022 / 7.7%) equal the FY2022 edition's own 31 December 2022 column exactly. Two independent cross-edition matches, so the mislabelling is certain and the assignment is not a guess. The bank's misprint is reproduced as a finding here and nothing in this workbook is relabelled to hide it.
THE FY2022 EDITION'S SECOND COLUMN IS 30 JUNE 2022, not a year-end, and is deliberately not used (row 24 19,435; UK-24a (3); UK-24b 19,432; row 25 7.2%; UK-25c 7.2%).</t>
        </is>
      </c>
    </row>
    <row r="10" ht="91" customHeight="1">
      <c r="A10" s="7" t="inlineStr">
        <is>
          <t>(continued)
CHECKS RUN BEFORE TRANSCRIBING. (1) ENTITY: row 25 reproduces the ratio this sheet already carried in all four years (7.6% / 7.5% / 7.4% / 7.7%), so the LR2 is the same entity as the rest of the workbook. (2) CROSS-EDITION: each edition's comparative equals the next edition's own-year column to the last digit. (3) ARITHMETIC: row 24 minus UK-24a equals UK-24b in all four years. (4) RATIO TIE: row 23 over each exposure measure reproduces both printed ratios (e.g. FY2025 1,488/19,652 = 7.57% and 1,488/19,649 = 7.57%, both -&gt; 7.6%).
FY2021 CORRECTLY GETS NOTHING on either basis - see the sentence above; and in any case the UK dual basis took effect only for periods from 1 January 2022.</t>
        </is>
      </c>
    </row>
    <row r="12" ht="403" customHeight="1">
      <c r="A12" s="8" t="inlineStr">
        <is>
          <t>Sources - Coutts &amp; Company's own 'Risk and capital management' section, Companies House filings:
FY2025/FY2024: Annual Report and Accounts 2025, p.30 - https://find-and-update.company-information.service.gov.uk/company/00036695/filing-history/MzUyMTA2MDcwMGFkaXF6a2N4/document?format=pdf&amp;download=0
FY2023/FY2022 (capital): Annual Report and Accounts 2023, p.30 - https://find-and-update.company-information.service.gov.uk/company/00036695/filing-history/MzQyMDgzOTQ5OWFkaXF6a2N4/document?format=pdf&amp;download=0
FY2022/FY2021 (capital): Annual Report and Accounts 2022, p.34 - https://find-and-update.company-information.service.gov.uk/company/00036695/filing-history/MzM4NTMwNzEyMGFkaXF6a2N4/document?format=pdf&amp;download=0
LCR/NSFR/MREL are NOT disclosed at Coutts's own entity level in any year - the FY2025 report states explicitly: 'Disclosures relating to these metrics... are completed at UK DoLSub level and published in the... NatWest Holdings Group Annual Report and Accounts. Under the UK DoLSub waiver NWB Plc, RBS plc and Coutts are permitted to manage liquidity on a consolidated sub-group basis rather than individually at the entity level.' Only the regulatory minimum requirement (100%/100%) is stated, never an achieved value - this matches the RBS plc build's precedent elsewhere in this project (RBS plc + NatWest Bank plc + Coutts share one DoLSub liquidity disclosure). MREL is mentioned only as a defined concept, with no ratio ever stated for Coutts specifically.
Coutts &amp; Company (company 00036695, FRN 122287) is a wholly-owned subsidiary of NatWest Group plc, part of the ring-fenced NatWest Holdings (NWH) Group sub-group. All figures are Coutts &amp; Company's own entity-level financial statements/disclosures, not the wider NatWest Group. A private unlimited company - voluntarily files full audited accounts at Companies House despite the unlimited-company form (which would otherwise exempt it from public filing), same as C. Hoare &amp; Co. elsewhere in this project.
BASIS CHANGE: the FY2022 Annual Report states its financial statements 'are prepared on a standalone basis for Coutts. Previously these were prepared on a consolidated basis for Coutts and its subsidiaries.' The FY2021 figures used here are as shown in the FY2022 report's own comparative column (the only source available for FY2021) - it isn't confirmed whether that comparative was itself restated onto the new standalone basis or retains the original consolidated FY2021 basis. Flagged, not resolved.
In September 2022 Coutts acquired the 'Adam &amp; Company' private-banking business from The Royal Bank of Scotland plc (a Part VII-style transfer) - RBS plc is a separate entity already built in this project; that acquisition is the source-side counterpart of this project's earlier RBS plc entity-identity finding.</t>
        </is>
      </c>
    </row>
  </sheetData>
  <mergeCells count="3">
    <mergeCell ref="A10:E10"/>
    <mergeCell ref="A9:E9"/>
    <mergeCell ref="A12:E1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Coutts &amp; Company — LCR</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LCR</t>
        </is>
      </c>
      <c r="B4" s="6" t="inlineStr">
        <is>
          <t>Not applicable – UK DoLSub waiver: Coutts Pillar 3 FY2022–25 KM1 footnote, 'Coutts &amp; Co liquidity [and funding are] managed and disclosed at the sub-group level' (FY2022 ed. covers Dec-21); see NWH Group.</t>
        </is>
      </c>
      <c r="C4" s="6" t="inlineStr">
        <is>
          <t>Not applicable – UK DoLSub waiver: Coutts Pillar 3 FY2022–25 KM1 footnote, 'Coutts &amp; Co liquidity [and funding are] managed and disclosed at the sub-group level' (FY2022 ed. covers Dec-21); see NWH Group.</t>
        </is>
      </c>
      <c r="D4" s="6" t="inlineStr">
        <is>
          <t>Not applicable – UK DoLSub waiver: Coutts Pillar 3 FY2022–25 KM1 footnote, 'Coutts &amp; Co liquidity [and funding are] managed and disclosed at the sub-group level' (FY2022 ed. covers Dec-21); see NWH Group.</t>
        </is>
      </c>
      <c r="E4" s="6" t="inlineStr">
        <is>
          <t>Not applicable – UK DoLSub waiver: Coutts Pillar 3 FY2022–25 KM1 footnote, 'Coutts &amp; Co liquidity [and funding are] managed and disclosed at the sub-group level' (FY2022 ed. covers Dec-21); see NWH Group.</t>
        </is>
      </c>
      <c r="F4" s="6" t="inlineStr">
        <is>
          <t>Not applicable – UK DoLSub waiver: Coutts Pillar 3 FY2022–25 KM1 footnote, 'Coutts &amp; Co liquidity [and funding are] managed and disclosed at the sub-group level' (FY2022 ed. covers Dec-21); see NWH Group.</t>
        </is>
      </c>
    </row>
    <row r="5" ht="30" customHeight="1">
      <c r="A5" s="7" t="inlineStr">
        <is>
          <t>Note: Not publicly disclosed at Coutts's own entity level in any year - managed and disclosed only at the UK DoLSub sub-group level (NatWest Bank Plc + RBS plc + Coutts). See the sheet's source note for the exact quoted basis.</t>
        </is>
      </c>
    </row>
    <row r="7" ht="325" customHeight="1">
      <c r="A7" s="8" t="inlineStr">
        <is>
          <t>Sources - Coutts &amp; Company's own 'Risk and capital management' section, Companies House filings:
FY2025/FY2024: Annual Report and Accounts 2025, p.30 - https://find-and-update.company-information.service.gov.uk/company/00036695/filing-history/MzUyMTA2MDcwMGFkaXF6a2N4/document?format=pdf&amp;download=0
FY2023/FY2022 (capital): Annual Report and Accounts 2023, p.30 - https://find-and-update.company-information.service.gov.uk/company/00036695/filing-history/MzQyMDgzOTQ5OWFkaXF6a2N4/document?format=pdf&amp;download=0
FY2022/FY2021 (capital): Annual Report and Accounts 2022, p.34 - https://find-and-update.company-information.service.gov.uk/company/00036695/filing-history/MzM4NTMwNzEyMGFkaXF6a2N4/document?format=pdf&amp;download=0
LCR/NSFR/MREL are NOT disclosed at Coutts's own entity level in any year - the FY2025 report states explicitly: 'Disclosures relating to these metrics... are completed at UK DoLSub level and published in the... NatWest Holdings Group Annual Report and Accounts. Under the UK DoLSub waiver NWB Plc, RBS plc and Coutts are permitted to manage liquidity on a consolidated sub-group basis rather than individually at the entity level.' Only the regulatory minimum requirement (100%/100%) is stated, never an achieved value - this matches the RBS plc build's precedent elsewhere in this project (RBS plc + NatWest Bank plc + Coutts share one DoLSub liquidity disclosure). MREL is mentioned only as a defined concept, with no ratio ever stated for Coutts specifically.
Coutts &amp; Company (company 00036695, FRN 122287) is a wholly-owned subsidiary of NatWest Group plc, part of the ring-fenced NatWest Holdings (NWH) Group sub-group. All figures are Coutts &amp; Company's own entity-level financial statements/disclosures, not the wider NatWest Group. A private unlimited company - voluntarily files full audited accounts at Companies House despite the unlimited-company form (which would otherwise exempt it from public filing), same as C. Hoare &amp; Co. elsewhere in this project.
BASIS CHANGE: the FY2022 Annual Report states its financial statements 'are prepared on a standalone basis for Coutts. Previously these were prepared on a consolidated basis for Coutts and its subsidiaries.' The FY2021 figures used here are as shown in the FY2022 report's own comparative column (the only source available for FY2021) - it isn't confirmed whether that comparative was itself restated onto the new standalone basis or retains the original consolidated FY2021 basis. Flagged, not resolved.
In September 2022 Coutts acquired the 'Adam &amp; Company' private-banking business from The Royal Bank of Scotland plc (a Part VII-style transfer) - RBS plc is a separate entity already built in this project; that acquisition is the source-side counterpart of this project's earlier RBS plc entity-identity finding.</t>
        </is>
      </c>
    </row>
  </sheetData>
  <mergeCells count="2">
    <mergeCell ref="A5:F5"/>
    <mergeCell ref="A7:F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Coutts &amp; Company — NSFR</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NSFR</t>
        </is>
      </c>
      <c r="B4" s="6" t="inlineStr">
        <is>
          <t>Not applicable – UK DoLSub waiver: Coutts Pillar 3 FY2022–25 KM1 footnote, 'Coutts &amp; Co liquidity [and funding are] managed and disclosed at the sub-group level' (FY2022 ed. covers Dec-21); see NWH Group.</t>
        </is>
      </c>
      <c r="C4" s="6" t="inlineStr">
        <is>
          <t>Not applicable – UK DoLSub waiver: Coutts Pillar 3 FY2022–25 KM1 footnote, 'Coutts &amp; Co liquidity [and funding are] managed and disclosed at the sub-group level' (FY2022 ed. covers Dec-21); see NWH Group.</t>
        </is>
      </c>
      <c r="D4" s="6" t="inlineStr">
        <is>
          <t>Not applicable – UK DoLSub waiver: Coutts Pillar 3 FY2022–25 KM1 footnote, 'Coutts &amp; Co liquidity [and funding are] managed and disclosed at the sub-group level' (FY2022 ed. covers Dec-21); see NWH Group.</t>
        </is>
      </c>
      <c r="E4" s="6" t="inlineStr">
        <is>
          <t>Not applicable – UK DoLSub waiver: Coutts Pillar 3 FY2022–25 KM1 footnote, 'Coutts &amp; Co liquidity [and funding are] managed and disclosed at the sub-group level' (FY2022 ed. covers Dec-21); see NWH Group.</t>
        </is>
      </c>
      <c r="F4" s="6" t="inlineStr">
        <is>
          <t>Not applicable – UK DoLSub waiver: Coutts Pillar 3 FY2022–25 KM1 footnote, 'Coutts &amp; Co liquidity [and funding are] managed and disclosed at the sub-group level' (FY2022 ed. covers Dec-21); see NWH Group.</t>
        </is>
      </c>
    </row>
    <row r="5" ht="30" customHeight="1">
      <c r="A5" s="7" t="inlineStr">
        <is>
          <t>Note: Not publicly disclosed at Coutts's own entity level in any year - managed and disclosed only at the UK DoLSub sub-group level (NatWest Bank Plc + RBS plc + Coutts). See the sheet's source note for the exact quoted basis.</t>
        </is>
      </c>
    </row>
    <row r="7" ht="325" customHeight="1">
      <c r="A7" s="8" t="inlineStr">
        <is>
          <t>Sources - Coutts &amp; Company's own 'Risk and capital management' section, Companies House filings:
FY2025/FY2024: Annual Report and Accounts 2025, p.30 - https://find-and-update.company-information.service.gov.uk/company/00036695/filing-history/MzUyMTA2MDcwMGFkaXF6a2N4/document?format=pdf&amp;download=0
FY2023/FY2022 (capital): Annual Report and Accounts 2023, p.30 - https://find-and-update.company-information.service.gov.uk/company/00036695/filing-history/MzQyMDgzOTQ5OWFkaXF6a2N4/document?format=pdf&amp;download=0
FY2022/FY2021 (capital): Annual Report and Accounts 2022, p.34 - https://find-and-update.company-information.service.gov.uk/company/00036695/filing-history/MzM4NTMwNzEyMGFkaXF6a2N4/document?format=pdf&amp;download=0
LCR/NSFR/MREL are NOT disclosed at Coutts's own entity level in any year - the FY2025 report states explicitly: 'Disclosures relating to these metrics... are completed at UK DoLSub level and published in the... NatWest Holdings Group Annual Report and Accounts. Under the UK DoLSub waiver NWB Plc, RBS plc and Coutts are permitted to manage liquidity on a consolidated sub-group basis rather than individually at the entity level.' Only the regulatory minimum requirement (100%/100%) is stated, never an achieved value - this matches the RBS plc build's precedent elsewhere in this project (RBS plc + NatWest Bank plc + Coutts share one DoLSub liquidity disclosure). MREL is mentioned only as a defined concept, with no ratio ever stated for Coutts specifically.
Coutts &amp; Company (company 00036695, FRN 122287) is a wholly-owned subsidiary of NatWest Group plc, part of the ring-fenced NatWest Holdings (NWH) Group sub-group. All figures are Coutts &amp; Company's own entity-level financial statements/disclosures, not the wider NatWest Group. A private unlimited company - voluntarily files full audited accounts at Companies House despite the unlimited-company form (which would otherwise exempt it from public filing), same as C. Hoare &amp; Co. elsewhere in this project.
BASIS CHANGE: the FY2022 Annual Report states its financial statements 'are prepared on a standalone basis for Coutts. Previously these were prepared on a consolidated basis for Coutts and its subsidiaries.' The FY2021 figures used here are as shown in the FY2022 report's own comparative column (the only source available for FY2021) - it isn't confirmed whether that comparative was itself restated onto the new standalone basis or retains the original consolidated FY2021 basis. Flagged, not resolved.
In September 2022 Coutts acquired the 'Adam &amp; Company' private-banking business from The Royal Bank of Scotland plc (a Part VII-style transfer) - RBS plc is a separate entity already built in this project; that acquisition is the source-side counterpart of this project's earlier RBS plc entity-identity finding.</t>
        </is>
      </c>
    </row>
  </sheetData>
  <mergeCells count="2">
    <mergeCell ref="A5:F5"/>
    <mergeCell ref="A7:F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Coutts &amp; Company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no MREL ratio in Coutts Pillar 3 FY2022–25 (KM1 has no MREL rows; CCA gives only per-instrument amounts 'for the purpose of MREL') or in ARs FY2021–25.</t>
        </is>
      </c>
      <c r="C4" s="6" t="inlineStr">
        <is>
          <t>Not published – no MREL ratio in Coutts Pillar 3 FY2022–25 (KM1 has no MREL rows; CCA gives only per-instrument amounts 'for the purpose of MREL') or in ARs FY2021–25.</t>
        </is>
      </c>
      <c r="D4" s="6" t="inlineStr">
        <is>
          <t>Not published – no MREL ratio in Coutts Pillar 3 FY2022–25 (KM1 has no MREL rows; CCA gives only per-instrument amounts 'for the purpose of MREL') or in ARs FY2021–25.</t>
        </is>
      </c>
      <c r="E4" s="6" t="inlineStr">
        <is>
          <t>Not published – no MREL ratio in Coutts Pillar 3 FY2022–25 (KM1 has no MREL rows; CCA gives only per-instrument amounts 'for the purpose of MREL') or in ARs FY2021–25.</t>
        </is>
      </c>
      <c r="F4" s="6" t="inlineStr">
        <is>
          <t>Not published – no MREL ratio in Coutts Pillar 3 FY2022–25 (KM1 has no MREL rows; CCA gives only per-instrument amounts 'for the purpose of MREL') or in ARs FY2021–25.</t>
        </is>
      </c>
    </row>
    <row r="5" ht="30" customHeight="1">
      <c r="A5" s="7" t="inlineStr">
        <is>
          <t>Note: Not publicly disclosed for any year - MREL is defined in the Annual Report's own glossary of capital concepts, but no MREL ratio for Coutts specifically is ever stated.</t>
        </is>
      </c>
    </row>
    <row r="7" ht="325" customHeight="1">
      <c r="A7" s="8" t="inlineStr">
        <is>
          <t>Sources - Coutts &amp; Company's own 'Risk and capital management' section, Companies House filings:
FY2025/FY2024: Annual Report and Accounts 2025, p.30 - https://find-and-update.company-information.service.gov.uk/company/00036695/filing-history/MzUyMTA2MDcwMGFkaXF6a2N4/document?format=pdf&amp;download=0
FY2023/FY2022 (capital): Annual Report and Accounts 2023, p.30 - https://find-and-update.company-information.service.gov.uk/company/00036695/filing-history/MzQyMDgzOTQ5OWFkaXF6a2N4/document?format=pdf&amp;download=0
FY2022/FY2021 (capital): Annual Report and Accounts 2022, p.34 - https://find-and-update.company-information.service.gov.uk/company/00036695/filing-history/MzM4NTMwNzEyMGFkaXF6a2N4/document?format=pdf&amp;download=0
LCR/NSFR/MREL are NOT disclosed at Coutts's own entity level in any year - the FY2025 report states explicitly: 'Disclosures relating to these metrics... are completed at UK DoLSub level and published in the... NatWest Holdings Group Annual Report and Accounts. Under the UK DoLSub waiver NWB Plc, RBS plc and Coutts are permitted to manage liquidity on a consolidated sub-group basis rather than individually at the entity level.' Only the regulatory minimum requirement (100%/100%) is stated, never an achieved value - this matches the RBS plc build's precedent elsewhere in this project (RBS plc + NatWest Bank plc + Coutts share one DoLSub liquidity disclosure). MREL is mentioned only as a defined concept, with no ratio ever stated for Coutts specifically.
Coutts &amp; Company (company 00036695, FRN 122287) is a wholly-owned subsidiary of NatWest Group plc, part of the ring-fenced NatWest Holdings (NWH) Group sub-group. All figures are Coutts &amp; Company's own entity-level financial statements/disclosures, not the wider NatWest Group. A private unlimited company - voluntarily files full audited accounts at Companies House despite the unlimited-company form (which would otherwise exempt it from public filing), same as C. Hoare &amp; Co. elsewhere in this project.
BASIS CHANGE: the FY2022 Annual Report states its financial statements 'are prepared on a standalone basis for Coutts. Previously these were prepared on a consolidated basis for Coutts and its subsidiaries.' The FY2021 figures used here are as shown in the FY2022 report's own comparative column (the only source available for FY2021) - it isn't confirmed whether that comparative was itself restated onto the new standalone basis or retains the original consolidated FY2021 basis. Flagged, not resolved.
In September 2022 Coutts acquired the 'Adam &amp; Company' private-banking business from The Royal Bank of Scotland plc (a Part VII-style transfer) - RBS plc is a separate entity already built in this project; that acquisition is the source-side counterpart of this project's earlier RBS plc entity-identity finding.</t>
        </is>
      </c>
    </row>
  </sheetData>
  <mergeCells count="2">
    <mergeCell ref="A5:F5"/>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2026-10-10T15:08:25Z</dcterms:created>
  <dcterms:modified xmlns:dcterms="http://purl.org/dc/terms/" xmlns:xsi="http://www.w3.org/2001/XMLSchema-instance" xsi:type="dcterms:W3CDTF">2026-10-10T15:08:25Z</dcterms:modified>
</cp:coreProperties>
</file>