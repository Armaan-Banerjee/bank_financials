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444FC"/>
        <bgColor rgb="008444F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Coutts &amp;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Coutts &amp;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42</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Coutts &amp; Company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flows from operating activities</t>
        </is>
      </c>
      <c r="B6" s="5" t="n">
        <v>-1503</v>
      </c>
      <c r="C6" s="5" t="n">
        <v>8013</v>
      </c>
      <c r="D6" s="5" t="n">
        <v>2345</v>
      </c>
      <c r="E6" s="5" t="n">
        <v>6242</v>
      </c>
      <c r="F6" s="5" t="n">
        <v>16461</v>
      </c>
      <c r="I6" t="inlineStr">
        <is>
          <t>Net cash flows from operating activities</t>
        </is>
      </c>
      <c r="J6" t="n">
        <v>16461</v>
      </c>
      <c r="K6" t="n">
        <v>6242</v>
      </c>
      <c r="L6" t="n">
        <v>2345</v>
      </c>
      <c r="M6" t="n">
        <v>8013</v>
      </c>
      <c r="N6" t="n">
        <v>-1503</v>
      </c>
      <c r="Q6" t="inlineStr">
        <is>
          <t>CET1 Ratio</t>
        </is>
      </c>
      <c r="R6" t="n">
        <v>11.9</v>
      </c>
      <c r="S6" t="n">
        <v>11.8</v>
      </c>
      <c r="T6" t="n">
        <v>11.3</v>
      </c>
      <c r="U6" t="n">
        <v>11.3</v>
      </c>
      <c r="V6" t="n">
        <v>11.4</v>
      </c>
    </row>
    <row r="7">
      <c r="A7" s="5" t="inlineStr">
        <is>
          <t>Net cash flows from investing activities</t>
        </is>
      </c>
      <c r="B7" s="5" t="n">
        <v>22</v>
      </c>
      <c r="C7" s="5" t="n">
        <v>9</v>
      </c>
      <c r="D7" s="5" t="n">
        <v>36</v>
      </c>
      <c r="E7" s="5" t="n">
        <v>-293</v>
      </c>
      <c r="F7" s="5" t="n">
        <v>-12</v>
      </c>
      <c r="I7" t="inlineStr">
        <is>
          <t>Net cash flows from investing activities</t>
        </is>
      </c>
      <c r="J7" t="n">
        <v>-12</v>
      </c>
      <c r="K7" t="n">
        <v>-293</v>
      </c>
      <c r="L7" t="n">
        <v>36</v>
      </c>
      <c r="M7" t="n">
        <v>9</v>
      </c>
      <c r="N7" t="n">
        <v>22</v>
      </c>
      <c r="Q7" t="inlineStr">
        <is>
          <t>Tier 1 Ratio</t>
        </is>
      </c>
      <c r="R7" t="n">
        <v>13.9</v>
      </c>
      <c r="S7" t="n">
        <v>14.3</v>
      </c>
      <c r="T7" t="n">
        <v>13.6</v>
      </c>
      <c r="U7" t="n">
        <v>13.6</v>
      </c>
      <c r="V7" t="n">
        <v>13.5</v>
      </c>
    </row>
    <row r="8">
      <c r="A8" s="5" t="inlineStr">
        <is>
          <t>Net cash flows from financing activities</t>
        </is>
      </c>
      <c r="B8" s="5" t="n">
        <v>-258</v>
      </c>
      <c r="C8" s="5" t="n">
        <v>-361</v>
      </c>
      <c r="D8" s="5" t="n">
        <v>-347</v>
      </c>
      <c r="E8" s="5" t="n">
        <v>-139</v>
      </c>
      <c r="F8" s="5" t="n">
        <v>123</v>
      </c>
      <c r="I8" t="inlineStr">
        <is>
          <t>Net cash flows from financing activities</t>
        </is>
      </c>
      <c r="J8" t="n">
        <v>123</v>
      </c>
      <c r="K8" t="n">
        <v>-139</v>
      </c>
      <c r="L8" t="n">
        <v>-347</v>
      </c>
      <c r="M8" t="n">
        <v>-361</v>
      </c>
      <c r="N8" t="n">
        <v>-258</v>
      </c>
      <c r="Q8" t="inlineStr">
        <is>
          <t>Total Capital Ratio</t>
        </is>
      </c>
      <c r="R8" t="n">
        <v>16.4</v>
      </c>
      <c r="S8" t="n">
        <v>16.7</v>
      </c>
      <c r="T8" t="n">
        <v>16.4</v>
      </c>
      <c r="U8" t="n">
        <v>16.4</v>
      </c>
      <c r="V8" t="n">
        <v>16.3</v>
      </c>
    </row>
    <row r="9">
      <c r="A9" s="5" t="inlineStr">
        <is>
          <t>Cash and cash equivalents at 31 December</t>
        </is>
      </c>
      <c r="B9" s="5" t="n">
        <v>42482</v>
      </c>
      <c r="C9" s="5" t="n">
        <v>44222</v>
      </c>
      <c r="D9" s="5" t="n">
        <v>36561</v>
      </c>
      <c r="E9" s="5" t="n">
        <v>34528</v>
      </c>
      <c r="F9" s="5" t="n">
        <v>28694</v>
      </c>
      <c r="I9" t="inlineStr">
        <is>
          <t>Cash and cash equivalents at 31 December</t>
        </is>
      </c>
      <c r="J9" t="n">
        <v>28694</v>
      </c>
      <c r="K9" t="n">
        <v>34528</v>
      </c>
      <c r="L9" t="n">
        <v>36561</v>
      </c>
      <c r="M9" t="n">
        <v>44222</v>
      </c>
      <c r="N9" t="n">
        <v>42482</v>
      </c>
      <c r="Q9" t="inlineStr">
        <is>
          <t>Leverage Ratio</t>
        </is>
      </c>
      <c r="S9" t="n">
        <v>7.7</v>
      </c>
      <c r="T9" t="n">
        <v>7.4</v>
      </c>
      <c r="U9" t="n">
        <v>7.5</v>
      </c>
      <c r="V9" t="n">
        <v>7.6</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11.4%</t>
        </is>
      </c>
      <c r="C13" s="6" t="inlineStr">
        <is>
          <t>11.3%</t>
        </is>
      </c>
      <c r="D13" s="6" t="inlineStr">
        <is>
          <t>11.3%</t>
        </is>
      </c>
      <c r="E13" s="6" t="inlineStr">
        <is>
          <t>11.8%</t>
        </is>
      </c>
      <c r="F13" s="6" t="inlineStr">
        <is>
          <t>11.9%</t>
        </is>
      </c>
    </row>
    <row r="14">
      <c r="A14" s="6" t="inlineStr">
        <is>
          <t>Tier 1 Ratio</t>
        </is>
      </c>
      <c r="B14" s="6" t="inlineStr">
        <is>
          <t>13.5%</t>
        </is>
      </c>
      <c r="C14" s="6" t="inlineStr">
        <is>
          <t>13.6%</t>
        </is>
      </c>
      <c r="D14" s="6" t="inlineStr">
        <is>
          <t>13.6%</t>
        </is>
      </c>
      <c r="E14" s="6" t="inlineStr">
        <is>
          <t>14.3%</t>
        </is>
      </c>
      <c r="F14" s="6" t="inlineStr">
        <is>
          <t>13.9%</t>
        </is>
      </c>
    </row>
    <row r="15">
      <c r="A15" s="6" t="inlineStr">
        <is>
          <t>Total Capital Ratio</t>
        </is>
      </c>
      <c r="B15" s="6" t="inlineStr">
        <is>
          <t>16.3%</t>
        </is>
      </c>
      <c r="C15" s="6" t="inlineStr">
        <is>
          <t>16.4%</t>
        </is>
      </c>
      <c r="D15" s="6" t="inlineStr">
        <is>
          <t>16.4%</t>
        </is>
      </c>
      <c r="E15" s="6" t="inlineStr">
        <is>
          <t>16.7%</t>
        </is>
      </c>
      <c r="F15" s="6" t="inlineStr">
        <is>
          <t>16.4%</t>
        </is>
      </c>
    </row>
    <row r="16">
      <c r="A16" s="6" t="inlineStr">
        <is>
          <t>Leverage Ratio</t>
        </is>
      </c>
      <c r="B16" s="6" t="inlineStr">
        <is>
          <t>7.6%</t>
        </is>
      </c>
      <c r="C16" s="6" t="inlineStr">
        <is>
          <t>7.5%</t>
        </is>
      </c>
      <c r="D16" s="6" t="inlineStr">
        <is>
          <t>7.4%</t>
        </is>
      </c>
      <c r="E16" s="6" t="inlineStr">
        <is>
          <t>7.7%</t>
        </is>
      </c>
      <c r="F16" s="6" t="n"/>
    </row>
    <row r="18" ht="45" customHeight="1">
      <c r="A18" s="7" t="inlineStr">
        <is>
          <t>Note: LCR/NSFR/MREL omitted from this chart - not disclosed at Coutts's own entity level in any year (see the individual sheets). Figures are duplicated from the detail sheets for at-a-glance trend viewing; see each sheet's own source citation for the underlying document/page.</t>
        </is>
      </c>
    </row>
  </sheetData>
  <mergeCells count="1">
    <mergeCell ref="A18:F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Coutts &amp; Company — Cash Flow Statement</t>
        </is>
      </c>
    </row>
    <row r="2">
      <c r="A2" s="2" t="inlineStr">
        <is>
          <t>Entity-level basis, £m. Presentation varies by year -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346</v>
      </c>
      <c r="C5" s="6" t="n">
        <v>262</v>
      </c>
      <c r="D5" s="6" t="n">
        <v>381</v>
      </c>
      <c r="E5" s="6" t="n">
        <v>358</v>
      </c>
      <c r="F5" s="6" t="n">
        <v>241</v>
      </c>
    </row>
    <row r="6">
      <c r="A6" s="6" t="inlineStr">
        <is>
          <t>Non-cash and other items (FY2023-FY2025 summary presentation)</t>
        </is>
      </c>
      <c r="B6" s="6" t="n">
        <v>81</v>
      </c>
      <c r="C6" s="6" t="n">
        <v>39</v>
      </c>
      <c r="D6" s="6" t="n">
        <v>61</v>
      </c>
      <c r="E6" s="6" t="n"/>
      <c r="F6" s="6" t="n"/>
    </row>
    <row r="7">
      <c r="A7" s="6" t="inlineStr">
        <is>
          <t>Depreciation and amortisation (FY2021-FY2022 detailed presentation)</t>
        </is>
      </c>
      <c r="B7" s="6" t="n"/>
      <c r="C7" s="6" t="n"/>
      <c r="D7" s="6" t="n"/>
      <c r="E7" s="6" t="n">
        <v>21</v>
      </c>
      <c r="F7" s="6" t="n">
        <v>19</v>
      </c>
    </row>
    <row r="8">
      <c r="A8" s="6" t="inlineStr">
        <is>
          <t>Impairment losses/(releases) (FY2021-FY2022 detailed presentation)</t>
        </is>
      </c>
      <c r="B8" s="6" t="n"/>
      <c r="C8" s="6" t="n"/>
      <c r="D8" s="6" t="n"/>
      <c r="E8" s="6" t="n">
        <v>31</v>
      </c>
      <c r="F8" s="6" t="n">
        <v>-57</v>
      </c>
    </row>
    <row r="9">
      <c r="A9" s="6" t="inlineStr">
        <is>
          <t>Other non-cash items (FY2021-FY2022 detailed presentation)</t>
        </is>
      </c>
      <c r="B9" s="6" t="n"/>
      <c r="C9" s="6" t="n"/>
      <c r="D9" s="6" t="n"/>
      <c r="E9" s="6" t="n">
        <v>8</v>
      </c>
      <c r="F9" s="6" t="n">
        <v>3</v>
      </c>
    </row>
    <row r="10">
      <c r="A10" s="6" t="inlineStr">
        <is>
          <t>Provision releases (FY2021-FY2022 detailed presentation)</t>
        </is>
      </c>
      <c r="B10" s="6" t="n"/>
      <c r="C10" s="6" t="n"/>
      <c r="D10" s="6" t="n"/>
      <c r="E10" s="6" t="n">
        <v>-1</v>
      </c>
      <c r="F10" s="6" t="n">
        <v>-3</v>
      </c>
    </row>
    <row r="11">
      <c r="A11" s="6" t="inlineStr">
        <is>
          <t>Elimination of foreign exchange differences (FY2021-FY2022 detailed presentation)</t>
        </is>
      </c>
      <c r="B11" s="6" t="n"/>
      <c r="C11" s="6" t="n"/>
      <c r="D11" s="6" t="n"/>
      <c r="E11" s="6" t="n">
        <v>-11</v>
      </c>
      <c r="F11" s="6" t="n">
        <v>30</v>
      </c>
    </row>
    <row r="12">
      <c r="A12" s="6" t="inlineStr">
        <is>
          <t>Interest payable on debt securities in issue and subordinated liabilities (FY2021-FY2022 detailed presentation)</t>
        </is>
      </c>
      <c r="B12" s="6" t="n"/>
      <c r="C12" s="6" t="n"/>
      <c r="D12" s="6" t="n"/>
      <c r="E12" s="6" t="n">
        <v>23</v>
      </c>
      <c r="F12" s="6" t="n">
        <v>12</v>
      </c>
    </row>
    <row r="13">
      <c r="A13" s="6" t="inlineStr">
        <is>
          <t>Dividends receivable from subsidiaries (FY2021-FY2022 detailed presentation)</t>
        </is>
      </c>
      <c r="B13" s="6" t="n"/>
      <c r="C13" s="6" t="n"/>
      <c r="D13" s="6" t="n"/>
      <c r="E13" s="6" t="n">
        <v>-8</v>
      </c>
      <c r="F13" s="6" t="n">
        <v>-15</v>
      </c>
    </row>
    <row r="14">
      <c r="A14" s="5" t="inlineStr">
        <is>
          <t>Net cash flows from trading activities (FY2021-FY2022 subtotal; no equivalent line FY2023-FY2025)</t>
        </is>
      </c>
      <c r="B14" s="5" t="n"/>
      <c r="C14" s="5" t="n"/>
      <c r="D14" s="5" t="n"/>
      <c r="E14" s="5" t="n">
        <v>421</v>
      </c>
      <c r="F14" s="5" t="n">
        <v>230</v>
      </c>
    </row>
    <row r="15">
      <c r="A15" s="6" t="inlineStr">
        <is>
          <t>(Increase)/decrease in derivative assets</t>
        </is>
      </c>
      <c r="B15" s="6" t="n"/>
      <c r="C15" s="6" t="n"/>
      <c r="D15" s="6" t="n"/>
      <c r="E15" s="6" t="n">
        <v>-18</v>
      </c>
      <c r="F15" s="6" t="n">
        <v>15</v>
      </c>
    </row>
    <row r="16">
      <c r="A16" s="6" t="inlineStr">
        <is>
          <t>Decrease in loans to banks</t>
        </is>
      </c>
      <c r="B16" s="6" t="n"/>
      <c r="C16" s="6" t="n"/>
      <c r="D16" s="6" t="n"/>
      <c r="E16" s="6" t="n">
        <v>5</v>
      </c>
      <c r="F16" s="6" t="n">
        <v>49</v>
      </c>
    </row>
    <row r="17">
      <c r="A17" s="6" t="inlineStr">
        <is>
          <t>Increase in loans to customers</t>
        </is>
      </c>
      <c r="B17" s="6" t="n"/>
      <c r="C17" s="6" t="n"/>
      <c r="D17" s="6" t="n"/>
      <c r="E17" s="6" t="n">
        <v>-944</v>
      </c>
      <c r="F17" s="6" t="n">
        <v>-1449</v>
      </c>
    </row>
    <row r="18">
      <c r="A18" s="6" t="inlineStr">
        <is>
          <t>Decrease in amounts due from holding companies and fellow subsidiaries</t>
        </is>
      </c>
      <c r="B18" s="6" t="n"/>
      <c r="C18" s="6" t="n"/>
      <c r="D18" s="6" t="n"/>
      <c r="E18" s="6" t="n">
        <v>2234</v>
      </c>
      <c r="F18" s="6" t="n">
        <v>9513</v>
      </c>
    </row>
    <row r="19">
      <c r="A19" s="6" t="inlineStr">
        <is>
          <t>Increase in other assets</t>
        </is>
      </c>
      <c r="B19" s="6" t="n"/>
      <c r="C19" s="6" t="n"/>
      <c r="D19" s="6" t="n"/>
      <c r="E19" s="6" t="n">
        <v>-4</v>
      </c>
      <c r="F19" s="6" t="n">
        <v>-2</v>
      </c>
    </row>
    <row r="20">
      <c r="A20" s="6" t="inlineStr">
        <is>
          <t>Decrease in bank deposits</t>
        </is>
      </c>
      <c r="B20" s="6" t="n"/>
      <c r="C20" s="6" t="n"/>
      <c r="D20" s="6" t="n"/>
      <c r="E20" s="6" t="n">
        <v>-2</v>
      </c>
      <c r="F20" s="6" t="n">
        <v>-2</v>
      </c>
    </row>
    <row r="21">
      <c r="A21" s="6" t="inlineStr">
        <is>
          <t>Increase in customer deposits</t>
        </is>
      </c>
      <c r="B21" s="6" t="n"/>
      <c r="C21" s="6" t="n"/>
      <c r="D21" s="6" t="n"/>
      <c r="E21" s="6" t="n">
        <v>1847</v>
      </c>
      <c r="F21" s="6" t="n">
        <v>6829</v>
      </c>
    </row>
    <row r="22">
      <c r="A22" s="6" t="inlineStr">
        <is>
          <t>Increase in amounts due to holding companies and fellow subsidiaries</t>
        </is>
      </c>
      <c r="B22" s="6" t="n"/>
      <c r="C22" s="6" t="n"/>
      <c r="D22" s="6" t="n"/>
      <c r="E22" s="6" t="n">
        <v>2680</v>
      </c>
      <c r="F22" s="6" t="n">
        <v>1360</v>
      </c>
    </row>
    <row r="23">
      <c r="A23" s="6" t="inlineStr">
        <is>
          <t>Increase/(decrease) in derivative liabilities</t>
        </is>
      </c>
      <c r="B23" s="6" t="n"/>
      <c r="C23" s="6" t="n"/>
      <c r="D23" s="6" t="n"/>
      <c r="E23" s="6" t="n">
        <v>22</v>
      </c>
      <c r="F23" s="6" t="n">
        <v>-16</v>
      </c>
    </row>
    <row r="24">
      <c r="A24" s="6" t="inlineStr">
        <is>
          <t>Increase in other liabilities</t>
        </is>
      </c>
      <c r="B24" s="6" t="n"/>
      <c r="C24" s="6" t="n"/>
      <c r="D24" s="6" t="n"/>
      <c r="E24" s="6" t="n">
        <v>1</v>
      </c>
      <c r="F24" s="6" t="n">
        <v>5</v>
      </c>
    </row>
    <row r="25">
      <c r="A25" s="5" t="inlineStr">
        <is>
          <t>Changes in operating assets and liabilities</t>
        </is>
      </c>
      <c r="B25" s="5" t="n">
        <v>-1841</v>
      </c>
      <c r="C25" s="5" t="n">
        <v>7767</v>
      </c>
      <c r="D25" s="5" t="n">
        <v>2095</v>
      </c>
      <c r="E25" s="5" t="n">
        <v>5821</v>
      </c>
      <c r="F25" s="5" t="n">
        <v>16302</v>
      </c>
    </row>
    <row r="26">
      <c r="A26" s="6" t="inlineStr">
        <is>
          <t>Income taxes paid</t>
        </is>
      </c>
      <c r="B26" s="6" t="n">
        <v>-89</v>
      </c>
      <c r="C26" s="6" t="n">
        <v>-55</v>
      </c>
      <c r="D26" s="6" t="n">
        <v>-192</v>
      </c>
      <c r="E26" s="6" t="n">
        <v>0</v>
      </c>
      <c r="F26" s="6" t="n">
        <v>-71</v>
      </c>
    </row>
    <row r="27">
      <c r="A27" s="5" t="inlineStr">
        <is>
          <t>Net cash flows from operating activities</t>
        </is>
      </c>
      <c r="B27" s="5" t="n">
        <v>-1503</v>
      </c>
      <c r="C27" s="5" t="n">
        <v>8013</v>
      </c>
      <c r="D27" s="5" t="n">
        <v>2345</v>
      </c>
      <c r="E27" s="5" t="n">
        <v>6242</v>
      </c>
      <c r="F27" s="5" t="n">
        <v>16461</v>
      </c>
    </row>
    <row r="28">
      <c r="A28" s="5" t="inlineStr">
        <is>
          <t>Investing activities</t>
        </is>
      </c>
      <c r="B28" s="6" t="n"/>
      <c r="C28" s="6" t="n"/>
      <c r="D28" s="6" t="n"/>
      <c r="E28" s="6" t="n"/>
      <c r="F28" s="6" t="n"/>
    </row>
    <row r="29">
      <c r="A29" s="6" t="inlineStr">
        <is>
          <t>Purchase of property, plant and equipment</t>
        </is>
      </c>
      <c r="B29" s="6" t="n">
        <v>-2</v>
      </c>
      <c r="C29" s="6" t="n">
        <v>-9</v>
      </c>
      <c r="D29" s="6" t="n">
        <v>-2</v>
      </c>
      <c r="E29" s="6" t="n">
        <v>-3</v>
      </c>
      <c r="F29" s="6" t="n">
        <v>-4</v>
      </c>
    </row>
    <row r="30">
      <c r="A30" s="6" t="inlineStr">
        <is>
          <t>Sale of property, plant and equipment</t>
        </is>
      </c>
      <c r="B30" s="6" t="n"/>
      <c r="C30" s="6" t="n"/>
      <c r="D30" s="6" t="n"/>
      <c r="E30" s="6" t="n">
        <v>0</v>
      </c>
      <c r="F30" s="6" t="n">
        <v>3</v>
      </c>
    </row>
    <row r="31">
      <c r="A31" s="6" t="inlineStr">
        <is>
          <t>Cash expenditure on / purchase of intangible assets</t>
        </is>
      </c>
      <c r="B31" s="6" t="n">
        <v>-9</v>
      </c>
      <c r="C31" s="6" t="n">
        <v>-10</v>
      </c>
      <c r="D31" s="6" t="n">
        <v>-22</v>
      </c>
      <c r="E31" s="6" t="n">
        <v>-28</v>
      </c>
      <c r="F31" s="6" t="n">
        <v>-27</v>
      </c>
    </row>
    <row r="32">
      <c r="A32" s="6" t="inlineStr">
        <is>
          <t>Sale of intangible assets</t>
        </is>
      </c>
      <c r="B32" s="6" t="n"/>
      <c r="C32" s="6" t="n"/>
      <c r="D32" s="6" t="n"/>
      <c r="E32" s="6" t="n">
        <v>0</v>
      </c>
      <c r="F32" s="6" t="n">
        <v>1</v>
      </c>
    </row>
    <row r="33">
      <c r="A33" s="6" t="inlineStr">
        <is>
          <t>Purchase of net assets and liabilities</t>
        </is>
      </c>
      <c r="B33" s="6" t="n"/>
      <c r="C33" s="6" t="n"/>
      <c r="D33" s="6" t="n">
        <v>0</v>
      </c>
      <c r="E33" s="6" t="n">
        <v>-270</v>
      </c>
      <c r="F33" s="6" t="n">
        <v>0</v>
      </c>
    </row>
    <row r="34">
      <c r="A34" s="6" t="inlineStr">
        <is>
          <t>Dividends received from subsidiaries</t>
        </is>
      </c>
      <c r="B34" s="6" t="n">
        <v>33</v>
      </c>
      <c r="C34" s="6" t="n">
        <v>28</v>
      </c>
      <c r="D34" s="6" t="n">
        <v>60</v>
      </c>
      <c r="E34" s="6" t="n">
        <v>8</v>
      </c>
      <c r="F34" s="6" t="n">
        <v>15</v>
      </c>
    </row>
    <row r="35">
      <c r="A35" s="5" t="inlineStr">
        <is>
          <t>Net cash flows from investing activities</t>
        </is>
      </c>
      <c r="B35" s="5" t="n">
        <v>22</v>
      </c>
      <c r="C35" s="5" t="n">
        <v>9</v>
      </c>
      <c r="D35" s="5" t="n">
        <v>36</v>
      </c>
      <c r="E35" s="5" t="n">
        <v>-293</v>
      </c>
      <c r="F35" s="5" t="n">
        <v>-12</v>
      </c>
    </row>
    <row r="36">
      <c r="A36" s="5" t="inlineStr">
        <is>
          <t>Financing activities</t>
        </is>
      </c>
      <c r="B36" s="6" t="n"/>
      <c r="C36" s="6" t="n"/>
      <c r="D36" s="6" t="n"/>
      <c r="E36" s="6" t="n"/>
      <c r="F36" s="6" t="n"/>
    </row>
    <row r="37">
      <c r="A37" s="6" t="inlineStr">
        <is>
          <t>Issue of debt securities in issue</t>
        </is>
      </c>
      <c r="B37" s="6" t="n">
        <v>0</v>
      </c>
      <c r="C37" s="6" t="n">
        <v>260</v>
      </c>
      <c r="D37" s="6" t="n">
        <v>0</v>
      </c>
      <c r="E37" s="6" t="n">
        <v>50</v>
      </c>
      <c r="F37" s="6" t="n">
        <v>252</v>
      </c>
    </row>
    <row r="38">
      <c r="A38" s="6" t="inlineStr">
        <is>
          <t>Redemption of debt securities in issue</t>
        </is>
      </c>
      <c r="B38" s="6" t="n">
        <v>0</v>
      </c>
      <c r="C38" s="6" t="n">
        <v>-260</v>
      </c>
      <c r="D38" s="6" t="n">
        <v>-50</v>
      </c>
      <c r="E38" s="6" t="n">
        <v>0</v>
      </c>
      <c r="F38" s="6" t="n">
        <v>0</v>
      </c>
    </row>
    <row r="39">
      <c r="A39" s="6" t="inlineStr">
        <is>
          <t>Issue of paid-in equity</t>
        </is>
      </c>
      <c r="B39" s="6" t="n"/>
      <c r="C39" s="6" t="n"/>
      <c r="D39" s="6" t="n">
        <v>0</v>
      </c>
      <c r="E39" s="6" t="n">
        <v>240</v>
      </c>
      <c r="F39" s="6" t="n">
        <v>0</v>
      </c>
    </row>
    <row r="40">
      <c r="A40" s="6" t="inlineStr">
        <is>
          <t>Redemption of paid-in equity</t>
        </is>
      </c>
      <c r="B40" s="6" t="n"/>
      <c r="C40" s="6" t="n"/>
      <c r="D40" s="6" t="n">
        <v>-35</v>
      </c>
      <c r="E40" s="6" t="n">
        <v>-167</v>
      </c>
      <c r="F40" s="6" t="n">
        <v>0</v>
      </c>
    </row>
    <row r="41">
      <c r="A41" s="6" t="inlineStr">
        <is>
          <t>Issue of subordinated liabilities</t>
        </is>
      </c>
      <c r="B41" s="6" t="n"/>
      <c r="C41" s="6" t="n"/>
      <c r="D41" s="6" t="n">
        <v>300</v>
      </c>
      <c r="E41" s="6" t="n">
        <v>0</v>
      </c>
      <c r="F41" s="6" t="n"/>
    </row>
    <row r="42">
      <c r="A42" s="6" t="inlineStr">
        <is>
          <t>Redemption of subordinated liabilities</t>
        </is>
      </c>
      <c r="B42" s="6" t="n"/>
      <c r="C42" s="6" t="n"/>
      <c r="D42" s="6" t="n">
        <v>-266</v>
      </c>
      <c r="E42" s="6" t="n">
        <v>0</v>
      </c>
      <c r="F42" s="6" t="n"/>
    </row>
    <row r="43">
      <c r="A43" s="6" t="inlineStr">
        <is>
          <t>Interest paid on subordinated liabilities and debt securities in issue</t>
        </is>
      </c>
      <c r="B43" s="6" t="n">
        <v>-45</v>
      </c>
      <c r="C43" s="6" t="n">
        <v>-44</v>
      </c>
      <c r="D43" s="6" t="n">
        <v>-55</v>
      </c>
      <c r="E43" s="6" t="n">
        <v>-21</v>
      </c>
      <c r="F43" s="6" t="n">
        <v>-12</v>
      </c>
    </row>
    <row r="44">
      <c r="A44" s="6" t="inlineStr">
        <is>
          <t>Paid-in equity dividends paid</t>
        </is>
      </c>
      <c r="B44" s="6" t="n">
        <v>-26</v>
      </c>
      <c r="C44" s="6" t="n">
        <v>-28</v>
      </c>
      <c r="D44" s="6" t="n">
        <v>-31</v>
      </c>
      <c r="E44" s="6" t="n">
        <v>-16</v>
      </c>
      <c r="F44" s="6" t="n">
        <v>-12</v>
      </c>
    </row>
    <row r="45">
      <c r="A45" s="6" t="inlineStr">
        <is>
          <t>Dividends paid</t>
        </is>
      </c>
      <c r="B45" s="6" t="n">
        <v>-187</v>
      </c>
      <c r="C45" s="6" t="n">
        <v>-289</v>
      </c>
      <c r="D45" s="6" t="n">
        <v>-210</v>
      </c>
      <c r="E45" s="6" t="n">
        <v>-225</v>
      </c>
      <c r="F45" s="6" t="n">
        <v>-105</v>
      </c>
    </row>
    <row r="46">
      <c r="A46" s="5" t="inlineStr">
        <is>
          <t>Net cash flows from financing activities</t>
        </is>
      </c>
      <c r="B46" s="5" t="n">
        <v>-258</v>
      </c>
      <c r="C46" s="5" t="n">
        <v>-361</v>
      </c>
      <c r="D46" s="5" t="n">
        <v>-347</v>
      </c>
      <c r="E46" s="5" t="n">
        <v>-139</v>
      </c>
      <c r="F46" s="5" t="n">
        <v>123</v>
      </c>
    </row>
    <row r="47">
      <c r="A47" s="6" t="inlineStr">
        <is>
          <t>Effects of exchange rate changes on cash and cash equivalents</t>
        </is>
      </c>
      <c r="B47" s="6" t="n">
        <v>-1</v>
      </c>
      <c r="C47" s="6" t="n">
        <v>0</v>
      </c>
      <c r="D47" s="6" t="n">
        <v>-1</v>
      </c>
      <c r="E47" s="6" t="n">
        <v>24</v>
      </c>
      <c r="F47" s="6" t="n">
        <v>-38</v>
      </c>
    </row>
    <row r="48">
      <c r="A48" s="5" t="inlineStr">
        <is>
          <t>Net (decrease)/increase in cash and cash equivalents</t>
        </is>
      </c>
      <c r="B48" s="5" t="n">
        <v>-1740</v>
      </c>
      <c r="C48" s="5" t="n">
        <v>7661</v>
      </c>
      <c r="D48" s="5" t="n">
        <v>2033</v>
      </c>
      <c r="E48" s="5" t="n">
        <v>5834</v>
      </c>
      <c r="F48" s="5" t="n">
        <v>16534</v>
      </c>
    </row>
    <row r="49">
      <c r="A49" s="6" t="inlineStr">
        <is>
          <t>Cash and cash equivalents at 1 January</t>
        </is>
      </c>
      <c r="B49" s="6" t="n">
        <v>44222</v>
      </c>
      <c r="C49" s="6" t="n">
        <v>36561</v>
      </c>
      <c r="D49" s="6" t="n">
        <v>34528</v>
      </c>
      <c r="E49" s="6" t="n">
        <v>28694</v>
      </c>
      <c r="F49" s="6" t="n">
        <v>12160</v>
      </c>
    </row>
    <row r="50">
      <c r="A50" s="5" t="inlineStr">
        <is>
          <t>Cash and cash equivalents at 31 December</t>
        </is>
      </c>
      <c r="B50" s="5" t="n">
        <v>42482</v>
      </c>
      <c r="C50" s="5" t="n">
        <v>44222</v>
      </c>
      <c r="D50" s="5" t="n">
        <v>36561</v>
      </c>
      <c r="E50" s="5" t="n">
        <v>34528</v>
      </c>
      <c r="F50" s="5" t="n">
        <v>28694</v>
      </c>
    </row>
    <row r="52" ht="280" customHeight="1">
      <c r="A52" s="8" t="inlineStr">
        <is>
          <t>Sources - Coutts &amp; Company's own Cash Flow Statement, from its audited Companies House filings:
FY2025/FY2024: Annual Report and Accounts 2025, p.56 - https://find-and-update.company-information.service.gov.uk/company/00036695/filing-history/MzUyMTA2MDcwMGFkaXF6a2N4/document?format=pdf&amp;download=0
FY2023/FY2022 (summary presentation): Annual Report and Accounts 2023, p.53 - https://find-and-update.company-information.service.gov.uk/company/00036695/filing-history/MzQyMDgzOTQ5OWFkaXF6a2N4/document?format=pdf&amp;download=0
FY2022/FY2021 (detailed presentation, used for the itemized operating-activities breakdown and as the source for FY2021): Annual Report and Accounts 2022, p.56 - https://find-and-update.company-information.service.gov.uk/company/00036695/filing-history/MzM4NTMwNzEyMGFkaXF6a2N4/document?format=pdf&amp;download=0
FY2021/FY2022 use a more detailed operating-activities presentation (a 'Net cash flows from trading activities' subtotal, then an itemized 'Changes in operating assets and liabilities' breakdown) than FY2023-FY2025's simpler 3-line 'Adjustments for' presentation - both feed the same-labelled 'Changes in operating assets and liabilities' total line; FY2023-FY2025 state it as a single figure with no breakdown. Full opening-to-closing cash chain reconciles exactly across all 5 years, cross-checked against each year's appearance as the following year's comparative in every case.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52:F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1248</v>
      </c>
      <c r="C4" s="6" t="n">
        <v>1192</v>
      </c>
      <c r="D4" s="6" t="n">
        <v>1199</v>
      </c>
      <c r="E4" s="6" t="n">
        <v>1260</v>
      </c>
      <c r="F4" s="6" t="n">
        <v>1235</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11.4%</t>
        </is>
      </c>
      <c r="C4" s="6" t="inlineStr">
        <is>
          <t>11.3%</t>
        </is>
      </c>
      <c r="D4" s="6" t="inlineStr">
        <is>
          <t>11.3%</t>
        </is>
      </c>
      <c r="E4" s="6" t="inlineStr">
        <is>
          <t>11.8%</t>
        </is>
      </c>
      <c r="F4" s="6" t="inlineStr">
        <is>
          <t>11.9%</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1488</v>
      </c>
      <c r="C4" s="6" t="n">
        <v>1432</v>
      </c>
      <c r="D4" s="6" t="n">
        <v>1439</v>
      </c>
      <c r="E4" s="6" t="n">
        <v>1535</v>
      </c>
      <c r="F4" s="6" t="n">
        <v>1437</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13.5%</t>
        </is>
      </c>
      <c r="C4" s="6" t="inlineStr">
        <is>
          <t>13.6%</t>
        </is>
      </c>
      <c r="D4" s="6" t="inlineStr">
        <is>
          <t>13.6%</t>
        </is>
      </c>
      <c r="E4" s="6" t="inlineStr">
        <is>
          <t>14.3%</t>
        </is>
      </c>
      <c r="F4" s="6" t="inlineStr">
        <is>
          <t>13.9%</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1788</v>
      </c>
      <c r="C4" s="6" t="n">
        <v>1732</v>
      </c>
      <c r="D4" s="6" t="n">
        <v>1739</v>
      </c>
      <c r="E4" s="6" t="n">
        <v>1790</v>
      </c>
      <c r="F4" s="6" t="n">
        <v>1703</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16.3%</t>
        </is>
      </c>
      <c r="C4" s="6" t="inlineStr">
        <is>
          <t>16.4%</t>
        </is>
      </c>
      <c r="D4" s="6" t="inlineStr">
        <is>
          <t>16.4%</t>
        </is>
      </c>
      <c r="E4" s="6" t="inlineStr">
        <is>
          <t>16.7%</t>
        </is>
      </c>
      <c r="F4" s="6" t="inlineStr">
        <is>
          <t>16.4%</t>
        </is>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10982</v>
      </c>
      <c r="C4" s="6" t="n">
        <v>10564</v>
      </c>
      <c r="D4" s="6" t="n">
        <v>10591</v>
      </c>
      <c r="E4" s="6" t="n">
        <v>10722</v>
      </c>
      <c r="F4" s="6" t="n">
        <v>10367</v>
      </c>
    </row>
    <row r="6" ht="170" customHeight="1">
      <c r="A6"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Coutts &amp; Company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UK leverage ratio</t>
        </is>
      </c>
      <c r="B4" s="6" t="inlineStr">
        <is>
          <t>7.6%</t>
        </is>
      </c>
      <c r="C4" s="6" t="inlineStr">
        <is>
          <t>7.5%</t>
        </is>
      </c>
      <c r="D4" s="6" t="inlineStr">
        <is>
          <t>7.4%</t>
        </is>
      </c>
      <c r="E4" s="6" t="inlineStr">
        <is>
          <t>7.7%</t>
        </is>
      </c>
      <c r="F4" s="6" t="n"/>
    </row>
    <row r="5" ht="60" customHeight="1">
      <c r="A5" s="7" t="inlineStr">
        <is>
          <t>Note: FY2021 not disclosed - the FY2022 Annual Report (the only source for FY2021) does not include a leverage ratio table at all; the leverage-ratio disclosure only begins from the FY2023 report onward (shown there with a FY2022 comparative, used for the FY2022 column here).</t>
        </is>
      </c>
    </row>
    <row r="7" ht="17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Coutts's own entity level in any year - managed and disclosed only at the UK DoLSub sub-group level (NatWest Bank Plc + RBS plc + Coutts). See the sheet's source note for the exact quoted basis.</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Coutts's own entity level in any year - managed and disclosed only at the UK DoLSub sub-group level (NatWest Bank Plc + RBS plc + Coutts). See the sheet's source note for the exact quoted basis.</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Coutts &amp;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any year - MREL is defined in the Annual Report's own glossary of capital concepts, but no MREL ratio for Coutts specifically is ever stated.</t>
        </is>
      </c>
    </row>
    <row r="7" ht="150" customHeight="1">
      <c r="A7" s="8" t="inlineStr">
        <is>
          <t>Sources - Coutts &amp; Company's own 'Risk and capital management' section, Companies House filings:
FY2025/FY2024: Annual Report and Accounts 2025, p.30 - https://find-and-update.company-information.service.gov.uk/company/00036695/filing-history/MzUyMTA2MDcwMGFkaXF6a2N4/document?format=pdf&amp;download=0
FY2023/FY2022 (capital): Annual Report and Accounts 2023, p.30 - https://find-and-update.company-information.service.gov.uk/company/00036695/filing-history/MzQyMDgzOTQ5OWFkaXF6a2N4/document?format=pdf&amp;download=0
FY2022/FY2021 (capital): Annual Report and Accounts 2022, p.34 - https://find-and-update.company-information.service.gov.uk/company/00036695/filing-history/MzM4NTMwNzEyMGFkaXF6a2N4/document?format=pdf&amp;download=0
LCR/NSFR/MREL are NOT disclosed at Coutts's own entity level in any year - the FY2025 report states explicitly: 'Disclosures relating to these metrics... are completed at UK DoLSub level and published in the... NatWest Holdings Group Annual Report and Accounts. Under the UK DoLSub waiver NWB Plc, RBS plc and Coutts are permitted to manage liquidity on a consolidated sub-group basis rather than individually at the entity level.' Only the regulatory minimum requirement (100%/100%) is stated, never an achieved value - this matches the RBS plc build's precedent elsewhere in this project (RBS plc + NatWest Bank plc + Coutts share one DoLSub liquidity disclosure). MREL is mentioned only as a defined concept, with no ratio ever stated for Coutts specifically.
Coutts &amp; Company (company 00036695, FRN 122287) is a wholly-owned subsidiary of NatWest Group plc, part of the ring-fenced NatWest Holdings (NWH) Group sub-group. All figures are Coutts &amp; Company's own entity-level financial statements/disclosures, not the wider NatWest Group. A private unlimited company - voluntarily files full audited accounts at Companies House despite the unlimited-company form (which would otherwise exempt it from public filing), same as C. Hoare &amp; Co. elsewhere in this project.
BASIS CHANGE: the FY2022 Annual Report states its financial statements 'are prepared on a standalone basis for Coutts. Previously these were prepared on a consolidated basis for Coutts and its subsidiaries.' The FY2021 figures used here are as shown in the FY2022 report's own comparative column (the only source available for FY2021) - it isn't confirmed whether that comparative was itself restated onto the new standalone basis or retains the original consolidated FY2021 basis. Flagged, not resolved.
In September 2022 Coutts acquired the 'Adam &amp; Company' private-banking business from The Royal Bank of Scotland plc (a Part VII-style transfer) - RBS plc is a separate entity already built in this project; that acquisition is the source-side counterpart of this project's earlier RBS plc entity-identity finding.</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2026-08-28T03:41:42Z</dcterms:created>
  <dcterms:modified xsi:type="dcterms:W3CDTF">2026-08-28T03:41:42Z</dcterms:modified>
</cp:coreProperties>
</file>