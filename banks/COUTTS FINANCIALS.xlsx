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444FC"/>
        <bgColor rgb="008444F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Coutts &amp;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Coutts &amp;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Coutts &amp;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Coutts &amp;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Coutts &amp;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Coutts &amp;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61695</v>
      </c>
      <c r="C6" s="5" t="n">
        <v>62860</v>
      </c>
      <c r="D6" s="5" t="n">
        <v>55573</v>
      </c>
      <c r="E6" s="5" t="n">
        <v>54270</v>
      </c>
      <c r="F6" s="5" t="n">
        <v>46915</v>
      </c>
      <c r="I6" t="inlineStr">
        <is>
          <t>Total assets</t>
        </is>
      </c>
      <c r="J6" t="n">
        <v>46915</v>
      </c>
      <c r="K6" t="n">
        <v>54270</v>
      </c>
      <c r="L6" t="n">
        <v>55573</v>
      </c>
      <c r="M6" t="n">
        <v>62860</v>
      </c>
      <c r="N6" t="n">
        <v>61695</v>
      </c>
      <c r="AO6" t="inlineStr">
        <is>
          <t>CET1 Ratio</t>
        </is>
      </c>
      <c r="AP6" t="n">
        <v>11.9</v>
      </c>
      <c r="AQ6" t="n">
        <v>11.8</v>
      </c>
      <c r="AR6" t="n">
        <v>11.3</v>
      </c>
      <c r="AS6" t="n">
        <v>11.3</v>
      </c>
      <c r="AT6" t="n">
        <v>11.4</v>
      </c>
    </row>
    <row r="7">
      <c r="A7" s="5" t="inlineStr">
        <is>
          <t>Loans to customers - amortised cost</t>
        </is>
      </c>
      <c r="B7" s="5" t="n">
        <v>18642</v>
      </c>
      <c r="C7" s="5" t="n">
        <v>18034</v>
      </c>
      <c r="D7" s="5" t="n">
        <v>18333</v>
      </c>
      <c r="E7" s="5" t="n">
        <v>18934</v>
      </c>
      <c r="F7" s="5" t="n">
        <v>17388</v>
      </c>
      <c r="I7" t="inlineStr">
        <is>
          <t>Loans to customers - amortised cost</t>
        </is>
      </c>
      <c r="J7" t="n">
        <v>17388</v>
      </c>
      <c r="K7" t="n">
        <v>18934</v>
      </c>
      <c r="L7" t="n">
        <v>18333</v>
      </c>
      <c r="M7" t="n">
        <v>18034</v>
      </c>
      <c r="N7" t="n">
        <v>18642</v>
      </c>
      <c r="AO7" t="inlineStr">
        <is>
          <t>Tier 1 Ratio</t>
        </is>
      </c>
      <c r="AP7" t="n">
        <v>13.9</v>
      </c>
      <c r="AQ7" t="n">
        <v>14.3</v>
      </c>
      <c r="AR7" t="n">
        <v>13.6</v>
      </c>
      <c r="AS7" t="n">
        <v>13.6</v>
      </c>
      <c r="AT7" t="n">
        <v>13.5</v>
      </c>
    </row>
    <row r="8">
      <c r="A8" s="5" t="inlineStr">
        <is>
          <t>Customer deposits</t>
        </is>
      </c>
      <c r="B8" s="5" t="n">
        <v>42642</v>
      </c>
      <c r="C8" s="5" t="n">
        <v>42318</v>
      </c>
      <c r="D8" s="5" t="n">
        <v>37549</v>
      </c>
      <c r="E8" s="5" t="n">
        <v>41057</v>
      </c>
      <c r="F8" s="5" t="n">
        <v>36971</v>
      </c>
      <c r="I8" t="inlineStr">
        <is>
          <t>Customer deposits</t>
        </is>
      </c>
      <c r="J8" t="n">
        <v>36971</v>
      </c>
      <c r="K8" t="n">
        <v>41057</v>
      </c>
      <c r="L8" t="n">
        <v>37549</v>
      </c>
      <c r="M8" t="n">
        <v>42318</v>
      </c>
      <c r="N8" t="n">
        <v>42642</v>
      </c>
      <c r="AO8" t="inlineStr">
        <is>
          <t>Total Capital Ratio</t>
        </is>
      </c>
      <c r="AP8" t="n">
        <v>16.4</v>
      </c>
      <c r="AQ8" t="n">
        <v>16.7</v>
      </c>
      <c r="AR8" t="n">
        <v>16.4</v>
      </c>
      <c r="AS8" t="n">
        <v>16.4</v>
      </c>
      <c r="AT8" t="n">
        <v>16.3</v>
      </c>
    </row>
    <row r="9">
      <c r="A9" s="5" t="inlineStr">
        <is>
          <t>Owners' equity</t>
        </is>
      </c>
      <c r="B9" s="5" t="n">
        <v>1544</v>
      </c>
      <c r="C9" s="5" t="n">
        <v>1497</v>
      </c>
      <c r="D9" s="5" t="n">
        <v>1618</v>
      </c>
      <c r="E9" s="5" t="n">
        <v>1600</v>
      </c>
      <c r="F9" s="5" t="n">
        <v>1521</v>
      </c>
      <c r="I9" t="inlineStr">
        <is>
          <t>Owners' equity</t>
        </is>
      </c>
      <c r="J9" t="n">
        <v>1521</v>
      </c>
      <c r="K9" t="n">
        <v>1600</v>
      </c>
      <c r="L9" t="n">
        <v>1618</v>
      </c>
      <c r="M9" t="n">
        <v>1497</v>
      </c>
      <c r="N9" t="n">
        <v>1544</v>
      </c>
      <c r="AO9" t="inlineStr">
        <is>
          <t>Leverage Ratio</t>
        </is>
      </c>
      <c r="AQ9" t="n">
        <v>7.7</v>
      </c>
      <c r="AR9" t="n">
        <v>7.4</v>
      </c>
      <c r="AS9" t="n">
        <v>7.5</v>
      </c>
      <c r="AT9" t="n">
        <v>7.6</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990</v>
      </c>
      <c r="C13" s="5" t="n">
        <v>882</v>
      </c>
      <c r="D13" s="5" t="n">
        <v>959</v>
      </c>
      <c r="E13" s="5" t="n">
        <v>922</v>
      </c>
      <c r="F13" s="5" t="n">
        <v>632</v>
      </c>
      <c r="Q13" t="inlineStr">
        <is>
          <t>Total income</t>
        </is>
      </c>
      <c r="R13" t="n">
        <v>632</v>
      </c>
      <c r="S13" t="n">
        <v>922</v>
      </c>
      <c r="T13" t="n">
        <v>959</v>
      </c>
      <c r="U13" t="n">
        <v>882</v>
      </c>
      <c r="V13" t="n">
        <v>990</v>
      </c>
    </row>
    <row r="14">
      <c r="A14" s="5" t="inlineStr">
        <is>
          <t>Operating expenses</t>
        </is>
      </c>
      <c r="B14" s="5" t="n">
        <v>-639</v>
      </c>
      <c r="C14" s="5" t="n">
        <v>-639</v>
      </c>
      <c r="D14" s="5" t="n">
        <v>-575</v>
      </c>
      <c r="E14" s="5" t="n">
        <v>-533</v>
      </c>
      <c r="F14" s="5" t="n">
        <v>-448</v>
      </c>
      <c r="Q14" t="inlineStr">
        <is>
          <t>Operating expenses</t>
        </is>
      </c>
      <c r="R14" t="n">
        <v>-448</v>
      </c>
      <c r="S14" t="n">
        <v>-533</v>
      </c>
      <c r="T14" t="n">
        <v>-575</v>
      </c>
      <c r="U14" t="n">
        <v>-639</v>
      </c>
      <c r="V14" t="n">
        <v>-639</v>
      </c>
    </row>
    <row r="15">
      <c r="A15" s="5" t="inlineStr">
        <is>
          <t>Profit for the year</t>
        </is>
      </c>
      <c r="B15" s="5" t="n">
        <v>259</v>
      </c>
      <c r="C15" s="5" t="n">
        <v>198</v>
      </c>
      <c r="D15" s="5" t="n">
        <v>294</v>
      </c>
      <c r="E15" s="5" t="n">
        <v>247</v>
      </c>
      <c r="F15" s="5" t="n">
        <v>181</v>
      </c>
      <c r="Q15" t="inlineStr">
        <is>
          <t>Profit for the year</t>
        </is>
      </c>
      <c r="R15" t="n">
        <v>181</v>
      </c>
      <c r="S15" t="n">
        <v>247</v>
      </c>
      <c r="T15" t="n">
        <v>294</v>
      </c>
      <c r="U15" t="n">
        <v>198</v>
      </c>
      <c r="V15" t="n">
        <v>259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1497</v>
      </c>
      <c r="C19" s="5" t="n">
        <v>1618</v>
      </c>
      <c r="D19" s="5" t="n">
        <v>1600</v>
      </c>
      <c r="E19" s="5" t="n">
        <v>1521</v>
      </c>
      <c r="F19" s="5" t="n">
        <v>1456</v>
      </c>
      <c r="Y19" t="inlineStr">
        <is>
          <t>Opening equity</t>
        </is>
      </c>
      <c r="Z19" t="n">
        <v>1456</v>
      </c>
      <c r="AA19" t="n">
        <v>1521</v>
      </c>
      <c r="AB19" t="n">
        <v>1600</v>
      </c>
      <c r="AC19" t="n">
        <v>1618</v>
      </c>
      <c r="AD19" t="n">
        <v>1497</v>
      </c>
    </row>
    <row r="20">
      <c r="A20" s="5" t="inlineStr">
        <is>
          <t>Total comprehensive income for the year, net of tax</t>
        </is>
      </c>
      <c r="B20" s="5" t="n">
        <v>260</v>
      </c>
      <c r="C20" s="5" t="n">
        <v>196</v>
      </c>
      <c r="D20" s="5" t="n">
        <v>294</v>
      </c>
      <c r="E20" s="5" t="n">
        <v>247</v>
      </c>
      <c r="F20" s="5" t="n">
        <v>182</v>
      </c>
      <c r="Y20" t="inlineStr">
        <is>
          <t>Total comprehensive income for the year, net of tax</t>
        </is>
      </c>
      <c r="Z20" t="n">
        <v>182</v>
      </c>
      <c r="AA20" t="n">
        <v>247</v>
      </c>
      <c r="AB20" t="n">
        <v>294</v>
      </c>
      <c r="AC20" t="n">
        <v>196</v>
      </c>
      <c r="AD20" t="n">
        <v>260</v>
      </c>
    </row>
    <row r="21">
      <c r="A21" s="5" t="inlineStr">
        <is>
          <t>Other equity movements, net</t>
        </is>
      </c>
      <c r="B21" s="5" t="n">
        <v>-213</v>
      </c>
      <c r="C21" s="5" t="n">
        <v>-317</v>
      </c>
      <c r="D21" s="5" t="n">
        <v>-276</v>
      </c>
      <c r="E21" s="5" t="n">
        <v>-168</v>
      </c>
      <c r="F21" s="5" t="n">
        <v>-117</v>
      </c>
      <c r="Y21" t="inlineStr">
        <is>
          <t>Other equity movements, net</t>
        </is>
      </c>
      <c r="Z21" t="n">
        <v>-117</v>
      </c>
      <c r="AA21" t="n">
        <v>-168</v>
      </c>
      <c r="AB21" t="n">
        <v>-276</v>
      </c>
      <c r="AC21" t="n">
        <v>-317</v>
      </c>
      <c r="AD21" t="n">
        <v>-213</v>
      </c>
    </row>
    <row r="22">
      <c r="A22" s="5" t="inlineStr">
        <is>
          <t>Closing equity</t>
        </is>
      </c>
      <c r="B22" s="5" t="n">
        <v>1544</v>
      </c>
      <c r="C22" s="5" t="n">
        <v>1497</v>
      </c>
      <c r="D22" s="5" t="n">
        <v>1618</v>
      </c>
      <c r="E22" s="5" t="n">
        <v>1600</v>
      </c>
      <c r="F22" s="5" t="n">
        <v>1521</v>
      </c>
      <c r="Y22" t="inlineStr">
        <is>
          <t>Closing equity</t>
        </is>
      </c>
      <c r="Z22" t="n">
        <v>1521</v>
      </c>
      <c r="AA22" t="n">
        <v>1600</v>
      </c>
      <c r="AB22" t="n">
        <v>1618</v>
      </c>
      <c r="AC22" t="n">
        <v>1497</v>
      </c>
      <c r="AD22" t="n">
        <v>1544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-1503</v>
      </c>
      <c r="C26" s="5" t="n">
        <v>8013</v>
      </c>
      <c r="D26" s="5" t="n">
        <v>2345</v>
      </c>
      <c r="E26" s="5" t="n">
        <v>6242</v>
      </c>
      <c r="F26" s="5" t="n">
        <v>16461</v>
      </c>
      <c r="AG26" t="inlineStr">
        <is>
          <t>Net cash flows from operating activities</t>
        </is>
      </c>
      <c r="AH26" t="n">
        <v>16461</v>
      </c>
      <c r="AI26" t="n">
        <v>6242</v>
      </c>
      <c r="AJ26" t="n">
        <v>2345</v>
      </c>
      <c r="AK26" t="n">
        <v>8013</v>
      </c>
      <c r="AL26" t="n">
        <v>-1503</v>
      </c>
    </row>
    <row r="27">
      <c r="A27" s="5" t="inlineStr">
        <is>
          <t>Net cash flows from investing activities</t>
        </is>
      </c>
      <c r="B27" s="5" t="n">
        <v>22</v>
      </c>
      <c r="C27" s="5" t="n">
        <v>9</v>
      </c>
      <c r="D27" s="5" t="n">
        <v>36</v>
      </c>
      <c r="E27" s="5" t="n">
        <v>-293</v>
      </c>
      <c r="F27" s="5" t="n">
        <v>-12</v>
      </c>
      <c r="AG27" t="inlineStr">
        <is>
          <t>Net cash flows from investing activities</t>
        </is>
      </c>
      <c r="AH27" t="n">
        <v>-12</v>
      </c>
      <c r="AI27" t="n">
        <v>-293</v>
      </c>
      <c r="AJ27" t="n">
        <v>36</v>
      </c>
      <c r="AK27" t="n">
        <v>9</v>
      </c>
      <c r="AL27" t="n">
        <v>22</v>
      </c>
    </row>
    <row r="28">
      <c r="A28" s="5" t="inlineStr">
        <is>
          <t>Net cash flows from financing activities</t>
        </is>
      </c>
      <c r="B28" s="5" t="n">
        <v>-258</v>
      </c>
      <c r="C28" s="5" t="n">
        <v>-361</v>
      </c>
      <c r="D28" s="5" t="n">
        <v>-347</v>
      </c>
      <c r="E28" s="5" t="n">
        <v>-139</v>
      </c>
      <c r="F28" s="5" t="n">
        <v>123</v>
      </c>
      <c r="AG28" t="inlineStr">
        <is>
          <t>Net cash flows from financing activities</t>
        </is>
      </c>
      <c r="AH28" t="n">
        <v>123</v>
      </c>
      <c r="AI28" t="n">
        <v>-139</v>
      </c>
      <c r="AJ28" t="n">
        <v>-347</v>
      </c>
      <c r="AK28" t="n">
        <v>-361</v>
      </c>
      <c r="AL28" t="n">
        <v>-258</v>
      </c>
    </row>
    <row r="29">
      <c r="A29" s="5" t="inlineStr">
        <is>
          <t>Cash and cash equivalents at 31 December</t>
        </is>
      </c>
      <c r="B29" s="5" t="n">
        <v>42482</v>
      </c>
      <c r="C29" s="5" t="n">
        <v>44222</v>
      </c>
      <c r="D29" s="5" t="n">
        <v>36561</v>
      </c>
      <c r="E29" s="5" t="n">
        <v>34528</v>
      </c>
      <c r="F29" s="5" t="n">
        <v>28694</v>
      </c>
      <c r="AG29" t="inlineStr">
        <is>
          <t>Cash and cash equivalents at 31 December</t>
        </is>
      </c>
      <c r="AH29" t="n">
        <v>28694</v>
      </c>
      <c r="AI29" t="n">
        <v>34528</v>
      </c>
      <c r="AJ29" t="n">
        <v>36561</v>
      </c>
      <c r="AK29" t="n">
        <v>44222</v>
      </c>
      <c r="AL29" t="n">
        <v>42482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11.4%</t>
        </is>
      </c>
      <c r="C33" s="6" t="inlineStr">
        <is>
          <t>11.3%</t>
        </is>
      </c>
      <c r="D33" s="6" t="inlineStr">
        <is>
          <t>11.3%</t>
        </is>
      </c>
      <c r="E33" s="6" t="inlineStr">
        <is>
          <t>11.8%</t>
        </is>
      </c>
      <c r="F33" s="6" t="inlineStr">
        <is>
          <t>11.9%</t>
        </is>
      </c>
    </row>
    <row r="34">
      <c r="A34" s="6" t="inlineStr">
        <is>
          <t>Tier 1 Ratio</t>
        </is>
      </c>
      <c r="B34" s="6" t="inlineStr">
        <is>
          <t>13.5%</t>
        </is>
      </c>
      <c r="C34" s="6" t="inlineStr">
        <is>
          <t>13.6%</t>
        </is>
      </c>
      <c r="D34" s="6" t="inlineStr">
        <is>
          <t>13.6%</t>
        </is>
      </c>
      <c r="E34" s="6" t="inlineStr">
        <is>
          <t>14.3%</t>
        </is>
      </c>
      <c r="F34" s="6" t="inlineStr">
        <is>
          <t>13.9%</t>
        </is>
      </c>
    </row>
    <row r="35">
      <c r="A35" s="6" t="inlineStr">
        <is>
          <t>Total Capital Ratio</t>
        </is>
      </c>
      <c r="B35" s="6" t="inlineStr">
        <is>
          <t>16.3%</t>
        </is>
      </c>
      <c r="C35" s="6" t="inlineStr">
        <is>
          <t>16.4%</t>
        </is>
      </c>
      <c r="D35" s="6" t="inlineStr">
        <is>
          <t>16.4%</t>
        </is>
      </c>
      <c r="E35" s="6" t="inlineStr">
        <is>
          <t>16.7%</t>
        </is>
      </c>
      <c r="F35" s="6" t="inlineStr">
        <is>
          <t>16.4%</t>
        </is>
      </c>
    </row>
    <row r="36">
      <c r="A36" s="6" t="inlineStr">
        <is>
          <t>Leverage Ratio</t>
        </is>
      </c>
      <c r="B36" s="6" t="inlineStr">
        <is>
          <t>7.6%</t>
        </is>
      </c>
      <c r="C36" s="6" t="inlineStr">
        <is>
          <t>7.5%</t>
        </is>
      </c>
      <c r="D36" s="6" t="inlineStr">
        <is>
          <t>7.4%</t>
        </is>
      </c>
      <c r="E36" s="6" t="inlineStr">
        <is>
          <t>7.7%</t>
        </is>
      </c>
      <c r="F36" s="6" t="n"/>
    </row>
    <row r="38" ht="45" customHeight="1">
      <c r="A38" s="7" t="inlineStr">
        <is>
          <t>Note: LCR/NSFR/MREL omitted from this chart - not disclosed at Coutts's own entity level in any year (see the individual sheets).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Balance Sheet</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v>
      </c>
      <c r="C5" s="6" t="n">
        <v>3</v>
      </c>
      <c r="D5" s="6" t="n">
        <v>3</v>
      </c>
      <c r="E5" s="6" t="n">
        <v>3</v>
      </c>
      <c r="F5" s="6" t="n">
        <v>3</v>
      </c>
    </row>
    <row r="6">
      <c r="A6" s="6" t="inlineStr">
        <is>
          <t>Loans to banks - amortised cost</t>
        </is>
      </c>
      <c r="B6" s="6" t="n">
        <v>29</v>
      </c>
      <c r="C6" s="6" t="n">
        <v>22</v>
      </c>
      <c r="D6" s="6" t="n">
        <v>98</v>
      </c>
      <c r="E6" s="6" t="n">
        <v>92</v>
      </c>
      <c r="F6" s="6" t="n">
        <v>321</v>
      </c>
    </row>
    <row r="7">
      <c r="A7" s="6" t="inlineStr">
        <is>
          <t>Loans to customers - amortised cost</t>
        </is>
      </c>
      <c r="B7" s="6" t="n">
        <v>18642</v>
      </c>
      <c r="C7" s="6" t="n">
        <v>18034</v>
      </c>
      <c r="D7" s="6" t="n">
        <v>18333</v>
      </c>
      <c r="E7" s="6" t="n">
        <v>18934</v>
      </c>
      <c r="F7" s="6" t="n">
        <v>17388</v>
      </c>
    </row>
    <row r="8">
      <c r="A8" s="6" t="inlineStr">
        <is>
          <t>Amount due from holding companies and fellow subsidiaries</t>
        </is>
      </c>
      <c r="B8" s="6" t="n">
        <v>42546</v>
      </c>
      <c r="C8" s="6" t="n">
        <v>44307</v>
      </c>
      <c r="D8" s="6" t="n">
        <v>36623</v>
      </c>
      <c r="E8" s="6" t="n">
        <v>34681</v>
      </c>
      <c r="F8" s="6" t="n">
        <v>28682</v>
      </c>
    </row>
    <row r="9">
      <c r="A9" s="6" t="inlineStr">
        <is>
          <t>Derivatives</t>
        </is>
      </c>
      <c r="B9" s="6" t="n">
        <v>11</v>
      </c>
      <c r="C9" s="6" t="n">
        <v>17</v>
      </c>
      <c r="D9" s="6" t="n">
        <v>23</v>
      </c>
      <c r="E9" s="6" t="n">
        <v>37</v>
      </c>
      <c r="F9" s="6" t="n">
        <v>14</v>
      </c>
    </row>
    <row r="10">
      <c r="A10" s="6" t="inlineStr">
        <is>
          <t>Investment in group undertakings</t>
        </is>
      </c>
      <c r="B10" s="6" t="n">
        <v>110</v>
      </c>
      <c r="C10" s="6" t="n">
        <v>110</v>
      </c>
      <c r="D10" s="6" t="n">
        <v>110</v>
      </c>
      <c r="E10" s="6" t="n">
        <v>110</v>
      </c>
      <c r="F10" s="6" t="n">
        <v>110</v>
      </c>
    </row>
    <row r="11">
      <c r="A11" s="6" t="inlineStr">
        <is>
          <t>Other assets</t>
        </is>
      </c>
      <c r="B11" s="6" t="n">
        <v>354</v>
      </c>
      <c r="C11" s="6" t="n">
        <v>367</v>
      </c>
      <c r="D11" s="6" t="n">
        <v>383</v>
      </c>
      <c r="E11" s="6" t="n">
        <v>413</v>
      </c>
      <c r="F11" s="6" t="n">
        <v>397</v>
      </c>
    </row>
    <row r="12">
      <c r="A12" s="5" t="inlineStr">
        <is>
          <t>Total assets</t>
        </is>
      </c>
      <c r="B12" s="5" t="n">
        <v>61695</v>
      </c>
      <c r="C12" s="5" t="n">
        <v>62860</v>
      </c>
      <c r="D12" s="5" t="n">
        <v>55573</v>
      </c>
      <c r="E12" s="5" t="n">
        <v>54270</v>
      </c>
      <c r="F12" s="5" t="n">
        <v>46915</v>
      </c>
    </row>
    <row r="13">
      <c r="A13" s="5" t="inlineStr">
        <is>
          <t>Liabilities</t>
        </is>
      </c>
      <c r="B13" s="6" t="n"/>
      <c r="C13" s="6" t="n"/>
      <c r="D13" s="6" t="n"/>
      <c r="E13" s="6" t="n"/>
      <c r="F13" s="6" t="n"/>
    </row>
    <row r="14">
      <c r="A14" s="6" t="inlineStr">
        <is>
          <t>Bank deposits</t>
        </is>
      </c>
      <c r="B14" s="6" t="n">
        <v>0</v>
      </c>
      <c r="C14" s="6" t="n">
        <v>2</v>
      </c>
      <c r="D14" s="6" t="n"/>
      <c r="E14" s="6" t="n">
        <v>0</v>
      </c>
      <c r="F14" s="6" t="n">
        <v>2</v>
      </c>
    </row>
    <row r="15">
      <c r="A15" s="6" t="inlineStr">
        <is>
          <t>Customer deposits</t>
        </is>
      </c>
      <c r="B15" s="6" t="n">
        <v>42642</v>
      </c>
      <c r="C15" s="6" t="n">
        <v>42318</v>
      </c>
      <c r="D15" s="6" t="n">
        <v>37549</v>
      </c>
      <c r="E15" s="6" t="n">
        <v>41057</v>
      </c>
      <c r="F15" s="6" t="n">
        <v>36971</v>
      </c>
    </row>
    <row r="16">
      <c r="A16" s="6" t="inlineStr">
        <is>
          <t>Amount due to holding companies and fellow subsidiaries</t>
        </is>
      </c>
      <c r="B16" s="6" t="n">
        <v>17306</v>
      </c>
      <c r="C16" s="6" t="n">
        <v>18868</v>
      </c>
      <c r="D16" s="6" t="n">
        <v>16243</v>
      </c>
      <c r="E16" s="6" t="n">
        <v>11349</v>
      </c>
      <c r="F16" s="6" t="n">
        <v>8291</v>
      </c>
    </row>
    <row r="17">
      <c r="A17" s="6" t="inlineStr">
        <is>
          <t>Derivatives</t>
        </is>
      </c>
      <c r="B17" s="6" t="n">
        <v>12</v>
      </c>
      <c r="C17" s="6" t="n">
        <v>17</v>
      </c>
      <c r="D17" s="6" t="n">
        <v>20</v>
      </c>
      <c r="E17" s="6" t="n">
        <v>34</v>
      </c>
      <c r="F17" s="6" t="n">
        <v>12</v>
      </c>
    </row>
    <row r="18">
      <c r="A18" s="6" t="inlineStr">
        <is>
          <t>Other liabilities</t>
        </is>
      </c>
      <c r="B18" s="6" t="n">
        <v>191</v>
      </c>
      <c r="C18" s="6" t="n">
        <v>158</v>
      </c>
      <c r="D18" s="6" t="n">
        <v>143</v>
      </c>
      <c r="E18" s="6" t="n">
        <v>230</v>
      </c>
      <c r="F18" s="6" t="n">
        <v>118</v>
      </c>
    </row>
    <row r="19">
      <c r="A19" s="5" t="inlineStr">
        <is>
          <t>Total liabilities</t>
        </is>
      </c>
      <c r="B19" s="5" t="n">
        <v>60151</v>
      </c>
      <c r="C19" s="5" t="n">
        <v>61363</v>
      </c>
      <c r="D19" s="5" t="n">
        <v>53955</v>
      </c>
      <c r="E19" s="5" t="n">
        <v>52670</v>
      </c>
      <c r="F19" s="5" t="n">
        <v>45394</v>
      </c>
    </row>
    <row r="20">
      <c r="A20" s="5" t="inlineStr">
        <is>
          <t>Equity</t>
        </is>
      </c>
      <c r="B20" s="6" t="n"/>
      <c r="C20" s="6" t="n"/>
      <c r="D20" s="6" t="n"/>
      <c r="E20" s="6" t="n"/>
      <c r="F20" s="6" t="n"/>
    </row>
    <row r="21">
      <c r="A21" s="5" t="inlineStr">
        <is>
          <t>Owners' equity</t>
        </is>
      </c>
      <c r="B21" s="5" t="n">
        <v>1544</v>
      </c>
      <c r="C21" s="5" t="n">
        <v>1497</v>
      </c>
      <c r="D21" s="5" t="n">
        <v>1618</v>
      </c>
      <c r="E21" s="5" t="n">
        <v>1600</v>
      </c>
      <c r="F21" s="5" t="n">
        <v>1521</v>
      </c>
    </row>
    <row r="22">
      <c r="A22" s="5" t="inlineStr">
        <is>
          <t>Total liabilities and equity</t>
        </is>
      </c>
      <c r="B22" s="5" t="n">
        <v>61695</v>
      </c>
      <c r="C22" s="5" t="n">
        <v>62860</v>
      </c>
      <c r="D22" s="5" t="n">
        <v>55573</v>
      </c>
      <c r="E22" s="5" t="n">
        <v>54270</v>
      </c>
      <c r="F22" s="5" t="n">
        <v>46915</v>
      </c>
    </row>
    <row r="24" ht="260" customHeight="1">
      <c r="A24"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Statement of Comprehensive Income</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2404</v>
      </c>
      <c r="C5" s="6" t="n">
        <v>2450</v>
      </c>
      <c r="D5" s="6" t="n">
        <v>1861</v>
      </c>
      <c r="E5" s="6" t="n">
        <v>934</v>
      </c>
      <c r="F5" s="6" t="n">
        <v>486</v>
      </c>
    </row>
    <row r="6">
      <c r="A6" s="6" t="inlineStr">
        <is>
          <t>Interest payable</t>
        </is>
      </c>
      <c r="B6" s="6" t="n">
        <v>-1729</v>
      </c>
      <c r="C6" s="6" t="n">
        <v>-1839</v>
      </c>
      <c r="D6" s="6" t="n">
        <v>-1160</v>
      </c>
      <c r="E6" s="6" t="n">
        <v>-225</v>
      </c>
      <c r="F6" s="6" t="n">
        <v>-72</v>
      </c>
    </row>
    <row r="7">
      <c r="A7" s="5" t="inlineStr">
        <is>
          <t>Net interest income</t>
        </is>
      </c>
      <c r="B7" s="5" t="n">
        <v>675</v>
      </c>
      <c r="C7" s="5" t="n">
        <v>611</v>
      </c>
      <c r="D7" s="5" t="n">
        <v>701</v>
      </c>
      <c r="E7" s="5" t="n">
        <v>709</v>
      </c>
      <c r="F7" s="5" t="n">
        <v>414</v>
      </c>
    </row>
    <row r="8">
      <c r="A8" s="6" t="inlineStr">
        <is>
          <t>Fees and commissions receivable</t>
        </is>
      </c>
      <c r="B8" s="6" t="n">
        <v>266</v>
      </c>
      <c r="C8" s="6" t="n">
        <v>229</v>
      </c>
      <c r="D8" s="6" t="n">
        <v>197</v>
      </c>
      <c r="E8" s="6" t="n">
        <v>207</v>
      </c>
      <c r="F8" s="6" t="n">
        <v>208</v>
      </c>
    </row>
    <row r="9">
      <c r="A9" s="6" t="inlineStr">
        <is>
          <t>Fees and commissions payable</t>
        </is>
      </c>
      <c r="B9" s="6" t="n">
        <v>-21</v>
      </c>
      <c r="C9" s="6" t="n">
        <v>-20</v>
      </c>
      <c r="D9" s="6" t="n">
        <v>-22</v>
      </c>
      <c r="E9" s="6" t="n">
        <v>-25</v>
      </c>
      <c r="F9" s="6" t="n">
        <v>-29</v>
      </c>
    </row>
    <row r="10">
      <c r="A10" s="6" t="inlineStr">
        <is>
          <t>Other operating income</t>
        </is>
      </c>
      <c r="B10" s="6" t="n">
        <v>70</v>
      </c>
      <c r="C10" s="6" t="n">
        <v>62</v>
      </c>
      <c r="D10" s="6" t="n">
        <v>83</v>
      </c>
      <c r="E10" s="6" t="n">
        <v>31</v>
      </c>
      <c r="F10" s="6" t="n">
        <v>39</v>
      </c>
    </row>
    <row r="11">
      <c r="A11" s="5" t="inlineStr">
        <is>
          <t>Non-interest income</t>
        </is>
      </c>
      <c r="B11" s="5" t="n">
        <v>315</v>
      </c>
      <c r="C11" s="5" t="n">
        <v>271</v>
      </c>
      <c r="D11" s="5" t="n">
        <v>258</v>
      </c>
      <c r="E11" s="5" t="n">
        <v>213</v>
      </c>
      <c r="F11" s="5" t="n">
        <v>218</v>
      </c>
    </row>
    <row r="12">
      <c r="A12" s="5" t="inlineStr">
        <is>
          <t>Total income</t>
        </is>
      </c>
      <c r="B12" s="5" t="n">
        <v>990</v>
      </c>
      <c r="C12" s="5" t="n">
        <v>882</v>
      </c>
      <c r="D12" s="5" t="n">
        <v>959</v>
      </c>
      <c r="E12" s="5" t="n">
        <v>922</v>
      </c>
      <c r="F12" s="5" t="n">
        <v>632</v>
      </c>
    </row>
    <row r="13">
      <c r="A13" s="6" t="inlineStr">
        <is>
          <t>Staff costs</t>
        </is>
      </c>
      <c r="B13" s="6" t="n">
        <v>-235</v>
      </c>
      <c r="C13" s="6" t="n">
        <v>-213</v>
      </c>
      <c r="D13" s="6" t="n">
        <v>-196</v>
      </c>
      <c r="E13" s="6" t="n">
        <v>-176</v>
      </c>
      <c r="F13" s="6" t="n">
        <v>-150</v>
      </c>
    </row>
    <row r="14">
      <c r="A14" s="6" t="inlineStr">
        <is>
          <t>Premises and equipment</t>
        </is>
      </c>
      <c r="B14" s="6" t="n">
        <v>-19</v>
      </c>
      <c r="C14" s="6" t="n">
        <v>-13</v>
      </c>
      <c r="D14" s="6" t="n">
        <v>-12</v>
      </c>
      <c r="E14" s="6" t="n">
        <v>-20</v>
      </c>
      <c r="F14" s="6" t="n">
        <v>-36</v>
      </c>
    </row>
    <row r="15">
      <c r="A15" s="6" t="inlineStr">
        <is>
          <t>Depreciation and amortisation</t>
        </is>
      </c>
      <c r="B15" s="6" t="n">
        <v>-34</v>
      </c>
      <c r="C15" s="6" t="n">
        <v>-34</v>
      </c>
      <c r="D15" s="6" t="n">
        <v>-38</v>
      </c>
      <c r="E15" s="6" t="n">
        <v>-21</v>
      </c>
      <c r="F15" s="6" t="n">
        <v>-19</v>
      </c>
    </row>
    <row r="16">
      <c r="A16" s="6" t="inlineStr">
        <is>
          <t>Other administrative expenses</t>
        </is>
      </c>
      <c r="B16" s="6" t="n">
        <v>-351</v>
      </c>
      <c r="C16" s="6" t="n">
        <v>-379</v>
      </c>
      <c r="D16" s="6" t="n">
        <v>-329</v>
      </c>
      <c r="E16" s="6" t="n">
        <v>-316</v>
      </c>
      <c r="F16" s="6" t="n">
        <v>-243</v>
      </c>
    </row>
    <row r="17">
      <c r="A17" s="5" t="inlineStr">
        <is>
          <t>Operating expenses</t>
        </is>
      </c>
      <c r="B17" s="5" t="n">
        <v>-639</v>
      </c>
      <c r="C17" s="5" t="n">
        <v>-639</v>
      </c>
      <c r="D17" s="5" t="n">
        <v>-575</v>
      </c>
      <c r="E17" s="5" t="n">
        <v>-533</v>
      </c>
      <c r="F17" s="5" t="n">
        <v>-448</v>
      </c>
    </row>
    <row r="18">
      <c r="A18" s="5" t="inlineStr">
        <is>
          <t>Profit before impairments</t>
        </is>
      </c>
      <c r="B18" s="5" t="n">
        <v>351</v>
      </c>
      <c r="C18" s="5" t="n">
        <v>243</v>
      </c>
      <c r="D18" s="5" t="n">
        <v>384</v>
      </c>
      <c r="E18" s="5" t="n">
        <v>389</v>
      </c>
      <c r="F18" s="5" t="n">
        <v>184</v>
      </c>
    </row>
    <row r="19">
      <c r="A19" s="6" t="inlineStr">
        <is>
          <t>Impairment (losses)/releases</t>
        </is>
      </c>
      <c r="B19" s="6" t="n">
        <v>-5</v>
      </c>
      <c r="C19" s="6" t="n">
        <v>19</v>
      </c>
      <c r="D19" s="6" t="n">
        <v>-3</v>
      </c>
      <c r="E19" s="6" t="n">
        <v>-31</v>
      </c>
      <c r="F19" s="6" t="n">
        <v>57</v>
      </c>
    </row>
    <row r="20">
      <c r="A20" s="5" t="inlineStr">
        <is>
          <t>Operating profit before tax</t>
        </is>
      </c>
      <c r="B20" s="5" t="n">
        <v>346</v>
      </c>
      <c r="C20" s="5" t="n">
        <v>262</v>
      </c>
      <c r="D20" s="5" t="n">
        <v>381</v>
      </c>
      <c r="E20" s="5" t="n">
        <v>358</v>
      </c>
      <c r="F20" s="5" t="n">
        <v>241</v>
      </c>
    </row>
    <row r="21">
      <c r="A21" s="6" t="inlineStr">
        <is>
          <t>Tax charge</t>
        </is>
      </c>
      <c r="B21" s="6" t="n">
        <v>-87</v>
      </c>
      <c r="C21" s="6" t="n">
        <v>-64</v>
      </c>
      <c r="D21" s="6" t="n">
        <v>-87</v>
      </c>
      <c r="E21" s="6" t="n">
        <v>-111</v>
      </c>
      <c r="F21" s="6" t="n">
        <v>-60</v>
      </c>
    </row>
    <row r="22">
      <c r="A22" s="5" t="inlineStr">
        <is>
          <t>Profit for the year</t>
        </is>
      </c>
      <c r="B22" s="5" t="n">
        <v>259</v>
      </c>
      <c r="C22" s="5" t="n">
        <v>198</v>
      </c>
      <c r="D22" s="5" t="n">
        <v>294</v>
      </c>
      <c r="E22" s="5" t="n">
        <v>247</v>
      </c>
      <c r="F22" s="5" t="n">
        <v>181</v>
      </c>
    </row>
    <row r="23">
      <c r="A23" s="5" t="inlineStr">
        <is>
          <t>Other comprehensive income</t>
        </is>
      </c>
      <c r="B23" s="6" t="n"/>
      <c r="C23" s="6" t="n"/>
      <c r="D23" s="6" t="n"/>
      <c r="E23" s="6" t="n"/>
      <c r="F23" s="6" t="n"/>
    </row>
    <row r="24">
      <c r="A24" s="6" t="inlineStr">
        <is>
          <t>Cash flow hedges</t>
        </is>
      </c>
      <c r="B24" s="6" t="n">
        <v>1</v>
      </c>
      <c r="C24" s="6" t="n">
        <v>-3</v>
      </c>
      <c r="D24" s="6" t="n">
        <v>0</v>
      </c>
      <c r="E24" s="6" t="n">
        <v>1</v>
      </c>
      <c r="F24" s="6" t="n">
        <v>1</v>
      </c>
    </row>
    <row r="25">
      <c r="A25" s="6" t="inlineStr">
        <is>
          <t>Tax</t>
        </is>
      </c>
      <c r="B25" s="6" t="n">
        <v>0</v>
      </c>
      <c r="C25" s="6" t="n">
        <v>1</v>
      </c>
      <c r="D25" s="6" t="n">
        <v>0</v>
      </c>
      <c r="E25" s="6" t="n">
        <v>-1</v>
      </c>
      <c r="F25" s="6" t="n">
        <v>0</v>
      </c>
    </row>
    <row r="26">
      <c r="A26" s="5" t="inlineStr">
        <is>
          <t>Other comprehensive income/(losses) after tax</t>
        </is>
      </c>
      <c r="B26" s="5" t="n">
        <v>1</v>
      </c>
      <c r="C26" s="5" t="n">
        <v>-2</v>
      </c>
      <c r="D26" s="5" t="n">
        <v>0</v>
      </c>
      <c r="E26" s="5" t="n">
        <v>0</v>
      </c>
      <c r="F26" s="5" t="n">
        <v>1</v>
      </c>
    </row>
    <row r="27">
      <c r="A27" s="5" t="inlineStr">
        <is>
          <t>Total comprehensive income for the year, net of tax</t>
        </is>
      </c>
      <c r="B27" s="5" t="n">
        <v>260</v>
      </c>
      <c r="C27" s="5" t="n">
        <v>196</v>
      </c>
      <c r="D27" s="5" t="n">
        <v>294</v>
      </c>
      <c r="E27" s="5" t="n">
        <v>247</v>
      </c>
      <c r="F27" s="5" t="n">
        <v>182</v>
      </c>
    </row>
    <row r="29" ht="260" customHeight="1">
      <c r="A29"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Coutts &amp; Company — Statement of Changes in Equity</t>
        </is>
      </c>
    </row>
    <row r="2">
      <c r="A2" s="2" t="inlineStr">
        <is>
          <t>Entity-level basis, £m, chronological (oldest to newest). See source note at bottom.</t>
        </is>
      </c>
    </row>
    <row r="3">
      <c r="A3" s="4" t="inlineStr">
        <is>
          <t>Movement</t>
        </is>
      </c>
      <c r="B3" s="4" t="inlineStr">
        <is>
          <t>Called-up share capital</t>
        </is>
      </c>
      <c r="C3" s="4" t="inlineStr">
        <is>
          <t>Paid-in equity</t>
        </is>
      </c>
      <c r="D3" s="4" t="inlineStr">
        <is>
          <t>Cash flow hedging reserve</t>
        </is>
      </c>
      <c r="E3" s="4" t="inlineStr">
        <is>
          <t>Capital contribution reserve</t>
        </is>
      </c>
      <c r="F3" s="4" t="inlineStr">
        <is>
          <t>Retained earnings</t>
        </is>
      </c>
      <c r="G3" s="4" t="inlineStr">
        <is>
          <t>Total</t>
        </is>
      </c>
    </row>
    <row r="4">
      <c r="A4" s="5" t="inlineStr">
        <is>
          <t>At 1 January 2021</t>
        </is>
      </c>
      <c r="B4" s="5" t="n">
        <v>41</v>
      </c>
      <c r="C4" s="5" t="n">
        <v>200</v>
      </c>
      <c r="D4" s="5" t="n">
        <v>0</v>
      </c>
      <c r="E4" s="5" t="n">
        <v>382</v>
      </c>
      <c r="F4" s="5" t="n">
        <v>833</v>
      </c>
      <c r="G4" s="5" t="n">
        <v>1456</v>
      </c>
    </row>
    <row r="5">
      <c r="A5" s="6" t="inlineStr">
        <is>
          <t>Profit for the year (FY2021)</t>
        </is>
      </c>
      <c r="B5" s="6" t="n"/>
      <c r="C5" s="6" t="n"/>
      <c r="D5" s="6" t="n"/>
      <c r="E5" s="6" t="n"/>
      <c r="F5" s="6" t="n">
        <v>181</v>
      </c>
      <c r="G5" s="6" t="n">
        <v>181</v>
      </c>
    </row>
    <row r="6">
      <c r="A6" s="6" t="inlineStr">
        <is>
          <t>Cash flow hedges: amount recognised in equity (FY2021)</t>
        </is>
      </c>
      <c r="B6" s="6" t="n"/>
      <c r="C6" s="6" t="n"/>
      <c r="D6" s="6" t="n">
        <v>1</v>
      </c>
      <c r="E6" s="6" t="n"/>
      <c r="F6" s="6" t="n"/>
      <c r="G6" s="6" t="n">
        <v>1</v>
      </c>
    </row>
    <row r="7">
      <c r="A7" s="6" t="inlineStr">
        <is>
          <t>Paid-in equity dividends paid (FY2021)</t>
        </is>
      </c>
      <c r="B7" s="6" t="n"/>
      <c r="C7" s="6" t="n"/>
      <c r="D7" s="6" t="n"/>
      <c r="E7" s="6" t="n"/>
      <c r="F7" s="6" t="n">
        <v>-12</v>
      </c>
      <c r="G7" s="6" t="n">
        <v>-12</v>
      </c>
    </row>
    <row r="8">
      <c r="A8" s="6" t="inlineStr">
        <is>
          <t>Ordinary dividends paid (FY2021)</t>
        </is>
      </c>
      <c r="B8" s="6" t="n"/>
      <c r="C8" s="6" t="n"/>
      <c r="D8" s="6" t="n"/>
      <c r="E8" s="6" t="n"/>
      <c r="F8" s="6" t="n">
        <v>-105</v>
      </c>
      <c r="G8" s="6" t="n">
        <v>-105</v>
      </c>
    </row>
    <row r="9">
      <c r="A9" s="5" t="inlineStr">
        <is>
          <t>At 31 December 2021</t>
        </is>
      </c>
      <c r="B9" s="5" t="n">
        <v>41</v>
      </c>
      <c r="C9" s="5" t="n">
        <v>200</v>
      </c>
      <c r="D9" s="5" t="n">
        <v>1</v>
      </c>
      <c r="E9" s="5" t="n">
        <v>382</v>
      </c>
      <c r="F9" s="5" t="n">
        <v>897</v>
      </c>
      <c r="G9" s="5" t="n">
        <v>1521</v>
      </c>
    </row>
    <row r="10">
      <c r="A10" s="6" t="inlineStr">
        <is>
          <t>Profit for the year (FY2022)</t>
        </is>
      </c>
      <c r="B10" s="6" t="n"/>
      <c r="C10" s="6" t="n"/>
      <c r="D10" s="6" t="n"/>
      <c r="E10" s="6" t="n"/>
      <c r="F10" s="6" t="n">
        <v>247</v>
      </c>
      <c r="G10" s="6" t="n">
        <v>247</v>
      </c>
    </row>
    <row r="11">
      <c r="A11" s="6" t="inlineStr">
        <is>
          <t>Paid-in equity redeemed (FY2022)</t>
        </is>
      </c>
      <c r="B11" s="6" t="n"/>
      <c r="C11" s="6" t="n">
        <v>-165</v>
      </c>
      <c r="D11" s="6" t="n"/>
      <c r="E11" s="6" t="n"/>
      <c r="F11" s="6" t="n"/>
      <c r="G11" s="6" t="n">
        <v>-165</v>
      </c>
    </row>
    <row r="12">
      <c r="A12" s="6" t="inlineStr">
        <is>
          <t>Paid-in equity issued (FY2022)</t>
        </is>
      </c>
      <c r="B12" s="6" t="n"/>
      <c r="C12" s="6" t="n">
        <v>240</v>
      </c>
      <c r="D12" s="6" t="n"/>
      <c r="E12" s="6" t="n"/>
      <c r="F12" s="6" t="n"/>
      <c r="G12" s="6" t="n">
        <v>240</v>
      </c>
    </row>
    <row r="13">
      <c r="A13" s="6" t="inlineStr">
        <is>
          <t>Cash flow hedges: amount recognised in equity (FY2022)</t>
        </is>
      </c>
      <c r="B13" s="6" t="n"/>
      <c r="C13" s="6" t="n"/>
      <c r="D13" s="6" t="n">
        <v>4</v>
      </c>
      <c r="E13" s="6" t="n"/>
      <c r="F13" s="6" t="n"/>
      <c r="G13" s="6" t="n">
        <v>4</v>
      </c>
    </row>
    <row r="14">
      <c r="A14" s="6" t="inlineStr">
        <is>
          <t>Cash flow hedges: amount transferred from equity to earnings (FY2022)</t>
        </is>
      </c>
      <c r="B14" s="6" t="n"/>
      <c r="C14" s="6" t="n"/>
      <c r="D14" s="6" t="n">
        <v>-3</v>
      </c>
      <c r="E14" s="6" t="n"/>
      <c r="F14" s="6" t="n"/>
      <c r="G14" s="6" t="n">
        <v>-3</v>
      </c>
    </row>
    <row r="15">
      <c r="A15" s="6" t="inlineStr">
        <is>
          <t>Cash flow hedges: tax (FY2022)</t>
        </is>
      </c>
      <c r="B15" s="6" t="n"/>
      <c r="C15" s="6" t="n"/>
      <c r="D15" s="6" t="n">
        <v>-1</v>
      </c>
      <c r="E15" s="6" t="n"/>
      <c r="F15" s="6" t="n"/>
      <c r="G15" s="6" t="n">
        <v>-1</v>
      </c>
    </row>
    <row r="16">
      <c r="A16" s="6" t="inlineStr">
        <is>
          <t>Paid-in equity dividends paid (FY2022)</t>
        </is>
      </c>
      <c r="B16" s="6" t="n"/>
      <c r="C16" s="6" t="n"/>
      <c r="D16" s="6" t="n"/>
      <c r="E16" s="6" t="n"/>
      <c r="F16" s="6" t="n">
        <v>-16</v>
      </c>
      <c r="G16" s="6" t="n">
        <v>-16</v>
      </c>
    </row>
    <row r="17">
      <c r="A17" s="6" t="inlineStr">
        <is>
          <t>Ordinary dividends paid (FY2022)</t>
        </is>
      </c>
      <c r="B17" s="6" t="n"/>
      <c r="C17" s="6" t="n"/>
      <c r="D17" s="6" t="n"/>
      <c r="E17" s="6" t="n"/>
      <c r="F17" s="6" t="n">
        <v>-225</v>
      </c>
      <c r="G17" s="6" t="n">
        <v>-225</v>
      </c>
    </row>
    <row r="18">
      <c r="A18" s="6" t="inlineStr">
        <is>
          <t>Redemption of paid-in equity, gross (FY2022)</t>
        </is>
      </c>
      <c r="B18" s="6" t="n"/>
      <c r="C18" s="6" t="n"/>
      <c r="D18" s="6" t="n"/>
      <c r="E18" s="6" t="n"/>
      <c r="F18" s="6" t="n">
        <v>-2</v>
      </c>
      <c r="G18" s="6" t="n">
        <v>-2</v>
      </c>
    </row>
    <row r="19">
      <c r="A19" s="5" t="inlineStr">
        <is>
          <t>At 31 December 2022</t>
        </is>
      </c>
      <c r="B19" s="5" t="n">
        <v>41</v>
      </c>
      <c r="C19" s="5" t="n">
        <v>275</v>
      </c>
      <c r="D19" s="5" t="n">
        <v>1</v>
      </c>
      <c r="E19" s="5" t="n">
        <v>382</v>
      </c>
      <c r="F19" s="5" t="n">
        <v>901</v>
      </c>
      <c r="G19" s="5" t="n">
        <v>1600</v>
      </c>
    </row>
    <row r="20">
      <c r="A20" s="6" t="inlineStr">
        <is>
          <t>Profit for the year (FY2023)</t>
        </is>
      </c>
      <c r="B20" s="6" t="n"/>
      <c r="C20" s="6" t="n"/>
      <c r="D20" s="6" t="n"/>
      <c r="E20" s="6" t="n"/>
      <c r="F20" s="6" t="n">
        <v>294</v>
      </c>
      <c r="G20" s="6" t="n">
        <v>294</v>
      </c>
    </row>
    <row r="21">
      <c r="A21" s="6" t="inlineStr">
        <is>
          <t>Paid-in equity redeemed (FY2023)</t>
        </is>
      </c>
      <c r="B21" s="6" t="n"/>
      <c r="C21" s="6" t="n">
        <v>-35</v>
      </c>
      <c r="D21" s="6" t="n"/>
      <c r="E21" s="6" t="n"/>
      <c r="F21" s="6" t="n"/>
      <c r="G21" s="6" t="n">
        <v>-35</v>
      </c>
    </row>
    <row r="22">
      <c r="A22" s="6" t="inlineStr">
        <is>
          <t>Cash flow hedges: amount recognised in equity (FY2023)</t>
        </is>
      </c>
      <c r="B22" s="6" t="n"/>
      <c r="C22" s="6" t="n"/>
      <c r="D22" s="6" t="n">
        <v>1</v>
      </c>
      <c r="E22" s="6" t="n"/>
      <c r="F22" s="6" t="n"/>
      <c r="G22" s="6" t="n">
        <v>1</v>
      </c>
    </row>
    <row r="23">
      <c r="A23" s="6" t="inlineStr">
        <is>
          <t>Cash flow hedges: amount transferred from equity to earnings (FY2023)</t>
        </is>
      </c>
      <c r="B23" s="6" t="n"/>
      <c r="C23" s="6" t="n"/>
      <c r="D23" s="6" t="n">
        <v>-1</v>
      </c>
      <c r="E23" s="6" t="n"/>
      <c r="F23" s="6" t="n"/>
      <c r="G23" s="6" t="n">
        <v>-1</v>
      </c>
    </row>
    <row r="24">
      <c r="A24" s="6" t="inlineStr">
        <is>
          <t>Paid-in equity dividends paid (FY2023)</t>
        </is>
      </c>
      <c r="B24" s="6" t="n"/>
      <c r="C24" s="6" t="n"/>
      <c r="D24" s="6" t="n"/>
      <c r="E24" s="6" t="n"/>
      <c r="F24" s="6" t="n">
        <v>-31</v>
      </c>
      <c r="G24" s="6" t="n">
        <v>-31</v>
      </c>
    </row>
    <row r="25">
      <c r="A25" s="6" t="inlineStr">
        <is>
          <t>Ordinary dividends paid (FY2023)</t>
        </is>
      </c>
      <c r="B25" s="6" t="n"/>
      <c r="C25" s="6" t="n"/>
      <c r="D25" s="6" t="n"/>
      <c r="E25" s="6" t="n"/>
      <c r="F25" s="6" t="n">
        <v>-210</v>
      </c>
      <c r="G25" s="6" t="n">
        <v>-210</v>
      </c>
    </row>
    <row r="26">
      <c r="A26" s="5" t="inlineStr">
        <is>
          <t>At 31 December 2023</t>
        </is>
      </c>
      <c r="B26" s="5" t="n">
        <v>41</v>
      </c>
      <c r="C26" s="5" t="n">
        <v>240</v>
      </c>
      <c r="D26" s="5" t="n">
        <v>1</v>
      </c>
      <c r="E26" s="5" t="n">
        <v>382</v>
      </c>
      <c r="F26" s="5" t="n">
        <v>954</v>
      </c>
      <c r="G26" s="5" t="n">
        <v>1618</v>
      </c>
    </row>
    <row r="27">
      <c r="A27" s="6" t="inlineStr">
        <is>
          <t>Profit for the year (FY2024)</t>
        </is>
      </c>
      <c r="B27" s="6" t="n"/>
      <c r="C27" s="6" t="n"/>
      <c r="D27" s="6" t="n"/>
      <c r="E27" s="6" t="n"/>
      <c r="F27" s="6" t="n">
        <v>198</v>
      </c>
      <c r="G27" s="6" t="n">
        <v>198</v>
      </c>
    </row>
    <row r="28">
      <c r="A28" s="6" t="inlineStr">
        <is>
          <t>Cash flow hedges: amount recognised in equity (FY2024)</t>
        </is>
      </c>
      <c r="B28" s="6" t="n"/>
      <c r="C28" s="6" t="n"/>
      <c r="D28" s="6" t="n">
        <v>-6</v>
      </c>
      <c r="E28" s="6" t="n"/>
      <c r="F28" s="6" t="n"/>
      <c r="G28" s="6" t="n">
        <v>-6</v>
      </c>
    </row>
    <row r="29">
      <c r="A29" s="6" t="inlineStr">
        <is>
          <t>Cash flow hedges: reclassification of OCI to P&amp;L (FY2024)</t>
        </is>
      </c>
      <c r="B29" s="6" t="n"/>
      <c r="C29" s="6" t="n"/>
      <c r="D29" s="6" t="n">
        <v>3</v>
      </c>
      <c r="E29" s="6" t="n"/>
      <c r="F29" s="6" t="n"/>
      <c r="G29" s="6" t="n">
        <v>3</v>
      </c>
    </row>
    <row r="30">
      <c r="A30" s="6" t="inlineStr">
        <is>
          <t>Cash flow hedges: tax (FY2024)</t>
        </is>
      </c>
      <c r="B30" s="6" t="n"/>
      <c r="C30" s="6" t="n"/>
      <c r="D30" s="6" t="n">
        <v>1</v>
      </c>
      <c r="E30" s="6" t="n"/>
      <c r="F30" s="6" t="n"/>
      <c r="G30" s="6" t="n">
        <v>1</v>
      </c>
    </row>
    <row r="31">
      <c r="A31" s="6" t="inlineStr">
        <is>
          <t>Paid-in equity dividends paid (FY2024)</t>
        </is>
      </c>
      <c r="B31" s="6" t="n"/>
      <c r="C31" s="6" t="n"/>
      <c r="D31" s="6" t="n"/>
      <c r="E31" s="6" t="n"/>
      <c r="F31" s="6" t="n">
        <v>-28</v>
      </c>
      <c r="G31" s="6" t="n">
        <v>-28</v>
      </c>
    </row>
    <row r="32">
      <c r="A32" s="6" t="inlineStr">
        <is>
          <t>Ordinary dividends paid (FY2024)</t>
        </is>
      </c>
      <c r="B32" s="6" t="n"/>
      <c r="C32" s="6" t="n"/>
      <c r="D32" s="6" t="n"/>
      <c r="E32" s="6" t="n"/>
      <c r="F32" s="6" t="n">
        <v>-289</v>
      </c>
      <c r="G32" s="6" t="n">
        <v>-289</v>
      </c>
    </row>
    <row r="33">
      <c r="A33" s="5" t="inlineStr">
        <is>
          <t>At 31 December 2024</t>
        </is>
      </c>
      <c r="B33" s="5" t="n">
        <v>41</v>
      </c>
      <c r="C33" s="5" t="n">
        <v>240</v>
      </c>
      <c r="D33" s="5" t="n">
        <v>-1</v>
      </c>
      <c r="E33" s="5" t="n">
        <v>382</v>
      </c>
      <c r="F33" s="5" t="n">
        <v>835</v>
      </c>
      <c r="G33" s="5" t="n">
        <v>1497</v>
      </c>
    </row>
    <row r="34">
      <c r="A34" s="6" t="inlineStr">
        <is>
          <t>Profit for the year (FY2025)</t>
        </is>
      </c>
      <c r="B34" s="6" t="n"/>
      <c r="C34" s="6" t="n"/>
      <c r="D34" s="6" t="n"/>
      <c r="E34" s="6" t="n"/>
      <c r="F34" s="6" t="n">
        <v>259</v>
      </c>
      <c r="G34" s="6" t="n">
        <v>259</v>
      </c>
    </row>
    <row r="35">
      <c r="A35" s="6" t="inlineStr">
        <is>
          <t>Cash flow hedges: reclassification of OCI to P&amp;L (FY2025)</t>
        </is>
      </c>
      <c r="B35" s="6" t="n"/>
      <c r="C35" s="6" t="n"/>
      <c r="D35" s="6" t="n">
        <v>1</v>
      </c>
      <c r="E35" s="6" t="n"/>
      <c r="F35" s="6" t="n"/>
      <c r="G35" s="6" t="n">
        <v>1</v>
      </c>
    </row>
    <row r="36">
      <c r="A36" s="6" t="inlineStr">
        <is>
          <t>Paid-in equity dividends paid (FY2025)</t>
        </is>
      </c>
      <c r="B36" s="6" t="n"/>
      <c r="C36" s="6" t="n"/>
      <c r="D36" s="6" t="n"/>
      <c r="E36" s="6" t="n"/>
      <c r="F36" s="6" t="n">
        <v>-26</v>
      </c>
      <c r="G36" s="6" t="n">
        <v>-26</v>
      </c>
    </row>
    <row r="37">
      <c r="A37" s="6" t="inlineStr">
        <is>
          <t>Ordinary dividends paid (FY2025)</t>
        </is>
      </c>
      <c r="B37" s="6" t="n"/>
      <c r="C37" s="6" t="n"/>
      <c r="D37" s="6" t="n"/>
      <c r="E37" s="6" t="n"/>
      <c r="F37" s="6" t="n">
        <v>-187</v>
      </c>
      <c r="G37" s="6" t="n">
        <v>-187</v>
      </c>
    </row>
    <row r="38">
      <c r="A38" s="5" t="inlineStr">
        <is>
          <t>At 31 December 2025</t>
        </is>
      </c>
      <c r="B38" s="5" t="n">
        <v>41</v>
      </c>
      <c r="C38" s="5" t="n">
        <v>240</v>
      </c>
      <c r="D38" s="5" t="n">
        <v>0</v>
      </c>
      <c r="E38" s="5" t="n">
        <v>382</v>
      </c>
      <c r="F38" s="5" t="n">
        <v>881</v>
      </c>
      <c r="G38" s="5" t="n">
        <v>1544</v>
      </c>
    </row>
    <row r="40" ht="260" customHeight="1">
      <c r="A40"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0:G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Coutts &amp; Company — Cash Flow Statement</t>
        </is>
      </c>
    </row>
    <row r="2">
      <c r="A2" s="2" t="inlineStr">
        <is>
          <t>Entity-level basis, £m. Presentation varies by year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346</v>
      </c>
      <c r="C5" s="6" t="n">
        <v>262</v>
      </c>
      <c r="D5" s="6" t="n">
        <v>381</v>
      </c>
      <c r="E5" s="6" t="n">
        <v>358</v>
      </c>
      <c r="F5" s="6" t="n">
        <v>241</v>
      </c>
    </row>
    <row r="6">
      <c r="A6" s="6" t="inlineStr">
        <is>
          <t>Non-cash and other items (FY2023-FY2025 summary presentation)</t>
        </is>
      </c>
      <c r="B6" s="6" t="n">
        <v>81</v>
      </c>
      <c r="C6" s="6" t="n">
        <v>39</v>
      </c>
      <c r="D6" s="6" t="n">
        <v>61</v>
      </c>
      <c r="E6" s="6" t="n"/>
      <c r="F6" s="6" t="n"/>
    </row>
    <row r="7">
      <c r="A7" s="6" t="inlineStr">
        <is>
          <t>Depreciation and amortisation (FY2021-FY2022 detailed presentation)</t>
        </is>
      </c>
      <c r="B7" s="6" t="n"/>
      <c r="C7" s="6" t="n"/>
      <c r="D7" s="6" t="n"/>
      <c r="E7" s="6" t="n">
        <v>21</v>
      </c>
      <c r="F7" s="6" t="n">
        <v>19</v>
      </c>
    </row>
    <row r="8">
      <c r="A8" s="6" t="inlineStr">
        <is>
          <t>Impairment losses/(releases) (FY2021-FY2022 detailed presentation)</t>
        </is>
      </c>
      <c r="B8" s="6" t="n"/>
      <c r="C8" s="6" t="n"/>
      <c r="D8" s="6" t="n"/>
      <c r="E8" s="6" t="n">
        <v>31</v>
      </c>
      <c r="F8" s="6" t="n">
        <v>-57</v>
      </c>
    </row>
    <row r="9">
      <c r="A9" s="6" t="inlineStr">
        <is>
          <t>Other non-cash items (FY2021-FY2022 detailed presentation)</t>
        </is>
      </c>
      <c r="B9" s="6" t="n"/>
      <c r="C9" s="6" t="n"/>
      <c r="D9" s="6" t="n"/>
      <c r="E9" s="6" t="n">
        <v>8</v>
      </c>
      <c r="F9" s="6" t="n">
        <v>3</v>
      </c>
    </row>
    <row r="10">
      <c r="A10" s="6" t="inlineStr">
        <is>
          <t>Provision releases (FY2021-FY2022 detailed presentation)</t>
        </is>
      </c>
      <c r="B10" s="6" t="n"/>
      <c r="C10" s="6" t="n"/>
      <c r="D10" s="6" t="n"/>
      <c r="E10" s="6" t="n">
        <v>-1</v>
      </c>
      <c r="F10" s="6" t="n">
        <v>-3</v>
      </c>
    </row>
    <row r="11">
      <c r="A11" s="6" t="inlineStr">
        <is>
          <t>Elimination of foreign exchange differences (FY2021-FY2022 detailed presentation)</t>
        </is>
      </c>
      <c r="B11" s="6" t="n"/>
      <c r="C11" s="6" t="n"/>
      <c r="D11" s="6" t="n"/>
      <c r="E11" s="6" t="n">
        <v>-11</v>
      </c>
      <c r="F11" s="6" t="n">
        <v>30</v>
      </c>
    </row>
    <row r="12">
      <c r="A12" s="6" t="inlineStr">
        <is>
          <t>Interest payable on debt securities in issue and subordinated liabilities (FY2021-FY2022 detailed presentation)</t>
        </is>
      </c>
      <c r="B12" s="6" t="n"/>
      <c r="C12" s="6" t="n"/>
      <c r="D12" s="6" t="n"/>
      <c r="E12" s="6" t="n">
        <v>23</v>
      </c>
      <c r="F12" s="6" t="n">
        <v>12</v>
      </c>
    </row>
    <row r="13">
      <c r="A13" s="6" t="inlineStr">
        <is>
          <t>Dividends receivable from subsidiaries (FY2021-FY2022 detailed presentation)</t>
        </is>
      </c>
      <c r="B13" s="6" t="n"/>
      <c r="C13" s="6" t="n"/>
      <c r="D13" s="6" t="n"/>
      <c r="E13" s="6" t="n">
        <v>-8</v>
      </c>
      <c r="F13" s="6" t="n">
        <v>-15</v>
      </c>
    </row>
    <row r="14">
      <c r="A14" s="5" t="inlineStr">
        <is>
          <t>Net cash flows from trading activities (FY2021-FY2022 subtotal; no equivalent line FY2023-FY2025)</t>
        </is>
      </c>
      <c r="B14" s="5" t="n"/>
      <c r="C14" s="5" t="n"/>
      <c r="D14" s="5" t="n"/>
      <c r="E14" s="5" t="n">
        <v>421</v>
      </c>
      <c r="F14" s="5" t="n">
        <v>230</v>
      </c>
    </row>
    <row r="15">
      <c r="A15" s="6" t="inlineStr">
        <is>
          <t>(Increase)/decrease in derivative assets</t>
        </is>
      </c>
      <c r="B15" s="6" t="n"/>
      <c r="C15" s="6" t="n"/>
      <c r="D15" s="6" t="n"/>
      <c r="E15" s="6" t="n">
        <v>-18</v>
      </c>
      <c r="F15" s="6" t="n">
        <v>15</v>
      </c>
    </row>
    <row r="16">
      <c r="A16" s="6" t="inlineStr">
        <is>
          <t>Decrease in loans to banks</t>
        </is>
      </c>
      <c r="B16" s="6" t="n"/>
      <c r="C16" s="6" t="n"/>
      <c r="D16" s="6" t="n"/>
      <c r="E16" s="6" t="n">
        <v>5</v>
      </c>
      <c r="F16" s="6" t="n">
        <v>49</v>
      </c>
    </row>
    <row r="17">
      <c r="A17" s="6" t="inlineStr">
        <is>
          <t>Increase in loans to customers</t>
        </is>
      </c>
      <c r="B17" s="6" t="n"/>
      <c r="C17" s="6" t="n"/>
      <c r="D17" s="6" t="n"/>
      <c r="E17" s="6" t="n">
        <v>-944</v>
      </c>
      <c r="F17" s="6" t="n">
        <v>-1449</v>
      </c>
    </row>
    <row r="18">
      <c r="A18" s="6" t="inlineStr">
        <is>
          <t>Decrease in amounts due from holding companies and fellow subsidiaries</t>
        </is>
      </c>
      <c r="B18" s="6" t="n"/>
      <c r="C18" s="6" t="n"/>
      <c r="D18" s="6" t="n"/>
      <c r="E18" s="6" t="n">
        <v>2234</v>
      </c>
      <c r="F18" s="6" t="n">
        <v>9513</v>
      </c>
    </row>
    <row r="19">
      <c r="A19" s="6" t="inlineStr">
        <is>
          <t>Increase in other assets</t>
        </is>
      </c>
      <c r="B19" s="6" t="n"/>
      <c r="C19" s="6" t="n"/>
      <c r="D19" s="6" t="n"/>
      <c r="E19" s="6" t="n">
        <v>-4</v>
      </c>
      <c r="F19" s="6" t="n">
        <v>-2</v>
      </c>
    </row>
    <row r="20">
      <c r="A20" s="6" t="inlineStr">
        <is>
          <t>Decrease in bank deposits</t>
        </is>
      </c>
      <c r="B20" s="6" t="n"/>
      <c r="C20" s="6" t="n"/>
      <c r="D20" s="6" t="n"/>
      <c r="E20" s="6" t="n">
        <v>-2</v>
      </c>
      <c r="F20" s="6" t="n">
        <v>-2</v>
      </c>
    </row>
    <row r="21">
      <c r="A21" s="6" t="inlineStr">
        <is>
          <t>Increase in customer deposits</t>
        </is>
      </c>
      <c r="B21" s="6" t="n"/>
      <c r="C21" s="6" t="n"/>
      <c r="D21" s="6" t="n"/>
      <c r="E21" s="6" t="n">
        <v>1847</v>
      </c>
      <c r="F21" s="6" t="n">
        <v>6829</v>
      </c>
    </row>
    <row r="22">
      <c r="A22" s="6" t="inlineStr">
        <is>
          <t>Increase in amounts due to holding companies and fellow subsidiaries</t>
        </is>
      </c>
      <c r="B22" s="6" t="n"/>
      <c r="C22" s="6" t="n"/>
      <c r="D22" s="6" t="n"/>
      <c r="E22" s="6" t="n">
        <v>2680</v>
      </c>
      <c r="F22" s="6" t="n">
        <v>1360</v>
      </c>
    </row>
    <row r="23">
      <c r="A23" s="6" t="inlineStr">
        <is>
          <t>Increase/(decrease) in derivative liabilities</t>
        </is>
      </c>
      <c r="B23" s="6" t="n"/>
      <c r="C23" s="6" t="n"/>
      <c r="D23" s="6" t="n"/>
      <c r="E23" s="6" t="n">
        <v>22</v>
      </c>
      <c r="F23" s="6" t="n">
        <v>-16</v>
      </c>
    </row>
    <row r="24">
      <c r="A24" s="6" t="inlineStr">
        <is>
          <t>Increase in other liabilities</t>
        </is>
      </c>
      <c r="B24" s="6" t="n"/>
      <c r="C24" s="6" t="n"/>
      <c r="D24" s="6" t="n"/>
      <c r="E24" s="6" t="n">
        <v>1</v>
      </c>
      <c r="F24" s="6" t="n">
        <v>5</v>
      </c>
    </row>
    <row r="25">
      <c r="A25" s="5" t="inlineStr">
        <is>
          <t>Changes in operating assets and liabilities</t>
        </is>
      </c>
      <c r="B25" s="5" t="n">
        <v>-1841</v>
      </c>
      <c r="C25" s="5" t="n">
        <v>7767</v>
      </c>
      <c r="D25" s="5" t="n">
        <v>2095</v>
      </c>
      <c r="E25" s="5" t="n">
        <v>5821</v>
      </c>
      <c r="F25" s="5" t="n">
        <v>16302</v>
      </c>
    </row>
    <row r="26">
      <c r="A26" s="6" t="inlineStr">
        <is>
          <t>Income taxes paid</t>
        </is>
      </c>
      <c r="B26" s="6" t="n">
        <v>-89</v>
      </c>
      <c r="C26" s="6" t="n">
        <v>-55</v>
      </c>
      <c r="D26" s="6" t="n">
        <v>-192</v>
      </c>
      <c r="E26" s="6" t="n">
        <v>0</v>
      </c>
      <c r="F26" s="6" t="n">
        <v>-71</v>
      </c>
    </row>
    <row r="27">
      <c r="A27" s="5" t="inlineStr">
        <is>
          <t>Net cash flows from operating activities</t>
        </is>
      </c>
      <c r="B27" s="5" t="n">
        <v>-1503</v>
      </c>
      <c r="C27" s="5" t="n">
        <v>8013</v>
      </c>
      <c r="D27" s="5" t="n">
        <v>2345</v>
      </c>
      <c r="E27" s="5" t="n">
        <v>6242</v>
      </c>
      <c r="F27" s="5" t="n">
        <v>16461</v>
      </c>
    </row>
    <row r="28">
      <c r="A28" s="5" t="inlineStr">
        <is>
          <t>Investing activities</t>
        </is>
      </c>
      <c r="B28" s="6" t="n"/>
      <c r="C28" s="6" t="n"/>
      <c r="D28" s="6" t="n"/>
      <c r="E28" s="6" t="n"/>
      <c r="F28" s="6" t="n"/>
    </row>
    <row r="29">
      <c r="A29" s="6" t="inlineStr">
        <is>
          <t>Purchase of property, plant and equipment</t>
        </is>
      </c>
      <c r="B29" s="6" t="n">
        <v>-2</v>
      </c>
      <c r="C29" s="6" t="n">
        <v>-9</v>
      </c>
      <c r="D29" s="6" t="n">
        <v>-2</v>
      </c>
      <c r="E29" s="6" t="n">
        <v>-3</v>
      </c>
      <c r="F29" s="6" t="n">
        <v>-4</v>
      </c>
    </row>
    <row r="30">
      <c r="A30" s="6" t="inlineStr">
        <is>
          <t>Sale of property, plant and equipment</t>
        </is>
      </c>
      <c r="B30" s="6" t="n"/>
      <c r="C30" s="6" t="n"/>
      <c r="D30" s="6" t="n"/>
      <c r="E30" s="6" t="n">
        <v>0</v>
      </c>
      <c r="F30" s="6" t="n">
        <v>3</v>
      </c>
    </row>
    <row r="31">
      <c r="A31" s="6" t="inlineStr">
        <is>
          <t>Cash expenditure on / purchase of intangible assets</t>
        </is>
      </c>
      <c r="B31" s="6" t="n">
        <v>-9</v>
      </c>
      <c r="C31" s="6" t="n">
        <v>-10</v>
      </c>
      <c r="D31" s="6" t="n">
        <v>-22</v>
      </c>
      <c r="E31" s="6" t="n">
        <v>-28</v>
      </c>
      <c r="F31" s="6" t="n">
        <v>-27</v>
      </c>
    </row>
    <row r="32">
      <c r="A32" s="6" t="inlineStr">
        <is>
          <t>Sale of intangible assets</t>
        </is>
      </c>
      <c r="B32" s="6" t="n"/>
      <c r="C32" s="6" t="n"/>
      <c r="D32" s="6" t="n"/>
      <c r="E32" s="6" t="n">
        <v>0</v>
      </c>
      <c r="F32" s="6" t="n">
        <v>1</v>
      </c>
    </row>
    <row r="33">
      <c r="A33" s="6" t="inlineStr">
        <is>
          <t>Purchase of net assets and liabilities</t>
        </is>
      </c>
      <c r="B33" s="6" t="n"/>
      <c r="C33" s="6" t="n"/>
      <c r="D33" s="6" t="n">
        <v>0</v>
      </c>
      <c r="E33" s="6" t="n">
        <v>-270</v>
      </c>
      <c r="F33" s="6" t="n">
        <v>0</v>
      </c>
    </row>
    <row r="34">
      <c r="A34" s="6" t="inlineStr">
        <is>
          <t>Dividends received from subsidiaries</t>
        </is>
      </c>
      <c r="B34" s="6" t="n">
        <v>33</v>
      </c>
      <c r="C34" s="6" t="n">
        <v>28</v>
      </c>
      <c r="D34" s="6" t="n">
        <v>60</v>
      </c>
      <c r="E34" s="6" t="n">
        <v>8</v>
      </c>
      <c r="F34" s="6" t="n">
        <v>15</v>
      </c>
    </row>
    <row r="35">
      <c r="A35" s="5" t="inlineStr">
        <is>
          <t>Net cash flows from investing activities</t>
        </is>
      </c>
      <c r="B35" s="5" t="n">
        <v>22</v>
      </c>
      <c r="C35" s="5" t="n">
        <v>9</v>
      </c>
      <c r="D35" s="5" t="n">
        <v>36</v>
      </c>
      <c r="E35" s="5" t="n">
        <v>-293</v>
      </c>
      <c r="F35" s="5" t="n">
        <v>-12</v>
      </c>
    </row>
    <row r="36">
      <c r="A36" s="5" t="inlineStr">
        <is>
          <t>Financing activities</t>
        </is>
      </c>
      <c r="B36" s="6" t="n"/>
      <c r="C36" s="6" t="n"/>
      <c r="D36" s="6" t="n"/>
      <c r="E36" s="6" t="n"/>
      <c r="F36" s="6" t="n"/>
    </row>
    <row r="37">
      <c r="A37" s="6" t="inlineStr">
        <is>
          <t>Issue of debt securities in issue</t>
        </is>
      </c>
      <c r="B37" s="6" t="n">
        <v>0</v>
      </c>
      <c r="C37" s="6" t="n">
        <v>260</v>
      </c>
      <c r="D37" s="6" t="n">
        <v>0</v>
      </c>
      <c r="E37" s="6" t="n">
        <v>50</v>
      </c>
      <c r="F37" s="6" t="n">
        <v>252</v>
      </c>
    </row>
    <row r="38">
      <c r="A38" s="6" t="inlineStr">
        <is>
          <t>Redemption of debt securities in issue</t>
        </is>
      </c>
      <c r="B38" s="6" t="n">
        <v>0</v>
      </c>
      <c r="C38" s="6" t="n">
        <v>-260</v>
      </c>
      <c r="D38" s="6" t="n">
        <v>-50</v>
      </c>
      <c r="E38" s="6" t="n">
        <v>0</v>
      </c>
      <c r="F38" s="6" t="n">
        <v>0</v>
      </c>
    </row>
    <row r="39">
      <c r="A39" s="6" t="inlineStr">
        <is>
          <t>Issue of paid-in equity</t>
        </is>
      </c>
      <c r="B39" s="6" t="n"/>
      <c r="C39" s="6" t="n"/>
      <c r="D39" s="6" t="n">
        <v>0</v>
      </c>
      <c r="E39" s="6" t="n">
        <v>240</v>
      </c>
      <c r="F39" s="6" t="n">
        <v>0</v>
      </c>
    </row>
    <row r="40">
      <c r="A40" s="6" t="inlineStr">
        <is>
          <t>Redemption of paid-in equity</t>
        </is>
      </c>
      <c r="B40" s="6" t="n"/>
      <c r="C40" s="6" t="n"/>
      <c r="D40" s="6" t="n">
        <v>-35</v>
      </c>
      <c r="E40" s="6" t="n">
        <v>-167</v>
      </c>
      <c r="F40" s="6" t="n">
        <v>0</v>
      </c>
    </row>
    <row r="41">
      <c r="A41" s="6" t="inlineStr">
        <is>
          <t>Issue of subordinated liabilities</t>
        </is>
      </c>
      <c r="B41" s="6" t="n"/>
      <c r="C41" s="6" t="n"/>
      <c r="D41" s="6" t="n">
        <v>300</v>
      </c>
      <c r="E41" s="6" t="n">
        <v>0</v>
      </c>
      <c r="F41" s="6" t="n"/>
    </row>
    <row r="42">
      <c r="A42" s="6" t="inlineStr">
        <is>
          <t>Redemption of subordinated liabilities</t>
        </is>
      </c>
      <c r="B42" s="6" t="n"/>
      <c r="C42" s="6" t="n"/>
      <c r="D42" s="6" t="n">
        <v>-266</v>
      </c>
      <c r="E42" s="6" t="n">
        <v>0</v>
      </c>
      <c r="F42" s="6" t="n"/>
    </row>
    <row r="43">
      <c r="A43" s="6" t="inlineStr">
        <is>
          <t>Interest paid on subordinated liabilities and debt securities in issue</t>
        </is>
      </c>
      <c r="B43" s="6" t="n">
        <v>-45</v>
      </c>
      <c r="C43" s="6" t="n">
        <v>-44</v>
      </c>
      <c r="D43" s="6" t="n">
        <v>-55</v>
      </c>
      <c r="E43" s="6" t="n">
        <v>-21</v>
      </c>
      <c r="F43" s="6" t="n">
        <v>-12</v>
      </c>
    </row>
    <row r="44">
      <c r="A44" s="6" t="inlineStr">
        <is>
          <t>Paid-in equity dividends paid</t>
        </is>
      </c>
      <c r="B44" s="6" t="n">
        <v>-26</v>
      </c>
      <c r="C44" s="6" t="n">
        <v>-28</v>
      </c>
      <c r="D44" s="6" t="n">
        <v>-31</v>
      </c>
      <c r="E44" s="6" t="n">
        <v>-16</v>
      </c>
      <c r="F44" s="6" t="n">
        <v>-12</v>
      </c>
    </row>
    <row r="45">
      <c r="A45" s="6" t="inlineStr">
        <is>
          <t>Dividends paid</t>
        </is>
      </c>
      <c r="B45" s="6" t="n">
        <v>-187</v>
      </c>
      <c r="C45" s="6" t="n">
        <v>-289</v>
      </c>
      <c r="D45" s="6" t="n">
        <v>-210</v>
      </c>
      <c r="E45" s="6" t="n">
        <v>-225</v>
      </c>
      <c r="F45" s="6" t="n">
        <v>-105</v>
      </c>
    </row>
    <row r="46">
      <c r="A46" s="5" t="inlineStr">
        <is>
          <t>Net cash flows from financing activities</t>
        </is>
      </c>
      <c r="B46" s="5" t="n">
        <v>-258</v>
      </c>
      <c r="C46" s="5" t="n">
        <v>-361</v>
      </c>
      <c r="D46" s="5" t="n">
        <v>-347</v>
      </c>
      <c r="E46" s="5" t="n">
        <v>-139</v>
      </c>
      <c r="F46" s="5" t="n">
        <v>123</v>
      </c>
    </row>
    <row r="47">
      <c r="A47" s="6" t="inlineStr">
        <is>
          <t>Effects of exchange rate changes on cash and cash equivalents</t>
        </is>
      </c>
      <c r="B47" s="6" t="n">
        <v>-1</v>
      </c>
      <c r="C47" s="6" t="n">
        <v>0</v>
      </c>
      <c r="D47" s="6" t="n">
        <v>-1</v>
      </c>
      <c r="E47" s="6" t="n">
        <v>24</v>
      </c>
      <c r="F47" s="6" t="n">
        <v>-38</v>
      </c>
    </row>
    <row r="48">
      <c r="A48" s="5" t="inlineStr">
        <is>
          <t>Net (decrease)/increase in cash and cash equivalents</t>
        </is>
      </c>
      <c r="B48" s="5" t="n">
        <v>-1740</v>
      </c>
      <c r="C48" s="5" t="n">
        <v>7661</v>
      </c>
      <c r="D48" s="5" t="n">
        <v>2033</v>
      </c>
      <c r="E48" s="5" t="n">
        <v>5834</v>
      </c>
      <c r="F48" s="5" t="n">
        <v>16534</v>
      </c>
    </row>
    <row r="49">
      <c r="A49" s="6" t="inlineStr">
        <is>
          <t>Cash and cash equivalents at 1 January</t>
        </is>
      </c>
      <c r="B49" s="6" t="n">
        <v>44222</v>
      </c>
      <c r="C49" s="6" t="n">
        <v>36561</v>
      </c>
      <c r="D49" s="6" t="n">
        <v>34528</v>
      </c>
      <c r="E49" s="6" t="n">
        <v>28694</v>
      </c>
      <c r="F49" s="6" t="n">
        <v>12160</v>
      </c>
    </row>
    <row r="50">
      <c r="A50" s="5" t="inlineStr">
        <is>
          <t>Cash and cash equivalents at 31 December</t>
        </is>
      </c>
      <c r="B50" s="5" t="n">
        <v>42482</v>
      </c>
      <c r="C50" s="5" t="n">
        <v>44222</v>
      </c>
      <c r="D50" s="5" t="n">
        <v>36561</v>
      </c>
      <c r="E50" s="5" t="n">
        <v>34528</v>
      </c>
      <c r="F50" s="5" t="n">
        <v>28694</v>
      </c>
    </row>
    <row r="52" ht="280" customHeight="1">
      <c r="A52" s="8" t="inlineStr">
        <is>
          <t>Sources - Coutts &amp; Company's own Cash Flow Statement, from its audited Companies House filings:
FY2025/FY2024: Annual Report and Accounts 2025, p.56 - https://find-and-update.company-information.service.gov.uk/company/00036695/filing-history/MzUyMTA2MDcwMGFkaXF6a2N4/document?format=pdf&amp;download=0
FY2023/FY2022 (summary presentation): Annual Report and Accounts 2023, p.53 - https://find-and-update.company-information.service.gov.uk/company/00036695/filing-history/MzQyMDgzOTQ5OWFkaXF6a2N4/document?format=pdf&amp;download=0
FY2022/FY2021 (detailed presentation, used for the itemized operating-activities breakdown and as the source for FY2021): Annual Report and Accounts 2022, p.56 - https://find-and-update.company-information.service.gov.uk/company/00036695/filing-history/MzM4NTMwNzEyMGFkaXF6a2N4/document?format=pdf&amp;download=0
FY2021/FY2022 use a more detailed operating-activities presentation (a 'Net cash flows from trading activities' subtotal, then an itemized 'Changes in operating assets and liabilities' breakdown) than FY2023-FY2025's simpler 3-line 'Adjustments for' presentation - both feed the same-labelled 'Changes in operating assets and liabilities' total line; FY2023-FY2025 state it as a single figure with no breakdown. Full opening-to-closing cash chain reconciles exactly across all 5 years, cross-checked against each year's appearance as the following year's comparative in every case.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52:F5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Asset Quality</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 amortised cost and FVOCI, by IFRS 9 stage</t>
        </is>
      </c>
      <c r="B4" s="6" t="n"/>
      <c r="C4" s="6" t="n"/>
      <c r="D4" s="6" t="n"/>
      <c r="E4" s="6" t="n"/>
      <c r="F4" s="6" t="n"/>
    </row>
    <row r="5">
      <c r="A5" s="6" t="inlineStr">
        <is>
          <t>Stage 1</t>
        </is>
      </c>
      <c r="B5" s="6" t="n">
        <v>17334</v>
      </c>
      <c r="C5" s="6" t="n">
        <v>16998</v>
      </c>
      <c r="D5" s="6" t="n">
        <v>17400</v>
      </c>
      <c r="E5" s="6" t="n">
        <v>18112</v>
      </c>
      <c r="F5" s="6" t="n">
        <v>16648</v>
      </c>
    </row>
    <row r="6">
      <c r="A6" s="6" t="inlineStr">
        <is>
          <t>Stage 2</t>
        </is>
      </c>
      <c r="B6" s="6" t="n">
        <v>1110</v>
      </c>
      <c r="C6" s="6" t="n">
        <v>840</v>
      </c>
      <c r="D6" s="6" t="n">
        <v>906</v>
      </c>
      <c r="E6" s="6" t="n">
        <v>795</v>
      </c>
      <c r="F6" s="6" t="n">
        <v>936</v>
      </c>
    </row>
    <row r="7">
      <c r="A7" s="6" t="inlineStr">
        <is>
          <t>Stage 3</t>
        </is>
      </c>
      <c r="B7" s="6" t="n">
        <v>338</v>
      </c>
      <c r="C7" s="6" t="n">
        <v>317</v>
      </c>
      <c r="D7" s="6" t="n">
        <v>247</v>
      </c>
      <c r="E7" s="6" t="n">
        <v>230</v>
      </c>
      <c r="F7" s="6" t="n">
        <v>250</v>
      </c>
    </row>
    <row r="8">
      <c r="A8" s="6" t="inlineStr">
        <is>
          <t>Inter-Group (classified Stage 1)</t>
        </is>
      </c>
      <c r="B8" s="6" t="n">
        <v>42464</v>
      </c>
      <c r="C8" s="6" t="n">
        <v>44301</v>
      </c>
      <c r="D8" s="6" t="n">
        <v>36633</v>
      </c>
      <c r="E8" s="6" t="n">
        <v>34681</v>
      </c>
      <c r="F8" s="6" t="n">
        <v>28678</v>
      </c>
    </row>
    <row r="9">
      <c r="A9" s="5" t="inlineStr">
        <is>
          <t>Total gross loans (amortised cost and FVOCI)</t>
        </is>
      </c>
      <c r="B9" s="5" t="n">
        <v>61246</v>
      </c>
      <c r="C9" s="5" t="n">
        <v>62456</v>
      </c>
      <c r="D9" s="5" t="n">
        <v>55186</v>
      </c>
      <c r="E9" s="5" t="n">
        <v>53818</v>
      </c>
      <c r="F9" s="5" t="n">
        <v>46512</v>
      </c>
    </row>
    <row r="10">
      <c r="A10" s="5" t="inlineStr">
        <is>
          <t>ECL provisions, by IFRS 9 stage</t>
        </is>
      </c>
      <c r="B10" s="6" t="n"/>
      <c r="C10" s="6" t="n"/>
      <c r="D10" s="6" t="n"/>
      <c r="E10" s="6" t="n"/>
      <c r="F10" s="6" t="n"/>
    </row>
    <row r="11">
      <c r="A11" s="6" t="inlineStr">
        <is>
          <t>Stage 1</t>
        </is>
      </c>
      <c r="B11" s="6" t="n">
        <v>13</v>
      </c>
      <c r="C11" s="6" t="n">
        <v>16</v>
      </c>
      <c r="D11" s="6" t="n">
        <v>20</v>
      </c>
      <c r="E11" s="6" t="n">
        <v>22</v>
      </c>
      <c r="F11" s="6" t="n">
        <v>11</v>
      </c>
    </row>
    <row r="12">
      <c r="A12" s="6" t="inlineStr">
        <is>
          <t>Stage 2</t>
        </is>
      </c>
      <c r="B12" s="6" t="n">
        <v>13</v>
      </c>
      <c r="C12" s="6" t="n">
        <v>10</v>
      </c>
      <c r="D12" s="6" t="n">
        <v>20</v>
      </c>
      <c r="E12" s="6" t="n">
        <v>14</v>
      </c>
      <c r="F12" s="6" t="n">
        <v>27</v>
      </c>
    </row>
    <row r="13">
      <c r="A13" s="6" t="inlineStr">
        <is>
          <t>Stage 3</t>
        </is>
      </c>
      <c r="B13" s="6" t="n">
        <v>50</v>
      </c>
      <c r="C13" s="6" t="n">
        <v>37</v>
      </c>
      <c r="D13" s="6" t="n">
        <v>32</v>
      </c>
      <c r="E13" s="6" t="n">
        <v>23</v>
      </c>
      <c r="F13" s="6" t="n">
        <v>35</v>
      </c>
    </row>
    <row r="14">
      <c r="A14" s="6" t="inlineStr">
        <is>
          <t>Inter-Group</t>
        </is>
      </c>
      <c r="B14" s="6" t="n">
        <v>14</v>
      </c>
      <c r="C14" s="6" t="n">
        <v>19</v>
      </c>
      <c r="D14" s="6" t="n">
        <v>27</v>
      </c>
      <c r="E14" s="6" t="n">
        <v>38</v>
      </c>
      <c r="F14" s="6" t="n">
        <v>5</v>
      </c>
    </row>
    <row r="15">
      <c r="A15" s="5" t="inlineStr">
        <is>
          <t>Total ECL provisions</t>
        </is>
      </c>
      <c r="B15" s="5" t="n">
        <v>90</v>
      </c>
      <c r="C15" s="5" t="n">
        <v>82</v>
      </c>
      <c r="D15" s="5" t="n">
        <v>99</v>
      </c>
      <c r="E15" s="5" t="n">
        <v>97</v>
      </c>
      <c r="F15" s="5" t="n">
        <v>78</v>
      </c>
    </row>
    <row r="16">
      <c r="A16" s="5" t="inlineStr">
        <is>
          <t>ECL provisions coverage</t>
        </is>
      </c>
      <c r="B16" s="6" t="n"/>
      <c r="C16" s="6" t="n"/>
      <c r="D16" s="6" t="n"/>
      <c r="E16" s="6" t="n"/>
      <c r="F16" s="6" t="n"/>
    </row>
    <row r="17">
      <c r="A17" s="6" t="inlineStr">
        <is>
          <t>Stage 1 (%)</t>
        </is>
      </c>
      <c r="B17" s="6" t="inlineStr">
        <is>
          <t>0.07%</t>
        </is>
      </c>
      <c r="C17" s="6" t="inlineStr">
        <is>
          <t>0.09%</t>
        </is>
      </c>
      <c r="D17" s="6" t="inlineStr">
        <is>
          <t>0.11%</t>
        </is>
      </c>
      <c r="E17" s="6" t="inlineStr">
        <is>
          <t>0.12%</t>
        </is>
      </c>
      <c r="F17" s="6" t="inlineStr">
        <is>
          <t>0.07%</t>
        </is>
      </c>
    </row>
    <row r="18">
      <c r="A18" s="6" t="inlineStr">
        <is>
          <t>Stage 2 (%)</t>
        </is>
      </c>
      <c r="B18" s="6" t="inlineStr">
        <is>
          <t>1.17%</t>
        </is>
      </c>
      <c r="C18" s="6" t="inlineStr">
        <is>
          <t>1.19%</t>
        </is>
      </c>
      <c r="D18" s="6" t="inlineStr">
        <is>
          <t>2.21%</t>
        </is>
      </c>
      <c r="E18" s="6" t="inlineStr">
        <is>
          <t>1.76%</t>
        </is>
      </c>
      <c r="F18" s="6" t="inlineStr">
        <is>
          <t>2.88%</t>
        </is>
      </c>
    </row>
    <row r="19">
      <c r="A19" s="6" t="inlineStr">
        <is>
          <t>Stage 3 (%)</t>
        </is>
      </c>
      <c r="B19" s="6" t="inlineStr">
        <is>
          <t>14.79%</t>
        </is>
      </c>
      <c r="C19" s="6" t="inlineStr">
        <is>
          <t>11.67%</t>
        </is>
      </c>
      <c r="D19" s="6" t="inlineStr">
        <is>
          <t>12.96%</t>
        </is>
      </c>
      <c r="E19" s="6" t="inlineStr">
        <is>
          <t>10.00%</t>
        </is>
      </c>
      <c r="F19" s="6" t="inlineStr">
        <is>
          <t>14.00%</t>
        </is>
      </c>
    </row>
    <row r="20">
      <c r="A20" s="6" t="inlineStr">
        <is>
          <t>Inter-Group (%)</t>
        </is>
      </c>
      <c r="B20" s="6" t="inlineStr">
        <is>
          <t>0.03%</t>
        </is>
      </c>
      <c r="C20" s="6" t="inlineStr">
        <is>
          <t>0.04%</t>
        </is>
      </c>
      <c r="D20" s="6" t="inlineStr">
        <is>
          <t>0.07%</t>
        </is>
      </c>
      <c r="E20" s="6" t="inlineStr">
        <is>
          <t>0.11%</t>
        </is>
      </c>
      <c r="F20" s="6" t="inlineStr">
        <is>
          <t>0.02%</t>
        </is>
      </c>
    </row>
    <row r="21">
      <c r="A21" s="6" t="inlineStr">
        <is>
          <t>Overall coverage (%)</t>
        </is>
      </c>
      <c r="B21" s="6" t="inlineStr">
        <is>
          <t>0.40%</t>
        </is>
      </c>
      <c r="C21" s="6" t="inlineStr">
        <is>
          <t>0.35%</t>
        </is>
      </c>
      <c r="D21" s="6" t="inlineStr">
        <is>
          <t>0.39%</t>
        </is>
      </c>
      <c r="E21" s="6" t="inlineStr">
        <is>
          <t>0.31%</t>
        </is>
      </c>
      <c r="F21" s="6" t="inlineStr">
        <is>
          <t>0.41%</t>
        </is>
      </c>
    </row>
    <row r="22">
      <c r="A22" s="5" t="inlineStr">
        <is>
          <t>ECL charge/(release) for the year, by IFRS 9 stage</t>
        </is>
      </c>
      <c r="B22" s="6" t="n"/>
      <c r="C22" s="6" t="n"/>
      <c r="D22" s="6" t="n"/>
      <c r="E22" s="6" t="n"/>
      <c r="F22" s="6" t="n"/>
    </row>
    <row r="23">
      <c r="A23" s="6" t="inlineStr">
        <is>
          <t>Stage 1</t>
        </is>
      </c>
      <c r="B23" s="6" t="n">
        <v>-9</v>
      </c>
      <c r="C23" s="6" t="n">
        <v>-11</v>
      </c>
      <c r="D23" s="6" t="n">
        <v>-9</v>
      </c>
      <c r="E23" s="6" t="n">
        <v>2</v>
      </c>
      <c r="F23" s="6" t="n">
        <v>-44</v>
      </c>
    </row>
    <row r="24">
      <c r="A24" s="6" t="inlineStr">
        <is>
          <t>Stage 2</t>
        </is>
      </c>
      <c r="B24" s="6" t="n">
        <v>9</v>
      </c>
      <c r="C24" s="6" t="n">
        <v>-1</v>
      </c>
      <c r="D24" s="6" t="n">
        <v>16</v>
      </c>
      <c r="E24" s="6" t="n">
        <v>-8</v>
      </c>
      <c r="F24" s="6" t="n">
        <v>-15</v>
      </c>
    </row>
    <row r="25">
      <c r="A25" s="6" t="inlineStr">
        <is>
          <t>Stage 3</t>
        </is>
      </c>
      <c r="B25" s="6" t="n">
        <v>10</v>
      </c>
      <c r="C25" s="6" t="n">
        <v>1</v>
      </c>
      <c r="D25" s="6" t="n">
        <v>7</v>
      </c>
      <c r="E25" s="6" t="n">
        <v>3</v>
      </c>
      <c r="F25" s="6" t="n">
        <v>7</v>
      </c>
    </row>
    <row r="26">
      <c r="A26" s="6" t="inlineStr">
        <is>
          <t>Inter-Group</t>
        </is>
      </c>
      <c r="B26" s="6" t="n">
        <v>-5</v>
      </c>
      <c r="C26" s="6" t="n">
        <v>-8</v>
      </c>
      <c r="D26" s="6" t="n">
        <v>-11</v>
      </c>
      <c r="E26" s="6" t="n">
        <v>34</v>
      </c>
      <c r="F26" s="6" t="n">
        <v>-5</v>
      </c>
    </row>
    <row r="27">
      <c r="A27" s="5" t="inlineStr">
        <is>
          <t>Total ECL charge/(release) for the year</t>
        </is>
      </c>
      <c r="B27" s="5" t="n">
        <v>5</v>
      </c>
      <c r="C27" s="5" t="n">
        <v>-19</v>
      </c>
      <c r="D27" s="5" t="n">
        <v>3</v>
      </c>
      <c r="E27" s="5" t="n">
        <v>31</v>
      </c>
      <c r="F27" s="5" t="n">
        <v>-57</v>
      </c>
    </row>
    <row r="28">
      <c r="A28" s="6" t="inlineStr">
        <is>
          <t>Amounts written off</t>
        </is>
      </c>
      <c r="B28" s="6" t="n">
        <v>1</v>
      </c>
      <c r="C28" s="6" t="n">
        <v>1</v>
      </c>
      <c r="D28" s="6" t="n">
        <v>2</v>
      </c>
      <c r="E28" s="6" t="n">
        <v>15</v>
      </c>
      <c r="F28" s="6" t="n">
        <v>6</v>
      </c>
    </row>
    <row r="29">
      <c r="A29" s="5" t="inlineStr">
        <is>
          <t>Derived ratio</t>
        </is>
      </c>
      <c r="B29" s="6" t="n"/>
      <c r="C29" s="6" t="n"/>
      <c r="D29" s="6" t="n"/>
      <c r="E29" s="6" t="n"/>
      <c r="F29" s="6" t="n"/>
    </row>
    <row r="30">
      <c r="A30" s="6" t="inlineStr">
        <is>
          <t>Stage 3 / gross third-party loans (excl. Inter-Group)</t>
        </is>
      </c>
      <c r="B30" s="6" t="inlineStr">
        <is>
          <t>1.80%</t>
        </is>
      </c>
      <c r="C30" s="6" t="inlineStr">
        <is>
          <t>1.75%</t>
        </is>
      </c>
      <c r="D30" s="6" t="inlineStr">
        <is>
          <t>1.33%</t>
        </is>
      </c>
      <c r="E30" s="6" t="inlineStr">
        <is>
          <t>1.20%</t>
        </is>
      </c>
      <c r="F30" s="6" t="inlineStr">
        <is>
          <t>1.40%</t>
        </is>
      </c>
    </row>
    <row r="32" ht="220" customHeight="1">
      <c r="A32" s="8" t="inlineStr">
        <is>
          <t>Sources - Coutts &amp; Company's own Note 8 'Loan impairment provisions', Companies House filings:
FY2025/FY2024: Annual Report and Accounts 2025, p.69 - https://find-and-update.company-information.service.gov.uk/company/00036695/filing-history/MzUyMTA2MDcwMGFkaXF6a2N4/document?format=pdf&amp;download=0
FY2023/FY2022: Annual Report and Accounts 2023, p.65 - https://find-and-update.company-information.service.gov.uk/company/00036695/filing-history/MzQyMDgzOTQ5OWFkaXF6a2N4/document?format=pdf&amp;download=0
FY2022/FY2021 (used for the FY2021 column): Annual Report and Accounts 2022, p.68 - https://find-and-update.company-information.service.gov.uk/company/00036695/filing-history/MzM4NTMwNzEyMGFkaXF6a2N4/document?format=pdf&amp;download=0
'Inter-Group' is loans/placements with holding companies and fellow subsidiaries (dominant on this entity's balance sheet - see Amount due from holding companies and fellow subsidiaries on the Balance Sheet) - classified Stage 1 by the Bank's own convention and shown as its own row here, not blended into the third-party Stage 1/2/3 split. FY2022's own comparative figures (as republished in the FY2023 report) match FY2022's own originally-published figures exactly - no restatement found. The derived 'Stage 3 / gross third-party loans' ratio below excludes Inter-Group from the denominator, since inter-group placements carry negligible credit risk and would otherwise dilute the third-party asset-quality signal.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32:F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1248</v>
      </c>
      <c r="C4" s="6" t="n">
        <v>1192</v>
      </c>
      <c r="D4" s="6" t="n">
        <v>1199</v>
      </c>
      <c r="E4" s="6" t="n">
        <v>1260</v>
      </c>
      <c r="F4" s="6" t="n">
        <v>1235</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11.4%</t>
        </is>
      </c>
      <c r="C4" s="6" t="inlineStr">
        <is>
          <t>11.3%</t>
        </is>
      </c>
      <c r="D4" s="6" t="inlineStr">
        <is>
          <t>11.3%</t>
        </is>
      </c>
      <c r="E4" s="6" t="inlineStr">
        <is>
          <t>11.8%</t>
        </is>
      </c>
      <c r="F4" s="6" t="inlineStr">
        <is>
          <t>11.9%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1488</v>
      </c>
      <c r="C4" s="6" t="n">
        <v>1432</v>
      </c>
      <c r="D4" s="6" t="n">
        <v>1439</v>
      </c>
      <c r="E4" s="6" t="n">
        <v>1535</v>
      </c>
      <c r="F4" s="6" t="n">
        <v>1437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13.5%</t>
        </is>
      </c>
      <c r="C4" s="6" t="inlineStr">
        <is>
          <t>13.6%</t>
        </is>
      </c>
      <c r="D4" s="6" t="inlineStr">
        <is>
          <t>13.6%</t>
        </is>
      </c>
      <c r="E4" s="6" t="inlineStr">
        <is>
          <t>14.3%</t>
        </is>
      </c>
      <c r="F4" s="6" t="inlineStr">
        <is>
          <t>13.9%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1788</v>
      </c>
      <c r="C4" s="6" t="n">
        <v>1732</v>
      </c>
      <c r="D4" s="6" t="n">
        <v>1739</v>
      </c>
      <c r="E4" s="6" t="n">
        <v>1790</v>
      </c>
      <c r="F4" s="6" t="n">
        <v>1703</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16.3%</t>
        </is>
      </c>
      <c r="C4" s="6" t="inlineStr">
        <is>
          <t>16.4%</t>
        </is>
      </c>
      <c r="D4" s="6" t="inlineStr">
        <is>
          <t>16.4%</t>
        </is>
      </c>
      <c r="E4" s="6" t="inlineStr">
        <is>
          <t>16.7%</t>
        </is>
      </c>
      <c r="F4" s="6" t="inlineStr">
        <is>
          <t>16.4%</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10982</v>
      </c>
      <c r="C4" s="6" t="n">
        <v>10564</v>
      </c>
      <c r="D4" s="6" t="n">
        <v>10591</v>
      </c>
      <c r="E4" s="6" t="n">
        <v>10722</v>
      </c>
      <c r="F4" s="6" t="n">
        <v>10367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Coutts &amp; Company — RWA Breakdown</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t>
        </is>
      </c>
      <c r="B4" s="6" t="n"/>
      <c r="C4" s="6" t="n"/>
      <c r="D4" s="6" t="n"/>
      <c r="E4" s="6" t="n"/>
      <c r="F4" s="6" t="n"/>
    </row>
    <row r="5">
      <c r="A5" s="6" t="inlineStr">
        <is>
          <t>Credit risk</t>
        </is>
      </c>
      <c r="B5" s="6" t="n">
        <v>9416</v>
      </c>
      <c r="C5" s="6" t="n">
        <v>9231</v>
      </c>
      <c r="D5" s="6" t="n">
        <v>9420</v>
      </c>
      <c r="E5" s="6" t="n">
        <v>9664</v>
      </c>
      <c r="F5" s="6" t="n">
        <v>9284</v>
      </c>
    </row>
    <row r="6">
      <c r="A6" s="6" t="inlineStr">
        <is>
          <t>Counterparty credit risk</t>
        </is>
      </c>
      <c r="B6" s="6" t="n">
        <v>1</v>
      </c>
      <c r="C6" s="6" t="n">
        <v>1</v>
      </c>
      <c r="D6" s="6" t="n">
        <v>1</v>
      </c>
      <c r="E6" s="6" t="n">
        <v>6</v>
      </c>
      <c r="F6" s="6" t="n">
        <v>5</v>
      </c>
    </row>
    <row r="7">
      <c r="A7" s="6" t="inlineStr">
        <is>
          <t>Market risk</t>
        </is>
      </c>
      <c r="B7" s="6" t="n">
        <v>20</v>
      </c>
      <c r="C7" s="6" t="n">
        <v>24</v>
      </c>
      <c r="D7" s="6" t="n">
        <v>2</v>
      </c>
      <c r="E7" s="6" t="n">
        <v>9</v>
      </c>
      <c r="F7" s="6" t="n">
        <v>4</v>
      </c>
    </row>
    <row r="8">
      <c r="A8" s="6" t="inlineStr">
        <is>
          <t>Operational risk</t>
        </is>
      </c>
      <c r="B8" s="6" t="n">
        <v>1545</v>
      </c>
      <c r="C8" s="6" t="n">
        <v>1308</v>
      </c>
      <c r="D8" s="6" t="n">
        <v>1168</v>
      </c>
      <c r="E8" s="6" t="n">
        <v>1043</v>
      </c>
      <c r="F8" s="6" t="n">
        <v>1074</v>
      </c>
    </row>
    <row r="9">
      <c r="A9" s="5" t="inlineStr">
        <is>
          <t>Total RWAs</t>
        </is>
      </c>
      <c r="B9" s="5" t="n">
        <v>10982</v>
      </c>
      <c r="C9" s="5" t="n">
        <v>10564</v>
      </c>
      <c r="D9" s="5" t="n">
        <v>10591</v>
      </c>
      <c r="E9" s="5" t="n">
        <v>10722</v>
      </c>
      <c r="F9" s="5" t="n">
        <v>10367</v>
      </c>
    </row>
    <row r="11" ht="200" customHeight="1">
      <c r="A11" s="8" t="inlineStr">
        <is>
          <t>Sources - Coutts &amp; Company's own 'Risk and capital management' section (Capital, RWAs and leverage table), Companies House filings:
FY2025/FY2024: Annual Report and Accounts 2025, p.30 - https://find-and-update.company-information.service.gov.uk/company/00036695/filing-history/MzUyMTA2MDcwMGFkaXF6a2N4/document?format=pdf&amp;download=0
FY2023/FY2022: Annual Report and Accounts 2023, p.30 - https://find-and-update.company-information.service.gov.uk/company/00036695/filing-history/MzQyMDgzOTQ5OWFkaXF6a2N4/document?format=pdf&amp;download=0
FY2022/FY2021 (used for the FY2021 column): Annual Report and Accounts 2022, p.34 - https://find-and-update.company-information.service.gov.uk/company/00036695/filing-history/MzM4NTMwNzEyMGFkaXF6a2N4/document?format=pdf&amp;download=0
Every year's Total RWAs figure here ties exactly to the existing Total RWAs sheet; FY2022's own comparative figures (as republished in the FY2023 report) match FY2022's own originally-published figures exactly - no restatement found.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t>
        </is>
      </c>
      <c r="B4" s="6" t="inlineStr">
        <is>
          <t>7.6%</t>
        </is>
      </c>
      <c r="C4" s="6" t="inlineStr">
        <is>
          <t>7.5%</t>
        </is>
      </c>
      <c r="D4" s="6" t="inlineStr">
        <is>
          <t>7.4%</t>
        </is>
      </c>
      <c r="E4" s="6" t="inlineStr">
        <is>
          <t>7.7%</t>
        </is>
      </c>
      <c r="F4" s="6" t="n"/>
    </row>
    <row r="5" ht="60" customHeight="1">
      <c r="A5" s="7" t="inlineStr">
        <is>
          <t>Note: FY2021 not disclosed - the FY2022 Annual Report (the only source for FY2021) does not include a leverage ratio table at all; the leverage-ratio disclosure only begins from the FY2023 report onward (shown there with a FY2022 comparative, used for the FY2022 column here).</t>
        </is>
      </c>
    </row>
    <row r="7" ht="17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MREL is defined in the Annual Report's own glossary of capital concepts, but no MREL ratio for Coutts specifically is ever stated.</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2026-09-02T21:27:02Z</dcterms:created>
  <dcterms:modified xmlns:dcterms="http://purl.org/dc/terms/" xmlns:xsi="http://www.w3.org/2001/XMLSchema-instance" xsi:type="dcterms:W3CDTF">2026-09-02T21:27:02Z</dcterms:modified>
</cp:coreProperties>
</file>