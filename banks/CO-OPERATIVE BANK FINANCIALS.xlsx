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n">
        <v>18.7</v>
      </c>
      <c r="C33" s="6" t="n">
        <v>20.6</v>
      </c>
      <c r="D33" s="6" t="n">
        <v>19.7</v>
      </c>
      <c r="E33" s="6" t="n">
        <v>20.5</v>
      </c>
      <c r="F33" s="6" t="n">
        <v>18.7</v>
      </c>
      <c r="G33" s="6" t="n">
        <v>18.8</v>
      </c>
      <c r="H33" s="6" t="n">
        <v>21.8</v>
      </c>
      <c r="I33" s="6" t="n">
        <v>24.4</v>
      </c>
      <c r="J33" s="6" t="n">
        <v>11</v>
      </c>
      <c r="K33" s="6" t="n">
        <v>15.5</v>
      </c>
      <c r="L33" s="6" t="n">
        <v>13</v>
      </c>
    </row>
    <row r="34">
      <c r="A34" s="6" t="inlineStr">
        <is>
          <t>Tier 1 Ratio</t>
        </is>
      </c>
      <c r="B34" s="6" t="n">
        <v>18.7</v>
      </c>
      <c r="C34" s="6" t="n">
        <v>20.6</v>
      </c>
      <c r="D34" s="6" t="n">
        <v>19.7</v>
      </c>
      <c r="E34" s="6" t="n">
        <v>20.5</v>
      </c>
      <c r="F34" s="6" t="n">
        <v>18.7</v>
      </c>
      <c r="G34" s="6" t="n">
        <v>18.8</v>
      </c>
      <c r="H34" s="6" t="n">
        <v>21.8</v>
      </c>
      <c r="I34" s="6" t="n">
        <v>24.4</v>
      </c>
      <c r="J34" s="6" t="n">
        <v>11</v>
      </c>
      <c r="K34" s="6" t="n">
        <v>15.5</v>
      </c>
      <c r="L34" s="6" t="n">
        <v>13</v>
      </c>
    </row>
    <row r="35">
      <c r="A35" s="6" t="inlineStr">
        <is>
          <t>Total Capital Ratio</t>
        </is>
      </c>
      <c r="B35" s="6" t="n">
        <v>22.7</v>
      </c>
      <c r="C35" s="6" t="n">
        <v>25.5</v>
      </c>
      <c r="D35" s="6" t="n">
        <v>23.7</v>
      </c>
      <c r="E35" s="6" t="n">
        <v>25.1</v>
      </c>
      <c r="F35" s="6" t="n">
        <v>23.2</v>
      </c>
      <c r="G35" s="6" t="n">
        <v>23.1</v>
      </c>
      <c r="H35" s="6" t="n">
        <v>21.8</v>
      </c>
      <c r="I35" s="6" t="n">
        <v>24.4</v>
      </c>
      <c r="J35" s="6" t="n">
        <v>17.7</v>
      </c>
      <c r="K35" s="6" t="n">
        <v>21.6</v>
      </c>
      <c r="L35" s="6" t="n">
        <v>15</v>
      </c>
    </row>
    <row r="36">
      <c r="A36" s="6" t="inlineStr">
        <is>
          <t>Leverage Ratio</t>
        </is>
      </c>
      <c r="B36" s="6" t="n">
        <v>4</v>
      </c>
      <c r="C36" s="6" t="n">
        <v>4.2</v>
      </c>
      <c r="D36" s="6" t="n">
        <v>4</v>
      </c>
      <c r="E36" s="6" t="n">
        <v>3.7</v>
      </c>
      <c r="F36" s="6" t="n">
        <v>3.8</v>
      </c>
      <c r="G36" s="6" t="n">
        <v>3.8</v>
      </c>
      <c r="H36" s="6" t="n">
        <v>4.6</v>
      </c>
      <c r="I36" s="6" t="n">
        <v>4.8</v>
      </c>
      <c r="J36" s="6" t="n">
        <v>2.6</v>
      </c>
      <c r="K36" s="6" t="n">
        <v>3.8</v>
      </c>
      <c r="L36" s="6" t="n">
        <v>4.3</v>
      </c>
    </row>
    <row r="37">
      <c r="A37" s="6" t="inlineStr">
        <is>
          <t>LCR</t>
        </is>
      </c>
      <c r="B37" s="6" t="n">
        <v>193.4</v>
      </c>
      <c r="C37" s="6" t="n">
        <v>215.4</v>
      </c>
      <c r="D37" s="6" t="n">
        <v>270.4</v>
      </c>
      <c r="E37" s="6" t="n">
        <v>207.6</v>
      </c>
      <c r="F37" s="6" t="n">
        <v>188.2</v>
      </c>
      <c r="G37" s="6" t="n">
        <v>173.7</v>
      </c>
      <c r="H37" s="6" t="n">
        <v>153.8</v>
      </c>
      <c r="I37" s="6" t="n">
        <v>213</v>
      </c>
      <c r="J37" s="6" t="n">
        <v>213.5</v>
      </c>
      <c r="K37" s="6" t="n"/>
      <c r="L37" s="6" t="n"/>
    </row>
    <row r="38">
      <c r="A38" s="6" t="inlineStr">
        <is>
          <t>NSFR</t>
        </is>
      </c>
      <c r="B38" s="6" t="n">
        <v>133.3</v>
      </c>
      <c r="C38" s="6" t="n">
        <v>132.1</v>
      </c>
      <c r="D38" s="6" t="n"/>
      <c r="E38" s="6" t="n"/>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This Overview intentionally still only covers FY2014-FY2024, matching the Pillar 3 sheets it charts alongside - the Balance Sheet/Profit &amp; Loss/Statement of Changes in Equity/Cash Flow Statement sheets extend further back to FY2003 (HD-078).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c r="M5" s="6" t="n">
        <v>5418.8</v>
      </c>
      <c r="N5" s="6" t="n">
        <v>5433</v>
      </c>
      <c r="O5" s="6" t="n">
        <v>6696.6</v>
      </c>
      <c r="P5" s="6" t="n">
        <v>1735.6</v>
      </c>
      <c r="Q5" s="6" t="n">
        <v>1706.8</v>
      </c>
      <c r="R5" s="6" t="n">
        <v>164.7</v>
      </c>
      <c r="S5" s="6" t="n">
        <v>172.9</v>
      </c>
      <c r="T5" s="6" t="n">
        <v>186.9</v>
      </c>
      <c r="U5" s="6" t="n">
        <v>200.2</v>
      </c>
      <c r="V5" s="6" t="n">
        <v>172.4</v>
      </c>
      <c r="W5" s="6" t="n">
        <v>140.4</v>
      </c>
      <c r="X5" s="6" t="n">
        <v>97.5</v>
      </c>
      <c r="Y5" s="6" t="n">
        <v>113.7</v>
      </c>
      <c r="Z5" s="6" t="n">
        <v>61.7</v>
      </c>
      <c r="AA5" s="6" t="n">
        <v>74.90000000000001</v>
      </c>
      <c r="AB5" s="6" t="n">
        <v>47.7</v>
      </c>
      <c r="AC5" s="6" t="n">
        <v>33.7</v>
      </c>
      <c r="AD5" s="6" t="n">
        <v>35.1</v>
      </c>
      <c r="AE5" s="6" t="n">
        <v>33.1</v>
      </c>
      <c r="AF5" s="6" t="n">
        <v>37.6</v>
      </c>
      <c r="AG5" s="6" t="n">
        <v>31.7</v>
      </c>
      <c r="AH5" s="6" t="n">
        <v>19</v>
      </c>
      <c r="AI5" s="6" t="n">
        <v>18</v>
      </c>
      <c r="AJ5" s="6" t="n">
        <v>12.1</v>
      </c>
      <c r="AK5" s="6" t="n">
        <v>11</v>
      </c>
      <c r="AL5" s="6" t="n">
        <v>10.1</v>
      </c>
      <c r="AM5" s="6" t="n">
        <v>7.8</v>
      </c>
      <c r="AN5" s="6" t="n">
        <v>7.1</v>
      </c>
      <c r="AO5" s="6" t="n">
        <v>8.300000000000001</v>
      </c>
      <c r="AP5" s="6" t="n">
        <v>7.1</v>
      </c>
      <c r="AQ5" s="6" t="n">
        <v>5.5</v>
      </c>
      <c r="AR5" s="6" t="n">
        <v>7.3</v>
      </c>
      <c r="AS5" s="6" t="n">
        <v>5.1</v>
      </c>
      <c r="AT5" s="6" t="n">
        <v>4.515</v>
      </c>
      <c r="AU5" s="6" t="n">
        <v>4.777</v>
      </c>
      <c r="AV5" s="6" t="n">
        <v>4.21</v>
      </c>
      <c r="AW5" s="6" t="n">
        <v>4.171</v>
      </c>
      <c r="AX5" s="6" t="n">
        <v>4.602</v>
      </c>
      <c r="AY5" s="6" t="n">
        <v>4.531</v>
      </c>
      <c r="AZ5" s="6" t="n">
        <v>3.562</v>
      </c>
      <c r="BA5" s="6" t="n">
        <v>3.142</v>
      </c>
      <c r="BB5" s="6" t="n">
        <v>2.106</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c r="M6" s="6" t="n">
        <v>1594.4</v>
      </c>
      <c r="N6" s="6" t="n">
        <v>1047.2</v>
      </c>
      <c r="O6" s="6" t="n">
        <v>1300.1</v>
      </c>
      <c r="P6" s="6" t="n">
        <v>1728.6</v>
      </c>
      <c r="Q6" s="6" t="n">
        <v>1220.1</v>
      </c>
      <c r="R6" s="6" t="n">
        <v>1897.5</v>
      </c>
      <c r="S6" s="6" t="n">
        <v>1211.2</v>
      </c>
      <c r="T6" s="6" t="n">
        <v>1369.4</v>
      </c>
      <c r="U6" s="6" t="n">
        <v>1170.6</v>
      </c>
      <c r="V6" s="6" t="n">
        <v>1073</v>
      </c>
      <c r="W6" s="6" t="n">
        <v>773.2</v>
      </c>
      <c r="X6" s="6" t="n">
        <v>1291</v>
      </c>
      <c r="Y6" s="6" t="n">
        <v>733.2</v>
      </c>
      <c r="Z6" s="6" t="n">
        <v>580.6</v>
      </c>
      <c r="AA6" s="6" t="n">
        <v>493.9</v>
      </c>
      <c r="AB6" s="6" t="n">
        <v>431.3</v>
      </c>
      <c r="AC6" s="6" t="n">
        <v>507.7</v>
      </c>
      <c r="AD6" s="6" t="n">
        <v>615.7</v>
      </c>
      <c r="AE6" s="6" t="n">
        <v>905.7</v>
      </c>
      <c r="AF6" s="6" t="n">
        <v>617.3</v>
      </c>
      <c r="AG6" s="6" t="n">
        <v>946.6</v>
      </c>
      <c r="AH6" s="6" t="n">
        <v>910.9</v>
      </c>
      <c r="AI6" s="6" t="n">
        <v>387.3</v>
      </c>
      <c r="AJ6" s="6" t="n">
        <v>372</v>
      </c>
      <c r="AK6" s="6" t="n">
        <v>433.6</v>
      </c>
      <c r="AL6" s="6" t="n">
        <v>334.8</v>
      </c>
      <c r="AM6" s="6" t="n">
        <v>120.8</v>
      </c>
      <c r="AN6" s="6" t="n">
        <v>242.9</v>
      </c>
      <c r="AO6" s="6" t="n">
        <v>98.59999999999999</v>
      </c>
      <c r="AP6" s="6" t="n">
        <v>161.8</v>
      </c>
      <c r="AQ6" s="6" t="n">
        <v>151.6</v>
      </c>
      <c r="AR6" s="6" t="n">
        <v>129</v>
      </c>
      <c r="AS6" s="6" t="n">
        <v>90.7</v>
      </c>
      <c r="AT6" s="6" t="n">
        <v>114.888</v>
      </c>
      <c r="AU6" s="6" t="n">
        <v>84.62</v>
      </c>
      <c r="AV6" s="6" t="n">
        <v>56.668</v>
      </c>
      <c r="AW6" s="6" t="n">
        <v>45.715</v>
      </c>
      <c r="AX6" s="6" t="n">
        <v>38.717</v>
      </c>
      <c r="AY6" s="6" t="n">
        <v>33.718</v>
      </c>
      <c r="AZ6" s="6" t="n">
        <v>44.09</v>
      </c>
      <c r="BA6" s="6" t="n">
        <v>44.955</v>
      </c>
      <c r="BB6" s="6" t="n">
        <v>30.065</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c r="M7" s="6" t="n">
        <v>30322.2</v>
      </c>
      <c r="N7" s="6" t="n">
        <v>22785.5</v>
      </c>
      <c r="O7" s="6" t="n">
        <v>22735</v>
      </c>
      <c r="P7" s="6" t="n">
        <v>23844.9</v>
      </c>
      <c r="Q7" s="6" t="n">
        <v>23050.8</v>
      </c>
      <c r="R7" s="6" t="n">
        <v>11169.8</v>
      </c>
      <c r="S7" s="6" t="n">
        <v>8914.4</v>
      </c>
      <c r="T7" s="6" t="n">
        <v>8051.8</v>
      </c>
      <c r="U7" s="6" t="n">
        <v>7807.9</v>
      </c>
      <c r="V7" s="6" t="n">
        <v>7546.4</v>
      </c>
      <c r="W7" s="6" t="n">
        <v>6073.2</v>
      </c>
      <c r="X7" s="6" t="n">
        <v>4329.2</v>
      </c>
      <c r="Y7" s="6" t="n">
        <v>3817.4</v>
      </c>
      <c r="Z7" s="6" t="n">
        <v>3305</v>
      </c>
      <c r="AA7" s="6" t="n">
        <v>2925.8</v>
      </c>
      <c r="AB7" s="6" t="n">
        <v>2732.7</v>
      </c>
      <c r="AC7" s="6" t="n">
        <v>2453.5</v>
      </c>
      <c r="AD7" s="6" t="n">
        <v>2152</v>
      </c>
      <c r="AE7" s="6" t="n">
        <v>1903.4</v>
      </c>
      <c r="AF7" s="6" t="n">
        <v>1717.7</v>
      </c>
      <c r="AG7" s="6" t="n">
        <v>1655.4</v>
      </c>
      <c r="AH7" s="6" t="n">
        <v>1586.8</v>
      </c>
      <c r="AI7" s="6" t="n">
        <v>1711.9</v>
      </c>
      <c r="AJ7" s="6" t="n">
        <v>1972.6</v>
      </c>
      <c r="AK7" s="6" t="n">
        <v>1741.3</v>
      </c>
      <c r="AL7" s="6" t="n">
        <v>1405</v>
      </c>
      <c r="AM7" s="6" t="n">
        <v>1062.8</v>
      </c>
      <c r="AN7" s="6" t="n">
        <v>954</v>
      </c>
      <c r="AO7" s="6" t="n">
        <v>778</v>
      </c>
      <c r="AP7" s="6" t="n">
        <v>690.6</v>
      </c>
      <c r="AQ7" s="6" t="n">
        <v>590.9</v>
      </c>
      <c r="AR7" s="6" t="n">
        <v>492.9</v>
      </c>
      <c r="AS7" s="6" t="n">
        <v>405.8</v>
      </c>
      <c r="AT7" s="6" t="n">
        <v>318.334</v>
      </c>
      <c r="AU7" s="6" t="n">
        <v>252.929</v>
      </c>
      <c r="AV7" s="6" t="n">
        <v>141.927</v>
      </c>
      <c r="AW7" s="6" t="n">
        <v>118.345</v>
      </c>
      <c r="AX7" s="6" t="n">
        <v>98.913</v>
      </c>
      <c r="AY7" s="6" t="n">
        <v>69.446</v>
      </c>
      <c r="AZ7" s="6" t="n">
        <v>67.383</v>
      </c>
      <c r="BA7" s="6" t="n">
        <v>75.97</v>
      </c>
      <c r="BB7" s="6" t="n">
        <v>33.927</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c r="M8" s="6" t="n">
        <v>107.6</v>
      </c>
      <c r="N8" s="6" t="n">
        <v>354.1</v>
      </c>
      <c r="O8" s="6" t="n">
        <v>365.8</v>
      </c>
      <c r="P8" s="6" t="n">
        <v>164.6</v>
      </c>
      <c r="Q8" s="6" t="n">
        <v>60.6</v>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c r="M9" s="6" t="n">
        <v>4499.4</v>
      </c>
      <c r="N9" s="6" t="n">
        <v>6744.7</v>
      </c>
      <c r="O9" s="6" t="n">
        <v>4316.6</v>
      </c>
      <c r="P9" s="6" t="n">
        <v>4636.9</v>
      </c>
      <c r="Q9" s="6" t="n">
        <v>6616.2</v>
      </c>
      <c r="R9" s="6" t="n">
        <v>1810.2</v>
      </c>
      <c r="S9" s="6" t="n">
        <v>1985.7</v>
      </c>
      <c r="T9" s="6" t="n">
        <v>2369.6</v>
      </c>
      <c r="U9" s="6" t="n">
        <v>1912.8</v>
      </c>
      <c r="V9" s="6" t="n">
        <v>1378.3</v>
      </c>
      <c r="W9" s="6" t="n">
        <v>1850</v>
      </c>
      <c r="X9" s="6" t="n">
        <v>2266</v>
      </c>
      <c r="Y9" s="6" t="n">
        <v>2560.6</v>
      </c>
      <c r="Z9" s="6" t="n">
        <v>2187.6</v>
      </c>
      <c r="AA9" s="6" t="n">
        <v>2191.8</v>
      </c>
      <c r="AB9" s="6" t="n">
        <v>1837.7</v>
      </c>
      <c r="AC9" s="6" t="n">
        <v>1803</v>
      </c>
      <c r="AD9" s="6" t="n">
        <v>1244.8</v>
      </c>
      <c r="AE9" s="6" t="n">
        <v>586.7</v>
      </c>
      <c r="AF9" s="6" t="n">
        <v>528.5</v>
      </c>
      <c r="AG9" s="6" t="n">
        <v>350.2</v>
      </c>
      <c r="AH9" s="6" t="n">
        <v>205.3</v>
      </c>
      <c r="AI9" s="6" t="n">
        <v>148.2</v>
      </c>
      <c r="AJ9" s="6" t="n">
        <v>170.9</v>
      </c>
      <c r="AK9" s="6" t="n">
        <v>160.2</v>
      </c>
      <c r="AL9" s="6" t="n">
        <v>151</v>
      </c>
      <c r="AM9" s="6" t="n">
        <v>167.6</v>
      </c>
      <c r="AN9" s="6" t="n">
        <v>65.8</v>
      </c>
      <c r="AO9" s="6" t="n">
        <v>68</v>
      </c>
      <c r="AP9" s="6" t="n">
        <v>85.5</v>
      </c>
      <c r="AQ9" s="6" t="n">
        <v>87.40000000000001</v>
      </c>
      <c r="AR9" s="6" t="n">
        <v>96.90000000000001</v>
      </c>
      <c r="AS9" s="6" t="n">
        <v>126.3</v>
      </c>
      <c r="AT9" s="6" t="n">
        <v>50.131</v>
      </c>
      <c r="AU9" s="6" t="n">
        <v>71.999</v>
      </c>
      <c r="AV9" s="6" t="n">
        <v>96.601</v>
      </c>
      <c r="AW9" s="6" t="n">
        <v>102.894</v>
      </c>
      <c r="AX9" s="6" t="n">
        <v>92.645</v>
      </c>
      <c r="AY9" s="6" t="n">
        <v>99.211</v>
      </c>
      <c r="AZ9" s="6" t="n">
        <v>49.288</v>
      </c>
      <c r="BA9" s="6" t="n">
        <v>61.543</v>
      </c>
      <c r="BB9" s="6" t="n">
        <v>95.04300000000001</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c r="M10" s="6" t="n">
        <v>555.8</v>
      </c>
      <c r="N10" s="6" t="n">
        <v>590.9</v>
      </c>
      <c r="O10" s="6" t="n">
        <v>704.4</v>
      </c>
      <c r="P10" s="6" t="n">
        <v>661</v>
      </c>
      <c r="Q10" s="6" t="n">
        <v>660.8</v>
      </c>
      <c r="R10" s="6" t="n">
        <v>233.4</v>
      </c>
      <c r="S10" s="6" t="n">
        <v>88.5</v>
      </c>
      <c r="T10" s="6" t="n">
        <v>85.5</v>
      </c>
      <c r="U10" s="6" t="n">
        <v>68.3</v>
      </c>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c r="M11" s="6" t="n">
        <v>164.1</v>
      </c>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Equity shares</t>
        </is>
      </c>
      <c r="B12" s="6" t="n"/>
      <c r="C12" s="6" t="n"/>
      <c r="D12" s="6" t="n">
        <v>11.1</v>
      </c>
      <c r="E12" s="6" t="n">
        <v>22.8</v>
      </c>
      <c r="F12" s="6" t="n">
        <v>22.1</v>
      </c>
      <c r="G12" s="6" t="n">
        <v>44.5</v>
      </c>
      <c r="H12" s="6" t="n">
        <v>26.4</v>
      </c>
      <c r="I12" s="6" t="n">
        <v>24.3</v>
      </c>
      <c r="J12" s="6" t="n">
        <v>46.8</v>
      </c>
      <c r="K12" s="6" t="n">
        <v>55.6</v>
      </c>
      <c r="L12" s="6" t="n">
        <v>2.8</v>
      </c>
      <c r="M12" s="6" t="n">
        <v>5.8</v>
      </c>
      <c r="N12" s="6" t="n">
        <v>5.7</v>
      </c>
      <c r="O12" s="6" t="n">
        <v>5.7</v>
      </c>
      <c r="P12" s="6" t="n">
        <v>7.2</v>
      </c>
      <c r="Q12" s="6" t="n">
        <v>7.2</v>
      </c>
      <c r="R12" s="6" t="n">
        <v>13</v>
      </c>
      <c r="S12" s="6" t="n">
        <v>8.800000000000001</v>
      </c>
      <c r="T12" s="6" t="n">
        <v>1.7</v>
      </c>
      <c r="U12" s="6" t="n">
        <v>1.2</v>
      </c>
      <c r="V12" s="6" t="n">
        <v>1.2</v>
      </c>
      <c r="W12" s="6" t="n">
        <v>1.2</v>
      </c>
      <c r="X12" s="6" t="n">
        <v>0.9</v>
      </c>
      <c r="Y12" s="6" t="n">
        <v>1.3</v>
      </c>
      <c r="Z12" s="6" t="n">
        <v>1.3</v>
      </c>
      <c r="AA12" s="6" t="n">
        <v>1.2</v>
      </c>
      <c r="AB12" s="6" t="n">
        <v>1.2</v>
      </c>
      <c r="AC12" s="6" t="n">
        <v>1.2</v>
      </c>
      <c r="AD12" s="6" t="n">
        <v>1.1</v>
      </c>
      <c r="AE12" s="6" t="n">
        <v>0.9</v>
      </c>
      <c r="AF12" s="6" t="n">
        <v>0.5</v>
      </c>
      <c r="AG12" s="6" t="n">
        <v>0.5</v>
      </c>
      <c r="AH12" s="6" t="n">
        <v>0.5</v>
      </c>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Investments in joint ventures</t>
        </is>
      </c>
      <c r="B13" s="6" t="n"/>
      <c r="C13" s="6" t="n"/>
      <c r="D13" s="6" t="n"/>
      <c r="E13" s="6" t="n"/>
      <c r="F13" s="6" t="n"/>
      <c r="G13" s="6" t="n"/>
      <c r="H13" s="6" t="n"/>
      <c r="I13" s="6" t="n"/>
      <c r="J13" s="6" t="n">
        <v>6</v>
      </c>
      <c r="K13" s="6" t="n">
        <v>4.9</v>
      </c>
      <c r="L13" s="6" t="n">
        <v>5.3</v>
      </c>
      <c r="M13" s="6" t="n">
        <v>4.7</v>
      </c>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Goodwill</t>
        </is>
      </c>
      <c r="B14" s="6" t="n"/>
      <c r="C14" s="6" t="n"/>
      <c r="D14" s="6" t="n"/>
      <c r="E14" s="6" t="n"/>
      <c r="F14" s="6" t="n"/>
      <c r="G14" s="6" t="n"/>
      <c r="H14" s="6" t="n"/>
      <c r="I14" s="6" t="n"/>
      <c r="J14" s="6" t="n"/>
      <c r="K14" s="6" t="n"/>
      <c r="L14" s="6" t="n"/>
      <c r="M14" s="6" t="n"/>
      <c r="N14" s="6" t="n">
        <v>0</v>
      </c>
      <c r="O14" s="6" t="n">
        <v>0.6</v>
      </c>
      <c r="P14" s="6" t="n">
        <v>0.6</v>
      </c>
      <c r="Q14" s="6" t="n">
        <v>0.6</v>
      </c>
      <c r="R14" s="6" t="n">
        <v>0</v>
      </c>
      <c r="S14" s="6" t="n">
        <v>0</v>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Treasury bills and other eligible bills</t>
        </is>
      </c>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v>18</v>
      </c>
      <c r="Y15" s="6" t="n">
        <v>1.6</v>
      </c>
      <c r="Z15" s="6" t="n">
        <v>55.6</v>
      </c>
      <c r="AA15" s="6" t="n">
        <v>35.6</v>
      </c>
      <c r="AB15" s="6" t="n"/>
      <c r="AC15" s="6" t="n">
        <v>13.1</v>
      </c>
      <c r="AD15" s="6" t="n">
        <v>0.7</v>
      </c>
      <c r="AE15" s="6" t="n">
        <v>55.5</v>
      </c>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Interests in associated undertakings</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v>0</v>
      </c>
      <c r="AB16" s="6" t="n">
        <v>0</v>
      </c>
      <c r="AC16" s="6" t="n">
        <v>0</v>
      </c>
      <c r="AD16" s="6" t="n">
        <v>0</v>
      </c>
      <c r="AE16" s="6" t="n">
        <v>0</v>
      </c>
      <c r="AF16" s="6" t="n">
        <v>0</v>
      </c>
      <c r="AG16" s="6" t="n">
        <v>0</v>
      </c>
      <c r="AH16" s="6" t="n"/>
      <c r="AI16" s="6" t="n"/>
      <c r="AJ16" s="6" t="n">
        <v>0</v>
      </c>
      <c r="AK16" s="6" t="n">
        <v>0</v>
      </c>
      <c r="AL16" s="6" t="n">
        <v>0</v>
      </c>
      <c r="AM16" s="6" t="n">
        <v>15.4</v>
      </c>
      <c r="AN16" s="6" t="n">
        <v>21.9</v>
      </c>
      <c r="AO16" s="6" t="n">
        <v>22.5</v>
      </c>
      <c r="AP16" s="6" t="n">
        <v>25.7</v>
      </c>
      <c r="AQ16" s="6" t="n">
        <v>0.1</v>
      </c>
      <c r="AR16" s="6" t="n">
        <v>0.1</v>
      </c>
      <c r="AS16" s="6" t="n">
        <v>0.7</v>
      </c>
      <c r="AT16" s="6" t="n">
        <v>0.183</v>
      </c>
      <c r="AU16" s="6" t="n">
        <v>0.096</v>
      </c>
      <c r="AV16" s="6" t="n">
        <v>0.35</v>
      </c>
      <c r="AW16" s="6" t="n">
        <v>0.347</v>
      </c>
      <c r="AX16" s="6" t="n">
        <v>0.36</v>
      </c>
      <c r="AY16" s="6" t="n">
        <v>0.402</v>
      </c>
      <c r="AZ16" s="6" t="n">
        <v>3.248</v>
      </c>
      <c r="BA16" s="6" t="n">
        <v>0.001</v>
      </c>
      <c r="BB16" s="6" t="n">
        <v>0.001</v>
      </c>
    </row>
    <row r="17">
      <c r="A17" s="6" t="inlineStr">
        <is>
          <t>Investments in subsidiaries/group undertakings</t>
        </is>
      </c>
      <c r="B17" s="6" t="n">
        <v>22.8</v>
      </c>
      <c r="C17" s="6" t="n">
        <v>14.9</v>
      </c>
      <c r="D17" s="6" t="n">
        <v>15</v>
      </c>
      <c r="E17" s="6" t="n">
        <v>14.7</v>
      </c>
      <c r="F17" s="6" t="n">
        <v>43.3</v>
      </c>
      <c r="G17" s="6" t="n">
        <v>43</v>
      </c>
      <c r="H17" s="6" t="n">
        <v>49.4</v>
      </c>
      <c r="I17" s="6" t="n">
        <v>51.6</v>
      </c>
      <c r="J17" s="6" t="n"/>
      <c r="K17" s="6" t="n"/>
      <c r="L17" s="6" t="n"/>
      <c r="M17" s="6" t="n"/>
      <c r="N17" s="6" t="n">
        <v>1588.5</v>
      </c>
      <c r="O17" s="6" t="n">
        <v>1573.4</v>
      </c>
      <c r="P17" s="6" t="n">
        <v>1458.9</v>
      </c>
      <c r="Q17" s="6" t="n">
        <v>1553</v>
      </c>
      <c r="R17" s="6" t="n">
        <v>969.3</v>
      </c>
      <c r="S17" s="6" t="n">
        <v>2.7</v>
      </c>
      <c r="T17" s="6" t="n">
        <v>2.7</v>
      </c>
      <c r="U17" s="6" t="n">
        <v>2.7</v>
      </c>
      <c r="V17" s="6" t="n">
        <v>1.2</v>
      </c>
      <c r="W17" s="6" t="n">
        <v>1.2</v>
      </c>
      <c r="X17" s="6" t="n">
        <v>1.2</v>
      </c>
      <c r="Y17" s="6" t="n">
        <v>1.2</v>
      </c>
      <c r="Z17" s="6" t="n">
        <v>1.2</v>
      </c>
      <c r="AA17" s="6" t="n">
        <v>1.1</v>
      </c>
      <c r="AB17" s="6" t="n">
        <v>1.1</v>
      </c>
      <c r="AC17" s="6" t="n">
        <v>1.1</v>
      </c>
      <c r="AD17" s="6" t="n">
        <v>1.1</v>
      </c>
      <c r="AE17" s="6" t="n">
        <v>1.2</v>
      </c>
      <c r="AF17" s="6" t="n">
        <v>1.2</v>
      </c>
      <c r="AG17" s="6" t="n">
        <v>1.2</v>
      </c>
      <c r="AH17" s="6" t="n">
        <v>1.2</v>
      </c>
      <c r="AI17" s="6" t="n">
        <v>176</v>
      </c>
      <c r="AJ17" s="6" t="n">
        <v>112.1</v>
      </c>
      <c r="AK17" s="6" t="n">
        <v>94.2</v>
      </c>
      <c r="AL17" s="6" t="n">
        <v>93.09999999999999</v>
      </c>
      <c r="AM17" s="6" t="n">
        <v>70.7</v>
      </c>
      <c r="AN17" s="6" t="n">
        <v>75.2</v>
      </c>
      <c r="AO17" s="6" t="n">
        <v>41.6</v>
      </c>
      <c r="AP17" s="6" t="n">
        <v>11.4</v>
      </c>
      <c r="AQ17" s="6" t="n">
        <v>-1.8</v>
      </c>
      <c r="AR17" s="6" t="n">
        <v>1</v>
      </c>
      <c r="AS17" s="6" t="n">
        <v>0</v>
      </c>
      <c r="AT17" s="6" t="n">
        <v>31.911</v>
      </c>
      <c r="AU17" s="6" t="n">
        <v>35.64</v>
      </c>
      <c r="AV17" s="6" t="n">
        <v>35.16</v>
      </c>
      <c r="AW17" s="6" t="n">
        <v>32.612</v>
      </c>
      <c r="AX17" s="6" t="n">
        <v>28.978</v>
      </c>
      <c r="AY17" s="6" t="n">
        <v>23.012</v>
      </c>
      <c r="AZ17" s="6" t="n">
        <v>43.8</v>
      </c>
      <c r="BA17" s="6" t="n">
        <v>13.354</v>
      </c>
      <c r="BB17" s="6" t="n">
        <v>7.781</v>
      </c>
    </row>
    <row r="18">
      <c r="A18" s="6" t="inlineStr">
        <is>
          <t>Investment properties</t>
        </is>
      </c>
      <c r="B18" s="6" t="n"/>
      <c r="C18" s="6" t="n"/>
      <c r="D18" s="6" t="n"/>
      <c r="E18" s="6" t="n"/>
      <c r="F18" s="6" t="n">
        <v>1.9</v>
      </c>
      <c r="G18" s="6" t="n">
        <v>1.8</v>
      </c>
      <c r="H18" s="6" t="n">
        <v>2.3</v>
      </c>
      <c r="I18" s="6" t="n">
        <v>2.3</v>
      </c>
      <c r="J18" s="6" t="n">
        <v>2.2</v>
      </c>
      <c r="K18" s="6" t="n">
        <v>2.1</v>
      </c>
      <c r="L18" s="6" t="n">
        <v>2.1</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Other assets</t>
        </is>
      </c>
      <c r="B19" s="6" t="n">
        <v>51</v>
      </c>
      <c r="C19" s="6" t="n">
        <v>47.9</v>
      </c>
      <c r="D19" s="6" t="n">
        <v>14.1</v>
      </c>
      <c r="E19" s="6" t="n">
        <v>12.7</v>
      </c>
      <c r="F19" s="6" t="n">
        <v>99.59999999999999</v>
      </c>
      <c r="G19" s="6" t="n">
        <v>43</v>
      </c>
      <c r="H19" s="6" t="n">
        <v>39.9</v>
      </c>
      <c r="I19" s="6" t="n">
        <v>79.3</v>
      </c>
      <c r="J19" s="6" t="n">
        <v>96.7</v>
      </c>
      <c r="K19" s="6" t="n">
        <v>124.1</v>
      </c>
      <c r="L19" s="6" t="n">
        <v>187.6</v>
      </c>
      <c r="M19" s="6" t="n">
        <v>480.9</v>
      </c>
      <c r="N19" s="6" t="n">
        <v>67.3</v>
      </c>
      <c r="O19" s="6" t="n">
        <v>29.3</v>
      </c>
      <c r="P19" s="6" t="n">
        <v>51.5</v>
      </c>
      <c r="Q19" s="6" t="n">
        <v>45.8</v>
      </c>
      <c r="R19" s="6" t="n">
        <v>31</v>
      </c>
      <c r="S19" s="6" t="n">
        <v>16.4</v>
      </c>
      <c r="T19" s="6" t="n">
        <v>43.9</v>
      </c>
      <c r="U19" s="6" t="n">
        <v>23.9</v>
      </c>
      <c r="V19" s="6" t="n">
        <v>41.4</v>
      </c>
      <c r="W19" s="6" t="n">
        <v>58.1</v>
      </c>
      <c r="X19" s="6" t="n">
        <v>69.90000000000001</v>
      </c>
      <c r="Y19" s="6" t="n">
        <v>37.2</v>
      </c>
      <c r="Z19" s="6" t="n">
        <v>33.7</v>
      </c>
      <c r="AA19" s="6" t="n">
        <v>34.1</v>
      </c>
      <c r="AB19" s="6" t="n">
        <v>55.1</v>
      </c>
      <c r="AC19" s="6" t="n">
        <v>24.7</v>
      </c>
      <c r="AD19" s="6" t="n">
        <v>24.1</v>
      </c>
      <c r="AE19" s="6" t="n">
        <v>17.9</v>
      </c>
      <c r="AF19" s="6" t="n">
        <v>15.7</v>
      </c>
      <c r="AG19" s="6" t="n">
        <v>13.5</v>
      </c>
      <c r="AH19" s="6" t="n">
        <v>13.8</v>
      </c>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Prepayments</t>
        </is>
      </c>
      <c r="B20" s="6" t="n"/>
      <c r="C20" s="6" t="n"/>
      <c r="D20" s="6" t="n">
        <v>21.4</v>
      </c>
      <c r="E20" s="6" t="n">
        <v>20.3</v>
      </c>
      <c r="F20" s="6" t="n">
        <v>13.2</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Prepayments and accrued income</t>
        </is>
      </c>
      <c r="B21" s="6" t="n"/>
      <c r="C21" s="6" t="n"/>
      <c r="D21" s="6" t="n"/>
      <c r="E21" s="6" t="n"/>
      <c r="F21" s="6" t="n"/>
      <c r="G21" s="6" t="n">
        <v>21.6</v>
      </c>
      <c r="H21" s="6" t="n">
        <v>31.8</v>
      </c>
      <c r="I21" s="6" t="n">
        <v>24.6</v>
      </c>
      <c r="J21" s="6" t="n">
        <v>28.7</v>
      </c>
      <c r="K21" s="6" t="n">
        <v>43.5</v>
      </c>
      <c r="L21" s="6" t="n">
        <v>12.2</v>
      </c>
      <c r="M21" s="6" t="n">
        <v>16.5</v>
      </c>
      <c r="N21" s="6" t="n">
        <v>14</v>
      </c>
      <c r="O21" s="6" t="n">
        <v>17.7</v>
      </c>
      <c r="P21" s="6" t="n">
        <v>14.5</v>
      </c>
      <c r="Q21" s="6" t="n">
        <v>27.4</v>
      </c>
      <c r="R21" s="6" t="n">
        <v>56.8</v>
      </c>
      <c r="S21" s="6" t="n">
        <v>44.9</v>
      </c>
      <c r="T21" s="6" t="n">
        <v>79.3</v>
      </c>
      <c r="U21" s="6" t="n">
        <v>64.09999999999999</v>
      </c>
      <c r="V21" s="6" t="n">
        <v>89.40000000000001</v>
      </c>
      <c r="W21" s="6" t="n">
        <v>70.40000000000001</v>
      </c>
      <c r="X21" s="6" t="n">
        <v>96.2</v>
      </c>
      <c r="Y21" s="6" t="n">
        <v>100.3</v>
      </c>
      <c r="Z21" s="6" t="n">
        <v>137.6</v>
      </c>
      <c r="AA21" s="6" t="n">
        <v>72.90000000000001</v>
      </c>
      <c r="AB21" s="6" t="n">
        <v>73.3</v>
      </c>
      <c r="AC21" s="6" t="n">
        <v>72.3</v>
      </c>
      <c r="AD21" s="6" t="n">
        <v>53.8</v>
      </c>
      <c r="AE21" s="6" t="n">
        <v>47.1</v>
      </c>
      <c r="AF21" s="6" t="n">
        <v>34.2</v>
      </c>
      <c r="AG21" s="6" t="n">
        <v>28.4</v>
      </c>
      <c r="AH21" s="6" t="n">
        <v>24.8</v>
      </c>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Amounts owed by Co-operative Bank undertakings</t>
        </is>
      </c>
      <c r="B22" s="6" t="n">
        <v>552.1</v>
      </c>
      <c r="C22" s="6" t="n">
        <v>70.59999999999999</v>
      </c>
      <c r="D22" s="6" t="n">
        <v>65.09999999999999</v>
      </c>
      <c r="E22" s="6" t="n">
        <v>33.2</v>
      </c>
      <c r="F22" s="6" t="n">
        <v>1336.1</v>
      </c>
      <c r="G22" s="6" t="n">
        <v>1469</v>
      </c>
      <c r="H22" s="6" t="n">
        <v>1306.4</v>
      </c>
      <c r="I22" s="6" t="n">
        <v>1322.2</v>
      </c>
      <c r="J22" s="6" t="n"/>
      <c r="K22" s="6" t="n"/>
      <c r="L22" s="6" t="n">
        <v>0</v>
      </c>
      <c r="M22" s="6" t="n">
        <v>0</v>
      </c>
      <c r="N22" s="6" t="n">
        <v>12813</v>
      </c>
      <c r="O22" s="6" t="n">
        <v>12961.2</v>
      </c>
      <c r="P22" s="6" t="n">
        <v>14233.7</v>
      </c>
      <c r="Q22" s="6" t="n">
        <v>11861.6</v>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Current tax assets</t>
        </is>
      </c>
      <c r="B23" s="6" t="n">
        <v>6.7</v>
      </c>
      <c r="C23" s="6" t="n">
        <v>4.3</v>
      </c>
      <c r="D23" s="6" t="n">
        <v>1.8</v>
      </c>
      <c r="E23" s="6" t="n"/>
      <c r="F23" s="6" t="n"/>
      <c r="G23" s="6" t="n"/>
      <c r="H23" s="6" t="n"/>
      <c r="I23" s="6" t="n">
        <v>2.5</v>
      </c>
      <c r="J23" s="6" t="n"/>
      <c r="K23" s="6" t="n"/>
      <c r="L23" s="6" t="n">
        <v>0.6</v>
      </c>
      <c r="M23" s="6" t="n"/>
      <c r="N23" s="6" t="n">
        <v>154</v>
      </c>
      <c r="O23" s="6" t="n">
        <v>48.2</v>
      </c>
      <c r="P23" s="6" t="n"/>
      <c r="Q23" s="6" t="n"/>
      <c r="R23" s="6" t="n">
        <v>2.5</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Items in the course of collection from other banks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v>108</v>
      </c>
      <c r="W24" s="6" t="n">
        <v>116</v>
      </c>
      <c r="X24" s="6" t="n">
        <v>164.9</v>
      </c>
      <c r="Y24" s="6" t="n">
        <v>145.3</v>
      </c>
      <c r="Z24" s="6" t="n">
        <v>116.7</v>
      </c>
      <c r="AA24" s="6" t="n">
        <v>135</v>
      </c>
      <c r="AB24" s="6" t="n">
        <v>104.8</v>
      </c>
      <c r="AC24" s="6" t="n">
        <v>124.2</v>
      </c>
      <c r="AD24" s="6" t="n">
        <v>120.6</v>
      </c>
      <c r="AE24" s="6" t="n">
        <v>115.5</v>
      </c>
      <c r="AF24" s="6" t="n">
        <v>105.4</v>
      </c>
      <c r="AG24" s="6" t="n">
        <v>155.8</v>
      </c>
      <c r="AH24" s="6" t="n">
        <v>124.3</v>
      </c>
      <c r="AI24" s="6" t="n">
        <v>99</v>
      </c>
      <c r="AJ24" s="6" t="n">
        <v>103.6</v>
      </c>
      <c r="AK24" s="6" t="n">
        <v>73.5</v>
      </c>
      <c r="AL24" s="6" t="n">
        <v>68.3</v>
      </c>
      <c r="AM24" s="6" t="n">
        <v>72.8</v>
      </c>
      <c r="AN24" s="6" t="n">
        <v>59.8</v>
      </c>
      <c r="AO24" s="6" t="n">
        <v>69.3</v>
      </c>
      <c r="AP24" s="6" t="n">
        <v>56.6</v>
      </c>
      <c r="AQ24" s="6" t="n">
        <v>54.5</v>
      </c>
      <c r="AR24" s="6" t="n">
        <v>71.40000000000001</v>
      </c>
      <c r="AS24" s="6" t="n">
        <v>53.6</v>
      </c>
      <c r="AT24" s="6" t="n">
        <v>46.716</v>
      </c>
      <c r="AU24" s="6" t="n">
        <v>42.643</v>
      </c>
      <c r="AV24" s="6" t="n">
        <v>37.69</v>
      </c>
      <c r="AW24" s="6" t="n">
        <v>27.162</v>
      </c>
      <c r="AX24" s="6" t="n">
        <v>32.678</v>
      </c>
      <c r="AY24" s="6" t="n">
        <v>28.895</v>
      </c>
      <c r="AZ24" s="6" t="n">
        <v>25.94</v>
      </c>
      <c r="BA24" s="6" t="n">
        <v>21.822</v>
      </c>
      <c r="BB24" s="6" t="n">
        <v>15.24</v>
      </c>
    </row>
    <row r="25">
      <c r="A25" s="6" t="inlineStr">
        <is>
          <t>Property, plant and equipment</t>
        </is>
      </c>
      <c r="B25" s="6" t="n">
        <v>24.9</v>
      </c>
      <c r="C25" s="6" t="n">
        <v>23.6</v>
      </c>
      <c r="D25" s="6" t="n">
        <v>22.8</v>
      </c>
      <c r="E25" s="6" t="n">
        <v>24.3</v>
      </c>
      <c r="F25" s="6" t="n">
        <v>35.2</v>
      </c>
      <c r="G25" s="6" t="n">
        <v>38.6</v>
      </c>
      <c r="H25" s="6" t="n">
        <v>40.8</v>
      </c>
      <c r="I25" s="6" t="n">
        <v>44.4</v>
      </c>
      <c r="J25" s="6" t="n">
        <v>35.4</v>
      </c>
      <c r="K25" s="6" t="n">
        <v>46.1</v>
      </c>
      <c r="L25" s="6" t="n">
        <v>67.5</v>
      </c>
      <c r="M25" s="6" t="n">
        <v>115.2</v>
      </c>
      <c r="N25" s="6" t="n">
        <v>46.2</v>
      </c>
      <c r="O25" s="6" t="n">
        <v>61.5</v>
      </c>
      <c r="P25" s="6" t="n">
        <v>79.09999999999999</v>
      </c>
      <c r="Q25" s="6" t="n">
        <v>101.6</v>
      </c>
      <c r="R25" s="6" t="n">
        <v>53.9</v>
      </c>
      <c r="S25" s="6" t="n">
        <v>74</v>
      </c>
      <c r="T25" s="6" t="n">
        <v>87.8</v>
      </c>
      <c r="U25" s="6" t="n">
        <v>79.8</v>
      </c>
      <c r="V25" s="6" t="n">
        <v>87.3</v>
      </c>
      <c r="W25" s="6" t="n">
        <v>84.59999999999999</v>
      </c>
      <c r="X25" s="6" t="n">
        <v>70.59999999999999</v>
      </c>
      <c r="Y25" s="6" t="n">
        <v>59.1</v>
      </c>
      <c r="Z25" s="6" t="n">
        <v>60.6</v>
      </c>
      <c r="AA25" s="6" t="n">
        <v>56</v>
      </c>
      <c r="AB25" s="6" t="n">
        <v>52</v>
      </c>
      <c r="AC25" s="6" t="n">
        <v>55.1</v>
      </c>
      <c r="AD25" s="6" t="n">
        <v>54.1</v>
      </c>
      <c r="AE25" s="6" t="n">
        <v>51</v>
      </c>
      <c r="AF25" s="6" t="n">
        <v>43.9</v>
      </c>
      <c r="AG25" s="6" t="n">
        <v>39.8</v>
      </c>
      <c r="AH25" s="6" t="n">
        <v>32.5</v>
      </c>
      <c r="AI25" s="6" t="n">
        <v>32</v>
      </c>
      <c r="AJ25" s="6" t="n">
        <v>31.5</v>
      </c>
      <c r="AK25" s="6" t="n">
        <v>30.9</v>
      </c>
      <c r="AL25" s="6" t="n">
        <v>29.1</v>
      </c>
      <c r="AM25" s="6" t="n">
        <v>22.3</v>
      </c>
      <c r="AN25" s="6" t="n">
        <v>22.1</v>
      </c>
      <c r="AO25" s="6" t="n">
        <v>20.2</v>
      </c>
      <c r="AP25" s="6" t="n">
        <v>18.1</v>
      </c>
      <c r="AQ25" s="6" t="n">
        <v>17.3</v>
      </c>
      <c r="AR25" s="6" t="n">
        <v>17.5</v>
      </c>
      <c r="AS25" s="6" t="n">
        <v>14</v>
      </c>
      <c r="AT25" s="6" t="n">
        <v>11.148</v>
      </c>
      <c r="AU25" s="6" t="n">
        <v>8.228</v>
      </c>
      <c r="AV25" s="6" t="n">
        <v>4.621</v>
      </c>
      <c r="AW25" s="6" t="n">
        <v>3.876</v>
      </c>
      <c r="AX25" s="6" t="n">
        <v>3.021</v>
      </c>
      <c r="AY25" s="6" t="n">
        <v>2.772</v>
      </c>
      <c r="AZ25" s="6" t="n">
        <v>1.985</v>
      </c>
      <c r="BA25" s="6" t="n">
        <v>1.134</v>
      </c>
      <c r="BB25" s="6" t="n">
        <v>0.953</v>
      </c>
    </row>
    <row r="26">
      <c r="A26" s="6" t="inlineStr">
        <is>
          <t>Intangible assets</t>
        </is>
      </c>
      <c r="B26" s="6" t="n">
        <v>109.8</v>
      </c>
      <c r="C26" s="6" t="n">
        <v>114</v>
      </c>
      <c r="D26" s="6" t="n">
        <v>90</v>
      </c>
      <c r="E26" s="6" t="n">
        <v>68.5</v>
      </c>
      <c r="F26" s="6" t="n">
        <v>63.4</v>
      </c>
      <c r="G26" s="6" t="n">
        <v>75.3</v>
      </c>
      <c r="H26" s="6" t="n">
        <v>72.40000000000001</v>
      </c>
      <c r="I26" s="6" t="n">
        <v>81.5</v>
      </c>
      <c r="J26" s="6" t="n">
        <v>100.1</v>
      </c>
      <c r="K26" s="6" t="n">
        <v>142.8</v>
      </c>
      <c r="L26" s="6" t="n">
        <v>103.7</v>
      </c>
      <c r="M26" s="6" t="n">
        <v>110.7</v>
      </c>
      <c r="N26" s="6" t="n">
        <v>33.8</v>
      </c>
      <c r="O26" s="6" t="n">
        <v>39.3</v>
      </c>
      <c r="P26" s="6" t="n">
        <v>43.8</v>
      </c>
      <c r="Q26" s="6" t="n">
        <v>44.9</v>
      </c>
      <c r="R26" s="6" t="n">
        <v>1.5</v>
      </c>
      <c r="S26" s="6" t="n">
        <v>4.3</v>
      </c>
      <c r="T26" s="6" t="n">
        <v>6.3</v>
      </c>
      <c r="U26" s="6" t="n">
        <v>6.6</v>
      </c>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Right-of-use assets</t>
        </is>
      </c>
      <c r="B27" s="6" t="n">
        <v>26.8</v>
      </c>
      <c r="C27" s="6" t="n">
        <v>31.4</v>
      </c>
      <c r="D27" s="6" t="n">
        <v>33</v>
      </c>
      <c r="E27" s="6" t="n">
        <v>46.9</v>
      </c>
      <c r="F27" s="6" t="n">
        <v>53.7</v>
      </c>
      <c r="G27" s="6" t="n">
        <v>72.3</v>
      </c>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Deferred tax assets</t>
        </is>
      </c>
      <c r="B28" s="6" t="n">
        <v>243</v>
      </c>
      <c r="C28" s="6" t="n">
        <v>233.9</v>
      </c>
      <c r="D28" s="6" t="n">
        <v>167.5</v>
      </c>
      <c r="E28" s="6" t="n">
        <v>36.8</v>
      </c>
      <c r="F28" s="6" t="n"/>
      <c r="G28" s="6" t="n"/>
      <c r="H28" s="6" t="n"/>
      <c r="I28" s="6" t="n">
        <v>0.6</v>
      </c>
      <c r="J28" s="6" t="n"/>
      <c r="K28" s="6" t="n">
        <v>7.6</v>
      </c>
      <c r="L28" s="6" t="n">
        <v>21</v>
      </c>
      <c r="M28" s="6" t="n">
        <v>0</v>
      </c>
      <c r="N28" s="6" t="n">
        <v>138.8</v>
      </c>
      <c r="O28" s="6" t="n">
        <v>110.3</v>
      </c>
      <c r="P28" s="6" t="n">
        <v>154</v>
      </c>
      <c r="Q28" s="6" t="n">
        <v>210.3</v>
      </c>
      <c r="R28" s="6" t="n"/>
      <c r="S28" s="6" t="n"/>
      <c r="T28" s="6" t="n">
        <v>8.300000000000001</v>
      </c>
      <c r="U28" s="6" t="n">
        <v>27</v>
      </c>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Net retirement benefit asset</t>
        </is>
      </c>
      <c r="B29" s="6" t="n">
        <v>32</v>
      </c>
      <c r="C29" s="6" t="n">
        <v>148.5</v>
      </c>
      <c r="D29" s="6" t="n">
        <v>159.7</v>
      </c>
      <c r="E29" s="6" t="n">
        <v>841.1</v>
      </c>
      <c r="F29" s="6" t="n">
        <v>651.8</v>
      </c>
      <c r="G29" s="6" t="n">
        <v>690.2</v>
      </c>
      <c r="H29" s="6" t="n">
        <v>623.5</v>
      </c>
      <c r="I29" s="6" t="n">
        <v>157.7</v>
      </c>
      <c r="J29" s="6" t="n">
        <v>20.3</v>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5" t="inlineStr">
        <is>
          <t>Total assets</t>
        </is>
      </c>
      <c r="B30" s="5" t="n">
        <v>26052.9</v>
      </c>
      <c r="C30" s="5" t="n">
        <v>26549</v>
      </c>
      <c r="D30" s="5" t="n">
        <v>28987.2</v>
      </c>
      <c r="E30" s="5" t="n">
        <v>30241.7</v>
      </c>
      <c r="F30" s="5" t="n">
        <v>27778.2</v>
      </c>
      <c r="G30" s="5" t="n">
        <v>26353.4</v>
      </c>
      <c r="H30" s="5" t="n">
        <v>24998.6</v>
      </c>
      <c r="I30" s="5" t="n">
        <v>26899.7</v>
      </c>
      <c r="J30" s="5" t="n">
        <v>27588.3</v>
      </c>
      <c r="K30" s="5" t="n">
        <v>29028.3</v>
      </c>
      <c r="L30" s="5" t="n">
        <v>37582.9</v>
      </c>
      <c r="M30" s="5" t="n">
        <v>43396.1</v>
      </c>
      <c r="N30" s="5" t="n">
        <v>51818.5</v>
      </c>
      <c r="O30" s="5" t="n">
        <v>50965.7</v>
      </c>
      <c r="P30" s="5" t="n">
        <v>48814.9</v>
      </c>
      <c r="Q30" s="5" t="n">
        <v>47167.7</v>
      </c>
      <c r="R30" s="5" t="n">
        <v>16403.6</v>
      </c>
      <c r="S30" s="5" t="n">
        <v>12523.8</v>
      </c>
      <c r="T30" s="5" t="n">
        <v>12293.2</v>
      </c>
      <c r="U30" s="5" t="n">
        <v>11365.1</v>
      </c>
      <c r="V30" s="5" t="n">
        <v>10498.6</v>
      </c>
      <c r="W30" s="5" t="n">
        <v>9168.299999999999</v>
      </c>
      <c r="X30" s="5" t="n">
        <v>8405.4</v>
      </c>
      <c r="Y30" s="5" t="n">
        <v>7570.9</v>
      </c>
      <c r="Z30" s="5" t="n">
        <v>6541.6</v>
      </c>
      <c r="AA30" s="5" t="n">
        <v>6022.4</v>
      </c>
      <c r="AB30" s="5" t="n">
        <v>5337.1</v>
      </c>
      <c r="AC30" s="5" t="n">
        <v>5089.7</v>
      </c>
      <c r="AD30" s="5" t="n">
        <v>4303.1</v>
      </c>
      <c r="AE30" s="5" t="n">
        <v>3718</v>
      </c>
      <c r="AF30" s="5" t="n">
        <v>3101.9</v>
      </c>
      <c r="AG30" s="5" t="n">
        <v>3223</v>
      </c>
      <c r="AH30" s="5" t="n">
        <v>2968.8</v>
      </c>
      <c r="AI30" s="5" t="n">
        <v>2572.6</v>
      </c>
      <c r="AJ30" s="5" t="n">
        <v>2774.8</v>
      </c>
      <c r="AK30" s="5" t="n">
        <v>2544.6</v>
      </c>
      <c r="AL30" s="5" t="n">
        <v>2091.4</v>
      </c>
      <c r="AM30" s="5" t="n">
        <v>1540.1</v>
      </c>
      <c r="AN30" s="5" t="n">
        <v>1448.8</v>
      </c>
      <c r="AO30" s="5" t="n">
        <v>1106.5</v>
      </c>
      <c r="AP30" s="5" t="n">
        <v>1056.6</v>
      </c>
      <c r="AQ30" s="5" t="n">
        <v>905.4</v>
      </c>
      <c r="AR30" s="5" t="n">
        <v>816.1</v>
      </c>
      <c r="AS30" s="5" t="n">
        <v>696.3</v>
      </c>
      <c r="AT30" s="5" t="n">
        <v>577.826</v>
      </c>
      <c r="AU30" s="5" t="n">
        <v>500.932</v>
      </c>
      <c r="AV30" s="5" t="n">
        <v>377.227</v>
      </c>
      <c r="AW30" s="5" t="n">
        <v>335.122</v>
      </c>
      <c r="AX30" s="5" t="n">
        <v>299.914</v>
      </c>
      <c r="AY30" s="5" t="n">
        <v>261.987</v>
      </c>
      <c r="AZ30" s="5" t="n">
        <v>239.296</v>
      </c>
      <c r="BA30" s="5" t="n">
        <v>221.921</v>
      </c>
      <c r="BB30" s="5" t="n">
        <v>185.116</v>
      </c>
    </row>
    <row r="31">
      <c r="A31" s="5" t="inlineStr">
        <is>
          <t>Liabilities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Deposits by banks</t>
        </is>
      </c>
      <c r="B32" s="6" t="n">
        <v>2717.2</v>
      </c>
      <c r="C32" s="6" t="n">
        <v>4288.9</v>
      </c>
      <c r="D32" s="6" t="n">
        <v>5683.4</v>
      </c>
      <c r="E32" s="6" t="n">
        <v>5527.6</v>
      </c>
      <c r="F32" s="6" t="n">
        <v>2066.4</v>
      </c>
      <c r="G32" s="6" t="n">
        <v>1143.7</v>
      </c>
      <c r="H32" s="6" t="n">
        <v>1433.5</v>
      </c>
      <c r="I32" s="6" t="n">
        <v>1122.7</v>
      </c>
      <c r="J32" s="6" t="n">
        <v>1198.6</v>
      </c>
      <c r="K32" s="6" t="n">
        <v>725.9</v>
      </c>
      <c r="L32" s="6" t="n">
        <v>615.4</v>
      </c>
      <c r="M32" s="6" t="n">
        <v>2757.5</v>
      </c>
      <c r="N32" s="6" t="n">
        <v>3552.9</v>
      </c>
      <c r="O32" s="6" t="n">
        <v>3239.8</v>
      </c>
      <c r="P32" s="6" t="n">
        <v>2870.8</v>
      </c>
      <c r="Q32" s="6" t="n">
        <v>5613</v>
      </c>
      <c r="R32" s="6" t="n">
        <v>1072.3</v>
      </c>
      <c r="S32" s="6" t="n">
        <v>661.3</v>
      </c>
      <c r="T32" s="6" t="n">
        <v>700.6</v>
      </c>
      <c r="U32" s="6" t="n">
        <v>641.1</v>
      </c>
      <c r="V32" s="6" t="n">
        <v>659.4</v>
      </c>
      <c r="W32" s="6" t="n">
        <v>773.8</v>
      </c>
      <c r="X32" s="6" t="n">
        <v>756.4</v>
      </c>
      <c r="Y32" s="6" t="n">
        <v>733.6</v>
      </c>
      <c r="Z32" s="6" t="n">
        <v>750.5</v>
      </c>
      <c r="AA32" s="6" t="n">
        <v>913.7</v>
      </c>
      <c r="AB32" s="6" t="n">
        <v>599.1</v>
      </c>
      <c r="AC32" s="6" t="n">
        <v>578.1</v>
      </c>
      <c r="AD32" s="6" t="n">
        <v>565.5</v>
      </c>
      <c r="AE32" s="6" t="n">
        <v>404.9</v>
      </c>
      <c r="AF32" s="6" t="n">
        <v>605.7</v>
      </c>
      <c r="AG32" s="6" t="n">
        <v>572.4</v>
      </c>
      <c r="AH32" s="6" t="n">
        <v>560.4</v>
      </c>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Customer accounts</t>
        </is>
      </c>
      <c r="B33" s="6" t="n">
        <v>19974.2</v>
      </c>
      <c r="C33" s="6" t="n">
        <v>19215.8</v>
      </c>
      <c r="D33" s="6" t="n">
        <v>20107.9</v>
      </c>
      <c r="E33" s="6" t="n">
        <v>21136.4</v>
      </c>
      <c r="F33" s="6" t="n">
        <v>20366.3</v>
      </c>
      <c r="G33" s="6" t="n">
        <v>18997.2</v>
      </c>
      <c r="H33" s="6" t="n">
        <v>18736.4</v>
      </c>
      <c r="I33" s="6" t="n">
        <v>20635.7</v>
      </c>
      <c r="J33" s="6" t="n">
        <v>22425.1</v>
      </c>
      <c r="K33" s="6" t="n">
        <v>22732</v>
      </c>
      <c r="L33" s="6" t="n">
        <v>29614</v>
      </c>
      <c r="M33" s="6" t="n">
        <v>32463.3</v>
      </c>
      <c r="N33" s="6" t="n">
        <v>33750.3</v>
      </c>
      <c r="O33" s="6" t="n">
        <v>32670.1</v>
      </c>
      <c r="P33" s="6" t="n">
        <v>29912</v>
      </c>
      <c r="Q33" s="6" t="n">
        <v>28660</v>
      </c>
      <c r="R33" s="6" t="n">
        <v>13388.7</v>
      </c>
      <c r="S33" s="6" t="n">
        <v>10068.1</v>
      </c>
      <c r="T33" s="6" t="n">
        <v>9119.299999999999</v>
      </c>
      <c r="U33" s="6" t="n">
        <v>8391.700000000001</v>
      </c>
      <c r="V33" s="6" t="n">
        <v>7778.5</v>
      </c>
      <c r="W33" s="6" t="n">
        <v>7126.2</v>
      </c>
      <c r="X33" s="6" t="n">
        <v>6679.5</v>
      </c>
      <c r="Y33" s="6" t="n">
        <v>5906.8</v>
      </c>
      <c r="Z33" s="6" t="n">
        <v>4992</v>
      </c>
      <c r="AA33" s="6" t="n">
        <v>4368.1</v>
      </c>
      <c r="AB33" s="6" t="n">
        <v>4041.8</v>
      </c>
      <c r="AC33" s="6" t="n">
        <v>3766.1</v>
      </c>
      <c r="AD33" s="6" t="n">
        <v>3180.7</v>
      </c>
      <c r="AE33" s="6" t="n">
        <v>2740.5</v>
      </c>
      <c r="AF33" s="6" t="n">
        <v>2133</v>
      </c>
      <c r="AG33" s="6" t="n">
        <v>2282.2</v>
      </c>
      <c r="AH33" s="6" t="n">
        <v>2033.8</v>
      </c>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Current, deposit and other accounts (aggregate - not split by counterparty)</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2324.6</v>
      </c>
      <c r="AJ34" s="6" t="n">
        <v>2513.8</v>
      </c>
      <c r="AK34" s="6" t="n">
        <v>2276</v>
      </c>
      <c r="AL34" s="6" t="n">
        <v>1875.2</v>
      </c>
      <c r="AM34" s="6" t="n">
        <v>1345.9</v>
      </c>
      <c r="AN34" s="6" t="n">
        <v>1266.1</v>
      </c>
      <c r="AO34" s="6" t="n">
        <v>937.7</v>
      </c>
      <c r="AP34" s="6" t="n">
        <v>941</v>
      </c>
      <c r="AQ34" s="6" t="n">
        <v>815.3</v>
      </c>
      <c r="AR34" s="6" t="n">
        <v>740.2</v>
      </c>
      <c r="AS34" s="6" t="n">
        <v>626.1</v>
      </c>
      <c r="AT34" s="6" t="n">
        <v>508.468</v>
      </c>
      <c r="AU34" s="6" t="n">
        <v>436.645</v>
      </c>
      <c r="AV34" s="6" t="n">
        <v>331.641</v>
      </c>
      <c r="AW34" s="6" t="n">
        <v>290.494</v>
      </c>
      <c r="AX34" s="6" t="n">
        <v>255.689</v>
      </c>
      <c r="AY34" s="6" t="n">
        <v>218.312</v>
      </c>
      <c r="AZ34" s="6" t="n">
        <v>196.561</v>
      </c>
      <c r="BA34" s="6" t="n">
        <v>178.667</v>
      </c>
      <c r="BB34" s="6" t="n">
        <v>141.13</v>
      </c>
    </row>
    <row r="35">
      <c r="A35" s="6" t="inlineStr">
        <is>
          <t>Deposits by trustees of CWS employees' pension scheme (secured)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v>5.6</v>
      </c>
      <c r="AT35" s="6" t="n">
        <v>8.148999999999999</v>
      </c>
      <c r="AU35" s="6" t="n">
        <v>9.954000000000001</v>
      </c>
      <c r="AV35" s="6" t="n">
        <v>12.264</v>
      </c>
      <c r="AW35" s="6" t="n">
        <v>14.367</v>
      </c>
      <c r="AX35" s="6" t="n">
        <v>15.565</v>
      </c>
      <c r="AY35" s="6" t="n">
        <v>16.676</v>
      </c>
      <c r="AZ35" s="6" t="n">
        <v>18</v>
      </c>
      <c r="BA35" s="6" t="n">
        <v>19.784</v>
      </c>
      <c r="BB35" s="6" t="n">
        <v>21.88</v>
      </c>
    </row>
    <row r="36">
      <c r="A36" s="6" t="inlineStr">
        <is>
          <t>Customer accounts – capital bonds</t>
        </is>
      </c>
      <c r="B36" s="6" t="n"/>
      <c r="C36" s="6" t="n"/>
      <c r="D36" s="6" t="n"/>
      <c r="E36" s="6" t="n"/>
      <c r="F36" s="6" t="n"/>
      <c r="G36" s="6" t="n"/>
      <c r="H36" s="6" t="n"/>
      <c r="I36" s="6" t="n">
        <v>0</v>
      </c>
      <c r="J36" s="6" t="n">
        <v>11.8</v>
      </c>
      <c r="K36" s="6" t="n">
        <v>77.40000000000001</v>
      </c>
      <c r="L36" s="6" t="n">
        <v>263.8</v>
      </c>
      <c r="M36" s="6" t="n">
        <v>538.1</v>
      </c>
      <c r="N36" s="6" t="n">
        <v>867.2</v>
      </c>
      <c r="O36" s="6" t="n">
        <v>1397.3</v>
      </c>
      <c r="P36" s="6" t="n">
        <v>1744</v>
      </c>
      <c r="Q36" s="6" t="n">
        <v>1581.7</v>
      </c>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Fair value adjustment for hedged risk (liabilities)</t>
        </is>
      </c>
      <c r="B37" s="6" t="n"/>
      <c r="C37" s="6" t="n"/>
      <c r="D37" s="6" t="n">
        <v>-34.6</v>
      </c>
      <c r="E37" s="6" t="n">
        <v>-7.5</v>
      </c>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Debt securities in issue</t>
        </is>
      </c>
      <c r="B38" s="6" t="n">
        <v>499.3</v>
      </c>
      <c r="C38" s="6" t="n"/>
      <c r="D38" s="6" t="n"/>
      <c r="E38" s="6" t="n"/>
      <c r="F38" s="6" t="n">
        <v>485.7</v>
      </c>
      <c r="G38" s="6" t="n">
        <v>602.4</v>
      </c>
      <c r="H38" s="6" t="n">
        <v>601.5</v>
      </c>
      <c r="I38" s="6" t="n">
        <v>600.7</v>
      </c>
      <c r="J38" s="6" t="n">
        <v>1625.4</v>
      </c>
      <c r="K38" s="6" t="n">
        <v>2554.3</v>
      </c>
      <c r="L38" s="6" t="n">
        <v>3443.6</v>
      </c>
      <c r="M38" s="6" t="n">
        <v>4195.3</v>
      </c>
      <c r="N38" s="6" t="n">
        <v>1752.2</v>
      </c>
      <c r="O38" s="6" t="n">
        <v>1431</v>
      </c>
      <c r="P38" s="6" t="n">
        <v>1856.8</v>
      </c>
      <c r="Q38" s="6" t="n">
        <v>1739.3</v>
      </c>
      <c r="R38" s="6" t="n">
        <v>568</v>
      </c>
      <c r="S38" s="6" t="n">
        <v>535.8</v>
      </c>
      <c r="T38" s="6" t="n">
        <v>1113.3</v>
      </c>
      <c r="U38" s="6" t="n">
        <v>1050.2</v>
      </c>
      <c r="V38" s="6" t="n">
        <v>771.7</v>
      </c>
      <c r="W38" s="6" t="n">
        <v>224.7</v>
      </c>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Derivative financial instruments</t>
        </is>
      </c>
      <c r="B39" s="6" t="n">
        <v>47.6</v>
      </c>
      <c r="C39" s="6" t="n">
        <v>110.3</v>
      </c>
      <c r="D39" s="6" t="n">
        <v>103.5</v>
      </c>
      <c r="E39" s="6" t="n">
        <v>148.2</v>
      </c>
      <c r="F39" s="6" t="n">
        <v>316.2</v>
      </c>
      <c r="G39" s="6" t="n">
        <v>278.9</v>
      </c>
      <c r="H39" s="6" t="n">
        <v>256.7</v>
      </c>
      <c r="I39" s="6" t="n">
        <v>308.8</v>
      </c>
      <c r="J39" s="6" t="n">
        <v>444.5</v>
      </c>
      <c r="K39" s="6" t="n">
        <v>346.9</v>
      </c>
      <c r="L39" s="6" t="n">
        <v>551.7</v>
      </c>
      <c r="M39" s="6" t="n">
        <v>538.6</v>
      </c>
      <c r="N39" s="6" t="n">
        <v>922.6</v>
      </c>
      <c r="O39" s="6" t="n">
        <v>1051.5</v>
      </c>
      <c r="P39" s="6" t="n">
        <v>697.4</v>
      </c>
      <c r="Q39" s="6" t="n">
        <v>567.2</v>
      </c>
      <c r="R39" s="6" t="n">
        <v>123.2</v>
      </c>
      <c r="S39" s="6" t="n">
        <v>92.8</v>
      </c>
      <c r="T39" s="6" t="n">
        <v>118</v>
      </c>
      <c r="U39" s="6" t="n">
        <v>64.3</v>
      </c>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Other borrowed funds</t>
        </is>
      </c>
      <c r="B40" s="6" t="n"/>
      <c r="C40" s="6" t="n"/>
      <c r="D40" s="6" t="n"/>
      <c r="E40" s="6" t="n"/>
      <c r="F40" s="6" t="n"/>
      <c r="G40" s="6" t="n"/>
      <c r="H40" s="6" t="n"/>
      <c r="I40" s="6" t="n">
        <v>0</v>
      </c>
      <c r="J40" s="6" t="n">
        <v>472.6</v>
      </c>
      <c r="K40" s="6" t="n">
        <v>459.9</v>
      </c>
      <c r="L40" s="6" t="n">
        <v>196.4</v>
      </c>
      <c r="M40" s="6" t="n">
        <v>196.3</v>
      </c>
      <c r="N40" s="6" t="n">
        <v>1258.6</v>
      </c>
      <c r="O40" s="6" t="n">
        <v>1258.8</v>
      </c>
      <c r="P40" s="6" t="n">
        <v>975.4</v>
      </c>
      <c r="Q40" s="6" t="n">
        <v>946.5</v>
      </c>
      <c r="R40" s="6" t="n">
        <v>358.4</v>
      </c>
      <c r="S40" s="6" t="n">
        <v>358.1</v>
      </c>
      <c r="T40" s="6" t="n">
        <v>387.8</v>
      </c>
      <c r="U40" s="6" t="n">
        <v>338.1</v>
      </c>
      <c r="V40" s="6" t="n">
        <v>327.6</v>
      </c>
      <c r="W40" s="6" t="n">
        <v>179.2</v>
      </c>
      <c r="X40" s="6" t="n">
        <v>178.9</v>
      </c>
      <c r="Y40" s="6" t="n">
        <v>178.7</v>
      </c>
      <c r="Z40" s="6" t="n">
        <v>178.4</v>
      </c>
      <c r="AA40" s="6" t="n">
        <v>192.2</v>
      </c>
      <c r="AB40" s="6" t="n">
        <v>192</v>
      </c>
      <c r="AC40" s="6" t="n">
        <v>191.9</v>
      </c>
      <c r="AD40" s="6" t="n">
        <v>162</v>
      </c>
      <c r="AE40" s="6" t="n">
        <v>198.9</v>
      </c>
      <c r="AF40" s="6" t="n">
        <v>75</v>
      </c>
      <c r="AG40" s="6" t="n">
        <v>75</v>
      </c>
      <c r="AH40" s="6" t="n">
        <v>75</v>
      </c>
      <c r="AI40" s="6" t="n">
        <v>75</v>
      </c>
      <c r="AJ40" s="6" t="n">
        <v>75</v>
      </c>
      <c r="AK40" s="6" t="n">
        <v>75</v>
      </c>
      <c r="AL40" s="6" t="n">
        <v>75</v>
      </c>
      <c r="AM40" s="6" t="n">
        <v>75</v>
      </c>
      <c r="AN40" s="6" t="n">
        <v>75</v>
      </c>
      <c r="AO40" s="6" t="n">
        <v>75</v>
      </c>
      <c r="AP40" s="6" t="n">
        <v>22.2</v>
      </c>
      <c r="AQ40" s="6" t="n">
        <v>17.8</v>
      </c>
      <c r="AR40" s="6" t="n">
        <v>15.6</v>
      </c>
      <c r="AS40" s="6" t="n">
        <v>12.8</v>
      </c>
      <c r="AT40" s="6" t="n">
        <v>10.426</v>
      </c>
      <c r="AU40" s="6" t="n">
        <v>11.074</v>
      </c>
      <c r="AV40" s="6" t="n"/>
      <c r="AW40" s="6" t="n"/>
      <c r="AX40" s="6" t="n"/>
      <c r="AY40" s="6" t="n"/>
      <c r="AZ40" s="6" t="n"/>
      <c r="BA40" s="6" t="n"/>
      <c r="BB40" s="6" t="n"/>
    </row>
    <row r="41">
      <c r="A41" s="6" t="inlineStr">
        <is>
          <t>Amounts owed to Co-operative Bank undertakings / parent undertakings / Finance Company</t>
        </is>
      </c>
      <c r="B41" s="6" t="n">
        <v>897.3</v>
      </c>
      <c r="C41" s="6" t="n">
        <v>937.6</v>
      </c>
      <c r="D41" s="6" t="n">
        <v>646.9</v>
      </c>
      <c r="E41" s="6" t="n">
        <v>402.1</v>
      </c>
      <c r="F41" s="6" t="n">
        <v>408.2</v>
      </c>
      <c r="G41" s="6" t="n">
        <v>3429.7</v>
      </c>
      <c r="H41" s="6" t="n">
        <v>1979.1</v>
      </c>
      <c r="I41" s="6" t="n">
        <v>2505.7</v>
      </c>
      <c r="J41" s="6" t="n"/>
      <c r="K41" s="6" t="n"/>
      <c r="L41" s="6" t="n">
        <v>0</v>
      </c>
      <c r="M41" s="6" t="n">
        <v>0</v>
      </c>
      <c r="N41" s="6" t="n">
        <v>7809</v>
      </c>
      <c r="O41" s="6" t="n">
        <v>7461.2</v>
      </c>
      <c r="P41" s="6" t="n">
        <v>8340.9</v>
      </c>
      <c r="Q41" s="6" t="n">
        <v>5765</v>
      </c>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Other liabilities</t>
        </is>
      </c>
      <c r="B42" s="6" t="n">
        <v>55.3</v>
      </c>
      <c r="C42" s="6" t="n">
        <v>44.1</v>
      </c>
      <c r="D42" s="6" t="n">
        <v>42.3</v>
      </c>
      <c r="E42" s="6" t="n">
        <v>38</v>
      </c>
      <c r="F42" s="6" t="n">
        <v>32.9</v>
      </c>
      <c r="G42" s="6" t="n">
        <v>52.7</v>
      </c>
      <c r="H42" s="6" t="n">
        <v>85.3</v>
      </c>
      <c r="I42" s="6" t="n">
        <v>33.9</v>
      </c>
      <c r="J42" s="6" t="n">
        <v>45.9</v>
      </c>
      <c r="K42" s="6" t="n">
        <v>68.8</v>
      </c>
      <c r="L42" s="6" t="n">
        <v>157.8</v>
      </c>
      <c r="M42" s="6" t="n">
        <v>202.9</v>
      </c>
      <c r="N42" s="6" t="n">
        <v>99.5</v>
      </c>
      <c r="O42" s="6" t="n">
        <v>169.1</v>
      </c>
      <c r="P42" s="6" t="n">
        <v>140.5</v>
      </c>
      <c r="Q42" s="6" t="n">
        <v>210.8</v>
      </c>
      <c r="R42" s="6" t="n">
        <v>109.6</v>
      </c>
      <c r="S42" s="6" t="n">
        <v>102.5</v>
      </c>
      <c r="T42" s="6" t="n">
        <v>106.9</v>
      </c>
      <c r="U42" s="6" t="n">
        <v>108.9</v>
      </c>
      <c r="V42" s="6" t="n">
        <v>135</v>
      </c>
      <c r="W42" s="6" t="n">
        <v>124.1</v>
      </c>
      <c r="X42" s="6" t="n">
        <v>128.4</v>
      </c>
      <c r="Y42" s="6" t="n">
        <v>86.3</v>
      </c>
      <c r="Z42" s="6" t="n">
        <v>70.3</v>
      </c>
      <c r="AA42" s="6" t="n">
        <v>76.7</v>
      </c>
      <c r="AB42" s="6" t="n">
        <v>92.59999999999999</v>
      </c>
      <c r="AC42" s="6" t="n">
        <v>61.2</v>
      </c>
      <c r="AD42" s="6" t="n">
        <v>52.3</v>
      </c>
      <c r="AE42" s="6" t="n">
        <v>41.9</v>
      </c>
      <c r="AF42" s="6" t="n">
        <v>53.2</v>
      </c>
      <c r="AG42" s="6" t="n">
        <v>66.3</v>
      </c>
      <c r="AH42" s="6" t="n">
        <v>42.9</v>
      </c>
      <c r="AI42" s="6" t="n"/>
      <c r="AJ42" s="6" t="n">
        <v>34.8</v>
      </c>
      <c r="AK42" s="6" t="n">
        <v>23.2</v>
      </c>
      <c r="AL42" s="6" t="n"/>
      <c r="AM42" s="6" t="n">
        <v>20.4</v>
      </c>
      <c r="AN42" s="6" t="n">
        <v>19.2</v>
      </c>
      <c r="AO42" s="6" t="n">
        <v>16.1</v>
      </c>
      <c r="AP42" s="6" t="n">
        <v>19.8</v>
      </c>
      <c r="AQ42" s="6" t="n">
        <v>13.4</v>
      </c>
      <c r="AR42" s="6" t="n">
        <v>9.9</v>
      </c>
      <c r="AS42" s="6" t="n">
        <v>8.5</v>
      </c>
      <c r="AT42" s="6" t="n">
        <v>8.539999999999999</v>
      </c>
      <c r="AU42" s="6" t="n">
        <v>6.218</v>
      </c>
      <c r="AV42" s="6" t="n">
        <v>2.886</v>
      </c>
      <c r="AW42" s="6" t="n">
        <v>2.193</v>
      </c>
      <c r="AX42" s="6" t="n">
        <v>1.957</v>
      </c>
      <c r="AY42" s="6" t="n">
        <v>1.727</v>
      </c>
      <c r="AZ42" s="6" t="n">
        <v>0.956</v>
      </c>
      <c r="BA42" s="6" t="n">
        <v>0.82</v>
      </c>
      <c r="BB42" s="6" t="n">
        <v>0.829</v>
      </c>
    </row>
    <row r="43">
      <c r="A43" s="6" t="inlineStr">
        <is>
          <t>Accruals and deferred income</t>
        </is>
      </c>
      <c r="B43" s="6" t="n">
        <v>46.6</v>
      </c>
      <c r="C43" s="6" t="n">
        <v>22.7</v>
      </c>
      <c r="D43" s="6" t="n">
        <v>32.4</v>
      </c>
      <c r="E43" s="6" t="n">
        <v>36.8</v>
      </c>
      <c r="F43" s="6" t="n">
        <v>34.8</v>
      </c>
      <c r="G43" s="6" t="n">
        <v>58.4</v>
      </c>
      <c r="H43" s="6" t="n">
        <v>49.8</v>
      </c>
      <c r="I43" s="6" t="n">
        <v>59.9</v>
      </c>
      <c r="J43" s="6" t="n">
        <v>115.3</v>
      </c>
      <c r="K43" s="6" t="n">
        <v>152.5</v>
      </c>
      <c r="L43" s="6" t="n">
        <v>16</v>
      </c>
      <c r="M43" s="6" t="n">
        <v>54.1</v>
      </c>
      <c r="N43" s="6" t="n">
        <v>15.5</v>
      </c>
      <c r="O43" s="6" t="n">
        <v>33.1</v>
      </c>
      <c r="P43" s="6" t="n">
        <v>117</v>
      </c>
      <c r="Q43" s="6" t="n">
        <v>134.3</v>
      </c>
      <c r="R43" s="6" t="n">
        <v>30.3</v>
      </c>
      <c r="S43" s="6" t="n">
        <v>32.5</v>
      </c>
      <c r="T43" s="6" t="n">
        <v>75.3</v>
      </c>
      <c r="U43" s="6" t="n">
        <v>71.5</v>
      </c>
      <c r="V43" s="6" t="n">
        <v>146.9</v>
      </c>
      <c r="W43" s="6" t="n">
        <v>127.3</v>
      </c>
      <c r="X43" s="6" t="n">
        <v>122.2</v>
      </c>
      <c r="Y43" s="6" t="n">
        <v>126.1</v>
      </c>
      <c r="Z43" s="6" t="n">
        <v>111.4</v>
      </c>
      <c r="AA43" s="6" t="n">
        <v>83.09999999999999</v>
      </c>
      <c r="AB43" s="6" t="n">
        <v>84.8</v>
      </c>
      <c r="AC43" s="6" t="n">
        <v>94.7</v>
      </c>
      <c r="AD43" s="6" t="n">
        <v>65.2</v>
      </c>
      <c r="AE43" s="6" t="n">
        <v>51.9</v>
      </c>
      <c r="AF43" s="6" t="n">
        <v>30.8</v>
      </c>
      <c r="AG43" s="6" t="n">
        <v>16</v>
      </c>
      <c r="AH43" s="6" t="n">
        <v>13.7</v>
      </c>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Liabilities directly associated with non-current assets classified as held for sale</t>
        </is>
      </c>
      <c r="B44" s="6" t="n"/>
      <c r="C44" s="6" t="n"/>
      <c r="D44" s="6" t="n"/>
      <c r="E44" s="6" t="n"/>
      <c r="F44" s="6" t="n"/>
      <c r="G44" s="6" t="n"/>
      <c r="H44" s="6" t="n"/>
      <c r="I44" s="6" t="n"/>
      <c r="J44" s="6" t="n"/>
      <c r="K44" s="6" t="n"/>
      <c r="L44" s="6" t="n">
        <v>7.9</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Items in the course of transmission to other banks</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v>7.5</v>
      </c>
      <c r="W45" s="6" t="n">
        <v>7.1</v>
      </c>
      <c r="X45" s="6" t="n">
        <v>6.7</v>
      </c>
      <c r="Y45" s="6" t="n">
        <v>9.9</v>
      </c>
      <c r="Z45" s="6" t="n">
        <v>11.1</v>
      </c>
      <c r="AA45" s="6" t="n">
        <v>8.4</v>
      </c>
      <c r="AB45" s="6" t="n">
        <v>7.1</v>
      </c>
      <c r="AC45" s="6" t="n">
        <v>7.9</v>
      </c>
      <c r="AD45" s="6" t="n">
        <v>5.8</v>
      </c>
      <c r="AE45" s="6" t="n">
        <v>3.7</v>
      </c>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Creditors, accrued expenses and accrued preference dividend (FY1991 only)</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v>30.4</v>
      </c>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Provisions</t>
        </is>
      </c>
      <c r="B47" s="6" t="n">
        <v>10.1</v>
      </c>
      <c r="C47" s="6" t="n">
        <v>31.7</v>
      </c>
      <c r="D47" s="6" t="n">
        <v>33.1</v>
      </c>
      <c r="E47" s="6" t="n">
        <v>33.8</v>
      </c>
      <c r="F47" s="6" t="n">
        <v>46</v>
      </c>
      <c r="G47" s="6" t="n">
        <v>86.8</v>
      </c>
      <c r="H47" s="6" t="n">
        <v>103</v>
      </c>
      <c r="I47" s="6" t="n">
        <v>157.4</v>
      </c>
      <c r="J47" s="6" t="n">
        <v>276.4</v>
      </c>
      <c r="K47" s="6" t="n">
        <v>499.2</v>
      </c>
      <c r="L47" s="6" t="n">
        <v>617.5</v>
      </c>
      <c r="M47" s="6" t="n">
        <v>576</v>
      </c>
      <c r="N47" s="6" t="n">
        <v>161.6</v>
      </c>
      <c r="O47" s="6" t="n">
        <v>93.40000000000001</v>
      </c>
      <c r="P47" s="6" t="n">
        <v>39.3</v>
      </c>
      <c r="Q47" s="6" t="n">
        <v>25.6</v>
      </c>
      <c r="R47" s="6" t="n">
        <v>14.7</v>
      </c>
      <c r="S47" s="6" t="n">
        <v>8.800000000000001</v>
      </c>
      <c r="T47" s="6" t="n">
        <v>5.9</v>
      </c>
      <c r="U47" s="6" t="n">
        <v>5.2</v>
      </c>
      <c r="V47" s="6" t="n">
        <v>6</v>
      </c>
      <c r="W47" s="6" t="n">
        <v>6.9</v>
      </c>
      <c r="X47" s="6" t="n">
        <v>9.9</v>
      </c>
      <c r="Y47" s="6" t="n">
        <v>3.6</v>
      </c>
      <c r="Z47" s="6" t="n">
        <v>2.6</v>
      </c>
      <c r="AA47" s="6" t="n">
        <v>2.8</v>
      </c>
      <c r="AB47" s="6" t="n"/>
      <c r="AC47" s="6" t="n"/>
      <c r="AD47" s="6" t="n"/>
      <c r="AE47" s="6" t="n">
        <v>2.8</v>
      </c>
      <c r="AF47" s="6" t="n">
        <v>2.6</v>
      </c>
      <c r="AG47" s="6" t="n">
        <v>1.1</v>
      </c>
      <c r="AH47" s="6" t="n">
        <v>2.6</v>
      </c>
      <c r="AI47" s="6" t="n">
        <v>1.1</v>
      </c>
      <c r="AJ47" s="6" t="n">
        <v>3</v>
      </c>
      <c r="AK47" s="6" t="n">
        <v>3.1</v>
      </c>
      <c r="AL47" s="6" t="n">
        <v>5.3</v>
      </c>
      <c r="AM47" s="6" t="n">
        <v>5.6</v>
      </c>
      <c r="AN47" s="6" t="n">
        <v>5.1</v>
      </c>
      <c r="AO47" s="6" t="n">
        <v>7.4</v>
      </c>
      <c r="AP47" s="6" t="n">
        <v>8.300000000000001</v>
      </c>
      <c r="AQ47" s="6" t="n">
        <v>1.4</v>
      </c>
      <c r="AR47" s="6" t="n">
        <v>0.1</v>
      </c>
      <c r="AS47" s="6" t="n">
        <v>0.4</v>
      </c>
      <c r="AT47" s="6" t="n">
        <v>0.26</v>
      </c>
      <c r="AU47" s="6" t="n">
        <v>0.447</v>
      </c>
      <c r="AV47" s="6" t="n">
        <v>0.873</v>
      </c>
      <c r="AW47" s="6" t="n">
        <v>0.658</v>
      </c>
      <c r="AX47" s="6" t="n">
        <v>0.593</v>
      </c>
      <c r="AY47" s="6" t="n">
        <v>0.5600000000000001</v>
      </c>
      <c r="AZ47" s="6" t="n">
        <v>0.025</v>
      </c>
      <c r="BA47" s="6" t="n"/>
      <c r="BB47" s="6" t="n"/>
    </row>
    <row r="48">
      <c r="A48" s="6" t="inlineStr">
        <is>
          <t>Current tax liabilities</t>
        </is>
      </c>
      <c r="B48" s="6" t="n"/>
      <c r="C48" s="6" t="n"/>
      <c r="D48" s="6" t="n"/>
      <c r="E48" s="6" t="n"/>
      <c r="F48" s="6" t="n"/>
      <c r="G48" s="6" t="n"/>
      <c r="H48" s="6" t="n"/>
      <c r="I48" s="6" t="n"/>
      <c r="J48" s="6" t="n"/>
      <c r="K48" s="6" t="n">
        <v>0.3</v>
      </c>
      <c r="L48" s="6" t="n">
        <v>0.3</v>
      </c>
      <c r="M48" s="6" t="n">
        <v>4.2</v>
      </c>
      <c r="N48" s="6" t="n"/>
      <c r="O48" s="6" t="n"/>
      <c r="P48" s="6" t="n">
        <v>17.3</v>
      </c>
      <c r="Q48" s="6" t="n"/>
      <c r="R48" s="6" t="n"/>
      <c r="S48" s="6" t="n">
        <v>2.9</v>
      </c>
      <c r="T48" s="6" t="n"/>
      <c r="U48" s="6" t="n"/>
      <c r="V48" s="6" t="n"/>
      <c r="W48" s="6" t="n"/>
      <c r="X48" s="6" t="n"/>
      <c r="Y48" s="6" t="n"/>
      <c r="Z48" s="6" t="n"/>
      <c r="AA48" s="6" t="n"/>
      <c r="AB48" s="6" t="n"/>
      <c r="AC48" s="6" t="n"/>
      <c r="AD48" s="6" t="n"/>
      <c r="AE48" s="6" t="n"/>
      <c r="AF48" s="6" t="n"/>
      <c r="AG48" s="6" t="n"/>
      <c r="AH48" s="6" t="n"/>
      <c r="AI48" s="6" t="n"/>
      <c r="AJ48" s="6" t="n">
        <v>0</v>
      </c>
      <c r="AK48" s="6" t="n">
        <v>9.1</v>
      </c>
      <c r="AL48" s="6" t="n"/>
      <c r="AM48" s="6" t="n">
        <v>6.7</v>
      </c>
      <c r="AN48" s="6" t="n">
        <v>5.9</v>
      </c>
      <c r="AO48" s="6" t="n"/>
      <c r="AP48" s="6" t="n"/>
      <c r="AQ48" s="6" t="n"/>
      <c r="AR48" s="6" t="n"/>
      <c r="AS48" s="6" t="n"/>
      <c r="AT48" s="6" t="n"/>
      <c r="AU48" s="6" t="n"/>
      <c r="AV48" s="6" t="n"/>
      <c r="AW48" s="6" t="n"/>
      <c r="AX48" s="6" t="n"/>
      <c r="AY48" s="6" t="n"/>
      <c r="AZ48" s="6" t="n"/>
      <c r="BA48" s="6" t="n"/>
      <c r="BB48" s="6" t="n"/>
    </row>
    <row r="49">
      <c r="A49" s="6" t="inlineStr">
        <is>
          <t>Lease liabilities</t>
        </is>
      </c>
      <c r="B49" s="6" t="n">
        <v>26.2</v>
      </c>
      <c r="C49" s="6" t="n">
        <v>30.1</v>
      </c>
      <c r="D49" s="6" t="n">
        <v>31</v>
      </c>
      <c r="E49" s="6" t="n">
        <v>44.1</v>
      </c>
      <c r="F49" s="6" t="n">
        <v>53.6</v>
      </c>
      <c r="G49" s="6" t="n">
        <v>71.2</v>
      </c>
      <c r="H49" s="6" t="n"/>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c r="AR49" s="6" t="n"/>
      <c r="AS49" s="6" t="n"/>
      <c r="AT49" s="6" t="n"/>
      <c r="AU49" s="6" t="n"/>
      <c r="AV49" s="6" t="n"/>
      <c r="AW49" s="6" t="n"/>
      <c r="AX49" s="6" t="n"/>
      <c r="AY49" s="6" t="n"/>
      <c r="AZ49" s="6" t="n"/>
      <c r="BA49" s="6" t="n"/>
      <c r="BB49" s="6" t="n"/>
    </row>
    <row r="50">
      <c r="A50" s="6" t="inlineStr">
        <is>
          <t>Deferred tax liabilities</t>
        </is>
      </c>
      <c r="B50" s="6" t="n"/>
      <c r="C50" s="6" t="n"/>
      <c r="D50" s="6" t="n"/>
      <c r="E50" s="6" t="n"/>
      <c r="F50" s="6" t="n">
        <v>38.2</v>
      </c>
      <c r="G50" s="6" t="n">
        <v>43.3</v>
      </c>
      <c r="H50" s="6" t="n">
        <v>38.7</v>
      </c>
      <c r="I50" s="6" t="n"/>
      <c r="J50" s="6" t="n">
        <v>14.2</v>
      </c>
      <c r="K50" s="6" t="n">
        <v>47.8</v>
      </c>
      <c r="L50" s="6" t="n">
        <v>84</v>
      </c>
      <c r="M50" s="6" t="n">
        <v>92.5</v>
      </c>
      <c r="N50" s="6" t="n"/>
      <c r="O50" s="6" t="n"/>
      <c r="P50" s="6" t="n"/>
      <c r="Q50" s="6" t="n"/>
      <c r="R50" s="6" t="n">
        <v>22.5</v>
      </c>
      <c r="S50" s="6" t="n">
        <v>0.7</v>
      </c>
      <c r="T50" s="6" t="n"/>
      <c r="U50" s="6" t="n">
        <v>5.9</v>
      </c>
      <c r="V50" s="6" t="n">
        <v>4.5</v>
      </c>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6" t="inlineStr">
        <is>
          <t>Net retirement benefit liability</t>
        </is>
      </c>
      <c r="B51" s="6" t="n">
        <v>5.2</v>
      </c>
      <c r="C51" s="6" t="n">
        <v>5.9</v>
      </c>
      <c r="D51" s="6" t="n">
        <v>5.9</v>
      </c>
      <c r="E51" s="6" t="n">
        <v>8.1</v>
      </c>
      <c r="F51" s="6" t="n">
        <v>8.800000000000001</v>
      </c>
      <c r="G51" s="6" t="n">
        <v>8.6</v>
      </c>
      <c r="H51" s="6" t="n">
        <v>7.6</v>
      </c>
      <c r="I51" s="6" t="n">
        <v>11.3</v>
      </c>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6" t="inlineStr">
        <is>
          <t>Retirement benefit obligations</t>
        </is>
      </c>
      <c r="B52" s="6" t="n"/>
      <c r="C52" s="6" t="n"/>
      <c r="D52" s="6" t="n"/>
      <c r="E52" s="6" t="n"/>
      <c r="F52" s="6" t="n"/>
      <c r="G52" s="6" t="n"/>
      <c r="H52" s="6" t="n"/>
      <c r="I52" s="6" t="n"/>
      <c r="J52" s="6" t="n"/>
      <c r="K52" s="6" t="n"/>
      <c r="L52" s="6" t="n"/>
      <c r="M52" s="6" t="n"/>
      <c r="N52" s="6" t="n"/>
      <c r="O52" s="6" t="n"/>
      <c r="P52" s="6" t="n"/>
      <c r="Q52" s="6" t="n"/>
      <c r="R52" s="6" t="n"/>
      <c r="S52" s="6" t="n"/>
      <c r="T52" s="6" t="n"/>
      <c r="U52" s="6" t="n">
        <v>90</v>
      </c>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Proposed dividend</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v>0.4</v>
      </c>
      <c r="AU53" s="6" t="n"/>
      <c r="AV53" s="6" t="n"/>
      <c r="AW53" s="6" t="n"/>
      <c r="AX53" s="6" t="n"/>
      <c r="AY53" s="6" t="n"/>
      <c r="AZ53" s="6" t="n"/>
      <c r="BA53" s="6" t="n"/>
      <c r="BB53" s="6" t="n"/>
    </row>
    <row r="54">
      <c r="A54" s="5" t="inlineStr">
        <is>
          <t>Total liabilities</t>
        </is>
      </c>
      <c r="B54" s="5" t="n">
        <v>24780</v>
      </c>
      <c r="C54" s="5" t="n">
        <v>25117.3</v>
      </c>
      <c r="D54" s="5" t="n">
        <v>27692.9</v>
      </c>
      <c r="E54" s="5" t="n">
        <v>28494.7</v>
      </c>
      <c r="F54" s="5" t="n">
        <v>26326.9</v>
      </c>
      <c r="G54" s="5" t="n">
        <v>24772.9</v>
      </c>
      <c r="H54" s="5" t="n">
        <v>23291.6</v>
      </c>
      <c r="I54" s="5" t="n">
        <v>25436.1</v>
      </c>
      <c r="J54" s="5" t="n">
        <v>26629.8</v>
      </c>
      <c r="K54" s="5" t="n">
        <v>27665</v>
      </c>
      <c r="L54" s="5" t="n">
        <v>35568.4</v>
      </c>
      <c r="M54" s="5" t="n">
        <v>41618.8</v>
      </c>
      <c r="N54" s="5" t="n">
        <v>50189.4</v>
      </c>
      <c r="O54" s="5" t="n">
        <v>48805.3</v>
      </c>
      <c r="P54" s="5" t="n">
        <v>46711.4</v>
      </c>
      <c r="Q54" s="5" t="n">
        <v>45300.2</v>
      </c>
      <c r="R54" s="5" t="n">
        <v>15687.7</v>
      </c>
      <c r="S54" s="5" t="n">
        <v>11863.5</v>
      </c>
      <c r="T54" s="5" t="n">
        <v>11643.6</v>
      </c>
      <c r="U54" s="5" t="n">
        <v>10782.6</v>
      </c>
      <c r="V54" s="5" t="n">
        <v>9837.1</v>
      </c>
      <c r="W54" s="5" t="n">
        <v>8569.299999999999</v>
      </c>
      <c r="X54" s="5" t="n">
        <v>7887</v>
      </c>
      <c r="Y54" s="5" t="n">
        <v>7132.5</v>
      </c>
      <c r="Z54" s="5" t="n">
        <v>6170.4</v>
      </c>
      <c r="AA54" s="5" t="n">
        <v>5707.4</v>
      </c>
      <c r="AB54" s="5" t="n">
        <v>5074.2</v>
      </c>
      <c r="AC54" s="5" t="n">
        <v>4866.9</v>
      </c>
      <c r="AD54" s="5" t="n">
        <v>4115.8</v>
      </c>
      <c r="AE54" s="5" t="n">
        <v>3552</v>
      </c>
      <c r="AF54" s="5" t="n">
        <v>2949.8</v>
      </c>
      <c r="AG54" s="5" t="n">
        <v>3079.7</v>
      </c>
      <c r="AH54" s="5" t="n">
        <v>2826.7</v>
      </c>
      <c r="AI54" s="5" t="n">
        <v>2431</v>
      </c>
      <c r="AJ54" s="5" t="n">
        <v>2626.6</v>
      </c>
      <c r="AK54" s="5" t="n">
        <v>2386.5</v>
      </c>
      <c r="AL54" s="5" t="n">
        <v>1955.5</v>
      </c>
      <c r="AM54" s="5" t="n">
        <v>1453.5</v>
      </c>
      <c r="AN54" s="5" t="n">
        <v>1371.3</v>
      </c>
      <c r="AO54" s="5" t="n">
        <v>1036.3</v>
      </c>
      <c r="AP54" s="5" t="n">
        <v>991.3</v>
      </c>
      <c r="AQ54" s="5" t="n">
        <v>847.9</v>
      </c>
      <c r="AR54" s="5" t="n">
        <v>765.9</v>
      </c>
      <c r="AS54" s="5" t="n">
        <v>653.4</v>
      </c>
      <c r="AT54" s="5" t="n">
        <v>536.2430000000001</v>
      </c>
      <c r="AU54" s="5" t="n">
        <v>464.338</v>
      </c>
      <c r="AV54" s="5" t="n">
        <v>347.664</v>
      </c>
      <c r="AW54" s="5" t="n">
        <v>307.712</v>
      </c>
      <c r="AX54" s="5" t="n">
        <v>273.804</v>
      </c>
      <c r="AY54" s="5" t="n">
        <v>237.275</v>
      </c>
      <c r="AZ54" s="5" t="n">
        <v>215.542</v>
      </c>
      <c r="BA54" s="5" t="n">
        <v>199.271</v>
      </c>
      <c r="BB54" s="5" t="n">
        <v>163.839</v>
      </c>
    </row>
    <row r="55">
      <c r="A55" s="5" t="inlineStr">
        <is>
          <t>Equity</t>
        </is>
      </c>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Ordinary share capital</t>
        </is>
      </c>
      <c r="B56" s="6" t="n">
        <v>25.6</v>
      </c>
      <c r="C56" s="6" t="n">
        <v>25.6</v>
      </c>
      <c r="D56" s="6" t="n">
        <v>25.6</v>
      </c>
      <c r="E56" s="6" t="n">
        <v>25.6</v>
      </c>
      <c r="F56" s="6" t="n">
        <v>25.6</v>
      </c>
      <c r="G56" s="6" t="n">
        <v>25.6</v>
      </c>
      <c r="H56" s="6" t="n">
        <v>25.6</v>
      </c>
      <c r="I56" s="6" t="n">
        <v>25.6</v>
      </c>
      <c r="J56" s="6" t="n">
        <v>22.6</v>
      </c>
      <c r="K56" s="6" t="n">
        <v>22.6</v>
      </c>
      <c r="L56" s="6" t="n">
        <v>22.6</v>
      </c>
      <c r="M56" s="6" t="n">
        <v>12.5</v>
      </c>
      <c r="N56" s="6" t="n">
        <v>410</v>
      </c>
      <c r="O56" s="6" t="n">
        <v>410</v>
      </c>
      <c r="P56" s="6" t="n">
        <v>410</v>
      </c>
      <c r="Q56" s="6" t="n">
        <v>230</v>
      </c>
      <c r="R56" s="6" t="n">
        <v>55</v>
      </c>
      <c r="S56" s="6" t="n">
        <v>55</v>
      </c>
      <c r="T56" s="6" t="n">
        <v>55</v>
      </c>
      <c r="U56" s="6" t="n">
        <v>55</v>
      </c>
      <c r="V56" s="6" t="n">
        <v>55</v>
      </c>
      <c r="W56" s="6" t="n">
        <v>55</v>
      </c>
      <c r="X56" s="6" t="n">
        <v>35</v>
      </c>
      <c r="Y56" s="6" t="n">
        <v>35</v>
      </c>
      <c r="Z56" s="6" t="n">
        <v>35</v>
      </c>
      <c r="AA56" s="6" t="n">
        <v>35</v>
      </c>
      <c r="AB56" s="6" t="n">
        <v>35</v>
      </c>
      <c r="AC56" s="6" t="n">
        <v>35</v>
      </c>
      <c r="AD56" s="6" t="n">
        <v>30</v>
      </c>
      <c r="AE56" s="6" t="n">
        <v>30</v>
      </c>
      <c r="AF56" s="6" t="n">
        <v>30</v>
      </c>
      <c r="AG56" s="6" t="n">
        <v>30</v>
      </c>
      <c r="AH56" s="6" t="n">
        <v>30</v>
      </c>
      <c r="AI56" s="6" t="n">
        <v>30</v>
      </c>
      <c r="AJ56" s="6" t="n">
        <v>30</v>
      </c>
      <c r="AK56" s="6" t="n">
        <v>30</v>
      </c>
      <c r="AL56" s="6" t="n">
        <v>30</v>
      </c>
      <c r="AM56" s="6" t="n">
        <v>30</v>
      </c>
      <c r="AN56" s="6" t="n">
        <v>25</v>
      </c>
      <c r="AO56" s="6" t="n">
        <v>25</v>
      </c>
      <c r="AP56" s="6" t="n">
        <v>25</v>
      </c>
      <c r="AQ56" s="6" t="n">
        <v>11.2</v>
      </c>
      <c r="AR56" s="6" t="n">
        <v>11.2</v>
      </c>
      <c r="AS56" s="6" t="n">
        <v>8</v>
      </c>
      <c r="AT56" s="6" t="n">
        <v>8</v>
      </c>
      <c r="AU56" s="6" t="n">
        <v>8</v>
      </c>
      <c r="AV56" s="6" t="n">
        <v>8</v>
      </c>
      <c r="AW56" s="6" t="n">
        <v>8</v>
      </c>
      <c r="AX56" s="6" t="n">
        <v>8</v>
      </c>
      <c r="AY56" s="6" t="n">
        <v>8</v>
      </c>
      <c r="AZ56" s="6" t="n">
        <v>8</v>
      </c>
      <c r="BA56" s="6" t="n">
        <v>8</v>
      </c>
      <c r="BB56" s="6" t="n">
        <v>4</v>
      </c>
    </row>
    <row r="57">
      <c r="A57" s="6" t="inlineStr">
        <is>
          <t>Preference share capital (non-equity)</t>
        </is>
      </c>
      <c r="B57" s="6" t="n"/>
      <c r="C57" s="6" t="n"/>
      <c r="D57" s="6" t="n"/>
      <c r="E57" s="6" t="n"/>
      <c r="F57" s="6" t="n"/>
      <c r="G57" s="6" t="n"/>
      <c r="H57" s="6" t="n"/>
      <c r="I57" s="6" t="n"/>
      <c r="J57" s="6" t="n"/>
      <c r="K57" s="6" t="n"/>
      <c r="L57" s="6" t="n"/>
      <c r="M57" s="6" t="n"/>
      <c r="N57" s="6" t="n"/>
      <c r="O57" s="6" t="n"/>
      <c r="P57" s="6" t="n"/>
      <c r="Q57" s="6" t="n"/>
      <c r="R57" s="6" t="n"/>
      <c r="S57" s="6" t="n"/>
      <c r="T57" s="6" t="n"/>
      <c r="U57" s="6" t="n"/>
      <c r="V57" s="6" t="n">
        <v>60</v>
      </c>
      <c r="W57" s="6" t="n">
        <v>60</v>
      </c>
      <c r="X57" s="6" t="n">
        <v>60</v>
      </c>
      <c r="Y57" s="6" t="n">
        <v>60</v>
      </c>
      <c r="Z57" s="6" t="n">
        <v>60</v>
      </c>
      <c r="AA57" s="6" t="n">
        <v>60</v>
      </c>
      <c r="AB57" s="6" t="n">
        <v>60</v>
      </c>
      <c r="AC57" s="6" t="n">
        <v>60</v>
      </c>
      <c r="AD57" s="6" t="n">
        <v>60</v>
      </c>
      <c r="AE57" s="6" t="n">
        <v>60</v>
      </c>
      <c r="AF57" s="6" t="n">
        <v>60</v>
      </c>
      <c r="AG57" s="6" t="n">
        <v>60</v>
      </c>
      <c r="AH57" s="6" t="n">
        <v>60</v>
      </c>
      <c r="AI57" s="6" t="n">
        <v>60</v>
      </c>
      <c r="AJ57" s="6" t="n">
        <v>60</v>
      </c>
      <c r="AK57" s="6" t="n">
        <v>60</v>
      </c>
      <c r="AL57" s="6" t="n">
        <v>40</v>
      </c>
      <c r="AM57" s="6" t="n"/>
      <c r="AN57" s="6" t="n"/>
      <c r="AO57" s="6" t="n"/>
      <c r="AP57" s="6" t="n"/>
      <c r="AQ57" s="6" t="n"/>
      <c r="AR57" s="6" t="n"/>
      <c r="AS57" s="6" t="n"/>
      <c r="AT57" s="6" t="n"/>
      <c r="AU57" s="6" t="n"/>
      <c r="AV57" s="6" t="n"/>
      <c r="AW57" s="6" t="n"/>
      <c r="AX57" s="6" t="n"/>
      <c r="AY57" s="6" t="n"/>
      <c r="AZ57" s="6" t="n"/>
      <c r="BA57" s="6" t="n"/>
      <c r="BB57" s="6" t="n"/>
    </row>
    <row r="58">
      <c r="A58" s="6" t="inlineStr">
        <is>
          <t>Share premium account</t>
        </is>
      </c>
      <c r="B58" s="6" t="n"/>
      <c r="C58" s="6" t="n"/>
      <c r="D58" s="6" t="n"/>
      <c r="E58" s="6" t="n"/>
      <c r="F58" s="6" t="n">
        <v>2416.9</v>
      </c>
      <c r="G58" s="6" t="n">
        <v>2416.9</v>
      </c>
      <c r="H58" s="6" t="n">
        <v>2416.9</v>
      </c>
      <c r="I58" s="6" t="n">
        <v>2416.9</v>
      </c>
      <c r="J58" s="6" t="n">
        <v>1736.9</v>
      </c>
      <c r="K58" s="6" t="n">
        <v>1736.9</v>
      </c>
      <c r="L58" s="6" t="n">
        <v>1736.9</v>
      </c>
      <c r="M58" s="6" t="n">
        <v>1359.8</v>
      </c>
      <c r="N58" s="6" t="n">
        <v>8.800000000000001</v>
      </c>
      <c r="O58" s="6" t="n">
        <v>8.800000000000001</v>
      </c>
      <c r="P58" s="6" t="n">
        <v>8.800000000000001</v>
      </c>
      <c r="Q58" s="6" t="n">
        <v>8.800000000000001</v>
      </c>
      <c r="R58" s="6" t="n">
        <v>8.800000000000001</v>
      </c>
      <c r="S58" s="6" t="n">
        <v>8.800000000000001</v>
      </c>
      <c r="T58" s="6" t="n">
        <v>8.800000000000001</v>
      </c>
      <c r="U58" s="6" t="n">
        <v>8.800000000000001</v>
      </c>
      <c r="V58" s="6" t="n">
        <v>8.800000000000001</v>
      </c>
      <c r="W58" s="6" t="n">
        <v>8.800000000000001</v>
      </c>
      <c r="X58" s="6" t="n">
        <v>8.800000000000001</v>
      </c>
      <c r="Y58" s="6" t="n">
        <v>8.800000000000001</v>
      </c>
      <c r="Z58" s="6" t="n">
        <v>8.800000000000001</v>
      </c>
      <c r="AA58" s="6" t="n">
        <v>8.800000000000001</v>
      </c>
      <c r="AB58" s="6" t="n">
        <v>8.800000000000001</v>
      </c>
      <c r="AC58" s="6" t="n">
        <v>8.800000000000001</v>
      </c>
      <c r="AD58" s="6" t="n">
        <v>8.800000000000001</v>
      </c>
      <c r="AE58" s="6" t="n">
        <v>8.800000000000001</v>
      </c>
      <c r="AF58" s="6" t="n">
        <v>8.800000000000001</v>
      </c>
      <c r="AG58" s="6" t="n">
        <v>8.800000000000001</v>
      </c>
      <c r="AH58" s="6" t="n">
        <v>8.800000000000001</v>
      </c>
      <c r="AI58" s="6" t="n">
        <v>8.800000000000001</v>
      </c>
      <c r="AJ58" s="6" t="n">
        <v>8.800000000000001</v>
      </c>
      <c r="AK58" s="6" t="n">
        <v>8.800000000000001</v>
      </c>
      <c r="AL58" s="6" t="n">
        <v>8.800000000000001</v>
      </c>
      <c r="AM58" s="6" t="n">
        <v>9.6</v>
      </c>
      <c r="AN58" s="6" t="n">
        <v>9.699999999999999</v>
      </c>
      <c r="AO58" s="6" t="n">
        <v>9.699999999999999</v>
      </c>
      <c r="AP58" s="6" t="n">
        <v>9.699999999999999</v>
      </c>
      <c r="AQ58" s="6" t="n">
        <v>9.800000000000001</v>
      </c>
      <c r="AR58" s="6" t="n"/>
      <c r="AS58" s="6" t="n"/>
      <c r="AT58" s="6" t="n"/>
      <c r="AU58" s="6" t="n"/>
      <c r="AV58" s="6" t="n"/>
      <c r="AW58" s="6" t="n"/>
      <c r="AX58" s="6" t="n"/>
      <c r="AY58" s="6" t="n"/>
      <c r="AZ58" s="6" t="n"/>
      <c r="BA58" s="6" t="n"/>
      <c r="BB58" s="6" t="n"/>
    </row>
    <row r="59">
      <c r="A59" s="6" t="inlineStr">
        <is>
          <t>Retained earnings</t>
        </is>
      </c>
      <c r="B59" s="6" t="n">
        <v>1328.6</v>
      </c>
      <c r="C59" s="6" t="n">
        <v>1398.2</v>
      </c>
      <c r="D59" s="6" t="n">
        <v>1241.1</v>
      </c>
      <c r="E59" s="6" t="n">
        <v>1218.8</v>
      </c>
      <c r="F59" s="6" t="n">
        <v>-1823.6</v>
      </c>
      <c r="G59" s="6" t="n">
        <v>-1736.2</v>
      </c>
      <c r="H59" s="6" t="n">
        <v>-1594.9</v>
      </c>
      <c r="I59" s="6" t="n">
        <v>-1514.4</v>
      </c>
      <c r="J59" s="6" t="n">
        <v>-1315.1</v>
      </c>
      <c r="K59" s="6" t="n">
        <v>-896.4</v>
      </c>
      <c r="L59" s="6" t="n">
        <v>-273.1</v>
      </c>
      <c r="M59" s="6" t="n">
        <v>-39.4</v>
      </c>
      <c r="N59" s="6" t="n">
        <v>1116.9</v>
      </c>
      <c r="O59" s="6" t="n">
        <v>1655</v>
      </c>
      <c r="P59" s="6" t="n">
        <v>1661.4</v>
      </c>
      <c r="Q59" s="6" t="n">
        <v>1588.5</v>
      </c>
      <c r="R59" s="6" t="n">
        <v>610.7</v>
      </c>
      <c r="S59" s="6" t="n">
        <v>597.9</v>
      </c>
      <c r="T59" s="6" t="n">
        <v>608.3</v>
      </c>
      <c r="U59" s="6" t="n">
        <v>506.8</v>
      </c>
      <c r="V59" s="6" t="n">
        <v>537.7</v>
      </c>
      <c r="W59" s="6" t="n">
        <v>475.2</v>
      </c>
      <c r="X59" s="6" t="n">
        <v>414.6</v>
      </c>
      <c r="Y59" s="6" t="n">
        <v>334.6</v>
      </c>
      <c r="Z59" s="6" t="n">
        <v>267.4</v>
      </c>
      <c r="AA59" s="6" t="n">
        <v>211.2</v>
      </c>
      <c r="AB59" s="6" t="n">
        <v>159.1</v>
      </c>
      <c r="AC59" s="6" t="n">
        <v>119</v>
      </c>
      <c r="AD59" s="6" t="n">
        <v>88.5</v>
      </c>
      <c r="AE59" s="6" t="n">
        <v>67.2</v>
      </c>
      <c r="AF59" s="6" t="n">
        <v>53.2</v>
      </c>
      <c r="AG59" s="6" t="n">
        <v>44.5</v>
      </c>
      <c r="AH59" s="6" t="n">
        <v>43.2</v>
      </c>
      <c r="AI59" s="6" t="n">
        <v>42.8</v>
      </c>
      <c r="AJ59" s="6" t="n">
        <v>49.4</v>
      </c>
      <c r="AK59" s="6" t="n">
        <v>59.3</v>
      </c>
      <c r="AL59" s="6" t="n">
        <v>57.1</v>
      </c>
      <c r="AM59" s="6" t="n">
        <v>47</v>
      </c>
      <c r="AN59" s="6" t="n">
        <v>42.8</v>
      </c>
      <c r="AO59" s="6" t="n">
        <v>35.5</v>
      </c>
      <c r="AP59" s="6" t="n">
        <v>30.6</v>
      </c>
      <c r="AQ59" s="6" t="n">
        <v>36.5</v>
      </c>
      <c r="AR59" s="6" t="n">
        <v>39</v>
      </c>
      <c r="AS59" s="6" t="n">
        <v>34.9</v>
      </c>
      <c r="AT59" s="6" t="n">
        <v>33.583</v>
      </c>
      <c r="AU59" s="6" t="n">
        <v>28.594</v>
      </c>
      <c r="AV59" s="6" t="n">
        <v>21.563</v>
      </c>
      <c r="AW59" s="6" t="n">
        <v>19.41</v>
      </c>
      <c r="AX59" s="6" t="n">
        <v>18.11</v>
      </c>
      <c r="AY59" s="6" t="n">
        <v>16.712</v>
      </c>
      <c r="AZ59" s="6" t="n">
        <v>15.754</v>
      </c>
      <c r="BA59" s="6" t="n">
        <v>14.65</v>
      </c>
      <c r="BB59" s="6" t="n">
        <v>17.277</v>
      </c>
    </row>
    <row r="60">
      <c r="A60" s="6" t="inlineStr">
        <is>
          <t>Other reserves</t>
        </is>
      </c>
      <c r="B60" s="6" t="n">
        <v>-81.3</v>
      </c>
      <c r="C60" s="6" t="n">
        <v>7.9</v>
      </c>
      <c r="D60" s="6" t="n">
        <v>27.6</v>
      </c>
      <c r="E60" s="6" t="n">
        <v>502.6</v>
      </c>
      <c r="F60" s="6" t="n">
        <v>832.4</v>
      </c>
      <c r="G60" s="6" t="n">
        <v>874.2</v>
      </c>
      <c r="H60" s="6" t="n">
        <v>859.4</v>
      </c>
      <c r="I60" s="6" t="n">
        <v>535.5</v>
      </c>
      <c r="J60" s="6" t="n">
        <v>514.1</v>
      </c>
      <c r="K60" s="6" t="n">
        <v>500.2</v>
      </c>
      <c r="L60" s="6" t="n">
        <v>493.6</v>
      </c>
      <c r="M60" s="6" t="n">
        <v>410.8</v>
      </c>
      <c r="N60" s="6" t="n">
        <v>93.40000000000001</v>
      </c>
      <c r="O60" s="6" t="n">
        <v>86.59999999999999</v>
      </c>
      <c r="P60" s="6" t="n">
        <v>23.3</v>
      </c>
      <c r="Q60" s="6" t="n">
        <v>40.2</v>
      </c>
      <c r="R60" s="6" t="n">
        <v>41.4</v>
      </c>
      <c r="S60" s="6" t="n">
        <v>-1.4</v>
      </c>
      <c r="T60" s="6" t="n">
        <v>-22.5</v>
      </c>
      <c r="U60" s="6" t="n">
        <v>11.9</v>
      </c>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c r="AR60" s="6" t="n"/>
      <c r="AS60" s="6" t="n"/>
      <c r="AT60" s="6" t="n"/>
      <c r="AU60" s="6" t="n"/>
      <c r="AV60" s="6" t="n"/>
      <c r="AW60" s="6" t="n"/>
      <c r="AX60" s="6" t="n"/>
      <c r="AY60" s="6" t="n"/>
      <c r="AZ60" s="6" t="n"/>
      <c r="BA60" s="6" t="n"/>
      <c r="BB60" s="6" t="n"/>
    </row>
    <row r="61">
      <c r="A61" s="6" t="inlineStr">
        <is>
          <t>Non-controlling interests</t>
        </is>
      </c>
      <c r="B61" s="6" t="n"/>
      <c r="C61" s="6" t="n"/>
      <c r="D61" s="6" t="n"/>
      <c r="E61" s="6" t="n"/>
      <c r="F61" s="6" t="n"/>
      <c r="G61" s="6" t="n"/>
      <c r="H61" s="6" t="n"/>
      <c r="I61" s="6" t="n"/>
      <c r="J61" s="6" t="n"/>
      <c r="K61" s="6" t="n">
        <v>0</v>
      </c>
      <c r="L61" s="6" t="n">
        <v>34.5</v>
      </c>
      <c r="M61" s="6" t="n">
        <v>33.6</v>
      </c>
      <c r="N61" s="6" t="n"/>
      <c r="O61" s="6" t="n"/>
      <c r="P61" s="6" t="n"/>
      <c r="Q61" s="6" t="n"/>
      <c r="R61" s="6" t="n"/>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c r="AR61" s="6" t="n"/>
      <c r="AS61" s="6" t="n"/>
      <c r="AT61" s="6" t="n"/>
      <c r="AU61" s="6" t="n"/>
      <c r="AV61" s="6" t="n"/>
      <c r="AW61" s="6" t="n"/>
      <c r="AX61" s="6" t="n"/>
      <c r="AY61" s="6" t="n"/>
      <c r="AZ61" s="6" t="n"/>
      <c r="BA61" s="6" t="n"/>
      <c r="BB61" s="6" t="n"/>
    </row>
    <row r="62">
      <c r="A62" s="5" t="inlineStr">
        <is>
          <t>Total equity</t>
        </is>
      </c>
      <c r="B62" s="5" t="n">
        <v>1272.9</v>
      </c>
      <c r="C62" s="5" t="n">
        <v>1431.7</v>
      </c>
      <c r="D62" s="5" t="n">
        <v>1294.3</v>
      </c>
      <c r="E62" s="5" t="n">
        <v>1747</v>
      </c>
      <c r="F62" s="5" t="n">
        <v>1451.3</v>
      </c>
      <c r="G62" s="5" t="n">
        <v>1580.5</v>
      </c>
      <c r="H62" s="5" t="n">
        <v>1707</v>
      </c>
      <c r="I62" s="5" t="n">
        <v>1463.6</v>
      </c>
      <c r="J62" s="5" t="n">
        <v>958.5</v>
      </c>
      <c r="K62" s="5" t="n">
        <v>1363.3</v>
      </c>
      <c r="L62" s="5" t="n">
        <v>2014.5</v>
      </c>
      <c r="M62" s="5" t="n">
        <v>1777.3</v>
      </c>
      <c r="N62" s="5" t="n">
        <v>1629.1</v>
      </c>
      <c r="O62" s="5" t="n">
        <v>2160.4</v>
      </c>
      <c r="P62" s="5" t="n">
        <v>2103.5</v>
      </c>
      <c r="Q62" s="5" t="n">
        <v>1867.5</v>
      </c>
      <c r="R62" s="5" t="n">
        <v>715.9</v>
      </c>
      <c r="S62" s="5" t="n">
        <v>660.3</v>
      </c>
      <c r="T62" s="5" t="n">
        <v>649.6</v>
      </c>
      <c r="U62" s="5" t="n">
        <v>582.5</v>
      </c>
      <c r="V62" s="5" t="n">
        <v>661.5</v>
      </c>
      <c r="W62" s="5" t="n">
        <v>599</v>
      </c>
      <c r="X62" s="5" t="n">
        <v>518.4</v>
      </c>
      <c r="Y62" s="5" t="n">
        <v>438.4</v>
      </c>
      <c r="Z62" s="5" t="n">
        <v>371.2</v>
      </c>
      <c r="AA62" s="5" t="n">
        <v>315</v>
      </c>
      <c r="AB62" s="5" t="n">
        <v>262.9</v>
      </c>
      <c r="AC62" s="5" t="n">
        <v>222.8</v>
      </c>
      <c r="AD62" s="5" t="n">
        <v>187.3</v>
      </c>
      <c r="AE62" s="5" t="n">
        <v>166</v>
      </c>
      <c r="AF62" s="5" t="n">
        <v>152.1</v>
      </c>
      <c r="AG62" s="5" t="n">
        <v>143.3</v>
      </c>
      <c r="AH62" s="5" t="n">
        <v>142.1</v>
      </c>
      <c r="AI62" s="5" t="n">
        <v>141.6</v>
      </c>
      <c r="AJ62" s="5" t="n">
        <v>148.2</v>
      </c>
      <c r="AK62" s="5" t="n">
        <v>158.1</v>
      </c>
      <c r="AL62" s="5" t="n">
        <v>135.9</v>
      </c>
      <c r="AM62" s="5" t="n">
        <v>86.59999999999999</v>
      </c>
      <c r="AN62" s="5" t="n">
        <v>77.5</v>
      </c>
      <c r="AO62" s="5" t="n">
        <v>70.2</v>
      </c>
      <c r="AP62" s="5" t="n">
        <v>65.3</v>
      </c>
      <c r="AQ62" s="5" t="n">
        <v>57.5</v>
      </c>
      <c r="AR62" s="5" t="n">
        <v>50.2</v>
      </c>
      <c r="AS62" s="5" t="n">
        <v>42.9</v>
      </c>
      <c r="AT62" s="5" t="n">
        <v>41.583</v>
      </c>
      <c r="AU62" s="5" t="n">
        <v>36.594</v>
      </c>
      <c r="AV62" s="5" t="n">
        <v>29.563</v>
      </c>
      <c r="AW62" s="5" t="n">
        <v>27.41</v>
      </c>
      <c r="AX62" s="5" t="n">
        <v>26.11</v>
      </c>
      <c r="AY62" s="5" t="n">
        <v>24.712</v>
      </c>
      <c r="AZ62" s="5" t="n">
        <v>23.754</v>
      </c>
      <c r="BA62" s="5" t="n">
        <v>22.65</v>
      </c>
      <c r="BB62" s="5" t="n">
        <v>21.277</v>
      </c>
    </row>
    <row r="63">
      <c r="A63" s="5" t="inlineStr">
        <is>
          <t>Total liabilities and equity</t>
        </is>
      </c>
      <c r="B63" s="5" t="n">
        <v>26052.9</v>
      </c>
      <c r="C63" s="5" t="n">
        <v>26549</v>
      </c>
      <c r="D63" s="5" t="n">
        <v>28987.2</v>
      </c>
      <c r="E63" s="5" t="n">
        <v>30241.7</v>
      </c>
      <c r="F63" s="5" t="n">
        <v>27778.2</v>
      </c>
      <c r="G63" s="5" t="n">
        <v>26353.4</v>
      </c>
      <c r="H63" s="5" t="n">
        <v>24998.6</v>
      </c>
      <c r="I63" s="5" t="n">
        <v>26899.7</v>
      </c>
      <c r="J63" s="5" t="n">
        <v>27588.3</v>
      </c>
      <c r="K63" s="5" t="n">
        <v>29028.3</v>
      </c>
      <c r="L63" s="5" t="n">
        <v>37582.9</v>
      </c>
      <c r="M63" s="5" t="n">
        <v>43396.1</v>
      </c>
      <c r="N63" s="5" t="n">
        <v>51818.5</v>
      </c>
      <c r="O63" s="5" t="n">
        <v>50965.7</v>
      </c>
      <c r="P63" s="5" t="n">
        <v>48814.9</v>
      </c>
      <c r="Q63" s="5" t="n">
        <v>47167.7</v>
      </c>
      <c r="R63" s="5" t="n">
        <v>16403.6</v>
      </c>
      <c r="S63" s="5" t="n">
        <v>12523.8</v>
      </c>
      <c r="T63" s="5" t="n">
        <v>12293.2</v>
      </c>
      <c r="U63" s="5" t="n">
        <v>11365.1</v>
      </c>
      <c r="V63" s="5" t="n">
        <v>10498.6</v>
      </c>
      <c r="W63" s="5" t="n">
        <v>9168.299999999999</v>
      </c>
      <c r="X63" s="5" t="n">
        <v>8405.4</v>
      </c>
      <c r="Y63" s="5" t="n">
        <v>7570.9</v>
      </c>
      <c r="Z63" s="5" t="n">
        <v>6541.6</v>
      </c>
      <c r="AA63" s="5" t="n">
        <v>6022.4</v>
      </c>
      <c r="AB63" s="5" t="n">
        <v>5337.1</v>
      </c>
      <c r="AC63" s="5" t="n">
        <v>5089.7</v>
      </c>
      <c r="AD63" s="5" t="n">
        <v>4303.1</v>
      </c>
      <c r="AE63" s="5" t="n">
        <v>3718</v>
      </c>
      <c r="AF63" s="5" t="n">
        <v>3101.9</v>
      </c>
      <c r="AG63" s="5" t="n">
        <v>3223</v>
      </c>
      <c r="AH63" s="5" t="n">
        <v>2968.8</v>
      </c>
      <c r="AI63" s="5" t="n">
        <v>2572.6</v>
      </c>
      <c r="AJ63" s="5" t="n">
        <v>2774.8</v>
      </c>
      <c r="AK63" s="5" t="n">
        <v>2544.6</v>
      </c>
      <c r="AL63" s="5" t="n">
        <v>2091.4</v>
      </c>
      <c r="AM63" s="5" t="n">
        <v>1540.1</v>
      </c>
      <c r="AN63" s="5" t="n">
        <v>1448.8</v>
      </c>
      <c r="AO63" s="5" t="n">
        <v>1106.5</v>
      </c>
      <c r="AP63" s="5" t="n">
        <v>1056.6</v>
      </c>
      <c r="AQ63" s="5" t="n">
        <v>905.4</v>
      </c>
      <c r="AR63" s="5" t="n">
        <v>816.1</v>
      </c>
      <c r="AS63" s="5" t="n">
        <v>696.3</v>
      </c>
      <c r="AT63" s="5" t="n">
        <v>577.826</v>
      </c>
      <c r="AU63" s="5" t="n">
        <v>500.932</v>
      </c>
      <c r="AV63" s="5" t="n">
        <v>377.227</v>
      </c>
      <c r="AW63" s="5" t="n">
        <v>335.122</v>
      </c>
      <c r="AX63" s="5" t="n">
        <v>299.914</v>
      </c>
      <c r="AY63" s="5" t="n">
        <v>261.987</v>
      </c>
      <c r="AZ63" s="5" t="n">
        <v>239.296</v>
      </c>
      <c r="BA63" s="5" t="n">
        <v>221.921</v>
      </c>
      <c r="BB63" s="5" t="n">
        <v>185.116</v>
      </c>
    </row>
    <row r="65" ht="280" customHeight="1">
      <c r="A65"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65:BB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Profit &amp; Loss (Bank Company-only)</t>
        </is>
      </c>
    </row>
    <row r="2">
      <c r="A2" s="2" t="inlineStr">
        <is>
          <t>Bank Company-only basis; bottom-line profit plus OCI detail (FY2017-FY2024), full income statement (FY2012-FY2016,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Full income statement (FY2012-FY2016, pre-restructuring - see source note)</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Net interest income</t>
        </is>
      </c>
      <c r="B5" s="6" t="n"/>
      <c r="C5" s="6" t="n"/>
      <c r="D5" s="6" t="n"/>
      <c r="E5" s="6" t="n"/>
      <c r="F5" s="6" t="n"/>
      <c r="G5" s="6" t="n"/>
      <c r="H5" s="6" t="n"/>
      <c r="I5" s="6" t="n"/>
      <c r="J5" s="6" t="n">
        <v>220.3</v>
      </c>
      <c r="K5" s="6" t="n">
        <v>299.2</v>
      </c>
      <c r="L5" s="6" t="n">
        <v>345</v>
      </c>
      <c r="M5" s="6" t="n">
        <v>263.2</v>
      </c>
      <c r="N5" s="6" t="n">
        <v>565.8</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Net fee and commission income</t>
        </is>
      </c>
      <c r="B6" s="6" t="n"/>
      <c r="C6" s="6" t="n"/>
      <c r="D6" s="6" t="n"/>
      <c r="E6" s="6" t="n"/>
      <c r="F6" s="6" t="n"/>
      <c r="G6" s="6" t="n"/>
      <c r="H6" s="6" t="n"/>
      <c r="I6" s="6" t="n"/>
      <c r="J6" s="6" t="n">
        <v>40.9</v>
      </c>
      <c r="K6" s="6" t="n">
        <v>71.8</v>
      </c>
      <c r="L6" s="6" t="n">
        <v>122.4</v>
      </c>
      <c r="M6" s="6" t="n"/>
      <c r="N6" s="6" t="n"/>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Other operating income/(expense)</t>
        </is>
      </c>
      <c r="B7" s="6" t="n"/>
      <c r="C7" s="6" t="n"/>
      <c r="D7" s="6" t="n"/>
      <c r="E7" s="6" t="n"/>
      <c r="F7" s="6" t="n"/>
      <c r="G7" s="6" t="n"/>
      <c r="H7" s="6" t="n"/>
      <c r="I7" s="6" t="n"/>
      <c r="J7" s="6" t="n">
        <v>60.8</v>
      </c>
      <c r="K7" s="6" t="n">
        <v>-130.3</v>
      </c>
      <c r="L7" s="6" t="n">
        <v>-0.5</v>
      </c>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5" t="inlineStr">
        <is>
          <t>Operating income</t>
        </is>
      </c>
      <c r="B8" s="5" t="n"/>
      <c r="C8" s="5" t="n"/>
      <c r="D8" s="5" t="n"/>
      <c r="E8" s="5" t="n"/>
      <c r="F8" s="5" t="n"/>
      <c r="G8" s="5" t="n"/>
      <c r="H8" s="5" t="n"/>
      <c r="I8" s="5" t="n"/>
      <c r="J8" s="5" t="n">
        <v>322</v>
      </c>
      <c r="K8" s="5" t="n">
        <v>240.7</v>
      </c>
      <c r="L8" s="5" t="n">
        <v>466.9</v>
      </c>
      <c r="M8" s="5" t="n">
        <v>270.1</v>
      </c>
      <c r="N8" s="5" t="n">
        <v>641.3</v>
      </c>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c r="AX8" s="5" t="n"/>
      <c r="AY8" s="5" t="n"/>
      <c r="AZ8" s="5" t="n"/>
      <c r="BA8" s="5" t="n"/>
      <c r="BB8" s="5" t="n"/>
    </row>
    <row r="9">
      <c r="A9" s="6" t="inlineStr">
        <is>
          <t>Total operating expenses</t>
        </is>
      </c>
      <c r="B9" s="6" t="n"/>
      <c r="C9" s="6" t="n"/>
      <c r="D9" s="6" t="n"/>
      <c r="E9" s="6" t="n"/>
      <c r="F9" s="6" t="n"/>
      <c r="G9" s="6" t="n"/>
      <c r="H9" s="6" t="n"/>
      <c r="I9" s="6" t="n"/>
      <c r="J9" s="6" t="n">
        <v>-805.6</v>
      </c>
      <c r="K9" s="6" t="n">
        <v>-900.6</v>
      </c>
      <c r="L9" s="6" t="n">
        <v>-904.9</v>
      </c>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Operating (loss) before impairment</t>
        </is>
      </c>
      <c r="B10" s="5" t="n"/>
      <c r="C10" s="5" t="n"/>
      <c r="D10" s="5" t="n"/>
      <c r="E10" s="5" t="n"/>
      <c r="F10" s="5" t="n"/>
      <c r="G10" s="5" t="n"/>
      <c r="H10" s="5" t="n"/>
      <c r="I10" s="5" t="n"/>
      <c r="J10" s="5" t="n">
        <v>-483.6</v>
      </c>
      <c r="K10" s="5" t="n">
        <v>-659.9</v>
      </c>
      <c r="L10" s="5" t="n">
        <v>-438</v>
      </c>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6" t="inlineStr">
        <is>
          <t>Net impairment gains/(losses) on loans and advances</t>
        </is>
      </c>
      <c r="B11" s="6" t="n"/>
      <c r="C11" s="6" t="n"/>
      <c r="D11" s="6" t="n"/>
      <c r="E11" s="6" t="n"/>
      <c r="F11" s="6" t="n"/>
      <c r="G11" s="6" t="n"/>
      <c r="H11" s="6" t="n"/>
      <c r="I11" s="6" t="n"/>
      <c r="J11" s="6" t="n">
        <v>6.2</v>
      </c>
      <c r="K11" s="6" t="n">
        <v>48.6</v>
      </c>
      <c r="L11" s="6" t="n">
        <v>173.2</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5" t="inlineStr">
        <is>
          <t>Operating (loss)</t>
        </is>
      </c>
      <c r="B12" s="5" t="n"/>
      <c r="C12" s="5" t="n"/>
      <c r="D12" s="5" t="n"/>
      <c r="E12" s="5" t="n"/>
      <c r="F12" s="5" t="n"/>
      <c r="G12" s="5" t="n"/>
      <c r="H12" s="5" t="n"/>
      <c r="I12" s="5" t="n"/>
      <c r="J12" s="5" t="n">
        <v>-477.4</v>
      </c>
      <c r="K12" s="5" t="n">
        <v>-611.3</v>
      </c>
      <c r="L12" s="5" t="n">
        <v>-264.8</v>
      </c>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row>
    <row r="13">
      <c r="A13" s="6" t="inlineStr">
        <is>
          <t>Share of post-tax profits from joint ventures</t>
        </is>
      </c>
      <c r="B13" s="6" t="n"/>
      <c r="C13" s="6" t="n"/>
      <c r="D13" s="6" t="n"/>
      <c r="E13" s="6" t="n"/>
      <c r="F13" s="6" t="n"/>
      <c r="G13" s="6" t="n"/>
      <c r="H13" s="6" t="n"/>
      <c r="I13" s="6" t="n"/>
      <c r="J13" s="6" t="n">
        <v>0.3</v>
      </c>
      <c r="K13" s="6" t="n">
        <v>0.7</v>
      </c>
      <c r="L13" s="6" t="n">
        <v>0.6</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5" t="inlineStr">
        <is>
          <t>(Loss) before taxation</t>
        </is>
      </c>
      <c r="B14" s="5" t="n"/>
      <c r="C14" s="5" t="n"/>
      <c r="D14" s="5" t="n"/>
      <c r="E14" s="5" t="n"/>
      <c r="F14" s="5" t="n"/>
      <c r="G14" s="5" t="n"/>
      <c r="H14" s="5" t="n"/>
      <c r="I14" s="5" t="n"/>
      <c r="J14" s="5" t="n">
        <v>-477.1</v>
      </c>
      <c r="K14" s="5" t="n">
        <v>-610.6</v>
      </c>
      <c r="L14" s="5" t="n">
        <v>-264.2</v>
      </c>
      <c r="M14" s="5" t="n">
        <v>-586.2</v>
      </c>
      <c r="N14" s="5" t="n">
        <v>-673.7</v>
      </c>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row>
    <row r="15">
      <c r="A15" s="6" t="inlineStr">
        <is>
          <t>Income tax</t>
        </is>
      </c>
      <c r="B15" s="6" t="n"/>
      <c r="C15" s="6" t="n"/>
      <c r="D15" s="6" t="n"/>
      <c r="E15" s="6" t="n"/>
      <c r="F15" s="6" t="n"/>
      <c r="G15" s="6" t="n"/>
      <c r="H15" s="6" t="n"/>
      <c r="I15" s="6" t="n"/>
      <c r="J15" s="6" t="n">
        <v>58.4</v>
      </c>
      <c r="K15" s="6" t="n">
        <v>-12.2</v>
      </c>
      <c r="L15" s="6" t="n">
        <v>39</v>
      </c>
      <c r="M15" s="6" t="n">
        <v>-161.8</v>
      </c>
      <c r="N15" s="6" t="n">
        <v>165.6</v>
      </c>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5" t="inlineStr">
        <is>
          <t>(Loss) for the financial year (incl. non-controlling interests)</t>
        </is>
      </c>
      <c r="B16" s="5" t="n"/>
      <c r="C16" s="5" t="n"/>
      <c r="D16" s="5" t="n"/>
      <c r="E16" s="5" t="n"/>
      <c r="F16" s="5" t="n"/>
      <c r="G16" s="5" t="n"/>
      <c r="H16" s="5" t="n"/>
      <c r="I16" s="5" t="n"/>
      <c r="J16" s="5" t="n">
        <v>-418.7</v>
      </c>
      <c r="K16" s="5" t="n">
        <v>-622.8</v>
      </c>
      <c r="L16" s="5" t="n">
        <v>-225.2</v>
      </c>
      <c r="M16" s="5" t="n">
        <v>-748</v>
      </c>
      <c r="N16" s="5" t="n">
        <v>-508.1</v>
      </c>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row>
    <row r="17">
      <c r="A17" s="5" t="inlineStr">
        <is>
          <t>Profit/(loss) attributable to equity shareholders (all years)</t>
        </is>
      </c>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c r="M18" s="5" t="n">
        <v>-748</v>
      </c>
      <c r="N18" s="5" t="n">
        <v>-509.1</v>
      </c>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row>
    <row r="19">
      <c r="A19" s="5" t="inlineStr">
        <is>
          <t>Cost:income ratio - as separately headline-disclosed each year (basis varies; see source note) - NOT derived from the detail rows above, which only exist FY2014-FY2016</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Cost:income ratio (as reported)</t>
        </is>
      </c>
      <c r="B20" s="6" t="inlineStr">
        <is>
          <t>86.7%</t>
        </is>
      </c>
      <c r="C20" s="6" t="inlineStr">
        <is>
          <t>86.1%</t>
        </is>
      </c>
      <c r="D20" s="6" t="inlineStr">
        <is>
          <t>73%</t>
        </is>
      </c>
      <c r="E20" s="6" t="inlineStr">
        <is>
          <t>91%</t>
        </is>
      </c>
      <c r="F20" s="6" t="inlineStr">
        <is>
          <t>113.8%</t>
        </is>
      </c>
      <c r="G20" s="6" t="inlineStr">
        <is>
          <t>106.2%</t>
        </is>
      </c>
      <c r="H20" s="6" t="inlineStr">
        <is>
          <t>97.1%</t>
        </is>
      </c>
      <c r="I20" s="6" t="inlineStr">
        <is>
          <t>108.1%</t>
        </is>
      </c>
      <c r="J20" s="6" t="inlineStr">
        <is>
          <t>103.7%</t>
        </is>
      </c>
      <c r="K20" s="6" t="inlineStr">
        <is>
          <t>100.0%</t>
        </is>
      </c>
      <c r="L20" s="6" t="inlineStr">
        <is>
          <t>100.1%</t>
        </is>
      </c>
      <c r="M20" s="6" t="inlineStr">
        <is>
          <t>97.8%</t>
        </is>
      </c>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5" t="inlineStr">
        <is>
          <t>Other comprehensive income/(expense), net of tax</t>
        </is>
      </c>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Fair value through OCI (FVOCI) reserve movement</t>
        </is>
      </c>
      <c r="B22" s="6" t="n">
        <v>-0.3</v>
      </c>
      <c r="C22" s="6" t="n">
        <v>-2.7</v>
      </c>
      <c r="D22" s="6" t="n">
        <v>-8.199999999999999</v>
      </c>
      <c r="E22" s="6" t="n">
        <v>-1.9</v>
      </c>
      <c r="F22" s="6" t="n">
        <v>0.7</v>
      </c>
      <c r="G22" s="6" t="n">
        <v>-9.800000000000001</v>
      </c>
      <c r="H22" s="6" t="n">
        <v>-4.5</v>
      </c>
      <c r="I22" s="6" t="n">
        <v>-13.4</v>
      </c>
      <c r="J22" s="6" t="n">
        <v>-17.4</v>
      </c>
      <c r="K22" s="6" t="n">
        <v>31</v>
      </c>
      <c r="L22" s="6" t="n">
        <v>38.7</v>
      </c>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Cash flow hedging reserve movement</t>
        </is>
      </c>
      <c r="B23" s="6" t="n">
        <v>-4.4</v>
      </c>
      <c r="C23" s="6" t="n">
        <v>-5.2</v>
      </c>
      <c r="D23" s="6" t="n">
        <v>-4.1</v>
      </c>
      <c r="E23" s="6" t="n">
        <v>-7.8</v>
      </c>
      <c r="F23" s="6" t="n">
        <v>5.8</v>
      </c>
      <c r="G23" s="6" t="n">
        <v>-3.3</v>
      </c>
      <c r="H23" s="6" t="n">
        <v>-9.9</v>
      </c>
      <c r="I23" s="6" t="n">
        <v>-26.5</v>
      </c>
      <c r="J23" s="6" t="n">
        <v>21.8</v>
      </c>
      <c r="K23" s="6" t="n">
        <v>-24.4</v>
      </c>
      <c r="L23" s="6" t="n">
        <v>45.9</v>
      </c>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Defined benefit pension reserve movement</t>
        </is>
      </c>
      <c r="B24" s="6" t="n">
        <v>-84.5</v>
      </c>
      <c r="C24" s="6" t="n">
        <v>-11.8</v>
      </c>
      <c r="D24" s="6" t="n">
        <v>-462.7</v>
      </c>
      <c r="E24" s="6" t="n">
        <v>89.90000000000001</v>
      </c>
      <c r="F24" s="6" t="n">
        <v>-48.3</v>
      </c>
      <c r="G24" s="6" t="n">
        <v>27.9</v>
      </c>
      <c r="H24" s="6" t="n">
        <v>344.7</v>
      </c>
      <c r="I24" s="6" t="n">
        <v>61.3</v>
      </c>
      <c r="J24" s="6" t="n">
        <v>9.5</v>
      </c>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5" t="inlineStr">
        <is>
          <t>Other comprehensive income/(expense) for the year, net of tax</t>
        </is>
      </c>
      <c r="B25" s="5" t="n">
        <v>-89.2</v>
      </c>
      <c r="C25" s="5" t="n">
        <v>-19.7</v>
      </c>
      <c r="D25" s="5" t="n">
        <v>-475</v>
      </c>
      <c r="E25" s="5" t="n">
        <v>80.2</v>
      </c>
      <c r="F25" s="5" t="n">
        <v>-41.8</v>
      </c>
      <c r="G25" s="5" t="n">
        <v>14.8</v>
      </c>
      <c r="H25" s="5" t="n">
        <v>330.3</v>
      </c>
      <c r="I25" s="5" t="n">
        <v>21.4</v>
      </c>
      <c r="J25" s="5" t="n">
        <v>13.9</v>
      </c>
      <c r="K25" s="5" t="n">
        <v>6.6</v>
      </c>
      <c r="L25" s="5" t="n">
        <v>84.59999999999999</v>
      </c>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row>
    <row r="26">
      <c r="A26" s="5" t="inlineStr">
        <is>
          <t>Total comprehensive income/(expense) for the year, net of tax</t>
        </is>
      </c>
      <c r="B26" s="5" t="n">
        <v>-63.8</v>
      </c>
      <c r="C26" s="5" t="n">
        <v>137.4</v>
      </c>
      <c r="D26" s="5" t="n">
        <v>-452.7</v>
      </c>
      <c r="E26" s="5" t="n">
        <v>295.7</v>
      </c>
      <c r="F26" s="5" t="n">
        <v>-129.2</v>
      </c>
      <c r="G26" s="5" t="n">
        <v>-126.5</v>
      </c>
      <c r="H26" s="5" t="n">
        <v>256.5</v>
      </c>
      <c r="I26" s="5" t="n">
        <v>54.2</v>
      </c>
      <c r="J26" s="5" t="n">
        <v>-404.8</v>
      </c>
      <c r="K26" s="5" t="n">
        <v>-616.7</v>
      </c>
      <c r="L26" s="5" t="n">
        <v>-142</v>
      </c>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row>
    <row r="27">
      <c r="A27" s="5" t="inlineStr">
        <is>
          <t>HD-078 (2026-09-07): Consolidated Group P&amp;L, FY1980-FY1972 (Group basis, NOT Bank Company-only, since no Bank-only income statement is disclosed at all this era; see HD078_1972_1980_NOTE. The existing 'Profit/(loss) for the year' row above is deliberately left blank for these years rather than populated with a Group figure that would conflate two different consolidation bases.)</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Operating profit/Profit for the year (Group, before exceptional items)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v>5.422</v>
      </c>
      <c r="AU28" s="6" t="n">
        <v>6.244</v>
      </c>
      <c r="AV28" s="6" t="n">
        <v>5.429</v>
      </c>
      <c r="AW28" s="6" t="n">
        <v>3.974</v>
      </c>
      <c r="AX28" s="6" t="n">
        <v>3.018</v>
      </c>
      <c r="AY28" s="6" t="n">
        <v>3.569</v>
      </c>
      <c r="AZ28" s="6" t="n">
        <v>4.763</v>
      </c>
      <c r="BA28" s="6" t="n">
        <v>4.867</v>
      </c>
      <c r="BB28" s="6" t="n">
        <v>3.699</v>
      </c>
    </row>
    <row r="29">
      <c r="A29" s="6" t="inlineStr">
        <is>
          <t>Exceptional items</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v>-0.35</v>
      </c>
      <c r="AY29" s="6" t="n">
        <v>-1.4</v>
      </c>
      <c r="AZ29" s="6" t="n">
        <v>-2.796</v>
      </c>
      <c r="BA29" s="6" t="n"/>
      <c r="BB29" s="6" t="n"/>
    </row>
    <row r="30">
      <c r="A30" s="6" t="inlineStr">
        <is>
          <t>Share of profits/(losses) of associated companies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v>0.028</v>
      </c>
      <c r="AX30" s="6" t="n">
        <v>0.002</v>
      </c>
      <c r="AY30" s="6" t="n">
        <v>-0.011</v>
      </c>
      <c r="AZ30" s="6" t="n">
        <v>-0.714</v>
      </c>
      <c r="BA30" s="6" t="n">
        <v>-0.113</v>
      </c>
      <c r="BB30" s="6" t="n">
        <v>0.149</v>
      </c>
    </row>
    <row r="31">
      <c r="A31" s="5" t="inlineStr">
        <is>
          <t>Profit before taxation (and extraordinary item, FY1974)</t>
        </is>
      </c>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v>5.769</v>
      </c>
      <c r="AU31" s="5" t="n">
        <v>6.028</v>
      </c>
      <c r="AV31" s="5" t="n">
        <v>3.569</v>
      </c>
      <c r="AW31" s="5" t="n">
        <v>4.002</v>
      </c>
      <c r="AX31" s="5" t="n">
        <v>2.67</v>
      </c>
      <c r="AY31" s="5" t="n">
        <v>2.158</v>
      </c>
      <c r="AZ31" s="5" t="n">
        <v>1.253</v>
      </c>
      <c r="BA31" s="5" t="n">
        <v>4.754</v>
      </c>
      <c r="BB31" s="5" t="n">
        <v>3.848</v>
      </c>
    </row>
    <row r="32">
      <c r="A32" s="6" t="inlineStr">
        <is>
          <t>Taxation</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v>0.347</v>
      </c>
      <c r="AU32" s="6" t="n">
        <v>-0.216</v>
      </c>
      <c r="AV32" s="6" t="n">
        <v>-1.86</v>
      </c>
      <c r="AW32" s="6" t="n">
        <v>-2.036</v>
      </c>
      <c r="AX32" s="6" t="n">
        <v>-1.457</v>
      </c>
      <c r="AY32" s="6" t="n">
        <v>-1.047</v>
      </c>
      <c r="AZ32" s="6" t="n">
        <v>-0.676</v>
      </c>
      <c r="BA32" s="6" t="n">
        <v>-2.269</v>
      </c>
      <c r="BB32" s="6" t="n">
        <v>-1.108</v>
      </c>
    </row>
    <row r="33">
      <c r="A33" s="6" t="inlineStr">
        <is>
          <t>Minority interest</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v>-0.025</v>
      </c>
      <c r="AU33" s="6" t="n">
        <v>-0.08699999999999999</v>
      </c>
      <c r="AV33" s="6" t="n">
        <v>-0.173</v>
      </c>
      <c r="AW33" s="6" t="n">
        <v>-0.163</v>
      </c>
      <c r="AX33" s="6" t="n">
        <v>-0.09</v>
      </c>
      <c r="AY33" s="6" t="n">
        <v>-0.08500000000000001</v>
      </c>
      <c r="AZ33" s="6" t="n">
        <v>0.015</v>
      </c>
      <c r="BA33" s="6" t="n">
        <v>-0.187</v>
      </c>
      <c r="BB33" s="6" t="n">
        <v>-0.233</v>
      </c>
    </row>
    <row r="34">
      <c r="A34" s="6" t="inlineStr">
        <is>
          <t>Extraordinary item</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v>0.186</v>
      </c>
      <c r="BA34" s="6" t="n"/>
      <c r="BB34" s="6" t="n"/>
    </row>
    <row r="35">
      <c r="A35" s="6" t="inlineStr">
        <is>
          <t>Proposed/final dividend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v>-0.4</v>
      </c>
      <c r="AU35" s="6" t="n"/>
      <c r="AV35" s="6" t="n"/>
      <c r="AW35" s="6" t="n"/>
      <c r="AX35" s="6" t="n"/>
      <c r="AY35" s="6" t="n"/>
      <c r="AZ35" s="6" t="n"/>
      <c r="BA35" s="6" t="n"/>
      <c r="BB35" s="6" t="n"/>
    </row>
    <row r="36">
      <c r="A36" s="5" t="inlineStr">
        <is>
          <t>Retained earnings (Group)</t>
        </is>
      </c>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v>5.344</v>
      </c>
      <c r="AU36" s="5" t="n">
        <v>5.941</v>
      </c>
      <c r="AV36" s="5" t="n">
        <v>3.396</v>
      </c>
      <c r="AW36" s="5" t="n">
        <v>1.803</v>
      </c>
      <c r="AX36" s="5" t="n">
        <v>1.123</v>
      </c>
      <c r="AY36" s="5" t="n">
        <v>1.026</v>
      </c>
      <c r="AZ36" s="5" t="n">
        <v>0.778</v>
      </c>
      <c r="BA36" s="5" t="n">
        <v>2.298</v>
      </c>
      <c r="BB36" s="5" t="n">
        <v>2.507</v>
      </c>
    </row>
    <row r="38" ht="280" customHeight="1">
      <c r="A38" s="8" t="inlineStr">
        <is>
          <t xml:space="preserve">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
COST:INCOME RATIO (2026-09-07): headline-disclosed every year on the Bank/Group's own KPI page, independent of the itemised opex rows above (only exist FY2014-FY2016) - not derived. Basis drifts by year, per the source: FY2013-FY2016 Bank; FY2017-FY2018 Group; FY2020+ 'Group and Bank' (converged); FY2019 not disambiguated by the source. Own-year figures used, not restated comparatives (AR URLs as cited above for the same year):
FY2024/FY2023(comp): 2024 AR p.6
FY2022/FY2021(comp): 2022 AR p.6
FY2020: 2020 AR p.6
FY2019: 2019 AR p.6
FY2018: 2018 AR p.4 (Group)
FY2017: 2017 AR p.15 (Group)
FY2016: 2016 AR p.19 (Bank)
FY2015: 2015 AR p.23 (Bank)
FY2014/FY2013(comp): 2014 AR p.19 (Bank)
</t>
        </is>
      </c>
    </row>
  </sheetData>
  <mergeCells count="1">
    <mergeCell ref="A38:BB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8 January 1972 (Bank company-only; Companies Act 1948 basis; the workbook's earliest reachable balance - FY1972's own comparative column is only a 26-week stub period, 10 July 1971 - 8 January 1972, not a full prior year, so no earlier opening balance exists - see HD078_1972_1980_NOTE)</t>
        </is>
      </c>
      <c r="B4" s="5" t="n">
        <v>4</v>
      </c>
      <c r="C4" s="5" t="n"/>
      <c r="D4" s="5" t="n"/>
      <c r="E4" s="5" t="n"/>
      <c r="F4" s="5" t="n"/>
      <c r="G4" s="5" t="n"/>
      <c r="H4" s="5" t="n">
        <v>17.277</v>
      </c>
      <c r="I4" s="5" t="n"/>
      <c r="J4" s="5" t="n">
        <v>21.277</v>
      </c>
    </row>
    <row r="5">
      <c r="A5" s="6" t="inlineStr">
        <is>
          <t>Net movement during the year (FY1973, incl. £4.0m bonus/capitalisation share issue - Ordinary share capital doubled from £4.0m to £8.0m, funded by a £4.02m capitalisation of Reserves)</t>
        </is>
      </c>
      <c r="B5" s="6" t="n">
        <v>4</v>
      </c>
      <c r="C5" s="6" t="n"/>
      <c r="D5" s="6" t="n"/>
      <c r="E5" s="6" t="n"/>
      <c r="F5" s="6" t="n"/>
      <c r="G5" s="6" t="n"/>
      <c r="H5" s="6" t="n">
        <v>-2.627</v>
      </c>
      <c r="I5" s="6" t="n"/>
      <c r="J5" s="6" t="n">
        <v>1.373</v>
      </c>
    </row>
    <row r="6">
      <c r="A6" s="5" t="inlineStr">
        <is>
          <t>At 31 December 1973 (post-capitalisation issue)</t>
        </is>
      </c>
      <c r="B6" s="5" t="n">
        <v>8</v>
      </c>
      <c r="C6" s="5" t="n"/>
      <c r="D6" s="5" t="n"/>
      <c r="E6" s="5" t="n"/>
      <c r="F6" s="5" t="n"/>
      <c r="G6" s="5" t="n"/>
      <c r="H6" s="5" t="n">
        <v>14.65</v>
      </c>
      <c r="I6" s="5" t="n"/>
      <c r="J6" s="5" t="n">
        <v>22.65</v>
      </c>
    </row>
    <row r="7">
      <c r="A7" s="6" t="inlineStr">
        <is>
          <t>Net movement during the year (FY1974)</t>
        </is>
      </c>
      <c r="B7" s="6" t="n">
        <v>0</v>
      </c>
      <c r="C7" s="6" t="n"/>
      <c r="D7" s="6" t="n"/>
      <c r="E7" s="6" t="n"/>
      <c r="F7" s="6" t="n"/>
      <c r="G7" s="6" t="n"/>
      <c r="H7" s="6" t="n">
        <v>1.104</v>
      </c>
      <c r="I7" s="6" t="n"/>
      <c r="J7" s="6" t="n">
        <v>1.104</v>
      </c>
    </row>
    <row r="8">
      <c r="A8" s="5" t="inlineStr">
        <is>
          <t>At 31 December 1974</t>
        </is>
      </c>
      <c r="B8" s="5" t="n">
        <v>8</v>
      </c>
      <c r="C8" s="5" t="n"/>
      <c r="D8" s="5" t="n"/>
      <c r="E8" s="5" t="n"/>
      <c r="F8" s="5" t="n"/>
      <c r="G8" s="5" t="n"/>
      <c r="H8" s="5" t="n">
        <v>15.754</v>
      </c>
      <c r="I8" s="5" t="n"/>
      <c r="J8" s="5" t="n">
        <v>23.754</v>
      </c>
    </row>
    <row r="9">
      <c r="A9" s="6" t="inlineStr">
        <is>
          <t>Net movement during the year (FY1975)</t>
        </is>
      </c>
      <c r="B9" s="6" t="n">
        <v>0</v>
      </c>
      <c r="C9" s="6" t="n"/>
      <c r="D9" s="6" t="n"/>
      <c r="E9" s="6" t="n"/>
      <c r="F9" s="6" t="n"/>
      <c r="G9" s="6" t="n"/>
      <c r="H9" s="6" t="n">
        <v>0.958</v>
      </c>
      <c r="I9" s="6" t="n"/>
      <c r="J9" s="6" t="n">
        <v>0.958</v>
      </c>
    </row>
    <row r="10">
      <c r="A10" s="5" t="inlineStr">
        <is>
          <t>At 31 December 1975</t>
        </is>
      </c>
      <c r="B10" s="5" t="n">
        <v>8</v>
      </c>
      <c r="C10" s="5" t="n"/>
      <c r="D10" s="5" t="n"/>
      <c r="E10" s="5" t="n"/>
      <c r="F10" s="5" t="n"/>
      <c r="G10" s="5" t="n"/>
      <c r="H10" s="5" t="n">
        <v>16.712</v>
      </c>
      <c r="I10" s="5" t="n"/>
      <c r="J10" s="5" t="n">
        <v>24.712</v>
      </c>
    </row>
    <row r="11">
      <c r="A11" s="6" t="inlineStr">
        <is>
          <t>Net movement during the year (FY1976)</t>
        </is>
      </c>
      <c r="B11" s="6" t="n">
        <v>0</v>
      </c>
      <c r="C11" s="6" t="n"/>
      <c r="D11" s="6" t="n"/>
      <c r="E11" s="6" t="n"/>
      <c r="F11" s="6" t="n"/>
      <c r="G11" s="6" t="n"/>
      <c r="H11" s="6" t="n">
        <v>1.398</v>
      </c>
      <c r="I11" s="6" t="n"/>
      <c r="J11" s="6" t="n">
        <v>1.398</v>
      </c>
    </row>
    <row r="12">
      <c r="A12" s="5" t="inlineStr">
        <is>
          <t>At 31 December 1976</t>
        </is>
      </c>
      <c r="B12" s="5" t="n">
        <v>8</v>
      </c>
      <c r="C12" s="5" t="n"/>
      <c r="D12" s="5" t="n"/>
      <c r="E12" s="5" t="n"/>
      <c r="F12" s="5" t="n"/>
      <c r="G12" s="5" t="n"/>
      <c r="H12" s="5" t="n">
        <v>18.11</v>
      </c>
      <c r="I12" s="5" t="n"/>
      <c r="J12" s="5" t="n">
        <v>26.11</v>
      </c>
    </row>
    <row r="13">
      <c r="A13" s="6" t="inlineStr">
        <is>
          <t>Net movement during the year (FY1977)</t>
        </is>
      </c>
      <c r="B13" s="6" t="n">
        <v>0</v>
      </c>
      <c r="C13" s="6" t="n"/>
      <c r="D13" s="6" t="n"/>
      <c r="E13" s="6" t="n"/>
      <c r="F13" s="6" t="n"/>
      <c r="G13" s="6" t="n"/>
      <c r="H13" s="6" t="n">
        <v>1.3</v>
      </c>
      <c r="I13" s="6" t="n"/>
      <c r="J13" s="6" t="n">
        <v>1.3</v>
      </c>
    </row>
    <row r="14">
      <c r="A14" s="5" t="inlineStr">
        <is>
          <t>At 14 January 1978 (FY1977 year-end, per that filing's own Directors' Report)</t>
        </is>
      </c>
      <c r="B14" s="5" t="n">
        <v>8</v>
      </c>
      <c r="C14" s="5" t="n"/>
      <c r="D14" s="5" t="n"/>
      <c r="E14" s="5" t="n"/>
      <c r="F14" s="5" t="n"/>
      <c r="G14" s="5" t="n"/>
      <c r="H14" s="5" t="n">
        <v>19.41</v>
      </c>
      <c r="I14" s="5" t="n"/>
      <c r="J14" s="5" t="n">
        <v>27.41</v>
      </c>
    </row>
    <row r="15">
      <c r="A15" s="6" t="inlineStr">
        <is>
          <t>Net movement during the year (FY1978, as originally reported - see restatement below)</t>
        </is>
      </c>
      <c r="B15" s="6" t="n">
        <v>0</v>
      </c>
      <c r="C15" s="6" t="n"/>
      <c r="D15" s="6" t="n"/>
      <c r="E15" s="6" t="n"/>
      <c r="F15" s="6" t="n"/>
      <c r="G15" s="6" t="n"/>
      <c r="H15" s="6" t="n">
        <v>2.153</v>
      </c>
      <c r="I15" s="6" t="n"/>
      <c r="J15" s="6" t="n">
        <v>2.153</v>
      </c>
    </row>
    <row r="16">
      <c r="A16" s="5" t="inlineStr">
        <is>
          <t>At 31 December 1978 (as originally reported; restated below per the FY1979 Annual Report's own disclosure)</t>
        </is>
      </c>
      <c r="B16" s="5" t="n">
        <v>8</v>
      </c>
      <c r="C16" s="5" t="n"/>
      <c r="D16" s="5" t="n"/>
      <c r="E16" s="5" t="n"/>
      <c r="F16" s="5" t="n"/>
      <c r="G16" s="5" t="n"/>
      <c r="H16" s="5" t="n">
        <v>21.563</v>
      </c>
      <c r="I16" s="5" t="n"/>
      <c r="J16" s="5" t="n">
        <v>29.563</v>
      </c>
    </row>
    <row r="17">
      <c r="A17" s="6" t="inlineStr">
        <is>
          <t>Restatement (SSAP15 deferred tax policy change + released general bad-debt provision, per the FY1979 Annual Report's own prior-year adjustment disclosure)</t>
        </is>
      </c>
      <c r="B17" s="6" t="n">
        <v>0</v>
      </c>
      <c r="C17" s="6" t="n"/>
      <c r="D17" s="6" t="n"/>
      <c r="E17" s="6" t="n"/>
      <c r="F17" s="6" t="n"/>
      <c r="G17" s="6" t="n"/>
      <c r="H17" s="6" t="n">
        <v>1.458</v>
      </c>
      <c r="I17" s="6" t="n"/>
      <c r="J17" s="6" t="n">
        <v>1.458</v>
      </c>
    </row>
    <row r="18">
      <c r="A18" s="5" t="inlineStr">
        <is>
          <t>At 31 December 1978, restated</t>
        </is>
      </c>
      <c r="B18" s="5" t="n">
        <v>8</v>
      </c>
      <c r="C18" s="5" t="n"/>
      <c r="D18" s="5" t="n"/>
      <c r="E18" s="5" t="n"/>
      <c r="F18" s="5" t="n"/>
      <c r="G18" s="5" t="n"/>
      <c r="H18" s="5" t="n">
        <v>23.021</v>
      </c>
      <c r="I18" s="5" t="n"/>
      <c r="J18" s="5" t="n">
        <v>31.021</v>
      </c>
    </row>
    <row r="19">
      <c r="A19" s="6" t="inlineStr">
        <is>
          <t>Net movement during the year (FY1979, incl. the Bank's first Subordinated Loan issuance - US $25,000,000 Floating Rate Capital Notes)</t>
        </is>
      </c>
      <c r="B19" s="6" t="n">
        <v>0</v>
      </c>
      <c r="C19" s="6" t="n"/>
      <c r="D19" s="6" t="n"/>
      <c r="E19" s="6" t="n"/>
      <c r="F19" s="6" t="n"/>
      <c r="G19" s="6" t="n"/>
      <c r="H19" s="6" t="n">
        <v>5.573</v>
      </c>
      <c r="I19" s="6" t="n"/>
      <c r="J19" s="6" t="n">
        <v>5.573</v>
      </c>
    </row>
    <row r="20">
      <c r="A20" s="5" t="inlineStr">
        <is>
          <t>At 31 December 1979</t>
        </is>
      </c>
      <c r="B20" s="5" t="n">
        <v>8</v>
      </c>
      <c r="C20" s="5" t="n"/>
      <c r="D20" s="5" t="n"/>
      <c r="E20" s="5" t="n"/>
      <c r="F20" s="5" t="n"/>
      <c r="G20" s="5" t="n"/>
      <c r="H20" s="5" t="n">
        <v>28.594</v>
      </c>
      <c r="I20" s="5" t="n"/>
      <c r="J20" s="5" t="n">
        <v>36.594</v>
      </c>
    </row>
    <row r="21">
      <c r="A21" s="6" t="inlineStr">
        <is>
          <t>Net movement during the year (FY1980, incl. first separately-disclosed Proposed dividend of £0.4m)</t>
        </is>
      </c>
      <c r="B21" s="6" t="n">
        <v>0</v>
      </c>
      <c r="C21" s="6" t="n"/>
      <c r="D21" s="6" t="n"/>
      <c r="E21" s="6" t="n"/>
      <c r="F21" s="6" t="n"/>
      <c r="G21" s="6" t="n"/>
      <c r="H21" s="6" t="n">
        <v>4.989</v>
      </c>
      <c r="I21" s="6" t="n"/>
      <c r="J21" s="6" t="n">
        <v>4.989</v>
      </c>
    </row>
    <row r="22">
      <c r="A22" s="5" t="inlineStr">
        <is>
          <t>At 31 December 1980 (Bank company-only; UK GAAP; per the Bank's own FY1981 Annual Report's FY1980 comparative column)</t>
        </is>
      </c>
      <c r="B22" s="5" t="n">
        <v>8</v>
      </c>
      <c r="C22" s="5" t="n"/>
      <c r="D22" s="5" t="n"/>
      <c r="E22" s="5" t="n"/>
      <c r="F22" s="5" t="n"/>
      <c r="G22" s="5" t="n"/>
      <c r="H22" s="5" t="n">
        <v>33.6</v>
      </c>
      <c r="I22" s="5" t="n"/>
      <c r="J22" s="5" t="n">
        <v>41.6</v>
      </c>
    </row>
    <row r="23">
      <c r="A23" s="6" t="inlineStr">
        <is>
          <t>Net movement during the year (FY1981)</t>
        </is>
      </c>
      <c r="B23" s="6" t="n">
        <v>0</v>
      </c>
      <c r="C23" s="6" t="n"/>
      <c r="D23" s="6" t="n"/>
      <c r="E23" s="6" t="n"/>
      <c r="F23" s="6" t="n"/>
      <c r="G23" s="6" t="n"/>
      <c r="H23" s="6" t="n">
        <v>1.3</v>
      </c>
      <c r="I23" s="6" t="n"/>
      <c r="J23" s="6" t="n">
        <v>1.3</v>
      </c>
    </row>
    <row r="24">
      <c r="A24" s="5" t="inlineStr">
        <is>
          <t>At 31 December 1981 (share premium undifferentiated within Retained earnings - see HD078_1981_1990_NOTE)</t>
        </is>
      </c>
      <c r="B24" s="5" t="n">
        <v>8</v>
      </c>
      <c r="C24" s="5" t="n"/>
      <c r="D24" s="5" t="n"/>
      <c r="E24" s="5" t="n"/>
      <c r="F24" s="5" t="n"/>
      <c r="G24" s="5" t="n"/>
      <c r="H24" s="5" t="n">
        <v>34.9</v>
      </c>
      <c r="I24" s="5" t="n"/>
      <c r="J24" s="5" t="n">
        <v>42.9</v>
      </c>
    </row>
    <row r="25">
      <c r="A25" s="6" t="inlineStr">
        <is>
          <t>Net movement during the year (FY1982, incl. £3.2m ordinary share issue at par to CWS, Jan 1983, captured within the Bank's FY1982 year-end)</t>
        </is>
      </c>
      <c r="B25" s="6" t="n">
        <v>3.2</v>
      </c>
      <c r="C25" s="6" t="n"/>
      <c r="D25" s="6" t="n"/>
      <c r="E25" s="6" t="n"/>
      <c r="F25" s="6" t="n"/>
      <c r="G25" s="6" t="n"/>
      <c r="H25" s="6" t="n">
        <v>4.1</v>
      </c>
      <c r="I25" s="6" t="n"/>
      <c r="J25" s="6" t="n">
        <v>7.3</v>
      </c>
    </row>
    <row r="26">
      <c r="A26" s="5" t="inlineStr">
        <is>
          <t>At 31 December 1982 (share premium undifferentiated within Retained earnings - see HD078_1981_1990_NOTE)</t>
        </is>
      </c>
      <c r="B26" s="5" t="n">
        <v>11.2</v>
      </c>
      <c r="C26" s="5" t="n"/>
      <c r="D26" s="5" t="n"/>
      <c r="E26" s="5" t="n"/>
      <c r="F26" s="5" t="n"/>
      <c r="G26" s="5" t="n"/>
      <c r="H26" s="5" t="n">
        <v>39</v>
      </c>
      <c r="I26" s="5" t="n"/>
      <c r="J26" s="5" t="n">
        <v>50.2</v>
      </c>
    </row>
    <row r="27">
      <c r="A27" s="6" t="inlineStr">
        <is>
          <t>Net movement during the year (FY1983, incl. first separate disclosure of a £9.8m Share premium balance, reclassified out of the undifferentiated Reserves/Retained earnings figure above)</t>
        </is>
      </c>
      <c r="B27" s="6" t="n">
        <v>0</v>
      </c>
      <c r="C27" s="6" t="n">
        <v>9.800000000000001</v>
      </c>
      <c r="D27" s="6" t="n"/>
      <c r="E27" s="6" t="n"/>
      <c r="F27" s="6" t="n"/>
      <c r="G27" s="6" t="n"/>
      <c r="H27" s="6" t="n">
        <v>-2.5</v>
      </c>
      <c r="I27" s="6" t="n"/>
      <c r="J27" s="6" t="n">
        <v>7.3</v>
      </c>
    </row>
    <row r="28">
      <c r="A28" s="5" t="inlineStr">
        <is>
          <t>At 31 December 1983</t>
        </is>
      </c>
      <c r="B28" s="5" t="n">
        <v>11.2</v>
      </c>
      <c r="C28" s="5" t="n">
        <v>9.800000000000001</v>
      </c>
      <c r="D28" s="5" t="n"/>
      <c r="E28" s="5" t="n"/>
      <c r="F28" s="5" t="n"/>
      <c r="G28" s="5" t="n"/>
      <c r="H28" s="5" t="n">
        <v>36.5</v>
      </c>
      <c r="I28" s="5" t="n"/>
      <c r="J28" s="5" t="n">
        <v>57.5</v>
      </c>
    </row>
    <row r="29">
      <c r="A29" s="6" t="inlineStr">
        <is>
          <t>Net movement during the year (FY1984, incl. £13.8m ordinary share issue at par to CWS, Dec 1984/Jan 1985, captured within the Bank's FY1984 year-end, and a £13.153m reserves transfer to the profit and loss account funding a Group deferred-tax provision required by Finance Act 1984 changes)</t>
        </is>
      </c>
      <c r="B29" s="6" t="n">
        <v>13.8</v>
      </c>
      <c r="C29" s="6" t="n">
        <v>-0.1</v>
      </c>
      <c r="D29" s="6" t="n"/>
      <c r="E29" s="6" t="n"/>
      <c r="F29" s="6" t="n"/>
      <c r="G29" s="6" t="n"/>
      <c r="H29" s="6" t="n">
        <v>-5.9</v>
      </c>
      <c r="I29" s="6" t="n"/>
      <c r="J29" s="6" t="n">
        <v>7.8</v>
      </c>
    </row>
    <row r="30">
      <c r="A30" s="5" t="inlineStr">
        <is>
          <t>At 31 December 1984</t>
        </is>
      </c>
      <c r="B30" s="5" t="n">
        <v>25</v>
      </c>
      <c r="C30" s="5" t="n">
        <v>9.699999999999999</v>
      </c>
      <c r="D30" s="5" t="n"/>
      <c r="E30" s="5" t="n"/>
      <c r="F30" s="5" t="n"/>
      <c r="G30" s="5" t="n"/>
      <c r="H30" s="5" t="n">
        <v>30.6</v>
      </c>
      <c r="I30" s="5" t="n"/>
      <c r="J30" s="5" t="n">
        <v>65.3</v>
      </c>
    </row>
    <row r="31">
      <c r="A31" s="6" t="inlineStr">
        <is>
          <t>Net movement during the year (FY1985)</t>
        </is>
      </c>
      <c r="B31" s="6" t="n">
        <v>0</v>
      </c>
      <c r="C31" s="6" t="n">
        <v>0</v>
      </c>
      <c r="D31" s="6" t="n"/>
      <c r="E31" s="6" t="n"/>
      <c r="F31" s="6" t="n"/>
      <c r="G31" s="6" t="n"/>
      <c r="H31" s="6" t="n">
        <v>4.9</v>
      </c>
      <c r="I31" s="6" t="n"/>
      <c r="J31" s="6" t="n">
        <v>4.9</v>
      </c>
    </row>
    <row r="32">
      <c r="A32" s="5" t="inlineStr">
        <is>
          <t>At 31 December 1985</t>
        </is>
      </c>
      <c r="B32" s="5" t="n">
        <v>25</v>
      </c>
      <c r="C32" s="5" t="n">
        <v>9.699999999999999</v>
      </c>
      <c r="D32" s="5" t="n"/>
      <c r="E32" s="5" t="n"/>
      <c r="F32" s="5" t="n"/>
      <c r="G32" s="5" t="n"/>
      <c r="H32" s="5" t="n">
        <v>35.5</v>
      </c>
      <c r="I32" s="5" t="n"/>
      <c r="J32" s="5" t="n">
        <v>70.2</v>
      </c>
    </row>
    <row r="33">
      <c r="A33" s="6" t="inlineStr">
        <is>
          <t>Net movement during the year (FY1986)</t>
        </is>
      </c>
      <c r="B33" s="6" t="n">
        <v>0</v>
      </c>
      <c r="C33" s="6" t="n">
        <v>0</v>
      </c>
      <c r="D33" s="6" t="n"/>
      <c r="E33" s="6" t="n"/>
      <c r="F33" s="6" t="n"/>
      <c r="G33" s="6" t="n"/>
      <c r="H33" s="6" t="n">
        <v>7.3</v>
      </c>
      <c r="I33" s="6" t="n"/>
      <c r="J33" s="6" t="n">
        <v>7.3</v>
      </c>
    </row>
    <row r="34">
      <c r="A34" s="5" t="inlineStr">
        <is>
          <t>At 31 December 1986</t>
        </is>
      </c>
      <c r="B34" s="5" t="n">
        <v>25</v>
      </c>
      <c r="C34" s="5" t="n">
        <v>9.699999999999999</v>
      </c>
      <c r="D34" s="5" t="n"/>
      <c r="E34" s="5" t="n"/>
      <c r="F34" s="5" t="n"/>
      <c r="G34" s="5" t="n"/>
      <c r="H34" s="5" t="n">
        <v>42.8</v>
      </c>
      <c r="I34" s="5" t="n"/>
      <c r="J34" s="5" t="n">
        <v>77.5</v>
      </c>
    </row>
    <row r="35">
      <c r="A35" s="6" t="inlineStr">
        <is>
          <t>Net movement during the year (FY1987, incl. 14 July 1987 subdivision of 25,000,000 £1 ordinary shares into 100,000,000 25p shares and a November 1987 issue of 20,000,000 new 25p shares at par)</t>
        </is>
      </c>
      <c r="B35" s="6" t="n">
        <v>5</v>
      </c>
      <c r="C35" s="6" t="n">
        <v>-0.1</v>
      </c>
      <c r="D35" s="6" t="n"/>
      <c r="E35" s="6" t="n"/>
      <c r="F35" s="6" t="n"/>
      <c r="G35" s="6" t="n"/>
      <c r="H35" s="6" t="n">
        <v>4.2</v>
      </c>
      <c r="I35" s="6" t="n"/>
      <c r="J35" s="6" t="n">
        <v>9.1</v>
      </c>
    </row>
    <row r="36">
      <c r="A36" s="5" t="inlineStr">
        <is>
          <t>At 31 December 1987</t>
        </is>
      </c>
      <c r="B36" s="5" t="n">
        <v>30</v>
      </c>
      <c r="C36" s="5" t="n">
        <v>9.6</v>
      </c>
      <c r="D36" s="5" t="n"/>
      <c r="E36" s="5" t="n"/>
      <c r="F36" s="5" t="n"/>
      <c r="G36" s="5" t="n"/>
      <c r="H36" s="5" t="n">
        <v>47</v>
      </c>
      <c r="I36" s="5" t="n"/>
      <c r="J36" s="5" t="n">
        <v>86.59999999999999</v>
      </c>
    </row>
    <row r="37">
      <c r="A37" s="6" t="inlineStr">
        <is>
          <t>Net movement during the year (FY1988, incl. April 1988 issue of 40,000,000 8.48% cumulative redeemable preference shares of £1 each at 100.06p, £40.0m)</t>
        </is>
      </c>
      <c r="B37" s="6" t="n">
        <v>40</v>
      </c>
      <c r="C37" s="6" t="n">
        <v>-0.8</v>
      </c>
      <c r="D37" s="6" t="n"/>
      <c r="E37" s="6" t="n"/>
      <c r="F37" s="6" t="n"/>
      <c r="G37" s="6" t="n"/>
      <c r="H37" s="6" t="n">
        <v>10.1</v>
      </c>
      <c r="I37" s="6" t="n"/>
      <c r="J37" s="6" t="n">
        <v>49.3</v>
      </c>
    </row>
    <row r="38">
      <c r="A38" s="5" t="inlineStr">
        <is>
          <t>At 31 December 1988 (share capital incl. £40.0m preference)</t>
        </is>
      </c>
      <c r="B38" s="5" t="n">
        <v>70</v>
      </c>
      <c r="C38" s="5" t="n">
        <v>8.800000000000001</v>
      </c>
      <c r="D38" s="5" t="n"/>
      <c r="E38" s="5" t="n"/>
      <c r="F38" s="5" t="n"/>
      <c r="G38" s="5" t="n"/>
      <c r="H38" s="5" t="n">
        <v>57.1</v>
      </c>
      <c r="I38" s="5" t="n"/>
      <c r="J38" s="5" t="n">
        <v>135.9</v>
      </c>
    </row>
    <row r="39">
      <c r="A39" s="6" t="inlineStr">
        <is>
          <t>Net movement during the year (FY1989, incl. 23 June 1989 conversion of the existing preference shares to 9.25% non-cumulative irredeemable and a further 31 May 1989 issue of 20,000,000 9.25% preference shares of £1 each, £20.0m, taking total preference share capital to £60.0m)</t>
        </is>
      </c>
      <c r="B39" s="6" t="n">
        <v>20</v>
      </c>
      <c r="C39" s="6" t="n">
        <v>0</v>
      </c>
      <c r="D39" s="6" t="n"/>
      <c r="E39" s="6" t="n"/>
      <c r="F39" s="6" t="n"/>
      <c r="G39" s="6" t="n"/>
      <c r="H39" s="6" t="n">
        <v>2.2</v>
      </c>
      <c r="I39" s="6" t="n"/>
      <c r="J39" s="6" t="n">
        <v>22.2</v>
      </c>
    </row>
    <row r="40">
      <c r="A40" s="5" t="inlineStr">
        <is>
          <t>At 31 December 1989 (share capital incl. £60.0m preference)</t>
        </is>
      </c>
      <c r="B40" s="5" t="n">
        <v>90</v>
      </c>
      <c r="C40" s="5" t="n">
        <v>8.800000000000001</v>
      </c>
      <c r="D40" s="5" t="n"/>
      <c r="E40" s="5" t="n"/>
      <c r="F40" s="5" t="n"/>
      <c r="G40" s="5" t="n"/>
      <c r="H40" s="5" t="n">
        <v>59.3</v>
      </c>
      <c r="I40" s="5" t="n"/>
      <c r="J40" s="5" t="n">
        <v>158.1</v>
      </c>
    </row>
    <row r="41">
      <c r="A41" s="6" t="inlineStr">
        <is>
          <t>Net movement during the year (FY1990)</t>
        </is>
      </c>
      <c r="B41" s="6" t="n">
        <v>0</v>
      </c>
      <c r="C41" s="6" t="n">
        <v>0</v>
      </c>
      <c r="D41" s="6" t="n"/>
      <c r="E41" s="6" t="n"/>
      <c r="F41" s="6" t="n"/>
      <c r="G41" s="6" t="n"/>
      <c r="H41" s="6" t="n">
        <v>-9.9</v>
      </c>
      <c r="I41" s="6" t="n"/>
      <c r="J41" s="6" t="n">
        <v>-9.9</v>
      </c>
    </row>
    <row r="42">
      <c r="A42" s="5" t="inlineStr">
        <is>
          <t>At 31 December 1990 (Bank company-only; UK GAAP; share capital incl. £60.0m preference)</t>
        </is>
      </c>
      <c r="B42" s="5" t="n">
        <v>90</v>
      </c>
      <c r="C42" s="5" t="n">
        <v>8.800000000000001</v>
      </c>
      <c r="D42" s="5" t="n"/>
      <c r="E42" s="5" t="n"/>
      <c r="F42" s="5" t="n"/>
      <c r="G42" s="5" t="n"/>
      <c r="H42" s="5" t="n">
        <v>49.4</v>
      </c>
      <c r="I42" s="5" t="n"/>
      <c r="J42" s="5" t="n">
        <v>148.2</v>
      </c>
    </row>
    <row r="43">
      <c r="A43" s="5" t="inlineStr">
        <is>
          <t>At 31 December 1991 (Bank company-only; UK GAAP; share capital incl. £60.0m preference)</t>
        </is>
      </c>
      <c r="B43" s="5" t="n">
        <v>90</v>
      </c>
      <c r="C43" s="5" t="n">
        <v>8.800000000000001</v>
      </c>
      <c r="D43" s="5" t="n"/>
      <c r="E43" s="5" t="n"/>
      <c r="F43" s="5" t="n"/>
      <c r="G43" s="5" t="n"/>
      <c r="H43" s="5" t="n">
        <v>42.8</v>
      </c>
      <c r="I43" s="5" t="n"/>
      <c r="J43" s="5" t="n">
        <v>141.6</v>
      </c>
    </row>
    <row r="44">
      <c r="A44" s="6" t="inlineStr">
        <is>
          <t>Net movement during the year (FY1992)</t>
        </is>
      </c>
      <c r="B44" s="6" t="n">
        <v>0</v>
      </c>
      <c r="C44" s="6" t="n">
        <v>0</v>
      </c>
      <c r="D44" s="6" t="n"/>
      <c r="E44" s="6" t="n"/>
      <c r="F44" s="6" t="n"/>
      <c r="G44" s="6" t="n"/>
      <c r="H44" s="6" t="n">
        <v>0.4</v>
      </c>
      <c r="I44" s="6" t="n"/>
      <c r="J44" s="6" t="n">
        <v>0.5</v>
      </c>
    </row>
    <row r="45">
      <c r="A45" s="5" t="inlineStr">
        <is>
          <t>At 31 December 1992</t>
        </is>
      </c>
      <c r="B45" s="5" t="n">
        <v>90</v>
      </c>
      <c r="C45" s="5" t="n">
        <v>8.800000000000001</v>
      </c>
      <c r="D45" s="5" t="n"/>
      <c r="E45" s="5" t="n"/>
      <c r="F45" s="5" t="n"/>
      <c r="G45" s="5" t="n"/>
      <c r="H45" s="5" t="n">
        <v>43.2</v>
      </c>
      <c r="I45" s="5" t="n"/>
      <c r="J45" s="5" t="n">
        <v>142.1</v>
      </c>
    </row>
    <row r="46">
      <c r="A46" s="6" t="inlineStr">
        <is>
          <t>Net movement during the year (FY1993)</t>
        </is>
      </c>
      <c r="B46" s="6" t="n">
        <v>0</v>
      </c>
      <c r="C46" s="6" t="n">
        <v>0</v>
      </c>
      <c r="D46" s="6" t="n"/>
      <c r="E46" s="6" t="n"/>
      <c r="F46" s="6" t="n"/>
      <c r="G46" s="6" t="n"/>
      <c r="H46" s="6" t="n">
        <v>1.3</v>
      </c>
      <c r="I46" s="6" t="n"/>
      <c r="J46" s="6" t="n">
        <v>1.2</v>
      </c>
    </row>
    <row r="47">
      <c r="A47" s="5" t="inlineStr">
        <is>
          <t>At 31 December 1993</t>
        </is>
      </c>
      <c r="B47" s="5" t="n">
        <v>90</v>
      </c>
      <c r="C47" s="5" t="n">
        <v>8.800000000000001</v>
      </c>
      <c r="D47" s="5" t="n"/>
      <c r="E47" s="5" t="n"/>
      <c r="F47" s="5" t="n"/>
      <c r="G47" s="5" t="n"/>
      <c r="H47" s="5" t="n">
        <v>44.5</v>
      </c>
      <c r="I47" s="5" t="n"/>
      <c r="J47" s="5" t="n">
        <v>143.3</v>
      </c>
    </row>
    <row r="48">
      <c r="A48" s="6" t="inlineStr">
        <is>
          <t>Net movement during the year (FY1994)</t>
        </is>
      </c>
      <c r="B48" s="6" t="n">
        <v>0</v>
      </c>
      <c r="C48" s="6" t="n">
        <v>0</v>
      </c>
      <c r="D48" s="6" t="n"/>
      <c r="E48" s="6" t="n"/>
      <c r="F48" s="6" t="n"/>
      <c r="G48" s="6" t="n"/>
      <c r="H48" s="6" t="n">
        <v>8.699999999999999</v>
      </c>
      <c r="I48" s="6" t="n"/>
      <c r="J48" s="6" t="n">
        <v>8.800000000000001</v>
      </c>
    </row>
    <row r="49">
      <c r="A49" s="5" t="inlineStr">
        <is>
          <t>At 31 December 1994</t>
        </is>
      </c>
      <c r="B49" s="5" t="n">
        <v>90</v>
      </c>
      <c r="C49" s="5" t="n">
        <v>8.800000000000001</v>
      </c>
      <c r="D49" s="5" t="n"/>
      <c r="E49" s="5" t="n"/>
      <c r="F49" s="5" t="n"/>
      <c r="G49" s="5" t="n"/>
      <c r="H49" s="5" t="n">
        <v>53.2</v>
      </c>
      <c r="I49" s="5" t="n"/>
      <c r="J49" s="5" t="n">
        <v>152.1</v>
      </c>
    </row>
    <row r="50">
      <c r="A50" s="6" t="inlineStr">
        <is>
          <t>Net movement during the year (FY1995)</t>
        </is>
      </c>
      <c r="B50" s="6" t="n">
        <v>0</v>
      </c>
      <c r="C50" s="6" t="n">
        <v>0</v>
      </c>
      <c r="D50" s="6" t="n"/>
      <c r="E50" s="6" t="n"/>
      <c r="F50" s="6" t="n"/>
      <c r="G50" s="6" t="n"/>
      <c r="H50" s="6" t="n">
        <v>14</v>
      </c>
      <c r="I50" s="6" t="n"/>
      <c r="J50" s="6" t="n">
        <v>13.9</v>
      </c>
    </row>
    <row r="51">
      <c r="A51" s="5" t="inlineStr">
        <is>
          <t>At 31 December 1995</t>
        </is>
      </c>
      <c r="B51" s="5" t="n">
        <v>90</v>
      </c>
      <c r="C51" s="5" t="n">
        <v>8.800000000000001</v>
      </c>
      <c r="D51" s="5" t="n"/>
      <c r="E51" s="5" t="n"/>
      <c r="F51" s="5" t="n"/>
      <c r="G51" s="5" t="n"/>
      <c r="H51" s="5" t="n">
        <v>67.2</v>
      </c>
      <c r="I51" s="5" t="n"/>
      <c r="J51" s="5" t="n">
        <v>166</v>
      </c>
    </row>
    <row r="52">
      <c r="A52" s="6" t="inlineStr">
        <is>
          <t>Net movement during the year (FY1996)</t>
        </is>
      </c>
      <c r="B52" s="6" t="n">
        <v>0</v>
      </c>
      <c r="C52" s="6" t="n">
        <v>0</v>
      </c>
      <c r="D52" s="6" t="n"/>
      <c r="E52" s="6" t="n"/>
      <c r="F52" s="6" t="n"/>
      <c r="G52" s="6" t="n"/>
      <c r="H52" s="6" t="n">
        <v>21.3</v>
      </c>
      <c r="I52" s="6" t="n"/>
      <c r="J52" s="6" t="n">
        <v>21.3</v>
      </c>
    </row>
    <row r="53">
      <c r="A53" s="5" t="inlineStr">
        <is>
          <t>At 31 December 1996</t>
        </is>
      </c>
      <c r="B53" s="5" t="n">
        <v>90</v>
      </c>
      <c r="C53" s="5" t="n">
        <v>8.800000000000001</v>
      </c>
      <c r="D53" s="5" t="n"/>
      <c r="E53" s="5" t="n"/>
      <c r="F53" s="5" t="n"/>
      <c r="G53" s="5" t="n"/>
      <c r="H53" s="5" t="n">
        <v>88.5</v>
      </c>
      <c r="I53" s="5" t="n"/>
      <c r="J53" s="5" t="n">
        <v>187.3</v>
      </c>
    </row>
    <row r="54">
      <c r="A54" s="6" t="inlineStr">
        <is>
          <t>Net movement during the year (FY1997, incl. £5.0m ordinary share capital increase)</t>
        </is>
      </c>
      <c r="B54" s="6" t="n">
        <v>5</v>
      </c>
      <c r="C54" s="6" t="n">
        <v>0</v>
      </c>
      <c r="D54" s="6" t="n"/>
      <c r="E54" s="6" t="n"/>
      <c r="F54" s="6" t="n"/>
      <c r="G54" s="6" t="n"/>
      <c r="H54" s="6" t="n">
        <v>30.5</v>
      </c>
      <c r="I54" s="6" t="n"/>
      <c r="J54" s="6" t="n">
        <v>35.5</v>
      </c>
    </row>
    <row r="55">
      <c r="A55" s="5" t="inlineStr">
        <is>
          <t>At 31 December 1997</t>
        </is>
      </c>
      <c r="B55" s="5" t="n">
        <v>95</v>
      </c>
      <c r="C55" s="5" t="n">
        <v>8.800000000000001</v>
      </c>
      <c r="D55" s="5" t="n"/>
      <c r="E55" s="5" t="n"/>
      <c r="F55" s="5" t="n"/>
      <c r="G55" s="5" t="n"/>
      <c r="H55" s="5" t="n">
        <v>119</v>
      </c>
      <c r="I55" s="5" t="n"/>
      <c r="J55" s="5" t="n">
        <v>222.8</v>
      </c>
    </row>
    <row r="56">
      <c r="A56" s="6" t="inlineStr">
        <is>
          <t>Net movement during the year (FY1998)</t>
        </is>
      </c>
      <c r="B56" s="6" t="n">
        <v>0</v>
      </c>
      <c r="C56" s="6" t="n">
        <v>0</v>
      </c>
      <c r="D56" s="6" t="n"/>
      <c r="E56" s="6" t="n"/>
      <c r="F56" s="6" t="n"/>
      <c r="G56" s="6" t="n"/>
      <c r="H56" s="6" t="n">
        <v>40.1</v>
      </c>
      <c r="I56" s="6" t="n"/>
      <c r="J56" s="6" t="n">
        <v>40.1</v>
      </c>
    </row>
    <row r="57">
      <c r="A57" s="5" t="inlineStr">
        <is>
          <t>At 31 December 1998</t>
        </is>
      </c>
      <c r="B57" s="5" t="n">
        <v>95</v>
      </c>
      <c r="C57" s="5" t="n">
        <v>8.800000000000001</v>
      </c>
      <c r="D57" s="5" t="n"/>
      <c r="E57" s="5" t="n"/>
      <c r="F57" s="5" t="n"/>
      <c r="G57" s="5" t="n"/>
      <c r="H57" s="5" t="n">
        <v>159.1</v>
      </c>
      <c r="I57" s="5" t="n"/>
      <c r="J57" s="5" t="n">
        <v>262.9</v>
      </c>
    </row>
    <row r="58">
      <c r="A58" s="6" t="inlineStr">
        <is>
          <t>Net movement during the year (FY1999)</t>
        </is>
      </c>
      <c r="B58" s="6" t="n">
        <v>0</v>
      </c>
      <c r="C58" s="6" t="n">
        <v>0</v>
      </c>
      <c r="D58" s="6" t="n"/>
      <c r="E58" s="6" t="n"/>
      <c r="F58" s="6" t="n"/>
      <c r="G58" s="6" t="n"/>
      <c r="H58" s="6" t="n">
        <v>52.1</v>
      </c>
      <c r="I58" s="6" t="n"/>
      <c r="J58" s="6" t="n">
        <v>52.1</v>
      </c>
    </row>
    <row r="59">
      <c r="A59" s="5" t="inlineStr">
        <is>
          <t>At 31 December 1999</t>
        </is>
      </c>
      <c r="B59" s="5" t="n">
        <v>95</v>
      </c>
      <c r="C59" s="5" t="n">
        <v>8.800000000000001</v>
      </c>
      <c r="D59" s="5" t="n"/>
      <c r="E59" s="5" t="n"/>
      <c r="F59" s="5" t="n"/>
      <c r="G59" s="5" t="n"/>
      <c r="H59" s="5" t="n">
        <v>211.2</v>
      </c>
      <c r="I59" s="5" t="n"/>
      <c r="J59" s="5" t="n">
        <v>315</v>
      </c>
    </row>
    <row r="60">
      <c r="A60" s="6" t="inlineStr">
        <is>
          <t>Net movement during the year (FY2000)</t>
        </is>
      </c>
      <c r="B60" s="6" t="n">
        <v>0</v>
      </c>
      <c r="C60" s="6" t="n">
        <v>0</v>
      </c>
      <c r="D60" s="6" t="n"/>
      <c r="E60" s="6" t="n"/>
      <c r="F60" s="6" t="n"/>
      <c r="G60" s="6" t="n"/>
      <c r="H60" s="6" t="n">
        <v>56.2</v>
      </c>
      <c r="I60" s="6" t="n"/>
      <c r="J60" s="6" t="n">
        <v>56.2</v>
      </c>
    </row>
    <row r="61">
      <c r="A61" s="5" t="inlineStr">
        <is>
          <t>At 31 December 2000</t>
        </is>
      </c>
      <c r="B61" s="5" t="n">
        <v>95</v>
      </c>
      <c r="C61" s="5" t="n">
        <v>8.800000000000001</v>
      </c>
      <c r="D61" s="5" t="n"/>
      <c r="E61" s="5" t="n"/>
      <c r="F61" s="5" t="n"/>
      <c r="G61" s="5" t="n"/>
      <c r="H61" s="5" t="n">
        <v>267.4</v>
      </c>
      <c r="I61" s="5" t="n"/>
      <c r="J61" s="5" t="n">
        <v>371.2</v>
      </c>
    </row>
    <row r="62">
      <c r="A62" s="6" t="inlineStr">
        <is>
          <t>Net movement during the year (FY2001)</t>
        </is>
      </c>
      <c r="B62" s="6" t="n">
        <v>0</v>
      </c>
      <c r="C62" s="6" t="n">
        <v>0</v>
      </c>
      <c r="D62" s="6" t="n"/>
      <c r="E62" s="6" t="n"/>
      <c r="F62" s="6" t="n"/>
      <c r="G62" s="6" t="n"/>
      <c r="H62" s="6" t="n">
        <v>67.2</v>
      </c>
      <c r="I62" s="6" t="n"/>
      <c r="J62" s="6" t="n">
        <v>67.2</v>
      </c>
    </row>
    <row r="63">
      <c r="A63" s="5" t="inlineStr">
        <is>
          <t>At 31 December 2001 (as originally reported in the Bank's FY2001 Annual Report)</t>
        </is>
      </c>
      <c r="B63" s="5" t="n">
        <v>95</v>
      </c>
      <c r="C63" s="5" t="n">
        <v>8.800000000000001</v>
      </c>
      <c r="D63" s="5" t="n"/>
      <c r="E63" s="5" t="n"/>
      <c r="F63" s="5" t="n"/>
      <c r="G63" s="5" t="n"/>
      <c r="H63" s="5" t="n">
        <v>334.6</v>
      </c>
      <c r="I63" s="5" t="n"/>
      <c r="J63" s="5" t="n">
        <v>438.4</v>
      </c>
    </row>
    <row r="64">
      <c r="A64" s="6" t="inlineStr">
        <is>
          <t>Restatement (FY2002 Annual Report's restated FY2001 comparative closing position vs. the Bank's own FY2001 Annual Report; cause not narrated in the source - see HD078_1991_2002_NOTE)</t>
        </is>
      </c>
      <c r="B64" s="6" t="n">
        <v>0</v>
      </c>
      <c r="C64" s="6" t="n">
        <v>0</v>
      </c>
      <c r="D64" s="6" t="n"/>
      <c r="E64" s="6" t="n"/>
      <c r="F64" s="6" t="n"/>
      <c r="G64" s="6" t="n"/>
      <c r="H64" s="6" t="n">
        <v>1.6</v>
      </c>
      <c r="I64" s="6" t="n"/>
      <c r="J64" s="6" t="n">
        <v>1.6</v>
      </c>
    </row>
    <row r="65">
      <c r="A65" s="5" t="inlineStr">
        <is>
          <t>At 1 January 2002 (restated)</t>
        </is>
      </c>
      <c r="B65" s="5" t="n">
        <v>95</v>
      </c>
      <c r="C65" s="5" t="n">
        <v>8.800000000000001</v>
      </c>
      <c r="D65" s="5" t="n"/>
      <c r="E65" s="5" t="n"/>
      <c r="F65" s="5" t="n"/>
      <c r="G65" s="5" t="n"/>
      <c r="H65" s="5" t="n">
        <v>336.2</v>
      </c>
      <c r="I65" s="5" t="n"/>
      <c r="J65" s="5" t="n">
        <v>440</v>
      </c>
    </row>
    <row r="66">
      <c r="A66" s="6" t="inlineStr">
        <is>
          <t>Net movement during the year (FY2002)</t>
        </is>
      </c>
      <c r="B66" s="6" t="n">
        <v>0</v>
      </c>
      <c r="C66" s="6" t="n">
        <v>0</v>
      </c>
      <c r="D66" s="6" t="n"/>
      <c r="E66" s="6" t="n"/>
      <c r="F66" s="6" t="n"/>
      <c r="G66" s="6" t="n"/>
      <c r="H66" s="6" t="n">
        <v>78.40000000000001</v>
      </c>
      <c r="I66" s="6" t="n"/>
      <c r="J66" s="6" t="n">
        <v>78.40000000000001</v>
      </c>
    </row>
    <row r="67">
      <c r="A67" s="5" t="inlineStr">
        <is>
          <t>At 31 December 2002</t>
        </is>
      </c>
      <c r="B67" s="5" t="n">
        <v>95</v>
      </c>
      <c r="C67" s="5" t="n">
        <v>8.800000000000001</v>
      </c>
      <c r="D67" s="5" t="n"/>
      <c r="E67" s="5" t="n"/>
      <c r="F67" s="5" t="n"/>
      <c r="G67" s="5" t="n"/>
      <c r="H67" s="5" t="n">
        <v>414.6</v>
      </c>
      <c r="I67" s="5" t="n"/>
      <c r="J67" s="5" t="n">
        <v>518.4</v>
      </c>
    </row>
    <row r="68">
      <c r="A68" s="6" t="inlineStr">
        <is>
          <t>Net movement during the year (FY2003, incl. £20.0m ordinary share capital increase - cause not disclosed in the sources reviewed for this range)</t>
        </is>
      </c>
      <c r="B68" s="6" t="n">
        <v>20</v>
      </c>
      <c r="C68" s="6" t="n">
        <v>0</v>
      </c>
      <c r="D68" s="6" t="n"/>
      <c r="E68" s="6" t="n"/>
      <c r="F68" s="6" t="n"/>
      <c r="G68" s="6" t="n"/>
      <c r="H68" s="6" t="n">
        <v>60.6</v>
      </c>
      <c r="I68" s="6" t="n"/>
      <c r="J68" s="6" t="n">
        <v>80.59999999999999</v>
      </c>
    </row>
    <row r="69">
      <c r="A69" s="5" t="inlineStr">
        <is>
          <t>At 31 December 2003 (Bank company-only; UK GAAP; share capital incl. £60.0m preference)</t>
        </is>
      </c>
      <c r="B69" s="5" t="n">
        <v>115</v>
      </c>
      <c r="C69" s="5" t="n">
        <v>8.800000000000001</v>
      </c>
      <c r="D69" s="5" t="n"/>
      <c r="E69" s="5" t="n"/>
      <c r="F69" s="5" t="n"/>
      <c r="G69" s="5" t="n"/>
      <c r="H69" s="5" t="n">
        <v>475.2</v>
      </c>
      <c r="I69" s="5" t="n"/>
      <c r="J69" s="5" t="n">
        <v>599</v>
      </c>
    </row>
    <row r="70">
      <c r="A70" s="6" t="inlineStr">
        <is>
          <t>Net movement during the year (FY2004)</t>
        </is>
      </c>
      <c r="B70" s="6" t="n">
        <v>0</v>
      </c>
      <c r="C70" s="6" t="n">
        <v>0</v>
      </c>
      <c r="D70" s="6" t="n"/>
      <c r="E70" s="6" t="n"/>
      <c r="F70" s="6" t="n"/>
      <c r="G70" s="6" t="n"/>
      <c r="H70" s="6" t="n">
        <v>62.5</v>
      </c>
      <c r="I70" s="6" t="n"/>
      <c r="J70" s="6" t="n">
        <v>62.5</v>
      </c>
    </row>
    <row r="71">
      <c r="A71" s="5" t="inlineStr">
        <is>
          <t>At 31 December 2004 (UK GAAP; share capital incl. £60.0m preference)</t>
        </is>
      </c>
      <c r="B71" s="5" t="n">
        <v>115</v>
      </c>
      <c r="C71" s="5" t="n">
        <v>8.800000000000001</v>
      </c>
      <c r="D71" s="5" t="n"/>
      <c r="E71" s="5" t="n"/>
      <c r="F71" s="5" t="n"/>
      <c r="G71" s="5" t="n"/>
      <c r="H71" s="5" t="n">
        <v>537.7</v>
      </c>
      <c r="I71" s="5" t="n"/>
      <c r="J71" s="5" t="n">
        <v>661.5</v>
      </c>
    </row>
    <row r="72">
      <c r="A72" s="6" t="inlineStr">
        <is>
          <t>Net movement during the year (FY2005, incl. redemption of £60.0m preference share capital and IFRS transition)</t>
        </is>
      </c>
      <c r="B72" s="6" t="n">
        <v>-60</v>
      </c>
      <c r="C72" s="6" t="n">
        <v>0</v>
      </c>
      <c r="D72" s="6" t="n">
        <v>11.9</v>
      </c>
      <c r="E72" s="6" t="n"/>
      <c r="F72" s="6" t="n"/>
      <c r="G72" s="6" t="n"/>
      <c r="H72" s="6" t="n">
        <v>-30.9</v>
      </c>
      <c r="I72" s="6" t="n"/>
      <c r="J72" s="6" t="n">
        <v>-79</v>
      </c>
    </row>
    <row r="73">
      <c r="A73" s="5" t="inlineStr">
        <is>
          <t>At 31 December 2005 (IFRS)</t>
        </is>
      </c>
      <c r="B73" s="5" t="n">
        <v>55</v>
      </c>
      <c r="C73" s="5" t="n">
        <v>8.800000000000001</v>
      </c>
      <c r="D73" s="5" t="n">
        <v>11.9</v>
      </c>
      <c r="E73" s="5" t="n"/>
      <c r="F73" s="5" t="n"/>
      <c r="G73" s="5" t="n"/>
      <c r="H73" s="5" t="n">
        <v>506.8</v>
      </c>
      <c r="I73" s="5" t="n"/>
      <c r="J73" s="5" t="n">
        <v>582.5</v>
      </c>
    </row>
    <row r="74">
      <c r="A74" s="6" t="inlineStr">
        <is>
          <t>Net movement during the year (FY2006)</t>
        </is>
      </c>
      <c r="B74" s="6" t="n">
        <v>0</v>
      </c>
      <c r="C74" s="6" t="n">
        <v>0</v>
      </c>
      <c r="D74" s="6" t="n">
        <v>-34.4</v>
      </c>
      <c r="E74" s="6" t="n"/>
      <c r="F74" s="6" t="n"/>
      <c r="G74" s="6" t="n"/>
      <c r="H74" s="6" t="n">
        <v>101.5</v>
      </c>
      <c r="I74" s="6" t="n"/>
      <c r="J74" s="6" t="n">
        <v>67.09999999999999</v>
      </c>
    </row>
    <row r="75">
      <c r="A75" s="5" t="inlineStr">
        <is>
          <t>At 31 December 2006</t>
        </is>
      </c>
      <c r="B75" s="5" t="n">
        <v>55</v>
      </c>
      <c r="C75" s="5" t="n">
        <v>8.800000000000001</v>
      </c>
      <c r="D75" s="5" t="n">
        <v>-22.5</v>
      </c>
      <c r="E75" s="5" t="n"/>
      <c r="F75" s="5" t="n"/>
      <c r="G75" s="5" t="n"/>
      <c r="H75" s="5" t="n">
        <v>608.3</v>
      </c>
      <c r="I75" s="5" t="n"/>
      <c r="J75" s="5" t="n">
        <v>649.6</v>
      </c>
    </row>
    <row r="76">
      <c r="A76" s="6" t="inlineStr">
        <is>
          <t>Net movement during the year (FY2007)</t>
        </is>
      </c>
      <c r="B76" s="6" t="n">
        <v>0</v>
      </c>
      <c r="C76" s="6" t="n">
        <v>0</v>
      </c>
      <c r="D76" s="6" t="n">
        <v>21.1</v>
      </c>
      <c r="E76" s="6" t="n"/>
      <c r="F76" s="6" t="n"/>
      <c r="G76" s="6" t="n"/>
      <c r="H76" s="6" t="n">
        <v>-10.4</v>
      </c>
      <c r="I76" s="6" t="n"/>
      <c r="J76" s="6" t="n">
        <v>10.7</v>
      </c>
    </row>
    <row r="77">
      <c r="A77" s="5" t="inlineStr">
        <is>
          <t>At 31 December 2007</t>
        </is>
      </c>
      <c r="B77" s="5" t="n">
        <v>55</v>
      </c>
      <c r="C77" s="5" t="n">
        <v>8.800000000000001</v>
      </c>
      <c r="D77" s="5" t="n">
        <v>-1.4</v>
      </c>
      <c r="E77" s="5" t="n"/>
      <c r="F77" s="5" t="n"/>
      <c r="G77" s="5" t="n"/>
      <c r="H77" s="5" t="n">
        <v>597.9</v>
      </c>
      <c r="I77" s="5" t="n"/>
      <c r="J77" s="5" t="n">
        <v>660.3</v>
      </c>
    </row>
    <row r="78">
      <c r="A78" s="6" t="inlineStr">
        <is>
          <t>Net movement during the year (FY2008)</t>
        </is>
      </c>
      <c r="B78" s="6" t="n">
        <v>0</v>
      </c>
      <c r="C78" s="6" t="n">
        <v>0</v>
      </c>
      <c r="D78" s="6" t="n">
        <v>42.8</v>
      </c>
      <c r="E78" s="6" t="n"/>
      <c r="F78" s="6" t="n"/>
      <c r="G78" s="6" t="n"/>
      <c r="H78" s="6" t="n">
        <v>12.8</v>
      </c>
      <c r="I78" s="6" t="n"/>
      <c r="J78" s="6" t="n">
        <v>55.6</v>
      </c>
    </row>
    <row r="79">
      <c r="A79" s="5" t="inlineStr">
        <is>
          <t>At 31 December 2008</t>
        </is>
      </c>
      <c r="B79" s="5" t="n">
        <v>55</v>
      </c>
      <c r="C79" s="5" t="n">
        <v>8.800000000000001</v>
      </c>
      <c r="D79" s="5" t="n">
        <v>41.4</v>
      </c>
      <c r="E79" s="5" t="n"/>
      <c r="F79" s="5" t="n"/>
      <c r="G79" s="5" t="n"/>
      <c r="H79" s="5" t="n">
        <v>610.7</v>
      </c>
      <c r="I79" s="5" t="n"/>
      <c r="J79" s="5" t="n">
        <v>715.9</v>
      </c>
    </row>
    <row r="80">
      <c r="A80" s="6" t="inlineStr">
        <is>
          <t>Net movement during the year (FY2009, incl. Britannia transfer of engagements and new share capital issuance)</t>
        </is>
      </c>
      <c r="B80" s="6" t="n">
        <v>175</v>
      </c>
      <c r="C80" s="6" t="n">
        <v>0</v>
      </c>
      <c r="D80" s="6" t="n">
        <v>-1.2</v>
      </c>
      <c r="E80" s="6" t="n"/>
      <c r="F80" s="6" t="n"/>
      <c r="G80" s="6" t="n"/>
      <c r="H80" s="6" t="n">
        <v>977.8</v>
      </c>
      <c r="I80" s="6" t="n"/>
      <c r="J80" s="6" t="n">
        <v>1151.6</v>
      </c>
    </row>
    <row r="81">
      <c r="A81" s="5" t="inlineStr">
        <is>
          <t>At 31 December 2009</t>
        </is>
      </c>
      <c r="B81" s="5" t="n">
        <v>230</v>
      </c>
      <c r="C81" s="5" t="n">
        <v>8.800000000000001</v>
      </c>
      <c r="D81" s="5" t="n">
        <v>40.2</v>
      </c>
      <c r="E81" s="5" t="n"/>
      <c r="F81" s="5" t="n"/>
      <c r="G81" s="5" t="n"/>
      <c r="H81" s="5" t="n">
        <v>1588.5</v>
      </c>
      <c r="I81" s="5" t="n"/>
      <c r="J81" s="5" t="n">
        <v>1867.5</v>
      </c>
    </row>
    <row r="82">
      <c r="A82" s="6" t="inlineStr">
        <is>
          <t>Net movement during the year (FY2010, incl. new share capital issuance)</t>
        </is>
      </c>
      <c r="B82" s="6" t="n">
        <v>180</v>
      </c>
      <c r="C82" s="6" t="n">
        <v>0</v>
      </c>
      <c r="D82" s="6" t="n">
        <v>-16.9</v>
      </c>
      <c r="E82" s="6" t="n"/>
      <c r="F82" s="6" t="n"/>
      <c r="G82" s="6" t="n"/>
      <c r="H82" s="6" t="n">
        <v>72.90000000000001</v>
      </c>
      <c r="I82" s="6" t="n"/>
      <c r="J82" s="6" t="n">
        <v>236</v>
      </c>
    </row>
    <row r="83">
      <c r="A83" s="5" t="inlineStr">
        <is>
          <t>At 31 December 2010</t>
        </is>
      </c>
      <c r="B83" s="5" t="n">
        <v>410</v>
      </c>
      <c r="C83" s="5" t="n">
        <v>8.800000000000001</v>
      </c>
      <c r="D83" s="5" t="n">
        <v>23.3</v>
      </c>
      <c r="E83" s="5" t="n"/>
      <c r="F83" s="5" t="n"/>
      <c r="G83" s="5" t="n"/>
      <c r="H83" s="5" t="n">
        <v>1661.4</v>
      </c>
      <c r="I83" s="5" t="n"/>
      <c r="J83" s="5" t="n">
        <v>2103.5</v>
      </c>
    </row>
    <row r="84">
      <c r="A84" s="6" t="inlineStr">
        <is>
          <t>Net movement during the year (FY2011)</t>
        </is>
      </c>
      <c r="B84" s="6" t="n">
        <v>0</v>
      </c>
      <c r="C84" s="6" t="n">
        <v>0</v>
      </c>
      <c r="D84" s="6" t="n">
        <v>63.3</v>
      </c>
      <c r="E84" s="6" t="n"/>
      <c r="F84" s="6" t="n"/>
      <c r="G84" s="6" t="n"/>
      <c r="H84" s="6" t="n">
        <v>-6.4</v>
      </c>
      <c r="I84" s="6" t="n"/>
      <c r="J84" s="6" t="n">
        <v>56.9</v>
      </c>
    </row>
    <row r="85">
      <c r="A85" s="5" t="inlineStr">
        <is>
          <t>At 31 December 2011</t>
        </is>
      </c>
      <c r="B85" s="5" t="n">
        <v>410</v>
      </c>
      <c r="C85" s="5" t="n">
        <v>8.800000000000001</v>
      </c>
      <c r="D85" s="5" t="n">
        <v>86.59999999999999</v>
      </c>
      <c r="E85" s="5" t="n"/>
      <c r="F85" s="5" t="n"/>
      <c r="G85" s="5" t="n"/>
      <c r="H85" s="5" t="n">
        <v>1655</v>
      </c>
      <c r="I85" s="5" t="n"/>
      <c r="J85" s="5" t="n">
        <v>2160.4</v>
      </c>
    </row>
    <row r="86">
      <c r="A86" s="6" t="inlineStr">
        <is>
          <t>Net movement during the year (FY2012)</t>
        </is>
      </c>
      <c r="B86" s="6" t="n">
        <v>0</v>
      </c>
      <c r="C86" s="6" t="n">
        <v>0</v>
      </c>
      <c r="D86" s="6" t="n">
        <v>6.8</v>
      </c>
      <c r="E86" s="6" t="n"/>
      <c r="F86" s="6" t="n"/>
      <c r="G86" s="6" t="n"/>
      <c r="H86" s="6" t="n">
        <v>-538.1</v>
      </c>
      <c r="I86" s="6" t="n"/>
      <c r="J86" s="6" t="n">
        <v>-531.3</v>
      </c>
    </row>
    <row r="87">
      <c r="A87" s="5" t="inlineStr">
        <is>
          <t>At 31 December 2012 (per the Bank's own FY2012 Annual Report)</t>
        </is>
      </c>
      <c r="B87" s="5" t="n">
        <v>410</v>
      </c>
      <c r="C87" s="5" t="n">
        <v>8.800000000000001</v>
      </c>
      <c r="D87" s="5" t="n">
        <v>93.40000000000001</v>
      </c>
      <c r="E87" s="5" t="n"/>
      <c r="F87" s="5" t="n"/>
      <c r="G87" s="5" t="n"/>
      <c r="H87" s="5" t="n">
        <v>1116.9</v>
      </c>
      <c r="I87" s="5" t="n"/>
      <c r="J87" s="5" t="n">
        <v>1629.1</v>
      </c>
    </row>
    <row r="88">
      <c r="A88" s="6" t="inlineStr">
        <is>
          <t>Restatement (FY2013 Annual Report's restated FY2012 comparative closing position vs. the Bank's own FY2012 Annual Report; cause not narrated in the source - see PRE2014_HISTORY_NOTE)</t>
        </is>
      </c>
      <c r="B88" s="6" t="n">
        <v>0</v>
      </c>
      <c r="C88" s="6" t="n">
        <v>0</v>
      </c>
      <c r="D88" s="6" t="n">
        <v>221.1</v>
      </c>
      <c r="E88" s="6" t="n"/>
      <c r="F88" s="6" t="n"/>
      <c r="G88" s="6" t="n"/>
      <c r="H88" s="6" t="n">
        <v>0</v>
      </c>
      <c r="I88" s="6" t="n"/>
      <c r="J88" s="6" t="n">
        <v>221.1</v>
      </c>
    </row>
    <row r="89">
      <c r="A89" s="6" t="inlineStr">
        <is>
          <t>Net movement during the year (FY2013, incl. Liability Management Exercise share/capital restructuring)</t>
        </is>
      </c>
      <c r="B89" s="6" t="n">
        <v>-397.5</v>
      </c>
      <c r="C89" s="6" t="n">
        <v>1351</v>
      </c>
      <c r="D89" s="6" t="n">
        <v>96.3</v>
      </c>
      <c r="E89" s="6" t="n"/>
      <c r="F89" s="6" t="n"/>
      <c r="G89" s="6" t="n"/>
      <c r="H89" s="6" t="n">
        <v>-1156.3</v>
      </c>
      <c r="I89" s="6" t="n">
        <v>33.6</v>
      </c>
      <c r="J89" s="6" t="n">
        <v>-72.90000000000001</v>
      </c>
    </row>
    <row r="90">
      <c r="A90" s="5" t="inlineStr">
        <is>
          <t>At 31 December 2013 (per the Bank's own FY2013 Annual Report)</t>
        </is>
      </c>
      <c r="B90" s="5" t="n">
        <v>12.5</v>
      </c>
      <c r="C90" s="5" t="n">
        <v>1359.8</v>
      </c>
      <c r="D90" s="5" t="n">
        <v>410.8</v>
      </c>
      <c r="E90" s="5" t="n"/>
      <c r="F90" s="5" t="n"/>
      <c r="G90" s="5" t="n"/>
      <c r="H90" s="5" t="n">
        <v>-39.4</v>
      </c>
      <c r="I90" s="5" t="n">
        <v>33.6</v>
      </c>
      <c r="J90" s="5" t="n">
        <v>1777.3</v>
      </c>
    </row>
    <row r="91">
      <c r="A91" s="6" t="inlineStr">
        <is>
          <t>Restatement (FY2014 Annual Report's restated FY2013 comparative opening position vs. the Bank's own FY2013 Annual Report; £8.8m difference within the Cashflow hedging reserve and Retained earnings columns - see PRE2014_HISTORY_NOTE)</t>
        </is>
      </c>
      <c r="B91" s="6" t="n">
        <v>0</v>
      </c>
      <c r="C91" s="6" t="n">
        <v>0</v>
      </c>
      <c r="D91" s="6" t="n">
        <v>-424.9</v>
      </c>
      <c r="E91" s="6" t="n">
        <v>13.1</v>
      </c>
      <c r="F91" s="6" t="n">
        <v>410</v>
      </c>
      <c r="G91" s="6" t="n"/>
      <c r="H91" s="6" t="n">
        <v>-7</v>
      </c>
      <c r="I91" s="6" t="n">
        <v>0</v>
      </c>
      <c r="J91" s="6" t="n">
        <v>-8.800000000000001</v>
      </c>
    </row>
    <row r="92">
      <c r="A92" s="5" t="inlineStr">
        <is>
          <t>At 1 January 2014</t>
        </is>
      </c>
      <c r="B92" s="5" t="n">
        <v>12.5</v>
      </c>
      <c r="C92" s="5" t="n">
        <v>1359.8</v>
      </c>
      <c r="D92" s="5" t="n">
        <v>-14.1</v>
      </c>
      <c r="E92" s="5" t="n">
        <v>13.1</v>
      </c>
      <c r="F92" s="5" t="n">
        <v>410</v>
      </c>
      <c r="G92" s="5" t="n"/>
      <c r="H92" s="5" t="n">
        <v>-46.4</v>
      </c>
      <c r="I92" s="5" t="n">
        <v>33.6</v>
      </c>
      <c r="J92" s="5" t="n">
        <v>1768.5</v>
      </c>
    </row>
    <row r="93">
      <c r="A93" s="6" t="inlineStr">
        <is>
          <t>Total comprehensive (expense)/income for the year (FY2014)</t>
        </is>
      </c>
      <c r="B93" s="6" t="n"/>
      <c r="C93" s="6" t="n"/>
      <c r="D93" s="6" t="n">
        <v>38.7</v>
      </c>
      <c r="E93" s="6" t="n">
        <v>45.9</v>
      </c>
      <c r="F93" s="6" t="n"/>
      <c r="G93" s="6" t="n"/>
      <c r="H93" s="6" t="n">
        <v>-226.6</v>
      </c>
      <c r="I93" s="6" t="n">
        <v>1.1</v>
      </c>
      <c r="J93" s="6" t="n">
        <v>-140.9</v>
      </c>
    </row>
    <row r="94">
      <c r="A94" s="6" t="inlineStr">
        <is>
          <t>Issuance of new share capital (FY2014)</t>
        </is>
      </c>
      <c r="B94" s="6" t="n">
        <v>10.1</v>
      </c>
      <c r="C94" s="6" t="n">
        <v>377.1</v>
      </c>
      <c r="D94" s="6" t="n"/>
      <c r="E94" s="6" t="n"/>
      <c r="F94" s="6" t="n"/>
      <c r="G94" s="6" t="n"/>
      <c r="H94" s="6" t="n"/>
      <c r="I94" s="6" t="n"/>
      <c r="J94" s="6" t="n">
        <v>387.2</v>
      </c>
    </row>
    <row r="95">
      <c r="A95" s="6" t="inlineStr">
        <is>
          <t>Dividend (FY2014)</t>
        </is>
      </c>
      <c r="B95" s="6" t="n"/>
      <c r="C95" s="6" t="n"/>
      <c r="D95" s="6" t="n"/>
      <c r="E95" s="6" t="n"/>
      <c r="F95" s="6" t="n"/>
      <c r="G95" s="6" t="n"/>
      <c r="H95" s="6" t="n">
        <v>-0.1</v>
      </c>
      <c r="I95" s="6" t="n">
        <v>-0.2</v>
      </c>
      <c r="J95" s="6" t="n">
        <v>-0.3</v>
      </c>
    </row>
    <row r="96">
      <c r="A96" s="5" t="inlineStr">
        <is>
          <t>At 31 December 2014 / 1 January 2015</t>
        </is>
      </c>
      <c r="B96" s="5" t="n">
        <v>22.6</v>
      </c>
      <c r="C96" s="5" t="n">
        <v>1736.9</v>
      </c>
      <c r="D96" s="5" t="n">
        <v>24.6</v>
      </c>
      <c r="E96" s="5" t="n">
        <v>59</v>
      </c>
      <c r="F96" s="5" t="n">
        <v>410</v>
      </c>
      <c r="G96" s="5" t="n"/>
      <c r="H96" s="5" t="n">
        <v>-273.1</v>
      </c>
      <c r="I96" s="5" t="n">
        <v>34.5</v>
      </c>
      <c r="J96" s="5" t="n">
        <v>2014.5</v>
      </c>
    </row>
    <row r="97">
      <c r="A97" s="6" t="inlineStr">
        <is>
          <t>Total comprehensive income/(expense) for the year (FY2015)</t>
        </is>
      </c>
      <c r="B97" s="6" t="n"/>
      <c r="C97" s="6" t="n"/>
      <c r="D97" s="6" t="n">
        <v>31</v>
      </c>
      <c r="E97" s="6" t="n">
        <v>-24.4</v>
      </c>
      <c r="F97" s="6" t="n"/>
      <c r="G97" s="6" t="n"/>
      <c r="H97" s="6" t="n">
        <v>-623.3</v>
      </c>
      <c r="I97" s="6" t="n">
        <v>0.4</v>
      </c>
      <c r="J97" s="6" t="n">
        <v>-616.3</v>
      </c>
    </row>
    <row r="98">
      <c r="A98" s="6" t="inlineStr">
        <is>
          <t>Disposal of Unity Trust Bank plc (FY2015)</t>
        </is>
      </c>
      <c r="B98" s="6" t="n"/>
      <c r="C98" s="6" t="n"/>
      <c r="D98" s="6" t="n"/>
      <c r="E98" s="6" t="n"/>
      <c r="F98" s="6" t="n"/>
      <c r="G98" s="6" t="n"/>
      <c r="H98" s="6" t="n"/>
      <c r="I98" s="6" t="n">
        <v>-34.9</v>
      </c>
      <c r="J98" s="6" t="n">
        <v>-34.9</v>
      </c>
    </row>
    <row r="99">
      <c r="A99" s="5" t="inlineStr">
        <is>
          <t>At 31 December 2015</t>
        </is>
      </c>
      <c r="B99" s="5" t="n">
        <v>22.6</v>
      </c>
      <c r="C99" s="5" t="n">
        <v>1736.9</v>
      </c>
      <c r="D99" s="5" t="n">
        <v>55.6</v>
      </c>
      <c r="E99" s="5" t="n">
        <v>34.6</v>
      </c>
      <c r="F99" s="5" t="n">
        <v>410</v>
      </c>
      <c r="G99" s="5" t="n"/>
      <c r="H99" s="5" t="n">
        <v>-896.4</v>
      </c>
      <c r="I99" s="5" t="n">
        <v>0</v>
      </c>
      <c r="J99" s="5" t="n">
        <v>1363.3</v>
      </c>
    </row>
    <row r="100">
      <c r="A100" s="6" t="inlineStr">
        <is>
          <t>Total comprehensive (expense)/income for the year (FY2016)</t>
        </is>
      </c>
      <c r="B100" s="6" t="n"/>
      <c r="C100" s="6" t="n"/>
      <c r="D100" s="6" t="n">
        <v>-17.4</v>
      </c>
      <c r="E100" s="6" t="n">
        <v>21.8</v>
      </c>
      <c r="F100" s="6" t="n"/>
      <c r="G100" s="6" t="n">
        <v>9.5</v>
      </c>
      <c r="H100" s="6" t="n">
        <v>-418.7</v>
      </c>
      <c r="I100" s="6" t="n"/>
      <c r="J100" s="6" t="n">
        <v>-404.8</v>
      </c>
    </row>
    <row r="101">
      <c r="A101" s="5" t="inlineStr">
        <is>
          <t>At 31 December 2016</t>
        </is>
      </c>
      <c r="B101" s="5" t="n">
        <v>22.6</v>
      </c>
      <c r="C101" s="5" t="n">
        <v>1736.9</v>
      </c>
      <c r="D101" s="5" t="n">
        <v>38.2</v>
      </c>
      <c r="E101" s="5" t="n">
        <v>56.4</v>
      </c>
      <c r="F101" s="5" t="n">
        <v>410</v>
      </c>
      <c r="G101" s="5" t="n">
        <v>9.5</v>
      </c>
      <c r="H101" s="5" t="n">
        <v>-1315.1</v>
      </c>
      <c r="I101" s="5" t="n"/>
      <c r="J101" s="5" t="n">
        <v>958.5</v>
      </c>
    </row>
    <row r="102">
      <c r="A102" s="6" t="inlineStr">
        <is>
          <t>Restatement (re-presentation of netting arrangements, per 2017 Annual Report note)</t>
        </is>
      </c>
      <c r="B102" s="6" t="n"/>
      <c r="C102" s="6" t="n"/>
      <c r="D102" s="6" t="n"/>
      <c r="E102" s="6" t="n"/>
      <c r="F102" s="6" t="n"/>
      <c r="G102" s="6" t="n"/>
      <c r="H102" s="6" t="n">
        <v>-232.1</v>
      </c>
      <c r="I102" s="6" t="n"/>
      <c r="J102" s="6" t="n">
        <v>-232.1</v>
      </c>
    </row>
    <row r="103">
      <c r="A103" s="6" t="inlineStr">
        <is>
          <t>Total comprehensive (expense)/income for the year (FY2017)</t>
        </is>
      </c>
      <c r="B103" s="6" t="n"/>
      <c r="C103" s="6" t="n"/>
      <c r="D103" s="6" t="n">
        <v>-13.4</v>
      </c>
      <c r="E103" s="6" t="n">
        <v>-26.5</v>
      </c>
      <c r="F103" s="6" t="n"/>
      <c r="G103" s="6" t="n">
        <v>61.3</v>
      </c>
      <c r="H103" s="6" t="n">
        <v>32.8</v>
      </c>
      <c r="I103" s="6" t="n"/>
      <c r="J103" s="6" t="n">
        <v>54.2</v>
      </c>
    </row>
    <row r="104">
      <c r="A104" s="6" t="inlineStr">
        <is>
          <t>Issuance of new share capital (FY2017 Restructuring and Recapitalisation)</t>
        </is>
      </c>
      <c r="B104" s="6" t="n">
        <v>3</v>
      </c>
      <c r="C104" s="6" t="n">
        <v>680</v>
      </c>
      <c r="D104" s="6" t="n"/>
      <c r="E104" s="6" t="n"/>
      <c r="F104" s="6" t="n"/>
      <c r="G104" s="6" t="n"/>
      <c r="H104" s="6" t="n"/>
      <c r="I104" s="6" t="n"/>
      <c r="J104" s="6" t="n">
        <v>683</v>
      </c>
    </row>
    <row r="105">
      <c r="A105" s="5" t="inlineStr">
        <is>
          <t>At 31 December 2017</t>
        </is>
      </c>
      <c r="B105" s="5" t="n">
        <v>25.6</v>
      </c>
      <c r="C105" s="5" t="n">
        <v>2416.9</v>
      </c>
      <c r="D105" s="5" t="n">
        <v>24.8</v>
      </c>
      <c r="E105" s="5" t="n">
        <v>29.9</v>
      </c>
      <c r="F105" s="5" t="n">
        <v>410</v>
      </c>
      <c r="G105" s="5" t="n">
        <v>70.8</v>
      </c>
      <c r="H105" s="5" t="n">
        <v>-1514.4</v>
      </c>
      <c r="I105" s="5" t="n"/>
      <c r="J105" s="5" t="n">
        <v>1463.6</v>
      </c>
    </row>
    <row r="106">
      <c r="A106" s="6" t="inlineStr">
        <is>
          <t>IFRS 9 opening balance adjustment (1 January 2018)</t>
        </is>
      </c>
      <c r="B106" s="6" t="n"/>
      <c r="C106" s="6" t="n"/>
      <c r="D106" s="6" t="n">
        <v>-6.4</v>
      </c>
      <c r="E106" s="6" t="n"/>
      <c r="F106" s="6" t="n"/>
      <c r="G106" s="6" t="n"/>
      <c r="H106" s="6" t="n">
        <v>-6.7</v>
      </c>
      <c r="I106" s="6" t="n"/>
      <c r="J106" s="6" t="n">
        <v>-13.1</v>
      </c>
    </row>
    <row r="107">
      <c r="A107" s="6" t="inlineStr">
        <is>
          <t>Total comprehensive (expense)/income for the year (FY2018)</t>
        </is>
      </c>
      <c r="B107" s="6" t="n"/>
      <c r="C107" s="6" t="n"/>
      <c r="D107" s="6" t="n">
        <v>-4.5</v>
      </c>
      <c r="E107" s="6" t="n">
        <v>-9.9</v>
      </c>
      <c r="F107" s="6" t="n"/>
      <c r="G107" s="6" t="n">
        <v>344.7</v>
      </c>
      <c r="H107" s="6" t="n">
        <v>-73.8</v>
      </c>
      <c r="I107" s="6" t="n"/>
      <c r="J107" s="6" t="n">
        <v>256.5</v>
      </c>
    </row>
    <row r="108">
      <c r="A108" s="5" t="inlineStr">
        <is>
          <t>At 31 December 2018</t>
        </is>
      </c>
      <c r="B108" s="5" t="n">
        <v>25.6</v>
      </c>
      <c r="C108" s="5" t="n">
        <v>2416.9</v>
      </c>
      <c r="D108" s="5" t="n">
        <v>13.9</v>
      </c>
      <c r="E108" s="5" t="n">
        <v>20</v>
      </c>
      <c r="F108" s="5" t="n">
        <v>410</v>
      </c>
      <c r="G108" s="5" t="n">
        <v>415.5</v>
      </c>
      <c r="H108" s="5" t="n">
        <v>-1594.9</v>
      </c>
      <c r="I108" s="5" t="n"/>
      <c r="J108" s="5" t="n">
        <v>1707</v>
      </c>
    </row>
    <row r="109">
      <c r="A109" s="6" t="inlineStr">
        <is>
          <t>Total comprehensive (expense)/income for the year (FY2019)</t>
        </is>
      </c>
      <c r="B109" s="6" t="n"/>
      <c r="C109" s="6" t="n"/>
      <c r="D109" s="6" t="n">
        <v>-9.800000000000001</v>
      </c>
      <c r="E109" s="6" t="n">
        <v>-3.3</v>
      </c>
      <c r="F109" s="6" t="n"/>
      <c r="G109" s="6" t="n">
        <v>27.9</v>
      </c>
      <c r="H109" s="6" t="n">
        <v>-141.3</v>
      </c>
      <c r="I109" s="6" t="n"/>
      <c r="J109" s="6" t="n">
        <v>-126.5</v>
      </c>
    </row>
    <row r="110">
      <c r="A110" s="5" t="inlineStr">
        <is>
          <t>At 31 December 2019 / 1 January 2020</t>
        </is>
      </c>
      <c r="B110" s="5" t="n">
        <v>25.6</v>
      </c>
      <c r="C110" s="5" t="n">
        <v>2416.9</v>
      </c>
      <c r="D110" s="5" t="n">
        <v>4.1</v>
      </c>
      <c r="E110" s="5" t="n">
        <v>16.7</v>
      </c>
      <c r="F110" s="5" t="n">
        <v>410</v>
      </c>
      <c r="G110" s="5" t="n">
        <v>443.4</v>
      </c>
      <c r="H110" s="5" t="n">
        <v>-1736.2</v>
      </c>
      <c r="I110" s="5" t="n"/>
      <c r="J110" s="5" t="n">
        <v>1580.5</v>
      </c>
    </row>
    <row r="111">
      <c r="A111" s="6" t="inlineStr">
        <is>
          <t>Total comprehensive income/(expense) for the year (FY2020)</t>
        </is>
      </c>
      <c r="B111" s="6" t="n"/>
      <c r="C111" s="6" t="n"/>
      <c r="D111" s="6" t="n">
        <v>0.7</v>
      </c>
      <c r="E111" s="6" t="n">
        <v>5.8</v>
      </c>
      <c r="F111" s="6" t="n"/>
      <c r="G111" s="6" t="n">
        <v>-48.3</v>
      </c>
      <c r="H111" s="6" t="n">
        <v>-87.40000000000001</v>
      </c>
      <c r="I111" s="6" t="n"/>
      <c r="J111" s="6" t="n">
        <v>-129.2</v>
      </c>
    </row>
    <row r="112">
      <c r="A112" s="5" t="inlineStr">
        <is>
          <t>At 31 December 2020</t>
        </is>
      </c>
      <c r="B112" s="5" t="n">
        <v>25.6</v>
      </c>
      <c r="C112" s="5" t="n">
        <v>2416.9</v>
      </c>
      <c r="D112" s="5" t="n">
        <v>4.8</v>
      </c>
      <c r="E112" s="5" t="n">
        <v>22.5</v>
      </c>
      <c r="F112" s="5" t="n">
        <v>410</v>
      </c>
      <c r="G112" s="5" t="n">
        <v>395.1</v>
      </c>
      <c r="H112" s="5" t="n">
        <v>-1823.6</v>
      </c>
      <c r="I112" s="5" t="n"/>
      <c r="J112" s="5" t="n">
        <v>1451.3</v>
      </c>
    </row>
    <row r="113">
      <c r="A113" s="6" t="inlineStr">
        <is>
          <t>Total comprehensive income for the year (FY2021)</t>
        </is>
      </c>
      <c r="B113" s="6" t="n"/>
      <c r="C113" s="6" t="n"/>
      <c r="D113" s="6" t="n">
        <v>-1.9</v>
      </c>
      <c r="E113" s="6" t="n">
        <v>-7.8</v>
      </c>
      <c r="F113" s="6" t="n"/>
      <c r="G113" s="6" t="n">
        <v>89.90000000000001</v>
      </c>
      <c r="H113" s="6" t="n">
        <v>215.5</v>
      </c>
      <c r="I113" s="6" t="n"/>
      <c r="J113" s="6" t="n">
        <v>295.7</v>
      </c>
    </row>
    <row r="114">
      <c r="A114" s="6" t="inlineStr">
        <is>
          <t>Reserve reorganisation (FY2021)</t>
        </is>
      </c>
      <c r="B114" s="6" t="n"/>
      <c r="C114" s="6" t="n">
        <v>-2416.9</v>
      </c>
      <c r="D114" s="6" t="n"/>
      <c r="E114" s="6" t="n"/>
      <c r="F114" s="6" t="n">
        <v>-410</v>
      </c>
      <c r="G114" s="6" t="n"/>
      <c r="H114" s="6" t="n">
        <v>2826.9</v>
      </c>
      <c r="I114" s="6" t="n"/>
      <c r="J114" s="6" t="n">
        <v>0</v>
      </c>
    </row>
    <row r="115">
      <c r="A115" s="5" t="inlineStr">
        <is>
          <t>At 31 December 2021</t>
        </is>
      </c>
      <c r="B115" s="5" t="n">
        <v>25.6</v>
      </c>
      <c r="C115" s="5" t="n">
        <v>0</v>
      </c>
      <c r="D115" s="5" t="n">
        <v>2.9</v>
      </c>
      <c r="E115" s="5" t="n">
        <v>14.7</v>
      </c>
      <c r="F115" s="5" t="n">
        <v>0</v>
      </c>
      <c r="G115" s="5" t="n">
        <v>485</v>
      </c>
      <c r="H115" s="5" t="n">
        <v>1218.8</v>
      </c>
      <c r="I115" s="5" t="n"/>
      <c r="J115" s="5" t="n">
        <v>1747</v>
      </c>
    </row>
    <row r="116">
      <c r="A116" s="6" t="inlineStr">
        <is>
          <t>Total comprehensive (expense)/income for the year (FY2022)</t>
        </is>
      </c>
      <c r="B116" s="6" t="n"/>
      <c r="C116" s="6" t="n"/>
      <c r="D116" s="6" t="n">
        <v>-8.199999999999999</v>
      </c>
      <c r="E116" s="6" t="n">
        <v>-4.1</v>
      </c>
      <c r="F116" s="6" t="n"/>
      <c r="G116" s="6" t="n">
        <v>-462.7</v>
      </c>
      <c r="H116" s="6" t="n">
        <v>22.3</v>
      </c>
      <c r="I116" s="6" t="n"/>
      <c r="J116" s="6" t="n">
        <v>-452.7</v>
      </c>
    </row>
    <row r="117">
      <c r="A117" s="5" t="inlineStr">
        <is>
          <t>At 31 December 2022</t>
        </is>
      </c>
      <c r="B117" s="5" t="n">
        <v>25.6</v>
      </c>
      <c r="C117" s="5" t="n">
        <v>0</v>
      </c>
      <c r="D117" s="5" t="n">
        <v>-5.3</v>
      </c>
      <c r="E117" s="5" t="n">
        <v>10.6</v>
      </c>
      <c r="F117" s="5" t="n">
        <v>0</v>
      </c>
      <c r="G117" s="5" t="n">
        <v>22.3</v>
      </c>
      <c r="H117" s="5" t="n">
        <v>1241.1</v>
      </c>
      <c r="I117" s="5" t="n"/>
      <c r="J117" s="5" t="n">
        <v>1294.3</v>
      </c>
    </row>
    <row r="118">
      <c r="A118" s="6" t="inlineStr">
        <is>
          <t>Total comprehensive income for the year (FY2023)</t>
        </is>
      </c>
      <c r="B118" s="6" t="n"/>
      <c r="C118" s="6" t="n"/>
      <c r="D118" s="6" t="n">
        <v>-2.7</v>
      </c>
      <c r="E118" s="6" t="n">
        <v>-5.2</v>
      </c>
      <c r="F118" s="6" t="n"/>
      <c r="G118" s="6" t="n">
        <v>-11.8</v>
      </c>
      <c r="H118" s="6" t="n">
        <v>157.1</v>
      </c>
      <c r="I118" s="6" t="n"/>
      <c r="J118" s="6" t="n">
        <v>137.4</v>
      </c>
    </row>
    <row r="119">
      <c r="A119" s="5" t="inlineStr">
        <is>
          <t>At 31 December 2023</t>
        </is>
      </c>
      <c r="B119" s="5" t="n">
        <v>25.6</v>
      </c>
      <c r="C119" s="5" t="n">
        <v>0</v>
      </c>
      <c r="D119" s="5" t="n">
        <v>-8</v>
      </c>
      <c r="E119" s="5" t="n">
        <v>5.4</v>
      </c>
      <c r="F119" s="5" t="n">
        <v>0</v>
      </c>
      <c r="G119" s="5" t="n">
        <v>10.5</v>
      </c>
      <c r="H119" s="5" t="n">
        <v>1398.2</v>
      </c>
      <c r="I119" s="5" t="n"/>
      <c r="J119" s="5" t="n">
        <v>1431.7</v>
      </c>
    </row>
    <row r="120">
      <c r="A120" s="6" t="inlineStr">
        <is>
          <t>Total comprehensive (expense)/income for the year (FY2024)</t>
        </is>
      </c>
      <c r="B120" s="6" t="n"/>
      <c r="C120" s="6" t="n"/>
      <c r="D120" s="6" t="n">
        <v>-0.3</v>
      </c>
      <c r="E120" s="6" t="n">
        <v>-4.4</v>
      </c>
      <c r="F120" s="6" t="n"/>
      <c r="G120" s="6" t="n">
        <v>-84.5</v>
      </c>
      <c r="H120" s="6" t="n">
        <v>25.4</v>
      </c>
      <c r="I120" s="6" t="n"/>
      <c r="J120" s="6" t="n">
        <v>-63.8</v>
      </c>
    </row>
    <row r="121">
      <c r="A121" s="6" t="inlineStr">
        <is>
          <t>Dividends paid (FY2024)</t>
        </is>
      </c>
      <c r="B121" s="6" t="n"/>
      <c r="C121" s="6" t="n"/>
      <c r="D121" s="6" t="n"/>
      <c r="E121" s="6" t="n"/>
      <c r="F121" s="6" t="n"/>
      <c r="G121" s="6" t="n"/>
      <c r="H121" s="6" t="n">
        <v>-95</v>
      </c>
      <c r="I121" s="6" t="n"/>
      <c r="J121" s="6" t="n">
        <v>-95</v>
      </c>
    </row>
    <row r="122">
      <c r="A122" s="5" t="inlineStr">
        <is>
          <t>At 31 December 2024</t>
        </is>
      </c>
      <c r="B122" s="5" t="n">
        <v>25.6</v>
      </c>
      <c r="C122" s="5" t="n">
        <v>0</v>
      </c>
      <c r="D122" s="5" t="n">
        <v>-8.300000000000001</v>
      </c>
      <c r="E122" s="5" t="n">
        <v>1</v>
      </c>
      <c r="F122" s="5" t="n">
        <v>0</v>
      </c>
      <c r="G122" s="5" t="n">
        <v>-74</v>
      </c>
      <c r="H122" s="5" t="n">
        <v>1328.6</v>
      </c>
      <c r="I122" s="5" t="n"/>
      <c r="J122" s="5" t="n">
        <v>1272.9</v>
      </c>
    </row>
    <row r="124" ht="150" customHeight="1">
      <c r="A124"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4:J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c r="M5" s="6" t="n">
        <v>-586.2</v>
      </c>
      <c r="N5" s="6" t="n">
        <v>-673.7</v>
      </c>
    </row>
    <row r="6">
      <c r="A6" s="6" t="inlineStr">
        <is>
          <t>Pension scheme adjustments</t>
        </is>
      </c>
      <c r="B6" s="6" t="n">
        <v>-0.9</v>
      </c>
      <c r="C6" s="6" t="n">
        <v>-3.4</v>
      </c>
      <c r="D6" s="6" t="n">
        <v>-12.7</v>
      </c>
      <c r="E6" s="6" t="n">
        <v>-5.6</v>
      </c>
      <c r="F6" s="6" t="n">
        <v>-9.300000000000001</v>
      </c>
      <c r="G6" s="6" t="n">
        <v>-13.9</v>
      </c>
      <c r="H6" s="6" t="n">
        <v>4.4</v>
      </c>
      <c r="I6" s="6" t="n">
        <v>-51.9</v>
      </c>
      <c r="J6" s="6" t="n"/>
      <c r="K6" s="6" t="n"/>
      <c r="L6" s="6" t="n"/>
      <c r="M6" s="6" t="n"/>
      <c r="N6" s="6" t="n">
        <v>0.1</v>
      </c>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c r="M7" s="6" t="n">
        <v>-517.3</v>
      </c>
      <c r="N7" s="6" t="n">
        <v>-480.2</v>
      </c>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c r="M8" s="6" t="n">
        <v>197.1</v>
      </c>
      <c r="N8" s="6" t="n">
        <v>191.7</v>
      </c>
    </row>
    <row r="9">
      <c r="A9" s="6" t="inlineStr">
        <is>
          <t>Impairment of investment in subsidiaries</t>
        </is>
      </c>
      <c r="B9" s="6" t="n">
        <v>21</v>
      </c>
      <c r="C9" s="6" t="n">
        <v>0.1</v>
      </c>
      <c r="D9" s="6" t="n">
        <v>-0.3</v>
      </c>
      <c r="E9" s="6" t="n">
        <v>28.6</v>
      </c>
      <c r="F9" s="6" t="n">
        <v>-0.3</v>
      </c>
      <c r="G9" s="6" t="n">
        <v>1.4</v>
      </c>
      <c r="H9" s="6" t="n">
        <v>2.2</v>
      </c>
      <c r="I9" s="6" t="n">
        <v>167.3</v>
      </c>
      <c r="J9" s="6" t="n"/>
      <c r="K9" s="6" t="n"/>
      <c r="L9" s="6" t="n"/>
      <c r="M9" s="6" t="n"/>
      <c r="N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c r="M10" s="6" t="n">
        <v>184.8</v>
      </c>
      <c r="N10" s="6" t="n">
        <v>-81.40000000000001</v>
      </c>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c r="M11" s="6" t="n"/>
      <c r="N11" s="6" t="n"/>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c r="M12" s="6" t="n"/>
      <c r="N12" s="6" t="n"/>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c r="M13" s="6" t="n"/>
      <c r="N13" s="6" t="n"/>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c r="M14" s="6" t="n"/>
      <c r="N14" s="6" t="n"/>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c r="M15" s="6" t="n"/>
      <c r="N15" s="6" t="n"/>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c r="M16" s="6" t="n"/>
      <c r="N16" s="6" t="n"/>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c r="M17" s="6" t="n"/>
      <c r="N17" s="6" t="n"/>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c r="M18" s="6" t="n"/>
      <c r="N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c r="M19" s="6" t="n"/>
      <c r="N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c r="M20" s="6" t="n"/>
      <c r="N20" s="6" t="n"/>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c r="M21" s="6" t="n"/>
      <c r="N21" s="6" t="n"/>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c r="M22" s="5" t="n"/>
      <c r="N22" s="5" t="n"/>
    </row>
    <row r="23">
      <c r="A23" s="5" t="inlineStr">
        <is>
          <t>Investing activities</t>
        </is>
      </c>
      <c r="B23" s="6" t="n"/>
      <c r="C23" s="6" t="n"/>
      <c r="D23" s="6" t="n"/>
      <c r="E23" s="6" t="n"/>
      <c r="F23" s="6" t="n"/>
      <c r="G23" s="6" t="n"/>
      <c r="H23" s="6" t="n"/>
      <c r="I23" s="6" t="n"/>
      <c r="J23" s="6" t="n"/>
      <c r="K23" s="6" t="n"/>
      <c r="L23" s="6" t="n"/>
      <c r="M23" s="6" t="n"/>
      <c r="N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c r="M24" s="6" t="n"/>
      <c r="N24" s="6" t="n"/>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c r="M25" s="6" t="n"/>
      <c r="N25" s="6" t="n"/>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c r="M26" s="6" t="n"/>
      <c r="N26" s="6" t="n"/>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c r="M27" s="6" t="n"/>
      <c r="N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c r="M28" s="6" t="n"/>
      <c r="N28" s="6" t="n"/>
    </row>
    <row r="29">
      <c r="A29" s="6" t="inlineStr">
        <is>
          <t>Purchase of equity shares</t>
        </is>
      </c>
      <c r="B29" s="6" t="n"/>
      <c r="C29" s="6" t="n"/>
      <c r="D29" s="6" t="n">
        <v>-0.8</v>
      </c>
      <c r="E29" s="6" t="n">
        <v>-0.5</v>
      </c>
      <c r="F29" s="6" t="n"/>
      <c r="G29" s="6" t="n"/>
      <c r="H29" s="6" t="n"/>
      <c r="I29" s="6" t="n"/>
      <c r="J29" s="6" t="n"/>
      <c r="K29" s="6" t="n"/>
      <c r="L29" s="6" t="n"/>
      <c r="M29" s="6" t="n"/>
      <c r="N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c r="M30" s="6" t="n"/>
      <c r="N30" s="6" t="n"/>
    </row>
    <row r="31">
      <c r="A31" s="6" t="inlineStr">
        <is>
          <t>Dividends received</t>
        </is>
      </c>
      <c r="B31" s="6" t="n">
        <v>0.2</v>
      </c>
      <c r="C31" s="6" t="n">
        <v>6.8</v>
      </c>
      <c r="D31" s="6" t="n">
        <v>0.2</v>
      </c>
      <c r="E31" s="6" t="n">
        <v>0.3</v>
      </c>
      <c r="F31" s="6" t="n">
        <v>0.3</v>
      </c>
      <c r="G31" s="6" t="n">
        <v>0.7</v>
      </c>
      <c r="H31" s="6" t="n">
        <v>5.9</v>
      </c>
      <c r="I31" s="6" t="n">
        <v>262.1</v>
      </c>
      <c r="J31" s="6" t="n"/>
      <c r="K31" s="6" t="n"/>
      <c r="L31" s="6" t="n"/>
      <c r="M31" s="6" t="n"/>
      <c r="N31" s="6" t="n"/>
    </row>
    <row r="32">
      <c r="A32" s="6" t="inlineStr">
        <is>
          <t>Net movement on investments in Co-operative Bank undertakings</t>
        </is>
      </c>
      <c r="B32" s="6" t="n"/>
      <c r="C32" s="6" t="n"/>
      <c r="D32" s="6" t="n"/>
      <c r="E32" s="6" t="n"/>
      <c r="F32" s="6" t="n"/>
      <c r="G32" s="6" t="n"/>
      <c r="H32" s="6" t="n"/>
      <c r="I32" s="6" t="n">
        <v>587.9</v>
      </c>
      <c r="J32" s="6" t="n"/>
      <c r="K32" s="6" t="n"/>
      <c r="L32" s="6" t="n"/>
      <c r="M32" s="6" t="n"/>
      <c r="N32" s="6" t="n"/>
    </row>
    <row r="33">
      <c r="A33" s="6" t="inlineStr">
        <is>
          <t>Profit from sale of subsidiaries/joint ventures</t>
        </is>
      </c>
      <c r="B33" s="6" t="n"/>
      <c r="C33" s="6" t="n"/>
      <c r="D33" s="6" t="n"/>
      <c r="E33" s="6" t="n"/>
      <c r="F33" s="6" t="n"/>
      <c r="G33" s="6" t="n"/>
      <c r="H33" s="6" t="n">
        <v>0.7</v>
      </c>
      <c r="I33" s="6" t="n"/>
      <c r="J33" s="6" t="n"/>
      <c r="K33" s="6" t="n">
        <v>30.2</v>
      </c>
      <c r="L33" s="6" t="n"/>
      <c r="M33" s="6" t="n"/>
      <c r="N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c r="M34" s="5" t="n"/>
      <c r="N34" s="5" t="n"/>
    </row>
    <row r="35">
      <c r="A35" s="5" t="inlineStr">
        <is>
          <t>Financing activities</t>
        </is>
      </c>
      <c r="B35" s="6" t="n"/>
      <c r="C35" s="6" t="n"/>
      <c r="D35" s="6" t="n"/>
      <c r="E35" s="6" t="n"/>
      <c r="F35" s="6" t="n"/>
      <c r="G35" s="6" t="n"/>
      <c r="H35" s="6" t="n"/>
      <c r="I35" s="6" t="n"/>
      <c r="J35" s="6" t="n"/>
      <c r="K35" s="6" t="n"/>
      <c r="L35" s="6" t="n"/>
      <c r="M35" s="6" t="n"/>
      <c r="N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c r="M36" s="6" t="n"/>
      <c r="N36" s="6" t="n"/>
    </row>
    <row r="37">
      <c r="A37" s="6" t="inlineStr">
        <is>
          <t>Redemption of Tier 2 notes and senior unsecured debt</t>
        </is>
      </c>
      <c r="B37" s="6" t="n">
        <v>-236.5</v>
      </c>
      <c r="C37" s="6" t="n">
        <v>-163.5</v>
      </c>
      <c r="D37" s="6" t="n"/>
      <c r="E37" s="6" t="n"/>
      <c r="F37" s="6" t="n"/>
      <c r="G37" s="6" t="n"/>
      <c r="H37" s="6" t="n"/>
      <c r="I37" s="6" t="n"/>
      <c r="J37" s="6" t="n"/>
      <c r="K37" s="6" t="n"/>
      <c r="L37" s="6" t="n"/>
      <c r="M37" s="6" t="n"/>
      <c r="N37" s="6" t="n"/>
    </row>
    <row r="38">
      <c r="A38" s="6" t="inlineStr">
        <is>
          <t>Proceeds from issuance of covered bonds</t>
        </is>
      </c>
      <c r="B38" s="6" t="n">
        <v>498.5</v>
      </c>
      <c r="C38" s="6" t="n">
        <v>0</v>
      </c>
      <c r="D38" s="6" t="n"/>
      <c r="E38" s="6" t="n"/>
      <c r="F38" s="6" t="n"/>
      <c r="G38" s="6" t="n"/>
      <c r="H38" s="6" t="n"/>
      <c r="I38" s="6" t="n"/>
      <c r="J38" s="6" t="n"/>
      <c r="K38" s="6" t="n"/>
      <c r="L38" s="6" t="n"/>
      <c r="M38" s="6" t="n"/>
      <c r="N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c r="M39" s="6" t="n"/>
      <c r="N39" s="6" t="n"/>
    </row>
    <row r="40">
      <c r="A40" s="6" t="inlineStr">
        <is>
          <t>Interest paid on other borrowed funds</t>
        </is>
      </c>
      <c r="B40" s="6" t="n"/>
      <c r="C40" s="6" t="n"/>
      <c r="D40" s="6" t="n"/>
      <c r="E40" s="6" t="n"/>
      <c r="F40" s="6" t="n"/>
      <c r="G40" s="6" t="n"/>
      <c r="H40" s="6" t="n"/>
      <c r="I40" s="6" t="n">
        <v>-29.3</v>
      </c>
      <c r="J40" s="6" t="n">
        <v>-43.9</v>
      </c>
      <c r="K40" s="6" t="n">
        <v>-28.6</v>
      </c>
      <c r="L40" s="6" t="n">
        <v>-22.8</v>
      </c>
      <c r="M40" s="6" t="n"/>
      <c r="N40" s="6" t="n"/>
    </row>
    <row r="41">
      <c r="A41" s="6" t="inlineStr">
        <is>
          <t>Issuance of other borrowed funds</t>
        </is>
      </c>
      <c r="B41" s="6" t="n"/>
      <c r="C41" s="6" t="n"/>
      <c r="D41" s="6" t="n"/>
      <c r="E41" s="6" t="n"/>
      <c r="F41" s="6" t="n"/>
      <c r="G41" s="6" t="n"/>
      <c r="H41" s="6" t="n"/>
      <c r="I41" s="6" t="n"/>
      <c r="J41" s="6" t="n">
        <v>0</v>
      </c>
      <c r="K41" s="6" t="n">
        <v>249</v>
      </c>
      <c r="L41" s="6" t="n"/>
      <c r="M41" s="6" t="n"/>
      <c r="N41" s="6" t="n"/>
    </row>
    <row r="42">
      <c r="A42" s="6" t="inlineStr">
        <is>
          <t>Net cash raised through Restructuring and Recapitalisation (FY2017)</t>
        </is>
      </c>
      <c r="B42" s="6" t="n"/>
      <c r="C42" s="6" t="n"/>
      <c r="D42" s="6" t="n"/>
      <c r="E42" s="6" t="n"/>
      <c r="F42" s="6" t="n"/>
      <c r="G42" s="6" t="n"/>
      <c r="H42" s="6" t="n"/>
      <c r="I42" s="6" t="n">
        <v>180.4</v>
      </c>
      <c r="J42" s="6" t="n"/>
      <c r="K42" s="6" t="n"/>
      <c r="L42" s="6" t="n"/>
      <c r="M42" s="6" t="n"/>
      <c r="N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c r="M43" s="6" t="n"/>
      <c r="N43" s="6" t="n"/>
    </row>
    <row r="44">
      <c r="A44" s="6" t="inlineStr">
        <is>
          <t>Dividends paid to non-controlling interests</t>
        </is>
      </c>
      <c r="B44" s="6" t="n"/>
      <c r="C44" s="6" t="n"/>
      <c r="D44" s="6" t="n"/>
      <c r="E44" s="6" t="n"/>
      <c r="F44" s="6" t="n"/>
      <c r="G44" s="6" t="n"/>
      <c r="H44" s="6" t="n"/>
      <c r="I44" s="6" t="n"/>
      <c r="J44" s="6" t="n"/>
      <c r="K44" s="6" t="n"/>
      <c r="L44" s="6" t="n">
        <v>-0.2</v>
      </c>
      <c r="M44" s="6" t="n"/>
      <c r="N44" s="6" t="n"/>
    </row>
    <row r="45">
      <c r="A45" s="6" t="inlineStr">
        <is>
          <t>Lease liability principal payments</t>
        </is>
      </c>
      <c r="B45" s="6" t="n">
        <v>-5.6</v>
      </c>
      <c r="C45" s="6" t="n">
        <v>-6.6</v>
      </c>
      <c r="D45" s="6" t="n">
        <v>-14.6</v>
      </c>
      <c r="E45" s="6" t="n">
        <v>-11</v>
      </c>
      <c r="F45" s="6" t="n">
        <v>-10</v>
      </c>
      <c r="G45" s="6" t="n">
        <v>-10.8</v>
      </c>
      <c r="H45" s="6" t="n"/>
      <c r="I45" s="6" t="n"/>
      <c r="J45" s="6" t="n"/>
      <c r="K45" s="6" t="n"/>
      <c r="L45" s="6" t="n"/>
      <c r="M45" s="6" t="n"/>
      <c r="N45" s="6" t="n"/>
    </row>
    <row r="46">
      <c r="A46" s="6" t="inlineStr">
        <is>
          <t>Dividends paid</t>
        </is>
      </c>
      <c r="B46" s="6" t="n">
        <v>-95</v>
      </c>
      <c r="C46" s="6" t="n">
        <v>0</v>
      </c>
      <c r="D46" s="6" t="n"/>
      <c r="E46" s="6" t="n"/>
      <c r="F46" s="6" t="n"/>
      <c r="G46" s="6" t="n"/>
      <c r="H46" s="6" t="n"/>
      <c r="I46" s="6" t="n"/>
      <c r="J46" s="6" t="n"/>
      <c r="K46" s="6" t="n"/>
      <c r="L46" s="6" t="n"/>
      <c r="M46" s="6" t="n"/>
      <c r="N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c r="M47" s="5" t="n"/>
      <c r="N47" s="5" t="n"/>
    </row>
    <row r="48">
      <c r="A48" s="6" t="inlineStr">
        <is>
          <t>Effect of exchange rate changes on cash and cash equivalents</t>
        </is>
      </c>
      <c r="B48" s="6" t="n">
        <v>-8.6</v>
      </c>
      <c r="C48" s="6" t="n">
        <v>-5.5</v>
      </c>
      <c r="D48" s="6" t="n"/>
      <c r="E48" s="6" t="n"/>
      <c r="F48" s="6" t="n"/>
      <c r="G48" s="6" t="n"/>
      <c r="H48" s="6" t="n"/>
      <c r="I48" s="6" t="n"/>
      <c r="J48" s="6" t="n"/>
      <c r="K48" s="6" t="n"/>
      <c r="L48" s="6" t="n"/>
      <c r="M48" s="6" t="n"/>
      <c r="N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c r="M49" s="5" t="n"/>
      <c r="N49" s="5" t="n"/>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c r="M50" s="6" t="n"/>
      <c r="N50" s="6" t="n"/>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c r="M51" s="5" t="n"/>
      <c r="N51" s="5" t="n"/>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c r="M52" s="6" t="n"/>
      <c r="N52" s="6" t="n"/>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c r="M53" s="6" t="n"/>
      <c r="N53" s="6" t="n"/>
    </row>
    <row r="54">
      <c r="A54" s="6" t="inlineStr">
        <is>
          <t>Comprising: Other (held for sale / short-term investments) (FY2014)</t>
        </is>
      </c>
      <c r="B54" s="6" t="n"/>
      <c r="C54" s="6" t="n"/>
      <c r="D54" s="6" t="n"/>
      <c r="E54" s="6" t="n"/>
      <c r="F54" s="6" t="n"/>
      <c r="G54" s="6" t="n"/>
      <c r="H54" s="6" t="n"/>
      <c r="I54" s="6" t="n"/>
      <c r="J54" s="6" t="n"/>
      <c r="K54" s="6" t="n"/>
      <c r="L54" s="6" t="n">
        <v>124.1</v>
      </c>
      <c r="M54" s="6" t="n"/>
      <c r="N54" s="6" t="n"/>
    </row>
    <row r="56" ht="170"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FY2013: The Co-operative Bank p.l.c. 2013 Annual Report and Accounts (Companies House filing), p.131-132 (The Bank statement of cash flows) - https://find-and-update.company-information.service.gov.uk/company/00990937/filing-history/MzEwMjk1Njc4M2FkaXF6a2N4/document?format=pdf&amp;download=0
FY2012: 2012 Annual Report and Accounts (Companies House filing), p.38 (Bank statement of cash flows) - https://find-and-update.company-information.service.gov.uk/company/00990937/filing-history/MzA3NzEwNzEyOGFkaXF6a2N4/document?format=pdf&amp;download=0
FY2011: 2012 Annual Report and Accounts (Companies House filing), p.38 (FY2011 comparative column, same statement) - https://find-and-update.company-information.service.gov.uk/company/00990937/filing-history/MzA3NzEwNzEyOGFkaXF6a2N4/document?format=pdf&amp;download=0
FY2010: 2010 Annual Report and Accounts (Companies House filing), p.35 (Bank statement of cash flows) - https://find-and-update.company-information.service.gov.uk/company/00990937/filing-history/MzAzNTIwNjYxOWFkaXF6a2N4/document?format=pdf&amp;download=0
FY2009: 2009 Annual Report and Accounts (Companies House filing), p.41 (Bank statement of cash flows, year ended 31 December 2009 - the Britannia merger year) - https://find-and-update.company-information.service.gov.uk/company/00990937/filing-history/MzAxMzExNDY4NGFkaXF6a2N4/document?format=pdf&amp;download=0
FY2008: 'Financial statements 2008' Annual Report (Companies House filing), p.49 (Bank cash flow statement, 52 weeks to 10 January 2009) - https://find-and-update.company-information.service.gov.uk/company/00990937/filing-history/MjAzMjMzNTAyM2FkaXF6a2N4/document?format=pdf&amp;download=0
FY2007: 'Financial statements 2008' Annual Report (Companies House filing), p.49 (FY2007 comparative column, same statement, 52 weeks to 12 January 2008) - https://find-and-update.company-information.service.gov.uk/company/00990937/filing-history/MjAzMjMzNTAyM2FkaXF6a2N4/document?format=pdf&amp;download=0
FY2006: 'Financial Statements 2006' Annual Report (Companies House filing), p.45 (Bank cash flow statement, 52 weeks to 13 January 2007) - https://find-and-update.company-information.service.gov.uk/company/00990937/filing-history/MTc5MDE4NTg2YWRpcXprY3g/document?format=pdf&amp;download=0
FY2005: 'Financial Statements 2006' Annual Report (Companies House filing), p.45 (FY2005 comparative column, same statement, 53 weeks to 14 January 2006) - https://find-and-update.company-information.service.gov.uk/company/00990937/filing-history/MTc5MDE4NTg2YWRpcXprY3g/document?format=pdf&amp;download=0
FY2004: 'Financial Statements 2004' Annual Report (Companies House filing), p.52 (CONSOLIDATED cash flow statement - the Bank did not present a standalone Bank-only cash flow statement in this UK GAAP era; 52 weeks to 8 January 2005) - https://find-and-update.company-information.service.gov.uk/company/00990937/filing-history/OTQ3NzI5NzNhZGlxemtjeA/document?format=pdf&amp;download=0
FY2003: 'Financial Statements 2004' Annual Report (Companies House filing), p.52 (FY2003 comparative column, same CONSOLIDATED statement, 52 weeks to 10 January 2004) - https://find-and-update.company-information.service.gov.uk/company/00990937/filing-history/OTQ3NzI5NzNhZGlxemtjeA/document?format=pdf&amp;download=0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FY2003-FY2013 MAPPING NOTE: the same plug-row approach as the FY2014-FY2019 note above is used going further back - each year's own less-common adjustment items (interest payable on subordinated liabilities/other borrowed funds, preference dividends, pension costs, fair value/interest amortisation, the FY2013 Liability Management Exercise items, the FY2009 Britannia fair-value-adjustment unwind) are consolidated into 'Other non-cash movements (incl. exchange rate movements)', cross-checked against each year's own disclosed operating-activities subtotal before working-capital movements - all tie exactly. Financing-section items unique to this era (subordinated loanstock issuance/repayment, ordinary/preference share issuance and dividends, capital contributions from the parent, dividends from subsidiary/associated undertakings) use dedicated new rows rather than being folded into a plug, since 'Net cash flows from/(used in) financing activities' TOTAL rows are short enough to map item-for-item; all still tie exactly to each year's own disclosed total. FY2009's investing section adds two Britannia-merger-specific rows ('Cash and cash equivalents acquired on transfer of engagements' and 'Movements in investments in Group undertakings') not used in any other year. FY2003-FY2004 (UK GAAP, Consolidated Group basis) map onto the closest-matching existing rows by economic substance (e.g. 'Purchase of investments' to 'Purchase of investment securities') since the Bank's own presentation used different captions in this era; both years' 'Net cash (outflow)/inflow from operating activities' is the Group's own single disclosed total (no line-item breakdown is given on the face of the primary statement in this format, only in a note not transcribed here) rather than a sum of mapped rows.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6:N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170"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Co-operative Bank p.l.c. — KM1 Key Metrics</t>
        </is>
      </c>
    </row>
    <row r="2">
      <c r="A2" s="2" t="inlineStr">
        <is>
          <t>The Bank's own published 'UK KM1 - Key Metrics' template on the INDIVIDUAL (Bank) basis - not the Group table printed alongside it - reproduced whole; £m and ratios as printed. FY2021 and FY2020 are filled from the 2022 edition's comparative columns; FY2025 is one year newer than the rest of this workbook. See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t>
        </is>
      </c>
      <c r="B4" s="6" t="n"/>
      <c r="C4" s="6" t="n"/>
      <c r="D4" s="6" t="n"/>
      <c r="E4" s="6" t="n"/>
      <c r="F4" s="6" t="n"/>
      <c r="G4" s="6" t="n"/>
    </row>
    <row r="5">
      <c r="A5" s="6" t="inlineStr">
        <is>
          <t>1  Common Equity Tier 1 (CET1) capital (£m)</t>
        </is>
      </c>
      <c r="B5" s="6" t="n">
        <v>968</v>
      </c>
      <c r="C5" s="6" t="n">
        <v>923.5</v>
      </c>
      <c r="D5" s="6" t="n">
        <v>995.4</v>
      </c>
      <c r="E5" s="6" t="n">
        <v>947.3</v>
      </c>
      <c r="F5" s="6" t="n">
        <v>901.5</v>
      </c>
      <c r="G5" s="6" t="n">
        <v>874.9</v>
      </c>
    </row>
    <row r="6">
      <c r="A6" s="6" t="inlineStr">
        <is>
          <t>2  Tier 1 capital (£m)</t>
        </is>
      </c>
      <c r="B6" s="6" t="n">
        <v>968</v>
      </c>
      <c r="C6" s="6" t="n">
        <v>923.5</v>
      </c>
      <c r="D6" s="6" t="n">
        <v>995.4</v>
      </c>
      <c r="E6" s="6" t="n">
        <v>947.3</v>
      </c>
      <c r="F6" s="6" t="n">
        <v>901.5</v>
      </c>
      <c r="G6" s="6" t="n">
        <v>874.9</v>
      </c>
    </row>
    <row r="7">
      <c r="A7" s="6" t="inlineStr">
        <is>
          <t>3  Total capital (£m)</t>
        </is>
      </c>
      <c r="B7" s="6" t="n">
        <v>1169</v>
      </c>
      <c r="C7" s="6" t="n">
        <v>1123.9</v>
      </c>
      <c r="D7" s="6" t="n">
        <v>1231.8</v>
      </c>
      <c r="E7" s="6" t="n">
        <v>1141.5</v>
      </c>
      <c r="F7" s="6" t="n">
        <v>1103.7</v>
      </c>
      <c r="G7" s="6" t="n">
        <v>1084.9</v>
      </c>
    </row>
    <row r="8">
      <c r="A8" s="5" t="inlineStr">
        <is>
          <t>Risk-weighted exposure amounts</t>
        </is>
      </c>
      <c r="B8" s="6" t="n"/>
      <c r="C8" s="6" t="n"/>
      <c r="D8" s="6" t="n"/>
      <c r="E8" s="6" t="n"/>
      <c r="F8" s="6" t="n"/>
      <c r="G8" s="6" t="n"/>
    </row>
    <row r="9">
      <c r="A9" s="6" t="inlineStr">
        <is>
          <t>4  Total risk-weighted exposure amount (£m)</t>
        </is>
      </c>
      <c r="B9" s="6" t="n">
        <v>5112</v>
      </c>
      <c r="C9" s="6" t="n">
        <v>4950.8</v>
      </c>
      <c r="D9" s="6" t="n">
        <v>4830.6</v>
      </c>
      <c r="E9" s="6" t="n">
        <v>4806.7</v>
      </c>
      <c r="F9" s="6" t="n">
        <v>4399.8</v>
      </c>
      <c r="G9" s="6" t="n">
        <v>4668.4</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18.9%</t>
        </is>
      </c>
      <c r="C11" s="6" t="inlineStr">
        <is>
          <t>18.7%</t>
        </is>
      </c>
      <c r="D11" s="6" t="inlineStr">
        <is>
          <t>20.6%</t>
        </is>
      </c>
      <c r="E11" s="6" t="inlineStr">
        <is>
          <t>19.7%</t>
        </is>
      </c>
      <c r="F11" s="6" t="inlineStr">
        <is>
          <t>20.5%</t>
        </is>
      </c>
      <c r="G11" s="6" t="inlineStr">
        <is>
          <t>18.7%</t>
        </is>
      </c>
    </row>
    <row r="12">
      <c r="A12" s="6" t="inlineStr">
        <is>
          <t>6  Tier 1 ratio (%)</t>
        </is>
      </c>
      <c r="B12" s="6" t="inlineStr">
        <is>
          <t>18.9%</t>
        </is>
      </c>
      <c r="C12" s="6" t="inlineStr">
        <is>
          <t>18.7%</t>
        </is>
      </c>
      <c r="D12" s="6" t="inlineStr">
        <is>
          <t>20.6%</t>
        </is>
      </c>
      <c r="E12" s="6" t="inlineStr">
        <is>
          <t>19.7%</t>
        </is>
      </c>
      <c r="F12" s="6" t="inlineStr">
        <is>
          <t>20.5%</t>
        </is>
      </c>
      <c r="G12" s="6" t="inlineStr">
        <is>
          <t>18.7%</t>
        </is>
      </c>
    </row>
    <row r="13">
      <c r="A13" s="6" t="inlineStr">
        <is>
          <t>7  Total capital ratio (%)</t>
        </is>
      </c>
      <c r="B13" s="6" t="inlineStr">
        <is>
          <t>22.9%</t>
        </is>
      </c>
      <c r="C13" s="6" t="inlineStr">
        <is>
          <t>22.7%</t>
        </is>
      </c>
      <c r="D13" s="6" t="inlineStr">
        <is>
          <t>25.5%</t>
        </is>
      </c>
      <c r="E13" s="6" t="inlineStr">
        <is>
          <t>23.7%</t>
        </is>
      </c>
      <c r="F13" s="6" t="inlineStr">
        <is>
          <t>25.1%</t>
        </is>
      </c>
      <c r="G13" s="6" t="inlineStr">
        <is>
          <t>23.2%</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2.3%</t>
        </is>
      </c>
      <c r="C15" s="6" t="inlineStr">
        <is>
          <t>2.8%</t>
        </is>
      </c>
      <c r="D15" s="6" t="inlineStr">
        <is>
          <t>2.8%</t>
        </is>
      </c>
      <c r="E15" s="6" t="inlineStr">
        <is>
          <t>2.8%</t>
        </is>
      </c>
      <c r="F15" s="6" t="inlineStr">
        <is>
          <t>3.4%</t>
        </is>
      </c>
      <c r="G15" s="6" t="inlineStr">
        <is>
          <t>3.2%</t>
        </is>
      </c>
    </row>
    <row r="16">
      <c r="A16" s="6" t="inlineStr">
        <is>
          <t>UK 7b  Additional AT1 SREP requirements (%)</t>
        </is>
      </c>
      <c r="B16" s="6" t="inlineStr">
        <is>
          <t>0.7%</t>
        </is>
      </c>
      <c r="C16" s="6" t="inlineStr">
        <is>
          <t>1.0%</t>
        </is>
      </c>
      <c r="D16" s="6" t="inlineStr">
        <is>
          <t>1.0%</t>
        </is>
      </c>
      <c r="E16" s="6" t="inlineStr">
        <is>
          <t>1.0%</t>
        </is>
      </c>
      <c r="F16" s="6" t="inlineStr">
        <is>
          <t>1.1%</t>
        </is>
      </c>
      <c r="G16" s="6" t="inlineStr">
        <is>
          <t>1.1%</t>
        </is>
      </c>
    </row>
    <row r="17">
      <c r="A17" s="6" t="inlineStr">
        <is>
          <t>UK 7c  Additional T2 SREP requirements (%)</t>
        </is>
      </c>
      <c r="B17" s="6" t="inlineStr">
        <is>
          <t>1.0%</t>
        </is>
      </c>
      <c r="C17" s="6" t="inlineStr">
        <is>
          <t>1.3%</t>
        </is>
      </c>
      <c r="D17" s="6" t="inlineStr">
        <is>
          <t>1.3%</t>
        </is>
      </c>
      <c r="E17" s="6" t="inlineStr">
        <is>
          <t>1.3%</t>
        </is>
      </c>
      <c r="F17" s="6" t="inlineStr">
        <is>
          <t>1.5%</t>
        </is>
      </c>
      <c r="G17" s="6" t="inlineStr">
        <is>
          <t>1.4%</t>
        </is>
      </c>
    </row>
    <row r="18">
      <c r="A18" s="6" t="inlineStr">
        <is>
          <t>UK 7d  Total SREP own funds requirements (%)</t>
        </is>
      </c>
      <c r="B18" s="6" t="inlineStr">
        <is>
          <t>12.0%</t>
        </is>
      </c>
      <c r="C18" s="6" t="inlineStr">
        <is>
          <t>13.1%</t>
        </is>
      </c>
      <c r="D18" s="6" t="inlineStr">
        <is>
          <t>13.1%</t>
        </is>
      </c>
      <c r="E18" s="6" t="inlineStr">
        <is>
          <t>13.1%</t>
        </is>
      </c>
      <c r="F18" s="6" t="inlineStr">
        <is>
          <t>14.0%</t>
        </is>
      </c>
      <c r="G18" s="6" t="inlineStr">
        <is>
          <t>13.7%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inlineStr">
        <is>
          <t>-</t>
        </is>
      </c>
      <c r="D23" s="6" t="inlineStr">
        <is>
          <t>-</t>
        </is>
      </c>
      <c r="E23" s="6" t="inlineStr">
        <is>
          <t>-</t>
        </is>
      </c>
      <c r="F23" s="6" t="inlineStr">
        <is>
          <t>-</t>
        </is>
      </c>
      <c r="G23" s="6" t="inlineStr">
        <is>
          <t>-</t>
        </is>
      </c>
    </row>
    <row r="24">
      <c r="A24" s="6" t="inlineStr">
        <is>
          <t>10  Global Systemically Important Institution buffer (%)</t>
        </is>
      </c>
      <c r="B24" s="6" t="n"/>
      <c r="C24" s="6" t="inlineStr">
        <is>
          <t>-</t>
        </is>
      </c>
      <c r="D24" s="6" t="inlineStr">
        <is>
          <t>-</t>
        </is>
      </c>
      <c r="E24" s="6" t="inlineStr">
        <is>
          <t>-</t>
        </is>
      </c>
      <c r="F24" s="6" t="inlineStr">
        <is>
          <t>-</t>
        </is>
      </c>
      <c r="G24" s="6" t="inlineStr">
        <is>
          <t>-</t>
        </is>
      </c>
    </row>
    <row r="25">
      <c r="A25" s="6" t="inlineStr">
        <is>
          <t>UK 10a  Other Systemically Important Institution buffer</t>
        </is>
      </c>
      <c r="B25" s="6" t="n"/>
      <c r="C25" s="6" t="inlineStr">
        <is>
          <t>-</t>
        </is>
      </c>
      <c r="D25" s="6" t="inlineStr">
        <is>
          <t>-</t>
        </is>
      </c>
      <c r="E25" s="6" t="inlineStr">
        <is>
          <t>-</t>
        </is>
      </c>
      <c r="F25" s="6" t="inlineStr">
        <is>
          <t>-</t>
        </is>
      </c>
      <c r="G25" s="6" t="inlineStr">
        <is>
          <t>-</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16.5%</t>
        </is>
      </c>
      <c r="C27" s="6" t="inlineStr">
        <is>
          <t>17.5%</t>
        </is>
      </c>
      <c r="D27" s="6" t="inlineStr">
        <is>
          <t>17.5%</t>
        </is>
      </c>
      <c r="E27" s="6" t="inlineStr">
        <is>
          <t>16.6%</t>
        </is>
      </c>
      <c r="F27" s="6" t="inlineStr">
        <is>
          <t>16.5%</t>
        </is>
      </c>
      <c r="G27" s="6" t="inlineStr">
        <is>
          <t>16.2%</t>
        </is>
      </c>
    </row>
    <row r="28">
      <c r="A28" s="6" t="inlineStr">
        <is>
          <t>12  CET1 available after meeting the total SREP own funds requirements (%)</t>
        </is>
      </c>
      <c r="B28" s="6" t="inlineStr">
        <is>
          <t>9.9%</t>
        </is>
      </c>
      <c r="C28" s="6" t="inlineStr">
        <is>
          <t>8.9%</t>
        </is>
      </c>
      <c r="D28" s="6" t="inlineStr">
        <is>
          <t>10.8%</t>
        </is>
      </c>
      <c r="E28" s="6" t="inlineStr">
        <is>
          <t>9.9%</t>
        </is>
      </c>
      <c r="F28" s="6" t="inlineStr">
        <is>
          <t>10.0%</t>
        </is>
      </c>
      <c r="G28" s="6" t="inlineStr">
        <is>
          <t>8.5%</t>
        </is>
      </c>
    </row>
    <row r="29">
      <c r="A29" s="5" t="inlineStr">
        <is>
          <t>Leverage ratio</t>
        </is>
      </c>
      <c r="B29" s="6" t="n"/>
      <c r="C29" s="6" t="n"/>
      <c r="D29" s="6" t="n"/>
      <c r="E29" s="6" t="n"/>
      <c r="F29" s="6" t="n"/>
      <c r="G29" s="6" t="n"/>
    </row>
    <row r="30">
      <c r="A30" s="6" t="inlineStr">
        <is>
          <t>13  Total exposure measure excluding claims on central banks (£m)</t>
        </is>
      </c>
      <c r="B30" s="6" t="n">
        <v>22035</v>
      </c>
      <c r="C30" s="6" t="n">
        <v>23124.4</v>
      </c>
      <c r="D30" s="6" t="n">
        <v>23572.7</v>
      </c>
      <c r="E30" s="6" t="n">
        <v>23525.6</v>
      </c>
      <c r="F30" s="6" t="n">
        <v>24100.6</v>
      </c>
      <c r="G30" s="6" t="n">
        <v>22736</v>
      </c>
    </row>
    <row r="31">
      <c r="A31" s="6" t="inlineStr">
        <is>
          <t>14  Leverage ratio excluding claims on central banks (%)</t>
        </is>
      </c>
      <c r="B31" s="6" t="inlineStr">
        <is>
          <t>4.4%</t>
        </is>
      </c>
      <c r="C31" s="6" t="inlineStr">
        <is>
          <t>4.0%</t>
        </is>
      </c>
      <c r="D31" s="6" t="inlineStr">
        <is>
          <t>4.2%</t>
        </is>
      </c>
      <c r="E31" s="6" t="inlineStr">
        <is>
          <t>4.0%</t>
        </is>
      </c>
      <c r="F31" s="6" t="inlineStr">
        <is>
          <t>3.7%</t>
        </is>
      </c>
      <c r="G31" s="6" t="inlineStr">
        <is>
          <t>3.8%</t>
        </is>
      </c>
    </row>
    <row r="32">
      <c r="A32" s="5" t="inlineStr">
        <is>
          <t>Additional leverage ratio disclosure requirements (LREQ firms only - left blank by the Bank in every edition, see note)</t>
        </is>
      </c>
      <c r="B32" s="6" t="n"/>
      <c r="C32" s="6" t="n"/>
      <c r="D32" s="6" t="n"/>
      <c r="E32" s="6" t="n"/>
      <c r="F32" s="6" t="n"/>
      <c r="G32" s="6" t="n"/>
    </row>
    <row r="33">
      <c r="A33" s="6" t="inlineStr">
        <is>
          <t>14a  Fully loaded ECL accounting model leverage ratio excluding claims on central banks (%)</t>
        </is>
      </c>
      <c r="B33" s="6" t="n"/>
      <c r="C33" s="6" t="n"/>
      <c r="D33" s="6" t="n"/>
      <c r="E33" s="6" t="n"/>
      <c r="F33" s="6" t="n"/>
      <c r="G33" s="6" t="n"/>
    </row>
    <row r="34">
      <c r="A34" s="6" t="inlineStr">
        <is>
          <t>14b  Leverage ratio including claims on central banks (%)</t>
        </is>
      </c>
      <c r="B34" s="6" t="n"/>
      <c r="C34" s="6" t="n"/>
      <c r="D34" s="6" t="n"/>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t>
        </is>
      </c>
      <c r="B38" s="6" t="n"/>
      <c r="C38" s="6" t="n"/>
      <c r="D38" s="6" t="n"/>
      <c r="E38" s="6" t="n"/>
      <c r="F38" s="6" t="n"/>
      <c r="G38" s="6" t="n"/>
    </row>
    <row r="39">
      <c r="A39" s="6" t="inlineStr">
        <is>
          <t>15  Total high-quality liquid assets (HQLA) (Weighted value - average) (£m)</t>
        </is>
      </c>
      <c r="B39" s="6" t="n">
        <v>3816</v>
      </c>
      <c r="C39" s="6" t="n">
        <v>4014.6</v>
      </c>
      <c r="D39" s="6" t="n">
        <v>4457.7</v>
      </c>
      <c r="E39" s="6" t="n">
        <v>5880.3</v>
      </c>
      <c r="F39" s="6" t="n">
        <v>4708</v>
      </c>
      <c r="G39" s="6" t="n">
        <v>3367.2</v>
      </c>
    </row>
    <row r="40">
      <c r="A40" s="6" t="inlineStr">
        <is>
          <t>UK 16a  Cash outflows - Total weighted value (£m)</t>
        </is>
      </c>
      <c r="B40" s="6" t="n">
        <v>2292</v>
      </c>
      <c r="C40" s="6" t="n">
        <v>2418.8</v>
      </c>
      <c r="D40" s="6" t="n">
        <v>2703.5</v>
      </c>
      <c r="E40" s="6" t="n">
        <v>2792.3</v>
      </c>
      <c r="F40" s="6" t="n">
        <v>2927.1</v>
      </c>
      <c r="G40" s="6" t="n">
        <v>2998.4</v>
      </c>
    </row>
    <row r="41">
      <c r="A41" s="6" t="inlineStr">
        <is>
          <t>UK 16b  Cash inflows - Total weighted value (£m)</t>
        </is>
      </c>
      <c r="B41" s="6" t="n">
        <v>154</v>
      </c>
      <c r="C41" s="6" t="n">
        <v>337.6</v>
      </c>
      <c r="D41" s="6" t="n">
        <v>636</v>
      </c>
      <c r="E41" s="6" t="n">
        <v>611.8</v>
      </c>
      <c r="F41" s="6" t="n">
        <v>656.1</v>
      </c>
      <c r="G41" s="6" t="n">
        <v>1210.9</v>
      </c>
    </row>
    <row r="42">
      <c r="A42" s="6" t="inlineStr">
        <is>
          <t>16  Total net cash outflows (adjusted value) (£m)</t>
        </is>
      </c>
      <c r="B42" s="6" t="n">
        <v>2138</v>
      </c>
      <c r="C42" s="6" t="n">
        <v>2081.1</v>
      </c>
      <c r="D42" s="6" t="n">
        <v>2067.6</v>
      </c>
      <c r="E42" s="6" t="n">
        <v>2180.5</v>
      </c>
      <c r="F42" s="6" t="n">
        <v>2271</v>
      </c>
      <c r="G42" s="6" t="n">
        <v>1787.6</v>
      </c>
    </row>
    <row r="43">
      <c r="A43" s="6" t="inlineStr">
        <is>
          <t>17  Liquidity coverage ratio (%)</t>
        </is>
      </c>
      <c r="B43" s="6" t="inlineStr">
        <is>
          <t>179.8%</t>
        </is>
      </c>
      <c r="C43" s="6" t="inlineStr">
        <is>
          <t>193.4%</t>
        </is>
      </c>
      <c r="D43" s="6" t="inlineStr">
        <is>
          <t>215.4%</t>
        </is>
      </c>
      <c r="E43" s="6" t="inlineStr">
        <is>
          <t>270.4%</t>
        </is>
      </c>
      <c r="F43" s="6" t="inlineStr">
        <is>
          <t>207.6%</t>
        </is>
      </c>
      <c r="G43" s="6" t="inlineStr">
        <is>
          <t>188.2%</t>
        </is>
      </c>
    </row>
    <row r="44">
      <c r="A44" s="5" t="inlineStr">
        <is>
          <t>Net stable funding ratio</t>
        </is>
      </c>
      <c r="B44" s="6" t="n"/>
      <c r="C44" s="6" t="n"/>
      <c r="D44" s="6" t="n"/>
      <c r="E44" s="6" t="n"/>
      <c r="F44" s="6" t="n"/>
      <c r="G44" s="6" t="n"/>
    </row>
    <row r="45">
      <c r="A45" s="6" t="inlineStr">
        <is>
          <t>18  Total available stable funding (£m)</t>
        </is>
      </c>
      <c r="B45" s="6" t="n">
        <v>21719</v>
      </c>
      <c r="C45" s="6" t="n">
        <v>22318.3</v>
      </c>
      <c r="D45" s="6" t="n">
        <v>23816.4</v>
      </c>
      <c r="E45" s="6" t="n"/>
      <c r="F45" s="6" t="n"/>
      <c r="G45" s="6" t="n"/>
    </row>
    <row r="46">
      <c r="A46" s="6" t="inlineStr">
        <is>
          <t>19  Total required stable funding (£m)</t>
        </is>
      </c>
      <c r="B46" s="6" t="n">
        <v>16129</v>
      </c>
      <c r="C46" s="6" t="n">
        <v>16751.5</v>
      </c>
      <c r="D46" s="6" t="n">
        <v>18027.2</v>
      </c>
      <c r="E46" s="6" t="n"/>
      <c r="F46" s="6" t="n"/>
      <c r="G46" s="6" t="n"/>
    </row>
    <row r="47">
      <c r="A47" s="6" t="inlineStr">
        <is>
          <t>20  NSFR ratio (%)</t>
        </is>
      </c>
      <c r="B47" s="6" t="inlineStr">
        <is>
          <t>134.7%</t>
        </is>
      </c>
      <c r="C47" s="6" t="inlineStr">
        <is>
          <t>133.3%</t>
        </is>
      </c>
      <c r="D47" s="6" t="inlineStr">
        <is>
          <t>132.1%</t>
        </is>
      </c>
      <c r="E47" s="6" t="n"/>
      <c r="F47" s="6" t="n"/>
      <c r="G47" s="6" t="n"/>
    </row>
    <row r="49" ht="480" customHeight="1">
      <c r="A49" s="8" t="inlineStr">
        <is>
          <t xml:space="preserve">Sources - The Co-operative Bank p.l.c.'s own published 'UK KM1 - Key Metrics' template on the INDIVIDUAL (Bank) basis, reproduced whole in the Bank's own row order, row numbers, labels and precision. Amounts in £m, ratios exactly as printed.
ENTITY TRAP - EACH EDITION PRINTS THIS TEMPLATE TWICE. The 2022, 2023 and 2024 editions carry a GROUP KM1 at section 3.2 in the front of the document AND a separate 'KM1 - KEY METRICS TEMPLATE (INDIVIDUAL)' in the appendix. This workbook is Bank Company-only throughout, so every figure below is taken from the INDIVIDUAL table and never from the Group one.
FY2025: Pillar 3 Disclosures December 2025, section 2.1 'Template UK KM1 - Key metrics', printed folios 4-5 (31 December 2025 column) - https://www.co-operativebank.co.uk/pdfs/bank/investorrelations/2025-h2-pillar-3-disclosures.pdf
FY2024: 2024 Pillar 3 Disclosures, 'KM1 - Key Metrics (Individual)', printed folios 139-140 (31 December 2024 column) - https://www.co-operativebank.co.uk/pdfs/bank/investorrelations/2024-pillar-3-disclosures.pdf
FY2023: 2023 Pillar 3 Disclosures, 'KM1 - Key Metrics Template (Individual)', printed folios 140-141 (31 December 2023 column) - https://www.co-operativebank.co.uk/pdfs/bank/investorrelations/2023-pillar-3-disclosures.pdf
FY2022: 2022 Pillar 3 Disclosures, 'KM1 - Key Metrics Template (Individual)', printed folios 101-102 (column a, 31 Dec 22) - https://www.co-operativebank.co.uk/pdfs/bank/investorrelations/2022-pillar-3-disclosures.pdf
FY2021 and FY2020: FILLED FROM A LATER EDITION'S COMPARATIVE COLUMNS, and flagged here rather than presented as own-year figures. Neither the 2020 nor the 2021 edition prints a KM1 template at all - both pre-date the UK CRR template regime. That was tested rather than assumed: each contains zero occurrences of 'KM1', 'combined buffer', 'total exposure measure', 'high-quality liquid' and 'net stable funding', while the same documents return healthy counts for the control phrases 'own funds' (12 and 10) and 'countercyclical' (10 and 10) - so both texts extract fine and the template is genuinely absent. The 2022 edition's Individual KM1 prints five columns (31 Dec 22 / 30 Jun 22 / 31 Dec 21 / 30 Jun 21 / 31 Dec 20), so FY2021 is its column c and FY2020 its column e - https://www.co-operativebank.co.uk/pdfs/bank/investorrelations/2022-pillar-3-disclosures.pdf
THE FY2025 COLUMN IS ONE YEAR NEWER THAN THE REST OF THIS WORKBOOK. The Bank's December 2025 Pillar 3 is published and supports this sheet in full; the statement sheets still end at FY2024 because they depend on the FY2025 Annual Report, which is a separate transcription. This sheet therefore carries FY2025 while the others do not - a deliberate difference, not an inconsistency.
PRECISION CHANGES BETWEEN EDITIONS AND IS REPRODUCED, NOT NORMALISED. The FY2025 edition prints whole £m (CET1 968, RWA 5,112) where the FY2020-FY2024 editions print one decimal (923.5, 4,950.8). Each edition's own precision is kept.
ROWS 18-20 ARE BLANK FOR FY2022, FY2021 AND FY2020 BY FORMAL EXCLUSION, not for want of data, and this is the reason they are left blank rather than back-filled. The 2022 edition's own footnote 4 states: 'In line with PS22/21 "Implementation of Basel Standards...", disclosures for the Net Stable Funding Ratio (NSFR) are not required until after 1 January 2024.' The 2023 edition does later print an NSFR for 31 Dec 2022 in its comparative column (available stable funding 25,930.2, required stable funding 18,994.5, NSFR 136.5%). Those rows are absent from an otherwise complete FY2022 table, so they stay blank here and the later figures are recorded in this note instead.
Rows 14a-14e are likewise blank by formal exclusion in every edition. Each document's footnote 2 states the additional leverage disclosures are 'Only required for LREQ firms... The rows have been left blank as the Bank is not currently captured by either threshold'. Rows UK 8a, UK 9a, 10 and UK 10a are DASHED in the FY2024, FY2023 and FY2022 editions' Individual tables and in the FY2022 edition's 31-Dec-21 and 31-Dec-20 comparative columns, and they carry that dash here - FY2024, FY2023, FY2022, FY2021 and FY2020, twenty cells, re-read at source on 2026-09-18. They are NOT PRINTED AT ALL in the FY2025 edition, whose Table 1 runs straight from row 9 to row 11, so FY2025 is correctly BLANK on those four rows. That contrast is the whole point: a dash means the Bank printed 'this does not apply to us', a blank means the Bank printed nothing, and this sheet now shows both on the same four rows. A dash is never reproduced as a zero, and never as a blank.
Note the FY2025 edition was read by RENDERING printed folios 4-5 at 150 dpi: its text layer extracts 225,000 characters of mojibake (zero occurrences of even the word 'the'), so a text search of it would have reported the whole template as absent.
Each edition's footnote 3 records that the LCR rows 'have been calculated as a simple average of the 12 month end observations preceding the end of each half year', and the FY2025 edition adds that the NSFR 'is calculated as an average of the current and three preceding quarters'. The FY2025 edition also warns that 'the liquidity position reported in the ARAs is not a 12-month average but is reported as at 31 December 2025, therefore is not directly comparable to Pillar 3 disclosures'.
LATEST-EDITION CHECK (2026-09-17): co-operativebank.co.uk's own investor-relations results page was enumerated directly. The newest FULL-YEAR Pillar 3 is the December 2025 edition used above, and it is used here, so this sheet is current. The Bank also publishes interim editions - a June 2025 half-year and a 'Bank Pillar 3 Disclosures March 2026' quarterly - which add no further year-end column. A caution for anyone repeating this check: several plausible filenames on that site ('2025-pillar-3-disclosures.pdf', '2026-pillar-3-disclosures.pdf', '2026-h1-pillar-3-disclosures.pdf', '2026-annual-report-and-accounts.pdf') return HTTP 200 with an 81,445-byte HTML page rather than a PDF. They are soft-404s and are NOT evidence of a newer edition; each was checked for the %PDF magic bytes.
</t>
        </is>
      </c>
    </row>
  </sheetData>
  <mergeCells count="1">
    <mergeCell ref="A49:G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6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60" customHeight="1">
      <c r="A5" s="7" t="inlineStr">
        <is>
          <t>Note: FY2014 is the CRD IV fully-loaded ratio (13.0%; transitional basis: 12.7%) - see the CET1 Capital sheet's note on the transitional/fully-loaded distinction.</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6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UK OV1 'Overview of risk weighted exposures (Individual)' — each year's own Pillar 3 Disclosures (FY2024-FY2021)</t>
        </is>
      </c>
      <c r="B4" s="6" t="n"/>
      <c r="C4" s="6" t="n"/>
      <c r="D4" s="6" t="n"/>
      <c r="E4" s="6" t="n"/>
      <c r="F4" s="6" t="n"/>
      <c r="G4" s="6" t="n"/>
      <c r="H4" s="6" t="n"/>
      <c r="I4" s="6" t="n"/>
      <c r="J4" s="6" t="n"/>
      <c r="K4" s="6" t="n"/>
      <c r="L4" s="6" t="n"/>
    </row>
    <row r="5">
      <c r="A5" s="6" t="inlineStr">
        <is>
          <t>Credit risk (excluding CCR)</t>
        </is>
      </c>
      <c r="B5" s="6" t="n">
        <v>4143.6</v>
      </c>
      <c r="C5" s="6" t="n">
        <v>4132.3</v>
      </c>
      <c r="D5" s="6" t="n">
        <v>4178.2</v>
      </c>
      <c r="E5" s="6" t="n">
        <v>3743.6</v>
      </c>
      <c r="F5" s="6" t="n"/>
      <c r="G5" s="6" t="n"/>
      <c r="H5" s="6" t="n"/>
      <c r="I5" s="6" t="n"/>
      <c r="J5" s="6" t="n"/>
      <c r="K5" s="6" t="n"/>
      <c r="L5" s="6" t="n"/>
    </row>
    <row r="6">
      <c r="A6" s="6" t="inlineStr">
        <is>
          <t>Counterparty credit risk (CCR)</t>
        </is>
      </c>
      <c r="B6" s="6" t="n">
        <v>18.2</v>
      </c>
      <c r="C6" s="6" t="n">
        <v>31.5</v>
      </c>
      <c r="D6" s="6" t="n">
        <v>37.6</v>
      </c>
      <c r="E6" s="6" t="n">
        <v>61.8</v>
      </c>
      <c r="F6" s="6" t="n"/>
      <c r="G6" s="6" t="n"/>
      <c r="H6" s="6" t="n"/>
      <c r="I6" s="6" t="n"/>
      <c r="J6" s="6" t="n"/>
      <c r="K6" s="6" t="n"/>
      <c r="L6" s="6" t="n"/>
    </row>
    <row r="7">
      <c r="A7" s="6" t="inlineStr">
        <is>
          <t>Securitisation exposures in the non-trading book</t>
        </is>
      </c>
      <c r="B7" s="6" t="n">
        <v>82.3</v>
      </c>
      <c r="C7" s="6" t="n">
        <v>100.5</v>
      </c>
      <c r="D7" s="6" t="n">
        <v>95.8</v>
      </c>
      <c r="E7" s="6" t="n">
        <v>102.9</v>
      </c>
      <c r="F7" s="6" t="n"/>
      <c r="G7" s="6" t="n"/>
      <c r="H7" s="6" t="n"/>
      <c r="I7" s="6" t="n"/>
      <c r="J7" s="6" t="n"/>
      <c r="K7" s="6" t="n"/>
      <c r="L7" s="6" t="n"/>
    </row>
    <row r="8">
      <c r="A8" s="6" t="inlineStr">
        <is>
          <t>Position, foreign exchange and commodities risks (Market risk)</t>
        </is>
      </c>
      <c r="B8" s="6" t="n">
        <v>0</v>
      </c>
      <c r="C8" s="6" t="n">
        <v>0</v>
      </c>
      <c r="D8" s="6" t="n">
        <v>0</v>
      </c>
      <c r="E8" s="6" t="n">
        <v>0</v>
      </c>
      <c r="F8" s="6" t="n"/>
      <c r="G8" s="6" t="n"/>
      <c r="H8" s="6" t="n"/>
      <c r="I8" s="6" t="n"/>
      <c r="J8" s="6" t="n"/>
      <c r="K8" s="6" t="n"/>
      <c r="L8" s="6" t="n"/>
    </row>
    <row r="9">
      <c r="A9" s="6" t="inlineStr">
        <is>
          <t>Operational risk</t>
        </is>
      </c>
      <c r="B9" s="6" t="n">
        <v>706.7</v>
      </c>
      <c r="C9" s="6" t="n">
        <v>566.3</v>
      </c>
      <c r="D9" s="6" t="n">
        <v>495.1</v>
      </c>
      <c r="E9" s="6" t="n">
        <v>491.5</v>
      </c>
      <c r="F9" s="6" t="n"/>
      <c r="G9" s="6" t="n"/>
      <c r="H9" s="6" t="n"/>
      <c r="I9" s="6" t="n"/>
      <c r="J9" s="6" t="n"/>
      <c r="K9" s="6" t="n"/>
      <c r="L9" s="6" t="n"/>
    </row>
    <row r="10">
      <c r="A10" s="6" t="inlineStr">
        <is>
          <t>Amounts below the thresholds for deduction (for information)</t>
        </is>
      </c>
      <c r="B10" s="6" t="n">
        <v>136.1</v>
      </c>
      <c r="C10" s="6" t="n">
        <v>205.1</v>
      </c>
      <c r="D10" s="6" t="n">
        <v>236.1</v>
      </c>
      <c r="E10" s="6" t="n">
        <v>232.6</v>
      </c>
      <c r="F10" s="6" t="n"/>
      <c r="G10" s="6" t="n"/>
      <c r="H10" s="6" t="n"/>
      <c r="I10" s="6" t="n"/>
      <c r="J10" s="6" t="n"/>
      <c r="K10" s="6" t="n"/>
      <c r="L10" s="6" t="n"/>
    </row>
    <row r="11">
      <c r="A11" s="5" t="inlineStr">
        <is>
          <t>Total</t>
        </is>
      </c>
      <c r="B11" s="5" t="n">
        <v>4950.8</v>
      </c>
      <c r="C11" s="5" t="n">
        <v>4830.6</v>
      </c>
      <c r="D11" s="5" t="n">
        <v>4806.7</v>
      </c>
      <c r="E11" s="5" t="n">
        <v>4399.8</v>
      </c>
      <c r="F11" s="5" t="n"/>
      <c r="G11" s="5" t="n"/>
      <c r="H11" s="5" t="n"/>
      <c r="I11" s="5" t="n"/>
      <c r="J11" s="5" t="n"/>
      <c r="K11" s="5" t="n"/>
      <c r="L11" s="5" t="n"/>
    </row>
    <row r="12">
      <c r="A12" s="5" t="inlineStr">
        <is>
          <t>'Pillar 1 capital requirements' table, Appendix 2 (Table 40/41/42, individual basis) — an older CRR exposure-class format (IRB approach vs Standardised approach) that predates the UK OV1 template. Only Operational risk and the Total map onto the categories above, so no other category row is shown for these years and this block does NOT foot — the remaining components are published on an exposure-class basis that cannot be mapped to the rows above without inventing a correspondence the Bank never published (FY2020-FY2017)</t>
        </is>
      </c>
      <c r="B12" s="6" t="n"/>
      <c r="C12" s="6" t="n"/>
      <c r="D12" s="6" t="n"/>
      <c r="E12" s="6" t="n"/>
      <c r="F12" s="6" t="n"/>
      <c r="G12" s="6" t="n"/>
      <c r="H12" s="6" t="n"/>
      <c r="I12" s="6" t="n"/>
      <c r="J12" s="6" t="n"/>
      <c r="K12" s="6" t="n"/>
      <c r="L12" s="6" t="n"/>
    </row>
    <row r="13">
      <c r="A13" s="6" t="inlineStr">
        <is>
          <t>Operational risk</t>
        </is>
      </c>
      <c r="B13" s="6" t="n"/>
      <c r="C13" s="6" t="n"/>
      <c r="D13" s="6" t="n"/>
      <c r="E13" s="6" t="n"/>
      <c r="F13" s="6" t="n">
        <v>512.6</v>
      </c>
      <c r="G13" s="6" t="n">
        <v>486.5</v>
      </c>
      <c r="H13" s="6" t="n">
        <v>480.9</v>
      </c>
      <c r="I13" s="6" t="n">
        <v>550.8</v>
      </c>
      <c r="J13" s="6" t="n"/>
      <c r="K13" s="6" t="n"/>
      <c r="L13" s="6" t="n"/>
    </row>
    <row r="14">
      <c r="A14" s="5" t="inlineStr">
        <is>
          <t>Total</t>
        </is>
      </c>
      <c r="B14" s="5" t="n"/>
      <c r="C14" s="5" t="n"/>
      <c r="D14" s="5" t="n"/>
      <c r="E14" s="5" t="n"/>
      <c r="F14" s="5" t="n">
        <v>4668.4</v>
      </c>
      <c r="G14" s="5" t="n">
        <v>4830.1</v>
      </c>
      <c r="H14" s="5" t="n">
        <v>5004.3</v>
      </c>
      <c r="I14" s="5" t="n">
        <v>4986</v>
      </c>
      <c r="J14" s="5" t="n"/>
      <c r="K14" s="5" t="n"/>
      <c r="L14" s="5" t="n"/>
    </row>
    <row r="15">
      <c r="A15" s="5" t="inlineStr">
        <is>
          <t>Total risk weighted assets only, no category breakdown published — the Bank's pre-UK-OV1-era Pillar 3 disclosures (Table 1 'CRD IV key capital ratios' and equivalents) state the RWA total and do not break it into risk categories (FY2016-FY2014)</t>
        </is>
      </c>
      <c r="B15" s="6" t="n"/>
      <c r="C15" s="6" t="n"/>
      <c r="D15" s="6" t="n"/>
      <c r="E15" s="6" t="n"/>
      <c r="F15" s="6" t="n"/>
      <c r="G15" s="6" t="n"/>
      <c r="H15" s="6" t="n"/>
      <c r="I15" s="6" t="n"/>
      <c r="J15" s="6" t="n"/>
      <c r="K15" s="6" t="n"/>
      <c r="L15" s="6" t="n"/>
    </row>
    <row r="16">
      <c r="A16" s="5" t="inlineStr">
        <is>
          <t>Total</t>
        </is>
      </c>
      <c r="B16" s="5" t="n"/>
      <c r="C16" s="5" t="n"/>
      <c r="D16" s="5" t="n"/>
      <c r="E16" s="5" t="n"/>
      <c r="F16" s="5" t="n"/>
      <c r="G16" s="5" t="n"/>
      <c r="H16" s="5" t="n"/>
      <c r="I16" s="5" t="n"/>
      <c r="J16" s="5" t="n">
        <v>6676.1</v>
      </c>
      <c r="K16" s="5" t="n">
        <v>7422.9</v>
      </c>
      <c r="L16" s="5" t="n">
        <v>12632.2</v>
      </c>
    </row>
    <row r="18" ht="210" customHeight="1">
      <c r="A18"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8:L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row>
    <row r="5" ht="60"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The Co-operative Bank p.l.c. — NSFR</t>
        </is>
      </c>
    </row>
    <row r="2">
      <c r="A2" s="2" t="inlineStr">
        <is>
          <t>%</t>
        </is>
      </c>
    </row>
    <row r="3">
      <c r="A3" s="4" t="inlineStr">
        <is>
          <t>Metric</t>
        </is>
      </c>
      <c r="B3" s="4" t="inlineStr">
        <is>
          <t>FY2024</t>
        </is>
      </c>
      <c r="C3" s="4" t="inlineStr">
        <is>
          <t>FY2023</t>
        </is>
      </c>
    </row>
    <row r="4">
      <c r="A4" s="6" t="inlineStr">
        <is>
          <t>Net Stable Funding Ratio (NSFR)</t>
        </is>
      </c>
      <c r="B4" s="6" t="inlineStr">
        <is>
          <t>133.3%</t>
        </is>
      </c>
      <c r="C4" s="6" t="inlineStr">
        <is>
          <t>132.1%</t>
        </is>
      </c>
    </row>
    <row r="5" ht="60"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C5"/>
    <mergeCell ref="A7:C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MREL resources available as a % of RWAs</t>
        </is>
      </c>
      <c r="B4" s="6" t="inlineStr">
        <is>
          <t>36.0%</t>
        </is>
      </c>
      <c r="C4" s="6" t="inlineStr">
        <is>
          <t>39.1%</t>
        </is>
      </c>
      <c r="D4" s="6" t="inlineStr">
        <is>
          <t>33.2%</t>
        </is>
      </c>
      <c r="E4" s="6" t="inlineStr">
        <is>
          <t>29.6%</t>
        </is>
      </c>
      <c r="F4" s="6" t="inlineStr">
        <is>
          <t>27.5%</t>
        </is>
      </c>
    </row>
    <row r="5">
      <c r="A5" s="6" t="inlineStr">
        <is>
          <t>Total MREL resources available as a % of UK leverage exposure</t>
        </is>
      </c>
      <c r="B5" s="6" t="inlineStr">
        <is>
          <t>7.7%</t>
        </is>
      </c>
      <c r="C5" s="6" t="inlineStr">
        <is>
          <t>8.0%</t>
        </is>
      </c>
      <c r="D5" s="6" t="inlineStr">
        <is>
          <t>6.8%</t>
        </is>
      </c>
      <c r="E5" s="6" t="inlineStr">
        <is>
          <t>5.4%</t>
        </is>
      </c>
      <c r="F5" s="6" t="inlineStr">
        <is>
          <t>5.6%</t>
        </is>
      </c>
    </row>
    <row r="6" ht="60"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110"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F8"/>
    <mergeCell ref="A6: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3"/>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10"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60"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2026-09-18T08:51:29Z</dcterms:created>
  <dcterms:modified xmlns:dcterms="http://purl.org/dc/terms/" xmlns:xsi="http://www.w3.org/2001/XMLSchema-instance" xsi:type="dcterms:W3CDTF">2026-09-18T08:51:29Z</dcterms:modified>
</cp:coreProperties>
</file>