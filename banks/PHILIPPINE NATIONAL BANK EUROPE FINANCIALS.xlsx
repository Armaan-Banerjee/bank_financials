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7A33"/>
        <bgColor rgb="00007A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Philippine National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a:prstDash val="solid"/>
            </a:ln>
          </spPr>
          <cat>
            <numRef>
              <f>'Overview'!$P$5:$Z$5</f>
            </numRef>
          </cat>
          <val>
            <numRef>
              <f>'Overview'!$P$6:$Z$6</f>
            </numRef>
          </val>
        </ser>
        <ser>
          <idx val="1"/>
          <order val="1"/>
          <tx>
            <strRef>
              <f>'Overview'!O7</f>
            </strRef>
          </tx>
          <spPr>
            <a:ln>
              <a:prstDash val="solid"/>
            </a:ln>
          </spPr>
          <cat>
            <numRef>
              <f>'Overview'!$P$5:$Z$5</f>
            </numRef>
          </cat>
          <val>
            <numRef>
              <f>'Overview'!$P$7:$Z$7</f>
            </numRef>
          </val>
        </ser>
        <ser>
          <idx val="2"/>
          <order val="2"/>
          <tx>
            <strRef>
              <f>'Overview'!O8</f>
            </strRef>
          </tx>
          <spPr>
            <a:ln>
              <a:prstDash val="solid"/>
            </a:ln>
          </spPr>
          <cat>
            <numRef>
              <f>'Overview'!$P$5:$Z$5</f>
            </numRef>
          </cat>
          <val>
            <numRef>
              <f>'Overview'!$P$8:$Z$8</f>
            </numRef>
          </val>
        </ser>
        <ser>
          <idx val="3"/>
          <order val="3"/>
          <tx>
            <strRef>
              <f>'Overview'!O9</f>
            </strRef>
          </tx>
          <spPr>
            <a:l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Philippine National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a:prstDash val="solid"/>
            </a:ln>
          </spPr>
          <cat>
            <numRef>
              <f>'Overview'!$AD$12:$AN$12</f>
            </numRef>
          </cat>
          <val>
            <numRef>
              <f>'Overview'!$AD$13:$AN$13</f>
            </numRef>
          </val>
        </ser>
        <ser>
          <idx val="1"/>
          <order val="1"/>
          <tx>
            <strRef>
              <f>'Overview'!AC14</f>
            </strRef>
          </tx>
          <spPr>
            <a:ln>
              <a:prstDash val="solid"/>
            </a:ln>
          </spPr>
          <cat>
            <numRef>
              <f>'Overview'!$AD$12:$AN$12</f>
            </numRef>
          </cat>
          <val>
            <numRef>
              <f>'Overview'!$AD$14:$AN$14</f>
            </numRef>
          </val>
        </ser>
        <ser>
          <idx val="2"/>
          <order val="2"/>
          <tx>
            <strRef>
              <f>'Overview'!AC15</f>
            </strRef>
          </tx>
          <spPr>
            <a:l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Philippine National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a:prstDash val="solid"/>
            </a:ln>
          </spPr>
          <cat>
            <numRef>
              <f>'Overview'!$AR$18:$BB$18</f>
            </numRef>
          </cat>
          <val>
            <numRef>
              <f>'Overview'!$AR$19:$BB$19</f>
            </numRef>
          </val>
        </ser>
        <ser>
          <idx val="1"/>
          <order val="1"/>
          <tx>
            <strRef>
              <f>'Overview'!AQ20</f>
            </strRef>
          </tx>
          <spPr>
            <a:ln>
              <a:prstDash val="solid"/>
            </a:ln>
          </spPr>
          <cat>
            <numRef>
              <f>'Overview'!$AR$18:$BB$18</f>
            </numRef>
          </cat>
          <val>
            <numRef>
              <f>'Overview'!$AR$20:$BB$20</f>
            </numRef>
          </val>
        </ser>
        <ser>
          <idx val="2"/>
          <order val="2"/>
          <tx>
            <strRef>
              <f>'Overview'!AQ21</f>
            </strRef>
          </tx>
          <spPr>
            <a:ln>
              <a:prstDash val="solid"/>
            </a:ln>
          </spPr>
          <cat>
            <numRef>
              <f>'Overview'!$AR$18:$BB$18</f>
            </numRef>
          </cat>
          <val>
            <numRef>
              <f>'Overview'!$AR$21:$BB$21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Philippine National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'Overview'!BE6</f>
            </strRef>
          </tx>
          <spPr>
            <a:ln>
              <a:prstDash val="solid"/>
            </a:ln>
          </spPr>
          <marker>
            <symbol val="none"/>
            <spPr>
              <a:ln>
                <a:prstDash val="solid"/>
              </a:ln>
            </spPr>
          </marker>
          <cat>
            <numRef>
              <f>'Overview'!$BF$5:$BP$5</f>
            </numRef>
          </cat>
          <val>
            <numRef>
              <f>'Overview'!$BF$6:$BP$6</f>
            </numRef>
          </val>
          <smooth val="0"/>
        </ser>
        <ser>
          <idx val="1"/>
          <order val="1"/>
          <tx>
            <strRef>
              <f>'Overview'!BE7</f>
            </strRef>
          </tx>
          <spPr>
            <a:ln>
              <a:prstDash val="solid"/>
            </a:ln>
          </spPr>
          <marker>
            <symbol val="none"/>
            <spPr>
              <a:ln>
                <a:prstDash val="solid"/>
              </a:ln>
            </spPr>
          </marker>
          <cat>
            <numRef>
              <f>'Overview'!$BF$5:$BP$5</f>
            </numRef>
          </cat>
          <val>
            <numRef>
              <f>'Overview'!$BF$7:$BP$7</f>
            </numRef>
          </val>
          <smooth val="0"/>
        </ser>
        <ser>
          <idx val="2"/>
          <order val="2"/>
          <tx>
            <strRef>
              <f>'Overview'!BE8</f>
            </strRef>
          </tx>
          <spPr>
            <a:ln>
              <a:prstDash val="solid"/>
            </a:ln>
          </spPr>
          <marker>
            <symbol val="none"/>
            <spPr>
              <a:ln>
                <a:prstDash val="solid"/>
              </a:ln>
            </spPr>
          </marker>
          <cat>
            <numRef>
              <f>'Overview'!$BF$5:$BP$5</f>
            </numRef>
          </cat>
          <val>
            <numRef>
              <f>'Overview'!$BF$8:$BP$8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33</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55</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77</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99</row>
      <rowOff>0</rowOff>
    </from>
    <ext cx="8640000" cy="57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P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s>
  <sheetData>
    <row r="1">
      <c r="A1" s="1" t="inlineStr">
        <is>
          <t>Philippine National Bank (Europe)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F5" t="inlineStr">
        <is>
          <t>FY2015</t>
        </is>
      </c>
      <c r="BG5" t="inlineStr">
        <is>
          <t>FY2016</t>
        </is>
      </c>
      <c r="BH5" t="inlineStr">
        <is>
          <t>FY2017</t>
        </is>
      </c>
      <c r="BI5" t="inlineStr">
        <is>
          <t>FY2018</t>
        </is>
      </c>
      <c r="BJ5" t="inlineStr">
        <is>
          <t>FY2019</t>
        </is>
      </c>
      <c r="BK5" t="inlineStr">
        <is>
          <t>FY2020</t>
        </is>
      </c>
      <c r="BL5" t="inlineStr">
        <is>
          <t>FY2021</t>
        </is>
      </c>
      <c r="BM5" t="inlineStr">
        <is>
          <t>FY2022</t>
        </is>
      </c>
      <c r="BN5" t="inlineStr">
        <is>
          <t>FY2023</t>
        </is>
      </c>
      <c r="BO5" t="inlineStr">
        <is>
          <t>FY2024</t>
        </is>
      </c>
      <c r="BP5" t="inlineStr">
        <is>
          <t>FY2025</t>
        </is>
      </c>
    </row>
    <row r="6">
      <c r="A6" s="5" t="inlineStr">
        <is>
          <t>Total assets</t>
        </is>
      </c>
      <c r="B6" s="5" t="n">
        <v>13973</v>
      </c>
      <c r="C6" s="5" t="n">
        <v>14962</v>
      </c>
      <c r="D6" s="5" t="n">
        <v>16123</v>
      </c>
      <c r="E6" s="5" t="n">
        <v>15725</v>
      </c>
      <c r="F6" s="5" t="n">
        <v>15316</v>
      </c>
      <c r="G6" s="5" t="n">
        <v>16903</v>
      </c>
      <c r="H6" s="5" t="n">
        <v>17817</v>
      </c>
      <c r="I6" s="5" t="n">
        <v>17763</v>
      </c>
      <c r="J6" s="5" t="n">
        <v>18792</v>
      </c>
      <c r="K6" s="5" t="n">
        <v>21640</v>
      </c>
      <c r="L6" s="5" t="n">
        <v>20262</v>
      </c>
      <c r="O6" t="inlineStr">
        <is>
          <t>Total assets</t>
        </is>
      </c>
      <c r="P6" t="n">
        <v>20262</v>
      </c>
      <c r="Q6" t="n">
        <v>21640</v>
      </c>
      <c r="R6" t="n">
        <v>18792</v>
      </c>
      <c r="S6" t="n">
        <v>17763</v>
      </c>
      <c r="T6" t="n">
        <v>17817</v>
      </c>
      <c r="U6" t="n">
        <v>16903</v>
      </c>
      <c r="V6" t="n">
        <v>15316</v>
      </c>
      <c r="W6" t="n">
        <v>15725</v>
      </c>
      <c r="X6" t="n">
        <v>16123</v>
      </c>
      <c r="Y6" t="n">
        <v>14962</v>
      </c>
      <c r="Z6" t="n">
        <v>13973</v>
      </c>
      <c r="BE6" t="inlineStr">
        <is>
          <t>CET1 Ratio</t>
        </is>
      </c>
      <c r="BG6" t="n">
        <v>92.23</v>
      </c>
      <c r="BH6" t="n">
        <v>96.63</v>
      </c>
      <c r="BJ6" t="n">
        <v>96.76000000000001</v>
      </c>
      <c r="BN6" t="n">
        <v>121.95</v>
      </c>
      <c r="BO6" t="n">
        <v>136.95</v>
      </c>
      <c r="BP6" t="n">
        <v>127.55</v>
      </c>
    </row>
    <row r="7">
      <c r="A7" s="5" t="inlineStr">
        <is>
          <t>Loans and advances to banks</t>
        </is>
      </c>
      <c r="B7" s="5" t="n">
        <v>12073</v>
      </c>
      <c r="C7" s="5" t="n">
        <v>12073</v>
      </c>
      <c r="D7" s="5" t="n">
        <v>13113</v>
      </c>
      <c r="E7" s="5" t="n">
        <v>12778</v>
      </c>
      <c r="F7" s="5" t="n">
        <v>12370</v>
      </c>
      <c r="G7" s="5" t="n">
        <v>15056</v>
      </c>
      <c r="H7" s="5" t="n">
        <v>15875</v>
      </c>
      <c r="I7" s="5" t="n">
        <v>15817</v>
      </c>
      <c r="J7" s="5" t="n">
        <v>16510</v>
      </c>
      <c r="K7" s="5" t="n">
        <v>19121</v>
      </c>
      <c r="L7" s="5" t="n">
        <v>18382</v>
      </c>
      <c r="O7" t="inlineStr">
        <is>
          <t>Loans and advances to banks</t>
        </is>
      </c>
      <c r="P7" t="n">
        <v>18382</v>
      </c>
      <c r="Q7" t="n">
        <v>19121</v>
      </c>
      <c r="R7" t="n">
        <v>16510</v>
      </c>
      <c r="S7" t="n">
        <v>15817</v>
      </c>
      <c r="T7" t="n">
        <v>15875</v>
      </c>
      <c r="U7" t="n">
        <v>15056</v>
      </c>
      <c r="V7" t="n">
        <v>12370</v>
      </c>
      <c r="W7" t="n">
        <v>12778</v>
      </c>
      <c r="X7" t="n">
        <v>13113</v>
      </c>
      <c r="Y7" t="n">
        <v>12073</v>
      </c>
      <c r="Z7" t="n">
        <v>12073</v>
      </c>
      <c r="BE7" t="inlineStr">
        <is>
          <t>Tier 1 Ratio</t>
        </is>
      </c>
      <c r="BG7" t="n">
        <v>92.23</v>
      </c>
      <c r="BH7" t="n">
        <v>96.63</v>
      </c>
      <c r="BJ7" t="n">
        <v>96.76000000000001</v>
      </c>
      <c r="BN7" t="n">
        <v>121.95</v>
      </c>
      <c r="BO7" t="n">
        <v>136.95</v>
      </c>
      <c r="BP7" t="n">
        <v>127.55</v>
      </c>
    </row>
    <row r="8">
      <c r="A8" s="5" t="inlineStr">
        <is>
          <t>Customer accounts</t>
        </is>
      </c>
      <c r="B8" s="5" t="n">
        <v>397</v>
      </c>
      <c r="C8" s="5" t="n">
        <v>411</v>
      </c>
      <c r="D8" s="5" t="n">
        <v>426</v>
      </c>
      <c r="E8" s="5" t="n">
        <v>438</v>
      </c>
      <c r="F8" s="5" t="n">
        <v>442</v>
      </c>
      <c r="G8" s="5" t="n"/>
      <c r="H8" s="5" t="n"/>
      <c r="I8" s="5" t="n"/>
      <c r="J8" s="5" t="n"/>
      <c r="K8" s="5" t="n"/>
      <c r="L8" s="5" t="n"/>
      <c r="O8" t="inlineStr">
        <is>
          <t>Customer accounts</t>
        </is>
      </c>
      <c r="V8" t="n">
        <v>442</v>
      </c>
      <c r="W8" t="n">
        <v>438</v>
      </c>
      <c r="X8" t="n">
        <v>426</v>
      </c>
      <c r="Y8" t="n">
        <v>411</v>
      </c>
      <c r="Z8" t="n">
        <v>397</v>
      </c>
      <c r="BE8" t="inlineStr">
        <is>
          <t>Total Capital Ratio</t>
        </is>
      </c>
      <c r="BG8" t="n">
        <v>92.23</v>
      </c>
      <c r="BH8" t="n">
        <v>96.63</v>
      </c>
      <c r="BJ8" t="n">
        <v>96.76000000000001</v>
      </c>
      <c r="BN8" t="n">
        <v>121.95</v>
      </c>
      <c r="BO8" t="n">
        <v>136.95</v>
      </c>
      <c r="BP8" t="n">
        <v>127.55</v>
      </c>
    </row>
    <row r="9">
      <c r="A9" s="5" t="inlineStr">
        <is>
          <t>Total equity</t>
        </is>
      </c>
      <c r="B9" s="5" t="n">
        <v>10344</v>
      </c>
      <c r="C9" s="5" t="n">
        <v>10467</v>
      </c>
      <c r="D9" s="5" t="n">
        <v>10341</v>
      </c>
      <c r="E9" s="5" t="n">
        <v>10115</v>
      </c>
      <c r="F9" s="5" t="n">
        <v>9996</v>
      </c>
      <c r="G9" s="5" t="n">
        <v>9879</v>
      </c>
      <c r="H9" s="5" t="n">
        <v>10145</v>
      </c>
      <c r="I9" s="5" t="n">
        <v>10369</v>
      </c>
      <c r="J9" s="5" t="n">
        <v>10747</v>
      </c>
      <c r="K9" s="5" t="n">
        <v>11228</v>
      </c>
      <c r="L9" s="5" t="n">
        <v>11197</v>
      </c>
      <c r="O9" t="inlineStr">
        <is>
          <t>Total equity</t>
        </is>
      </c>
      <c r="P9" t="n">
        <v>11197</v>
      </c>
      <c r="Q9" t="n">
        <v>11228</v>
      </c>
      <c r="R9" t="n">
        <v>10747</v>
      </c>
      <c r="S9" t="n">
        <v>10369</v>
      </c>
      <c r="T9" t="n">
        <v>10145</v>
      </c>
      <c r="U9" t="n">
        <v>9879</v>
      </c>
      <c r="V9" t="n">
        <v>9996</v>
      </c>
      <c r="W9" t="n">
        <v>10115</v>
      </c>
      <c r="X9" t="n">
        <v>10341</v>
      </c>
      <c r="Y9" t="n">
        <v>10467</v>
      </c>
      <c r="Z9" t="n">
        <v>10344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c r="AC13" t="inlineStr">
        <is>
          <t>Operating income</t>
        </is>
      </c>
      <c r="AD13" t="n">
        <v>2222</v>
      </c>
      <c r="AE13" t="n">
        <v>2297</v>
      </c>
      <c r="AF13" t="n">
        <v>1751</v>
      </c>
      <c r="AG13" t="n">
        <v>1790</v>
      </c>
      <c r="AH13" t="n">
        <v>1866</v>
      </c>
      <c r="AI13" t="n">
        <v>1594</v>
      </c>
      <c r="AJ13" t="n">
        <v>1567</v>
      </c>
      <c r="AK13" t="n">
        <v>1564</v>
      </c>
      <c r="AL13" t="n">
        <v>1707</v>
      </c>
      <c r="AM13" t="n">
        <v>1722</v>
      </c>
      <c r="AN13" t="n">
        <v>1647</v>
      </c>
    </row>
    <row r="14">
      <c r="A14" s="5" t="inlineStr">
        <is>
          <t>Administrative expenses</t>
        </is>
      </c>
      <c r="B14" s="5" t="n">
        <v>-2091</v>
      </c>
      <c r="C14" s="5" t="n">
        <v>-1665</v>
      </c>
      <c r="D14" s="5" t="n">
        <v>-1441</v>
      </c>
      <c r="E14" s="5" t="n">
        <v>-1373</v>
      </c>
      <c r="F14" s="5" t="n">
        <v>-1406</v>
      </c>
      <c r="G14" s="5" t="n">
        <v>-1456</v>
      </c>
      <c r="H14" s="5" t="n">
        <v>-1602</v>
      </c>
      <c r="I14" s="5" t="n">
        <v>-1589</v>
      </c>
      <c r="J14" s="5" t="n">
        <v>-2042</v>
      </c>
      <c r="K14" s="5" t="n">
        <v>-1978</v>
      </c>
      <c r="L14" s="5" t="n">
        <v>-2314</v>
      </c>
      <c r="AC14" t="inlineStr">
        <is>
          <t>Administrative expenses</t>
        </is>
      </c>
      <c r="AD14" t="n">
        <v>-2314</v>
      </c>
      <c r="AE14" t="n">
        <v>-1978</v>
      </c>
      <c r="AF14" t="n">
        <v>-2042</v>
      </c>
      <c r="AG14" t="n">
        <v>-1589</v>
      </c>
      <c r="AH14" t="n">
        <v>-1602</v>
      </c>
      <c r="AI14" t="n">
        <v>-1456</v>
      </c>
      <c r="AJ14" t="n">
        <v>-1406</v>
      </c>
      <c r="AK14" t="n">
        <v>-1373</v>
      </c>
      <c r="AL14" t="n">
        <v>-1441</v>
      </c>
      <c r="AM14" t="n">
        <v>-1665</v>
      </c>
      <c r="AN14" t="n">
        <v>-2091</v>
      </c>
    </row>
    <row r="15">
      <c r="A15" s="5" t="inlineStr">
        <is>
          <t>(Loss)/profit for the year</t>
        </is>
      </c>
      <c r="B15" s="5" t="n">
        <v>-492</v>
      </c>
      <c r="C15" s="5" t="n">
        <v>11</v>
      </c>
      <c r="D15" s="5" t="n">
        <v>226</v>
      </c>
      <c r="E15" s="5" t="n">
        <v>146</v>
      </c>
      <c r="F15" s="5" t="n">
        <v>117</v>
      </c>
      <c r="G15" s="5" t="n">
        <v>77</v>
      </c>
      <c r="H15" s="5" t="n">
        <v>201</v>
      </c>
      <c r="I15" s="5" t="n">
        <v>140</v>
      </c>
      <c r="J15" s="5" t="n">
        <v>-442</v>
      </c>
      <c r="K15" s="5" t="n">
        <v>218</v>
      </c>
      <c r="L15" s="5" t="n">
        <v>-137</v>
      </c>
      <c r="AC15" t="inlineStr">
        <is>
          <t>(Loss)/profit for the year</t>
        </is>
      </c>
      <c r="AD15" t="n">
        <v>-137</v>
      </c>
      <c r="AE15" t="n">
        <v>218</v>
      </c>
      <c r="AF15" t="n">
        <v>-442</v>
      </c>
      <c r="AG15" t="n">
        <v>140</v>
      </c>
      <c r="AH15" t="n">
        <v>201</v>
      </c>
      <c r="AI15" t="n">
        <v>77</v>
      </c>
      <c r="AJ15" t="n">
        <v>117</v>
      </c>
      <c r="AK15" t="n">
        <v>146</v>
      </c>
      <c r="AL15" t="n">
        <v>226</v>
      </c>
      <c r="AM15" t="n">
        <v>11</v>
      </c>
      <c r="AN15" t="n">
        <v>-492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10467</v>
      </c>
      <c r="C19" s="5" t="n">
        <v>10341</v>
      </c>
      <c r="D19" s="5" t="n">
        <v>10115</v>
      </c>
      <c r="E19" s="5" t="n">
        <v>9996</v>
      </c>
      <c r="F19" s="5" t="n">
        <v>9879</v>
      </c>
      <c r="G19" s="5" t="n">
        <v>10145</v>
      </c>
      <c r="H19" s="5" t="n">
        <v>10369</v>
      </c>
      <c r="I19" s="5" t="n">
        <v>10646</v>
      </c>
      <c r="J19" s="5" t="n">
        <v>11228</v>
      </c>
      <c r="K19" s="5" t="n">
        <v>11197</v>
      </c>
      <c r="L19" s="5" t="n">
        <v>6325</v>
      </c>
      <c r="AQ19" t="inlineStr">
        <is>
          <t>Opening equity</t>
        </is>
      </c>
      <c r="AR19" t="n">
        <v>6325</v>
      </c>
      <c r="AS19" t="n">
        <v>11197</v>
      </c>
      <c r="AT19" t="n">
        <v>11228</v>
      </c>
      <c r="AU19" t="n">
        <v>10646</v>
      </c>
      <c r="AV19" t="n">
        <v>10369</v>
      </c>
      <c r="AW19" t="n">
        <v>10145</v>
      </c>
      <c r="AX19" t="n">
        <v>9879</v>
      </c>
      <c r="AY19" t="n">
        <v>9996</v>
      </c>
      <c r="AZ19" t="n">
        <v>10115</v>
      </c>
      <c r="BA19" t="n">
        <v>10341</v>
      </c>
      <c r="BB19" t="n">
        <v>10467</v>
      </c>
    </row>
    <row r="20">
      <c r="A20" s="5" t="inlineStr">
        <is>
          <t>Total comprehensive income/(loss) for the year</t>
        </is>
      </c>
      <c r="B20" s="5" t="n">
        <v>-123</v>
      </c>
      <c r="C20" s="5" t="n">
        <v>126</v>
      </c>
      <c r="D20" s="5" t="n">
        <v>226</v>
      </c>
      <c r="E20" s="5" t="n">
        <v>119</v>
      </c>
      <c r="F20" s="5" t="n">
        <v>117</v>
      </c>
      <c r="G20" s="5" t="n">
        <v>-266</v>
      </c>
      <c r="H20" s="5" t="n">
        <v>-224</v>
      </c>
      <c r="I20" s="5" t="n">
        <v>-277</v>
      </c>
      <c r="J20" s="5" t="n">
        <v>-481</v>
      </c>
      <c r="K20" s="5" t="n">
        <v>31</v>
      </c>
      <c r="L20" s="5" t="n">
        <v>-128</v>
      </c>
      <c r="AQ20" t="inlineStr">
        <is>
          <t>Total comprehensive income/(loss) for the year</t>
        </is>
      </c>
      <c r="AR20" t="n">
        <v>-128</v>
      </c>
      <c r="AS20" t="n">
        <v>31</v>
      </c>
      <c r="AT20" t="n">
        <v>-481</v>
      </c>
      <c r="AU20" t="n">
        <v>-277</v>
      </c>
      <c r="AV20" t="n">
        <v>-224</v>
      </c>
      <c r="AW20" t="n">
        <v>-266</v>
      </c>
      <c r="AX20" t="n">
        <v>117</v>
      </c>
      <c r="AY20" t="n">
        <v>119</v>
      </c>
      <c r="AZ20" t="n">
        <v>226</v>
      </c>
      <c r="BA20" t="n">
        <v>126</v>
      </c>
      <c r="BB20" t="n">
        <v>-123</v>
      </c>
    </row>
    <row r="21">
      <c r="A21" s="5" t="inlineStr">
        <is>
          <t>Closing equity</t>
        </is>
      </c>
      <c r="B21" s="5" t="n">
        <v>10344</v>
      </c>
      <c r="C21" s="5" t="n">
        <v>10467</v>
      </c>
      <c r="D21" s="5" t="n">
        <v>10341</v>
      </c>
      <c r="E21" s="5" t="n">
        <v>10115</v>
      </c>
      <c r="F21" s="5" t="n">
        <v>9996</v>
      </c>
      <c r="G21" s="5" t="n">
        <v>9879</v>
      </c>
      <c r="H21" s="5" t="n">
        <v>10145</v>
      </c>
      <c r="I21" s="5" t="n">
        <v>10369</v>
      </c>
      <c r="J21" s="5" t="n">
        <v>10747</v>
      </c>
      <c r="K21" s="5" t="n">
        <v>11228</v>
      </c>
      <c r="L21" s="5" t="n">
        <v>11197</v>
      </c>
      <c r="AQ21" t="inlineStr">
        <is>
          <t>Closing equity</t>
        </is>
      </c>
      <c r="AR21" t="n">
        <v>11197</v>
      </c>
      <c r="AS21" t="n">
        <v>11228</v>
      </c>
      <c r="AT21" t="n">
        <v>10747</v>
      </c>
      <c r="AU21" t="n">
        <v>10369</v>
      </c>
      <c r="AV21" t="n">
        <v>10145</v>
      </c>
      <c r="AW21" t="n">
        <v>9879</v>
      </c>
      <c r="AX21" t="n">
        <v>9996</v>
      </c>
      <c r="AY21" t="n">
        <v>10115</v>
      </c>
      <c r="AZ21" t="n">
        <v>10341</v>
      </c>
      <c r="BA21" t="n">
        <v>10467</v>
      </c>
      <c r="BB21" t="n">
        <v>10344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row>
    <row r="27">
      <c r="A27" s="6" t="inlineStr">
        <is>
          <t>CET1 Ratio</t>
        </is>
      </c>
      <c r="B27" s="6" t="inlineStr">
        <is>
          <t>127.55%</t>
        </is>
      </c>
      <c r="C27" s="6" t="inlineStr">
        <is>
          <t>136.95%</t>
        </is>
      </c>
      <c r="D27" s="6" t="inlineStr">
        <is>
          <t>121.95%</t>
        </is>
      </c>
      <c r="E27" s="6" t="n"/>
      <c r="F27" s="6" t="n"/>
      <c r="G27" s="6" t="n"/>
      <c r="H27" s="6" t="inlineStr">
        <is>
          <t>96.76%</t>
        </is>
      </c>
      <c r="I27" s="6" t="n"/>
      <c r="J27" s="6" t="inlineStr">
        <is>
          <t>96.63%</t>
        </is>
      </c>
      <c r="K27" s="6" t="inlineStr">
        <is>
          <t>92.23%</t>
        </is>
      </c>
      <c r="L27" s="6" t="n"/>
    </row>
    <row r="28">
      <c r="A28" s="6" t="inlineStr">
        <is>
          <t>Tier 1 Ratio</t>
        </is>
      </c>
      <c r="B28" s="6" t="inlineStr">
        <is>
          <t>127.55%</t>
        </is>
      </c>
      <c r="C28" s="6" t="inlineStr">
        <is>
          <t>136.95%</t>
        </is>
      </c>
      <c r="D28" s="6" t="inlineStr">
        <is>
          <t>121.95%</t>
        </is>
      </c>
      <c r="E28" s="6" t="n"/>
      <c r="F28" s="6" t="n"/>
      <c r="G28" s="6" t="n"/>
      <c r="H28" s="6" t="inlineStr">
        <is>
          <t>96.76%</t>
        </is>
      </c>
      <c r="I28" s="6" t="n"/>
      <c r="J28" s="6" t="inlineStr">
        <is>
          <t>96.63%</t>
        </is>
      </c>
      <c r="K28" s="6" t="inlineStr">
        <is>
          <t>92.23%</t>
        </is>
      </c>
      <c r="L28" s="6" t="n"/>
    </row>
    <row r="29">
      <c r="A29" s="6" t="inlineStr">
        <is>
          <t>Total Capital Ratio</t>
        </is>
      </c>
      <c r="B29" s="6" t="inlineStr">
        <is>
          <t>127.55%</t>
        </is>
      </c>
      <c r="C29" s="6" t="inlineStr">
        <is>
          <t>136.95%</t>
        </is>
      </c>
      <c r="D29" s="6" t="inlineStr">
        <is>
          <t>121.95%</t>
        </is>
      </c>
      <c r="E29" s="6" t="n"/>
      <c r="F29" s="6" t="n"/>
      <c r="G29" s="6" t="n"/>
      <c r="H29" s="6" t="inlineStr">
        <is>
          <t>96.76%</t>
        </is>
      </c>
      <c r="I29" s="6" t="n"/>
      <c r="J29" s="6" t="inlineStr">
        <is>
          <t>96.63%</t>
        </is>
      </c>
      <c r="K29" s="6" t="inlineStr">
        <is>
          <t>92.23%</t>
        </is>
      </c>
      <c r="L29" s="6" t="n"/>
    </row>
    <row r="31" ht="45" customHeight="1">
      <c r="A31" s="7" t="inlineStr">
        <is>
          <t>Note: HD-022 extension (2026-09): FY2015-FY2025 Balance Sheet / P&amp;L / Equity coverage in full (11 years); Pillar 3 capital ratios and RWA breakdown only for the five years with a surviving Pillar 3 document (FY2017, FY2019, FY2023, FY2024, FY2025) - see the Pillar 3 sheets' own notes for the self-skipped years. No cash-flow statement in any year (qualifying-entity exemption). No parent-group data is used in any year. FY2017's opening equity above (11,228) is FY2016's own closing balance; FY2018's opening equity (10,646) reflects a documented prior-period restatement - see the Statement of Changes in Equity sheet's own RESTATEMENT_NOTE.</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Financial Position</t>
        </is>
      </c>
    </row>
    <row r="2">
      <c r="A2" s="2" t="inlineStr">
        <is>
          <t>Entity-level (solo, no subsidiaries), £'000. FY2022 figures are "as restated" per Note 25 of the FY2023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in hand</t>
        </is>
      </c>
      <c r="B5" s="6" t="n">
        <v>58</v>
      </c>
      <c r="C5" s="6" t="n">
        <v>136</v>
      </c>
      <c r="D5" s="6" t="n">
        <v>77</v>
      </c>
      <c r="E5" s="6" t="n">
        <v>86</v>
      </c>
      <c r="F5" s="6" t="n">
        <v>67</v>
      </c>
      <c r="G5" s="6" t="n">
        <v>83</v>
      </c>
      <c r="H5" s="6" t="n">
        <v>98</v>
      </c>
      <c r="I5" s="6" t="n">
        <v>70</v>
      </c>
      <c r="J5" s="6" t="n">
        <v>62</v>
      </c>
      <c r="K5" s="6" t="n">
        <v>152</v>
      </c>
      <c r="L5" s="6" t="n">
        <v>119</v>
      </c>
    </row>
    <row r="6">
      <c r="A6" s="6" t="inlineStr">
        <is>
          <t>Treasury bills (captioned "Investments" - UK Treasury Gilts - in the FY2015 accounts)</t>
        </is>
      </c>
      <c r="B6" s="6" t="n">
        <v>1294</v>
      </c>
      <c r="C6" s="6" t="n">
        <v>2263</v>
      </c>
      <c r="D6" s="6" t="n">
        <v>2270</v>
      </c>
      <c r="E6" s="6" t="n">
        <v>2285</v>
      </c>
      <c r="F6" s="6" t="n">
        <v>2312</v>
      </c>
      <c r="G6" s="6" t="n">
        <v>1132</v>
      </c>
      <c r="H6" s="6" t="n">
        <v>1109</v>
      </c>
      <c r="I6" s="6" t="n">
        <v>1106</v>
      </c>
      <c r="J6" s="6" t="n">
        <v>1107</v>
      </c>
      <c r="K6" s="6" t="n">
        <v>1106</v>
      </c>
      <c r="L6" s="6" t="n">
        <v>1141</v>
      </c>
    </row>
    <row r="7">
      <c r="A7" s="6" t="inlineStr">
        <is>
          <t>Loans and advances to banks</t>
        </is>
      </c>
      <c r="B7" s="6" t="n">
        <v>12073</v>
      </c>
      <c r="C7" s="6" t="n">
        <v>12073</v>
      </c>
      <c r="D7" s="6" t="n">
        <v>13113</v>
      </c>
      <c r="E7" s="6" t="n">
        <v>12778</v>
      </c>
      <c r="F7" s="6" t="n">
        <v>12370</v>
      </c>
      <c r="G7" s="6" t="n">
        <v>15056</v>
      </c>
      <c r="H7" s="6" t="n">
        <v>15875</v>
      </c>
      <c r="I7" s="6" t="n">
        <v>15817</v>
      </c>
      <c r="J7" s="6" t="n">
        <v>16510</v>
      </c>
      <c r="K7" s="6" t="n">
        <v>19121</v>
      </c>
      <c r="L7" s="6" t="n">
        <v>18382</v>
      </c>
    </row>
    <row r="8">
      <c r="A8" s="6" t="inlineStr">
        <is>
          <t>Loans and advances to customers</t>
        </is>
      </c>
      <c r="B8" s="6" t="n">
        <v>5</v>
      </c>
      <c r="C8" s="6" t="n">
        <v>10</v>
      </c>
      <c r="D8" s="6" t="n">
        <v>8</v>
      </c>
      <c r="E8" s="6" t="n">
        <v>14</v>
      </c>
      <c r="F8" s="6" t="n">
        <v>15</v>
      </c>
      <c r="G8" s="6" t="n">
        <v>21</v>
      </c>
      <c r="H8" s="6" t="n">
        <v>21</v>
      </c>
      <c r="I8" s="6" t="n">
        <v>19</v>
      </c>
      <c r="J8" s="6" t="n">
        <v>22</v>
      </c>
      <c r="K8" s="6" t="n">
        <v>20</v>
      </c>
      <c r="L8" s="6" t="n">
        <v>29</v>
      </c>
    </row>
    <row r="9">
      <c r="A9" s="6" t="inlineStr">
        <is>
          <t>Tangible fixed assets</t>
        </is>
      </c>
      <c r="B9" s="6" t="n">
        <v>364</v>
      </c>
      <c r="C9" s="6" t="n">
        <v>412</v>
      </c>
      <c r="D9" s="6" t="n">
        <v>408</v>
      </c>
      <c r="E9" s="6" t="n">
        <v>448</v>
      </c>
      <c r="F9" s="6" t="n">
        <v>465</v>
      </c>
      <c r="G9" s="6" t="n">
        <v>512</v>
      </c>
      <c r="H9" s="6" t="n">
        <v>573</v>
      </c>
      <c r="I9" s="6" t="n">
        <v>598</v>
      </c>
      <c r="J9" s="6" t="n">
        <v>641</v>
      </c>
      <c r="K9" s="6" t="n">
        <v>770</v>
      </c>
      <c r="L9" s="6" t="n">
        <v>146</v>
      </c>
    </row>
    <row r="10">
      <c r="A10" s="6" t="inlineStr">
        <is>
          <t>Pension asset (disclosed nil in FY2016/2018/2019; not a separate line in other years)</t>
        </is>
      </c>
      <c r="B10" s="6" t="n"/>
      <c r="C10" s="6" t="n"/>
      <c r="D10" s="6" t="n"/>
      <c r="E10" s="6" t="n"/>
      <c r="F10" s="6" t="n"/>
      <c r="G10" s="6" t="n"/>
      <c r="H10" s="6" t="n">
        <v>0</v>
      </c>
      <c r="I10" s="6" t="n">
        <v>0</v>
      </c>
      <c r="J10" s="6" t="n">
        <v>1</v>
      </c>
      <c r="K10" s="6" t="n">
        <v>0</v>
      </c>
      <c r="L10" s="6" t="n"/>
    </row>
    <row r="11">
      <c r="A11" s="6" t="inlineStr">
        <is>
          <t>Other assets</t>
        </is>
      </c>
      <c r="B11" s="6" t="n">
        <v>37</v>
      </c>
      <c r="C11" s="6" t="n">
        <v>33</v>
      </c>
      <c r="D11" s="6" t="n">
        <v>29</v>
      </c>
      <c r="E11" s="6" t="n">
        <v>28</v>
      </c>
      <c r="F11" s="6" t="n">
        <v>87</v>
      </c>
      <c r="G11" s="6" t="n">
        <v>99</v>
      </c>
      <c r="H11" s="6" t="n">
        <v>141</v>
      </c>
      <c r="I11" s="6" t="n">
        <v>153</v>
      </c>
      <c r="J11" s="6" t="n">
        <v>449</v>
      </c>
      <c r="K11" s="6" t="n">
        <v>471</v>
      </c>
      <c r="L11" s="6" t="n">
        <v>445</v>
      </c>
    </row>
    <row r="12">
      <c r="A12" s="6" t="inlineStr">
        <is>
          <t>Prepayments</t>
        </is>
      </c>
      <c r="B12" s="6" t="n">
        <v>142</v>
      </c>
      <c r="C12" s="6" t="n">
        <v>35</v>
      </c>
      <c r="D12" s="6" t="n">
        <v>218</v>
      </c>
      <c r="E12" s="6" t="n"/>
      <c r="F12" s="6" t="n"/>
      <c r="G12" s="6" t="n"/>
      <c r="H12" s="6" t="n"/>
      <c r="I12" s="6" t="n"/>
      <c r="J12" s="6" t="n"/>
      <c r="K12" s="6" t="n"/>
      <c r="L12" s="6" t="n"/>
    </row>
    <row r="13">
      <c r="A13" s="5" t="inlineStr">
        <is>
          <t>Total assets</t>
        </is>
      </c>
      <c r="B13" s="5" t="n">
        <v>13973</v>
      </c>
      <c r="C13" s="5" t="n">
        <v>14962</v>
      </c>
      <c r="D13" s="5" t="n">
        <v>16123</v>
      </c>
      <c r="E13" s="5" t="n">
        <v>15725</v>
      </c>
      <c r="F13" s="5" t="n">
        <v>15316</v>
      </c>
      <c r="G13" s="5" t="n">
        <v>16903</v>
      </c>
      <c r="H13" s="5" t="n">
        <v>17817</v>
      </c>
      <c r="I13" s="5" t="n">
        <v>17763</v>
      </c>
      <c r="J13" s="5" t="n">
        <v>18792</v>
      </c>
      <c r="K13" s="5" t="n">
        <v>21640</v>
      </c>
      <c r="L13" s="5" t="n">
        <v>20262</v>
      </c>
    </row>
    <row r="14">
      <c r="A14" s="5" t="inlineStr">
        <is>
          <t>Liabilities</t>
        </is>
      </c>
      <c r="B14" s="6" t="n"/>
      <c r="C14" s="6" t="n"/>
      <c r="D14" s="6" t="n"/>
      <c r="E14" s="6" t="n"/>
      <c r="F14" s="6" t="n"/>
      <c r="G14" s="6" t="n"/>
      <c r="H14" s="6" t="n"/>
      <c r="I14" s="6" t="n"/>
      <c r="J14" s="6" t="n"/>
      <c r="K14" s="6" t="n"/>
      <c r="L14" s="6" t="n"/>
    </row>
    <row r="15">
      <c r="A15" s="6" t="inlineStr">
        <is>
          <t>Customer accounts</t>
        </is>
      </c>
      <c r="B15" s="6" t="n">
        <v>397</v>
      </c>
      <c r="C15" s="6" t="n">
        <v>411</v>
      </c>
      <c r="D15" s="6" t="n">
        <v>426</v>
      </c>
      <c r="E15" s="6" t="n">
        <v>438</v>
      </c>
      <c r="F15" s="6" t="n">
        <v>442</v>
      </c>
      <c r="G15" s="6" t="n"/>
      <c r="H15" s="6" t="n"/>
      <c r="I15" s="6" t="n"/>
      <c r="J15" s="6" t="n"/>
      <c r="K15" s="6" t="n"/>
      <c r="L15" s="6" t="n"/>
    </row>
    <row r="16">
      <c r="A16" s="6" t="inlineStr">
        <is>
          <t>Other liabilities</t>
        </is>
      </c>
      <c r="B16" s="6" t="n">
        <v>3002</v>
      </c>
      <c r="C16" s="6" t="n">
        <v>3849</v>
      </c>
      <c r="D16" s="6" t="n">
        <v>5112</v>
      </c>
      <c r="E16" s="6" t="n">
        <v>4937</v>
      </c>
      <c r="F16" s="6" t="n">
        <v>4726</v>
      </c>
      <c r="G16" s="6" t="n">
        <v>6423</v>
      </c>
      <c r="H16" s="6" t="n">
        <v>7497</v>
      </c>
      <c r="I16" s="6" t="n">
        <v>7232</v>
      </c>
      <c r="J16" s="6" t="n">
        <v>7831</v>
      </c>
      <c r="K16" s="6" t="n">
        <v>10039</v>
      </c>
      <c r="L16" s="6" t="n">
        <v>8670</v>
      </c>
    </row>
    <row r="17">
      <c r="A17" s="6" t="inlineStr">
        <is>
          <t>Accruals and deferred income</t>
        </is>
      </c>
      <c r="B17" s="6" t="n">
        <v>162</v>
      </c>
      <c r="C17" s="6" t="n">
        <v>170</v>
      </c>
      <c r="D17" s="6" t="n">
        <v>183</v>
      </c>
      <c r="E17" s="6" t="n">
        <v>177</v>
      </c>
      <c r="F17" s="6" t="n">
        <v>152</v>
      </c>
      <c r="G17" s="6" t="n">
        <v>141</v>
      </c>
      <c r="H17" s="6" t="n">
        <v>175</v>
      </c>
      <c r="I17" s="6" t="n">
        <v>162</v>
      </c>
      <c r="J17" s="6" t="n">
        <v>214</v>
      </c>
      <c r="K17" s="6" t="n">
        <v>175</v>
      </c>
      <c r="L17" s="6" t="n">
        <v>143</v>
      </c>
    </row>
    <row r="18">
      <c r="A18" s="6" t="inlineStr">
        <is>
          <t>Dilapidation provision</t>
        </is>
      </c>
      <c r="B18" s="6" t="n">
        <v>68</v>
      </c>
      <c r="C18" s="6" t="n">
        <v>65</v>
      </c>
      <c r="D18" s="6" t="n">
        <v>61</v>
      </c>
      <c r="E18" s="6" t="n">
        <v>58</v>
      </c>
      <c r="F18" s="6" t="n"/>
      <c r="G18" s="6" t="n"/>
      <c r="H18" s="6" t="n"/>
      <c r="I18" s="6" t="n"/>
      <c r="J18" s="6" t="n"/>
      <c r="K18" s="6" t="n"/>
      <c r="L18" s="6" t="n"/>
    </row>
    <row r="19">
      <c r="A19" s="6" t="inlineStr">
        <is>
          <t>Pension liability (disclosed nil in FY2017)</t>
        </is>
      </c>
      <c r="B19" s="6" t="n"/>
      <c r="C19" s="6" t="n"/>
      <c r="D19" s="6" t="n"/>
      <c r="E19" s="6" t="n"/>
      <c r="F19" s="6" t="n"/>
      <c r="G19" s="6" t="n"/>
      <c r="H19" s="6" t="n"/>
      <c r="I19" s="6" t="n"/>
      <c r="J19" s="6" t="n">
        <v>0</v>
      </c>
      <c r="K19" s="6" t="n">
        <v>198</v>
      </c>
      <c r="L19" s="6" t="n">
        <v>252</v>
      </c>
    </row>
    <row r="20">
      <c r="A20" s="5" t="inlineStr">
        <is>
          <t>Total liabilities</t>
        </is>
      </c>
      <c r="B20" s="5" t="n">
        <v>3629</v>
      </c>
      <c r="C20" s="5" t="n">
        <v>4495</v>
      </c>
      <c r="D20" s="5" t="n">
        <v>5782</v>
      </c>
      <c r="E20" s="5" t="n">
        <v>5610</v>
      </c>
      <c r="F20" s="5" t="n">
        <v>5320</v>
      </c>
      <c r="G20" s="5" t="n">
        <v>7024</v>
      </c>
      <c r="H20" s="5" t="n">
        <v>7672</v>
      </c>
      <c r="I20" s="5" t="n">
        <v>7394</v>
      </c>
      <c r="J20" s="5" t="n">
        <v>8045</v>
      </c>
      <c r="K20" s="5" t="n">
        <v>10412</v>
      </c>
      <c r="L20" s="5" t="n">
        <v>9065</v>
      </c>
    </row>
    <row r="21">
      <c r="A21" s="5" t="inlineStr">
        <is>
          <t>Equity</t>
        </is>
      </c>
      <c r="B21" s="6" t="n"/>
      <c r="C21" s="6" t="n"/>
      <c r="D21" s="6" t="n"/>
      <c r="E21" s="6" t="n"/>
      <c r="F21" s="6" t="n"/>
      <c r="G21" s="6" t="n"/>
      <c r="H21" s="6" t="n"/>
      <c r="I21" s="6" t="n"/>
      <c r="J21" s="6" t="n"/>
      <c r="K21" s="6" t="n"/>
      <c r="L21" s="6" t="n"/>
    </row>
    <row r="22">
      <c r="A22" s="6" t="inlineStr">
        <is>
          <t>Called up share capital</t>
        </is>
      </c>
      <c r="B22" s="6" t="n">
        <v>10914</v>
      </c>
      <c r="C22" s="6" t="n">
        <v>10914</v>
      </c>
      <c r="D22" s="6" t="n">
        <v>10914</v>
      </c>
      <c r="E22" s="6" t="n">
        <v>10914</v>
      </c>
      <c r="F22" s="6" t="n">
        <v>10914</v>
      </c>
      <c r="G22" s="6" t="n">
        <v>10914</v>
      </c>
      <c r="H22" s="6" t="n">
        <v>10914</v>
      </c>
      <c r="I22" s="6" t="n">
        <v>10914</v>
      </c>
      <c r="J22" s="6" t="n">
        <v>10914</v>
      </c>
      <c r="K22" s="6" t="n">
        <v>10914</v>
      </c>
      <c r="L22" s="6" t="n">
        <v>10914</v>
      </c>
    </row>
    <row r="23">
      <c r="A23" s="6" t="inlineStr">
        <is>
          <t>Merger reserve</t>
        </is>
      </c>
      <c r="B23" s="6" t="n">
        <v>6768</v>
      </c>
      <c r="C23" s="6" t="n">
        <v>6768</v>
      </c>
      <c r="D23" s="6" t="n">
        <v>6768</v>
      </c>
      <c r="E23" s="6" t="n">
        <v>6768</v>
      </c>
      <c r="F23" s="6" t="n">
        <v>6768</v>
      </c>
      <c r="G23" s="6" t="n">
        <v>6768</v>
      </c>
      <c r="H23" s="6" t="n">
        <v>6768</v>
      </c>
      <c r="I23" s="6" t="n">
        <v>6768</v>
      </c>
      <c r="J23" s="6" t="n">
        <v>6768</v>
      </c>
      <c r="K23" s="6" t="n">
        <v>6768</v>
      </c>
      <c r="L23" s="6" t="n">
        <v>6768</v>
      </c>
    </row>
    <row r="24">
      <c r="A24" s="6" t="inlineStr">
        <is>
          <t>Foreign exchange reserve (fully reclassified into accumulated losses during FY2018; not a separate line from FY2018 on)</t>
        </is>
      </c>
      <c r="B24" s="6" t="n"/>
      <c r="C24" s="6" t="n"/>
      <c r="D24" s="6" t="n"/>
      <c r="E24" s="6" t="n"/>
      <c r="F24" s="6" t="n"/>
      <c r="G24" s="6" t="n"/>
      <c r="H24" s="6" t="n"/>
      <c r="I24" s="6" t="n"/>
      <c r="J24" s="6" t="n">
        <v>16</v>
      </c>
      <c r="K24" s="6" t="n">
        <v>12</v>
      </c>
      <c r="L24" s="6" t="n">
        <v>11</v>
      </c>
    </row>
    <row r="25">
      <c r="A25" s="6" t="inlineStr">
        <is>
          <t>Accumulated losses</t>
        </is>
      </c>
      <c r="B25" s="6" t="n">
        <v>-7338</v>
      </c>
      <c r="C25" s="6" t="n">
        <v>-7215</v>
      </c>
      <c r="D25" s="6" t="n">
        <v>-7341</v>
      </c>
      <c r="E25" s="6" t="n">
        <v>-7567</v>
      </c>
      <c r="F25" s="6" t="n">
        <v>-7686</v>
      </c>
      <c r="G25" s="6" t="n">
        <v>-7803</v>
      </c>
      <c r="H25" s="6" t="n">
        <v>-7537</v>
      </c>
      <c r="I25" s="6" t="n">
        <v>-7313</v>
      </c>
      <c r="J25" s="6" t="n">
        <v>-6951</v>
      </c>
      <c r="K25" s="6" t="n">
        <v>-6466</v>
      </c>
      <c r="L25" s="6" t="n">
        <v>-6496</v>
      </c>
    </row>
    <row r="26">
      <c r="A26" s="5" t="inlineStr">
        <is>
          <t>Total equity</t>
        </is>
      </c>
      <c r="B26" s="5" t="n">
        <v>10344</v>
      </c>
      <c r="C26" s="5" t="n">
        <v>10467</v>
      </c>
      <c r="D26" s="5" t="n">
        <v>10341</v>
      </c>
      <c r="E26" s="5" t="n">
        <v>10115</v>
      </c>
      <c r="F26" s="5" t="n">
        <v>9996</v>
      </c>
      <c r="G26" s="5" t="n">
        <v>9879</v>
      </c>
      <c r="H26" s="5" t="n">
        <v>10145</v>
      </c>
      <c r="I26" s="5" t="n">
        <v>10369</v>
      </c>
      <c r="J26" s="5" t="n">
        <v>10747</v>
      </c>
      <c r="K26" s="5" t="n">
        <v>11228</v>
      </c>
      <c r="L26" s="5" t="n">
        <v>11197</v>
      </c>
    </row>
    <row r="27">
      <c r="A27" s="5" t="inlineStr">
        <is>
          <t>Total liabilities and equity</t>
        </is>
      </c>
      <c r="B27" s="5" t="n">
        <v>13973</v>
      </c>
      <c r="C27" s="5" t="n">
        <v>14962</v>
      </c>
      <c r="D27" s="5" t="n">
        <v>16123</v>
      </c>
      <c r="E27" s="5" t="n">
        <v>15725</v>
      </c>
      <c r="F27" s="5" t="n">
        <v>15316</v>
      </c>
      <c r="G27" s="5" t="n">
        <v>16903</v>
      </c>
      <c r="H27" s="5" t="n">
        <v>17817</v>
      </c>
      <c r="I27" s="5" t="n">
        <v>17763</v>
      </c>
      <c r="J27" s="5" t="n">
        <v>18792</v>
      </c>
      <c r="K27" s="5" t="n">
        <v>21640</v>
      </c>
      <c r="L27" s="5" t="n">
        <v>20262</v>
      </c>
    </row>
    <row r="29" ht="340" customHeight="1">
      <c r="A29"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9:L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Comprehensive Income</t>
        </is>
      </c>
    </row>
    <row r="2">
      <c r="A2" s="2" t="inlineStr">
        <is>
          <t>Entity-level (solo, no subsidiaries), £'000. Taxation is £nil in every year shown (as "-" in each source), not a blank/undisclosed cell. FY2016-FY2017 use each source document's "Total" column (continuing + discontinued operations combined).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Continuing operations</t>
        </is>
      </c>
      <c r="B4" s="6" t="n"/>
      <c r="C4" s="6" t="n"/>
      <c r="D4" s="6" t="n"/>
      <c r="E4" s="6" t="n"/>
      <c r="F4" s="6" t="n"/>
      <c r="G4" s="6" t="n"/>
      <c r="H4" s="6" t="n"/>
      <c r="I4" s="6" t="n"/>
      <c r="J4" s="6" t="n"/>
      <c r="K4" s="6" t="n"/>
      <c r="L4" s="6" t="n"/>
    </row>
    <row r="5">
      <c r="A5" s="6" t="inlineStr">
        <is>
          <t>Interest receivable and similar income arising from debt securities</t>
        </is>
      </c>
      <c r="B5" s="6" t="n">
        <v>281</v>
      </c>
      <c r="C5" s="6" t="n">
        <v>329</v>
      </c>
      <c r="D5" s="6" t="n">
        <v>249</v>
      </c>
      <c r="E5" s="6" t="n">
        <v>77</v>
      </c>
      <c r="F5" s="6" t="n">
        <v>14</v>
      </c>
      <c r="G5" s="6" t="n">
        <v>49</v>
      </c>
      <c r="H5" s="6" t="n">
        <v>79</v>
      </c>
      <c r="I5" s="6" t="n">
        <v>59</v>
      </c>
      <c r="J5" s="6" t="n">
        <v>35</v>
      </c>
      <c r="K5" s="6" t="n">
        <v>57</v>
      </c>
      <c r="L5" s="6" t="n">
        <v>73</v>
      </c>
    </row>
    <row r="6">
      <c r="A6" s="6" t="inlineStr">
        <is>
          <t>Other interest receivable and similar income</t>
        </is>
      </c>
      <c r="B6" s="6" t="n"/>
      <c r="C6" s="6" t="n"/>
      <c r="D6" s="6" t="n"/>
      <c r="E6" s="6" t="n"/>
      <c r="F6" s="6" t="n"/>
      <c r="G6" s="6" t="n"/>
      <c r="H6" s="6" t="n"/>
      <c r="I6" s="6" t="n"/>
      <c r="J6" s="6" t="n"/>
      <c r="K6" s="6" t="n"/>
      <c r="L6" s="6" t="n">
        <v>1</v>
      </c>
    </row>
    <row r="7">
      <c r="A7" s="6" t="inlineStr">
        <is>
          <t>Interest payable</t>
        </is>
      </c>
      <c r="B7" s="6" t="n"/>
      <c r="C7" s="6" t="n"/>
      <c r="D7" s="6" t="n"/>
      <c r="E7" s="6" t="n"/>
      <c r="F7" s="6" t="n"/>
      <c r="G7" s="6" t="n"/>
      <c r="H7" s="6" t="n"/>
      <c r="I7" s="6" t="n">
        <v>-2</v>
      </c>
      <c r="J7" s="6" t="n">
        <v>-11</v>
      </c>
      <c r="K7" s="6" t="n">
        <v>-5</v>
      </c>
      <c r="L7" s="6" t="n"/>
    </row>
    <row r="8">
      <c r="A8" s="5" t="inlineStr">
        <is>
          <t>Net interest income</t>
        </is>
      </c>
      <c r="B8" s="5" t="n">
        <v>281</v>
      </c>
      <c r="C8" s="5" t="n">
        <v>329</v>
      </c>
      <c r="D8" s="5" t="n">
        <v>249</v>
      </c>
      <c r="E8" s="5" t="n">
        <v>77</v>
      </c>
      <c r="F8" s="5" t="n">
        <v>14</v>
      </c>
      <c r="G8" s="5" t="n">
        <v>49</v>
      </c>
      <c r="H8" s="5" t="n">
        <v>79</v>
      </c>
      <c r="I8" s="5" t="n">
        <v>57</v>
      </c>
      <c r="J8" s="5" t="n">
        <v>24</v>
      </c>
      <c r="K8" s="5" t="n">
        <v>52</v>
      </c>
      <c r="L8" s="5" t="n">
        <v>74</v>
      </c>
    </row>
    <row r="9">
      <c r="A9" s="6" t="inlineStr">
        <is>
          <t>Fees and commission income</t>
        </is>
      </c>
      <c r="B9" s="6" t="n">
        <v>915</v>
      </c>
      <c r="C9" s="6" t="n">
        <v>913</v>
      </c>
      <c r="D9" s="6" t="n">
        <v>919</v>
      </c>
      <c r="E9" s="6" t="n">
        <v>964</v>
      </c>
      <c r="F9" s="6" t="n">
        <v>1011</v>
      </c>
      <c r="G9" s="6" t="n">
        <v>1039</v>
      </c>
      <c r="H9" s="6" t="n">
        <v>1282</v>
      </c>
      <c r="I9" s="6" t="n">
        <v>1317</v>
      </c>
      <c r="J9" s="6" t="n">
        <v>1440</v>
      </c>
      <c r="K9" s="6" t="n">
        <v>1467</v>
      </c>
      <c r="L9" s="6" t="n">
        <v>1693</v>
      </c>
    </row>
    <row r="10">
      <c r="A10" s="6" t="inlineStr">
        <is>
          <t>Dealing profits</t>
        </is>
      </c>
      <c r="B10" s="6" t="n">
        <v>450</v>
      </c>
      <c r="C10" s="6" t="n">
        <v>460</v>
      </c>
      <c r="D10" s="6" t="n">
        <v>513</v>
      </c>
      <c r="E10" s="6" t="n">
        <v>518</v>
      </c>
      <c r="F10" s="6" t="n">
        <v>489</v>
      </c>
      <c r="G10" s="6" t="n">
        <v>421</v>
      </c>
      <c r="H10" s="6" t="n">
        <v>424</v>
      </c>
      <c r="I10" s="6" t="n">
        <v>310</v>
      </c>
      <c r="J10" s="6" t="n">
        <v>256</v>
      </c>
      <c r="K10" s="6" t="n">
        <v>754</v>
      </c>
      <c r="L10" s="6" t="n">
        <v>415</v>
      </c>
    </row>
    <row r="11">
      <c r="A11" s="6" t="inlineStr">
        <is>
          <t>Other operating income</t>
        </is>
      </c>
      <c r="B11" s="6" t="n">
        <v>19</v>
      </c>
      <c r="C11" s="6" t="n">
        <v>30</v>
      </c>
      <c r="D11" s="6" t="n">
        <v>27</v>
      </c>
      <c r="E11" s="6" t="n">
        <v>23</v>
      </c>
      <c r="F11" s="6" t="n">
        <v>68</v>
      </c>
      <c r="G11" s="6" t="n">
        <v>75</v>
      </c>
      <c r="H11" s="6" t="n">
        <v>104</v>
      </c>
      <c r="I11" s="6" t="n">
        <v>94</v>
      </c>
      <c r="J11" s="6" t="n">
        <v>31</v>
      </c>
      <c r="K11" s="6" t="n">
        <v>24</v>
      </c>
      <c r="L11" s="6" t="n">
        <v>40</v>
      </c>
    </row>
    <row r="12">
      <c r="A12" s="6" t="inlineStr">
        <is>
          <t>(Losses)/gains from foreign exchange transactions</t>
        </is>
      </c>
      <c r="B12" s="6" t="n">
        <v>-18</v>
      </c>
      <c r="C12" s="6" t="n">
        <v>-10</v>
      </c>
      <c r="D12" s="6" t="n">
        <v>-1</v>
      </c>
      <c r="E12" s="6" t="n">
        <v>-18</v>
      </c>
      <c r="F12" s="6" t="n">
        <v>-15</v>
      </c>
      <c r="G12" s="6" t="n">
        <v>10</v>
      </c>
      <c r="H12" s="6" t="n">
        <v>-23</v>
      </c>
      <c r="I12" s="6" t="n"/>
      <c r="J12" s="6" t="n"/>
      <c r="K12" s="6" t="n"/>
      <c r="L12" s="6" t="n"/>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row>
    <row r="14">
      <c r="A14" s="6" t="inlineStr">
        <is>
          <t>Administrative expenses</t>
        </is>
      </c>
      <c r="B14" s="6" t="n">
        <v>-2091</v>
      </c>
      <c r="C14" s="6" t="n">
        <v>-1665</v>
      </c>
      <c r="D14" s="6" t="n">
        <v>-1441</v>
      </c>
      <c r="E14" s="6" t="n">
        <v>-1373</v>
      </c>
      <c r="F14" s="6" t="n">
        <v>-1406</v>
      </c>
      <c r="G14" s="6" t="n">
        <v>-1456</v>
      </c>
      <c r="H14" s="6" t="n">
        <v>-1602</v>
      </c>
      <c r="I14" s="6" t="n">
        <v>-1589</v>
      </c>
      <c r="J14" s="6" t="n">
        <v>-2042</v>
      </c>
      <c r="K14" s="6" t="n">
        <v>-1978</v>
      </c>
      <c r="L14" s="6" t="n">
        <v>-2314</v>
      </c>
    </row>
    <row r="15">
      <c r="A15" s="6" t="inlineStr">
        <is>
          <t>Depreciation and amortisation</t>
        </is>
      </c>
      <c r="B15" s="6" t="n">
        <v>-48</v>
      </c>
      <c r="C15" s="6" t="n">
        <v>-46</v>
      </c>
      <c r="D15" s="6" t="n">
        <v>-40</v>
      </c>
      <c r="E15" s="6" t="n">
        <v>-45</v>
      </c>
      <c r="F15" s="6" t="n">
        <v>-44</v>
      </c>
      <c r="G15" s="6" t="n">
        <v>-61</v>
      </c>
      <c r="H15" s="6" t="n">
        <v>-63</v>
      </c>
      <c r="I15" s="6" t="n">
        <v>-61</v>
      </c>
      <c r="J15" s="6" t="n">
        <v>-136</v>
      </c>
      <c r="K15" s="6" t="n">
        <v>-86</v>
      </c>
      <c r="L15" s="6" t="n">
        <v>-55</v>
      </c>
    </row>
    <row r="16">
      <c r="A16" s="5" t="inlineStr">
        <is>
          <t>Operating (loss)/profit before provisions (FY2015-FY2017 only; no provisions line shown from FY2018 on)</t>
        </is>
      </c>
      <c r="B16" s="5" t="n"/>
      <c r="C16" s="5" t="n"/>
      <c r="D16" s="5" t="n"/>
      <c r="E16" s="5" t="n"/>
      <c r="F16" s="5" t="n"/>
      <c r="G16" s="5" t="n"/>
      <c r="H16" s="5" t="n"/>
      <c r="I16" s="5" t="n"/>
      <c r="J16" s="5" t="n">
        <v>-427</v>
      </c>
      <c r="K16" s="5" t="n">
        <v>233</v>
      </c>
      <c r="L16" s="5" t="n">
        <v>-147</v>
      </c>
    </row>
    <row r="17">
      <c r="A17" s="6" t="inlineStr">
        <is>
          <t>Provisions for bad and doubtful debts (recovery)/charge</t>
        </is>
      </c>
      <c r="B17" s="6" t="n"/>
      <c r="C17" s="6" t="n"/>
      <c r="D17" s="6" t="n"/>
      <c r="E17" s="6" t="n"/>
      <c r="F17" s="6" t="n"/>
      <c r="G17" s="6" t="n"/>
      <c r="H17" s="6" t="n"/>
      <c r="I17" s="6" t="n"/>
      <c r="J17" s="6" t="n">
        <v>-15</v>
      </c>
      <c r="K17" s="6" t="n">
        <v>-15</v>
      </c>
      <c r="L17" s="6" t="n">
        <v>10</v>
      </c>
    </row>
    <row r="18">
      <c r="A18" s="5" t="inlineStr">
        <is>
          <t>(Loss)/profit on ordinary activities before tax</t>
        </is>
      </c>
      <c r="B18" s="5" t="n">
        <v>-492</v>
      </c>
      <c r="C18" s="5" t="n">
        <v>11</v>
      </c>
      <c r="D18" s="5" t="n">
        <v>226</v>
      </c>
      <c r="E18" s="5" t="n">
        <v>146</v>
      </c>
      <c r="F18" s="5" t="n">
        <v>117</v>
      </c>
      <c r="G18" s="5" t="n">
        <v>77</v>
      </c>
      <c r="H18" s="5" t="n">
        <v>201</v>
      </c>
      <c r="I18" s="5" t="n">
        <v>140</v>
      </c>
      <c r="J18" s="5" t="n">
        <v>-442</v>
      </c>
      <c r="K18" s="5" t="n">
        <v>218</v>
      </c>
      <c r="L18" s="5" t="n">
        <v>-137</v>
      </c>
    </row>
    <row r="19">
      <c r="A19" s="6" t="inlineStr">
        <is>
          <t>Taxation</t>
        </is>
      </c>
      <c r="B19" s="6" t="n">
        <v>0</v>
      </c>
      <c r="C19" s="6" t="n">
        <v>0</v>
      </c>
      <c r="D19" s="6" t="n">
        <v>0</v>
      </c>
      <c r="E19" s="6" t="n">
        <v>0</v>
      </c>
      <c r="F19" s="6" t="n">
        <v>0</v>
      </c>
      <c r="G19" s="6" t="n">
        <v>0</v>
      </c>
      <c r="H19" s="6" t="n">
        <v>0</v>
      </c>
      <c r="I19" s="6" t="n">
        <v>0</v>
      </c>
      <c r="J19" s="6" t="n">
        <v>0</v>
      </c>
      <c r="K19" s="6" t="n">
        <v>0</v>
      </c>
      <c r="L19" s="6" t="n">
        <v>0</v>
      </c>
    </row>
    <row r="20">
      <c r="A20" s="5" t="inlineStr">
        <is>
          <t>(Loss)/profit for the year</t>
        </is>
      </c>
      <c r="B20" s="5" t="n">
        <v>-492</v>
      </c>
      <c r="C20" s="5" t="n">
        <v>11</v>
      </c>
      <c r="D20" s="5" t="n">
        <v>226</v>
      </c>
      <c r="E20" s="5" t="n">
        <v>146</v>
      </c>
      <c r="F20" s="5" t="n">
        <v>117</v>
      </c>
      <c r="G20" s="5" t="n">
        <v>77</v>
      </c>
      <c r="H20" s="5" t="n">
        <v>201</v>
      </c>
      <c r="I20" s="5" t="n">
        <v>140</v>
      </c>
      <c r="J20" s="5" t="n">
        <v>-442</v>
      </c>
      <c r="K20" s="5" t="n">
        <v>218</v>
      </c>
      <c r="L20" s="5" t="n">
        <v>-137</v>
      </c>
    </row>
    <row r="21">
      <c r="A21" s="5" t="inlineStr">
        <is>
          <t>Other comprehensive income</t>
        </is>
      </c>
      <c r="B21" s="6" t="n"/>
      <c r="C21" s="6" t="n"/>
      <c r="D21" s="6" t="n"/>
      <c r="E21" s="6" t="n"/>
      <c r="F21" s="6" t="n"/>
      <c r="G21" s="6" t="n"/>
      <c r="H21" s="6" t="n"/>
      <c r="I21" s="6" t="n"/>
      <c r="J21" s="6" t="n"/>
      <c r="K21" s="6" t="n"/>
      <c r="L21" s="6" t="n"/>
    </row>
    <row r="22">
      <c r="A22" s="6" t="inlineStr">
        <is>
          <t>Foreign exchange reserve movement</t>
        </is>
      </c>
      <c r="B22" s="6" t="n"/>
      <c r="C22" s="6" t="n"/>
      <c r="D22" s="6" t="n"/>
      <c r="E22" s="6" t="n"/>
      <c r="F22" s="6" t="n"/>
      <c r="G22" s="6" t="n"/>
      <c r="H22" s="6" t="n"/>
      <c r="I22" s="6" t="n"/>
      <c r="J22" s="6" t="n">
        <v>4</v>
      </c>
      <c r="K22" s="6" t="n">
        <v>1</v>
      </c>
      <c r="L22" s="6" t="n">
        <v>3</v>
      </c>
    </row>
    <row r="23">
      <c r="A23" s="6" t="inlineStr">
        <is>
          <t>Pension plan actuarial gain/(loss) recognised</t>
        </is>
      </c>
      <c r="B23" s="6" t="n">
        <v>369</v>
      </c>
      <c r="C23" s="6" t="n">
        <v>115</v>
      </c>
      <c r="D23" s="6" t="n"/>
      <c r="E23" s="6" t="n"/>
      <c r="F23" s="6" t="n"/>
      <c r="G23" s="6" t="n">
        <v>-343</v>
      </c>
      <c r="H23" s="6" t="n"/>
      <c r="I23" s="6" t="n"/>
      <c r="J23" s="6" t="n"/>
      <c r="K23" s="6" t="n"/>
      <c r="L23" s="6" t="n"/>
    </row>
    <row r="24">
      <c r="A24" s="6" t="inlineStr">
        <is>
          <t>Other comprehensive income (not separately itemized in the Statement of Comprehensive Income; per the Statement of Changes in Equity)</t>
        </is>
      </c>
      <c r="B24" s="6" t="n"/>
      <c r="C24" s="6" t="n"/>
      <c r="D24" s="6" t="n"/>
      <c r="E24" s="6" t="n"/>
      <c r="F24" s="6" t="n"/>
      <c r="G24" s="6" t="n"/>
      <c r="H24" s="6" t="n">
        <v>-425</v>
      </c>
      <c r="I24" s="6" t="n">
        <v>-417</v>
      </c>
      <c r="J24" s="6" t="n">
        <v>-43</v>
      </c>
      <c r="K24" s="6" t="n">
        <v>-188</v>
      </c>
      <c r="L24" s="6" t="n">
        <v>6</v>
      </c>
    </row>
    <row r="25">
      <c r="A25" s="6" t="inlineStr">
        <is>
          <t>Prior year adjustment (per Note 25 of the FY2023 Annual Report's restatement)</t>
        </is>
      </c>
      <c r="B25" s="6" t="n"/>
      <c r="C25" s="6" t="n"/>
      <c r="D25" s="6" t="n"/>
      <c r="E25" s="6" t="n">
        <v>-27</v>
      </c>
      <c r="F25" s="6" t="n"/>
      <c r="G25" s="6" t="n"/>
      <c r="H25" s="6" t="n"/>
      <c r="I25" s="6" t="n"/>
      <c r="J25" s="6" t="n"/>
      <c r="K25" s="6" t="n"/>
      <c r="L25" s="6" t="n"/>
    </row>
    <row r="26">
      <c r="A26" s="5" t="inlineStr">
        <is>
          <t>Total comprehensive (loss)/income</t>
        </is>
      </c>
      <c r="B26" s="5" t="n">
        <v>-123</v>
      </c>
      <c r="C26" s="5" t="n">
        <v>126</v>
      </c>
      <c r="D26" s="5" t="n">
        <v>226</v>
      </c>
      <c r="E26" s="5" t="n">
        <v>119</v>
      </c>
      <c r="F26" s="5" t="n">
        <v>117</v>
      </c>
      <c r="G26" s="5" t="n">
        <v>-266</v>
      </c>
      <c r="H26" s="5" t="n">
        <v>-224</v>
      </c>
      <c r="I26" s="5" t="n">
        <v>-277</v>
      </c>
      <c r="J26" s="5" t="n">
        <v>-481</v>
      </c>
      <c r="K26" s="5" t="n">
        <v>31</v>
      </c>
      <c r="L26" s="5" t="n">
        <v>-128</v>
      </c>
    </row>
    <row r="28" ht="340" customHeight="1">
      <c r="A28"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8:L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Philippine National Bank (Europe) Plc — Statement of Changes in Equity</t>
        </is>
      </c>
    </row>
    <row r="2">
      <c r="A2" s="2" t="inlineStr">
        <is>
          <t>Entity-level (solo, no subsidiaries), £'000, chronological, FY2015-FY2025. The foreign exchange reserve (a separate column in the Bank's own statements through FY2017) is folded into "Accumulated losses" throughout this sheet for a consistent 4-column shape - it is fully reclassified there in the source documents themselves during FY2018 in any case. Opening row is the Bank's own 31 December 2014 balance, reproduced from the FY2015 Annual Report's own comparative column - not itself a covered year in this workbook's scope.</t>
        </is>
      </c>
    </row>
    <row r="3">
      <c r="A3" s="4" t="inlineStr">
        <is>
          <t>Movement</t>
        </is>
      </c>
      <c r="B3" s="4" t="inlineStr">
        <is>
          <t>Called up share capital</t>
        </is>
      </c>
      <c r="C3" s="4" t="inlineStr">
        <is>
          <t>Merger reserve</t>
        </is>
      </c>
      <c r="D3" s="4" t="inlineStr">
        <is>
          <t>Accumulated losses</t>
        </is>
      </c>
      <c r="E3" s="4" t="inlineStr">
        <is>
          <t>Total equity</t>
        </is>
      </c>
    </row>
    <row r="4">
      <c r="A4" s="5" t="inlineStr">
        <is>
          <t>Balance as at 31 December 2014 (opening; pre-scope, from the FY2015 Annual Report's own comparative column)</t>
        </is>
      </c>
      <c r="B4" s="5" t="n">
        <v>10914</v>
      </c>
      <c r="C4" s="5" t="n">
        <v>1768</v>
      </c>
      <c r="D4" s="5" t="n">
        <v>-6357</v>
      </c>
      <c r="E4" s="5" t="n">
        <v>6325</v>
      </c>
    </row>
    <row r="5">
      <c r="A5" s="6" t="inlineStr">
        <is>
          <t>(Loss) for the year (2015)</t>
        </is>
      </c>
      <c r="B5" s="6" t="n"/>
      <c r="C5" s="6" t="n"/>
      <c r="D5" s="6" t="n">
        <v>-137</v>
      </c>
      <c r="E5" s="6" t="n">
        <v>-137</v>
      </c>
    </row>
    <row r="6">
      <c r="A6" s="6" t="inlineStr">
        <is>
          <t>Other comprehensive income (2015; FX translation + P&amp;L account items, combined)</t>
        </is>
      </c>
      <c r="B6" s="6" t="n"/>
      <c r="C6" s="6" t="n"/>
      <c r="D6" s="6" t="n">
        <v>9</v>
      </c>
      <c r="E6" s="6" t="n">
        <v>9</v>
      </c>
    </row>
    <row r="7">
      <c r="A7" s="5" t="inlineStr">
        <is>
          <t>Total comprehensive (loss) for the year (2015)</t>
        </is>
      </c>
      <c r="B7" s="5" t="n"/>
      <c r="C7" s="5" t="n"/>
      <c r="D7" s="5" t="n">
        <v>-128</v>
      </c>
      <c r="E7" s="5" t="n">
        <v>-128</v>
      </c>
    </row>
    <row r="8">
      <c r="A8" s="6" t="inlineStr">
        <is>
          <t>Increase in merger reserve (2015)</t>
        </is>
      </c>
      <c r="B8" s="6" t="n"/>
      <c r="C8" s="6" t="n">
        <v>5000</v>
      </c>
      <c r="D8" s="6" t="n"/>
      <c r="E8" s="6" t="n">
        <v>5000</v>
      </c>
    </row>
    <row r="9">
      <c r="A9" s="5" t="inlineStr">
        <is>
          <t>Balance as at 31 December 2015</t>
        </is>
      </c>
      <c r="B9" s="5" t="n">
        <v>10914</v>
      </c>
      <c r="C9" s="5" t="n">
        <v>6768</v>
      </c>
      <c r="D9" s="5" t="n">
        <v>-6485</v>
      </c>
      <c r="E9" s="5" t="n">
        <v>11197</v>
      </c>
    </row>
    <row r="10">
      <c r="A10" s="6" t="inlineStr">
        <is>
          <t>Profit for the year (2016)</t>
        </is>
      </c>
      <c r="B10" s="6" t="n"/>
      <c r="C10" s="6" t="n"/>
      <c r="D10" s="6" t="n">
        <v>218</v>
      </c>
      <c r="E10" s="6" t="n">
        <v>218</v>
      </c>
    </row>
    <row r="11">
      <c r="A11" s="6" t="inlineStr">
        <is>
          <t>Other comprehensive income (2016; FX translation + P&amp;L account items, combined)</t>
        </is>
      </c>
      <c r="B11" s="6" t="n"/>
      <c r="C11" s="6" t="n"/>
      <c r="D11" s="6" t="n">
        <v>-187</v>
      </c>
      <c r="E11" s="6" t="n">
        <v>-187</v>
      </c>
    </row>
    <row r="12">
      <c r="A12" s="5" t="inlineStr">
        <is>
          <t>Total comprehensive income for the year (2016)</t>
        </is>
      </c>
      <c r="B12" s="5" t="n"/>
      <c r="C12" s="5" t="n"/>
      <c r="D12" s="5" t="n">
        <v>31</v>
      </c>
      <c r="E12" s="5" t="n">
        <v>31</v>
      </c>
    </row>
    <row r="13">
      <c r="A13" s="5" t="inlineStr">
        <is>
          <t>Balance as at 31 December 2016</t>
        </is>
      </c>
      <c r="B13" s="5" t="n">
        <v>10914</v>
      </c>
      <c r="C13" s="5" t="n">
        <v>6768</v>
      </c>
      <c r="D13" s="5" t="n">
        <v>-6454</v>
      </c>
      <c r="E13" s="5" t="n">
        <v>11228</v>
      </c>
    </row>
    <row r="14">
      <c r="A14" s="6" t="inlineStr">
        <is>
          <t>(Loss) for the year (2017)</t>
        </is>
      </c>
      <c r="B14" s="6" t="n"/>
      <c r="C14" s="6" t="n"/>
      <c r="D14" s="6" t="n">
        <v>-442</v>
      </c>
      <c r="E14" s="6" t="n">
        <v>-442</v>
      </c>
    </row>
    <row r="15">
      <c r="A15" s="6" t="inlineStr">
        <is>
          <t>Other comprehensive income (2017; FX translation + P&amp;L account items, combined)</t>
        </is>
      </c>
      <c r="B15" s="6" t="n"/>
      <c r="C15" s="6" t="n"/>
      <c r="D15" s="6" t="n">
        <v>-39</v>
      </c>
      <c r="E15" s="6" t="n">
        <v>-39</v>
      </c>
    </row>
    <row r="16">
      <c r="A16" s="5" t="inlineStr">
        <is>
          <t>Total comprehensive (loss) for the year (2017)</t>
        </is>
      </c>
      <c r="B16" s="5" t="n"/>
      <c r="C16" s="5" t="n"/>
      <c r="D16" s="5" t="n">
        <v>-481</v>
      </c>
      <c r="E16" s="5" t="n">
        <v>-481</v>
      </c>
    </row>
    <row r="17">
      <c r="A17" s="5" t="inlineStr">
        <is>
          <t>Balance as at 31 December 2017 (per the Bank's own FY2017 Annual Report)</t>
        </is>
      </c>
      <c r="B17" s="5" t="n">
        <v>10914</v>
      </c>
      <c r="C17" s="5" t="n">
        <v>6768</v>
      </c>
      <c r="D17" s="5" t="n">
        <v>-6935</v>
      </c>
      <c r="E17" s="5" t="n">
        <v>10747</v>
      </c>
    </row>
    <row r="18">
      <c r="A18" s="6" t="inlineStr">
        <is>
          <t>Prior period restatement recognised during FY2018 (magnitude only - see RESTATEMENT_NOTE in the source citations below)</t>
        </is>
      </c>
      <c r="B18" s="6" t="n"/>
      <c r="C18" s="6" t="n"/>
      <c r="D18" s="6" t="n">
        <v>-101</v>
      </c>
      <c r="E18" s="6" t="n">
        <v>-101</v>
      </c>
    </row>
    <row r="19">
      <c r="A19" s="5" t="inlineStr">
        <is>
          <t>Balance as at 31 December 2017 (as restated; opening balance per the FY2019 Annual Report's own comparative column)</t>
        </is>
      </c>
      <c r="B19" s="5" t="n">
        <v>10914</v>
      </c>
      <c r="C19" s="5" t="n">
        <v>6768</v>
      </c>
      <c r="D19" s="5" t="n">
        <v>-7036</v>
      </c>
      <c r="E19" s="5" t="n">
        <v>10646</v>
      </c>
    </row>
    <row r="20">
      <c r="A20" s="6" t="inlineStr">
        <is>
          <t>Profit for the year (2018)</t>
        </is>
      </c>
      <c r="B20" s="6" t="n"/>
      <c r="C20" s="6" t="n"/>
      <c r="D20" s="6" t="n">
        <v>140</v>
      </c>
      <c r="E20" s="6" t="n">
        <v>140</v>
      </c>
    </row>
    <row r="21">
      <c r="A21" s="6" t="inlineStr">
        <is>
          <t>Other comprehensive income (2018)</t>
        </is>
      </c>
      <c r="B21" s="6" t="n"/>
      <c r="C21" s="6" t="n"/>
      <c r="D21" s="6" t="n">
        <v>-417</v>
      </c>
      <c r="E21" s="6" t="n">
        <v>-417</v>
      </c>
    </row>
    <row r="22">
      <c r="A22" s="5" t="inlineStr">
        <is>
          <t>Total comprehensive income for the year (2018)</t>
        </is>
      </c>
      <c r="B22" s="5" t="n"/>
      <c r="C22" s="5" t="n"/>
      <c r="D22" s="5" t="n">
        <v>-277</v>
      </c>
      <c r="E22" s="5" t="n">
        <v>-277</v>
      </c>
    </row>
    <row r="23">
      <c r="A23" s="5" t="inlineStr">
        <is>
          <t>Balance as at 31 December 2018</t>
        </is>
      </c>
      <c r="B23" s="5" t="n">
        <v>10914</v>
      </c>
      <c r="C23" s="5" t="n">
        <v>6768</v>
      </c>
      <c r="D23" s="5" t="n">
        <v>-7313</v>
      </c>
      <c r="E23" s="5" t="n">
        <v>10369</v>
      </c>
    </row>
    <row r="24">
      <c r="A24" s="6" t="inlineStr">
        <is>
          <t>Profit for the year (2019)</t>
        </is>
      </c>
      <c r="B24" s="6" t="n"/>
      <c r="C24" s="6" t="n"/>
      <c r="D24" s="6" t="n">
        <v>201</v>
      </c>
      <c r="E24" s="6" t="n">
        <v>201</v>
      </c>
    </row>
    <row r="25">
      <c r="A25" s="6" t="inlineStr">
        <is>
          <t>Other comprehensive income (2019)</t>
        </is>
      </c>
      <c r="B25" s="6" t="n"/>
      <c r="C25" s="6" t="n"/>
      <c r="D25" s="6" t="n">
        <v>-425</v>
      </c>
      <c r="E25" s="6" t="n">
        <v>-425</v>
      </c>
    </row>
    <row r="26">
      <c r="A26" s="5" t="inlineStr">
        <is>
          <t>Total comprehensive income for the year (2019)</t>
        </is>
      </c>
      <c r="B26" s="5" t="n"/>
      <c r="C26" s="5" t="n"/>
      <c r="D26" s="5" t="n">
        <v>-224</v>
      </c>
      <c r="E26" s="5" t="n">
        <v>-224</v>
      </c>
    </row>
    <row r="27">
      <c r="A27" s="5" t="inlineStr">
        <is>
          <t>Balance as at 31 December 2019</t>
        </is>
      </c>
      <c r="B27" s="5" t="n">
        <v>10914</v>
      </c>
      <c r="C27" s="5" t="n">
        <v>6768</v>
      </c>
      <c r="D27" s="5" t="n">
        <v>-7537</v>
      </c>
      <c r="E27" s="5" t="n">
        <v>10145</v>
      </c>
    </row>
    <row r="28">
      <c r="A28" s="6" t="inlineStr">
        <is>
          <t>Profit for the year (2020)</t>
        </is>
      </c>
      <c r="B28" s="6" t="n"/>
      <c r="C28" s="6" t="n"/>
      <c r="D28" s="6" t="n">
        <v>77</v>
      </c>
      <c r="E28" s="6" t="n">
        <v>77</v>
      </c>
    </row>
    <row r="29">
      <c r="A29" s="6" t="inlineStr">
        <is>
          <t>Other comprehensive loss (2020) - pension liability actuarial loss recognised</t>
        </is>
      </c>
      <c r="B29" s="6" t="n"/>
      <c r="C29" s="6" t="n"/>
      <c r="D29" s="6" t="n">
        <v>-343</v>
      </c>
      <c r="E29" s="6" t="n">
        <v>-343</v>
      </c>
    </row>
    <row r="30">
      <c r="A30" s="5" t="inlineStr">
        <is>
          <t>Total comprehensive (loss)/income for the year (2020)</t>
        </is>
      </c>
      <c r="B30" s="5" t="n"/>
      <c r="C30" s="5" t="n"/>
      <c r="D30" s="5" t="n">
        <v>-266</v>
      </c>
      <c r="E30" s="5" t="n">
        <v>-266</v>
      </c>
    </row>
    <row r="31">
      <c r="A31" s="5" t="inlineStr">
        <is>
          <t>Balance as at 31 December 2020</t>
        </is>
      </c>
      <c r="B31" s="5" t="n">
        <v>10914</v>
      </c>
      <c r="C31" s="5" t="n">
        <v>6768</v>
      </c>
      <c r="D31" s="5" t="n">
        <v>-7803</v>
      </c>
      <c r="E31" s="5" t="n">
        <v>9879</v>
      </c>
    </row>
    <row r="32">
      <c r="A32" s="6" t="inlineStr">
        <is>
          <t>Profit for the year (2021)</t>
        </is>
      </c>
      <c r="B32" s="6" t="n"/>
      <c r="C32" s="6" t="n"/>
      <c r="D32" s="6" t="n">
        <v>117</v>
      </c>
      <c r="E32" s="6" t="n">
        <v>117</v>
      </c>
    </row>
    <row r="33">
      <c r="A33" s="5" t="inlineStr">
        <is>
          <t>Total comprehensive income for the year (2021)</t>
        </is>
      </c>
      <c r="B33" s="5" t="n"/>
      <c r="C33" s="5" t="n"/>
      <c r="D33" s="5" t="n">
        <v>117</v>
      </c>
      <c r="E33" s="5" t="n">
        <v>117</v>
      </c>
    </row>
    <row r="34">
      <c r="A34" s="5" t="inlineStr">
        <is>
          <t>Balance as at 31 December 2021</t>
        </is>
      </c>
      <c r="B34" s="5" t="n">
        <v>10914</v>
      </c>
      <c r="C34" s="5" t="n">
        <v>6768</v>
      </c>
      <c r="D34" s="5" t="n">
        <v>-7686</v>
      </c>
      <c r="E34" s="5" t="n">
        <v>9996</v>
      </c>
    </row>
    <row r="35">
      <c r="A35" s="6" t="inlineStr">
        <is>
          <t>Profit for the year (2022, as restated)</t>
        </is>
      </c>
      <c r="B35" s="6" t="n"/>
      <c r="C35" s="6" t="n"/>
      <c r="D35" s="6" t="n">
        <v>146</v>
      </c>
      <c r="E35" s="6" t="n">
        <v>146</v>
      </c>
    </row>
    <row r="36">
      <c r="A36" s="6" t="inlineStr">
        <is>
          <t>Prior year adjustment (per Note 25 of the FY2023 Annual Report's restatement)</t>
        </is>
      </c>
      <c r="B36" s="6" t="n"/>
      <c r="C36" s="6" t="n"/>
      <c r="D36" s="6" t="n">
        <v>-27</v>
      </c>
      <c r="E36" s="6" t="n">
        <v>-27</v>
      </c>
    </row>
    <row r="37">
      <c r="A37" s="5" t="inlineStr">
        <is>
          <t>Total comprehensive income for the year (2022, as restated)</t>
        </is>
      </c>
      <c r="B37" s="5" t="n"/>
      <c r="C37" s="5" t="n"/>
      <c r="D37" s="5" t="n">
        <v>119</v>
      </c>
      <c r="E37" s="5" t="n">
        <v>119</v>
      </c>
    </row>
    <row r="38">
      <c r="A38" s="5" t="inlineStr">
        <is>
          <t>Balance as at 31 December 2022 (as restated)</t>
        </is>
      </c>
      <c r="B38" s="5" t="n">
        <v>10914</v>
      </c>
      <c r="C38" s="5" t="n">
        <v>6768</v>
      </c>
      <c r="D38" s="5" t="n">
        <v>-7567</v>
      </c>
      <c r="E38" s="5" t="n">
        <v>10115</v>
      </c>
    </row>
    <row r="39">
      <c r="A39" s="6" t="inlineStr">
        <is>
          <t>Profit for the year (2023)</t>
        </is>
      </c>
      <c r="B39" s="6" t="n"/>
      <c r="C39" s="6" t="n"/>
      <c r="D39" s="6" t="n">
        <v>226</v>
      </c>
      <c r="E39" s="6" t="n">
        <v>226</v>
      </c>
    </row>
    <row r="40">
      <c r="A40" s="5" t="inlineStr">
        <is>
          <t>Total comprehensive income for the year (2023)</t>
        </is>
      </c>
      <c r="B40" s="5" t="n"/>
      <c r="C40" s="5" t="n"/>
      <c r="D40" s="5" t="n">
        <v>226</v>
      </c>
      <c r="E40" s="5" t="n">
        <v>226</v>
      </c>
    </row>
    <row r="41">
      <c r="A41" s="5" t="inlineStr">
        <is>
          <t>Balance as at 31 December 2023</t>
        </is>
      </c>
      <c r="B41" s="5" t="n">
        <v>10914</v>
      </c>
      <c r="C41" s="5" t="n">
        <v>6768</v>
      </c>
      <c r="D41" s="5" t="n">
        <v>-7341</v>
      </c>
      <c r="E41" s="5" t="n">
        <v>10341</v>
      </c>
    </row>
    <row r="42">
      <c r="A42" s="6" t="inlineStr">
        <is>
          <t>Profit for the year</t>
        </is>
      </c>
      <c r="B42" s="6" t="n"/>
      <c r="C42" s="6" t="n"/>
      <c r="D42" s="6" t="n">
        <v>11</v>
      </c>
      <c r="E42" s="6" t="n">
        <v>11</v>
      </c>
    </row>
    <row r="43">
      <c r="A43" s="6" t="inlineStr">
        <is>
          <t>Change in the pension scheme asset ceiling</t>
        </is>
      </c>
      <c r="B43" s="6" t="n"/>
      <c r="C43" s="6" t="n"/>
      <c r="D43" s="6" t="n">
        <v>185</v>
      </c>
      <c r="E43" s="6" t="n">
        <v>185</v>
      </c>
    </row>
    <row r="44">
      <c r="A44" s="6" t="inlineStr">
        <is>
          <t>Actuarial loss on pension scheme</t>
        </is>
      </c>
      <c r="B44" s="6" t="n"/>
      <c r="C44" s="6" t="n"/>
      <c r="D44" s="6" t="n">
        <v>-70</v>
      </c>
      <c r="E44" s="6" t="n">
        <v>-70</v>
      </c>
    </row>
    <row r="45">
      <c r="A45" s="5" t="inlineStr">
        <is>
          <t>Total comprehensive income for the year</t>
        </is>
      </c>
      <c r="B45" s="5" t="n"/>
      <c r="C45" s="5" t="n"/>
      <c r="D45" s="5" t="n">
        <v>126</v>
      </c>
      <c r="E45" s="5" t="n">
        <v>126</v>
      </c>
    </row>
    <row r="46">
      <c r="A46" s="5" t="inlineStr">
        <is>
          <t>Balance as at 31 December 2024</t>
        </is>
      </c>
      <c r="B46" s="5" t="n">
        <v>10914</v>
      </c>
      <c r="C46" s="5" t="n">
        <v>6768</v>
      </c>
      <c r="D46" s="5" t="n">
        <v>-7215</v>
      </c>
      <c r="E46" s="5" t="n">
        <v>10467</v>
      </c>
    </row>
    <row r="47">
      <c r="A47" s="6" t="inlineStr">
        <is>
          <t>(Loss) for the year</t>
        </is>
      </c>
      <c r="B47" s="6" t="n"/>
      <c r="C47" s="6" t="n"/>
      <c r="D47" s="6" t="n">
        <v>-492</v>
      </c>
      <c r="E47" s="6" t="n">
        <v>-492</v>
      </c>
    </row>
    <row r="48">
      <c r="A48" s="6" t="inlineStr">
        <is>
          <t>Change in the pension scheme asset ceiling</t>
        </is>
      </c>
      <c r="B48" s="6" t="n"/>
      <c r="C48" s="6" t="n"/>
      <c r="D48" s="6" t="n">
        <v>741</v>
      </c>
      <c r="E48" s="6" t="n">
        <v>741</v>
      </c>
    </row>
    <row r="49">
      <c r="A49" s="6" t="inlineStr">
        <is>
          <t>Actuarial loss on pension scheme</t>
        </is>
      </c>
      <c r="B49" s="6" t="n"/>
      <c r="C49" s="6" t="n"/>
      <c r="D49" s="6" t="n">
        <v>-372</v>
      </c>
      <c r="E49" s="6" t="n">
        <v>-372</v>
      </c>
    </row>
    <row r="50">
      <c r="A50" s="5" t="inlineStr">
        <is>
          <t>Total comprehensive (loss) for the year</t>
        </is>
      </c>
      <c r="B50" s="5" t="n"/>
      <c r="C50" s="5" t="n"/>
      <c r="D50" s="5" t="n">
        <v>-123</v>
      </c>
      <c r="E50" s="5" t="n">
        <v>-123</v>
      </c>
    </row>
    <row r="51">
      <c r="A51" s="5" t="inlineStr">
        <is>
          <t>Balance as at 31 December 2025</t>
        </is>
      </c>
      <c r="B51" s="5" t="n">
        <v>10914</v>
      </c>
      <c r="C51" s="5" t="n">
        <v>6768</v>
      </c>
      <c r="D51" s="5" t="n">
        <v>-7338</v>
      </c>
      <c r="E51" s="5" t="n">
        <v>10344</v>
      </c>
    </row>
    <row r="53" ht="150" customHeight="1">
      <c r="A53"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
EQUITY-SHEET-SPECIFIC NOTE: every movement above is a distinct line the Bank's own Statement of Changes in Equity discloses for that year (or, for FY2015-2017, the sum of its disclosed foreign exchange reserve movement and P&amp;L account movement, collapsed into one combined-column figure - see the sheet subtitle). Every TOTAL balance row ties exactly to that year's own Balance Sheet Total equity figure, except the single documented restatement break between FY2017 and FY2018 (see RESTATEMENT_NOTE above).</t>
        </is>
      </c>
    </row>
  </sheetData>
  <mergeCells count="1">
    <mergeCell ref="A53:E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Cash Flow Statement</t>
        </is>
      </c>
    </row>
    <row r="2">
      <c r="A2" s="2" t="inlineStr">
        <is>
          <t>Not applicable — Pillar-3-only scope; see the exemption and coverage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No standalone Statement of Cash Flows populated</t>
        </is>
      </c>
      <c r="B4" s="6" t="n"/>
      <c r="C4" s="6" t="n"/>
      <c r="D4" s="6" t="n"/>
      <c r="E4" s="6" t="n"/>
      <c r="F4" s="6" t="n"/>
      <c r="G4" s="6" t="n"/>
      <c r="H4" s="6" t="n"/>
      <c r="I4" s="6" t="n"/>
      <c r="J4" s="6" t="n"/>
      <c r="K4" s="6" t="n"/>
      <c r="L4" s="6" t="n"/>
    </row>
    <row r="5">
      <c r="A5" s="6" t="inlineStr">
        <is>
          <t>PNBE cash-flow disclosure exemption (confirmed present FY2015-FY2025); parent-group cash flows are not substituted.</t>
        </is>
      </c>
      <c r="B5" s="6" t="n"/>
      <c r="C5" s="6" t="n"/>
      <c r="D5" s="6" t="n"/>
      <c r="E5" s="6" t="n"/>
      <c r="F5" s="6" t="n"/>
      <c r="G5" s="6" t="n"/>
      <c r="H5" s="6" t="n"/>
      <c r="I5" s="6" t="n"/>
      <c r="J5" s="6" t="n"/>
      <c r="K5" s="6" t="n"/>
      <c r="L5" s="6" t="n"/>
    </row>
    <row r="7" ht="280" customHeight="1">
      <c r="A7" s="8" t="inlineStr">
        <is>
          <t>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PILLAR-3-ONLY for FY2015-FY2023 Pillar 3 sheets, no cash-flow statement in any year: the prior project screening identified PNBE's qualifying-entity cash-flow disclosure exemption in its UK accounts (confirmed present in every Report and Financial Statements reviewed, FY2015 through FY2025), so no audited cash-flow statement is populated for any year. The current build does not infer cash flows from parent PNB disclosures.
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1">
    <mergeCell ref="A7:L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Asset Quality</t>
        </is>
      </c>
    </row>
    <row r="2">
      <c r="A2" s="2" t="inlineStr">
        <is>
          <t>Entity-level, £'000. No IFRS 9 Stage 1/2/3 split, no impairment provision, and no credit-quality grading is disclosed for either loan category in any year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Loans and advances to banks, by maturity (sub-breakdown: FY2024-FY2025 only)</t>
        </is>
      </c>
      <c r="B4" s="6" t="n"/>
      <c r="C4" s="6" t="n"/>
      <c r="D4" s="6" t="n"/>
      <c r="E4" s="6" t="n"/>
      <c r="F4" s="6" t="n"/>
      <c r="G4" s="6" t="n"/>
      <c r="H4" s="6" t="n"/>
      <c r="I4" s="6" t="n"/>
      <c r="J4" s="6" t="n"/>
      <c r="K4" s="6" t="n"/>
      <c r="L4" s="6" t="n"/>
    </row>
    <row r="5">
      <c r="A5" s="6" t="inlineStr">
        <is>
          <t>Payable on demand</t>
        </is>
      </c>
      <c r="B5" s="6" t="n">
        <v>7045</v>
      </c>
      <c r="C5" s="6" t="n">
        <v>8794</v>
      </c>
      <c r="D5" s="6" t="n"/>
      <c r="E5" s="6" t="n"/>
      <c r="F5" s="6" t="n"/>
      <c r="G5" s="6" t="n"/>
      <c r="H5" s="6" t="n"/>
      <c r="I5" s="6" t="n"/>
      <c r="J5" s="6" t="n"/>
      <c r="K5" s="6" t="n"/>
      <c r="L5" s="6" t="n"/>
    </row>
    <row r="6">
      <c r="A6" s="6" t="inlineStr">
        <is>
          <t>Payable in more than three months but not more than six months</t>
        </is>
      </c>
      <c r="B6" s="6" t="n">
        <v>5028</v>
      </c>
      <c r="C6" s="6" t="n">
        <v>3279</v>
      </c>
      <c r="D6" s="6" t="n"/>
      <c r="E6" s="6" t="n"/>
      <c r="F6" s="6" t="n"/>
      <c r="G6" s="6" t="n"/>
      <c r="H6" s="6" t="n"/>
      <c r="I6" s="6" t="n"/>
      <c r="J6" s="6" t="n"/>
      <c r="K6" s="6" t="n"/>
      <c r="L6" s="6" t="n"/>
    </row>
    <row r="7">
      <c r="A7" s="5" t="inlineStr">
        <is>
          <t>Total loans and advances to banks</t>
        </is>
      </c>
      <c r="B7" s="5" t="n">
        <v>12073</v>
      </c>
      <c r="C7" s="5" t="n">
        <v>12073</v>
      </c>
      <c r="D7" s="5" t="n">
        <v>13113</v>
      </c>
      <c r="E7" s="5" t="n">
        <v>12778</v>
      </c>
      <c r="F7" s="5" t="n">
        <v>12370</v>
      </c>
      <c r="G7" s="5" t="n">
        <v>15056</v>
      </c>
      <c r="H7" s="5" t="n">
        <v>15875</v>
      </c>
      <c r="I7" s="5" t="n">
        <v>15817</v>
      </c>
      <c r="J7" s="5" t="n">
        <v>16510</v>
      </c>
      <c r="K7" s="5" t="n">
        <v>19121</v>
      </c>
      <c r="L7" s="5" t="n">
        <v>18382</v>
      </c>
    </row>
    <row r="8">
      <c r="A8" s="6" t="inlineStr">
        <is>
          <t>of which: due from parent and fellow subsidiary undertakings (FY2024-FY2025 only)</t>
        </is>
      </c>
      <c r="B8" s="6" t="n">
        <v>134</v>
      </c>
      <c r="C8" s="6" t="n">
        <v>447</v>
      </c>
      <c r="D8" s="6" t="n"/>
      <c r="E8" s="6" t="n"/>
      <c r="F8" s="6" t="n"/>
      <c r="G8" s="6" t="n"/>
      <c r="H8" s="6" t="n"/>
      <c r="I8" s="6" t="n"/>
      <c r="J8" s="6" t="n"/>
      <c r="K8" s="6" t="n"/>
      <c r="L8" s="6" t="n"/>
    </row>
    <row r="9">
      <c r="A9" s="5" t="inlineStr">
        <is>
          <t>Loans and advances to customers, by maturity (sub-breakdown: FY2024-FY2025 only)</t>
        </is>
      </c>
      <c r="B9" s="6" t="n"/>
      <c r="C9" s="6" t="n"/>
      <c r="D9" s="6" t="n"/>
      <c r="E9" s="6" t="n"/>
      <c r="F9" s="6" t="n"/>
      <c r="G9" s="6" t="n"/>
      <c r="H9" s="6" t="n"/>
      <c r="I9" s="6" t="n"/>
      <c r="J9" s="6" t="n"/>
      <c r="K9" s="6" t="n"/>
      <c r="L9" s="6" t="n"/>
    </row>
    <row r="10">
      <c r="A10" s="6" t="inlineStr">
        <is>
          <t>Not more than three months</t>
        </is>
      </c>
      <c r="B10" s="6" t="n">
        <v>1</v>
      </c>
      <c r="C10" s="6" t="n">
        <v>0</v>
      </c>
      <c r="D10" s="6" t="n"/>
      <c r="E10" s="6" t="n"/>
      <c r="F10" s="6" t="n"/>
      <c r="G10" s="6" t="n"/>
      <c r="H10" s="6" t="n"/>
      <c r="I10" s="6" t="n"/>
      <c r="J10" s="6" t="n"/>
      <c r="K10" s="6" t="n"/>
      <c r="L10" s="6" t="n"/>
    </row>
    <row r="11">
      <c r="A11" s="6" t="inlineStr">
        <is>
          <t>More than three months but less than one year</t>
        </is>
      </c>
      <c r="B11" s="6" t="n">
        <v>0</v>
      </c>
      <c r="C11" s="6" t="n">
        <v>1</v>
      </c>
      <c r="D11" s="6" t="n"/>
      <c r="E11" s="6" t="n"/>
      <c r="F11" s="6" t="n"/>
      <c r="G11" s="6" t="n"/>
      <c r="H11" s="6" t="n"/>
      <c r="I11" s="6" t="n"/>
      <c r="J11" s="6" t="n"/>
      <c r="K11" s="6" t="n"/>
      <c r="L11" s="6" t="n"/>
    </row>
    <row r="12">
      <c r="A12" s="6" t="inlineStr">
        <is>
          <t>More than one year but less than five years</t>
        </is>
      </c>
      <c r="B12" s="6" t="n">
        <v>4</v>
      </c>
      <c r="C12" s="6" t="n">
        <v>9</v>
      </c>
      <c r="D12" s="6" t="n"/>
      <c r="E12" s="6" t="n"/>
      <c r="F12" s="6" t="n"/>
      <c r="G12" s="6" t="n"/>
      <c r="H12" s="6" t="n"/>
      <c r="I12" s="6" t="n"/>
      <c r="J12" s="6" t="n"/>
      <c r="K12" s="6" t="n"/>
      <c r="L12" s="6" t="n"/>
    </row>
    <row r="13">
      <c r="A13" s="5" t="inlineStr">
        <is>
          <t>Total loans and advances to customers</t>
        </is>
      </c>
      <c r="B13" s="5" t="n">
        <v>5</v>
      </c>
      <c r="C13" s="5" t="n">
        <v>10</v>
      </c>
      <c r="D13" s="5" t="n">
        <v>8</v>
      </c>
      <c r="E13" s="5" t="n">
        <v>14</v>
      </c>
      <c r="F13" s="5" t="n">
        <v>15</v>
      </c>
      <c r="G13" s="5" t="n">
        <v>21</v>
      </c>
      <c r="H13" s="5" t="n">
        <v>21</v>
      </c>
      <c r="I13" s="5" t="n">
        <v>19</v>
      </c>
      <c r="J13" s="5" t="n">
        <v>22</v>
      </c>
      <c r="K13" s="5" t="n">
        <v>20</v>
      </c>
      <c r="L13" s="5" t="n">
        <v>29</v>
      </c>
    </row>
    <row r="15" ht="320" customHeight="1">
      <c r="A15"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SCOPE NOTE: the granular by-maturity and related-party sub-breakdowns below (payable-on-demand vs. 3-6 month buckets, amounts due from parent/fellow subsidiaries, customer-loan maturity bands) were transcribed only for FY2024-FY2025, from each year's own Note 6/7 loan-maturity tables. Extending that granular sub-note transcription back through FY2015 was out of scope for this pass; the two TOTAL rows below (which ARE fully extended to FY2015) are the same Loans and advances to banks / to customers figures already shown on the Balance Sheet sheet, sourced from the same five Annual Report filings cited there.
DATA QUALITY NOTE: this Bank carries almost no customer-facing lending book across every year reviewed - Loans and advances to customers peaks at £29k (FY2015) and is as low as £5k (FY2025), consistently a handful of personal loans to employees. No impairment provision, write-off, or IFRS 9 stage split is disclosed against this balance in any year - the Bank's own notes show no bad-debt note at all for it, consistent with its immateriality. The Bank's principal credit exposure is instead Loans and advances to banks (its correspondent/deposit-placement business with other banks including its own parent and fellow PNB subsidiaries) - this Bank is a treasury/correspondent-banking entity for its parent, not a retail or commercial lender, in every year reviewed.</t>
        </is>
      </c>
    </row>
  </sheetData>
  <mergeCells count="1">
    <mergeCell ref="A15:L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CET1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10344</v>
      </c>
      <c r="C4" s="6" t="n">
        <v>10467</v>
      </c>
      <c r="D4" s="6" t="n">
        <v>10341</v>
      </c>
      <c r="E4" s="6" t="n"/>
      <c r="F4" s="6" t="n"/>
      <c r="G4" s="6" t="n"/>
      <c r="H4" s="6" t="n">
        <v>10145</v>
      </c>
      <c r="I4" s="6" t="n"/>
      <c r="J4" s="6" t="n">
        <v>10747</v>
      </c>
      <c r="K4" s="6" t="n">
        <v>11228</v>
      </c>
      <c r="L4" s="6" t="n"/>
    </row>
    <row r="5" ht="60" customHeight="1">
      <c r="A5" s="7" t="inlineStr">
        <is>
          <t>Note: SELF-SKIPPED YEARS: FY2015, FY2018, FY2020, FY2021 and FY2022 have no surviving Pillar 3 document on either historical host (pnb.com.ph/europe or the pnb-website S3 bucket) per a Wayback Machine CDX search - genuinely unobtainable, not interpolated. See HD022_NOTE in the source citations.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capital ratio</t>
        </is>
      </c>
      <c r="B4" s="6" t="inlineStr">
        <is>
          <t>127.55%</t>
        </is>
      </c>
      <c r="C4" s="6" t="inlineStr">
        <is>
          <t>136.95%</t>
        </is>
      </c>
      <c r="D4" s="6" t="inlineStr">
        <is>
          <t>121.95%</t>
        </is>
      </c>
      <c r="E4" s="6" t="n"/>
      <c r="F4" s="6" t="n"/>
      <c r="G4" s="6" t="n"/>
      <c r="H4" s="6" t="inlineStr">
        <is>
          <t>96.76%</t>
        </is>
      </c>
      <c r="I4" s="6" t="n"/>
      <c r="J4" s="6" t="inlineStr">
        <is>
          <t>96.63%</t>
        </is>
      </c>
      <c r="K4" s="6" t="inlineStr">
        <is>
          <t>92.23%</t>
        </is>
      </c>
      <c r="L4" s="6" t="n"/>
    </row>
    <row r="5" ht="60" customHeight="1">
      <c r="A5" s="7" t="inlineStr">
        <is>
          <t>Note: CET1 = Tier 1 = total capital in every year located; PNBE states it holds no Tier 2 capital. SELF-SKIPPED YEARS: FY2015, FY2018, FY2020, FY2021 and FY2022 have no surviving Pillar 3 document on either historical host (pnb.com.ph/europe or the pnb-website S3 bucket) per a Wayback Machine CDX search - genuinely unobtainable, not interpolated. See HD022_NOTE in the source citations.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Tier 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10344</v>
      </c>
      <c r="C4" s="6" t="n">
        <v>10467</v>
      </c>
      <c r="D4" s="6" t="n">
        <v>10341</v>
      </c>
      <c r="E4" s="6" t="n"/>
      <c r="F4" s="6" t="n"/>
      <c r="G4" s="6" t="n"/>
      <c r="H4" s="6" t="n">
        <v>10145</v>
      </c>
      <c r="I4" s="6" t="n"/>
      <c r="J4" s="6" t="n">
        <v>10747</v>
      </c>
      <c r="K4" s="6" t="n">
        <v>11228</v>
      </c>
      <c r="L4" s="6" t="n">
        <v>11197</v>
      </c>
    </row>
    <row r="5" ht="60" customHeight="1">
      <c r="A5" s="7" t="inlineStr">
        <is>
          <t>Note: SELF-SKIPPED YEARS: FY2015, FY2018, FY2020, FY2021 and FY2022 have no surviving Pillar 3 document on either historical host (pnb.com.ph/europe or the pnb-website S3 bucket) per a Wayback Machine CDX search - genuinely unobtainable, not interpolated. See HD022_NOTE in the source citations.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127.55%</t>
        </is>
      </c>
      <c r="C4" s="6" t="inlineStr">
        <is>
          <t>136.95%</t>
        </is>
      </c>
      <c r="D4" s="6" t="inlineStr">
        <is>
          <t>121.95%</t>
        </is>
      </c>
      <c r="E4" s="6" t="n"/>
      <c r="F4" s="6" t="n"/>
      <c r="G4" s="6" t="n"/>
      <c r="H4" s="6" t="inlineStr">
        <is>
          <t>96.76%</t>
        </is>
      </c>
      <c r="I4" s="6" t="n"/>
      <c r="J4" s="6" t="inlineStr">
        <is>
          <t>96.63%</t>
        </is>
      </c>
      <c r="K4" s="6" t="inlineStr">
        <is>
          <t>92.23%</t>
        </is>
      </c>
      <c r="L4" s="6" t="n"/>
    </row>
    <row r="5" ht="60" customHeight="1">
      <c r="A5" s="7" t="inlineStr">
        <is>
          <t>Note: SELF-SKIPPED YEARS: FY2015, FY2018, FY2020, FY2021 and FY2022 have no surviving Pillar 3 document on either historical host (pnb.com.ph/europe or the pnb-website S3 bucket) per a Wayback Machine CDX search - genuinely unobtainable, not interpolated. See HD022_NOTE in the source citations.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Own funds / total capital</t>
        </is>
      </c>
      <c r="B4" s="6" t="n">
        <v>10344</v>
      </c>
      <c r="C4" s="6" t="n">
        <v>10467</v>
      </c>
      <c r="D4" s="6" t="n">
        <v>10341</v>
      </c>
      <c r="E4" s="6" t="n"/>
      <c r="F4" s="6" t="n"/>
      <c r="G4" s="6" t="n"/>
      <c r="H4" s="6" t="n">
        <v>10145</v>
      </c>
      <c r="I4" s="6" t="n"/>
      <c r="J4" s="6" t="n">
        <v>10747</v>
      </c>
      <c r="K4" s="6" t="n">
        <v>11228</v>
      </c>
      <c r="L4" s="6" t="n">
        <v>11197</v>
      </c>
    </row>
    <row r="5" ht="60" customHeight="1">
      <c r="A5" s="7" t="inlineStr">
        <is>
          <t>Note: SELF-SKIPPED YEARS: FY2015, FY2018, FY2020, FY2021 and FY2022 have no surviving Pillar 3 document on either historical host (pnb.com.ph/europe or the pnb-website S3 bucket) per a Wayback Machine CDX search - genuinely unobtainable, not interpolated. See HD022_NOTE in the source citations.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127.55%</t>
        </is>
      </c>
      <c r="C4" s="6" t="inlineStr">
        <is>
          <t>136.95%</t>
        </is>
      </c>
      <c r="D4" s="6" t="inlineStr">
        <is>
          <t>121.95%</t>
        </is>
      </c>
      <c r="E4" s="6" t="n"/>
      <c r="F4" s="6" t="n"/>
      <c r="G4" s="6" t="n"/>
      <c r="H4" s="6" t="inlineStr">
        <is>
          <t>96.76%</t>
        </is>
      </c>
      <c r="I4" s="6" t="n"/>
      <c r="J4" s="6" t="inlineStr">
        <is>
          <t>96.63%</t>
        </is>
      </c>
      <c r="K4" s="6" t="inlineStr">
        <is>
          <t>92.23%</t>
        </is>
      </c>
      <c r="L4" s="6" t="n"/>
    </row>
    <row r="5" ht="60" customHeight="1">
      <c r="A5" s="7" t="inlineStr">
        <is>
          <t>Note: SELF-SKIPPED YEARS: FY2015, FY2018, FY2020, FY2021 and FY2022 have no surviving Pillar 3 document on either historical host (pnb.com.ph/europe or the pnb-website S3 bucket) per a Wayback Machine CDX search - genuinely unobtainable, not interpolated. See HD022_NOTE in the source citations.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RWAs</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assets</t>
        </is>
      </c>
      <c r="B4" s="6" t="n">
        <v>8110</v>
      </c>
      <c r="C4" s="6" t="n">
        <v>7643</v>
      </c>
      <c r="D4" s="6" t="n">
        <v>8480</v>
      </c>
      <c r="E4" s="6" t="n"/>
      <c r="F4" s="6" t="n"/>
      <c r="G4" s="6" t="n"/>
      <c r="H4" s="6" t="n">
        <v>10485</v>
      </c>
      <c r="I4" s="6" t="n"/>
      <c r="J4" s="6" t="n">
        <v>11122</v>
      </c>
      <c r="K4" s="6" t="n">
        <v>12174</v>
      </c>
      <c r="L4" s="6" t="n"/>
    </row>
    <row r="5" ht="60" customHeight="1">
      <c r="A5" s="7" t="inlineStr">
        <is>
          <t>Note: Total is the sum of credit/counterparty, market and operational RWA components in each source table. SELF-SKIPPED YEARS: FY2015, FY2018, FY2020, FY2021 and FY2022 have no surviving Pillar 3 document on either historical host (pnb.com.ph/europe or the pnb-website S3 bucket) per a Wayback Machine CDX search - genuinely unobtainable, not interpolated. See HD022_NOTE in the source citations.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RWA Breakdown</t>
        </is>
      </c>
    </row>
    <row r="2">
      <c r="A2" s="2" t="inlineStr">
        <is>
          <t>Entity-level, GBP '000. Pillar 1 capital requirements table, by risk category.</t>
        </is>
      </c>
    </row>
    <row r="3">
      <c r="A3" s="4" t="inlineStr">
        <is>
          <t>Line item</t>
        </is>
      </c>
      <c r="B3" s="4" t="inlineStr">
        <is>
          <t>FY2025 (GBP '000)</t>
        </is>
      </c>
      <c r="C3" s="4" t="inlineStr">
        <is>
          <t>FY2024 (GBP '000)</t>
        </is>
      </c>
      <c r="D3" s="4" t="inlineStr">
        <is>
          <t>FY2023 (GBP '000)</t>
        </is>
      </c>
      <c r="E3" s="4" t="inlineStr">
        <is>
          <t>FY2022 (GBP '000)</t>
        </is>
      </c>
      <c r="F3" s="4" t="inlineStr">
        <is>
          <t>FY2021 (GBP '000)</t>
        </is>
      </c>
      <c r="G3" s="4" t="inlineStr">
        <is>
          <t>FY2020 (GBP '000)</t>
        </is>
      </c>
      <c r="H3" s="4" t="inlineStr">
        <is>
          <t>FY2019 (GBP '000)</t>
        </is>
      </c>
      <c r="I3" s="4" t="inlineStr">
        <is>
          <t>FY2018 (GBP '000)</t>
        </is>
      </c>
      <c r="J3" s="4" t="inlineStr">
        <is>
          <t>FY2017 (GBP '000)</t>
        </is>
      </c>
      <c r="K3" s="4" t="inlineStr">
        <is>
          <t>FY2016 (GBP '000)</t>
        </is>
      </c>
      <c r="L3" s="4" t="inlineStr">
        <is>
          <t>FY2015 (GBP '000)</t>
        </is>
      </c>
    </row>
    <row r="4">
      <c r="A4" s="6" t="inlineStr">
        <is>
          <t>Credit and counterparty credit risk</t>
        </is>
      </c>
      <c r="B4" s="6" t="n">
        <v>4568</v>
      </c>
      <c r="C4" s="6" t="n">
        <v>4486</v>
      </c>
      <c r="D4" s="6" t="n">
        <v>5236</v>
      </c>
      <c r="E4" s="6" t="n"/>
      <c r="F4" s="6" t="n"/>
      <c r="G4" s="6" t="n"/>
      <c r="H4" s="6" t="n">
        <v>6444</v>
      </c>
      <c r="I4" s="6" t="n"/>
      <c r="J4" s="6" t="n">
        <v>6845</v>
      </c>
      <c r="K4" s="6" t="n">
        <v>7635</v>
      </c>
      <c r="L4" s="6" t="n"/>
    </row>
    <row r="5">
      <c r="A5" s="6" t="inlineStr">
        <is>
          <t>Market risk</t>
        </is>
      </c>
      <c r="B5" s="6" t="n">
        <v>370</v>
      </c>
      <c r="C5" s="6" t="n">
        <v>36</v>
      </c>
      <c r="D5" s="6" t="n">
        <v>220</v>
      </c>
      <c r="E5" s="6" t="n"/>
      <c r="F5" s="6" t="n"/>
      <c r="G5" s="6" t="n"/>
      <c r="H5" s="6" t="n">
        <v>661</v>
      </c>
      <c r="I5" s="6" t="n"/>
      <c r="J5" s="6" t="n">
        <v>358</v>
      </c>
      <c r="K5" s="6" t="n">
        <v>351</v>
      </c>
      <c r="L5" s="6" t="n"/>
    </row>
    <row r="6">
      <c r="A6" s="6" t="inlineStr">
        <is>
          <t>Operational risk</t>
        </is>
      </c>
      <c r="B6" s="6" t="n">
        <v>3172</v>
      </c>
      <c r="C6" s="6" t="n">
        <v>3121</v>
      </c>
      <c r="D6" s="6" t="n">
        <v>3024</v>
      </c>
      <c r="E6" s="6" t="n"/>
      <c r="F6" s="6" t="n"/>
      <c r="G6" s="6" t="n"/>
      <c r="H6" s="6" t="n">
        <v>3380</v>
      </c>
      <c r="I6" s="6" t="n"/>
      <c r="J6" s="6" t="n">
        <v>3919</v>
      </c>
      <c r="K6" s="6" t="n">
        <v>4188</v>
      </c>
      <c r="L6" s="6" t="n"/>
    </row>
    <row r="7">
      <c r="A7" s="5" t="inlineStr">
        <is>
          <t>Total Pillar 1 risk-weighted assets</t>
        </is>
      </c>
      <c r="B7" s="5" t="n">
        <v>8110</v>
      </c>
      <c r="C7" s="5" t="n">
        <v>7643</v>
      </c>
      <c r="D7" s="5" t="n">
        <v>8480</v>
      </c>
      <c r="E7" s="5" t="n"/>
      <c r="F7" s="5" t="n"/>
      <c r="G7" s="5" t="n"/>
      <c r="H7" s="5" t="n">
        <v>10485</v>
      </c>
      <c r="I7" s="5" t="n"/>
      <c r="J7" s="5" t="n">
        <v>11122</v>
      </c>
      <c r="K7" s="5" t="n">
        <v>12174</v>
      </c>
      <c r="L7" s="5" t="n"/>
    </row>
    <row r="9" ht="280" customHeight="1">
      <c r="A9"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
Each year's table ("The Bank's Pillar 1 capital requirements are presented in the table below") - FY2025/FY2024 p.6, FY2023 p.6, FY2019 p.6, FY2017 p.6 of the respective Pillar 3 Disclosures. Every year shown ties exactly to that year's Total RWAs sheet figure and to that year's own Own Funds/Total Capital figure on the Balance Sheet / equity sheets. SELF-SKIPPED YEARS: FY2015, FY2018, FY2020, FY2021 and FY2022 have no surviving Pillar 3 document on either historical host (pnb.com.ph/europe or the pnb-website S3 bucket) per a Wayback Machine CDX search - genuinely unobtainable, not interpolated. See HD022_NOTE in the source citations.</t>
        </is>
      </c>
    </row>
  </sheetData>
  <mergeCells count="1">
    <mergeCell ref="A9:L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2026-09-06T16:52:15Z</dcterms:created>
  <dcterms:modified xsi:type="dcterms:W3CDTF">2026-09-06T16:52:15Z</dcterms:modified>
</cp:coreProperties>
</file>