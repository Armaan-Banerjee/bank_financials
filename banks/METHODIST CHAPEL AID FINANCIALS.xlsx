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E71"/>
        <bgColor rgb="006B4E7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'Overview'!BA25</f>
            </strRef>
          </tx>
          <spPr>
            <a:ln xmlns:a="http://schemas.openxmlformats.org/drawingml/2006/main">
              <a:prstDash val="solid"/>
            </a:ln>
          </spPr>
          <cat>
            <numRef>
              <f>'Overview'!$BB$24:$BK$24</f>
            </numRef>
          </cat>
          <val>
            <numRef>
              <f>'Overview'!$BB$25:$BK$25</f>
            </numRef>
          </val>
        </ser>
        <ser>
          <idx val="1"/>
          <order val="1"/>
          <tx>
            <strRef>
              <f>'Overview'!BA26</f>
            </strRef>
          </tx>
          <spPr>
            <a:ln xmlns:a="http://schemas.openxmlformats.org/drawingml/2006/main">
              <a:prstDash val="solid"/>
            </a:ln>
          </spPr>
          <cat>
            <numRef>
              <f>'Overview'!$BB$24:$BK$24</f>
            </numRef>
          </cat>
          <val>
            <numRef>
              <f>'Overview'!$BB$26:$BK$26</f>
            </numRef>
          </val>
        </ser>
        <ser>
          <idx val="2"/>
          <order val="2"/>
          <tx>
            <strRef>
              <f>'Overview'!BA27</f>
            </strRef>
          </tx>
          <spPr>
            <a:ln xmlns:a="http://schemas.openxmlformats.org/drawingml/2006/main">
              <a:prstDash val="solid"/>
            </a:ln>
          </spPr>
          <cat>
            <numRef>
              <f>'Overview'!$BB$24:$BK$24</f>
            </numRef>
          </cat>
          <val>
            <numRef>
              <f>'Overview'!$BB$27:$BK$27</f>
            </numRef>
          </val>
        </ser>
        <ser>
          <idx val="3"/>
          <order val="3"/>
          <tx>
            <strRef>
              <f>'Overview'!BA28</f>
            </strRef>
          </tx>
          <spPr>
            <a:ln xmlns:a="http://schemas.openxmlformats.org/drawingml/2006/main">
              <a:prstDash val="solid"/>
            </a:ln>
          </spPr>
          <cat>
            <numRef>
              <f>'Overview'!$BB$24:$BK$24</f>
            </numRef>
          </cat>
          <val>
            <numRef>
              <f>'Overview'!$BB$28:$BK$28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Methodist Chapel Aid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ser>
          <idx val="5"/>
          <order val="5"/>
          <tx>
            <strRef>
              <f>'Overview'!BN11</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'Overview'!$BO$11:$BX$11</f>
            </numRef>
          </val>
          <smooth val="0"/>
        </ser>
        <ser>
          <idx val="6"/>
          <order val="6"/>
          <tx>
            <strRef>
              <f>'Overview'!BN12</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'Overview'!$BO$12:$BX$12</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Methodist Chapel Aid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35956037</v>
      </c>
      <c r="C6" s="5" t="n">
        <v>36147101</v>
      </c>
      <c r="D6" s="5" t="n">
        <v>36293524</v>
      </c>
      <c r="E6" s="5" t="n">
        <v>37194488</v>
      </c>
      <c r="F6" s="5" t="n">
        <v>40154805</v>
      </c>
      <c r="G6" s="5" t="n">
        <v>38940466</v>
      </c>
      <c r="H6" s="5" t="n">
        <v>36369860</v>
      </c>
      <c r="I6" s="5" t="n">
        <v>33535815</v>
      </c>
      <c r="J6" s="5" t="n">
        <v>33576835</v>
      </c>
      <c r="K6" s="5" t="n">
        <v>32972669</v>
      </c>
      <c r="N6" t="inlineStr">
        <is>
          <t>Total Assets</t>
        </is>
      </c>
      <c r="O6" t="n">
        <v>32972669</v>
      </c>
      <c r="P6" t="n">
        <v>33576835</v>
      </c>
      <c r="Q6" t="n">
        <v>33535815</v>
      </c>
      <c r="R6" t="n">
        <v>36369860</v>
      </c>
      <c r="S6" t="n">
        <v>38940466</v>
      </c>
      <c r="T6" t="n">
        <v>40154805</v>
      </c>
      <c r="U6" t="n">
        <v>37194488</v>
      </c>
      <c r="V6" t="n">
        <v>36293524</v>
      </c>
      <c r="W6" t="n">
        <v>36147101</v>
      </c>
      <c r="X6" t="n">
        <v>35956037</v>
      </c>
      <c r="BN6" t="inlineStr">
        <is>
          <t>CET1 Ratio</t>
        </is>
      </c>
      <c r="BR6" t="n">
        <v>58.68</v>
      </c>
      <c r="BS6" t="n">
        <v>51.48</v>
      </c>
      <c r="BT6" t="n">
        <v>52.79</v>
      </c>
      <c r="BU6" t="n">
        <v>53.85</v>
      </c>
      <c r="BV6" t="n">
        <v>52.88</v>
      </c>
    </row>
    <row r="7">
      <c r="A7" s="5" t="inlineStr">
        <is>
          <t>Loans and advances to customers</t>
        </is>
      </c>
      <c r="B7" s="5" t="n">
        <v>8262627</v>
      </c>
      <c r="C7" s="5" t="n">
        <v>9138711</v>
      </c>
      <c r="D7" s="5" t="n">
        <v>10330064</v>
      </c>
      <c r="E7" s="5" t="n">
        <v>8485497</v>
      </c>
      <c r="F7" s="5" t="n">
        <v>7197340</v>
      </c>
      <c r="G7" s="5" t="n">
        <v>7314586</v>
      </c>
      <c r="H7" s="5" t="n">
        <v>7888087</v>
      </c>
      <c r="I7" s="5" t="n">
        <v>6315264</v>
      </c>
      <c r="J7" s="5" t="n">
        <v>5210921</v>
      </c>
      <c r="K7" s="5" t="n">
        <v>4295209</v>
      </c>
      <c r="N7" t="inlineStr">
        <is>
          <t>Loans and advances to customers</t>
        </is>
      </c>
      <c r="O7" t="n">
        <v>4295209</v>
      </c>
      <c r="P7" t="n">
        <v>5210921</v>
      </c>
      <c r="Q7" t="n">
        <v>6315264</v>
      </c>
      <c r="R7" t="n">
        <v>7888087</v>
      </c>
      <c r="S7" t="n">
        <v>7314586</v>
      </c>
      <c r="T7" t="n">
        <v>7197340</v>
      </c>
      <c r="U7" t="n">
        <v>8485497</v>
      </c>
      <c r="V7" t="n">
        <v>10330064</v>
      </c>
      <c r="W7" t="n">
        <v>9138711</v>
      </c>
      <c r="X7" t="n">
        <v>8262627</v>
      </c>
      <c r="BN7" t="inlineStr">
        <is>
          <t>Total Capital Ratio</t>
        </is>
      </c>
      <c r="BR7" t="n">
        <v>58.68</v>
      </c>
      <c r="BS7" t="n">
        <v>51.48</v>
      </c>
      <c r="BT7" t="n">
        <v>52.79</v>
      </c>
      <c r="BU7" t="n">
        <v>53.85</v>
      </c>
      <c r="BV7" t="n">
        <v>52.88</v>
      </c>
    </row>
    <row r="8">
      <c r="A8" s="5" t="inlineStr">
        <is>
          <t>Customer accounts</t>
        </is>
      </c>
      <c r="B8" s="5" t="n">
        <v>21227564</v>
      </c>
      <c r="C8" s="5" t="n">
        <v>22043458</v>
      </c>
      <c r="D8" s="5" t="n">
        <v>22687021</v>
      </c>
      <c r="E8" s="5" t="n">
        <v>24113288</v>
      </c>
      <c r="F8" s="5" t="n">
        <v>25374073</v>
      </c>
      <c r="G8" s="5" t="n">
        <v>25034413</v>
      </c>
      <c r="H8" s="5" t="n">
        <v>23169408</v>
      </c>
      <c r="I8" s="5" t="n">
        <v>21897604</v>
      </c>
      <c r="J8" s="5" t="n">
        <v>21344785</v>
      </c>
      <c r="K8" s="5" t="n">
        <v>21572515</v>
      </c>
      <c r="N8" t="inlineStr">
        <is>
          <t>Customer accounts</t>
        </is>
      </c>
      <c r="O8" t="n">
        <v>21572515</v>
      </c>
      <c r="P8" t="n">
        <v>21344785</v>
      </c>
      <c r="Q8" t="n">
        <v>21897604</v>
      </c>
      <c r="R8" t="n">
        <v>23169408</v>
      </c>
      <c r="S8" t="n">
        <v>25034413</v>
      </c>
      <c r="T8" t="n">
        <v>25374073</v>
      </c>
      <c r="U8" t="n">
        <v>24113288</v>
      </c>
      <c r="V8" t="n">
        <v>22687021</v>
      </c>
      <c r="W8" t="n">
        <v>22043458</v>
      </c>
      <c r="X8" t="n">
        <v>21227564</v>
      </c>
      <c r="BN8" t="inlineStr">
        <is>
          <t>Leverage Ratio</t>
        </is>
      </c>
      <c r="BT8" t="n">
        <v>33.05</v>
      </c>
      <c r="BU8" t="n">
        <v>33.49</v>
      </c>
      <c r="BV8" t="n">
        <v>35.4</v>
      </c>
    </row>
    <row r="9">
      <c r="A9" s="5" t="inlineStr">
        <is>
          <t>Total equity</t>
        </is>
      </c>
      <c r="B9" s="5" t="n">
        <v>14117086</v>
      </c>
      <c r="C9" s="5" t="n">
        <v>13747327</v>
      </c>
      <c r="D9" s="5" t="n">
        <v>13353632</v>
      </c>
      <c r="E9" s="5" t="n">
        <v>12952019</v>
      </c>
      <c r="F9" s="5" t="n">
        <v>14176202</v>
      </c>
      <c r="G9" s="5" t="n">
        <v>13442989</v>
      </c>
      <c r="H9" s="5" t="n">
        <v>12867446</v>
      </c>
      <c r="I9" s="5" t="n">
        <v>11568761</v>
      </c>
      <c r="J9" s="5" t="n">
        <v>11998446</v>
      </c>
      <c r="K9" s="5" t="n">
        <v>11071512</v>
      </c>
      <c r="N9" t="inlineStr">
        <is>
          <t>Total equity</t>
        </is>
      </c>
      <c r="O9" t="n">
        <v>11071512</v>
      </c>
      <c r="P9" t="n">
        <v>11998446</v>
      </c>
      <c r="Q9" t="n">
        <v>11568761</v>
      </c>
      <c r="R9" t="n">
        <v>12867446</v>
      </c>
      <c r="S9" t="n">
        <v>13442989</v>
      </c>
      <c r="T9" t="n">
        <v>14176202</v>
      </c>
      <c r="U9" t="n">
        <v>12952019</v>
      </c>
      <c r="V9" t="n">
        <v>13353632</v>
      </c>
      <c r="W9" t="n">
        <v>13747327</v>
      </c>
      <c r="X9" t="n">
        <v>14117086</v>
      </c>
      <c r="BN9" t="inlineStr">
        <is>
          <t>LCR (12-month average of quarterly end-of-month positions)</t>
        </is>
      </c>
      <c r="BU9" t="n">
        <v>827</v>
      </c>
      <c r="BV9" t="n">
        <v>835</v>
      </c>
    </row>
    <row r="10">
      <c r="BN10" t="inlineStr">
        <is>
          <t>LCR at year-end (point-in-time, per UK KM1)</t>
        </is>
      </c>
      <c r="BT10" t="n">
        <v>603</v>
      </c>
      <c r="BU10" t="n">
        <v>833</v>
      </c>
      <c r="BV10" t="n">
        <v>970</v>
      </c>
    </row>
    <row r="11">
      <c r="A11" s="3" t="inlineStr">
        <is>
          <t>Profit &amp; Loss Summary (£)</t>
        </is>
      </c>
      <c r="BN11" t="inlineStr">
        <is>
          <t>NSFR (12-month average of quarterly end-of-month positions)</t>
        </is>
      </c>
      <c r="BU11" t="n">
        <v>194</v>
      </c>
      <c r="BV11" t="n">
        <v>182</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N12" t="inlineStr">
        <is>
          <t>NSFR at year-end (point-in-time, per UK KM1)</t>
        </is>
      </c>
      <c r="BT12" t="n">
        <v>184</v>
      </c>
      <c r="BU12" t="n">
        <v>192</v>
      </c>
      <c r="BV12" t="n">
        <v>174</v>
      </c>
    </row>
    <row r="13">
      <c r="A13" s="5" t="inlineStr">
        <is>
          <t>Total operating expense</t>
        </is>
      </c>
      <c r="B13" s="5" t="n">
        <v>-481964</v>
      </c>
      <c r="C13" s="5" t="n">
        <v>-570759</v>
      </c>
      <c r="D13" s="5" t="n">
        <v>-551258</v>
      </c>
      <c r="E13" s="5" t="n">
        <v>-455467</v>
      </c>
      <c r="F13" s="5" t="n">
        <v>-361324</v>
      </c>
      <c r="G13" s="5" t="n">
        <v>-371250</v>
      </c>
      <c r="H13" s="5" t="n">
        <v>-378013</v>
      </c>
      <c r="I13" s="5" t="n">
        <v>-370280</v>
      </c>
      <c r="J13" s="5" t="n">
        <v>-361235</v>
      </c>
      <c r="K13" s="5" t="n">
        <v>-355663</v>
      </c>
      <c r="AA13" t="inlineStr">
        <is>
          <t>Total operating expense</t>
        </is>
      </c>
      <c r="AB13" t="n">
        <v>-355663</v>
      </c>
      <c r="AC13" t="n">
        <v>-361235</v>
      </c>
      <c r="AD13" t="n">
        <v>-370280</v>
      </c>
      <c r="AE13" t="n">
        <v>-378013</v>
      </c>
      <c r="AF13" t="n">
        <v>-371250</v>
      </c>
      <c r="AG13" t="n">
        <v>-361324</v>
      </c>
      <c r="AH13" t="n">
        <v>-455467</v>
      </c>
      <c r="AI13" t="n">
        <v>-551258</v>
      </c>
      <c r="AJ13" t="n">
        <v>-570759</v>
      </c>
      <c r="AK13" t="n">
        <v>-481964</v>
      </c>
    </row>
    <row r="14">
      <c r="A14" s="5" t="inlineStr">
        <is>
          <t>Surplus/(deficit) before taxation</t>
        </is>
      </c>
      <c r="B14" s="5" t="n">
        <v>418967</v>
      </c>
      <c r="C14" s="5" t="n">
        <v>489534</v>
      </c>
      <c r="D14" s="5" t="n">
        <v>478770</v>
      </c>
      <c r="E14" s="5" t="n">
        <v>-1718227</v>
      </c>
      <c r="F14" s="5" t="n">
        <v>977572</v>
      </c>
      <c r="G14" s="5" t="n">
        <v>702221</v>
      </c>
      <c r="H14" s="5" t="n">
        <v>1559263</v>
      </c>
      <c r="I14" s="5" t="n">
        <v>-572535</v>
      </c>
      <c r="J14" s="5" t="n">
        <v>880487</v>
      </c>
      <c r="K14" s="5" t="n">
        <v>804283</v>
      </c>
      <c r="AA14" t="inlineStr">
        <is>
          <t>Surplus/(deficit) before taxation</t>
        </is>
      </c>
      <c r="AB14" t="n">
        <v>804283</v>
      </c>
      <c r="AC14" t="n">
        <v>880487</v>
      </c>
      <c r="AD14" t="n">
        <v>-572535</v>
      </c>
      <c r="AE14" t="n">
        <v>1559263</v>
      </c>
      <c r="AF14" t="n">
        <v>702221</v>
      </c>
      <c r="AG14" t="n">
        <v>977572</v>
      </c>
      <c r="AH14" t="n">
        <v>-1718227</v>
      </c>
      <c r="AI14" t="n">
        <v>478770</v>
      </c>
      <c r="AJ14" t="n">
        <v>489534</v>
      </c>
      <c r="AK14" t="n">
        <v>418967</v>
      </c>
    </row>
    <row r="15">
      <c r="A15" s="5" t="inlineStr">
        <is>
          <t>Surplus/(deficit) for the period/year</t>
        </is>
      </c>
      <c r="B15" s="5" t="n">
        <v>371112</v>
      </c>
      <c r="C15" s="5" t="n">
        <v>395012</v>
      </c>
      <c r="D15" s="5" t="n">
        <v>402846</v>
      </c>
      <c r="E15" s="5" t="n">
        <v>-1223070</v>
      </c>
      <c r="F15" s="5" t="n">
        <v>734281</v>
      </c>
      <c r="G15" s="5" t="n">
        <v>576601</v>
      </c>
      <c r="H15" s="5" t="n">
        <v>1299726</v>
      </c>
      <c r="I15" s="5" t="n">
        <v>-428667</v>
      </c>
      <c r="J15" s="5" t="n">
        <v>927913</v>
      </c>
      <c r="K15" s="5" t="n">
        <v>757654</v>
      </c>
      <c r="AA15" t="inlineStr">
        <is>
          <t>Surplus/(deficit) for the period/year</t>
        </is>
      </c>
      <c r="AB15" t="n">
        <v>757654</v>
      </c>
      <c r="AC15" t="n">
        <v>927913</v>
      </c>
      <c r="AD15" t="n">
        <v>-428667</v>
      </c>
      <c r="AE15" t="n">
        <v>1299726</v>
      </c>
      <c r="AF15" t="n">
        <v>576601</v>
      </c>
      <c r="AG15" t="n">
        <v>734281</v>
      </c>
      <c r="AH15" t="n">
        <v>-1223070</v>
      </c>
      <c r="AI15" t="n">
        <v>402846</v>
      </c>
      <c r="AJ15" t="n">
        <v>395012</v>
      </c>
      <c r="AK15" t="n">
        <v>371112</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Surplus/(deficit) for the period/year</t>
        </is>
      </c>
      <c r="B19" s="5" t="n">
        <v>371112</v>
      </c>
      <c r="C19" s="5" t="n">
        <v>395012</v>
      </c>
      <c r="D19" s="5" t="n">
        <v>402846</v>
      </c>
      <c r="E19" s="5" t="n">
        <v>-1223070</v>
      </c>
      <c r="F19" s="5" t="n">
        <v>734281</v>
      </c>
      <c r="G19" s="5" t="n">
        <v>576601</v>
      </c>
      <c r="H19" s="5" t="n">
        <v>1299726</v>
      </c>
      <c r="I19" s="5" t="n">
        <v>-428667</v>
      </c>
      <c r="J19" s="5" t="n">
        <v>927913</v>
      </c>
      <c r="K19" s="5" t="n">
        <v>757654</v>
      </c>
      <c r="AN19" t="inlineStr">
        <is>
          <t>Surplus/(deficit) for the period/year</t>
        </is>
      </c>
      <c r="AO19" t="n">
        <v>757654</v>
      </c>
      <c r="AP19" t="n">
        <v>927913</v>
      </c>
      <c r="AQ19" t="n">
        <v>-428667</v>
      </c>
      <c r="AR19" t="n">
        <v>1299726</v>
      </c>
      <c r="AS19" t="n">
        <v>576601</v>
      </c>
      <c r="AT19" t="n">
        <v>734281</v>
      </c>
      <c r="AU19" t="n">
        <v>-1223070</v>
      </c>
      <c r="AV19" t="n">
        <v>402846</v>
      </c>
      <c r="AW19" t="n">
        <v>395012</v>
      </c>
      <c r="AX19" t="n">
        <v>371112</v>
      </c>
    </row>
    <row r="20">
      <c r="A20" s="5" t="inlineStr">
        <is>
          <t>Dividends paid and payable</t>
        </is>
      </c>
      <c r="B20" s="5" t="n">
        <v>-1353</v>
      </c>
      <c r="C20" s="5" t="n">
        <v>-1317</v>
      </c>
      <c r="D20" s="5" t="n">
        <v>-1233</v>
      </c>
      <c r="E20" s="5" t="n">
        <v>-1113</v>
      </c>
      <c r="F20" s="5" t="n">
        <v>-1068</v>
      </c>
      <c r="G20" s="5" t="n">
        <v>-1058</v>
      </c>
      <c r="H20" s="5" t="n">
        <v>-1041</v>
      </c>
      <c r="I20" s="5" t="n">
        <v>-1018</v>
      </c>
      <c r="J20" s="5" t="n">
        <v>-979</v>
      </c>
      <c r="K20" s="5" t="n">
        <v>-967</v>
      </c>
      <c r="AN20" t="inlineStr">
        <is>
          <t>Dividends paid and payable</t>
        </is>
      </c>
      <c r="AO20" t="n">
        <v>-967</v>
      </c>
      <c r="AP20" t="n">
        <v>-979</v>
      </c>
      <c r="AQ20" t="n">
        <v>-1018</v>
      </c>
      <c r="AR20" t="n">
        <v>-1041</v>
      </c>
      <c r="AS20" t="n">
        <v>-1058</v>
      </c>
      <c r="AT20" t="n">
        <v>-1068</v>
      </c>
      <c r="AU20" t="n">
        <v>-1113</v>
      </c>
      <c r="AV20" t="n">
        <v>-1233</v>
      </c>
      <c r="AW20" t="n">
        <v>-1317</v>
      </c>
      <c r="AX20" t="n">
        <v>-1353</v>
      </c>
    </row>
    <row r="21">
      <c r="A21" s="5" t="inlineStr">
        <is>
          <t>Closing equity</t>
        </is>
      </c>
      <c r="B21" s="5" t="n">
        <v>14117086</v>
      </c>
      <c r="C21" s="5" t="n">
        <v>13747327</v>
      </c>
      <c r="D21" s="5" t="n">
        <v>13353632</v>
      </c>
      <c r="E21" s="5" t="n">
        <v>12952019</v>
      </c>
      <c r="F21" s="5" t="n">
        <v>14176202</v>
      </c>
      <c r="G21" s="5" t="n">
        <v>13442989</v>
      </c>
      <c r="H21" s="5" t="n">
        <v>12867446</v>
      </c>
      <c r="I21" s="5" t="n">
        <v>11568761</v>
      </c>
      <c r="J21" s="5" t="n">
        <v>11998446</v>
      </c>
      <c r="K21" s="5" t="n">
        <v>11071512</v>
      </c>
      <c r="AN21" t="inlineStr">
        <is>
          <t>Closing equity</t>
        </is>
      </c>
      <c r="AO21" t="n">
        <v>11071512</v>
      </c>
      <c r="AP21" t="n">
        <v>11998446</v>
      </c>
      <c r="AQ21" t="n">
        <v>11568761</v>
      </c>
      <c r="AR21" t="n">
        <v>12867446</v>
      </c>
      <c r="AS21" t="n">
        <v>13442989</v>
      </c>
      <c r="AT21" t="n">
        <v>14176202</v>
      </c>
      <c r="AU21" t="n">
        <v>12952019</v>
      </c>
      <c r="AV21" t="n">
        <v>13353632</v>
      </c>
      <c r="AW21" t="n">
        <v>13747327</v>
      </c>
      <c r="AX21" t="n">
        <v>14117086</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J24" s="4" t="inlineStr">
        <is>
          <t>FY2017</t>
        </is>
      </c>
      <c r="K24" s="4" t="inlineStr">
        <is>
          <t>FY2016</t>
        </is>
      </c>
      <c r="BB24" t="inlineStr">
        <is>
          <t>FY2016</t>
        </is>
      </c>
      <c r="BC24" t="inlineStr">
        <is>
          <t>FY2017</t>
        </is>
      </c>
      <c r="BD24" t="inlineStr">
        <is>
          <t>FY2018</t>
        </is>
      </c>
      <c r="BE24" t="inlineStr">
        <is>
          <t>FY2019</t>
        </is>
      </c>
      <c r="BF24" t="inlineStr">
        <is>
          <t>FY2020</t>
        </is>
      </c>
      <c r="BG24" t="inlineStr">
        <is>
          <t>FY2021</t>
        </is>
      </c>
      <c r="BH24" t="inlineStr">
        <is>
          <t>FY2022</t>
        </is>
      </c>
      <c r="BI24" t="inlineStr">
        <is>
          <t>FY2023</t>
        </is>
      </c>
      <c r="BJ24" t="inlineStr">
        <is>
          <t>FY2024</t>
        </is>
      </c>
      <c r="BK24" t="inlineStr">
        <is>
          <t>FY2025</t>
        </is>
      </c>
    </row>
    <row r="25">
      <c r="A25" s="5" t="inlineStr">
        <is>
          <t>Net cash generated/(used) from operating activities</t>
        </is>
      </c>
      <c r="B25" s="5" t="n">
        <v>230314</v>
      </c>
      <c r="C25" s="5" t="n">
        <v>429322</v>
      </c>
      <c r="D25" s="5" t="n">
        <v>-3050504</v>
      </c>
      <c r="E25" s="5" t="n">
        <v>-2346030</v>
      </c>
      <c r="F25" s="5" t="n">
        <v>714322</v>
      </c>
      <c r="G25" s="5" t="n">
        <v>2973715</v>
      </c>
      <c r="H25" s="5" t="n">
        <v>-70421</v>
      </c>
      <c r="I25" s="5" t="n">
        <v>-303376</v>
      </c>
      <c r="J25" s="5" t="n">
        <v>-974245</v>
      </c>
      <c r="K25" s="5" t="n">
        <v>161846</v>
      </c>
      <c r="BA25" t="inlineStr">
        <is>
          <t>Net cash generated/(used) from operating activities</t>
        </is>
      </c>
      <c r="BB25" t="n">
        <v>161846</v>
      </c>
      <c r="BC25" t="n">
        <v>-974245</v>
      </c>
      <c r="BD25" t="n">
        <v>-303376</v>
      </c>
      <c r="BE25" t="n">
        <v>-70421</v>
      </c>
      <c r="BF25" t="n">
        <v>2973715</v>
      </c>
      <c r="BG25" t="n">
        <v>714322</v>
      </c>
      <c r="BH25" t="n">
        <v>-2346030</v>
      </c>
      <c r="BI25" t="n">
        <v>-3050504</v>
      </c>
      <c r="BJ25" t="n">
        <v>429322</v>
      </c>
      <c r="BK25" t="n">
        <v>230314</v>
      </c>
    </row>
    <row r="26">
      <c r="A26" s="5" t="inlineStr">
        <is>
          <t>Net cash generated/(used) from investing activities</t>
        </is>
      </c>
      <c r="B26" s="5" t="n">
        <v>-249591</v>
      </c>
      <c r="C26" s="5" t="n">
        <v>661933</v>
      </c>
      <c r="D26" s="5" t="n">
        <v>-364592</v>
      </c>
      <c r="E26" s="5" t="n">
        <v>-261027</v>
      </c>
      <c r="F26" s="5" t="n">
        <v>519122</v>
      </c>
      <c r="G26" s="5" t="n">
        <v>-892604</v>
      </c>
      <c r="H26" s="5" t="n">
        <v>4062</v>
      </c>
      <c r="I26" s="5" t="n">
        <v>178019</v>
      </c>
      <c r="J26" s="5" t="n">
        <v>327744</v>
      </c>
      <c r="K26" s="5" t="n">
        <v>171836</v>
      </c>
      <c r="BA26" t="inlineStr">
        <is>
          <t>Net cash generated/(used) from investing activities</t>
        </is>
      </c>
      <c r="BB26" t="n">
        <v>171836</v>
      </c>
      <c r="BC26" t="n">
        <v>327744</v>
      </c>
      <c r="BD26" t="n">
        <v>178019</v>
      </c>
      <c r="BE26" t="n">
        <v>4062</v>
      </c>
      <c r="BF26" t="n">
        <v>-892604</v>
      </c>
      <c r="BG26" t="n">
        <v>519122</v>
      </c>
      <c r="BH26" t="n">
        <v>-261027</v>
      </c>
      <c r="BI26" t="n">
        <v>-364592</v>
      </c>
      <c r="BJ26" t="n">
        <v>661933</v>
      </c>
      <c r="BK26" t="n">
        <v>-249591</v>
      </c>
    </row>
    <row r="27">
      <c r="A27" s="5" t="inlineStr">
        <is>
          <t>Net cash generated/(used) in financing activities</t>
        </is>
      </c>
      <c r="B27" s="5" t="n">
        <v>-1353</v>
      </c>
      <c r="C27" s="5" t="n">
        <v>-1317</v>
      </c>
      <c r="D27" s="5" t="n">
        <v>-1233</v>
      </c>
      <c r="E27" s="5" t="n">
        <v>-1113</v>
      </c>
      <c r="F27" s="5" t="n">
        <v>-1068</v>
      </c>
      <c r="G27" s="5" t="n">
        <v>-1058</v>
      </c>
      <c r="H27" s="5" t="n">
        <v>-1041</v>
      </c>
      <c r="I27" s="5" t="n">
        <v>-1018</v>
      </c>
      <c r="J27" s="5" t="n">
        <v>-979</v>
      </c>
      <c r="K27" s="5" t="n">
        <v>-967</v>
      </c>
      <c r="BA27" t="inlineStr">
        <is>
          <t>Net cash generated/(used) in financing activities</t>
        </is>
      </c>
      <c r="BB27" t="n">
        <v>-967</v>
      </c>
      <c r="BC27" t="n">
        <v>-979</v>
      </c>
      <c r="BD27" t="n">
        <v>-1018</v>
      </c>
      <c r="BE27" t="n">
        <v>-1041</v>
      </c>
      <c r="BF27" t="n">
        <v>-1058</v>
      </c>
      <c r="BG27" t="n">
        <v>-1068</v>
      </c>
      <c r="BH27" t="n">
        <v>-1113</v>
      </c>
      <c r="BI27" t="n">
        <v>-1233</v>
      </c>
      <c r="BJ27" t="n">
        <v>-1317</v>
      </c>
      <c r="BK27" t="n">
        <v>-1353</v>
      </c>
    </row>
    <row r="28">
      <c r="A28" s="5" t="inlineStr">
        <is>
          <t>Cash and cash equivalents at end of year/period</t>
        </is>
      </c>
      <c r="B28" s="5" t="n">
        <v>10166442</v>
      </c>
      <c r="C28" s="5" t="n">
        <v>10187072</v>
      </c>
      <c r="D28" s="5" t="n">
        <v>9097134</v>
      </c>
      <c r="E28" s="5" t="n">
        <v>12513463</v>
      </c>
      <c r="F28" s="5" t="n">
        <v>15121633</v>
      </c>
      <c r="G28" s="5" t="n">
        <v>13889257</v>
      </c>
      <c r="H28" s="5" t="n">
        <v>11809204</v>
      </c>
      <c r="I28" s="5" t="n">
        <v>11876604</v>
      </c>
      <c r="J28" s="5" t="n">
        <v>12002979</v>
      </c>
      <c r="K28" s="5" t="n">
        <v>12650459</v>
      </c>
      <c r="BA28" t="inlineStr">
        <is>
          <t>Cash and cash equivalents at end of year/period</t>
        </is>
      </c>
      <c r="BB28" t="n">
        <v>12650459</v>
      </c>
      <c r="BC28" t="n">
        <v>12002979</v>
      </c>
      <c r="BD28" t="n">
        <v>11876604</v>
      </c>
      <c r="BE28" t="n">
        <v>11809204</v>
      </c>
      <c r="BF28" t="n">
        <v>13889257</v>
      </c>
      <c r="BG28" t="n">
        <v>15121633</v>
      </c>
      <c r="BH28" t="n">
        <v>12513463</v>
      </c>
      <c r="BI28" t="n">
        <v>9097134</v>
      </c>
      <c r="BJ28" t="n">
        <v>10187072</v>
      </c>
      <c r="BK28" t="n">
        <v>10166442</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row>
    <row r="32">
      <c r="A32" s="6" t="inlineStr">
        <is>
          <t>CET1 Ratio</t>
        </is>
      </c>
      <c r="B32" s="6" t="n"/>
      <c r="C32" s="6" t="n"/>
      <c r="D32" s="6" t="inlineStr">
        <is>
          <t>52.88%</t>
        </is>
      </c>
      <c r="E32" s="6" t="inlineStr">
        <is>
          <t>53.85%</t>
        </is>
      </c>
      <c r="F32" s="6" t="inlineStr">
        <is>
          <t>52.79%</t>
        </is>
      </c>
      <c r="G32" s="6" t="inlineStr">
        <is>
          <t>51.48%</t>
        </is>
      </c>
      <c r="H32" s="6" t="inlineStr">
        <is>
          <t>58.68%</t>
        </is>
      </c>
      <c r="I32" s="6" t="n"/>
      <c r="J32" s="6" t="n"/>
      <c r="K32" s="6" t="n"/>
    </row>
    <row r="33">
      <c r="A33" s="6" t="inlineStr">
        <is>
          <t>Total Capital Ratio</t>
        </is>
      </c>
      <c r="B33" s="6" t="n"/>
      <c r="C33" s="6" t="n"/>
      <c r="D33" s="6" t="inlineStr">
        <is>
          <t>52.88%</t>
        </is>
      </c>
      <c r="E33" s="6" t="inlineStr">
        <is>
          <t>53.85%</t>
        </is>
      </c>
      <c r="F33" s="6" t="inlineStr">
        <is>
          <t>52.79%</t>
        </is>
      </c>
      <c r="G33" s="6" t="inlineStr">
        <is>
          <t>51.48%</t>
        </is>
      </c>
      <c r="H33" s="6" t="inlineStr">
        <is>
          <t>58.68%</t>
        </is>
      </c>
      <c r="I33" s="6" t="n"/>
      <c r="J33" s="6" t="n"/>
      <c r="K33" s="6" t="n"/>
    </row>
    <row r="34">
      <c r="A34" s="6" t="inlineStr">
        <is>
          <t>Leverage Ratio</t>
        </is>
      </c>
      <c r="B34" s="6" t="n"/>
      <c r="C34" s="6" t="n"/>
      <c r="D34" s="6" t="inlineStr">
        <is>
          <t>35.4%</t>
        </is>
      </c>
      <c r="E34" s="6" t="inlineStr">
        <is>
          <t>33.49%</t>
        </is>
      </c>
      <c r="F34" s="6" t="inlineStr">
        <is>
          <t>33.05%</t>
        </is>
      </c>
      <c r="G34" s="6" t="inlineStr">
        <is>
          <t>~30%</t>
        </is>
      </c>
      <c r="H34" s="6" t="inlineStr">
        <is>
          <t>~30%</t>
        </is>
      </c>
      <c r="I34" s="6" t="n"/>
      <c r="J34" s="6" t="n"/>
      <c r="K34" s="6" t="n"/>
    </row>
    <row r="35">
      <c r="A35" s="6" t="inlineStr">
        <is>
          <t>LCR (12-month average of quarterly end-of-month positions)</t>
        </is>
      </c>
      <c r="B35" s="6" t="n"/>
      <c r="C35" s="6" t="n"/>
      <c r="D35" s="6" t="inlineStr">
        <is>
          <t>835%</t>
        </is>
      </c>
      <c r="E35" s="6" t="inlineStr">
        <is>
          <t>827%</t>
        </is>
      </c>
      <c r="F35" s="6" t="n"/>
      <c r="G35" s="6" t="n"/>
      <c r="H35" s="6" t="n"/>
      <c r="I35" s="6" t="n"/>
      <c r="J35" s="6" t="n"/>
      <c r="K35" s="6" t="n"/>
    </row>
    <row r="36">
      <c r="A36" s="6" t="inlineStr">
        <is>
          <t>LCR at year-end (point-in-time, per UK KM1)</t>
        </is>
      </c>
      <c r="B36" s="6" t="n"/>
      <c r="C36" s="6" t="n"/>
      <c r="D36" s="6" t="inlineStr">
        <is>
          <t>970%</t>
        </is>
      </c>
      <c r="E36" s="6" t="inlineStr">
        <is>
          <t>833%</t>
        </is>
      </c>
      <c r="F36" s="6" t="inlineStr">
        <is>
          <t>603%</t>
        </is>
      </c>
      <c r="G36" s="6" t="n"/>
      <c r="H36" s="6" t="n"/>
      <c r="I36" s="6" t="n"/>
      <c r="J36" s="6" t="n"/>
      <c r="K36" s="6" t="n"/>
    </row>
    <row r="37">
      <c r="A37" s="6" t="inlineStr">
        <is>
          <t>NSFR (12-month average of quarterly end-of-month positions)</t>
        </is>
      </c>
      <c r="B37" s="6" t="n"/>
      <c r="C37" s="6" t="n"/>
      <c r="D37" s="6" t="inlineStr">
        <is>
          <t>182%</t>
        </is>
      </c>
      <c r="E37" s="6" t="inlineStr">
        <is>
          <t>194%</t>
        </is>
      </c>
      <c r="F37" s="6" t="n"/>
      <c r="G37" s="6" t="n"/>
      <c r="H37" s="6" t="n"/>
      <c r="I37" s="6" t="n"/>
      <c r="J37" s="6" t="n"/>
      <c r="K37" s="6" t="n"/>
    </row>
    <row r="38">
      <c r="A38" s="6" t="inlineStr">
        <is>
          <t>NSFR at year-end (point-in-time, per UK KM1)</t>
        </is>
      </c>
      <c r="B38" s="6" t="n"/>
      <c r="C38" s="6" t="n"/>
      <c r="D38" s="6" t="inlineStr">
        <is>
          <t>174%</t>
        </is>
      </c>
      <c r="E38" s="6" t="inlineStr">
        <is>
          <t>192%</t>
        </is>
      </c>
      <c r="F38" s="6" t="inlineStr">
        <is>
          <t>184%</t>
        </is>
      </c>
      <c r="G38" s="6" t="inlineStr">
        <is>
          <t>Not applicable</t>
        </is>
      </c>
      <c r="H38" s="6" t="inlineStr">
        <is>
          <t>Not applicable</t>
        </is>
      </c>
      <c r="I38" s="6" t="inlineStr">
        <is>
          <t>Not applicable</t>
        </is>
      </c>
      <c r="J38" s="6" t="inlineStr">
        <is>
          <t>Not applicable</t>
        </is>
      </c>
      <c r="K38" s="6" t="inlineStr">
        <is>
          <t>Not applicable</t>
        </is>
      </c>
    </row>
    <row r="40" ht="45" customHeight="1">
      <c r="A40" s="7" t="inlineStr">
        <is>
          <t>Note: CORRECTED 2026-09-15. This sheet previously showed ONE LCR row reading 835% / 833% / 603% for FY2023 / FY2022 / FY2021, which silently mixed two different series: 835% is the FY2023 12-month average, while 833% and 603% are year-end point-in-time figures from the UK KM1 tables. The FY2022 average (827%) and the FY2023 year-end value (970%) had never been transcribed at all, so the row read as a flat trend when the two real series in fact move differently. Both series are now shown in full on separate labelled rows, for NSFR as well as LCR, and an NSFR row has been added here for the first time. NSFR FY2016-FY2020 read 'Not applicable' because the UK had no NSFR requirement before 1 January 2022 (PRA PS17/21). See the LCR and NSFR sheets for the full basis note, including the caption error in the source's own KM1 tables.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40:K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Financial Position</t>
        </is>
      </c>
    </row>
    <row r="2">
      <c r="A2" s="2" t="inlineStr">
        <is>
          <t>Entity-level basis, £. FY2025 as at 30 September 2025 (9-month period end); all other years as at 31 December.</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Assets</t>
        </is>
      </c>
      <c r="B4" s="6" t="n"/>
      <c r="C4" s="6" t="n"/>
      <c r="D4" s="6" t="n"/>
      <c r="E4" s="6" t="n"/>
      <c r="F4" s="6" t="n"/>
      <c r="G4" s="6" t="n"/>
      <c r="H4" s="6" t="n"/>
      <c r="I4" s="6" t="n"/>
      <c r="J4" s="6" t="n"/>
      <c r="K4" s="6" t="n"/>
    </row>
    <row r="5">
      <c r="A5" s="6" t="inlineStr">
        <is>
          <t>Cash and bank balances</t>
        </is>
      </c>
      <c r="B5" s="6" t="n">
        <v>9417754</v>
      </c>
      <c r="C5" s="6" t="n">
        <v>8355272</v>
      </c>
      <c r="D5" s="6" t="n">
        <v>7520873</v>
      </c>
      <c r="E5" s="6" t="n">
        <v>10132743</v>
      </c>
      <c r="F5" s="6" t="n">
        <v>12459792</v>
      </c>
      <c r="G5" s="6" t="n">
        <v>13653122</v>
      </c>
      <c r="H5" s="6" t="n">
        <v>10947148</v>
      </c>
      <c r="I5" s="6" t="n">
        <v>10984433</v>
      </c>
      <c r="J5" s="6" t="n">
        <v>11252440</v>
      </c>
      <c r="K5" s="6" t="n">
        <v>12174432</v>
      </c>
    </row>
    <row r="6">
      <c r="A6" s="6" t="inlineStr">
        <is>
          <t>Loans and advances to customers</t>
        </is>
      </c>
      <c r="B6" s="6" t="n">
        <v>8262627</v>
      </c>
      <c r="C6" s="6" t="n">
        <v>9138711</v>
      </c>
      <c r="D6" s="6" t="n">
        <v>10330064</v>
      </c>
      <c r="E6" s="6" t="n">
        <v>8485497</v>
      </c>
      <c r="F6" s="6" t="n">
        <v>7197340</v>
      </c>
      <c r="G6" s="6" t="n">
        <v>7314586</v>
      </c>
      <c r="H6" s="6" t="n">
        <v>7888087</v>
      </c>
      <c r="I6" s="6" t="n">
        <v>6315264</v>
      </c>
      <c r="J6" s="6" t="n">
        <v>5210921</v>
      </c>
      <c r="K6" s="6" t="n">
        <v>4295209</v>
      </c>
    </row>
    <row r="7">
      <c r="A7" s="6" t="inlineStr">
        <is>
          <t>Investments - issued by public body</t>
        </is>
      </c>
      <c r="B7" s="6" t="n">
        <v>4941874</v>
      </c>
      <c r="C7" s="6" t="n">
        <v>4208030</v>
      </c>
      <c r="D7" s="6" t="n">
        <v>4824018</v>
      </c>
      <c r="E7" s="6" t="n"/>
      <c r="F7" s="6" t="n"/>
      <c r="G7" s="6" t="n"/>
      <c r="H7" s="6" t="n"/>
      <c r="I7" s="6" t="n"/>
      <c r="J7" s="6" t="n"/>
      <c r="K7" s="6" t="n"/>
    </row>
    <row r="8">
      <c r="A8" s="6" t="inlineStr">
        <is>
          <t>Investments - other loans and advances</t>
        </is>
      </c>
      <c r="B8" s="6" t="n">
        <v>3843427</v>
      </c>
      <c r="C8" s="6" t="n">
        <v>4049871</v>
      </c>
      <c r="D8" s="6" t="n">
        <v>4500425</v>
      </c>
      <c r="E8" s="6" t="n"/>
      <c r="F8" s="6" t="n"/>
      <c r="G8" s="6" t="n"/>
      <c r="H8" s="6" t="n"/>
      <c r="I8" s="6" t="n"/>
      <c r="J8" s="6" t="n"/>
      <c r="K8" s="6" t="n"/>
    </row>
    <row r="9">
      <c r="A9" s="6" t="inlineStr">
        <is>
          <t>Investments - debt and fixed income securities (aggregate, pre-2021 disclosure)</t>
        </is>
      </c>
      <c r="B9" s="6" t="n"/>
      <c r="C9" s="6" t="n"/>
      <c r="D9" s="6" t="n"/>
      <c r="E9" s="6" t="n"/>
      <c r="F9" s="6" t="n"/>
      <c r="G9" s="6" t="n">
        <v>9047492</v>
      </c>
      <c r="H9" s="6" t="n">
        <v>8170744</v>
      </c>
      <c r="I9" s="6" t="n">
        <v>7957868</v>
      </c>
      <c r="J9" s="6" t="n">
        <v>8122521</v>
      </c>
      <c r="K9" s="6" t="n">
        <v>7940441</v>
      </c>
    </row>
    <row r="10">
      <c r="A10" s="6" t="inlineStr">
        <is>
          <t>Investments - equity investments</t>
        </is>
      </c>
      <c r="B10" s="6" t="n">
        <v>8230600</v>
      </c>
      <c r="C10" s="6" t="n">
        <v>8135418</v>
      </c>
      <c r="D10" s="6" t="n">
        <v>7100690</v>
      </c>
      <c r="E10" s="6" t="n"/>
      <c r="F10" s="6" t="n"/>
      <c r="G10" s="6" t="n">
        <v>8606515</v>
      </c>
      <c r="H10" s="6" t="n">
        <v>8368796</v>
      </c>
      <c r="I10" s="6" t="n">
        <v>7260746</v>
      </c>
      <c r="J10" s="6" t="n">
        <v>8090285</v>
      </c>
      <c r="K10" s="6" t="n">
        <v>7927810</v>
      </c>
    </row>
    <row r="11">
      <c r="A11" s="5" t="inlineStr">
        <is>
          <t>Total investments</t>
        </is>
      </c>
      <c r="B11" s="5" t="n">
        <v>17015901</v>
      </c>
      <c r="C11" s="5" t="n">
        <v>16393319</v>
      </c>
      <c r="D11" s="5" t="n">
        <v>16425133</v>
      </c>
      <c r="E11" s="5" t="n">
        <v>16047858</v>
      </c>
      <c r="F11" s="5" t="n">
        <v>17733105</v>
      </c>
      <c r="G11" s="5" t="n">
        <v>17654007</v>
      </c>
      <c r="H11" s="5" t="n">
        <v>16539540</v>
      </c>
      <c r="I11" s="5" t="n">
        <v>15218614</v>
      </c>
      <c r="J11" s="5" t="n">
        <v>16212806</v>
      </c>
      <c r="K11" s="5" t="n">
        <v>15868251</v>
      </c>
    </row>
    <row r="12">
      <c r="A12" s="6" t="inlineStr">
        <is>
          <t>Intangible fixed assets</t>
        </is>
      </c>
      <c r="B12" s="6" t="n">
        <v>3957</v>
      </c>
      <c r="C12" s="6" t="n"/>
      <c r="D12" s="6" t="n"/>
      <c r="E12" s="6" t="n"/>
      <c r="F12" s="6" t="n"/>
      <c r="G12" s="6" t="n"/>
      <c r="H12" s="6" t="n"/>
      <c r="I12" s="6" t="n"/>
      <c r="J12" s="6" t="n"/>
      <c r="K12" s="6" t="n"/>
    </row>
    <row r="13">
      <c r="A13" s="6" t="inlineStr">
        <is>
          <t>Tangible fixed assets</t>
        </is>
      </c>
      <c r="B13" s="6" t="n">
        <v>287367</v>
      </c>
      <c r="C13" s="6" t="n">
        <v>300959</v>
      </c>
      <c r="D13" s="6" t="n">
        <v>305490</v>
      </c>
      <c r="E13" s="6" t="n">
        <v>37749</v>
      </c>
      <c r="F13" s="6" t="n">
        <v>31127</v>
      </c>
      <c r="G13" s="6" t="n">
        <v>7852</v>
      </c>
      <c r="H13" s="6" t="n">
        <v>22084</v>
      </c>
      <c r="I13" s="6" t="n">
        <v>32058</v>
      </c>
      <c r="J13" s="6" t="n">
        <v>50429</v>
      </c>
      <c r="K13" s="6" t="n">
        <v>66102</v>
      </c>
    </row>
    <row r="14">
      <c r="A14" s="6" t="inlineStr">
        <is>
          <t>Investments held for short term purposes</t>
        </is>
      </c>
      <c r="B14" s="6" t="n">
        <v>748688</v>
      </c>
      <c r="C14" s="6" t="n">
        <v>1831800</v>
      </c>
      <c r="D14" s="6" t="n">
        <v>1576261</v>
      </c>
      <c r="E14" s="6" t="n">
        <v>2380720</v>
      </c>
      <c r="F14" s="6" t="n">
        <v>2661841</v>
      </c>
      <c r="G14" s="6" t="n">
        <v>236135</v>
      </c>
      <c r="H14" s="6" t="n">
        <v>862056</v>
      </c>
      <c r="I14" s="6" t="n">
        <v>892171</v>
      </c>
      <c r="J14" s="6" t="n">
        <v>750539</v>
      </c>
      <c r="K14" s="6" t="n">
        <v>476027</v>
      </c>
    </row>
    <row r="15">
      <c r="A15" s="6" t="inlineStr">
        <is>
          <t>Prepayments, accrued income and other assets</t>
        </is>
      </c>
      <c r="B15" s="6" t="n">
        <v>219743</v>
      </c>
      <c r="C15" s="6" t="n">
        <v>127040</v>
      </c>
      <c r="D15" s="6" t="n">
        <v>135703</v>
      </c>
      <c r="E15" s="6" t="n">
        <v>109921</v>
      </c>
      <c r="F15" s="6" t="n">
        <v>71600</v>
      </c>
      <c r="G15" s="6" t="n">
        <v>74764</v>
      </c>
      <c r="H15" s="6" t="n">
        <v>110945</v>
      </c>
      <c r="I15" s="6" t="n">
        <v>93275</v>
      </c>
      <c r="J15" s="6" t="n">
        <v>99700</v>
      </c>
      <c r="K15" s="6" t="n">
        <v>92648</v>
      </c>
    </row>
    <row r="16">
      <c r="A16" s="5" t="inlineStr">
        <is>
          <t>Total Assets</t>
        </is>
      </c>
      <c r="B16" s="5" t="n">
        <v>35956037</v>
      </c>
      <c r="C16" s="5" t="n">
        <v>36147101</v>
      </c>
      <c r="D16" s="5" t="n">
        <v>36293524</v>
      </c>
      <c r="E16" s="5" t="n">
        <v>37194488</v>
      </c>
      <c r="F16" s="5" t="n">
        <v>40154805</v>
      </c>
      <c r="G16" s="5" t="n">
        <v>38940466</v>
      </c>
      <c r="H16" s="5" t="n">
        <v>36369860</v>
      </c>
      <c r="I16" s="5" t="n">
        <v>33535815</v>
      </c>
      <c r="J16" s="5" t="n">
        <v>33576835</v>
      </c>
      <c r="K16" s="5" t="n">
        <v>32972669</v>
      </c>
    </row>
    <row r="17">
      <c r="A17" s="5" t="inlineStr">
        <is>
          <t>Liabilities</t>
        </is>
      </c>
      <c r="B17" s="6" t="n"/>
      <c r="C17" s="6" t="n"/>
      <c r="D17" s="6" t="n"/>
      <c r="E17" s="6" t="n"/>
      <c r="F17" s="6" t="n"/>
      <c r="G17" s="6" t="n"/>
      <c r="H17" s="6" t="n"/>
      <c r="I17" s="6" t="n"/>
      <c r="J17" s="6" t="n"/>
      <c r="K17" s="6" t="n"/>
    </row>
    <row r="18">
      <c r="A18" s="6" t="inlineStr">
        <is>
          <t>Customer accounts</t>
        </is>
      </c>
      <c r="B18" s="6" t="n">
        <v>21227564</v>
      </c>
      <c r="C18" s="6" t="n">
        <v>22043458</v>
      </c>
      <c r="D18" s="6" t="n">
        <v>22687021</v>
      </c>
      <c r="E18" s="6" t="n">
        <v>24113288</v>
      </c>
      <c r="F18" s="6" t="n">
        <v>25374073</v>
      </c>
      <c r="G18" s="6" t="n">
        <v>25034413</v>
      </c>
      <c r="H18" s="6" t="n">
        <v>23169408</v>
      </c>
      <c r="I18" s="6" t="n">
        <v>21897604</v>
      </c>
      <c r="J18" s="6" t="n">
        <v>21344785</v>
      </c>
      <c r="K18" s="6" t="n">
        <v>21572515</v>
      </c>
    </row>
    <row r="19">
      <c r="A19" s="6" t="inlineStr">
        <is>
          <t>Other liabilities</t>
        </is>
      </c>
      <c r="B19" s="6" t="n">
        <v>370311</v>
      </c>
      <c r="C19" s="6" t="n">
        <v>167472</v>
      </c>
      <c r="D19" s="6" t="n">
        <v>131713</v>
      </c>
      <c r="E19" s="6" t="n">
        <v>83947</v>
      </c>
      <c r="F19" s="6" t="n">
        <v>64139</v>
      </c>
      <c r="G19" s="6" t="n">
        <v>167071</v>
      </c>
      <c r="H19" s="6" t="n">
        <v>75034</v>
      </c>
      <c r="I19" s="6" t="n">
        <v>64494</v>
      </c>
      <c r="J19" s="6" t="n">
        <v>85883</v>
      </c>
      <c r="K19" s="6" t="n">
        <v>88824</v>
      </c>
    </row>
    <row r="20">
      <c r="A20" s="5" t="inlineStr">
        <is>
          <t>Total Liabilities</t>
        </is>
      </c>
      <c r="B20" s="5" t="n">
        <v>21597875</v>
      </c>
      <c r="C20" s="5" t="n">
        <v>22210930</v>
      </c>
      <c r="D20" s="5" t="n">
        <v>22818734</v>
      </c>
      <c r="E20" s="5" t="n">
        <v>24197235</v>
      </c>
      <c r="F20" s="5" t="n">
        <v>25438212</v>
      </c>
      <c r="G20" s="5" t="n">
        <v>25201484</v>
      </c>
      <c r="H20" s="5" t="n">
        <v>23244442</v>
      </c>
      <c r="I20" s="5" t="n">
        <v>21962098</v>
      </c>
      <c r="J20" s="5" t="n">
        <v>21430668</v>
      </c>
      <c r="K20" s="5" t="n">
        <v>21661339</v>
      </c>
    </row>
    <row r="21">
      <c r="A21" s="5" t="inlineStr">
        <is>
          <t>Provisions</t>
        </is>
      </c>
      <c r="B21" s="6" t="n"/>
      <c r="C21" s="6" t="n"/>
      <c r="D21" s="6" t="n"/>
      <c r="E21" s="6" t="n"/>
      <c r="F21" s="6" t="n"/>
      <c r="G21" s="6" t="n"/>
      <c r="H21" s="6" t="n"/>
      <c r="I21" s="6" t="n"/>
      <c r="J21" s="6" t="n"/>
      <c r="K21" s="6" t="n"/>
    </row>
    <row r="22">
      <c r="A22" s="6" t="inlineStr">
        <is>
          <t>Deferred tax</t>
        </is>
      </c>
      <c r="B22" s="6" t="n">
        <v>241076</v>
      </c>
      <c r="C22" s="6" t="n">
        <v>188844</v>
      </c>
      <c r="D22" s="6" t="n">
        <v>121158</v>
      </c>
      <c r="E22" s="6" t="n">
        <v>45234</v>
      </c>
      <c r="F22" s="6" t="n">
        <v>540391</v>
      </c>
      <c r="G22" s="6" t="n">
        <v>295993</v>
      </c>
      <c r="H22" s="6" t="n">
        <v>257972</v>
      </c>
      <c r="I22" s="6" t="n">
        <v>4956</v>
      </c>
      <c r="J22" s="6" t="n">
        <v>147721</v>
      </c>
      <c r="K22" s="6" t="n">
        <v>239818</v>
      </c>
    </row>
    <row r="23">
      <c r="A23" s="5" t="inlineStr">
        <is>
          <t>Net Assets</t>
        </is>
      </c>
      <c r="B23" s="5" t="n">
        <v>14117086</v>
      </c>
      <c r="C23" s="5" t="n">
        <v>13747327</v>
      </c>
      <c r="D23" s="5" t="n">
        <v>13353632</v>
      </c>
      <c r="E23" s="5" t="n">
        <v>12952019</v>
      </c>
      <c r="F23" s="5" t="n">
        <v>14176202</v>
      </c>
      <c r="G23" s="5" t="n">
        <v>13442989</v>
      </c>
      <c r="H23" s="5" t="n">
        <v>12867446</v>
      </c>
      <c r="I23" s="5" t="n">
        <v>11568761</v>
      </c>
      <c r="J23" s="5" t="n">
        <v>11998446</v>
      </c>
      <c r="K23" s="5" t="n">
        <v>11071512</v>
      </c>
    </row>
    <row r="24">
      <c r="A24" s="5" t="inlineStr">
        <is>
          <t>Shareholders' Funds</t>
        </is>
      </c>
      <c r="B24" s="6" t="n"/>
      <c r="C24" s="6" t="n"/>
      <c r="D24" s="6" t="n"/>
      <c r="E24" s="6" t="n"/>
      <c r="F24" s="6" t="n"/>
      <c r="G24" s="6" t="n"/>
      <c r="H24" s="6" t="n"/>
      <c r="I24" s="6" t="n"/>
      <c r="J24" s="6" t="n"/>
      <c r="K24" s="6" t="n"/>
    </row>
    <row r="25">
      <c r="A25" s="6" t="inlineStr">
        <is>
          <t>Called up equity share capital</t>
        </is>
      </c>
      <c r="B25" s="6" t="n">
        <v>1197</v>
      </c>
      <c r="C25" s="6" t="n">
        <v>1197</v>
      </c>
      <c r="D25" s="6" t="n">
        <v>1197</v>
      </c>
      <c r="E25" s="6" t="n">
        <v>1197</v>
      </c>
      <c r="F25" s="6" t="n">
        <v>1197</v>
      </c>
      <c r="G25" s="6" t="n">
        <v>1197</v>
      </c>
      <c r="H25" s="6" t="n">
        <v>1197</v>
      </c>
      <c r="I25" s="6" t="n">
        <v>1197</v>
      </c>
      <c r="J25" s="6" t="n">
        <v>1197</v>
      </c>
      <c r="K25" s="6" t="n">
        <v>1197</v>
      </c>
    </row>
    <row r="26">
      <c r="A26" s="6" t="inlineStr">
        <is>
          <t>Reserves</t>
        </is>
      </c>
      <c r="B26" s="6" t="n">
        <v>14115889</v>
      </c>
      <c r="C26" s="6" t="n">
        <v>13746130</v>
      </c>
      <c r="D26" s="6" t="n">
        <v>13352435</v>
      </c>
      <c r="E26" s="6" t="n">
        <v>12950822</v>
      </c>
      <c r="F26" s="6" t="n">
        <v>14175005</v>
      </c>
      <c r="G26" s="6" t="n">
        <v>13441792</v>
      </c>
      <c r="H26" s="6" t="n">
        <v>12866249</v>
      </c>
      <c r="I26" s="6" t="n">
        <v>11567564</v>
      </c>
      <c r="J26" s="6" t="n">
        <v>11997249</v>
      </c>
      <c r="K26" s="6" t="n">
        <v>11070315</v>
      </c>
    </row>
    <row r="27">
      <c r="A27" s="5" t="inlineStr">
        <is>
          <t>Total equity</t>
        </is>
      </c>
      <c r="B27" s="5" t="n">
        <v>14117086</v>
      </c>
      <c r="C27" s="5" t="n">
        <v>13747327</v>
      </c>
      <c r="D27" s="5" t="n">
        <v>13353632</v>
      </c>
      <c r="E27" s="5" t="n">
        <v>12952019</v>
      </c>
      <c r="F27" s="5" t="n">
        <v>14176202</v>
      </c>
      <c r="G27" s="5" t="n">
        <v>13442989</v>
      </c>
      <c r="H27" s="5" t="n">
        <v>12867446</v>
      </c>
      <c r="I27" s="5" t="n">
        <v>11568761</v>
      </c>
      <c r="J27" s="5" t="n">
        <v>11998446</v>
      </c>
      <c r="K27" s="5" t="n">
        <v>11071512</v>
      </c>
    </row>
    <row r="29" ht="230" customHeight="1">
      <c r="A29"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9:K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Statement of Income and Retained Earnings</t>
        </is>
      </c>
    </row>
    <row r="2">
      <c r="A2" s="2" t="inlineStr">
        <is>
          <t>Entity-level basis, £. FY2025 covers the 9 months ended 30 September 2025; all other years are 12-month periods.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Income</t>
        </is>
      </c>
      <c r="B4" s="6" t="n"/>
      <c r="C4" s="6" t="n"/>
      <c r="D4" s="6" t="n"/>
      <c r="E4" s="6" t="n"/>
      <c r="F4" s="6" t="n"/>
      <c r="G4" s="6" t="n"/>
      <c r="H4" s="6" t="n"/>
      <c r="I4" s="6" t="n"/>
      <c r="J4" s="6" t="n"/>
      <c r="K4" s="6" t="n"/>
    </row>
    <row r="5">
      <c r="A5" s="6" t="inlineStr">
        <is>
          <t>Interest receivable - on loans</t>
        </is>
      </c>
      <c r="B5" s="6" t="n">
        <v>364536</v>
      </c>
      <c r="C5" s="6" t="n">
        <v>542736</v>
      </c>
      <c r="D5" s="6" t="n">
        <v>485539</v>
      </c>
      <c r="E5" s="6" t="n">
        <v>241994</v>
      </c>
      <c r="F5" s="6" t="n">
        <v>226796</v>
      </c>
      <c r="G5" s="6" t="n">
        <v>238045</v>
      </c>
      <c r="H5" s="6" t="n">
        <v>216819</v>
      </c>
      <c r="I5" s="6" t="n">
        <v>188593</v>
      </c>
      <c r="J5" s="6" t="n">
        <v>150120</v>
      </c>
      <c r="K5" s="6" t="n">
        <v>140331</v>
      </c>
    </row>
    <row r="6">
      <c r="A6" s="6" t="inlineStr">
        <is>
          <t>Interest receivable - on debt securities</t>
        </is>
      </c>
      <c r="B6" s="6" t="n">
        <v>254891</v>
      </c>
      <c r="C6" s="6" t="n">
        <v>351721</v>
      </c>
      <c r="D6" s="6" t="n">
        <v>346423</v>
      </c>
      <c r="E6" s="6" t="n">
        <v>292232</v>
      </c>
      <c r="F6" s="6" t="n">
        <v>297207</v>
      </c>
      <c r="G6" s="6" t="n">
        <v>310571</v>
      </c>
      <c r="H6" s="6" t="n">
        <v>321383</v>
      </c>
      <c r="I6" s="6" t="n">
        <v>322478</v>
      </c>
      <c r="J6" s="6" t="n">
        <v>326582</v>
      </c>
      <c r="K6" s="6" t="n">
        <v>329862</v>
      </c>
    </row>
    <row r="7">
      <c r="A7" s="6" t="inlineStr">
        <is>
          <t>Interest receivable - on bank and building society deposits</t>
        </is>
      </c>
      <c r="B7" s="6" t="n">
        <v>301668</v>
      </c>
      <c r="C7" s="6" t="n">
        <v>412981</v>
      </c>
      <c r="D7" s="6" t="n">
        <v>347139</v>
      </c>
      <c r="E7" s="6" t="n">
        <v>114132</v>
      </c>
      <c r="F7" s="6" t="n">
        <v>11584</v>
      </c>
      <c r="G7" s="6" t="n">
        <v>42272</v>
      </c>
      <c r="H7" s="6" t="n">
        <v>71244</v>
      </c>
      <c r="I7" s="6" t="n">
        <v>57941</v>
      </c>
      <c r="J7" s="6" t="n">
        <v>42354</v>
      </c>
      <c r="K7" s="6" t="n">
        <v>89504</v>
      </c>
    </row>
    <row r="8">
      <c r="A8" s="6" t="inlineStr">
        <is>
          <t>Interest payable to depositors</t>
        </is>
      </c>
      <c r="B8" s="6" t="n">
        <v>-513856</v>
      </c>
      <c r="C8" s="6" t="n">
        <v>-702772</v>
      </c>
      <c r="D8" s="6" t="n">
        <v>-570746</v>
      </c>
      <c r="E8" s="6" t="n">
        <v>-167638</v>
      </c>
      <c r="F8" s="6" t="n">
        <v>-158940</v>
      </c>
      <c r="G8" s="6" t="n">
        <v>-218608</v>
      </c>
      <c r="H8" s="6" t="n">
        <v>-229881</v>
      </c>
      <c r="I8" s="6" t="n">
        <v>-206421</v>
      </c>
      <c r="J8" s="6" t="n">
        <v>-182991</v>
      </c>
      <c r="K8" s="6" t="n">
        <v>-263234</v>
      </c>
    </row>
    <row r="9">
      <c r="A9" s="6" t="inlineStr">
        <is>
          <t>Interest payable - amortisation of debt securities</t>
        </is>
      </c>
      <c r="B9" s="6" t="n">
        <v>-12204</v>
      </c>
      <c r="C9" s="6" t="n">
        <v>-55620</v>
      </c>
      <c r="D9" s="6" t="n">
        <v>-101184</v>
      </c>
      <c r="E9" s="6" t="n">
        <v>-87073</v>
      </c>
      <c r="F9" s="6" t="n">
        <v>-86814</v>
      </c>
      <c r="G9" s="6" t="n">
        <v>-96429</v>
      </c>
      <c r="H9" s="6" t="n">
        <v>-69882</v>
      </c>
      <c r="I9" s="6" t="n">
        <v>-61467</v>
      </c>
      <c r="J9" s="6" t="n">
        <v>-54842</v>
      </c>
      <c r="K9" s="6" t="n">
        <v>-52449</v>
      </c>
    </row>
    <row r="10">
      <c r="A10" s="6" t="inlineStr">
        <is>
          <t>Dividend income from equity shares</t>
        </is>
      </c>
      <c r="B10" s="6" t="n">
        <v>149236</v>
      </c>
      <c r="C10" s="6" t="n">
        <v>186640</v>
      </c>
      <c r="D10" s="6" t="n">
        <v>172192</v>
      </c>
      <c r="E10" s="6" t="n">
        <v>226757</v>
      </c>
      <c r="F10" s="6" t="n">
        <v>220001</v>
      </c>
      <c r="G10" s="6" t="n">
        <v>190548</v>
      </c>
      <c r="H10" s="6" t="n">
        <v>259323</v>
      </c>
      <c r="I10" s="6" t="n">
        <v>261860</v>
      </c>
      <c r="J10" s="6" t="n">
        <v>271126</v>
      </c>
      <c r="K10" s="6" t="n">
        <v>287571</v>
      </c>
    </row>
    <row r="11">
      <c r="A11" s="6" t="inlineStr">
        <is>
          <t>Investment gains/(losses) on debt securities</t>
        </is>
      </c>
      <c r="B11" s="6" t="n"/>
      <c r="C11" s="6" t="n">
        <v>-371214</v>
      </c>
      <c r="D11" s="6" t="n">
        <v>-27579</v>
      </c>
      <c r="E11" s="6" t="n">
        <v>-12251</v>
      </c>
      <c r="F11" s="6" t="n">
        <v>-30549</v>
      </c>
      <c r="G11" s="6" t="n">
        <v>328406</v>
      </c>
      <c r="H11" s="6" t="n">
        <v>4366</v>
      </c>
      <c r="I11" s="6" t="n">
        <v>37062</v>
      </c>
      <c r="J11" s="6" t="n">
        <v>4681</v>
      </c>
      <c r="K11" s="6" t="n">
        <v>24643</v>
      </c>
    </row>
    <row r="12">
      <c r="A12" s="6" t="inlineStr">
        <is>
          <t>Fees and commissions payable to Investment Manager</t>
        </is>
      </c>
      <c r="B12" s="6" t="n">
        <v>-32837</v>
      </c>
      <c r="C12" s="6" t="n">
        <v>-3575</v>
      </c>
      <c r="D12" s="6" t="n">
        <v>-19845</v>
      </c>
      <c r="E12" s="6" t="n">
        <v>-37299</v>
      </c>
      <c r="F12" s="6" t="n">
        <v>-29476</v>
      </c>
      <c r="G12" s="6" t="n">
        <v>-43050</v>
      </c>
      <c r="H12" s="6" t="n">
        <v>-43816</v>
      </c>
      <c r="I12" s="6" t="n">
        <v>-51541</v>
      </c>
      <c r="J12" s="6" t="n">
        <v>-52371</v>
      </c>
      <c r="K12" s="6" t="n">
        <v>-66220</v>
      </c>
    </row>
    <row r="13">
      <c r="A13" s="6" t="inlineStr">
        <is>
          <t>Other operating income</t>
        </is>
      </c>
      <c r="B13" s="6" t="n">
        <v>4302</v>
      </c>
      <c r="C13" s="6" t="n">
        <v>4900</v>
      </c>
      <c r="D13" s="6" t="n">
        <v>6543</v>
      </c>
      <c r="E13" s="6" t="n">
        <v>11797</v>
      </c>
      <c r="F13" s="6" t="n">
        <v>177145</v>
      </c>
      <c r="G13" s="6" t="n">
        <v>2924</v>
      </c>
      <c r="H13" s="6" t="n">
        <v>5692</v>
      </c>
      <c r="I13" s="6" t="n">
        <v>3666</v>
      </c>
      <c r="J13" s="6" t="n">
        <v>7218</v>
      </c>
      <c r="K13" s="6" t="n">
        <v>3925</v>
      </c>
    </row>
    <row r="14">
      <c r="A14" s="5" t="inlineStr">
        <is>
          <t>Total income</t>
        </is>
      </c>
      <c r="B14" s="5" t="n">
        <v>515736</v>
      </c>
      <c r="C14" s="5" t="n">
        <v>365797</v>
      </c>
      <c r="D14" s="5" t="n">
        <v>638482</v>
      </c>
      <c r="E14" s="5" t="n">
        <v>582651</v>
      </c>
      <c r="F14" s="5" t="n">
        <v>626954</v>
      </c>
      <c r="G14" s="5" t="n">
        <v>754679</v>
      </c>
      <c r="H14" s="5" t="n">
        <v>535248</v>
      </c>
      <c r="I14" s="5" t="n">
        <v>552171</v>
      </c>
      <c r="J14" s="5" t="n">
        <v>511877</v>
      </c>
      <c r="K14" s="5" t="n">
        <v>493933</v>
      </c>
    </row>
    <row r="15">
      <c r="A15" s="6" t="inlineStr">
        <is>
          <t>Administrative expenses - staff costs</t>
        </is>
      </c>
      <c r="B15" s="6" t="n">
        <v>-241735</v>
      </c>
      <c r="C15" s="6" t="n">
        <v>-310501</v>
      </c>
      <c r="D15" s="6" t="n">
        <v>-281131</v>
      </c>
      <c r="E15" s="6" t="n">
        <v>-236031</v>
      </c>
      <c r="F15" s="6" t="n">
        <v>-202930</v>
      </c>
      <c r="G15" s="6" t="n">
        <v>-205751</v>
      </c>
      <c r="H15" s="6" t="n">
        <v>-198443</v>
      </c>
      <c r="I15" s="6" t="n">
        <v>-191928</v>
      </c>
      <c r="J15" s="6" t="n">
        <v>-180526</v>
      </c>
      <c r="K15" s="6" t="n">
        <v>-179379</v>
      </c>
    </row>
    <row r="16">
      <c r="A16" s="6" t="inlineStr">
        <is>
          <t>Administrative expenses - other</t>
        </is>
      </c>
      <c r="B16" s="6" t="n">
        <v>-230594</v>
      </c>
      <c r="C16" s="6" t="n">
        <v>-246970</v>
      </c>
      <c r="D16" s="6" t="n">
        <v>-260190</v>
      </c>
      <c r="E16" s="6" t="n">
        <v>-212268</v>
      </c>
      <c r="F16" s="6" t="n">
        <v>-154761</v>
      </c>
      <c r="G16" s="6" t="n">
        <v>-150767</v>
      </c>
      <c r="H16" s="6" t="n">
        <v>-162438</v>
      </c>
      <c r="I16" s="6" t="n">
        <v>-159701</v>
      </c>
      <c r="J16" s="6" t="n">
        <v>-162332</v>
      </c>
      <c r="K16" s="6" t="n">
        <v>-162246</v>
      </c>
    </row>
    <row r="17">
      <c r="A17" s="5" t="inlineStr">
        <is>
          <t>Total administrative expenses</t>
        </is>
      </c>
      <c r="B17" s="5" t="n">
        <v>-472329</v>
      </c>
      <c r="C17" s="5" t="n">
        <v>-557471</v>
      </c>
      <c r="D17" s="5" t="n">
        <v>-541321</v>
      </c>
      <c r="E17" s="5" t="n">
        <v>-448299</v>
      </c>
      <c r="F17" s="5" t="n">
        <v>-357691</v>
      </c>
      <c r="G17" s="5" t="n">
        <v>-356518</v>
      </c>
      <c r="H17" s="5" t="n">
        <v>-360881</v>
      </c>
      <c r="I17" s="5" t="n">
        <v>-351629</v>
      </c>
      <c r="J17" s="5" t="n">
        <v>-342858</v>
      </c>
      <c r="K17" s="5" t="n">
        <v>-341625</v>
      </c>
    </row>
    <row r="18">
      <c r="A18" s="6" t="inlineStr">
        <is>
          <t>Depreciation and amortisation</t>
        </is>
      </c>
      <c r="B18" s="6" t="n">
        <v>-9635</v>
      </c>
      <c r="C18" s="6" t="n">
        <v>-13288</v>
      </c>
      <c r="D18" s="6" t="n">
        <v>-9937</v>
      </c>
      <c r="E18" s="6" t="n">
        <v>-7168</v>
      </c>
      <c r="F18" s="6" t="n">
        <v>-3633</v>
      </c>
      <c r="G18" s="6" t="n">
        <v>-14732</v>
      </c>
      <c r="H18" s="6" t="n">
        <v>-17132</v>
      </c>
      <c r="I18" s="6" t="n">
        <v>-18651</v>
      </c>
      <c r="J18" s="6" t="n">
        <v>-18377</v>
      </c>
      <c r="K18" s="6" t="n">
        <v>-14038</v>
      </c>
    </row>
    <row r="19">
      <c r="A19" s="5" t="inlineStr">
        <is>
          <t>Operating surplus/(deficit)</t>
        </is>
      </c>
      <c r="B19" s="5" t="n">
        <v>33772</v>
      </c>
      <c r="C19" s="5" t="n">
        <v>-204962</v>
      </c>
      <c r="D19" s="5" t="n">
        <v>87224</v>
      </c>
      <c r="E19" s="5" t="n">
        <v>127184</v>
      </c>
      <c r="F19" s="5" t="n">
        <v>265630</v>
      </c>
      <c r="G19" s="5" t="n">
        <v>383429</v>
      </c>
      <c r="H19" s="5" t="n">
        <v>157235</v>
      </c>
      <c r="I19" s="5" t="n">
        <v>181891</v>
      </c>
      <c r="J19" s="5" t="n">
        <v>150642</v>
      </c>
      <c r="K19" s="5" t="n">
        <v>138270</v>
      </c>
    </row>
    <row r="20">
      <c r="A20" s="6" t="inlineStr">
        <is>
          <t>Fair value adjustment to investments</t>
        </is>
      </c>
      <c r="B20" s="6" t="n">
        <v>385195</v>
      </c>
      <c r="C20" s="6" t="n">
        <v>694496</v>
      </c>
      <c r="D20" s="6" t="n">
        <v>391546</v>
      </c>
      <c r="E20" s="6" t="n">
        <v>-1845411</v>
      </c>
      <c r="F20" s="6" t="n">
        <v>711942</v>
      </c>
      <c r="G20" s="6" t="n">
        <v>318792</v>
      </c>
      <c r="H20" s="6" t="n">
        <v>1402028</v>
      </c>
      <c r="I20" s="6" t="n">
        <v>-754426</v>
      </c>
      <c r="J20" s="6" t="n">
        <v>729845</v>
      </c>
      <c r="K20" s="6" t="n">
        <v>666013</v>
      </c>
    </row>
    <row r="21">
      <c r="A21" s="5" t="inlineStr">
        <is>
          <t>Surplus/(deficit) on ordinary activities before taxation</t>
        </is>
      </c>
      <c r="B21" s="5" t="n">
        <v>418967</v>
      </c>
      <c r="C21" s="5" t="n">
        <v>489534</v>
      </c>
      <c r="D21" s="5" t="n">
        <v>478770</v>
      </c>
      <c r="E21" s="5" t="n">
        <v>-1718227</v>
      </c>
      <c r="F21" s="5" t="n">
        <v>977572</v>
      </c>
      <c r="G21" s="5" t="n">
        <v>702221</v>
      </c>
      <c r="H21" s="5" t="n">
        <v>1559263</v>
      </c>
      <c r="I21" s="5" t="n">
        <v>-572535</v>
      </c>
      <c r="J21" s="5" t="n">
        <v>880487</v>
      </c>
      <c r="K21" s="5" t="n">
        <v>804283</v>
      </c>
    </row>
    <row r="22">
      <c r="A22" s="6" t="inlineStr">
        <is>
          <t>Tax on surplus/(deficit) on ordinary activities</t>
        </is>
      </c>
      <c r="B22" s="6" t="n">
        <v>-47855</v>
      </c>
      <c r="C22" s="6" t="n">
        <v>-94522</v>
      </c>
      <c r="D22" s="6" t="n">
        <v>-75924</v>
      </c>
      <c r="E22" s="6" t="n">
        <v>495157</v>
      </c>
      <c r="F22" s="6" t="n">
        <v>-243291</v>
      </c>
      <c r="G22" s="6" t="n">
        <v>-125620</v>
      </c>
      <c r="H22" s="6" t="n">
        <v>-259537</v>
      </c>
      <c r="I22" s="6" t="n">
        <v>143868</v>
      </c>
      <c r="J22" s="6" t="n">
        <v>47426</v>
      </c>
      <c r="K22" s="6" t="n">
        <v>-46629</v>
      </c>
    </row>
    <row r="23">
      <c r="A23" s="5" t="inlineStr">
        <is>
          <t>Surplus/(deficit) for the period/year and total comprehensive income</t>
        </is>
      </c>
      <c r="B23" s="5" t="n">
        <v>371112</v>
      </c>
      <c r="C23" s="5" t="n">
        <v>395012</v>
      </c>
      <c r="D23" s="5" t="n">
        <v>402846</v>
      </c>
      <c r="E23" s="5" t="n">
        <v>-1223070</v>
      </c>
      <c r="F23" s="5" t="n">
        <v>734281</v>
      </c>
      <c r="G23" s="5" t="n">
        <v>576601</v>
      </c>
      <c r="H23" s="5" t="n">
        <v>1299726</v>
      </c>
      <c r="I23" s="5" t="n">
        <v>-428667</v>
      </c>
      <c r="J23" s="5" t="n">
        <v>927913</v>
      </c>
      <c r="K23" s="5" t="n">
        <v>757654</v>
      </c>
    </row>
    <row r="25" ht="230" customHeight="1">
      <c r="A25"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5:K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Methodist Chapel Aid Limited — Statement of Changes in Equity</t>
        </is>
      </c>
    </row>
    <row r="2">
      <c r="A2" s="2" t="inlineStr">
        <is>
          <t>Entity-level basis, £. Reconstructed from the combined Statement of Income and Retained Earnings, chronological, oldest to newest.</t>
        </is>
      </c>
    </row>
    <row r="3">
      <c r="A3" s="4" t="inlineStr">
        <is>
          <t>Movement</t>
        </is>
      </c>
      <c r="B3" s="4" t="inlineStr">
        <is>
          <t>Called up share capital</t>
        </is>
      </c>
      <c r="C3" s="4" t="inlineStr">
        <is>
          <t>Reserves</t>
        </is>
      </c>
      <c r="D3" s="4" t="inlineStr">
        <is>
          <t>Total equity</t>
        </is>
      </c>
    </row>
    <row r="4">
      <c r="A4" s="5" t="inlineStr">
        <is>
          <t>Balance at 1 January 2016</t>
        </is>
      </c>
      <c r="B4" s="5" t="n">
        <v>1197</v>
      </c>
      <c r="C4" s="5" t="n">
        <v>10313628</v>
      </c>
      <c r="D4" s="5" t="n">
        <v>10314825</v>
      </c>
    </row>
    <row r="5">
      <c r="A5" s="6" t="inlineStr">
        <is>
          <t>Surplus for the year</t>
        </is>
      </c>
      <c r="B5" s="6" t="n"/>
      <c r="C5" s="6" t="n">
        <v>757654</v>
      </c>
      <c r="D5" s="6" t="n">
        <v>757654</v>
      </c>
    </row>
    <row r="6">
      <c r="A6" s="6" t="inlineStr">
        <is>
          <t>Dividends paid and payable</t>
        </is>
      </c>
      <c r="B6" s="6" t="n"/>
      <c r="C6" s="6" t="n">
        <v>-967</v>
      </c>
      <c r="D6" s="6" t="n">
        <v>-967</v>
      </c>
    </row>
    <row r="7">
      <c r="A7" s="5" t="inlineStr">
        <is>
          <t>Balance at 31 December 2016 / 1 January 2017</t>
        </is>
      </c>
      <c r="B7" s="5" t="n">
        <v>1197</v>
      </c>
      <c r="C7" s="5" t="n">
        <v>11070315</v>
      </c>
      <c r="D7" s="5" t="n">
        <v>11071512</v>
      </c>
    </row>
    <row r="8">
      <c r="A8" s="6" t="inlineStr">
        <is>
          <t>Surplus for the year</t>
        </is>
      </c>
      <c r="B8" s="6" t="n"/>
      <c r="C8" s="6" t="n">
        <v>927913</v>
      </c>
      <c r="D8" s="6" t="n">
        <v>927913</v>
      </c>
    </row>
    <row r="9">
      <c r="A9" s="6" t="inlineStr">
        <is>
          <t>Dividends paid and payable</t>
        </is>
      </c>
      <c r="B9" s="6" t="n"/>
      <c r="C9" s="6" t="n">
        <v>-979</v>
      </c>
      <c r="D9" s="6" t="n">
        <v>-979</v>
      </c>
    </row>
    <row r="10">
      <c r="A10" s="5" t="inlineStr">
        <is>
          <t>Balance at 31 December 2017 / 1 January 2018</t>
        </is>
      </c>
      <c r="B10" s="5" t="n">
        <v>1197</v>
      </c>
      <c r="C10" s="5" t="n">
        <v>11997249</v>
      </c>
      <c r="D10" s="5" t="n">
        <v>11998446</v>
      </c>
    </row>
    <row r="11">
      <c r="A11" s="6" t="inlineStr">
        <is>
          <t>Deficit for the year</t>
        </is>
      </c>
      <c r="B11" s="6" t="n"/>
      <c r="C11" s="6" t="n">
        <v>-428667</v>
      </c>
      <c r="D11" s="6" t="n">
        <v>-428667</v>
      </c>
    </row>
    <row r="12">
      <c r="A12" s="6" t="inlineStr">
        <is>
          <t>Dividends paid and payable</t>
        </is>
      </c>
      <c r="B12" s="6" t="n"/>
      <c r="C12" s="6" t="n">
        <v>-1018</v>
      </c>
      <c r="D12" s="6" t="n">
        <v>-1018</v>
      </c>
    </row>
    <row r="13">
      <c r="A13" s="5" t="inlineStr">
        <is>
          <t>Balance at 31 December 2018 / 1 January 2019</t>
        </is>
      </c>
      <c r="B13" s="5" t="n">
        <v>1197</v>
      </c>
      <c r="C13" s="5" t="n">
        <v>11567564</v>
      </c>
      <c r="D13" s="5" t="n">
        <v>11568761</v>
      </c>
    </row>
    <row r="14">
      <c r="A14" s="6" t="inlineStr">
        <is>
          <t>Surplus for the year</t>
        </is>
      </c>
      <c r="B14" s="6" t="n"/>
      <c r="C14" s="6" t="n">
        <v>1299726</v>
      </c>
      <c r="D14" s="6" t="n">
        <v>1299726</v>
      </c>
    </row>
    <row r="15">
      <c r="A15" s="6" t="inlineStr">
        <is>
          <t>Dividends paid and payable</t>
        </is>
      </c>
      <c r="B15" s="6" t="n"/>
      <c r="C15" s="6" t="n">
        <v>-1041</v>
      </c>
      <c r="D15" s="6" t="n">
        <v>-1041</v>
      </c>
    </row>
    <row r="16">
      <c r="A16" s="5" t="inlineStr">
        <is>
          <t>Balance at 31 December 2019 / 1 January 2020</t>
        </is>
      </c>
      <c r="B16" s="5" t="n">
        <v>1197</v>
      </c>
      <c r="C16" s="5" t="n">
        <v>12866249</v>
      </c>
      <c r="D16" s="5" t="n">
        <v>12867446</v>
      </c>
    </row>
    <row r="17">
      <c r="A17" s="6" t="inlineStr">
        <is>
          <t>Surplus for the year</t>
        </is>
      </c>
      <c r="B17" s="6" t="n"/>
      <c r="C17" s="6" t="n">
        <v>576601</v>
      </c>
      <c r="D17" s="6" t="n">
        <v>576601</v>
      </c>
    </row>
    <row r="18">
      <c r="A18" s="6" t="inlineStr">
        <is>
          <t>Dividends paid and payable</t>
        </is>
      </c>
      <c r="B18" s="6" t="n"/>
      <c r="C18" s="6" t="n">
        <v>-1058</v>
      </c>
      <c r="D18" s="6" t="n">
        <v>-1058</v>
      </c>
    </row>
    <row r="19">
      <c r="A19" s="5" t="inlineStr">
        <is>
          <t>Balance at 31 December 2020 / 1 January 2021</t>
        </is>
      </c>
      <c r="B19" s="5" t="n">
        <v>1197</v>
      </c>
      <c r="C19" s="5" t="n">
        <v>13441792</v>
      </c>
      <c r="D19" s="5" t="n">
        <v>13442989</v>
      </c>
    </row>
    <row r="20">
      <c r="A20" s="6" t="inlineStr">
        <is>
          <t>Surplus for the year</t>
        </is>
      </c>
      <c r="B20" s="6" t="n"/>
      <c r="C20" s="6" t="n">
        <v>734281</v>
      </c>
      <c r="D20" s="6" t="n">
        <v>734281</v>
      </c>
    </row>
    <row r="21">
      <c r="A21" s="6" t="inlineStr">
        <is>
          <t>Dividends paid and payable</t>
        </is>
      </c>
      <c r="B21" s="6" t="n"/>
      <c r="C21" s="6" t="n">
        <v>-1068</v>
      </c>
      <c r="D21" s="6" t="n">
        <v>-1068</v>
      </c>
    </row>
    <row r="22">
      <c r="A22" s="5" t="inlineStr">
        <is>
          <t>Balance at 31 December 2021 / 1 January 2022</t>
        </is>
      </c>
      <c r="B22" s="5" t="n">
        <v>1197</v>
      </c>
      <c r="C22" s="5" t="n">
        <v>14175005</v>
      </c>
      <c r="D22" s="5" t="n">
        <v>14176202</v>
      </c>
    </row>
    <row r="23">
      <c r="A23" s="6" t="inlineStr">
        <is>
          <t>Deficit for the year</t>
        </is>
      </c>
      <c r="B23" s="6" t="n"/>
      <c r="C23" s="6" t="n">
        <v>-1223070</v>
      </c>
      <c r="D23" s="6" t="n">
        <v>-1223070</v>
      </c>
    </row>
    <row r="24">
      <c r="A24" s="6" t="inlineStr">
        <is>
          <t>Dividends paid and payable</t>
        </is>
      </c>
      <c r="B24" s="6" t="n"/>
      <c r="C24" s="6" t="n">
        <v>-1113</v>
      </c>
      <c r="D24" s="6" t="n">
        <v>-1113</v>
      </c>
    </row>
    <row r="25">
      <c r="A25" s="5" t="inlineStr">
        <is>
          <t>Balance at 31 December 2022 / 1 January 2023</t>
        </is>
      </c>
      <c r="B25" s="5" t="n">
        <v>1197</v>
      </c>
      <c r="C25" s="5" t="n">
        <v>12950822</v>
      </c>
      <c r="D25" s="5" t="n">
        <v>12952019</v>
      </c>
    </row>
    <row r="26">
      <c r="A26" s="6" t="inlineStr">
        <is>
          <t>Surplus for the year</t>
        </is>
      </c>
      <c r="B26" s="6" t="n"/>
      <c r="C26" s="6" t="n">
        <v>402846</v>
      </c>
      <c r="D26" s="6" t="n">
        <v>402846</v>
      </c>
    </row>
    <row r="27">
      <c r="A27" s="6" t="inlineStr">
        <is>
          <t>Dividends paid and payable</t>
        </is>
      </c>
      <c r="B27" s="6" t="n"/>
      <c r="C27" s="6" t="n">
        <v>-1233</v>
      </c>
      <c r="D27" s="6" t="n">
        <v>-1233</v>
      </c>
    </row>
    <row r="28">
      <c r="A28" s="5" t="inlineStr">
        <is>
          <t>Balance at 31 December 2023 / 1 January 2024</t>
        </is>
      </c>
      <c r="B28" s="5" t="n">
        <v>1197</v>
      </c>
      <c r="C28" s="5" t="n">
        <v>13352435</v>
      </c>
      <c r="D28" s="5" t="n">
        <v>13353632</v>
      </c>
    </row>
    <row r="29">
      <c r="A29" s="6" t="inlineStr">
        <is>
          <t>Surplus for the year</t>
        </is>
      </c>
      <c r="B29" s="6" t="n"/>
      <c r="C29" s="6" t="n">
        <v>395012</v>
      </c>
      <c r="D29" s="6" t="n">
        <v>395012</v>
      </c>
    </row>
    <row r="30">
      <c r="A30" s="6" t="inlineStr">
        <is>
          <t>Dividends paid and payable</t>
        </is>
      </c>
      <c r="B30" s="6" t="n"/>
      <c r="C30" s="6" t="n">
        <v>-1317</v>
      </c>
      <c r="D30" s="6" t="n">
        <v>-1317</v>
      </c>
    </row>
    <row r="31">
      <c r="A31" s="5" t="inlineStr">
        <is>
          <t>Balance at 31 December 2024 / 1 January 2025</t>
        </is>
      </c>
      <c r="B31" s="5" t="n">
        <v>1197</v>
      </c>
      <c r="C31" s="5" t="n">
        <v>13746130</v>
      </c>
      <c r="D31" s="5" t="n">
        <v>13747327</v>
      </c>
    </row>
    <row r="32">
      <c r="A32" s="6" t="inlineStr">
        <is>
          <t>Surplus for the period (9 months)</t>
        </is>
      </c>
      <c r="B32" s="6" t="n"/>
      <c r="C32" s="6" t="n">
        <v>371112</v>
      </c>
      <c r="D32" s="6" t="n">
        <v>371112</v>
      </c>
    </row>
    <row r="33">
      <c r="A33" s="6" t="inlineStr">
        <is>
          <t>Dividends paid and payable</t>
        </is>
      </c>
      <c r="B33" s="6" t="n"/>
      <c r="C33" s="6" t="n">
        <v>-1353</v>
      </c>
      <c r="D33" s="6" t="n">
        <v>-1353</v>
      </c>
    </row>
    <row r="34">
      <c r="A34" s="5" t="inlineStr">
        <is>
          <t>Balance at 30 September 2025</t>
        </is>
      </c>
      <c r="B34" s="5" t="n">
        <v>1197</v>
      </c>
      <c r="C34" s="5" t="n">
        <v>14115889</v>
      </c>
      <c r="D34" s="5" t="n">
        <v>14117086</v>
      </c>
    </row>
    <row r="36" ht="230" customHeight="1">
      <c r="A36" s="8" t="inlineStr">
        <is>
          <t>Sources - Methodist Chapel Aid Limited entity-level Statement of Income and Retained Earnings / Statement of Financial Position, £:
FY2025 (9 months ended 30 September 2025) and FY2024 comparative: MCA Annual report and accounts 2025, Statement of Income and Retained Earnings p.37, Statement of Financial Position p.38 - https://www.mcafundingforchurches.co.uk/media/4bcl2vk5/mca-ar-2025.pdf
FY2023 comparative: MCA Annual report and accounts 2024, Statement of Income and Retained Earnings p.36, Statement of Financial Position p.37 - https://www.mcafundingforchurches.co.uk/media/keybconk/annual-report-2024.pdf
FY2022 comparative: MCA Annual report and accounts 2022, Statement of Income and Retained Earnings p.35, Statement of Financial Position p.36 - https://www.mcafundingforchurches.co.uk/sitefiles/resources/pdf/annualreport2022.pdf
FY2021 comparative: MCA Annual report and accounts 2022, Statement of Income and Retained Earnings p.35, Statement of Financial Position p.36 - https://www.mcafundingforchurches.co.uk/sitefiles/resources/pdf/annualreport2022.pdf
FY2020: Companies House full accounts to 31 December 2020, Statement of Income and Retained Earnings p.25, Statement of Financial Position p.26 - https://find-and-update.company-information.service.gov.uk/company/00030546/filing-history/MzMwMDQ2Njg3M2FkaXF6a2N4/document?format=pdf&amp;download=0
FY2019 comparative: Companies House full accounts to 31 December 2020, same pages - https://find-and-update.company-information.service.gov.uk/company/00030546/filing-history/MzMwMDQ2Njg3M2FkaXF6a2N4/document?format=pdf&amp;download=0
FY2018: Companies House full accounts to 31 December 2018, Statement of Income and Retained Earnings p.23, Statement of Financial Position p.24 - https://find-and-update.company-information.service.gov.uk/company/00030546/filing-history/MzIzMzkxMzU5MGFkaXF6a2N4/document?format=pdf&amp;download=0
FY2017 comparative: Companies House full accounts to 31 December 2018, same pages - https://find-and-update.company-information.service.gov.uk/company/00030546/filing-history/MzIzMzkxMzU5MGFkaXF6a2N4/document?format=pdf&amp;download=0
FY2016: Companies House full accounts to 31 December 2016, Statement of Income and Retained Earnings p.21, Statement of Financial Position p.22 - https://find-and-update.company-information.service.gov.uk/company/00030546/filing-history/MzE3NTQ2MDUyOWFkaXF6a2N4/document?format=pdf&amp;download=0
Note: the Company has no standalone Statement of Changes in Equity - equity movements are shown within the combined Statement of Income and Retained Earnings (surplus/(deficit) for the period less dividends paid and payable, rolled into Reserves; Called up equity share capital is unchanged across all 10 years). The 2025 reporting period covers 9 months (accounting reference date changed from 31 December to 30 September); all other periods are 12 months. FY2016-FY2020 statutory line-item labels differ slightly from later years' Pillar 3-derived labels in two places: 'Interest receivable - on National Savings and bank deposits' (FY2016-FY2020 statutory wording) is the same line as 'Interest receivable - on bank and building society deposits' (FY2021+ wording); and the FY2016-FY2020 Investments note (12) splits investments only into 'Debt and fixed income securities' vs 'Equity investments' (no further split by issuer type), unlike the FY2023-FY2025 note's three-way split - see the Balance Sheet sheet's separate 'Investments - debt and fixed income securities (aggregate, pre-2021 disclosure)' row.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36:D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Operating activities</t>
        </is>
      </c>
      <c r="B4" s="6" t="n"/>
      <c r="C4" s="6" t="n"/>
      <c r="D4" s="6" t="n"/>
      <c r="E4" s="6" t="n"/>
      <c r="F4" s="6" t="n"/>
      <c r="G4" s="6" t="n"/>
      <c r="H4" s="6" t="n"/>
      <c r="I4" s="6" t="n"/>
      <c r="J4" s="6" t="n"/>
      <c r="K4" s="6" t="n"/>
    </row>
    <row r="5">
      <c r="A5" s="5" t="inlineStr">
        <is>
          <t>Net cash generated/(used) from operating activities</t>
        </is>
      </c>
      <c r="B5" s="5" t="n">
        <v>230314</v>
      </c>
      <c r="C5" s="5" t="n">
        <v>429322</v>
      </c>
      <c r="D5" s="5" t="n">
        <v>-3050504</v>
      </c>
      <c r="E5" s="5" t="n">
        <v>-2346030</v>
      </c>
      <c r="F5" s="5" t="n">
        <v>714322</v>
      </c>
      <c r="G5" s="5" t="n">
        <v>2973715</v>
      </c>
      <c r="H5" s="5" t="n">
        <v>-70421</v>
      </c>
      <c r="I5" s="5" t="n">
        <v>-303376</v>
      </c>
      <c r="J5" s="5" t="n">
        <v>-974245</v>
      </c>
      <c r="K5" s="5" t="n">
        <v>161846</v>
      </c>
    </row>
    <row r="6">
      <c r="A6" s="5" t="inlineStr">
        <is>
          <t>Investing activities</t>
        </is>
      </c>
      <c r="B6" s="6" t="n"/>
      <c r="C6" s="6" t="n"/>
      <c r="D6" s="6" t="n"/>
      <c r="E6" s="6" t="n"/>
      <c r="F6" s="6" t="n"/>
      <c r="G6" s="6" t="n"/>
      <c r="H6" s="6" t="n"/>
      <c r="I6" s="6" t="n"/>
      <c r="J6" s="6" t="n"/>
      <c r="K6" s="6" t="n"/>
    </row>
    <row r="7">
      <c r="A7" s="5" t="inlineStr">
        <is>
          <t>Net cash generated/(used) from investing activities</t>
        </is>
      </c>
      <c r="B7" s="5" t="n">
        <v>-249591</v>
      </c>
      <c r="C7" s="5" t="n">
        <v>661933</v>
      </c>
      <c r="D7" s="5" t="n">
        <v>-364592</v>
      </c>
      <c r="E7" s="5" t="n">
        <v>-261027</v>
      </c>
      <c r="F7" s="5" t="n">
        <v>519122</v>
      </c>
      <c r="G7" s="5" t="n">
        <v>-892604</v>
      </c>
      <c r="H7" s="5" t="n">
        <v>4062</v>
      </c>
      <c r="I7" s="5" t="n">
        <v>178019</v>
      </c>
      <c r="J7" s="5" t="n">
        <v>327744</v>
      </c>
      <c r="K7" s="5" t="n">
        <v>171836</v>
      </c>
    </row>
    <row r="8">
      <c r="A8" s="5" t="inlineStr">
        <is>
          <t>Financing activities</t>
        </is>
      </c>
      <c r="B8" s="6" t="n"/>
      <c r="C8" s="6" t="n"/>
      <c r="D8" s="6" t="n"/>
      <c r="E8" s="6" t="n"/>
      <c r="F8" s="6" t="n"/>
      <c r="G8" s="6" t="n"/>
      <c r="H8" s="6" t="n"/>
      <c r="I8" s="6" t="n"/>
      <c r="J8" s="6" t="n"/>
      <c r="K8" s="6" t="n"/>
    </row>
    <row r="9">
      <c r="A9" s="5" t="inlineStr">
        <is>
          <t>Net cash generated/(used) in financing activities</t>
        </is>
      </c>
      <c r="B9" s="5" t="n">
        <v>-1353</v>
      </c>
      <c r="C9" s="5" t="n">
        <v>-1317</v>
      </c>
      <c r="D9" s="5" t="n">
        <v>-1233</v>
      </c>
      <c r="E9" s="5" t="n">
        <v>-1113</v>
      </c>
      <c r="F9" s="5" t="n">
        <v>-1068</v>
      </c>
      <c r="G9" s="5" t="n">
        <v>-1058</v>
      </c>
      <c r="H9" s="5" t="n">
        <v>-1041</v>
      </c>
      <c r="I9" s="5" t="n">
        <v>-1018</v>
      </c>
      <c r="J9" s="5" t="n">
        <v>-979</v>
      </c>
      <c r="K9" s="5" t="n">
        <v>-967</v>
      </c>
    </row>
    <row r="10">
      <c r="A10" s="5" t="inlineStr">
        <is>
          <t>Net increase/(decrease) in cash and cash equivalents</t>
        </is>
      </c>
      <c r="B10" s="5" t="n">
        <v>-20630</v>
      </c>
      <c r="C10" s="5" t="n">
        <v>1089938</v>
      </c>
      <c r="D10" s="5" t="n">
        <v>-3416329</v>
      </c>
      <c r="E10" s="5" t="n">
        <v>-2608170</v>
      </c>
      <c r="F10" s="5" t="n">
        <v>1232376</v>
      </c>
      <c r="G10" s="5" t="n">
        <v>2080053</v>
      </c>
      <c r="H10" s="5" t="n">
        <v>-67400</v>
      </c>
      <c r="I10" s="5" t="n">
        <v>-126375</v>
      </c>
      <c r="J10" s="5" t="n">
        <v>-647480</v>
      </c>
      <c r="K10" s="5" t="n">
        <v>332715</v>
      </c>
    </row>
    <row r="11">
      <c r="A11" s="6" t="inlineStr">
        <is>
          <t>Cash and cash equivalents at the beginning of year/period</t>
        </is>
      </c>
      <c r="B11" s="6" t="n">
        <v>10187072</v>
      </c>
      <c r="C11" s="6" t="n">
        <v>9097134</v>
      </c>
      <c r="D11" s="6" t="n">
        <v>12513463</v>
      </c>
      <c r="E11" s="6" t="n">
        <v>15121633</v>
      </c>
      <c r="F11" s="6" t="n">
        <v>13889257</v>
      </c>
      <c r="G11" s="6" t="n">
        <v>11809204</v>
      </c>
      <c r="H11" s="6" t="n">
        <v>11876604</v>
      </c>
      <c r="I11" s="6" t="n">
        <v>12002979</v>
      </c>
      <c r="J11" s="6" t="n">
        <v>12650459</v>
      </c>
      <c r="K11" s="6" t="n">
        <v>12317744</v>
      </c>
    </row>
    <row r="12">
      <c r="A12" s="5" t="inlineStr">
        <is>
          <t>Cash and cash equivalents at the end of year/period</t>
        </is>
      </c>
      <c r="B12" s="5" t="n">
        <v>10166442</v>
      </c>
      <c r="C12" s="5" t="n">
        <v>10187072</v>
      </c>
      <c r="D12" s="5" t="n">
        <v>9097134</v>
      </c>
      <c r="E12" s="5" t="n">
        <v>12513463</v>
      </c>
      <c r="F12" s="5" t="n">
        <v>15121633</v>
      </c>
      <c r="G12" s="5" t="n">
        <v>13889257</v>
      </c>
      <c r="H12" s="5" t="n">
        <v>11809204</v>
      </c>
      <c r="I12" s="5" t="n">
        <v>11876604</v>
      </c>
      <c r="J12" s="5" t="n">
        <v>12002979</v>
      </c>
      <c r="K12" s="5" t="n">
        <v>12650459</v>
      </c>
    </row>
    <row r="14" ht="190" customHeight="1">
      <c r="A14" s="8" t="inlineStr">
        <is>
          <t>Sources - Methodist Chapel Aid Limited entity-level Statement of Cash Flows, £:
FY2025 (9 months ended 30 September 2025): MCA Annual report and accounts 2025, pp. 38-39 - https://www.mcafundingforchurches.co.uk/media/4bcl2vk5/mca-ar-2025.pdf
FY2024: MCA Annual report and accounts 2024, pp. 36-39 - https://www.mcafundingforchurches.co.uk/media/keybconk/annual-report-2024.pdf
FY2023: MCA Annual report and accounts 2024 comparative, p. 39 - https://www.mcafundingforchurches.co.uk/media/keybconk/annual-report-2024.pdf
FY2022: MCA Annual report and accounts 2022, p. 38 - https://www.mcafundingforchurches.co.uk/sitefiles/resources/pdf/annualreport2022.pdf
FY2021: MCA Annual report and accounts 2022 comparative, p. 38 - https://www.mcafundingforchurches.co.uk/sitefiles/resources/pdf/annualreport2022.pdf
FY2020: Companies House full accounts to 31 December 2020 (filed 13 May 2021), Statement of Cash Flows p. 27 - https://find-and-update.company-information.service.gov.uk/company/00030546/filing-history/MzMwMDQ2Njg3M2FkaXF6a2N4/document?format=pdf&amp;download=0
FY2019: Companies House full accounts to 31 December 2020 comparative, p. 27 - https://find-and-update.company-information.service.gov.uk/company/00030546/filing-history/MzMwMDQ2Njg3M2FkaXF6a2N4/document?format=pdf&amp;download=0
FY2018: Companies House full accounts to 31 December 2018 (filed 10 May 2019), Statement of Cash Flows p. 25 - https://find-and-update.company-information.service.gov.uk/company/00030546/filing-history/MzIzMzkxMzU5MGFkaXF6a2N4/document?format=pdf&amp;download=0
FY2017: Companies House full accounts to 31 December 2018 comparative, p. 25 - https://find-and-update.company-information.service.gov.uk/company/00030546/filing-history/MzIzMzkxMzU5MGFkaXF6a2N4/document?format=pdf&amp;download=0
FY2016: Companies House full accounts to 31 December 2016 (filed 11 May 2017), Statement of Cash Flows p. 23 - https://find-and-update.company-information.service.gov.uk/company/00030546/filing-history/MzE3NTQ2MDUyOWFkaXF6a2N4/document?format=pdf&amp;download=0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4:K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Asset Quality</t>
        </is>
      </c>
    </row>
    <row r="2">
      <c r="A2" s="2" t="inlineStr">
        <is>
          <t>Entity-level basis, £. FRS 102 reporting - no IFRS 9 Stage 1/2/3 split disclosed; credit quality shown via product/security split and a single collective provision for bad debts.</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c r="I3" s="4" t="inlineStr">
        <is>
          <t>FY2018 (£)</t>
        </is>
      </c>
      <c r="J3" s="4" t="inlineStr">
        <is>
          <t>FY2017 (£)</t>
        </is>
      </c>
      <c r="K3" s="4" t="inlineStr">
        <is>
          <t>FY2016 (£)</t>
        </is>
      </c>
    </row>
    <row r="4">
      <c r="A4" s="5" t="inlineStr">
        <is>
          <t>Loan book by product (gross)</t>
        </is>
      </c>
      <c r="B4" s="6" t="n"/>
      <c r="C4" s="6" t="n"/>
      <c r="D4" s="6" t="n"/>
      <c r="E4" s="6" t="n"/>
      <c r="F4" s="6" t="n"/>
      <c r="G4" s="6" t="n"/>
      <c r="H4" s="6" t="n"/>
      <c r="I4" s="6" t="n"/>
      <c r="J4" s="6" t="n"/>
      <c r="K4" s="6" t="n"/>
    </row>
    <row r="5">
      <c r="A5" s="6" t="inlineStr">
        <is>
          <t>Property loans - secured</t>
        </is>
      </c>
      <c r="B5" s="6" t="n">
        <v>6882826</v>
      </c>
      <c r="C5" s="6" t="n">
        <v>7487986</v>
      </c>
      <c r="D5" s="6" t="n">
        <v>7265355</v>
      </c>
      <c r="E5" s="6" t="n">
        <v>7037375</v>
      </c>
      <c r="F5" s="6" t="n">
        <v>5840927</v>
      </c>
      <c r="G5" s="6" t="n">
        <v>6141270</v>
      </c>
      <c r="H5" s="6" t="n">
        <v>6821441</v>
      </c>
      <c r="I5" s="6" t="n">
        <v>5789736</v>
      </c>
      <c r="J5" s="6" t="n">
        <v>4159580</v>
      </c>
      <c r="K5" s="6" t="n">
        <v>3532033</v>
      </c>
    </row>
    <row r="6">
      <c r="A6" s="6" t="inlineStr">
        <is>
          <t>Property loans - unsecured</t>
        </is>
      </c>
      <c r="B6" s="6" t="n">
        <v>1375657</v>
      </c>
      <c r="C6" s="6" t="n">
        <v>1644631</v>
      </c>
      <c r="D6" s="6" t="n">
        <v>3055122</v>
      </c>
      <c r="E6" s="6" t="n">
        <v>1432495</v>
      </c>
      <c r="F6" s="6" t="n">
        <v>1346352</v>
      </c>
      <c r="G6" s="6" t="n">
        <v>1160251</v>
      </c>
      <c r="H6" s="6" t="n">
        <v>1039071</v>
      </c>
      <c r="I6" s="6" t="n">
        <v>477458</v>
      </c>
      <c r="J6" s="6" t="n">
        <v>972672</v>
      </c>
      <c r="K6" s="6" t="n">
        <v>643066</v>
      </c>
    </row>
    <row r="7">
      <c r="A7" s="5" t="inlineStr">
        <is>
          <t>Property loans - total</t>
        </is>
      </c>
      <c r="B7" s="5" t="n">
        <v>8258483</v>
      </c>
      <c r="C7" s="5" t="n">
        <v>9132617</v>
      </c>
      <c r="D7" s="5" t="n">
        <v>10320477</v>
      </c>
      <c r="E7" s="5" t="n">
        <v>8469870</v>
      </c>
      <c r="F7" s="5" t="n">
        <v>7187279</v>
      </c>
      <c r="G7" s="5" t="n">
        <v>7301521</v>
      </c>
      <c r="H7" s="5" t="n">
        <v>7860512</v>
      </c>
      <c r="I7" s="5" t="n">
        <v>6267194</v>
      </c>
      <c r="J7" s="5" t="n">
        <v>5132252</v>
      </c>
      <c r="K7" s="5" t="n">
        <v>4175099</v>
      </c>
    </row>
    <row r="8">
      <c r="A8" s="6" t="inlineStr">
        <is>
          <t>Car loans - unsecured</t>
        </is>
      </c>
      <c r="B8" s="6" t="n">
        <v>4250</v>
      </c>
      <c r="C8" s="6" t="n">
        <v>6250</v>
      </c>
      <c r="D8" s="6" t="n">
        <v>9833</v>
      </c>
      <c r="E8" s="6" t="n">
        <v>16028</v>
      </c>
      <c r="F8" s="6" t="n">
        <v>10319</v>
      </c>
      <c r="G8" s="6" t="n">
        <v>13400</v>
      </c>
      <c r="H8" s="6" t="n">
        <v>28282</v>
      </c>
      <c r="I8" s="6" t="n">
        <v>49302</v>
      </c>
      <c r="J8" s="6" t="n">
        <v>80686</v>
      </c>
      <c r="K8" s="6" t="n">
        <v>123190</v>
      </c>
    </row>
    <row r="9">
      <c r="A9" s="5" t="inlineStr">
        <is>
          <t>Total loans and advances (gross)</t>
        </is>
      </c>
      <c r="B9" s="5" t="n">
        <v>8262733</v>
      </c>
      <c r="C9" s="5" t="n">
        <v>9138867</v>
      </c>
      <c r="D9" s="5" t="n">
        <v>10330310</v>
      </c>
      <c r="E9" s="5" t="n">
        <v>8485898</v>
      </c>
      <c r="F9" s="5" t="n">
        <v>7197598</v>
      </c>
      <c r="G9" s="5" t="n">
        <v>7314921</v>
      </c>
      <c r="H9" s="5" t="n">
        <v>7888794</v>
      </c>
      <c r="I9" s="5" t="n">
        <v>6316496</v>
      </c>
      <c r="J9" s="5" t="n">
        <v>5212938</v>
      </c>
      <c r="K9" s="5" t="n">
        <v>4298289</v>
      </c>
    </row>
    <row r="10">
      <c r="A10" s="6" t="inlineStr">
        <is>
          <t>Provision for bad debts</t>
        </is>
      </c>
      <c r="B10" s="6" t="n">
        <v>-106</v>
      </c>
      <c r="C10" s="6" t="n">
        <v>-156</v>
      </c>
      <c r="D10" s="6" t="n">
        <v>-246</v>
      </c>
      <c r="E10" s="6" t="n">
        <v>-401</v>
      </c>
      <c r="F10" s="6" t="n">
        <v>-258</v>
      </c>
      <c r="G10" s="6" t="n">
        <v>-335</v>
      </c>
      <c r="H10" s="6" t="n">
        <v>-707</v>
      </c>
      <c r="I10" s="6" t="n">
        <v>-1232</v>
      </c>
      <c r="J10" s="6" t="n">
        <v>-2017</v>
      </c>
      <c r="K10" s="6" t="n">
        <v>-3080</v>
      </c>
    </row>
    <row r="11">
      <c r="A11" s="5" t="inlineStr">
        <is>
          <t>Total loans and advances (net)</t>
        </is>
      </c>
      <c r="B11" s="5" t="n">
        <v>8262627</v>
      </c>
      <c r="C11" s="5" t="n">
        <v>9138711</v>
      </c>
      <c r="D11" s="5" t="n">
        <v>10330064</v>
      </c>
      <c r="E11" s="5" t="n">
        <v>8485497</v>
      </c>
      <c r="F11" s="5" t="n">
        <v>7197340</v>
      </c>
      <c r="G11" s="5" t="n">
        <v>7314586</v>
      </c>
      <c r="H11" s="5" t="n">
        <v>7888087</v>
      </c>
      <c r="I11" s="5" t="n">
        <v>6315264</v>
      </c>
      <c r="J11" s="5" t="n">
        <v>5210921</v>
      </c>
      <c r="K11" s="5" t="n">
        <v>4295209</v>
      </c>
    </row>
    <row r="12">
      <c r="A12" s="5" t="inlineStr">
        <is>
          <t>Maturity profile of loans and advances (net)</t>
        </is>
      </c>
      <c r="B12" s="6" t="n"/>
      <c r="C12" s="6" t="n"/>
      <c r="D12" s="6" t="n"/>
      <c r="E12" s="6" t="n"/>
      <c r="F12" s="6" t="n"/>
      <c r="G12" s="6" t="n"/>
      <c r="H12" s="6" t="n"/>
      <c r="I12" s="6" t="n"/>
      <c r="J12" s="6" t="n"/>
      <c r="K12" s="6" t="n"/>
    </row>
    <row r="13">
      <c r="A13" s="6" t="inlineStr">
        <is>
          <t>Due within 3 months</t>
        </is>
      </c>
      <c r="B13" s="6" t="n">
        <v>480809</v>
      </c>
      <c r="C13" s="6" t="n">
        <v>350750</v>
      </c>
      <c r="D13" s="6" t="n">
        <v>1449455</v>
      </c>
      <c r="E13" s="6" t="n">
        <v>1861</v>
      </c>
      <c r="F13" s="6" t="n">
        <v>1848</v>
      </c>
      <c r="G13" s="6" t="n">
        <v>57672</v>
      </c>
      <c r="H13" s="6" t="n">
        <v>488356</v>
      </c>
      <c r="I13" s="6" t="n">
        <v>8880</v>
      </c>
      <c r="J13" s="6" t="n">
        <v>12201</v>
      </c>
      <c r="K13" s="6" t="n">
        <v>9959</v>
      </c>
    </row>
    <row r="14">
      <c r="A14" s="6" t="inlineStr">
        <is>
          <t>In more than 3 months but not more than 1 year</t>
        </is>
      </c>
      <c r="B14" s="6" t="n">
        <v>1166309</v>
      </c>
      <c r="C14" s="6" t="n">
        <v>1907530</v>
      </c>
      <c r="D14" s="6" t="n">
        <v>2103477</v>
      </c>
      <c r="E14" s="6" t="n">
        <v>2223451</v>
      </c>
      <c r="F14" s="6" t="n">
        <v>364515</v>
      </c>
      <c r="G14" s="6" t="n">
        <v>672303</v>
      </c>
      <c r="H14" s="6" t="n">
        <v>588968</v>
      </c>
      <c r="I14" s="6" t="n">
        <v>1190672</v>
      </c>
      <c r="J14" s="6" t="n">
        <v>1211741</v>
      </c>
      <c r="K14" s="6" t="n">
        <v>1183851</v>
      </c>
    </row>
    <row r="15">
      <c r="A15" s="6" t="inlineStr">
        <is>
          <t>In more than 1 year but not more than 5 years</t>
        </is>
      </c>
      <c r="B15" s="6" t="n">
        <v>3075037</v>
      </c>
      <c r="C15" s="6" t="n">
        <v>3184280</v>
      </c>
      <c r="D15" s="6" t="n">
        <v>3463531</v>
      </c>
      <c r="E15" s="6" t="n">
        <v>3069212</v>
      </c>
      <c r="F15" s="6" t="n">
        <v>3182168</v>
      </c>
      <c r="G15" s="6" t="n">
        <v>2328530</v>
      </c>
      <c r="H15" s="6" t="n">
        <v>1827551</v>
      </c>
      <c r="I15" s="6" t="n">
        <v>1796008</v>
      </c>
      <c r="J15" s="6" t="n">
        <v>1588387</v>
      </c>
      <c r="K15" s="6" t="n">
        <v>1241379</v>
      </c>
    </row>
    <row r="16">
      <c r="A16" s="6" t="inlineStr">
        <is>
          <t>In more than 5 years</t>
        </is>
      </c>
      <c r="B16" s="6" t="n">
        <v>3540578</v>
      </c>
      <c r="C16" s="6" t="n">
        <v>3696307</v>
      </c>
      <c r="D16" s="6" t="n">
        <v>3313847</v>
      </c>
      <c r="E16" s="6" t="n">
        <v>3191374</v>
      </c>
      <c r="F16" s="6" t="n">
        <v>3649067</v>
      </c>
      <c r="G16" s="6" t="n">
        <v>4256416</v>
      </c>
      <c r="H16" s="6" t="n">
        <v>4983919</v>
      </c>
      <c r="I16" s="6" t="n">
        <v>3320936</v>
      </c>
      <c r="J16" s="6" t="n">
        <v>2400609</v>
      </c>
      <c r="K16" s="6" t="n">
        <v>1863100</v>
      </c>
    </row>
    <row r="18" ht="210" customHeight="1">
      <c r="A18" s="8" t="inlineStr">
        <is>
          <t>Sources - Methodist Chapel Aid Limited entity-level loan book detail, Note 11/13 Debtors (Loans and advances to customers), £:
FY2025 and FY2024 comparative: MCA Annual report and accounts 2025, Note 11, pp.49-50 - https://www.mcafundingforchurches.co.uk/media/4bcl2vk5/mca-ar-2025.pdf
FY2023 comparative: MCA Annual report and accounts 2024, Note 11, pp.47-48 - https://www.mcafundingforchurches.co.uk/media/keybconk/annual-report-2024.pdf
FY2022 and FY2021 comparative: MCA Annual report and accounts 2022, Note 13, pp.48-49 - https://www.mcafundingforchurches.co.uk/sitefiles/resources/pdf/annualreport2022.pdf
FY2020: Companies House full accounts to 31 December 2020, Note 13, p.36 - https://find-and-update.company-information.service.gov.uk/company/00030546/filing-history/MzMwMDQ2Njg3M2FkaXF6a2N4/document?format=pdf&amp;download=0
FY2019 comparative: Companies House full accounts to 31 December 2020, Note 13, p.36 - https://find-and-update.company-information.service.gov.uk/company/00030546/filing-history/MzMwMDQ2Njg3M2FkaXF6a2N4/document?format=pdf&amp;download=0
FY2018: Companies House full accounts to 31 December 2018, Note 13, p.34 - https://find-and-update.company-information.service.gov.uk/company/00030546/filing-history/MzIzMzkxMzU5MGFkaXF6a2N4/document?format=pdf&amp;download=0
FY2017 comparative: Companies House full accounts to 31 December 2018, Note 13, p.34 - https://find-and-update.company-information.service.gov.uk/company/00030546/filing-history/MzIzMzkxMzU5MGFkaXF6a2N4/document?format=pdf&amp;download=0
FY2016: Companies House full accounts to 31 December 2016, Note 13, p.32 - https://find-and-update.company-information.service.gov.uk/company/00030546/filing-history/MzE3NTQ2MDUyOWFkaXF6a2N4/document?format=pdf&amp;download=0
Note: the Company applies FRS 102 (not IFRS 9), so no Stage 1/2/3 ECL split is disclosed - credit quality is shown instead via the Company's own product/security split and a single collective 'Provision for bad debts' balance. No past-due/impaired-loan analysis beyond the provision balance was located.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18:K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capital</t>
        </is>
      </c>
      <c r="B4" s="6" t="n"/>
      <c r="C4" s="6" t="n"/>
      <c r="D4" s="6" t="n">
        <v>13354</v>
      </c>
      <c r="E4" s="6" t="n">
        <v>12952</v>
      </c>
      <c r="F4" s="6" t="n">
        <v>13919</v>
      </c>
      <c r="G4" s="6" t="n">
        <v>13032</v>
      </c>
      <c r="H4" s="6" t="n">
        <v>12307</v>
      </c>
      <c r="I4" s="6" t="n"/>
      <c r="J4" s="6" t="n"/>
      <c r="K4" s="6" t="n"/>
    </row>
    <row r="5" ht="60" customHeight="1">
      <c r="A5" s="7" t="inlineStr">
        <is>
          <t>Note: FY2024 and FY2025 absolute regulatory capital was not separately disclosed in the located sources. FY2016-FY2018: no Pillar 3 document was located (genuinely not disclosed, not a search miss - see note above).</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FY2020/FY2019 ratios are calculated as disclosed CET1 capital divided by this workbook's derived Total RWAs (not stated as a ready-made ratio in the source, which only gives the £ components).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c r="C4" s="6" t="n"/>
      <c r="D4" s="6" t="n">
        <v>13354</v>
      </c>
      <c r="E4" s="6" t="n">
        <v>12952</v>
      </c>
      <c r="F4" s="6" t="n">
        <v>13919</v>
      </c>
      <c r="G4" s="6" t="n">
        <v>13032</v>
      </c>
      <c r="H4" s="6" t="n">
        <v>12307</v>
      </c>
      <c r="I4" s="6" t="n"/>
      <c r="J4" s="6" t="n"/>
      <c r="K4" s="6" t="n"/>
    </row>
    <row r="5" ht="60" customHeight="1">
      <c r="A5" s="7" t="inlineStr">
        <is>
          <t>Note: All disclosed Tier 1 capital was CET1; FY2024 and FY2025 were not separately disclosed.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c r="C4" s="6" t="n"/>
      <c r="D4" s="6" t="n">
        <v>13354</v>
      </c>
      <c r="E4" s="6" t="n">
        <v>12952</v>
      </c>
      <c r="F4" s="6" t="n">
        <v>13919</v>
      </c>
      <c r="G4" s="6" t="n">
        <v>13032</v>
      </c>
      <c r="H4" s="6" t="n">
        <v>12307</v>
      </c>
      <c r="I4" s="6" t="n"/>
      <c r="J4" s="6" t="n"/>
      <c r="K4" s="6" t="n"/>
    </row>
    <row r="5" ht="60" customHeight="1">
      <c r="A5" s="7" t="inlineStr">
        <is>
          <t>Note: All disclosed total capital was CET1; FY2024 and FY2025 were not separately disclosed.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n"/>
      <c r="C4" s="6" t="n"/>
      <c r="D4" s="6" t="inlineStr">
        <is>
          <t>52.88%</t>
        </is>
      </c>
      <c r="E4" s="6" t="inlineStr">
        <is>
          <t>53.85%</t>
        </is>
      </c>
      <c r="F4" s="6" t="inlineStr">
        <is>
          <t>52.79%</t>
        </is>
      </c>
      <c r="G4" s="6" t="inlineStr">
        <is>
          <t>51.48%</t>
        </is>
      </c>
      <c r="H4" s="6" t="inlineStr">
        <is>
          <t>58.68%</t>
        </is>
      </c>
      <c r="I4" s="6" t="n"/>
      <c r="J4" s="6" t="n"/>
      <c r="K4" s="6" t="n"/>
    </row>
    <row r="5" ht="60" customHeight="1">
      <c r="A5" s="7" t="inlineStr">
        <is>
          <t>Note: FY2024 and FY2025 ratio not separately disclosed in the located sources.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c r="C4" s="6" t="n"/>
      <c r="D4" s="6" t="n">
        <v>25253</v>
      </c>
      <c r="E4" s="6" t="n">
        <v>24052</v>
      </c>
      <c r="F4" s="6" t="n">
        <v>26369</v>
      </c>
      <c r="G4" s="6" t="n">
        <v>25316</v>
      </c>
      <c r="H4" s="6" t="n">
        <v>20975</v>
      </c>
      <c r="I4" s="6" t="n"/>
      <c r="J4" s="6" t="n"/>
      <c r="K4" s="6" t="n"/>
    </row>
    <row r="5" ht="60" customHeight="1">
      <c r="A5" s="7" t="inlineStr">
        <is>
          <t>Note: FY2024 and FY2025 absolute RWA was not separately disclosed in the located sources. FY2020/FY2019 Total RWAs are the sum of the disclosed credit risk RWA plus an operational risk RWA derived as capital requirement x 12.5 (the document's own Pillar 1 formula) since operational risk is disclosed there only as a capital requirement.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RWA Breakdown</t>
        </is>
      </c>
    </row>
    <row r="2">
      <c r="A2" s="2" t="inlineStr">
        <is>
          <t>Entity-level basis, £'000, Standardised Approach.</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Credit risk exposure by class (Risk Weighted Exposure)</t>
        </is>
      </c>
      <c r="B4" s="6" t="n"/>
      <c r="C4" s="6" t="n"/>
      <c r="D4" s="6" t="n"/>
      <c r="E4" s="6" t="n"/>
      <c r="F4" s="6" t="n"/>
      <c r="G4" s="6" t="n"/>
      <c r="H4" s="6" t="n"/>
      <c r="I4" s="6" t="n"/>
      <c r="J4" s="6" t="n"/>
      <c r="K4" s="6" t="n"/>
    </row>
    <row r="5">
      <c r="A5" s="6" t="inlineStr">
        <is>
          <t>Credit institutions</t>
        </is>
      </c>
      <c r="B5" s="6" t="n"/>
      <c r="C5" s="6" t="n"/>
      <c r="D5" s="6" t="n">
        <v>1825</v>
      </c>
      <c r="E5" s="6" t="n">
        <v>2713</v>
      </c>
      <c r="F5" s="6" t="n">
        <v>3233</v>
      </c>
      <c r="G5" s="6" t="n">
        <v>3255</v>
      </c>
      <c r="H5" s="6" t="n">
        <v>2835</v>
      </c>
      <c r="I5" s="6" t="n"/>
      <c r="J5" s="6" t="n"/>
      <c r="K5" s="6" t="n"/>
    </row>
    <row r="6">
      <c r="A6" s="6" t="inlineStr">
        <is>
          <t>UK Treasury Stocks</t>
        </is>
      </c>
      <c r="B6" s="6" t="n"/>
      <c r="C6" s="6" t="n"/>
      <c r="D6" s="6" t="n">
        <v>0</v>
      </c>
      <c r="E6" s="6" t="n">
        <v>0</v>
      </c>
      <c r="F6" s="6" t="n">
        <v>0</v>
      </c>
      <c r="G6" s="6" t="n">
        <v>0</v>
      </c>
      <c r="H6" s="6" t="n">
        <v>0</v>
      </c>
      <c r="I6" s="6" t="n"/>
      <c r="J6" s="6" t="n"/>
      <c r="K6" s="6" t="n"/>
    </row>
    <row r="7">
      <c r="A7" s="6" t="inlineStr">
        <is>
          <t>Multilateral Development Banks</t>
        </is>
      </c>
      <c r="B7" s="6" t="n"/>
      <c r="C7" s="6" t="n"/>
      <c r="D7" s="6" t="n"/>
      <c r="E7" s="6" t="n"/>
      <c r="F7" s="6" t="n"/>
      <c r="G7" s="6" t="n"/>
      <c r="H7" s="6" t="n">
        <v>0</v>
      </c>
      <c r="I7" s="6" t="n"/>
      <c r="J7" s="6" t="n"/>
      <c r="K7" s="6" t="n"/>
    </row>
    <row r="8">
      <c r="A8" s="6" t="inlineStr">
        <is>
          <t>Sterling Corporate Bonds</t>
        </is>
      </c>
      <c r="B8" s="6" t="n"/>
      <c r="C8" s="6" t="n"/>
      <c r="D8" s="6" t="n"/>
      <c r="E8" s="6" t="n"/>
      <c r="F8" s="6" t="n"/>
      <c r="G8" s="6" t="n"/>
      <c r="H8" s="6" t="n">
        <v>961</v>
      </c>
      <c r="I8" s="6" t="n"/>
      <c r="J8" s="6" t="n"/>
      <c r="K8" s="6" t="n"/>
    </row>
    <row r="9">
      <c r="A9" s="6" t="inlineStr">
        <is>
          <t>Collective investment undertakings</t>
        </is>
      </c>
      <c r="B9" s="6" t="n"/>
      <c r="C9" s="6" t="n"/>
      <c r="D9" s="6" t="n">
        <v>3271</v>
      </c>
      <c r="E9" s="6" t="n">
        <v>3092</v>
      </c>
      <c r="F9" s="6" t="n">
        <v>3449</v>
      </c>
      <c r="G9" s="6" t="n">
        <v>4097</v>
      </c>
      <c r="H9" s="6" t="n">
        <v>1607</v>
      </c>
      <c r="I9" s="6" t="n"/>
      <c r="J9" s="6" t="n"/>
      <c r="K9" s="6" t="n"/>
    </row>
    <row r="10">
      <c r="A10" s="6" t="inlineStr">
        <is>
          <t>Equity investments</t>
        </is>
      </c>
      <c r="B10" s="6" t="n"/>
      <c r="C10" s="6" t="n"/>
      <c r="D10" s="6" t="n">
        <v>7101</v>
      </c>
      <c r="E10" s="6" t="n">
        <v>7160</v>
      </c>
      <c r="F10" s="6" t="n">
        <v>9123</v>
      </c>
      <c r="G10" s="6" t="n">
        <v>8138</v>
      </c>
      <c r="H10" s="6" t="n">
        <v>7678</v>
      </c>
      <c r="I10" s="6" t="n"/>
      <c r="J10" s="6" t="n"/>
      <c r="K10" s="6" t="n"/>
    </row>
    <row r="11">
      <c r="A11" s="6" t="inlineStr">
        <is>
          <t>Loans and advances to customers (drawn) (aggregate, pre-FY2022 disclosure form)</t>
        </is>
      </c>
      <c r="B11" s="6" t="n"/>
      <c r="C11" s="6" t="n"/>
      <c r="D11" s="6" t="n"/>
      <c r="E11" s="6" t="n"/>
      <c r="F11" s="6" t="n">
        <v>7197</v>
      </c>
      <c r="G11" s="6" t="n">
        <v>7315</v>
      </c>
      <c r="H11" s="6" t="n">
        <v>5916</v>
      </c>
      <c r="I11" s="6" t="n"/>
      <c r="J11" s="6" t="n"/>
      <c r="K11" s="6" t="n"/>
    </row>
    <row r="12">
      <c r="A12" s="6" t="inlineStr">
        <is>
          <t>Loans and advances to customers (50% of undrawn) (aggregate, pre-FY2022 disclosure form)</t>
        </is>
      </c>
      <c r="B12" s="6" t="n"/>
      <c r="C12" s="6" t="n"/>
      <c r="D12" s="6" t="n"/>
      <c r="E12" s="6" t="n"/>
      <c r="F12" s="6" t="n">
        <v>2066</v>
      </c>
      <c r="G12" s="6" t="n">
        <v>1440</v>
      </c>
      <c r="H12" s="6" t="n">
        <v>857</v>
      </c>
      <c r="I12" s="6" t="n"/>
      <c r="J12" s="6" t="n"/>
      <c r="K12" s="6" t="n"/>
    </row>
    <row r="13">
      <c r="A13" s="6" t="inlineStr">
        <is>
          <t>Higher Risk Weighted Equities</t>
        </is>
      </c>
      <c r="B13" s="6" t="n"/>
      <c r="C13" s="6" t="n"/>
      <c r="D13" s="6" t="n"/>
      <c r="E13" s="6" t="n">
        <v>30</v>
      </c>
      <c r="F13" s="6" t="n"/>
      <c r="G13" s="6" t="n"/>
      <c r="H13" s="6" t="n"/>
      <c r="I13" s="6" t="n"/>
      <c r="J13" s="6" t="n"/>
      <c r="K13" s="6" t="n"/>
    </row>
    <row r="14">
      <c r="A14" s="6" t="inlineStr">
        <is>
          <t>Property loans and advances to customers (drawn)</t>
        </is>
      </c>
      <c r="B14" s="6" t="n"/>
      <c r="C14" s="6" t="n"/>
      <c r="D14" s="6" t="n">
        <v>10320</v>
      </c>
      <c r="E14" s="6" t="n">
        <v>8470</v>
      </c>
      <c r="F14" s="6" t="n"/>
      <c r="G14" s="6" t="n"/>
      <c r="H14" s="6" t="n"/>
      <c r="I14" s="6" t="n"/>
      <c r="J14" s="6" t="n"/>
      <c r="K14" s="6" t="n"/>
    </row>
    <row r="15">
      <c r="A15" s="6" t="inlineStr">
        <is>
          <t>Property loans and advances to customers (50% of undrawn)</t>
        </is>
      </c>
      <c r="B15" s="6" t="n"/>
      <c r="C15" s="6" t="n"/>
      <c r="D15" s="6" t="n">
        <v>1125</v>
      </c>
      <c r="E15" s="6" t="n">
        <v>1195</v>
      </c>
      <c r="F15" s="6" t="n"/>
      <c r="G15" s="6" t="n"/>
      <c r="H15" s="6" t="n"/>
      <c r="I15" s="6" t="n"/>
      <c r="J15" s="6" t="n"/>
      <c r="K15" s="6" t="n"/>
    </row>
    <row r="16">
      <c r="A16" s="6" t="inlineStr">
        <is>
          <t>Car loans and advances to customers</t>
        </is>
      </c>
      <c r="B16" s="6" t="n"/>
      <c r="C16" s="6" t="n"/>
      <c r="D16" s="6" t="n">
        <v>7</v>
      </c>
      <c r="E16" s="6" t="n">
        <v>12</v>
      </c>
      <c r="F16" s="6" t="n"/>
      <c r="G16" s="6" t="n"/>
      <c r="H16" s="6" t="n"/>
      <c r="I16" s="6" t="n"/>
      <c r="J16" s="6" t="n"/>
      <c r="K16" s="6" t="n"/>
    </row>
    <row r="17">
      <c r="A17" s="6" t="inlineStr">
        <is>
          <t>Fixed and other assets</t>
        </is>
      </c>
      <c r="B17" s="6" t="n"/>
      <c r="C17" s="6" t="n"/>
      <c r="D17" s="6" t="n">
        <v>436</v>
      </c>
      <c r="E17" s="6" t="n">
        <v>145</v>
      </c>
      <c r="F17" s="6" t="n">
        <v>103</v>
      </c>
      <c r="G17" s="6" t="n">
        <v>83</v>
      </c>
      <c r="H17" s="6" t="n">
        <v>133</v>
      </c>
      <c r="I17" s="6" t="n"/>
      <c r="J17" s="6" t="n"/>
      <c r="K17" s="6" t="n"/>
    </row>
    <row r="18">
      <c r="A18" s="5" t="inlineStr">
        <is>
          <t>Total credit risk exposure (RWA)</t>
        </is>
      </c>
      <c r="B18" s="5" t="n"/>
      <c r="C18" s="5" t="n"/>
      <c r="D18" s="5" t="n">
        <v>24085</v>
      </c>
      <c r="E18" s="5" t="n">
        <v>22817</v>
      </c>
      <c r="F18" s="5" t="n">
        <v>25171</v>
      </c>
      <c r="G18" s="5" t="n">
        <v>24328</v>
      </c>
      <c r="H18" s="5" t="n">
        <v>19987</v>
      </c>
      <c r="I18" s="5" t="n"/>
      <c r="J18" s="5" t="n"/>
      <c r="K18" s="5" t="n"/>
    </row>
    <row r="19">
      <c r="A19" s="6" t="inlineStr">
        <is>
          <t>Operational risk capital requirement (RWA)</t>
        </is>
      </c>
      <c r="B19" s="6" t="n"/>
      <c r="C19" s="6" t="n"/>
      <c r="D19" s="6" t="n">
        <v>1168</v>
      </c>
      <c r="E19" s="6" t="n">
        <v>1235</v>
      </c>
      <c r="F19" s="6" t="n">
        <v>1150</v>
      </c>
      <c r="G19" s="6" t="n">
        <v>988</v>
      </c>
      <c r="H19" s="6" t="n">
        <v>988</v>
      </c>
      <c r="I19" s="6" t="n"/>
      <c r="J19" s="6" t="n"/>
      <c r="K19" s="6" t="n"/>
    </row>
    <row r="20">
      <c r="A20" s="5" t="inlineStr">
        <is>
          <t>Total RWAs (Pillar 1)</t>
        </is>
      </c>
      <c r="B20" s="5" t="n"/>
      <c r="C20" s="5" t="n"/>
      <c r="D20" s="5" t="n">
        <v>25253</v>
      </c>
      <c r="E20" s="5" t="n">
        <v>24052</v>
      </c>
      <c r="F20" s="5" t="n">
        <v>26369</v>
      </c>
      <c r="G20" s="5" t="n">
        <v>25316</v>
      </c>
      <c r="H20" s="5" t="n">
        <v>20975</v>
      </c>
      <c r="I20" s="5" t="n"/>
      <c r="J20" s="5" t="n"/>
      <c r="K20" s="5" t="n"/>
    </row>
    <row r="22" ht="230" customHeight="1">
      <c r="A22" s="8" t="inlineStr">
        <is>
          <t>Sources - Methodist Chapel Aid Limited entity-level Pillar 1 capital requirement / RWA breakdown by exposure class, £'000: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Section 5 Capital Adequacy table, p.7 -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Pillar 3 Disclosures for year ended 31 December 2022, Section 5 Capital Adequacy table, p.8 - https://www.mcafundingforchurches.co.uk/siteFiles/resources/pdf/Pillar3disclosures2022.pdf (still live; the Company's duplicate copy at https://www.mcafundingforchurches.co.uk/media/honer1yl/pillar3disclosures2022.pdf is dead but byte-identical in the archive - see the FY2022 entry on the Pillar 3 metric sheets for the full check)
FY2021: Pillar 3 Disclosures for year ended 31 December 2021, Section 5 Capital Adequacy table, p.6 - https://web.archive.org/web/20220625084136id_/https://www.mcafundingforchurches.co.uk/sitefiles/resources/pdf/2021-pillar-3-disclosures.pdf (Wayback `id_` snapshot of 25 June 2022, the only capture of this file in the CDX index; re-fetched 2026-09-15, 319,857 bytes, begins `%PDF-`. The Company's own URL, https://www.mcafundingforchurches.co.uk/sitefiles/resources/pdf/2021-pillar-3-disclosures.pdf, is dead). CORRECTION 2026-09-15: this sheet previously said no category-level breakdown existed for FY2021 and left every category row blank. That was a sourcing miss, not an absence. The FY2021 standalone Pillar 3 document does exist and carries the same Section 5 capital-adequacy table as every other year; it was missed because the Company changed its filename convention for this one edition - every other year is 'pillar3disclosures&lt;YYYY&gt;.pdf', but FY2021 is '2021-pillar-3-disclosures.pdf', so guessing filenames by pattern could never reach it. It was found by listing the whole mcafundingforchurches.co.uk domain from the Wayback CDX index instead of constructing candidate URLs. FY2021 uses the pre-FY2022 aggregate presentation of customer loans (a single 'drawn' and '50% of undrawn' pair, not the property/car split introduced in FY2022), which is why those rows carry FY2021 alongside FY2020/FY2019.
FY2021 RECONCILIATION - the category rows deliberately do NOT sum to the Total RWAs row, and this is a real difference between two of the Company's own documents rather than a transcription error. The FY2021 document's own table gives credit risk RWA of 25,171 and an operational risk capital requirement of 92 (= 1,150 RWA at x12.5, the document's own Pillar 1 formula), totalling 26,321. The FY2022 document's Key Metrics comparative column states 26,369 for the same date, £48k higher. The Total RWAs row keeps the 26,369 Key Metrics figure so that this sheet ties to the Total RWAs sheet, and the £48k gap is flagged here rather than silently reconciled by adjusting either source.
FY2024/FY2025: no Pillar 3 Key Metrics table or capital-adequacy breakdown was located for these periods (consistent with the existing Total RWAs sheet, which is also blank for these years).
FY2020: Pillar 3 Disclosures for year ended 31 December 2020, Section 5 Capital Adequacy table, p.7 - https://web.archive.org/web/20210515024743id_/https://www.mcafundingforchurches.co.uk/sitefiles/resources/pdf/pillar3disclosures2020.pdf (Wayback `id_` snapshot of 15 May 2021; the Company's own URL, https://www.mcafundingforchurches.co.uk/sitefiles/resources/pdf/pillar3disclosures2020.pdf, is dead). Operational risk RWA is derived as capital requirement x 12.5 (i.e. /8%), the same Pillar 1 formula the document itself states, since the table discloses operational risk only as a capital requirement, not directly as RWA.
FY2019: Pillar 3 Disclosures for year ended 31 December 2019, Section 5 Capital Adequacy table, p.7 - https://web.archive.org/web/20200930032441id_/http://mcafundingforchurches.co.uk/sitefiles/resources/pdf/pillar3disclosures2019.pdf (Wayback `id_` snapshot of 30 September 2020; the Company's own URL, http://mcafundingforchurches.co.uk/sitefiles/resources/pdf/pillar3disclosures2019.pdf, is dead). Operational risk RWA derived the same way.
FY2018/FY2017/FY2016: no Pillar 3 document exists anywhere in the Wayback Machine CDX index for mcafundingforchurches.co.uk before FY2019; category rows left blank as genuinely not disclosed.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1">
    <mergeCell ref="A22:K2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n"/>
      <c r="C4" s="6" t="n"/>
      <c r="D4" s="6" t="inlineStr">
        <is>
          <t>35.4%</t>
        </is>
      </c>
      <c r="E4" s="6" t="inlineStr">
        <is>
          <t>33.49%</t>
        </is>
      </c>
      <c r="F4" s="6" t="inlineStr">
        <is>
          <t>33.05%</t>
        </is>
      </c>
      <c r="G4" s="6" t="inlineStr">
        <is>
          <t>~30%</t>
        </is>
      </c>
      <c r="H4" s="6" t="inlineStr">
        <is>
          <t>~30%</t>
        </is>
      </c>
      <c r="I4" s="6" t="n"/>
      <c r="J4" s="6" t="n"/>
      <c r="K4" s="6" t="n"/>
    </row>
    <row r="5" ht="60" customHeight="1">
      <c r="A5" s="7" t="inlineStr">
        <is>
          <t>Note: The Company states that the smaller-bank leverage requirement does not apply; reported ratios are included as disclosed. FY2024 and FY2025 were not separately disclosed. FY2020/FY2019 are transcribed as disclosed - the narrative Pillar 3 documents for these years state only 'approximately 30%', not an exact figure (the FY2021 standalone Pillar 3 document uses the same approximate wording, but a more precise 33.05% is used for FY2021 above, sourced from the newer FY2022 Pillar 3 document's comparative column). FY2016-FY2018 not disclosed.</t>
        </is>
      </c>
    </row>
    <row r="7" ht="19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liquidity coverage ratio (12-month average of quarterly end-of-month positions)</t>
        </is>
      </c>
      <c r="B4" s="6" t="n"/>
      <c r="C4" s="6" t="n"/>
      <c r="D4" s="6" t="inlineStr">
        <is>
          <t>835%</t>
        </is>
      </c>
      <c r="E4" s="6" t="inlineStr">
        <is>
          <t>827%</t>
        </is>
      </c>
      <c r="F4" s="6" t="n"/>
      <c r="G4" s="6" t="n"/>
      <c r="H4" s="6" t="n"/>
      <c r="I4" s="6" t="n"/>
      <c r="J4" s="6" t="n"/>
      <c r="K4" s="6" t="n"/>
    </row>
    <row r="5">
      <c r="A5" s="6" t="inlineStr">
        <is>
          <t>Liquidity coverage ratio at year-end (point-in-time, per UK KM1)</t>
        </is>
      </c>
      <c r="B5" s="6" t="n"/>
      <c r="C5" s="6" t="n"/>
      <c r="D5" s="6" t="inlineStr">
        <is>
          <t>970%</t>
        </is>
      </c>
      <c r="E5" s="6" t="inlineStr">
        <is>
          <t>833%</t>
        </is>
      </c>
      <c r="F5" s="6" t="inlineStr">
        <is>
          <t>603%</t>
        </is>
      </c>
      <c r="G5" s="6" t="n"/>
      <c r="H5" s="6" t="n"/>
      <c r="I5" s="6" t="n"/>
      <c r="J5" s="6" t="n"/>
      <c r="K5" s="6" t="n"/>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827% is newly added here (2026-09-15) from the FY2022 Pillar 3 document's own narrative - 'The Company's average LCR for the financial year to 31 December 2022 ... was 827%' - which had not previously been transcribed; the 833% that the old single row carried for FY2022 was that document's KM1 year-end figure and is retained, correctly labelled, on the year-end row. FY2023's year-end 970% is likewise newly added from the FY2023 KM1.
FY2019-FY2021 have no average: the standalone Pillar 3 documents for those years state only a policy of maintaining LCR at or above 200% and disclose no actual measured ratio, and a policy floor is not an outturn, so nothing is transcribed from them. FY2021's year-end value comes from the FY2022 edition's KM1 comparative column. FY2016-FY2018: no Pillar 3 document exists. FY2024 and FY2025 are blank because the Company is exempt from publishing Pillar 3 disclosures (SDDT, PRA Rule 3.1, effective 11 April 2024) - see the Sources note.</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6:K6"/>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Average net stable funding ratio (12-month average of quarterly end-of-month positions)</t>
        </is>
      </c>
      <c r="B4" s="6" t="n"/>
      <c r="C4" s="6" t="n"/>
      <c r="D4" s="6" t="inlineStr">
        <is>
          <t>182%</t>
        </is>
      </c>
      <c r="E4" s="6" t="inlineStr">
        <is>
          <t>194%</t>
        </is>
      </c>
      <c r="F4" s="6" t="n"/>
      <c r="G4" s="6" t="n"/>
      <c r="H4" s="6" t="n"/>
      <c r="I4" s="6" t="n"/>
      <c r="J4" s="6" t="n"/>
      <c r="K4" s="6" t="n"/>
    </row>
    <row r="5">
      <c r="A5" s="6" t="inlineStr">
        <is>
          <t>Net stable funding ratio at year-end (point-in-time, per UK KM1)</t>
        </is>
      </c>
      <c r="B5" s="6" t="n"/>
      <c r="C5" s="6" t="n"/>
      <c r="D5" s="6" t="inlineStr">
        <is>
          <t>174%</t>
        </is>
      </c>
      <c r="E5" s="6" t="inlineStr">
        <is>
          <t>192%</t>
        </is>
      </c>
      <c r="F5" s="6" t="inlineStr">
        <is>
          <t>184%</t>
        </is>
      </c>
      <c r="G5" s="6" t="inlineStr">
        <is>
          <t>Not applicable</t>
        </is>
      </c>
      <c r="H5" s="6" t="inlineStr">
        <is>
          <t>Not applicable</t>
        </is>
      </c>
      <c r="I5" s="6" t="inlineStr">
        <is>
          <t>Not applicable</t>
        </is>
      </c>
      <c r="J5" s="6" t="inlineStr">
        <is>
          <t>Not applicable</t>
        </is>
      </c>
      <c r="K5" s="6" t="inlineStr">
        <is>
          <t>Not applicable</t>
        </is>
      </c>
    </row>
    <row r="6" ht="60" customHeight="1">
      <c r="A6" s="7" t="inlineStr">
        <is>
          <t>Note: TWO BASES, KEPT ON SEPARATE ROWS (corrected 2026-09-15). This sheet previously carried a single row labelled as the AVERAGE ratio which in fact mixed two different series, and the mixture was not visible to a reader. Each of the Company's Pillar 3 documents publishes the metric twice, on different bases:
  (a) an AVERAGE for the financial year, described by the document itself as 'based on quarterly end-of-month positions over the preceding 12 months', shown beneath a four-column quarterly table; and
  (b) a YEAR-END point-in-time figure, in the UK KM1 Key Metrics table at the front of the document.
The old single row took the average for FY2023 but the KM1 year-end figure for FY2022 and FY2021, so a reader comparing FY2023 with FY2022 was comparing an average against a point-in-time value. Both series are now shown in full, each on its own labelled row, and neither is merged into the other.
ONE SOURCE QUIRK, RECORDED RATHER THAN CORRECTED: in both the FY2022 and FY2023 editions the KM1 table's HQLA input row is captioned '(Weighted value - average)', yet the ratio the KM1 states is demonstrably the year-end point-in-time value - it reproduces the 31-December column of that same document's own quarterly table exactly (FY2023: KM1 970% = the quarterly table's 31-Dec-23 column; FY2022: KM1 833% = its 31-Dec-22 column), while the document's separately-stated average for the same year is a different number (835% and 827% respectively). The KM1 caption is therefore inaccurate in the source. The year-end rows here are labelled for what the figures demonstrably are, not for what the KM1 caption says, and the caption discrepancy is left as published.
FY2021 appears on the year-end row only, and that is not an oversight: the FY2021 standalone Pillar 3 document contains no KM1 table and no quarterly averaging table at all, so no FY2021 average was ever published. Its year-end figure survives solely as the comparative column of the FY2022 edition's KM1.
FY2022's average of 194% is newly added here (2026-09-15) from the FY2022 Pillar 3 document's own narrative - 'The Company's average NSFR for the financial year to 31 December 2022 ... was 194%' - which had not previously been transcribed; the 192% that the old single row carried for FY2022 was that document's KM1 year-end figure and is retained, correctly labelled, on the year-end row. FY2023's year-end 174% is likewise newly added from the FY2023 KM1.
FY2016-FY2020 are marked 'Not applicable' rather than left blank (changed 2026-09-15). These are STRUCTURAL blanks: the UK had no NSFR requirement and no NSFR disclosure template before 1 January 2022 (PRA PS17/21 / PS22/21, 'Implementation of Basel standards'), so there was no ratio for the Company to compute or publish in those years - consistent with the FY2019 and FY2020 Pillar 3 documents, which exist but contain no NSFR section at all, and with FY2016-FY2018, for which no Pillar 3 document exists. An empty cell would be indistinguishable from an unresearched gap and would be re-chased indefinitely; these five will never yield a figure.
FY2021 is deliberately NOT marked 'Not applicable' even though it also predates the requirement, because a figure was in fact published for it - as the comparative column of the FY2022 edition's KM1 - and a disclosed figure always outranks the structural argument.
FY2024 and FY2025 are left blank rather than 'Not applicable'. The metric applied in both periods; only the duty to publish was removed, by the SDDT Rule 3.1 modification effective 11 April 2024. That is a genuine disclosure limitation and stays counted as a gap.</t>
        </is>
      </c>
    </row>
    <row r="8" ht="190" customHeight="1">
      <c r="A8"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6:K6"/>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Methodist Chapel Aid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ratio was disclosed in the located Methodist Chapel Aid Pillar 3 documents.</t>
        </is>
      </c>
    </row>
    <row r="7" ht="150" customHeight="1">
      <c r="A7" s="8" t="inlineStr">
        <is>
          <t>Sources - Methodist Chapel Aid Limited entity-level Pillar 3 / regulatory capital disclosures, £'000 unless stated:
LINK-ROT REPAIR, 2026-09-15. Four of this Company's five Pillar 3 editions are no longer served from its own site: the FY2019, FY2020 and FY2021 URLs died some time ago, and the FY2023 URL (/media/ngqlqg5o/) and one of the two FY2022 URLs (/media/honer1yl/) have BOTH gone dead since this workbook was last touched. Rather than delete the citations - which would leave the figures on these sheets unverifiable - each dead URL is cited via a Wayback `id_` snapshot, with the Company's own dead URL kept alongside it and labelled as such, so the provenance chain stays readable. The `id_` modifier is deliberate: it returns the raw archived bytes instead of a Wayback-wrapped HTML page.
EVERY REPLACEMENT WAS VERIFIED BY RETRIEVAL, not by status code. Each URL below was downloaded on 2026-09-15 and confirmed to begin with the `%PDF-` magic bytes; byte sizes are quoted against each one. An HTTP 200 alone is not accepted as proof on this project - soft-404s that return 200 with an HTML body have been encountered repeatedly.
The FY2022 edition is the one that is still live, and its live URL is cited in preference to any archive copy.
FY2023: Pillar 3 Disclosures for year ended 31 December 2023, Key Metrics table (p. 3) and the quarterly LCR/NSFR averaging tables in section 6.2 (pp. 10-11) - https://web.archive.org/web/20250407005711id_/https://www.mcafundingforchurches.co.uk/media/ngqlqg5o/pillar-3-disclosures-2023.pdf (Wayback `id_` snapshot of 7 April 2025. The Company's own URL, https://www.mcafundingforchurches.co.uk/media/ngqlqg5o/pillar-3-disclosures-2023.pdf, returns HTTP 404 - re-checked 2026-09-15.)
FY2022 and FY2021: Pillar 3 Disclosures for year ended 31 December 2022, Key Metrics table (p. 3) and the quarterly LCR/NSFR averaging tables in section 6.2 (pp. 10-11) - https://www.mcafundingforchurches.co.uk/siteFiles/resources/pdf/Pillar3disclosures2022.pdf (THIS ONE IS STILL LIVE and is cited in preference to any archive copy - re-fetched 2026-09-15, HTTP 200, 314,344 bytes, begins `%PDF-`. The Company also published this same edition at https://www.mcafundingforchurches.co.uk/media/honer1yl/pillar3disclosures2022.pdf, which now returns HTTP 404; that dead path's Wayback copy (https://web.archive.org/web/20240517201255id_/https://mcafundingforchurches.co.uk/media/honer1yl/pillar3disclosures2022.pdf) was downloaded and is BYTE-IDENTICAL to the live file - same 314,344 bytes, same SHA-256 44326e0da4312b73... - which is what establishes the two paths served one document rather than two editions.)
FY2024/FY2025: no separate absolute Key Metrics table was located; values left blank. RE-VERIFIED 2026-09-12 (independent disclosure audit): confirmed genuinely unpublished rather than an access gap. The Company's own live 'Financial information' page (https://www.mcafundingforchurches.co.uk/about-us/financial-information/) lists only the FY2025 Annual Report and a country-by-country reporting PDF - no Pillar 3 document of any vintage - and a full Wayback Machine CDX listing of the domain returns Pillar 3 PDFs for FY2019-FY2023 only, nothing later. The FY2025 Annual Report was downloaded and read in full: its capital and liquidity discussion is entirely policy/appetite language, not disclosed outturns - it gives the Total Capital Requirement as 17.72% of RWAs (a regulatory REQUIREMENT set for the Company, not its actual ratio, p.20), a CET1 risk appetite of 'at least 35% of risk weighted assets' (a target floor, p.20), and an LCR 'policy ... to maintain at least 200%' (a policy minimum, p.16). Note 24 confirms actual regulatory capital 'remained above that required' without stating an amount. None of these is a disclosed value for the metric concerned, so nothing is transcribed from them - no RWA figure, capital amount, or outturn ratio appears anywhere in the document.
RE-VERIFIED INDEPENDENTLY 2026-09-15, extending the 2026-09-12 audit to the FY2024 Annual Report, which that audit had not itself opened (it had read only the FY2025 one). Both Annual Reports were downloaded fresh and text-extracted in full, and they behave identically: each states the Total Capital Requirement as 17.72% of risk-weighted assets (FY2024 as at 31 December 2024, FY2025 as at 30 September 2025) - a requirement SET FOR the Company, not its outturn; each states the same 'at least 35% of risk weighted assets' CET1 risk appetite and the same 'at least 200%' LCR policy minimum; and each closes its Financial Instruments note with the identical sentence that the Company's actual regulatory capital, all CET1, 'remained above that required by the regulatory limit and internal policy' - naming no amount, no RWA denominator and no ratio. Neither report contains a Key Metrics/UK KM1 table, an own-funds table, an RWA figure, a leverage ratio, an outturn LCR or any NSFR reference. So all 20 FY2024+FY2025 Pillar 3 cells are genuinely undisclosed at source. Nothing is derived from the 17.72% TCR or the 35% CET1 appetite: both are requirement/appetite percentages, and back-solving an RWA or capital amount from a capital REQUIREMENT is barred by this project's no-derivation rule.
Publication-side re-check the same date, to separate 'not published' from 'published but not found': the Company's own live 'Financial information' page lists exactly three PDFs (the FY2025 Annual Report, a country-by-country reporting 2025 PDF, and an FSCS leaflet) and no Pillar 3 document; the site's own sitemap.xml lists only 11 pages in total, with no Pillar-3 page among them; and a Wayback CDX scan of the whole mcafundingforchurches.co.uk domain filtered to Pillar-3 URLs returns editions for FY2019, FY2020, FY2021, FY2022 and FY2023 and nothing later, while a separate CDX listing of every PDF captured on the domain since January 2025 shows Annual Reports and country-by-country reports continuing but no Pillar 3 document. The Company therefore published a Pillar 3 disclosure annually for five consecutive years and then stopped after FY2023. Its own stated Pillar 3 policy is annual (see ENTITY NOTE).
RE-ENUMERATED INDEPENDENTLY 2026-09-15 (third pass, run without assuming the two above were right). This bank cannot be searched by filename permutation - it uses a different naming style every single year ('pillar3disclosures2019.pdf', 'pillar3disclosures2020.pdf', '2021-pillar-3-disclosures.pdf', 'pillar3disclosures2022.pdf', then the Umbraco opaque-key form '/media/ngqlqg5o/pillar-3-disclosures-2023.pdf') - so the only method that can prove anything here is domain enumeration. An unfiltered Wayback CDX listing of the whole domain (http://web.archive.org/cdx/search/cdx?url=mcafundingforchurches.co.uk&amp;output=json&amp;matchType=domain&amp;collapse=urlkey&amp;limit=5000) returns 160 distinct URLs ever captured, of which exactly SIX are Pillar 3 documents, covering FIVE editions - FY2019, FY2020, FY2021, FY2022 and FY2023 - with the FY2022 edition appearing twice because it was captured both on the old /sitefiles/resources/pdf/ path and again after the site migrated to Umbraco's opaque /media/&lt;key&gt;/ paths. Nothing later exists in the index, and the archive is current for this domain - its most recent captures are dated June 2026, well after an FY2024 or FY2025 edition would have been due.
The live site was separately re-scraped the same day, page by page from its own sitemap.xml (11 pages, the complete site), collecting every PDF href rather than reading any single page: five PDFs total - the FY2025 Annual Report, a 2025 country-by-country reporting PDF, an FSCS leaflet, a privacy notice and a 'funding you can trust' brochure. No Pillar 3 document of any vintage. IMPORTANT CAVEAT ON THAT EVIDENCE, which is why it is cited second and not first: the Company's /about-us/financial-information page has never linked its Pillar 3 documents even in the years when they demonstrably existed, so its silence proves nothing on its own and must NOT be cited as proof of absence. The weight here rests on the CDX enumeration and on the SDDT date test below.
REASON FOR THE CESSATION ESTABLISHED 2026-09-15 (cross-bank SDDT pass) - the FY2024 and FY2025 Pillar 3 gaps are an EVIDENCED STRUCTURAL EXEMPTION, not a sourcing failure, and no Pillar 3 document for those years will ever exist to be found. Methodist Chapel Aid Limited holds a PRA modification by consent under Rule 3.1 of the 'SDDT Regime - General Application' Part of the PRA Rulebook - the instrument by which a firm becomes a Small Domestic Deposit Taker (SDDT) under the PRA's 'Strong and Simple' framework. The register row reads, verbatim: FRN 204508, 'Methodist Chapel Aid Limited', 'Modification by Consent - PRA Rulebook- CRR Firms- Rule 3.1 of the SDDT Regime - General Application Part 3.1', rule 'SDDT Regime - General Application', sub rule 'Ru 3.1', waiver ref 'A00007737P.pdf', start date '11/04/2024', no end date. Source: Bank of England consolidated list of waivers and modifications granted to PRA-authorised firms, downloaded 2026-09-15 - https://www.bankofengland.co.uk/-/media/boe/files/prudential-regulation/authorisations/waivers-and-modifications-of-rules/consolidated-waivers-pra-firms.csv
What that modification does to Pillar 3 is stated in a peer bank's own words, and the same register carries the identical Rule 3.1 row for that peer, so the register row and the firm-stated effect are demonstrably the same instrument: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register row: FRN 575105, Rule 3.1, start '17/01/2025' - matching its own stated approval date to the day.)
DATE FIT: MCA's modification took effect 11 April 2024, i.e. BEFORE its 31 December 2024 year-end and before the 30 September 2025 period-end, so it cleanly covers both FY2024 and FY2025 - the two years with no Pillar 3 document - and the five published editions FY2019-FY2023 all predate it. The exemption therefore explains the cessation exactly and explains NOTHING about FY2016-FY2018, whose blanks have an entirely separate and unrelated cause (no Pillar 3 document was ever published that early - see the Wayback CDX note below). Do not read the SDDT exemption back onto FY2023 or earlier.
RE-DOWNLOADED AND RE-CHECKED 2026-09-15 under a maximum-effort sweep that treated every prior 'unavailable' verdict in this project as unproven. The PRA register was pulled fresh from the Bank of England (2,919 rows, 135 of them SDDT Rule 3.1 modifications) and MCA's row reproduces the citation above exactly: FRN 204508, 'Methodist Chapel Aid Limited', 'Modification by Consent - PRA Rulebook- CRR Firms- Rule 3.1 of the SDDT Regime - General Application Part 3.1', sub-rule 'Ru 3.1', ref A00007737P.pdf, start 11/04/2024, no end date - so the modification is still in force and has not been re-dated. The register also shows MCA's separate Capital Buffers 5.1-5.3 direction (06/11/2024), which is NOT a disclosure exemption and is not relied on here. The date fit above therefore stands unchanged, and both FY2024 (31 December 2024) and FY2025 (the nine months to 30 September 2025, after the accounting reference date change) fall after 11 April 2024.
Neither Annual Report names SDDT: both the FY2024 and FY2025 Annual Reports were downloaded fresh and text-extracted in full (readable text layers, 144k and 157k characters respectively) and searched for 'SDDT', 'Small Domestic Deposit Taker', 'modification by consent', 'Simplified Retail Deposit Ratio', 'SRDR', 'Strong and Simple', 'Interim Capital Regime' and 'Basel 3.1' - zero hits, and the word 'Pillar' appears once in each, only in the phrase 'Pillar 1 plus Pillar 2A'. The Company simply does not discuss the change; the PRA register is what evidences it. No Simplified Retail Deposit Ratio value is disclosed by the Company either, so nothing replaces the NSFR series here.
THE COMPANY'S OWN DOCUMENT INDEX IS CONSISTENT WITH THE EXEMPTION, checked 2026-09-15 across three dated Wayback captures of https://www.mcafundingforchurches.co.uk/about-us/financial-information/ spanning a year: 22 April 2025 (20250422192754), 15 September 2025 (20250915123834) and 17 January 2026 (20260117041203). Each capture was retrieved and every PDF link on it extracted. All three list the same short set - annual-report-2024.pdf, country-by-country-reporting-2024.pdf and an FSCS leaflet - and none lists a Pillar 3 document of any vintage; the live page today lists the FY2025 Annual Report, the 2025 country-by-country report and the same FSCS leaflet, again with no Pillar 3. So the index kept being updated with new statutory documents across the whole period in which an FY2024 edition would have been due, and no Pillar 3 document was ever added back. This is supporting evidence only, and deliberately weighted as such: as noted above, this page did not link the Pillar 3 documents even in the years they demonstrably existed, so it cannot prove absence on its own. The weight rests on the Rule 3.1 register row and its date fit.
Note also that FY2025 is a 9-month period (the accounting reference date moved from 31 December to 30 September during 2025), so even a future FY2025 Pillar 3 edition would not be period-comparable with the FY2019-FY2023 12-month series without an explicit basis caveat.
FY2020: Pillar 3 Disclosures for year ended 31 December 2020, Section 5 Capital Adequacy, p. 7 - https://web.archive.org/web/20210515024743id_/https://www.mcafundingforchurches.co.uk/sitefiles/resources/pdf/pillar3disclosures2020.pdf (Wayback `id_` snapshot of 15 May 2021; re-fetched 2026-09-15, 311,788 bytes, begins `%PDF-`. The Company's own URL, https://www.mcafundingforchurches.co.uk/sitefiles/resources/pdf/pillar3disclosures2020.pdf, is dead.)
FY2019: Pillar 3 Disclosures for year ended 31 December 2019, Section 5 Capital Adequacy, p. 7 - https://web.archive.org/web/20200930032441id_/http://mcafundingforchurches.co.uk/sitefiles/resources/pdf/pillar3disclosures2019.pdf (Wayback `id_` snapshot of 30 September 2020; re-fetched 2026-09-15, 274,658 bytes, begins `%PDF-`. The Company's own URL, http://mcafundingforchurches.co.uk/sitefiles/resources/pdf/pillar3disclosures2019.pdf, is dead.)
FY2018/FY2017/FY2016: no Pillar 3 document exists anywhere in the Wayback Machine CDX index for mcafundingforchurches.co.uk before FY2019 (a full-domain PDF listing was checked); values left blank as genuinely not disclosed, not a search miss.
ENTITY NOTE: Methodist Chapel Aid Limited (Companies House 00030546, FRN 204508, LEI 213800GD7EDYBP4LH202) matches Banks List 2608.xlsx and Companies House. It is a UK-incorporated PRA/FCA-authorised bank operating on a standalone company basis. The 2025 reporting period covers nine months ended 30 September 2025 after the accounting reference date changed from 31 December. The Company states that its Pillar 3 policy is annual. No defensible entity-level interim Pillar 3 series was located, so this is an 18-sheet annual workbook (Overview, Balance Sheet, Profit &amp; Loss, Statement of Changes in Equity, Cash Flow Statement, Asset Quality, the 11 Pillar 3 key metric sheets, RWA Breakdown), extended back to FY2016 - the Company's confirmed floor per HD-004 (Companies House filing history for this entity, 00030546, goes back further, but FY2016 is the year confirmed for this batch). FY2024 and FY2025 Pillar 3 metrics are blank because the Company is an SDDT and is exempt from publishing Pillar 3 disclosures - a PRA modification by consent under Rule 3.1 of the SDDT Regime - General Application Part, effective 11 April 2024 (see the dated evidence in the Pillar 3 source note); this is a structural exemption, not a sourcing gap, and nothing is inferred from statutory net assets. Pillar 3 disclosure (CET1/Tier 1/Total Capital, RWAs, leverage ratio) was not published for this entity before FY2019 - see the Wayback Machine note above - so CET1/Tier1/TotalCapital/RWA/Leverage sheets are genuinely blank for FY2016-FY2018 (not a search miss). LCR and NSFR were not disclosed for FY2019-FY2021 either: the FY2019/FY2020/FY2021 standalone Pillar 3 documents only state a policy of maintaining LCR at or above 200% and do not disclose an actual measured LCR or NSFR figure (no numeric Key Metrics table exists in these documents, unlike the FY2022/FY2023 disclosures). MREL was not disclosed in any year.</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2026-09-15T20:41:25Z</dcterms:created>
  <dcterms:modified xmlns:dcterms="http://purl.org/dc/terms/" xmlns:xsi="http://www.w3.org/2001/XMLSchema-instance" xsi:type="dcterms:W3CDTF">2026-09-15T20:41:25Z</dcterms:modified>
</cp:coreProperties>
</file>