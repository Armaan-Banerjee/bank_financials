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35956037</v>
      </c>
      <c r="C6" s="5" t="n">
        <v>36147101</v>
      </c>
      <c r="D6" s="5" t="n">
        <v>36293524</v>
      </c>
      <c r="E6" s="5" t="n">
        <v>37194488</v>
      </c>
      <c r="F6" s="5" t="n">
        <v>40154805</v>
      </c>
      <c r="I6" t="inlineStr">
        <is>
          <t>Total Assets</t>
        </is>
      </c>
      <c r="J6" t="n">
        <v>40154805</v>
      </c>
      <c r="K6" t="n">
        <v>37194488</v>
      </c>
      <c r="L6" t="n">
        <v>36293524</v>
      </c>
      <c r="M6" t="n">
        <v>36147101</v>
      </c>
      <c r="N6" t="n">
        <v>35956037</v>
      </c>
      <c r="AO6" t="inlineStr">
        <is>
          <t>CET1 Ratio</t>
        </is>
      </c>
      <c r="AP6" t="n">
        <v>52.79</v>
      </c>
      <c r="AQ6" t="n">
        <v>53.85</v>
      </c>
      <c r="AR6" t="n">
        <v>52.88</v>
      </c>
    </row>
    <row r="7">
      <c r="A7" s="5" t="inlineStr">
        <is>
          <t>Loans and advances to customers</t>
        </is>
      </c>
      <c r="B7" s="5" t="n">
        <v>8262627</v>
      </c>
      <c r="C7" s="5" t="n">
        <v>9138711</v>
      </c>
      <c r="D7" s="5" t="n">
        <v>10330064</v>
      </c>
      <c r="E7" s="5" t="n">
        <v>8485497</v>
      </c>
      <c r="F7" s="5" t="n">
        <v>7197340</v>
      </c>
      <c r="I7" t="inlineStr">
        <is>
          <t>Loans and advances to customers</t>
        </is>
      </c>
      <c r="J7" t="n">
        <v>7197340</v>
      </c>
      <c r="K7" t="n">
        <v>8485497</v>
      </c>
      <c r="L7" t="n">
        <v>10330064</v>
      </c>
      <c r="M7" t="n">
        <v>9138711</v>
      </c>
      <c r="N7" t="n">
        <v>8262627</v>
      </c>
      <c r="AO7" t="inlineStr">
        <is>
          <t>Total Capital Ratio</t>
        </is>
      </c>
      <c r="AP7" t="n">
        <v>52.79</v>
      </c>
      <c r="AQ7" t="n">
        <v>53.85</v>
      </c>
      <c r="AR7" t="n">
        <v>52.88</v>
      </c>
    </row>
    <row r="8">
      <c r="A8" s="5" t="inlineStr">
        <is>
          <t>Customer accounts</t>
        </is>
      </c>
      <c r="B8" s="5" t="n">
        <v>21227564</v>
      </c>
      <c r="C8" s="5" t="n">
        <v>22043458</v>
      </c>
      <c r="D8" s="5" t="n">
        <v>22687021</v>
      </c>
      <c r="E8" s="5" t="n">
        <v>24113288</v>
      </c>
      <c r="F8" s="5" t="n">
        <v>25374073</v>
      </c>
      <c r="I8" t="inlineStr">
        <is>
          <t>Customer accounts</t>
        </is>
      </c>
      <c r="J8" t="n">
        <v>25374073</v>
      </c>
      <c r="K8" t="n">
        <v>24113288</v>
      </c>
      <c r="L8" t="n">
        <v>22687021</v>
      </c>
      <c r="M8" t="n">
        <v>22043458</v>
      </c>
      <c r="N8" t="n">
        <v>21227564</v>
      </c>
      <c r="AO8" t="inlineStr">
        <is>
          <t>Leverage Ratio</t>
        </is>
      </c>
      <c r="AP8" t="n">
        <v>33.05</v>
      </c>
      <c r="AQ8" t="n">
        <v>33.49</v>
      </c>
      <c r="AR8" t="n">
        <v>35.4</v>
      </c>
    </row>
    <row r="9">
      <c r="A9" s="5" t="inlineStr">
        <is>
          <t>Total equity</t>
        </is>
      </c>
      <c r="B9" s="5" t="n">
        <v>14117086</v>
      </c>
      <c r="C9" s="5" t="n">
        <v>13747327</v>
      </c>
      <c r="D9" s="5" t="n">
        <v>13353632</v>
      </c>
      <c r="E9" s="5" t="n">
        <v>12952019</v>
      </c>
      <c r="F9" s="5" t="n">
        <v>14176202</v>
      </c>
      <c r="I9" t="inlineStr">
        <is>
          <t>Total equity</t>
        </is>
      </c>
      <c r="J9" t="n">
        <v>14176202</v>
      </c>
      <c r="K9" t="n">
        <v>12952019</v>
      </c>
      <c r="L9" t="n">
        <v>13353632</v>
      </c>
      <c r="M9" t="n">
        <v>13747327</v>
      </c>
      <c r="N9" t="n">
        <v>14117086</v>
      </c>
      <c r="AO9" t="inlineStr">
        <is>
          <t>LCR</t>
        </is>
      </c>
      <c r="AP9" t="n">
        <v>603</v>
      </c>
      <c r="AQ9" t="n">
        <v>833</v>
      </c>
      <c r="AR9" t="n">
        <v>835</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expense</t>
        </is>
      </c>
      <c r="B13" s="5" t="n">
        <v>-481964</v>
      </c>
      <c r="C13" s="5" t="n">
        <v>-570759</v>
      </c>
      <c r="D13" s="5" t="n">
        <v>-551258</v>
      </c>
      <c r="E13" s="5" t="n">
        <v>-455467</v>
      </c>
      <c r="F13" s="5" t="n">
        <v>-361324</v>
      </c>
      <c r="Q13" t="inlineStr">
        <is>
          <t>Total operating expense</t>
        </is>
      </c>
      <c r="R13" t="n">
        <v>-361324</v>
      </c>
      <c r="S13" t="n">
        <v>-455467</v>
      </c>
      <c r="T13" t="n">
        <v>-551258</v>
      </c>
      <c r="U13" t="n">
        <v>-570759</v>
      </c>
      <c r="V13" t="n">
        <v>-481964</v>
      </c>
    </row>
    <row r="14">
      <c r="A14" s="5" t="inlineStr">
        <is>
          <t>Surplus/(deficit) before taxation</t>
        </is>
      </c>
      <c r="B14" s="5" t="n">
        <v>418967</v>
      </c>
      <c r="C14" s="5" t="n">
        <v>489534</v>
      </c>
      <c r="D14" s="5" t="n">
        <v>478770</v>
      </c>
      <c r="E14" s="5" t="n">
        <v>-1718227</v>
      </c>
      <c r="F14" s="5" t="n">
        <v>977572</v>
      </c>
      <c r="Q14" t="inlineStr">
        <is>
          <t>Surplus/(deficit) before taxation</t>
        </is>
      </c>
      <c r="R14" t="n">
        <v>977572</v>
      </c>
      <c r="S14" t="n">
        <v>-1718227</v>
      </c>
      <c r="T14" t="n">
        <v>478770</v>
      </c>
      <c r="U14" t="n">
        <v>489534</v>
      </c>
      <c r="V14" t="n">
        <v>418967</v>
      </c>
    </row>
    <row r="15">
      <c r="A15" s="5" t="inlineStr">
        <is>
          <t>Surplus/(deficit) for the period/year</t>
        </is>
      </c>
      <c r="B15" s="5" t="n">
        <v>371112</v>
      </c>
      <c r="C15" s="5" t="n">
        <v>395012</v>
      </c>
      <c r="D15" s="5" t="n">
        <v>402846</v>
      </c>
      <c r="E15" s="5" t="n">
        <v>-1223070</v>
      </c>
      <c r="F15" s="5" t="n">
        <v>734281</v>
      </c>
      <c r="Q15" t="inlineStr">
        <is>
          <t>Surplus/(deficit) for the period/year</t>
        </is>
      </c>
      <c r="R15" t="n">
        <v>734281</v>
      </c>
      <c r="S15" t="n">
        <v>-1223070</v>
      </c>
      <c r="T15" t="n">
        <v>402846</v>
      </c>
      <c r="U15" t="n">
        <v>395012</v>
      </c>
      <c r="V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Surplus/(deficit) for the period/year</t>
        </is>
      </c>
      <c r="B19" s="5" t="n">
        <v>371112</v>
      </c>
      <c r="C19" s="5" t="n">
        <v>395012</v>
      </c>
      <c r="D19" s="5" t="n">
        <v>402846</v>
      </c>
      <c r="E19" s="5" t="n">
        <v>-1223070</v>
      </c>
      <c r="F19" s="5" t="n">
        <v>734281</v>
      </c>
      <c r="Y19" t="inlineStr">
        <is>
          <t>Surplus/(deficit) for the period/year</t>
        </is>
      </c>
      <c r="Z19" t="n">
        <v>734281</v>
      </c>
      <c r="AA19" t="n">
        <v>-1223070</v>
      </c>
      <c r="AB19" t="n">
        <v>402846</v>
      </c>
      <c r="AC19" t="n">
        <v>395012</v>
      </c>
      <c r="AD19" t="n">
        <v>371112</v>
      </c>
    </row>
    <row r="20">
      <c r="A20" s="5" t="inlineStr">
        <is>
          <t>Dividends paid and payable</t>
        </is>
      </c>
      <c r="B20" s="5" t="n">
        <v>-1353</v>
      </c>
      <c r="C20" s="5" t="n">
        <v>-1317</v>
      </c>
      <c r="D20" s="5" t="n">
        <v>-1233</v>
      </c>
      <c r="E20" s="5" t="n">
        <v>-1113</v>
      </c>
      <c r="F20" s="5" t="n">
        <v>-1068</v>
      </c>
      <c r="Y20" t="inlineStr">
        <is>
          <t>Dividends paid and payable</t>
        </is>
      </c>
      <c r="Z20" t="n">
        <v>-1068</v>
      </c>
      <c r="AA20" t="n">
        <v>-1113</v>
      </c>
      <c r="AB20" t="n">
        <v>-1233</v>
      </c>
      <c r="AC20" t="n">
        <v>-1317</v>
      </c>
      <c r="AD20" t="n">
        <v>-1353</v>
      </c>
    </row>
    <row r="21">
      <c r="A21" s="5" t="inlineStr">
        <is>
          <t>Closing equity</t>
        </is>
      </c>
      <c r="B21" s="5" t="n">
        <v>14117086</v>
      </c>
      <c r="C21" s="5" t="n">
        <v>13747327</v>
      </c>
      <c r="D21" s="5" t="n">
        <v>13353632</v>
      </c>
      <c r="E21" s="5" t="n">
        <v>12952019</v>
      </c>
      <c r="F21" s="5" t="n">
        <v>14176202</v>
      </c>
      <c r="Y21" t="inlineStr">
        <is>
          <t>Closing equity</t>
        </is>
      </c>
      <c r="Z21" t="n">
        <v>14176202</v>
      </c>
      <c r="AA21" t="n">
        <v>12952019</v>
      </c>
      <c r="AB21" t="n">
        <v>13353632</v>
      </c>
      <c r="AC21" t="n">
        <v>13747327</v>
      </c>
      <c r="AD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generated/(used) from operating activities</t>
        </is>
      </c>
      <c r="B25" s="5" t="n">
        <v>230314</v>
      </c>
      <c r="C25" s="5" t="n">
        <v>429322</v>
      </c>
      <c r="D25" s="5" t="n">
        <v>-3050504</v>
      </c>
      <c r="E25" s="5" t="n">
        <v>-2346030</v>
      </c>
      <c r="F25" s="5" t="n">
        <v>714322</v>
      </c>
      <c r="AG25" t="inlineStr">
        <is>
          <t>Net cash generated/(used) from operating activities</t>
        </is>
      </c>
      <c r="AH25" t="n">
        <v>714322</v>
      </c>
      <c r="AI25" t="n">
        <v>-2346030</v>
      </c>
      <c r="AJ25" t="n">
        <v>-3050504</v>
      </c>
      <c r="AK25" t="n">
        <v>429322</v>
      </c>
      <c r="AL25" t="n">
        <v>230314</v>
      </c>
    </row>
    <row r="26">
      <c r="A26" s="5" t="inlineStr">
        <is>
          <t>Net cash generated/(used) from investing activities</t>
        </is>
      </c>
      <c r="B26" s="5" t="n">
        <v>-249591</v>
      </c>
      <c r="C26" s="5" t="n">
        <v>661933</v>
      </c>
      <c r="D26" s="5" t="n">
        <v>-364592</v>
      </c>
      <c r="E26" s="5" t="n">
        <v>-261027</v>
      </c>
      <c r="F26" s="5" t="n">
        <v>519122</v>
      </c>
      <c r="AG26" t="inlineStr">
        <is>
          <t>Net cash generated/(used) from investing activities</t>
        </is>
      </c>
      <c r="AH26" t="n">
        <v>519122</v>
      </c>
      <c r="AI26" t="n">
        <v>-261027</v>
      </c>
      <c r="AJ26" t="n">
        <v>-364592</v>
      </c>
      <c r="AK26" t="n">
        <v>661933</v>
      </c>
      <c r="AL26" t="n">
        <v>-249591</v>
      </c>
    </row>
    <row r="27">
      <c r="A27" s="5" t="inlineStr">
        <is>
          <t>Net cash generated/(used) in financing activities</t>
        </is>
      </c>
      <c r="B27" s="5" t="n">
        <v>-1353</v>
      </c>
      <c r="C27" s="5" t="n">
        <v>-1317</v>
      </c>
      <c r="D27" s="5" t="n">
        <v>-1233</v>
      </c>
      <c r="E27" s="5" t="n">
        <v>-1113</v>
      </c>
      <c r="F27" s="5" t="n">
        <v>-1068</v>
      </c>
      <c r="AG27" t="inlineStr">
        <is>
          <t>Net cash generated/(used) in financing activities</t>
        </is>
      </c>
      <c r="AH27" t="n">
        <v>-1068</v>
      </c>
      <c r="AI27" t="n">
        <v>-1113</v>
      </c>
      <c r="AJ27" t="n">
        <v>-1233</v>
      </c>
      <c r="AK27" t="n">
        <v>-1317</v>
      </c>
      <c r="AL27" t="n">
        <v>-1353</v>
      </c>
    </row>
    <row r="28">
      <c r="A28" s="5" t="inlineStr">
        <is>
          <t>Cash and cash equivalents at end of year/period</t>
        </is>
      </c>
      <c r="B28" s="5" t="n">
        <v>10166442</v>
      </c>
      <c r="C28" s="5" t="n">
        <v>10187072</v>
      </c>
      <c r="D28" s="5" t="n">
        <v>9097134</v>
      </c>
      <c r="E28" s="5" t="n">
        <v>12513463</v>
      </c>
      <c r="F28" s="5" t="n">
        <v>15121633</v>
      </c>
      <c r="AG28" t="inlineStr">
        <is>
          <t>Cash and cash equivalents at end of year/period</t>
        </is>
      </c>
      <c r="AH28" t="n">
        <v>15121633</v>
      </c>
      <c r="AI28" t="n">
        <v>12513463</v>
      </c>
      <c r="AJ28" t="n">
        <v>9097134</v>
      </c>
      <c r="AK28" t="n">
        <v>10187072</v>
      </c>
      <c r="AL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n"/>
      <c r="C32" s="6" t="n"/>
      <c r="D32" s="6" t="inlineStr">
        <is>
          <t>52.88%</t>
        </is>
      </c>
      <c r="E32" s="6" t="inlineStr">
        <is>
          <t>53.85%</t>
        </is>
      </c>
      <c r="F32" s="6" t="inlineStr">
        <is>
          <t>52.79%</t>
        </is>
      </c>
    </row>
    <row r="33">
      <c r="A33" s="6" t="inlineStr">
        <is>
          <t>Total Capital Ratio</t>
        </is>
      </c>
      <c r="B33" s="6" t="n"/>
      <c r="C33" s="6" t="n"/>
      <c r="D33" s="6" t="inlineStr">
        <is>
          <t>52.88%</t>
        </is>
      </c>
      <c r="E33" s="6" t="inlineStr">
        <is>
          <t>53.85%</t>
        </is>
      </c>
      <c r="F33" s="6" t="inlineStr">
        <is>
          <t>52.79%</t>
        </is>
      </c>
    </row>
    <row r="34">
      <c r="A34" s="6" t="inlineStr">
        <is>
          <t>Leverage Ratio</t>
        </is>
      </c>
      <c r="B34" s="6" t="n"/>
      <c r="C34" s="6" t="n"/>
      <c r="D34" s="6" t="inlineStr">
        <is>
          <t>35.4%</t>
        </is>
      </c>
      <c r="E34" s="6" t="inlineStr">
        <is>
          <t>33.49%</t>
        </is>
      </c>
      <c r="F34" s="6" t="inlineStr">
        <is>
          <t>33.05%</t>
        </is>
      </c>
    </row>
    <row r="35">
      <c r="A35" s="6" t="inlineStr">
        <is>
          <t>LCR</t>
        </is>
      </c>
      <c r="B35" s="6" t="n"/>
      <c r="C35" s="6" t="n"/>
      <c r="D35" s="6" t="inlineStr">
        <is>
          <t>835%</t>
        </is>
      </c>
      <c r="E35" s="6" t="inlineStr">
        <is>
          <t>833%</t>
        </is>
      </c>
      <c r="F35" s="6" t="inlineStr">
        <is>
          <t>603%</t>
        </is>
      </c>
    </row>
    <row r="37" ht="45" customHeight="1">
      <c r="A37" s="7" t="inlineStr">
        <is>
          <t>Note: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bank balances</t>
        </is>
      </c>
      <c r="B5" s="6" t="n">
        <v>9417754</v>
      </c>
      <c r="C5" s="6" t="n">
        <v>8355272</v>
      </c>
      <c r="D5" s="6" t="n">
        <v>7520873</v>
      </c>
      <c r="E5" s="6" t="n">
        <v>10132743</v>
      </c>
      <c r="F5" s="6" t="n">
        <v>12459792</v>
      </c>
    </row>
    <row r="6">
      <c r="A6" s="6" t="inlineStr">
        <is>
          <t>Loans and advances to customers</t>
        </is>
      </c>
      <c r="B6" s="6" t="n">
        <v>8262627</v>
      </c>
      <c r="C6" s="6" t="n">
        <v>9138711</v>
      </c>
      <c r="D6" s="6" t="n">
        <v>10330064</v>
      </c>
      <c r="E6" s="6" t="n">
        <v>8485497</v>
      </c>
      <c r="F6" s="6" t="n">
        <v>7197340</v>
      </c>
    </row>
    <row r="7">
      <c r="A7" s="6" t="inlineStr">
        <is>
          <t>Investments - issued by public body</t>
        </is>
      </c>
      <c r="B7" s="6" t="n">
        <v>4941874</v>
      </c>
      <c r="C7" s="6" t="n">
        <v>4208030</v>
      </c>
      <c r="D7" s="6" t="n">
        <v>4824018</v>
      </c>
      <c r="E7" s="6" t="n"/>
      <c r="F7" s="6" t="n"/>
    </row>
    <row r="8">
      <c r="A8" s="6" t="inlineStr">
        <is>
          <t>Investments - other loans and advances</t>
        </is>
      </c>
      <c r="B8" s="6" t="n">
        <v>3843427</v>
      </c>
      <c r="C8" s="6" t="n">
        <v>4049871</v>
      </c>
      <c r="D8" s="6" t="n">
        <v>4500425</v>
      </c>
      <c r="E8" s="6" t="n"/>
      <c r="F8" s="6" t="n"/>
    </row>
    <row r="9">
      <c r="A9" s="6" t="inlineStr">
        <is>
          <t>Investments - equity investments</t>
        </is>
      </c>
      <c r="B9" s="6" t="n">
        <v>8230600</v>
      </c>
      <c r="C9" s="6" t="n">
        <v>8135418</v>
      </c>
      <c r="D9" s="6" t="n">
        <v>7100690</v>
      </c>
      <c r="E9" s="6" t="n"/>
      <c r="F9" s="6" t="n"/>
    </row>
    <row r="10">
      <c r="A10" s="5" t="inlineStr">
        <is>
          <t>Total investments</t>
        </is>
      </c>
      <c r="B10" s="5" t="n">
        <v>17015901</v>
      </c>
      <c r="C10" s="5" t="n">
        <v>16393319</v>
      </c>
      <c r="D10" s="5" t="n">
        <v>16425133</v>
      </c>
      <c r="E10" s="5" t="n">
        <v>16047858</v>
      </c>
      <c r="F10" s="5" t="n">
        <v>17733105</v>
      </c>
    </row>
    <row r="11">
      <c r="A11" s="6" t="inlineStr">
        <is>
          <t>Intangible fixed assets</t>
        </is>
      </c>
      <c r="B11" s="6" t="n">
        <v>3957</v>
      </c>
      <c r="C11" s="6" t="n"/>
      <c r="D11" s="6" t="n"/>
      <c r="E11" s="6" t="n"/>
      <c r="F11" s="6" t="n"/>
    </row>
    <row r="12">
      <c r="A12" s="6" t="inlineStr">
        <is>
          <t>Tangible fixed assets</t>
        </is>
      </c>
      <c r="B12" s="6" t="n">
        <v>287367</v>
      </c>
      <c r="C12" s="6" t="n">
        <v>300959</v>
      </c>
      <c r="D12" s="6" t="n">
        <v>305490</v>
      </c>
      <c r="E12" s="6" t="n">
        <v>37749</v>
      </c>
      <c r="F12" s="6" t="n">
        <v>31127</v>
      </c>
    </row>
    <row r="13">
      <c r="A13" s="6" t="inlineStr">
        <is>
          <t>Investments held for short term purposes</t>
        </is>
      </c>
      <c r="B13" s="6" t="n">
        <v>748688</v>
      </c>
      <c r="C13" s="6" t="n">
        <v>1831800</v>
      </c>
      <c r="D13" s="6" t="n">
        <v>1576261</v>
      </c>
      <c r="E13" s="6" t="n">
        <v>2380720</v>
      </c>
      <c r="F13" s="6" t="n">
        <v>2661841</v>
      </c>
    </row>
    <row r="14">
      <c r="A14" s="6" t="inlineStr">
        <is>
          <t>Prepayments, accrued income and other assets</t>
        </is>
      </c>
      <c r="B14" s="6" t="n">
        <v>219743</v>
      </c>
      <c r="C14" s="6" t="n">
        <v>127040</v>
      </c>
      <c r="D14" s="6" t="n">
        <v>135703</v>
      </c>
      <c r="E14" s="6" t="n">
        <v>109921</v>
      </c>
      <c r="F14" s="6" t="n">
        <v>71600</v>
      </c>
    </row>
    <row r="15">
      <c r="A15" s="5" t="inlineStr">
        <is>
          <t>Total Assets</t>
        </is>
      </c>
      <c r="B15" s="5" t="n">
        <v>35956037</v>
      </c>
      <c r="C15" s="5" t="n">
        <v>36147101</v>
      </c>
      <c r="D15" s="5" t="n">
        <v>36293524</v>
      </c>
      <c r="E15" s="5" t="n">
        <v>37194488</v>
      </c>
      <c r="F15" s="5" t="n">
        <v>40154805</v>
      </c>
    </row>
    <row r="16">
      <c r="A16" s="5" t="inlineStr">
        <is>
          <t>Liabilities</t>
        </is>
      </c>
      <c r="B16" s="6" t="n"/>
      <c r="C16" s="6" t="n"/>
      <c r="D16" s="6" t="n"/>
      <c r="E16" s="6" t="n"/>
      <c r="F16" s="6" t="n"/>
    </row>
    <row r="17">
      <c r="A17" s="6" t="inlineStr">
        <is>
          <t>Customer accounts</t>
        </is>
      </c>
      <c r="B17" s="6" t="n">
        <v>21227564</v>
      </c>
      <c r="C17" s="6" t="n">
        <v>22043458</v>
      </c>
      <c r="D17" s="6" t="n">
        <v>22687021</v>
      </c>
      <c r="E17" s="6" t="n">
        <v>24113288</v>
      </c>
      <c r="F17" s="6" t="n">
        <v>25374073</v>
      </c>
    </row>
    <row r="18">
      <c r="A18" s="6" t="inlineStr">
        <is>
          <t>Other liabilities</t>
        </is>
      </c>
      <c r="B18" s="6" t="n">
        <v>370311</v>
      </c>
      <c r="C18" s="6" t="n">
        <v>167472</v>
      </c>
      <c r="D18" s="6" t="n">
        <v>131713</v>
      </c>
      <c r="E18" s="6" t="n">
        <v>83947</v>
      </c>
      <c r="F18" s="6" t="n">
        <v>64139</v>
      </c>
    </row>
    <row r="19">
      <c r="A19" s="5" t="inlineStr">
        <is>
          <t>Total Liabilities</t>
        </is>
      </c>
      <c r="B19" s="5" t="n">
        <v>21597875</v>
      </c>
      <c r="C19" s="5" t="n">
        <v>22210930</v>
      </c>
      <c r="D19" s="5" t="n">
        <v>22818734</v>
      </c>
      <c r="E19" s="5" t="n">
        <v>24197235</v>
      </c>
      <c r="F19" s="5" t="n">
        <v>25438212</v>
      </c>
    </row>
    <row r="20">
      <c r="A20" s="5" t="inlineStr">
        <is>
          <t>Provisions</t>
        </is>
      </c>
      <c r="B20" s="6" t="n"/>
      <c r="C20" s="6" t="n"/>
      <c r="D20" s="6" t="n"/>
      <c r="E20" s="6" t="n"/>
      <c r="F20" s="6" t="n"/>
    </row>
    <row r="21">
      <c r="A21" s="6" t="inlineStr">
        <is>
          <t>Deferred tax</t>
        </is>
      </c>
      <c r="B21" s="6" t="n">
        <v>241076</v>
      </c>
      <c r="C21" s="6" t="n">
        <v>188844</v>
      </c>
      <c r="D21" s="6" t="n">
        <v>121158</v>
      </c>
      <c r="E21" s="6" t="n">
        <v>45234</v>
      </c>
      <c r="F21" s="6" t="n">
        <v>540391</v>
      </c>
    </row>
    <row r="22">
      <c r="A22" s="5" t="inlineStr">
        <is>
          <t>Net Assets</t>
        </is>
      </c>
      <c r="B22" s="5" t="n">
        <v>14117086</v>
      </c>
      <c r="C22" s="5" t="n">
        <v>13747327</v>
      </c>
      <c r="D22" s="5" t="n">
        <v>13353632</v>
      </c>
      <c r="E22" s="5" t="n">
        <v>12952019</v>
      </c>
      <c r="F22" s="5" t="n">
        <v>14176202</v>
      </c>
    </row>
    <row r="23">
      <c r="A23" s="5" t="inlineStr">
        <is>
          <t>Shareholders' Funds</t>
        </is>
      </c>
      <c r="B23" s="6" t="n"/>
      <c r="C23" s="6" t="n"/>
      <c r="D23" s="6" t="n"/>
      <c r="E23" s="6" t="n"/>
      <c r="F23" s="6" t="n"/>
    </row>
    <row r="24">
      <c r="A24" s="6" t="inlineStr">
        <is>
          <t>Called up equity share capital</t>
        </is>
      </c>
      <c r="B24" s="6" t="n">
        <v>1197</v>
      </c>
      <c r="C24" s="6" t="n">
        <v>1197</v>
      </c>
      <c r="D24" s="6" t="n">
        <v>1197</v>
      </c>
      <c r="E24" s="6" t="n">
        <v>1197</v>
      </c>
      <c r="F24" s="6" t="n">
        <v>1197</v>
      </c>
    </row>
    <row r="25">
      <c r="A25" s="6" t="inlineStr">
        <is>
          <t>Reserves</t>
        </is>
      </c>
      <c r="B25" s="6" t="n">
        <v>14115889</v>
      </c>
      <c r="C25" s="6" t="n">
        <v>13746130</v>
      </c>
      <c r="D25" s="6" t="n">
        <v>13352435</v>
      </c>
      <c r="E25" s="6" t="n">
        <v>12950822</v>
      </c>
      <c r="F25" s="6" t="n">
        <v>14175005</v>
      </c>
    </row>
    <row r="26">
      <c r="A26" s="5" t="inlineStr">
        <is>
          <t>Total equity</t>
        </is>
      </c>
      <c r="B26" s="5" t="n">
        <v>14117086</v>
      </c>
      <c r="C26" s="5" t="n">
        <v>13747327</v>
      </c>
      <c r="D26" s="5" t="n">
        <v>13353632</v>
      </c>
      <c r="E26" s="5" t="n">
        <v>12952019</v>
      </c>
      <c r="F26" s="5" t="n">
        <v>14176202</v>
      </c>
    </row>
    <row r="28" ht="230" customHeight="1">
      <c r="A28"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5 years). The 2025 reporting period covers 9 months (accounting reference date changed from 31 December to 30 September); all other periods are 12 months.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 on loans</t>
        </is>
      </c>
      <c r="B5" s="6" t="n">
        <v>364536</v>
      </c>
      <c r="C5" s="6" t="n">
        <v>542736</v>
      </c>
      <c r="D5" s="6" t="n">
        <v>485539</v>
      </c>
      <c r="E5" s="6" t="n">
        <v>241994</v>
      </c>
      <c r="F5" s="6" t="n">
        <v>226796</v>
      </c>
    </row>
    <row r="6">
      <c r="A6" s="6" t="inlineStr">
        <is>
          <t>Interest receivable - on debt securities</t>
        </is>
      </c>
      <c r="B6" s="6" t="n">
        <v>254891</v>
      </c>
      <c r="C6" s="6" t="n">
        <v>351721</v>
      </c>
      <c r="D6" s="6" t="n">
        <v>346423</v>
      </c>
      <c r="E6" s="6" t="n">
        <v>292232</v>
      </c>
      <c r="F6" s="6" t="n">
        <v>297207</v>
      </c>
    </row>
    <row r="7">
      <c r="A7" s="6" t="inlineStr">
        <is>
          <t>Interest receivable - on bank and building society deposits</t>
        </is>
      </c>
      <c r="B7" s="6" t="n">
        <v>301668</v>
      </c>
      <c r="C7" s="6" t="n">
        <v>412981</v>
      </c>
      <c r="D7" s="6" t="n">
        <v>347139</v>
      </c>
      <c r="E7" s="6" t="n">
        <v>114132</v>
      </c>
      <c r="F7" s="6" t="n">
        <v>11584</v>
      </c>
    </row>
    <row r="8">
      <c r="A8" s="6" t="inlineStr">
        <is>
          <t>Interest payable to depositors</t>
        </is>
      </c>
      <c r="B8" s="6" t="n">
        <v>-513856</v>
      </c>
      <c r="C8" s="6" t="n">
        <v>-702772</v>
      </c>
      <c r="D8" s="6" t="n">
        <v>-570746</v>
      </c>
      <c r="E8" s="6" t="n">
        <v>-167638</v>
      </c>
      <c r="F8" s="6" t="n">
        <v>-158940</v>
      </c>
    </row>
    <row r="9">
      <c r="A9" s="6" t="inlineStr">
        <is>
          <t>Interest payable - amortisation of debt securities</t>
        </is>
      </c>
      <c r="B9" s="6" t="n">
        <v>-12204</v>
      </c>
      <c r="C9" s="6" t="n">
        <v>-55620</v>
      </c>
      <c r="D9" s="6" t="n">
        <v>-101184</v>
      </c>
      <c r="E9" s="6" t="n">
        <v>-87073</v>
      </c>
      <c r="F9" s="6" t="n">
        <v>-86814</v>
      </c>
    </row>
    <row r="10">
      <c r="A10" s="6" t="inlineStr">
        <is>
          <t>Dividend income from equity shares</t>
        </is>
      </c>
      <c r="B10" s="6" t="n">
        <v>149236</v>
      </c>
      <c r="C10" s="6" t="n">
        <v>186640</v>
      </c>
      <c r="D10" s="6" t="n">
        <v>172192</v>
      </c>
      <c r="E10" s="6" t="n">
        <v>226757</v>
      </c>
      <c r="F10" s="6" t="n">
        <v>220001</v>
      </c>
    </row>
    <row r="11">
      <c r="A11" s="6" t="inlineStr">
        <is>
          <t>Investment gains/(losses) on debt securities</t>
        </is>
      </c>
      <c r="B11" s="6" t="n"/>
      <c r="C11" s="6" t="n">
        <v>-371214</v>
      </c>
      <c r="D11" s="6" t="n">
        <v>-27579</v>
      </c>
      <c r="E11" s="6" t="n">
        <v>-12251</v>
      </c>
      <c r="F11" s="6" t="n">
        <v>-30549</v>
      </c>
    </row>
    <row r="12">
      <c r="A12" s="6" t="inlineStr">
        <is>
          <t>Fees and commissions payable to Investment Manager</t>
        </is>
      </c>
      <c r="B12" s="6" t="n">
        <v>-32837</v>
      </c>
      <c r="C12" s="6" t="n">
        <v>-3575</v>
      </c>
      <c r="D12" s="6" t="n">
        <v>-19845</v>
      </c>
      <c r="E12" s="6" t="n">
        <v>-37299</v>
      </c>
      <c r="F12" s="6" t="n">
        <v>-29476</v>
      </c>
    </row>
    <row r="13">
      <c r="A13" s="6" t="inlineStr">
        <is>
          <t>Other operating income</t>
        </is>
      </c>
      <c r="B13" s="6" t="n">
        <v>4302</v>
      </c>
      <c r="C13" s="6" t="n">
        <v>4900</v>
      </c>
      <c r="D13" s="6" t="n">
        <v>6543</v>
      </c>
      <c r="E13" s="6" t="n">
        <v>11797</v>
      </c>
      <c r="F13" s="6" t="n">
        <v>177145</v>
      </c>
    </row>
    <row r="14">
      <c r="A14" s="6" t="inlineStr">
        <is>
          <t>Administrative expenses - staff costs</t>
        </is>
      </c>
      <c r="B14" s="6" t="n">
        <v>-241735</v>
      </c>
      <c r="C14" s="6" t="n">
        <v>-310501</v>
      </c>
      <c r="D14" s="6" t="n">
        <v>-281131</v>
      </c>
      <c r="E14" s="6" t="n">
        <v>-236031</v>
      </c>
      <c r="F14" s="6" t="n">
        <v>-202930</v>
      </c>
    </row>
    <row r="15">
      <c r="A15" s="6" t="inlineStr">
        <is>
          <t>Administrative expenses - other</t>
        </is>
      </c>
      <c r="B15" s="6" t="n">
        <v>-230594</v>
      </c>
      <c r="C15" s="6" t="n">
        <v>-246970</v>
      </c>
      <c r="D15" s="6" t="n">
        <v>-260190</v>
      </c>
      <c r="E15" s="6" t="n">
        <v>-212268</v>
      </c>
      <c r="F15" s="6" t="n">
        <v>-154761</v>
      </c>
    </row>
    <row r="16">
      <c r="A16" s="6" t="inlineStr">
        <is>
          <t>Depreciation and amortisation</t>
        </is>
      </c>
      <c r="B16" s="6" t="n">
        <v>-9635</v>
      </c>
      <c r="C16" s="6" t="n">
        <v>-13288</v>
      </c>
      <c r="D16" s="6" t="n">
        <v>-9937</v>
      </c>
      <c r="E16" s="6" t="n">
        <v>-7168</v>
      </c>
      <c r="F16" s="6" t="n">
        <v>-3633</v>
      </c>
    </row>
    <row r="17">
      <c r="A17" s="5" t="inlineStr">
        <is>
          <t>Operating surplus/(deficit)</t>
        </is>
      </c>
      <c r="B17" s="5" t="n">
        <v>33772</v>
      </c>
      <c r="C17" s="5" t="n">
        <v>-204962</v>
      </c>
      <c r="D17" s="5" t="n">
        <v>87224</v>
      </c>
      <c r="E17" s="5" t="n">
        <v>127184</v>
      </c>
      <c r="F17" s="5" t="n">
        <v>265630</v>
      </c>
    </row>
    <row r="18">
      <c r="A18" s="6" t="inlineStr">
        <is>
          <t>Fair value adjustment to investments</t>
        </is>
      </c>
      <c r="B18" s="6" t="n">
        <v>385195</v>
      </c>
      <c r="C18" s="6" t="n">
        <v>694496</v>
      </c>
      <c r="D18" s="6" t="n">
        <v>391546</v>
      </c>
      <c r="E18" s="6" t="n">
        <v>-1845411</v>
      </c>
      <c r="F18" s="6" t="n">
        <v>711942</v>
      </c>
    </row>
    <row r="19">
      <c r="A19" s="5" t="inlineStr">
        <is>
          <t>Surplus/(deficit) on ordinary activities before taxation</t>
        </is>
      </c>
      <c r="B19" s="5" t="n">
        <v>418967</v>
      </c>
      <c r="C19" s="5" t="n">
        <v>489534</v>
      </c>
      <c r="D19" s="5" t="n">
        <v>478770</v>
      </c>
      <c r="E19" s="5" t="n">
        <v>-1718227</v>
      </c>
      <c r="F19" s="5" t="n">
        <v>977572</v>
      </c>
    </row>
    <row r="20">
      <c r="A20" s="6" t="inlineStr">
        <is>
          <t>Tax on surplus/(deficit) on ordinary activities</t>
        </is>
      </c>
      <c r="B20" s="6" t="n">
        <v>-47855</v>
      </c>
      <c r="C20" s="6" t="n">
        <v>-94522</v>
      </c>
      <c r="D20" s="6" t="n">
        <v>-75924</v>
      </c>
      <c r="E20" s="6" t="n">
        <v>495157</v>
      </c>
      <c r="F20" s="6" t="n">
        <v>-243291</v>
      </c>
    </row>
    <row r="21">
      <c r="A21" s="5" t="inlineStr">
        <is>
          <t>Surplus/(deficit) for the period/year and total comprehensive income</t>
        </is>
      </c>
      <c r="B21" s="5" t="n">
        <v>371112</v>
      </c>
      <c r="C21" s="5" t="n">
        <v>395012</v>
      </c>
      <c r="D21" s="5" t="n">
        <v>402846</v>
      </c>
      <c r="E21" s="5" t="n">
        <v>-1223070</v>
      </c>
      <c r="F21" s="5" t="n">
        <v>734281</v>
      </c>
    </row>
    <row r="23" ht="230" customHeight="1">
      <c r="A23"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5 years). The 2025 reporting period covers 9 months (accounting reference date changed from 31 December to 30 September); all other periods are 12 months.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2021</t>
        </is>
      </c>
      <c r="B4" s="5" t="n">
        <v>1197</v>
      </c>
      <c r="C4" s="5" t="n">
        <v>13441792</v>
      </c>
      <c r="D4" s="5" t="n">
        <v>13442989</v>
      </c>
    </row>
    <row r="5">
      <c r="A5" s="6" t="inlineStr">
        <is>
          <t>Surplus for the year</t>
        </is>
      </c>
      <c r="B5" s="6" t="n"/>
      <c r="C5" s="6" t="n">
        <v>734281</v>
      </c>
      <c r="D5" s="6" t="n">
        <v>734281</v>
      </c>
    </row>
    <row r="6">
      <c r="A6" s="6" t="inlineStr">
        <is>
          <t>Dividends paid and payable</t>
        </is>
      </c>
      <c r="B6" s="6" t="n"/>
      <c r="C6" s="6" t="n">
        <v>-1068</v>
      </c>
      <c r="D6" s="6" t="n">
        <v>-1068</v>
      </c>
    </row>
    <row r="7">
      <c r="A7" s="5" t="inlineStr">
        <is>
          <t>Balance at 31 December 2021 / 1 January 2022</t>
        </is>
      </c>
      <c r="B7" s="5" t="n">
        <v>1197</v>
      </c>
      <c r="C7" s="5" t="n">
        <v>14175005</v>
      </c>
      <c r="D7" s="5" t="n">
        <v>14176202</v>
      </c>
    </row>
    <row r="8">
      <c r="A8" s="6" t="inlineStr">
        <is>
          <t>Deficit for the year</t>
        </is>
      </c>
      <c r="B8" s="6" t="n"/>
      <c r="C8" s="6" t="n">
        <v>-1223070</v>
      </c>
      <c r="D8" s="6" t="n">
        <v>-1223070</v>
      </c>
    </row>
    <row r="9">
      <c r="A9" s="6" t="inlineStr">
        <is>
          <t>Dividends paid and payable</t>
        </is>
      </c>
      <c r="B9" s="6" t="n"/>
      <c r="C9" s="6" t="n">
        <v>-1113</v>
      </c>
      <c r="D9" s="6" t="n">
        <v>-1113</v>
      </c>
    </row>
    <row r="10">
      <c r="A10" s="5" t="inlineStr">
        <is>
          <t>Balance at 31 December 2022 / 1 January 2023</t>
        </is>
      </c>
      <c r="B10" s="5" t="n">
        <v>1197</v>
      </c>
      <c r="C10" s="5" t="n">
        <v>12950822</v>
      </c>
      <c r="D10" s="5" t="n">
        <v>12952019</v>
      </c>
    </row>
    <row r="11">
      <c r="A11" s="6" t="inlineStr">
        <is>
          <t>Surplus for the year</t>
        </is>
      </c>
      <c r="B11" s="6" t="n"/>
      <c r="C11" s="6" t="n">
        <v>402846</v>
      </c>
      <c r="D11" s="6" t="n">
        <v>402846</v>
      </c>
    </row>
    <row r="12">
      <c r="A12" s="6" t="inlineStr">
        <is>
          <t>Dividends paid and payable</t>
        </is>
      </c>
      <c r="B12" s="6" t="n"/>
      <c r="C12" s="6" t="n">
        <v>-1233</v>
      </c>
      <c r="D12" s="6" t="n">
        <v>-1233</v>
      </c>
    </row>
    <row r="13">
      <c r="A13" s="5" t="inlineStr">
        <is>
          <t>Balance at 31 December 2023 / 1 January 2024</t>
        </is>
      </c>
      <c r="B13" s="5" t="n">
        <v>1197</v>
      </c>
      <c r="C13" s="5" t="n">
        <v>13352435</v>
      </c>
      <c r="D13" s="5" t="n">
        <v>13353632</v>
      </c>
    </row>
    <row r="14">
      <c r="A14" s="6" t="inlineStr">
        <is>
          <t>Surplus for the year</t>
        </is>
      </c>
      <c r="B14" s="6" t="n"/>
      <c r="C14" s="6" t="n">
        <v>395012</v>
      </c>
      <c r="D14" s="6" t="n">
        <v>395012</v>
      </c>
    </row>
    <row r="15">
      <c r="A15" s="6" t="inlineStr">
        <is>
          <t>Dividends paid and payable</t>
        </is>
      </c>
      <c r="B15" s="6" t="n"/>
      <c r="C15" s="6" t="n">
        <v>-1317</v>
      </c>
      <c r="D15" s="6" t="n">
        <v>-1317</v>
      </c>
    </row>
    <row r="16">
      <c r="A16" s="5" t="inlineStr">
        <is>
          <t>Balance at 31 December 2024 / 1 January 2025</t>
        </is>
      </c>
      <c r="B16" s="5" t="n">
        <v>1197</v>
      </c>
      <c r="C16" s="5" t="n">
        <v>13746130</v>
      </c>
      <c r="D16" s="5" t="n">
        <v>13747327</v>
      </c>
    </row>
    <row r="17">
      <c r="A17" s="6" t="inlineStr">
        <is>
          <t>Surplus for the period (9 months)</t>
        </is>
      </c>
      <c r="B17" s="6" t="n"/>
      <c r="C17" s="6" t="n">
        <v>371112</v>
      </c>
      <c r="D17" s="6" t="n">
        <v>371112</v>
      </c>
    </row>
    <row r="18">
      <c r="A18" s="6" t="inlineStr">
        <is>
          <t>Dividends paid and payable</t>
        </is>
      </c>
      <c r="B18" s="6" t="n"/>
      <c r="C18" s="6" t="n">
        <v>-1353</v>
      </c>
      <c r="D18" s="6" t="n">
        <v>-1353</v>
      </c>
    </row>
    <row r="19">
      <c r="A19" s="5" t="inlineStr">
        <is>
          <t>Balance at 30 September 2025</t>
        </is>
      </c>
      <c r="B19" s="5" t="n">
        <v>1197</v>
      </c>
      <c r="C19" s="5" t="n">
        <v>14115889</v>
      </c>
      <c r="D19" s="5" t="n">
        <v>14117086</v>
      </c>
    </row>
    <row r="21" ht="230" customHeight="1">
      <c r="A21"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5 years). The 2025 reporting period covers 9 months (accounting reference date changed from 31 December to 30 September); all other periods are 12 months.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230314</v>
      </c>
      <c r="C5" s="5" t="n">
        <v>429322</v>
      </c>
      <c r="D5" s="5" t="n">
        <v>-3050504</v>
      </c>
      <c r="E5" s="5" t="n">
        <v>-2346030</v>
      </c>
      <c r="F5" s="5" t="n">
        <v>714322</v>
      </c>
    </row>
    <row r="6">
      <c r="A6" s="5" t="inlineStr">
        <is>
          <t>Investing activities</t>
        </is>
      </c>
      <c r="B6" s="6" t="n"/>
      <c r="C6" s="6" t="n"/>
      <c r="D6" s="6" t="n"/>
      <c r="E6" s="6" t="n"/>
      <c r="F6" s="6" t="n"/>
    </row>
    <row r="7">
      <c r="A7" s="5" t="inlineStr">
        <is>
          <t>Net cash generated/(used) from investing activities</t>
        </is>
      </c>
      <c r="B7" s="5" t="n">
        <v>-249591</v>
      </c>
      <c r="C7" s="5" t="n">
        <v>661933</v>
      </c>
      <c r="D7" s="5" t="n">
        <v>-364592</v>
      </c>
      <c r="E7" s="5" t="n">
        <v>-261027</v>
      </c>
      <c r="F7" s="5" t="n">
        <v>519122</v>
      </c>
    </row>
    <row r="8">
      <c r="A8" s="5" t="inlineStr">
        <is>
          <t>Financing activities</t>
        </is>
      </c>
      <c r="B8" s="6" t="n"/>
      <c r="C8" s="6" t="n"/>
      <c r="D8" s="6" t="n"/>
      <c r="E8" s="6" t="n"/>
      <c r="F8" s="6" t="n"/>
    </row>
    <row r="9">
      <c r="A9" s="5" t="inlineStr">
        <is>
          <t>Net cash generated/(used) in financing activities</t>
        </is>
      </c>
      <c r="B9" s="5" t="n">
        <v>-1353</v>
      </c>
      <c r="C9" s="5" t="n">
        <v>-1317</v>
      </c>
      <c r="D9" s="5" t="n">
        <v>-1233</v>
      </c>
      <c r="E9" s="5" t="n">
        <v>-1113</v>
      </c>
      <c r="F9" s="5" t="n">
        <v>-1068</v>
      </c>
    </row>
    <row r="10">
      <c r="A10" s="5" t="inlineStr">
        <is>
          <t>Net increase/(decrease) in cash and cash equivalents</t>
        </is>
      </c>
      <c r="B10" s="5" t="n">
        <v>-20630</v>
      </c>
      <c r="C10" s="5" t="n">
        <v>1089938</v>
      </c>
      <c r="D10" s="5" t="n">
        <v>-3416329</v>
      </c>
      <c r="E10" s="5" t="n">
        <v>-2608170</v>
      </c>
      <c r="F10" s="5" t="n">
        <v>1232376</v>
      </c>
    </row>
    <row r="11">
      <c r="A11" s="6" t="inlineStr">
        <is>
          <t>Cash and cash equivalents at the beginning of year/period</t>
        </is>
      </c>
      <c r="B11" s="6" t="n">
        <v>10187072</v>
      </c>
      <c r="C11" s="6" t="n">
        <v>9097134</v>
      </c>
      <c r="D11" s="6" t="n">
        <v>12513463</v>
      </c>
      <c r="E11" s="6" t="n">
        <v>15121633</v>
      </c>
      <c r="F11" s="6" t="n">
        <v>13889257</v>
      </c>
    </row>
    <row r="12">
      <c r="A12" s="5" t="inlineStr">
        <is>
          <t>Cash and cash equivalents at the end of year/period</t>
        </is>
      </c>
      <c r="B12" s="5" t="n">
        <v>10166442</v>
      </c>
      <c r="C12" s="5" t="n">
        <v>10187072</v>
      </c>
      <c r="D12" s="5" t="n">
        <v>9097134</v>
      </c>
      <c r="E12" s="5" t="n">
        <v>12513463</v>
      </c>
      <c r="F12" s="5" t="n">
        <v>15121633</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 book by product (gross)</t>
        </is>
      </c>
      <c r="B4" s="6" t="n"/>
      <c r="C4" s="6" t="n"/>
      <c r="D4" s="6" t="n"/>
      <c r="E4" s="6" t="n"/>
      <c r="F4" s="6" t="n"/>
    </row>
    <row r="5">
      <c r="A5" s="6" t="inlineStr">
        <is>
          <t>Property loans - secured</t>
        </is>
      </c>
      <c r="B5" s="6" t="n">
        <v>6882826</v>
      </c>
      <c r="C5" s="6" t="n">
        <v>7487986</v>
      </c>
      <c r="D5" s="6" t="n">
        <v>7265355</v>
      </c>
      <c r="E5" s="6" t="n">
        <v>7037375</v>
      </c>
      <c r="F5" s="6" t="n">
        <v>5840927</v>
      </c>
    </row>
    <row r="6">
      <c r="A6" s="6" t="inlineStr">
        <is>
          <t>Property loans - unsecured</t>
        </is>
      </c>
      <c r="B6" s="6" t="n">
        <v>1375657</v>
      </c>
      <c r="C6" s="6" t="n">
        <v>1644631</v>
      </c>
      <c r="D6" s="6" t="n">
        <v>3055122</v>
      </c>
      <c r="E6" s="6" t="n">
        <v>1432495</v>
      </c>
      <c r="F6" s="6" t="n">
        <v>1346352</v>
      </c>
    </row>
    <row r="7">
      <c r="A7" s="5" t="inlineStr">
        <is>
          <t>Property loans - total</t>
        </is>
      </c>
      <c r="B7" s="5" t="n">
        <v>8258483</v>
      </c>
      <c r="C7" s="5" t="n">
        <v>9132617</v>
      </c>
      <c r="D7" s="5" t="n">
        <v>10320477</v>
      </c>
      <c r="E7" s="5" t="n">
        <v>8469870</v>
      </c>
      <c r="F7" s="5" t="n">
        <v>7187279</v>
      </c>
    </row>
    <row r="8">
      <c r="A8" s="6" t="inlineStr">
        <is>
          <t>Car loans - unsecured</t>
        </is>
      </c>
      <c r="B8" s="6" t="n">
        <v>4250</v>
      </c>
      <c r="C8" s="6" t="n">
        <v>6250</v>
      </c>
      <c r="D8" s="6" t="n">
        <v>9833</v>
      </c>
      <c r="E8" s="6" t="n">
        <v>16028</v>
      </c>
      <c r="F8" s="6" t="n">
        <v>10319</v>
      </c>
    </row>
    <row r="9">
      <c r="A9" s="5" t="inlineStr">
        <is>
          <t>Total loans and advances (gross)</t>
        </is>
      </c>
      <c r="B9" s="5" t="n">
        <v>8262733</v>
      </c>
      <c r="C9" s="5" t="n">
        <v>9138867</v>
      </c>
      <c r="D9" s="5" t="n">
        <v>10330310</v>
      </c>
      <c r="E9" s="5" t="n">
        <v>8485898</v>
      </c>
      <c r="F9" s="5" t="n">
        <v>7197598</v>
      </c>
    </row>
    <row r="10">
      <c r="A10" s="6" t="inlineStr">
        <is>
          <t>Provision for bad debts</t>
        </is>
      </c>
      <c r="B10" s="6" t="n">
        <v>-106</v>
      </c>
      <c r="C10" s="6" t="n">
        <v>-156</v>
      </c>
      <c r="D10" s="6" t="n">
        <v>-246</v>
      </c>
      <c r="E10" s="6" t="n">
        <v>-401</v>
      </c>
      <c r="F10" s="6" t="n">
        <v>-258</v>
      </c>
    </row>
    <row r="11">
      <c r="A11" s="5" t="inlineStr">
        <is>
          <t>Total loans and advances (net)</t>
        </is>
      </c>
      <c r="B11" s="5" t="n">
        <v>8262627</v>
      </c>
      <c r="C11" s="5" t="n">
        <v>9138711</v>
      </c>
      <c r="D11" s="5" t="n">
        <v>10330064</v>
      </c>
      <c r="E11" s="5" t="n">
        <v>8485497</v>
      </c>
      <c r="F11" s="5" t="n">
        <v>7197340</v>
      </c>
    </row>
    <row r="12">
      <c r="A12" s="5" t="inlineStr">
        <is>
          <t>Maturity profile of loans and advances (net)</t>
        </is>
      </c>
      <c r="B12" s="6" t="n"/>
      <c r="C12" s="6" t="n"/>
      <c r="D12" s="6" t="n"/>
      <c r="E12" s="6" t="n"/>
      <c r="F12" s="6" t="n"/>
    </row>
    <row r="13">
      <c r="A13" s="6" t="inlineStr">
        <is>
          <t>Due within 3 months</t>
        </is>
      </c>
      <c r="B13" s="6" t="n">
        <v>480809</v>
      </c>
      <c r="C13" s="6" t="n">
        <v>350750</v>
      </c>
      <c r="D13" s="6" t="n">
        <v>1449455</v>
      </c>
      <c r="E13" s="6" t="n">
        <v>1861</v>
      </c>
      <c r="F13" s="6" t="n">
        <v>1848</v>
      </c>
    </row>
    <row r="14">
      <c r="A14" s="6" t="inlineStr">
        <is>
          <t>In more than 3 months but not more than 1 year</t>
        </is>
      </c>
      <c r="B14" s="6" t="n">
        <v>1166309</v>
      </c>
      <c r="C14" s="6" t="n">
        <v>1907530</v>
      </c>
      <c r="D14" s="6" t="n">
        <v>2103477</v>
      </c>
      <c r="E14" s="6" t="n">
        <v>2223451</v>
      </c>
      <c r="F14" s="6" t="n">
        <v>364515</v>
      </c>
    </row>
    <row r="15">
      <c r="A15" s="6" t="inlineStr">
        <is>
          <t>In more than 1 year but not more than 5 years</t>
        </is>
      </c>
      <c r="B15" s="6" t="n">
        <v>3075037</v>
      </c>
      <c r="C15" s="6" t="n">
        <v>3184280</v>
      </c>
      <c r="D15" s="6" t="n">
        <v>3463531</v>
      </c>
      <c r="E15" s="6" t="n">
        <v>3069212</v>
      </c>
      <c r="F15" s="6" t="n">
        <v>3182168</v>
      </c>
    </row>
    <row r="16">
      <c r="A16" s="6" t="inlineStr">
        <is>
          <t>In more than 5 years</t>
        </is>
      </c>
      <c r="B16" s="6" t="n">
        <v>3540578</v>
      </c>
      <c r="C16" s="6" t="n">
        <v>3696307</v>
      </c>
      <c r="D16" s="6" t="n">
        <v>3313847</v>
      </c>
      <c r="E16" s="6" t="n">
        <v>3191374</v>
      </c>
      <c r="F16" s="6" t="n">
        <v>3649067</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c r="C4" s="6" t="n"/>
      <c r="D4" s="6" t="n">
        <v>13354</v>
      </c>
      <c r="E4" s="6" t="n">
        <v>12952</v>
      </c>
      <c r="F4" s="6" t="n">
        <v>13919</v>
      </c>
    </row>
    <row r="5" ht="60" customHeight="1">
      <c r="A5" s="7" t="inlineStr">
        <is>
          <t>Note: FY2024 and FY2025 absolute regulatory capital was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n"/>
      <c r="D4" s="6" t="inlineStr">
        <is>
          <t>52.88%</t>
        </is>
      </c>
      <c r="E4" s="6" t="inlineStr">
        <is>
          <t>53.85%</t>
        </is>
      </c>
      <c r="F4" s="6" t="inlineStr">
        <is>
          <t>52.79%</t>
        </is>
      </c>
    </row>
    <row r="5" ht="60" customHeight="1">
      <c r="A5" s="7" t="inlineStr">
        <is>
          <t>Note: FY2024 and FY2025 ratio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c r="D4" s="6" t="n">
        <v>13354</v>
      </c>
      <c r="E4" s="6" t="n">
        <v>12952</v>
      </c>
      <c r="F4" s="6" t="n">
        <v>13919</v>
      </c>
    </row>
    <row r="5" ht="60" customHeight="1">
      <c r="A5" s="7" t="inlineStr">
        <is>
          <t>Note: All disclosed Tier 1 capital was CET1;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inlineStr">
        <is>
          <t>52.88%</t>
        </is>
      </c>
      <c r="E4" s="6" t="inlineStr">
        <is>
          <t>53.85%</t>
        </is>
      </c>
      <c r="F4" s="6" t="inlineStr">
        <is>
          <t>52.79%</t>
        </is>
      </c>
    </row>
    <row r="5" ht="60" customHeight="1">
      <c r="A5" s="7" t="inlineStr">
        <is>
          <t>Note: FY2024 and FY2025 ratio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c r="D4" s="6" t="n">
        <v>13354</v>
      </c>
      <c r="E4" s="6" t="n">
        <v>12952</v>
      </c>
      <c r="F4" s="6" t="n">
        <v>13919</v>
      </c>
    </row>
    <row r="5" ht="60" customHeight="1">
      <c r="A5" s="7" t="inlineStr">
        <is>
          <t>Note: All disclosed total capital was CET1;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n"/>
      <c r="D4" s="6" t="inlineStr">
        <is>
          <t>52.88%</t>
        </is>
      </c>
      <c r="E4" s="6" t="inlineStr">
        <is>
          <t>53.85%</t>
        </is>
      </c>
      <c r="F4" s="6" t="inlineStr">
        <is>
          <t>52.79%</t>
        </is>
      </c>
    </row>
    <row r="5" ht="60" customHeight="1">
      <c r="A5" s="7" t="inlineStr">
        <is>
          <t>Note: FY2024 and FY2025 ratio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c r="D4" s="6" t="n">
        <v>25253</v>
      </c>
      <c r="E4" s="6" t="n">
        <v>24052</v>
      </c>
      <c r="F4" s="6" t="n">
        <v>26369</v>
      </c>
    </row>
    <row r="5" ht="60" customHeight="1">
      <c r="A5" s="7" t="inlineStr">
        <is>
          <t>Note: FY2024 and FY2025 absolute RWA was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Methodist Chapel Aid Limited — RWA Breakdown</t>
        </is>
      </c>
    </row>
    <row r="2">
      <c r="A2" s="2" t="inlineStr">
        <is>
          <t>Entity-level basis, £'000, Standardised Approach.</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exposure by class (Risk Weighted Exposure)</t>
        </is>
      </c>
      <c r="B4" s="6" t="n"/>
      <c r="C4" s="6" t="n"/>
      <c r="D4" s="6" t="n"/>
      <c r="E4" s="6" t="n"/>
      <c r="F4" s="6" t="n"/>
    </row>
    <row r="5">
      <c r="A5" s="6" t="inlineStr">
        <is>
          <t>Credit institutions</t>
        </is>
      </c>
      <c r="B5" s="6" t="n"/>
      <c r="C5" s="6" t="n"/>
      <c r="D5" s="6" t="n">
        <v>1825</v>
      </c>
      <c r="E5" s="6" t="n">
        <v>2713</v>
      </c>
      <c r="F5" s="6" t="n"/>
    </row>
    <row r="6">
      <c r="A6" s="6" t="inlineStr">
        <is>
          <t>UK Treasury Stocks</t>
        </is>
      </c>
      <c r="B6" s="6" t="n"/>
      <c r="C6" s="6" t="n"/>
      <c r="D6" s="6" t="n">
        <v>0</v>
      </c>
      <c r="E6" s="6" t="n">
        <v>0</v>
      </c>
      <c r="F6" s="6" t="n"/>
    </row>
    <row r="7">
      <c r="A7" s="6" t="inlineStr">
        <is>
          <t>Collective investment undertakings</t>
        </is>
      </c>
      <c r="B7" s="6" t="n"/>
      <c r="C7" s="6" t="n"/>
      <c r="D7" s="6" t="n">
        <v>3271</v>
      </c>
      <c r="E7" s="6" t="n">
        <v>3092</v>
      </c>
      <c r="F7" s="6" t="n"/>
    </row>
    <row r="8">
      <c r="A8" s="6" t="inlineStr">
        <is>
          <t>Equity investments</t>
        </is>
      </c>
      <c r="B8" s="6" t="n"/>
      <c r="C8" s="6" t="n"/>
      <c r="D8" s="6" t="n">
        <v>7101</v>
      </c>
      <c r="E8" s="6" t="n">
        <v>7160</v>
      </c>
      <c r="F8" s="6" t="n"/>
    </row>
    <row r="9">
      <c r="A9" s="6" t="inlineStr">
        <is>
          <t>Higher Risk Weighted Equities</t>
        </is>
      </c>
      <c r="B9" s="6" t="n"/>
      <c r="C9" s="6" t="n"/>
      <c r="D9" s="6" t="n"/>
      <c r="E9" s="6" t="n">
        <v>30</v>
      </c>
      <c r="F9" s="6" t="n"/>
    </row>
    <row r="10">
      <c r="A10" s="6" t="inlineStr">
        <is>
          <t>Property loans and advances to customers (drawn)</t>
        </is>
      </c>
      <c r="B10" s="6" t="n"/>
      <c r="C10" s="6" t="n"/>
      <c r="D10" s="6" t="n">
        <v>10320</v>
      </c>
      <c r="E10" s="6" t="n">
        <v>8470</v>
      </c>
      <c r="F10" s="6" t="n"/>
    </row>
    <row r="11">
      <c r="A11" s="6" t="inlineStr">
        <is>
          <t>Property loans and advances to customers (50% of undrawn)</t>
        </is>
      </c>
      <c r="B11" s="6" t="n"/>
      <c r="C11" s="6" t="n"/>
      <c r="D11" s="6" t="n">
        <v>1125</v>
      </c>
      <c r="E11" s="6" t="n">
        <v>1195</v>
      </c>
      <c r="F11" s="6" t="n"/>
    </row>
    <row r="12">
      <c r="A12" s="6" t="inlineStr">
        <is>
          <t>Car loans and advances to customers</t>
        </is>
      </c>
      <c r="B12" s="6" t="n"/>
      <c r="C12" s="6" t="n"/>
      <c r="D12" s="6" t="n">
        <v>7</v>
      </c>
      <c r="E12" s="6" t="n">
        <v>12</v>
      </c>
      <c r="F12" s="6" t="n"/>
    </row>
    <row r="13">
      <c r="A13" s="6" t="inlineStr">
        <is>
          <t>Fixed and other assets</t>
        </is>
      </c>
      <c r="B13" s="6" t="n"/>
      <c r="C13" s="6" t="n"/>
      <c r="D13" s="6" t="n">
        <v>436</v>
      </c>
      <c r="E13" s="6" t="n">
        <v>145</v>
      </c>
      <c r="F13" s="6" t="n"/>
    </row>
    <row r="14">
      <c r="A14" s="5" t="inlineStr">
        <is>
          <t>Total credit risk exposure (RWA)</t>
        </is>
      </c>
      <c r="B14" s="5" t="n"/>
      <c r="C14" s="5" t="n"/>
      <c r="D14" s="5" t="n">
        <v>24085</v>
      </c>
      <c r="E14" s="5" t="n">
        <v>22817</v>
      </c>
      <c r="F14" s="5" t="n"/>
    </row>
    <row r="15">
      <c r="A15" s="6" t="inlineStr">
        <is>
          <t>Operational risk capital requirement (RWA)</t>
        </is>
      </c>
      <c r="B15" s="6" t="n"/>
      <c r="C15" s="6" t="n"/>
      <c r="D15" s="6" t="n">
        <v>1168</v>
      </c>
      <c r="E15" s="6" t="n">
        <v>1235</v>
      </c>
      <c r="F15" s="6" t="n"/>
    </row>
    <row r="16">
      <c r="A16" s="5" t="inlineStr">
        <is>
          <t>Total RWAs (Pillar 1)</t>
        </is>
      </c>
      <c r="B16" s="5" t="n"/>
      <c r="C16" s="5" t="n"/>
      <c r="D16" s="5" t="n">
        <v>25253</v>
      </c>
      <c r="E16" s="5" t="n">
        <v>24052</v>
      </c>
      <c r="F16" s="5" t="n">
        <v>26369</v>
      </c>
    </row>
    <row r="18" ht="230" customHeight="1">
      <c r="A18" s="8" t="inlineStr">
        <is>
          <t>Sources - Methodist Chapel Aid Limited entity-level Pillar 1 capital requirement / RWA breakdown by exposure class, £'000:
FY2023: Pillar 3 Disclosures for year ended 31 December 2023, Section 5 Capital Adequacy table, p.7 - https://www.mcafundingforchurches.co.uk/media/ngqlqg5o/pillar-3-disclosures-2023.pdf (URL 404s as of this session; retrieved via Wayback Machine snapshot - https://web.archive.org/web/20250407005711/https://www.mcafundingforchurches.co.uk/media/ngqlqg5o/pillar-3-disclosures-2023.pdf)
FY2022: Pillar 3 Disclosures for year ended 31 December 2022, Section 5 Capital Adequacy table, p.8 - https://www.mcafundingforchurches.co.uk/siteFiles/resources/pdf/Pillar3disclosures2022.pdf
FY2021: no category-level breakdown was located - only the Key Metrics table's single Total risk-weighted exposure amount (26,369) is disclosed for FY2021, in the FY2022 Pillar 3 document's comparative column; the underlying Section 5 capital-adequacy table there is 'as at 31 December 2022' only, with no FY2021 equivalent table. Category rows left blank for FY2021; the Total RWAs row is populated from that comparative figure.
FY2024/FY2025: no Pillar 3 Key Metrics table or capital-adequacy breakdown was located for these periods (consistent with the existing Total RWAs sheet, which is also blank for these years).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18:F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inlineStr">
        <is>
          <t>35.4%</t>
        </is>
      </c>
      <c r="E4" s="6" t="inlineStr">
        <is>
          <t>33.49%</t>
        </is>
      </c>
      <c r="F4" s="6" t="inlineStr">
        <is>
          <t>33.05%</t>
        </is>
      </c>
    </row>
    <row r="5" ht="60" customHeight="1">
      <c r="A5" s="7" t="inlineStr">
        <is>
          <t>Note: The Company states that the smaller-bank leverage requirement does not apply; reported ratios are included as disclosed.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Average liquidity coverage ratio</t>
        </is>
      </c>
      <c r="B4" s="6" t="n"/>
      <c r="C4" s="6" t="n"/>
      <c r="D4" s="6" t="inlineStr">
        <is>
          <t>835%</t>
        </is>
      </c>
      <c r="E4" s="6" t="inlineStr">
        <is>
          <t>833%</t>
        </is>
      </c>
      <c r="F4" s="6" t="inlineStr">
        <is>
          <t>603%</t>
        </is>
      </c>
    </row>
    <row r="5" ht="60" customHeight="1">
      <c r="A5" s="7" t="inlineStr">
        <is>
          <t>Note: FY2023 is the average based on quarterly end-of-month positions;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Average net stable funding ratio</t>
        </is>
      </c>
      <c r="B4" s="6" t="n"/>
      <c r="C4" s="6" t="n"/>
      <c r="D4" s="6" t="inlineStr">
        <is>
          <t>182%</t>
        </is>
      </c>
      <c r="E4" s="6" t="inlineStr">
        <is>
          <t>192%</t>
        </is>
      </c>
      <c r="F4" s="6" t="inlineStr">
        <is>
          <t>184%</t>
        </is>
      </c>
    </row>
    <row r="5" ht="60" customHeight="1">
      <c r="A5" s="7" t="inlineStr">
        <is>
          <t>Note: FY2023 is the average based on quarterly end-of-month positions;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2026-09-03T16:04:33Z</dcterms:created>
  <dcterms:modified xmlns:dcterms="http://purl.org/dc/terms/" xmlns:xsi="http://www.w3.org/2001/XMLSchema-instance" xsi:type="dcterms:W3CDTF">2026-09-03T16:04:33Z</dcterms:modified>
</cp:coreProperties>
</file>