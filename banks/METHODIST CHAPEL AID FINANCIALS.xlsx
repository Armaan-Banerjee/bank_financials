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ser>
          <idx val="6"/>
          <order val="6"/>
          <tx>
            <strRef>
              <f>'Overview'!BN12</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'Overview'!$BO$12:$BX$12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Methodist Chapel Aid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35956037</v>
      </c>
      <c r="C6" s="5" t="n">
        <v>36147101</v>
      </c>
      <c r="D6" s="5" t="n">
        <v>36293524</v>
      </c>
      <c r="E6" s="5" t="n">
        <v>37194488</v>
      </c>
      <c r="F6" s="5" t="n">
        <v>40154805</v>
      </c>
      <c r="G6" s="5" t="n">
        <v>38940466</v>
      </c>
      <c r="H6" s="5" t="n">
        <v>36369860</v>
      </c>
      <c r="I6" s="5" t="n">
        <v>33535815</v>
      </c>
      <c r="J6" s="5" t="n">
        <v>33576835</v>
      </c>
      <c r="K6" s="5" t="n">
        <v>32972669</v>
      </c>
      <c r="N6" t="inlineStr">
        <is>
          <t>Total Assets</t>
        </is>
      </c>
      <c r="O6" t="n">
        <v>32972669</v>
      </c>
      <c r="P6" t="n">
        <v>33576835</v>
      </c>
      <c r="Q6" t="n">
        <v>33535815</v>
      </c>
      <c r="R6" t="n">
        <v>36369860</v>
      </c>
      <c r="S6" t="n">
        <v>38940466</v>
      </c>
      <c r="T6" t="n">
        <v>40154805</v>
      </c>
      <c r="U6" t="n">
        <v>37194488</v>
      </c>
      <c r="V6" t="n">
        <v>36293524</v>
      </c>
      <c r="W6" t="n">
        <v>36147101</v>
      </c>
      <c r="X6" t="n">
        <v>35956037</v>
      </c>
      <c r="BN6" t="inlineStr">
        <is>
          <t>CET1 Ratio</t>
        </is>
      </c>
      <c r="BR6" t="n">
        <v>58.68</v>
      </c>
      <c r="BS6" t="n">
        <v>51.48</v>
      </c>
      <c r="BT6" t="n">
        <v>52.79</v>
      </c>
      <c r="BU6" t="n">
        <v>53.85</v>
      </c>
      <c r="BV6" t="n">
        <v>52.88</v>
      </c>
    </row>
    <row r="7">
      <c r="A7" s="5" t="inlineStr">
        <is>
          <t>Loans and advances to customers</t>
        </is>
      </c>
      <c r="B7" s="5" t="n">
        <v>8262627</v>
      </c>
      <c r="C7" s="5" t="n">
        <v>9138711</v>
      </c>
      <c r="D7" s="5" t="n">
        <v>10330064</v>
      </c>
      <c r="E7" s="5" t="n">
        <v>8485497</v>
      </c>
      <c r="F7" s="5" t="n">
        <v>7197340</v>
      </c>
      <c r="G7" s="5" t="n">
        <v>7314586</v>
      </c>
      <c r="H7" s="5" t="n">
        <v>7888087</v>
      </c>
      <c r="I7" s="5" t="n">
        <v>6315264</v>
      </c>
      <c r="J7" s="5" t="n">
        <v>5210921</v>
      </c>
      <c r="K7" s="5" t="n">
        <v>4295209</v>
      </c>
      <c r="N7" t="inlineStr">
        <is>
          <t>Loans and advances to customers</t>
        </is>
      </c>
      <c r="O7" t="n">
        <v>4295209</v>
      </c>
      <c r="P7" t="n">
        <v>5210921</v>
      </c>
      <c r="Q7" t="n">
        <v>6315264</v>
      </c>
      <c r="R7" t="n">
        <v>7888087</v>
      </c>
      <c r="S7" t="n">
        <v>7314586</v>
      </c>
      <c r="T7" t="n">
        <v>7197340</v>
      </c>
      <c r="U7" t="n">
        <v>8485497</v>
      </c>
      <c r="V7" t="n">
        <v>10330064</v>
      </c>
      <c r="W7" t="n">
        <v>9138711</v>
      </c>
      <c r="X7" t="n">
        <v>8262627</v>
      </c>
      <c r="BN7" t="inlineStr">
        <is>
          <t>Total Capital Ratio</t>
        </is>
      </c>
      <c r="BR7" t="n">
        <v>58.68</v>
      </c>
      <c r="BS7" t="n">
        <v>51.48</v>
      </c>
      <c r="BT7" t="n">
        <v>52.79</v>
      </c>
      <c r="BU7" t="n">
        <v>53.85</v>
      </c>
      <c r="BV7" t="n">
        <v>52.88</v>
      </c>
    </row>
    <row r="8">
      <c r="A8" s="5" t="inlineStr">
        <is>
          <t>Customer accounts</t>
        </is>
      </c>
      <c r="B8" s="5" t="n">
        <v>21227564</v>
      </c>
      <c r="C8" s="5" t="n">
        <v>22043458</v>
      </c>
      <c r="D8" s="5" t="n">
        <v>22687021</v>
      </c>
      <c r="E8" s="5" t="n">
        <v>24113288</v>
      </c>
      <c r="F8" s="5" t="n">
        <v>25374073</v>
      </c>
      <c r="G8" s="5" t="n">
        <v>25034413</v>
      </c>
      <c r="H8" s="5" t="n">
        <v>23169408</v>
      </c>
      <c r="I8" s="5" t="n">
        <v>21897604</v>
      </c>
      <c r="J8" s="5" t="n">
        <v>21344785</v>
      </c>
      <c r="K8" s="5" t="n">
        <v>21572515</v>
      </c>
      <c r="N8" t="inlineStr">
        <is>
          <t>Customer accounts</t>
        </is>
      </c>
      <c r="O8" t="n">
        <v>21572515</v>
      </c>
      <c r="P8" t="n">
        <v>21344785</v>
      </c>
      <c r="Q8" t="n">
        <v>21897604</v>
      </c>
      <c r="R8" t="n">
        <v>23169408</v>
      </c>
      <c r="S8" t="n">
        <v>25034413</v>
      </c>
      <c r="T8" t="n">
        <v>25374073</v>
      </c>
      <c r="U8" t="n">
        <v>24113288</v>
      </c>
      <c r="V8" t="n">
        <v>22687021</v>
      </c>
      <c r="W8" t="n">
        <v>22043458</v>
      </c>
      <c r="X8" t="n">
        <v>21227564</v>
      </c>
      <c r="BN8" t="inlineStr">
        <is>
          <t>Leverage Ratio</t>
        </is>
      </c>
      <c r="BT8" t="n">
        <v>33.05</v>
      </c>
      <c r="BU8" t="n">
        <v>33.49</v>
      </c>
      <c r="BV8" t="n">
        <v>35.4</v>
      </c>
    </row>
    <row r="9">
      <c r="A9" s="5" t="inlineStr">
        <is>
          <t>Total equity</t>
        </is>
      </c>
      <c r="B9" s="5" t="n">
        <v>14117086</v>
      </c>
      <c r="C9" s="5" t="n">
        <v>13747327</v>
      </c>
      <c r="D9" s="5" t="n">
        <v>13353632</v>
      </c>
      <c r="E9" s="5" t="n">
        <v>12952019</v>
      </c>
      <c r="F9" s="5" t="n">
        <v>14176202</v>
      </c>
      <c r="G9" s="5" t="n">
        <v>13442989</v>
      </c>
      <c r="H9" s="5" t="n">
        <v>12867446</v>
      </c>
      <c r="I9" s="5" t="n">
        <v>11568761</v>
      </c>
      <c r="J9" s="5" t="n">
        <v>11998446</v>
      </c>
      <c r="K9" s="5" t="n">
        <v>11071512</v>
      </c>
      <c r="N9" t="inlineStr">
        <is>
          <t>Total equity</t>
        </is>
      </c>
      <c r="O9" t="n">
        <v>11071512</v>
      </c>
      <c r="P9" t="n">
        <v>11998446</v>
      </c>
      <c r="Q9" t="n">
        <v>11568761</v>
      </c>
      <c r="R9" t="n">
        <v>12867446</v>
      </c>
      <c r="S9" t="n">
        <v>13442989</v>
      </c>
      <c r="T9" t="n">
        <v>14176202</v>
      </c>
      <c r="U9" t="n">
        <v>12952019</v>
      </c>
      <c r="V9" t="n">
        <v>13353632</v>
      </c>
      <c r="W9" t="n">
        <v>13747327</v>
      </c>
      <c r="X9" t="n">
        <v>14117086</v>
      </c>
      <c r="BN9" t="inlineStr">
        <is>
          <t>LCR (12-month average of quarterly end-of-month positions)</t>
        </is>
      </c>
      <c r="BU9" t="n">
        <v>827</v>
      </c>
      <c r="BV9" t="n">
        <v>835</v>
      </c>
    </row>
    <row r="10">
      <c r="BN10" t="inlineStr">
        <is>
          <t>LCR at year-end (point-in-time, per UK KM1)</t>
        </is>
      </c>
      <c r="BT10" t="n">
        <v>603</v>
      </c>
      <c r="BU10" t="n">
        <v>833</v>
      </c>
      <c r="BV10" t="n">
        <v>970</v>
      </c>
    </row>
    <row r="11">
      <c r="A11" s="3" t="inlineStr">
        <is>
          <t>Profit &amp; Loss Summary (£)</t>
        </is>
      </c>
      <c r="BN11" t="inlineStr">
        <is>
          <t>NSFR (12-month average of quarterly end-of-month positions)</t>
        </is>
      </c>
      <c r="BU11" t="n">
        <v>194</v>
      </c>
      <c r="BV11" t="n">
        <v>182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N12" t="inlineStr">
        <is>
          <t>NSFR at year-end (point-in-time, per UK KM1)</t>
        </is>
      </c>
      <c r="BT12" t="n">
        <v>184</v>
      </c>
      <c r="BU12" t="n">
        <v>192</v>
      </c>
      <c r="BV12" t="n">
        <v>174</v>
      </c>
    </row>
    <row r="13">
      <c r="A13" s="5" t="inlineStr">
        <is>
          <t>Total operating expense</t>
        </is>
      </c>
      <c r="B13" s="5" t="n">
        <v>-481964</v>
      </c>
      <c r="C13" s="5" t="n">
        <v>-570759</v>
      </c>
      <c r="D13" s="5" t="n">
        <v>-551258</v>
      </c>
      <c r="E13" s="5" t="n">
        <v>-455467</v>
      </c>
      <c r="F13" s="5" t="n">
        <v>-361324</v>
      </c>
      <c r="G13" s="5" t="n">
        <v>-371250</v>
      </c>
      <c r="H13" s="5" t="n">
        <v>-378013</v>
      </c>
      <c r="I13" s="5" t="n">
        <v>-370280</v>
      </c>
      <c r="J13" s="5" t="n">
        <v>-361235</v>
      </c>
      <c r="K13" s="5" t="n">
        <v>-355663</v>
      </c>
      <c r="AA13" t="inlineStr">
        <is>
          <t>Total operating expense</t>
        </is>
      </c>
      <c r="AB13" t="n">
        <v>-355663</v>
      </c>
      <c r="AC13" t="n">
        <v>-361235</v>
      </c>
      <c r="AD13" t="n">
        <v>-370280</v>
      </c>
      <c r="AE13" t="n">
        <v>-378013</v>
      </c>
      <c r="AF13" t="n">
        <v>-371250</v>
      </c>
      <c r="AG13" t="n">
        <v>-361324</v>
      </c>
      <c r="AH13" t="n">
        <v>-455467</v>
      </c>
      <c r="AI13" t="n">
        <v>-551258</v>
      </c>
      <c r="AJ13" t="n">
        <v>-570759</v>
      </c>
      <c r="AK13" t="n">
        <v>-481964</v>
      </c>
    </row>
    <row r="14">
      <c r="A14" s="5" t="inlineStr">
        <is>
          <t>Surplus/(deficit) before taxation</t>
        </is>
      </c>
      <c r="B14" s="5" t="n">
        <v>418967</v>
      </c>
      <c r="C14" s="5" t="n">
        <v>489534</v>
      </c>
      <c r="D14" s="5" t="n">
        <v>478770</v>
      </c>
      <c r="E14" s="5" t="n">
        <v>-1718227</v>
      </c>
      <c r="F14" s="5" t="n">
        <v>977572</v>
      </c>
      <c r="G14" s="5" t="n">
        <v>702221</v>
      </c>
      <c r="H14" s="5" t="n">
        <v>1559263</v>
      </c>
      <c r="I14" s="5" t="n">
        <v>-572535</v>
      </c>
      <c r="J14" s="5" t="n">
        <v>880487</v>
      </c>
      <c r="K14" s="5" t="n">
        <v>804283</v>
      </c>
      <c r="AA14" t="inlineStr">
        <is>
          <t>Surplus/(deficit) before taxation</t>
        </is>
      </c>
      <c r="AB14" t="n">
        <v>804283</v>
      </c>
      <c r="AC14" t="n">
        <v>880487</v>
      </c>
      <c r="AD14" t="n">
        <v>-572535</v>
      </c>
      <c r="AE14" t="n">
        <v>1559263</v>
      </c>
      <c r="AF14" t="n">
        <v>702221</v>
      </c>
      <c r="AG14" t="n">
        <v>977572</v>
      </c>
      <c r="AH14" t="n">
        <v>-1718227</v>
      </c>
      <c r="AI14" t="n">
        <v>478770</v>
      </c>
      <c r="AJ14" t="n">
        <v>489534</v>
      </c>
      <c r="AK14" t="n">
        <v>418967</v>
      </c>
    </row>
    <row r="15">
      <c r="A15" s="5" t="inlineStr">
        <is>
          <t>Surplus/(deficit) for the period/year</t>
        </is>
      </c>
      <c r="B15" s="5" t="n">
        <v>371112</v>
      </c>
      <c r="C15" s="5" t="n">
        <v>395012</v>
      </c>
      <c r="D15" s="5" t="n">
        <v>402846</v>
      </c>
      <c r="E15" s="5" t="n">
        <v>-1223070</v>
      </c>
      <c r="F15" s="5" t="n">
        <v>734281</v>
      </c>
      <c r="G15" s="5" t="n">
        <v>576601</v>
      </c>
      <c r="H15" s="5" t="n">
        <v>1299726</v>
      </c>
      <c r="I15" s="5" t="n">
        <v>-428667</v>
      </c>
      <c r="J15" s="5" t="n">
        <v>927913</v>
      </c>
      <c r="K15" s="5" t="n">
        <v>757654</v>
      </c>
      <c r="AA15" t="inlineStr">
        <is>
          <t>Surplus/(deficit) for the period/year</t>
        </is>
      </c>
      <c r="AB15" t="n">
        <v>757654</v>
      </c>
      <c r="AC15" t="n">
        <v>927913</v>
      </c>
      <c r="AD15" t="n">
        <v>-428667</v>
      </c>
      <c r="AE15" t="n">
        <v>1299726</v>
      </c>
      <c r="AF15" t="n">
        <v>576601</v>
      </c>
      <c r="AG15" t="n">
        <v>734281</v>
      </c>
      <c r="AH15" t="n">
        <v>-1223070</v>
      </c>
      <c r="AI15" t="n">
        <v>402846</v>
      </c>
      <c r="AJ15" t="n">
        <v>395012</v>
      </c>
      <c r="AK15" t="n">
        <v>371112</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Surplus/(deficit) for the period/year</t>
        </is>
      </c>
      <c r="B19" s="5" t="n">
        <v>371112</v>
      </c>
      <c r="C19" s="5" t="n">
        <v>395012</v>
      </c>
      <c r="D19" s="5" t="n">
        <v>402846</v>
      </c>
      <c r="E19" s="5" t="n">
        <v>-1223070</v>
      </c>
      <c r="F19" s="5" t="n">
        <v>734281</v>
      </c>
      <c r="G19" s="5" t="n">
        <v>576601</v>
      </c>
      <c r="H19" s="5" t="n">
        <v>1299726</v>
      </c>
      <c r="I19" s="5" t="n">
        <v>-428667</v>
      </c>
      <c r="J19" s="5" t="n">
        <v>927913</v>
      </c>
      <c r="K19" s="5" t="n">
        <v>757654</v>
      </c>
      <c r="AN19" t="inlineStr">
        <is>
          <t>Surplus/(deficit) for the period/year</t>
        </is>
      </c>
      <c r="AO19" t="n">
        <v>757654</v>
      </c>
      <c r="AP19" t="n">
        <v>927913</v>
      </c>
      <c r="AQ19" t="n">
        <v>-428667</v>
      </c>
      <c r="AR19" t="n">
        <v>1299726</v>
      </c>
      <c r="AS19" t="n">
        <v>576601</v>
      </c>
      <c r="AT19" t="n">
        <v>734281</v>
      </c>
      <c r="AU19" t="n">
        <v>-1223070</v>
      </c>
      <c r="AV19" t="n">
        <v>402846</v>
      </c>
      <c r="AW19" t="n">
        <v>395012</v>
      </c>
      <c r="AX19" t="n">
        <v>371112</v>
      </c>
    </row>
    <row r="20">
      <c r="A20" s="5" t="inlineStr">
        <is>
          <t>Dividends paid and payable</t>
        </is>
      </c>
      <c r="B20" s="5" t="n">
        <v>-1353</v>
      </c>
      <c r="C20" s="5" t="n">
        <v>-1317</v>
      </c>
      <c r="D20" s="5" t="n">
        <v>-1233</v>
      </c>
      <c r="E20" s="5" t="n">
        <v>-1113</v>
      </c>
      <c r="F20" s="5" t="n">
        <v>-1068</v>
      </c>
      <c r="G20" s="5" t="n">
        <v>-1058</v>
      </c>
      <c r="H20" s="5" t="n">
        <v>-1041</v>
      </c>
      <c r="I20" s="5" t="n">
        <v>-1018</v>
      </c>
      <c r="J20" s="5" t="n">
        <v>-979</v>
      </c>
      <c r="K20" s="5" t="n">
        <v>-967</v>
      </c>
      <c r="AN20" t="inlineStr">
        <is>
          <t>Dividends paid and payable</t>
        </is>
      </c>
      <c r="AO20" t="n">
        <v>-967</v>
      </c>
      <c r="AP20" t="n">
        <v>-979</v>
      </c>
      <c r="AQ20" t="n">
        <v>-1018</v>
      </c>
      <c r="AR20" t="n">
        <v>-1041</v>
      </c>
      <c r="AS20" t="n">
        <v>-1058</v>
      </c>
      <c r="AT20" t="n">
        <v>-1068</v>
      </c>
      <c r="AU20" t="n">
        <v>-1113</v>
      </c>
      <c r="AV20" t="n">
        <v>-1233</v>
      </c>
      <c r="AW20" t="n">
        <v>-1317</v>
      </c>
      <c r="AX20" t="n">
        <v>-1353</v>
      </c>
    </row>
    <row r="21">
      <c r="A21" s="5" t="inlineStr">
        <is>
          <t>Closing equity</t>
        </is>
      </c>
      <c r="B21" s="5" t="n">
        <v>14117086</v>
      </c>
      <c r="C21" s="5" t="n">
        <v>13747327</v>
      </c>
      <c r="D21" s="5" t="n">
        <v>13353632</v>
      </c>
      <c r="E21" s="5" t="n">
        <v>12952019</v>
      </c>
      <c r="F21" s="5" t="n">
        <v>14176202</v>
      </c>
      <c r="G21" s="5" t="n">
        <v>13442989</v>
      </c>
      <c r="H21" s="5" t="n">
        <v>12867446</v>
      </c>
      <c r="I21" s="5" t="n">
        <v>11568761</v>
      </c>
      <c r="J21" s="5" t="n">
        <v>11998446</v>
      </c>
      <c r="K21" s="5" t="n">
        <v>11071512</v>
      </c>
      <c r="AN21" t="inlineStr">
        <is>
          <t>Closing equity</t>
        </is>
      </c>
      <c r="AO21" t="n">
        <v>11071512</v>
      </c>
      <c r="AP21" t="n">
        <v>11998446</v>
      </c>
      <c r="AQ21" t="n">
        <v>11568761</v>
      </c>
      <c r="AR21" t="n">
        <v>12867446</v>
      </c>
      <c r="AS21" t="n">
        <v>13442989</v>
      </c>
      <c r="AT21" t="n">
        <v>14176202</v>
      </c>
      <c r="AU21" t="n">
        <v>12952019</v>
      </c>
      <c r="AV21" t="n">
        <v>13353632</v>
      </c>
      <c r="AW21" t="n">
        <v>13747327</v>
      </c>
      <c r="AX21" t="n">
        <v>14117086</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generated/(used) from operating activities</t>
        </is>
      </c>
      <c r="B25" s="5" t="n">
        <v>230314</v>
      </c>
      <c r="C25" s="5" t="n">
        <v>429322</v>
      </c>
      <c r="D25" s="5" t="n">
        <v>-3050504</v>
      </c>
      <c r="E25" s="5" t="n">
        <v>-2346030</v>
      </c>
      <c r="F25" s="5" t="n">
        <v>714322</v>
      </c>
      <c r="G25" s="5" t="n">
        <v>2973715</v>
      </c>
      <c r="H25" s="5" t="n">
        <v>-70421</v>
      </c>
      <c r="I25" s="5" t="n">
        <v>-303376</v>
      </c>
      <c r="J25" s="5" t="n">
        <v>-974245</v>
      </c>
      <c r="K25" s="5" t="n">
        <v>161846</v>
      </c>
      <c r="BA25" t="inlineStr">
        <is>
          <t>Net cash generated/(used) from operating activities</t>
        </is>
      </c>
      <c r="BB25" t="n">
        <v>161846</v>
      </c>
      <c r="BC25" t="n">
        <v>-974245</v>
      </c>
      <c r="BD25" t="n">
        <v>-303376</v>
      </c>
      <c r="BE25" t="n">
        <v>-70421</v>
      </c>
      <c r="BF25" t="n">
        <v>2973715</v>
      </c>
      <c r="BG25" t="n">
        <v>714322</v>
      </c>
      <c r="BH25" t="n">
        <v>-2346030</v>
      </c>
      <c r="BI25" t="n">
        <v>-3050504</v>
      </c>
      <c r="BJ25" t="n">
        <v>429322</v>
      </c>
      <c r="BK25" t="n">
        <v>230314</v>
      </c>
    </row>
    <row r="26">
      <c r="A26" s="5" t="inlineStr">
        <is>
          <t>Net cash generated/(used) from investing activities</t>
        </is>
      </c>
      <c r="B26" s="5" t="n">
        <v>-249591</v>
      </c>
      <c r="C26" s="5" t="n">
        <v>661933</v>
      </c>
      <c r="D26" s="5" t="n">
        <v>-364592</v>
      </c>
      <c r="E26" s="5" t="n">
        <v>-261027</v>
      </c>
      <c r="F26" s="5" t="n">
        <v>519122</v>
      </c>
      <c r="G26" s="5" t="n">
        <v>-892604</v>
      </c>
      <c r="H26" s="5" t="n">
        <v>4062</v>
      </c>
      <c r="I26" s="5" t="n">
        <v>178019</v>
      </c>
      <c r="J26" s="5" t="n">
        <v>327744</v>
      </c>
      <c r="K26" s="5" t="n">
        <v>171836</v>
      </c>
      <c r="BA26" t="inlineStr">
        <is>
          <t>Net cash generated/(used) from investing activities</t>
        </is>
      </c>
      <c r="BB26" t="n">
        <v>171836</v>
      </c>
      <c r="BC26" t="n">
        <v>327744</v>
      </c>
      <c r="BD26" t="n">
        <v>178019</v>
      </c>
      <c r="BE26" t="n">
        <v>4062</v>
      </c>
      <c r="BF26" t="n">
        <v>-892604</v>
      </c>
      <c r="BG26" t="n">
        <v>519122</v>
      </c>
      <c r="BH26" t="n">
        <v>-261027</v>
      </c>
      <c r="BI26" t="n">
        <v>-364592</v>
      </c>
      <c r="BJ26" t="n">
        <v>661933</v>
      </c>
      <c r="BK26" t="n">
        <v>-249591</v>
      </c>
    </row>
    <row r="27">
      <c r="A27" s="5" t="inlineStr">
        <is>
          <t>Net cash generated/(used) in financing activities</t>
        </is>
      </c>
      <c r="B27" s="5" t="n">
        <v>-1353</v>
      </c>
      <c r="C27" s="5" t="n">
        <v>-1317</v>
      </c>
      <c r="D27" s="5" t="n">
        <v>-1233</v>
      </c>
      <c r="E27" s="5" t="n">
        <v>-1113</v>
      </c>
      <c r="F27" s="5" t="n">
        <v>-1068</v>
      </c>
      <c r="G27" s="5" t="n">
        <v>-1058</v>
      </c>
      <c r="H27" s="5" t="n">
        <v>-1041</v>
      </c>
      <c r="I27" s="5" t="n">
        <v>-1018</v>
      </c>
      <c r="J27" s="5" t="n">
        <v>-979</v>
      </c>
      <c r="K27" s="5" t="n">
        <v>-967</v>
      </c>
      <c r="BA27" t="inlineStr">
        <is>
          <t>Net cash generated/(used) in financing activities</t>
        </is>
      </c>
      <c r="BB27" t="n">
        <v>-967</v>
      </c>
      <c r="BC27" t="n">
        <v>-979</v>
      </c>
      <c r="BD27" t="n">
        <v>-1018</v>
      </c>
      <c r="BE27" t="n">
        <v>-1041</v>
      </c>
      <c r="BF27" t="n">
        <v>-1058</v>
      </c>
      <c r="BG27" t="n">
        <v>-1068</v>
      </c>
      <c r="BH27" t="n">
        <v>-1113</v>
      </c>
      <c r="BI27" t="n">
        <v>-1233</v>
      </c>
      <c r="BJ27" t="n">
        <v>-1317</v>
      </c>
      <c r="BK27" t="n">
        <v>-1353</v>
      </c>
    </row>
    <row r="28">
      <c r="A28" s="5" t="inlineStr">
        <is>
          <t>Cash and cash equivalents at end of year/period</t>
        </is>
      </c>
      <c r="B28" s="5" t="n">
        <v>10166442</v>
      </c>
      <c r="C28" s="5" t="n">
        <v>10187072</v>
      </c>
      <c r="D28" s="5" t="n">
        <v>9097134</v>
      </c>
      <c r="E28" s="5" t="n">
        <v>12513463</v>
      </c>
      <c r="F28" s="5" t="n">
        <v>15121633</v>
      </c>
      <c r="G28" s="5" t="n">
        <v>13889257</v>
      </c>
      <c r="H28" s="5" t="n">
        <v>11809204</v>
      </c>
      <c r="I28" s="5" t="n">
        <v>11876604</v>
      </c>
      <c r="J28" s="5" t="n">
        <v>12002979</v>
      </c>
      <c r="K28" s="5" t="n">
        <v>12650459</v>
      </c>
      <c r="BA28" t="inlineStr">
        <is>
          <t>Cash and cash equivalents at end of year/period</t>
        </is>
      </c>
      <c r="BB28" t="n">
        <v>12650459</v>
      </c>
      <c r="BC28" t="n">
        <v>12002979</v>
      </c>
      <c r="BD28" t="n">
        <v>11876604</v>
      </c>
      <c r="BE28" t="n">
        <v>11809204</v>
      </c>
      <c r="BF28" t="n">
        <v>13889257</v>
      </c>
      <c r="BG28" t="n">
        <v>15121633</v>
      </c>
      <c r="BH28" t="n">
        <v>12513463</v>
      </c>
      <c r="BI28" t="n">
        <v>9097134</v>
      </c>
      <c r="BJ28" t="n">
        <v>10187072</v>
      </c>
      <c r="BK28" t="n">
        <v>10166442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n"/>
      <c r="C32" s="6" t="n"/>
      <c r="D32" s="6" t="inlineStr">
        <is>
          <t>52.88%</t>
        </is>
      </c>
      <c r="E32" s="6" t="inlineStr">
        <is>
          <t>53.85%</t>
        </is>
      </c>
      <c r="F32" s="6" t="inlineStr">
        <is>
          <t>52.79%</t>
        </is>
      </c>
      <c r="G32" s="6" t="inlineStr">
        <is>
          <t>51.48%</t>
        </is>
      </c>
      <c r="H32" s="6" t="inlineStr">
        <is>
          <t>58.68%</t>
        </is>
      </c>
      <c r="I32" s="6" t="n"/>
      <c r="J32" s="6" t="n"/>
      <c r="K32" s="6" t="n"/>
    </row>
    <row r="33">
      <c r="A33" s="6" t="inlineStr">
        <is>
          <t>Total Capital Ratio</t>
        </is>
      </c>
      <c r="B33" s="6" t="n"/>
      <c r="C33" s="6" t="n"/>
      <c r="D33" s="6" t="inlineStr">
        <is>
          <t>52.88%</t>
        </is>
      </c>
      <c r="E33" s="6" t="inlineStr">
        <is>
          <t>53.85%</t>
        </is>
      </c>
      <c r="F33" s="6" t="inlineStr">
        <is>
          <t>52.79%</t>
        </is>
      </c>
      <c r="G33" s="6" t="inlineStr">
        <is>
          <t>51.48%</t>
        </is>
      </c>
      <c r="H33" s="6" t="inlineStr">
        <is>
          <t>58.68%</t>
        </is>
      </c>
      <c r="I33" s="6" t="n"/>
      <c r="J33" s="6" t="n"/>
      <c r="K33" s="6" t="n"/>
    </row>
    <row r="34">
      <c r="A34" s="6" t="inlineStr">
        <is>
          <t>Leverage Ratio</t>
        </is>
      </c>
      <c r="B34" s="6" t="n"/>
      <c r="C34" s="6" t="n"/>
      <c r="D34" s="6" t="inlineStr">
        <is>
          <t>35.4%</t>
        </is>
      </c>
      <c r="E34" s="6" t="inlineStr">
        <is>
          <t>33.49%</t>
        </is>
      </c>
      <c r="F34" s="6" t="inlineStr">
        <is>
          <t>33.05%</t>
        </is>
      </c>
      <c r="G34" s="6" t="inlineStr">
        <is>
          <t>~30%</t>
        </is>
      </c>
      <c r="H34" s="6" t="inlineStr">
        <is>
          <t>~30%</t>
        </is>
      </c>
      <c r="I34" s="6" t="n"/>
      <c r="J34" s="6" t="n"/>
      <c r="K34" s="6" t="n"/>
    </row>
    <row r="35">
      <c r="A35" s="6" t="inlineStr">
        <is>
          <t>LCR (12-month average of quarterly end-of-month positions)</t>
        </is>
      </c>
      <c r="B35" s="6" t="n"/>
      <c r="C35" s="6" t="n"/>
      <c r="D35" s="6" t="inlineStr">
        <is>
          <t>835%</t>
        </is>
      </c>
      <c r="E35" s="6" t="inlineStr">
        <is>
          <t>827%</t>
        </is>
      </c>
      <c r="F35" s="6" t="n"/>
      <c r="G35" s="6" t="n"/>
      <c r="H35" s="6" t="n"/>
      <c r="I35" s="6" t="n"/>
      <c r="J35" s="6" t="n"/>
      <c r="K35" s="6" t="n"/>
    </row>
    <row r="36">
      <c r="A36" s="6" t="inlineStr">
        <is>
          <t>LCR at year-end (point-in-time, per UK KM1)</t>
        </is>
      </c>
      <c r="B36" s="6" t="n"/>
      <c r="C36" s="6" t="n"/>
      <c r="D36" s="6" t="inlineStr">
        <is>
          <t>970%</t>
        </is>
      </c>
      <c r="E36" s="6" t="inlineStr">
        <is>
          <t>833%</t>
        </is>
      </c>
      <c r="F36" s="6" t="inlineStr">
        <is>
          <t>603%</t>
        </is>
      </c>
      <c r="G36" s="6" t="n"/>
      <c r="H36" s="6" t="n"/>
      <c r="I36" s="6" t="n"/>
      <c r="J36" s="6" t="n"/>
      <c r="K36" s="6" t="n"/>
    </row>
    <row r="37">
      <c r="A37" s="6" t="inlineStr">
        <is>
          <t>NSFR (12-month average of quarterly end-of-month positions)</t>
        </is>
      </c>
      <c r="B37" s="6" t="n"/>
      <c r="C37" s="6" t="n"/>
      <c r="D37" s="6" t="inlineStr">
        <is>
          <t>182%</t>
        </is>
      </c>
      <c r="E37" s="6" t="inlineStr">
        <is>
          <t>194%</t>
        </is>
      </c>
      <c r="F37" s="6" t="n"/>
      <c r="G37" s="6" t="n"/>
      <c r="H37" s="6" t="n"/>
      <c r="I37" s="6" t="n"/>
      <c r="J37" s="6" t="n"/>
      <c r="K37" s="6" t="n"/>
    </row>
    <row r="38">
      <c r="A38" s="6" t="inlineStr">
        <is>
          <t>NSFR at year-end (point-in-time, per UK KM1)</t>
        </is>
      </c>
      <c r="B38" s="6" t="n"/>
      <c r="C38" s="6" t="n"/>
      <c r="D38" s="6" t="inlineStr">
        <is>
          <t>174%</t>
        </is>
      </c>
      <c r="E38" s="6" t="inlineStr">
        <is>
          <t>192%</t>
        </is>
      </c>
      <c r="F38" s="6" t="inlineStr">
        <is>
          <t>184%</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CORRECTED 2026-09-15. This sheet previously showed ONE LCR row reading 835% / 833% / 603% for FY2023 / FY2022 / FY2021, which silently mixed two different series: 835% is the FY2023 12-month average, while 833% and 603% are year-end point-in-time figures from the UK KM1 tables. The FY2022 average (827%) and the FY2023 year-end value (970%) had never been transcribed at all, so the row read as a flat trend when the two real series in fact move differently. Both series are now shown in full on separate labelled rows, for NSFR as well as LCR, and an NSFR row has been added here for the first time. NSFR FY2016-FY2020 read 'Not applicable' because the UK had no NSFR requirement before 1 January 2022 (PRA PS17/21). See the LCR and NSFR sheets for the full basis note, including the caption error in the source's own KM1 tables.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Financial Position</t>
        </is>
      </c>
    </row>
    <row r="2">
      <c r="A2" s="2" t="inlineStr">
        <is>
          <t>Entity-level basis, £. FY2025 as at 30 September 2025 (9-month period end); all other years as at 31 December.</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bank balances</t>
        </is>
      </c>
      <c r="B5" s="6" t="n">
        <v>9417754</v>
      </c>
      <c r="C5" s="6" t="n">
        <v>8355272</v>
      </c>
      <c r="D5" s="6" t="n">
        <v>7520873</v>
      </c>
      <c r="E5" s="6" t="n">
        <v>10132743</v>
      </c>
      <c r="F5" s="6" t="n">
        <v>12459792</v>
      </c>
      <c r="G5" s="6" t="n">
        <v>13653122</v>
      </c>
      <c r="H5" s="6" t="n">
        <v>10947148</v>
      </c>
      <c r="I5" s="6" t="n">
        <v>10984433</v>
      </c>
      <c r="J5" s="6" t="n">
        <v>11252440</v>
      </c>
      <c r="K5" s="6" t="n">
        <v>12174432</v>
      </c>
    </row>
    <row r="6">
      <c r="A6" s="6" t="inlineStr">
        <is>
          <t>Loans and advances to customers</t>
        </is>
      </c>
      <c r="B6" s="6" t="n">
        <v>8262627</v>
      </c>
      <c r="C6" s="6" t="n">
        <v>9138711</v>
      </c>
      <c r="D6" s="6" t="n">
        <v>10330064</v>
      </c>
      <c r="E6" s="6" t="n">
        <v>8485497</v>
      </c>
      <c r="F6" s="6" t="n">
        <v>7197340</v>
      </c>
      <c r="G6" s="6" t="n">
        <v>7314586</v>
      </c>
      <c r="H6" s="6" t="n">
        <v>7888087</v>
      </c>
      <c r="I6" s="6" t="n">
        <v>6315264</v>
      </c>
      <c r="J6" s="6" t="n">
        <v>5210921</v>
      </c>
      <c r="K6" s="6" t="n">
        <v>4295209</v>
      </c>
    </row>
    <row r="7">
      <c r="A7" s="6" t="inlineStr">
        <is>
          <t>Investments - issued by public body</t>
        </is>
      </c>
      <c r="B7" s="6" t="n">
        <v>4941874</v>
      </c>
      <c r="C7" s="6" t="n">
        <v>4208030</v>
      </c>
      <c r="D7" s="6" t="n">
        <v>4824018</v>
      </c>
      <c r="E7" s="6" t="n"/>
      <c r="F7" s="6" t="n"/>
      <c r="G7" s="6" t="n"/>
      <c r="H7" s="6" t="n"/>
      <c r="I7" s="6" t="n"/>
      <c r="J7" s="6" t="n"/>
      <c r="K7" s="6" t="n"/>
    </row>
    <row r="8">
      <c r="A8" s="6" t="inlineStr">
        <is>
          <t>Investments - other loans and advances</t>
        </is>
      </c>
      <c r="B8" s="6" t="n">
        <v>3843427</v>
      </c>
      <c r="C8" s="6" t="n">
        <v>4049871</v>
      </c>
      <c r="D8" s="6" t="n">
        <v>4500425</v>
      </c>
      <c r="E8" s="6" t="n"/>
      <c r="F8" s="6" t="n"/>
      <c r="G8" s="6" t="n"/>
      <c r="H8" s="6" t="n"/>
      <c r="I8" s="6" t="n"/>
      <c r="J8" s="6" t="n"/>
      <c r="K8" s="6" t="n"/>
    </row>
    <row r="9">
      <c r="A9" s="6" t="inlineStr">
        <is>
          <t>Investments - debt and fixed income securities (aggregate, pre-2021 disclosure)</t>
        </is>
      </c>
      <c r="B9" s="6" t="n"/>
      <c r="C9" s="6" t="n"/>
      <c r="D9" s="6" t="n"/>
      <c r="E9" s="6" t="n"/>
      <c r="F9" s="6" t="n"/>
      <c r="G9" s="6" t="n">
        <v>9047492</v>
      </c>
      <c r="H9" s="6" t="n">
        <v>8170744</v>
      </c>
      <c r="I9" s="6" t="n">
        <v>7957868</v>
      </c>
      <c r="J9" s="6" t="n">
        <v>8122521</v>
      </c>
      <c r="K9" s="6" t="n">
        <v>7940441</v>
      </c>
    </row>
    <row r="10">
      <c r="A10" s="6" t="inlineStr">
        <is>
          <t>Investments - equity investments</t>
        </is>
      </c>
      <c r="B10" s="6" t="n">
        <v>8230600</v>
      </c>
      <c r="C10" s="6" t="n">
        <v>8135418</v>
      </c>
      <c r="D10" s="6" t="n">
        <v>7100690</v>
      </c>
      <c r="E10" s="6" t="n"/>
      <c r="F10" s="6" t="n"/>
      <c r="G10" s="6" t="n">
        <v>8606515</v>
      </c>
      <c r="H10" s="6" t="n">
        <v>8368796</v>
      </c>
      <c r="I10" s="6" t="n">
        <v>7260746</v>
      </c>
      <c r="J10" s="6" t="n">
        <v>8090285</v>
      </c>
      <c r="K10" s="6" t="n">
        <v>7927810</v>
      </c>
    </row>
    <row r="11">
      <c r="A11" s="5" t="inlineStr">
        <is>
          <t>Total investments</t>
        </is>
      </c>
      <c r="B11" s="5" t="n">
        <v>17015901</v>
      </c>
      <c r="C11" s="5" t="n">
        <v>16393319</v>
      </c>
      <c r="D11" s="5" t="n">
        <v>16425133</v>
      </c>
      <c r="E11" s="5" t="n">
        <v>16047858</v>
      </c>
      <c r="F11" s="5" t="n">
        <v>17733105</v>
      </c>
      <c r="G11" s="5" t="n">
        <v>17654007</v>
      </c>
      <c r="H11" s="5" t="n">
        <v>16539540</v>
      </c>
      <c r="I11" s="5" t="n">
        <v>15218614</v>
      </c>
      <c r="J11" s="5" t="n">
        <v>16212806</v>
      </c>
      <c r="K11" s="5" t="n">
        <v>15868251</v>
      </c>
    </row>
    <row r="12">
      <c r="A12" s="6" t="inlineStr">
        <is>
          <t>Intangible fixed assets</t>
        </is>
      </c>
      <c r="B12" s="6" t="n">
        <v>3957</v>
      </c>
      <c r="C12" s="6" t="n"/>
      <c r="D12" s="6" t="n"/>
      <c r="E12" s="6" t="n"/>
      <c r="F12" s="6" t="n"/>
      <c r="G12" s="6" t="n"/>
      <c r="H12" s="6" t="n"/>
      <c r="I12" s="6" t="n"/>
      <c r="J12" s="6" t="n"/>
      <c r="K12" s="6" t="n"/>
    </row>
    <row r="13">
      <c r="A13" s="6" t="inlineStr">
        <is>
          <t>Tangible fixed assets</t>
        </is>
      </c>
      <c r="B13" s="6" t="n">
        <v>287367</v>
      </c>
      <c r="C13" s="6" t="n">
        <v>300959</v>
      </c>
      <c r="D13" s="6" t="n">
        <v>305490</v>
      </c>
      <c r="E13" s="6" t="n">
        <v>37749</v>
      </c>
      <c r="F13" s="6" t="n">
        <v>31127</v>
      </c>
      <c r="G13" s="6" t="n">
        <v>7852</v>
      </c>
      <c r="H13" s="6" t="n">
        <v>22084</v>
      </c>
      <c r="I13" s="6" t="n">
        <v>32058</v>
      </c>
      <c r="J13" s="6" t="n">
        <v>50429</v>
      </c>
      <c r="K13" s="6" t="n">
        <v>66102</v>
      </c>
    </row>
    <row r="14">
      <c r="A14" s="6" t="inlineStr">
        <is>
          <t>Investments held for short term purposes</t>
        </is>
      </c>
      <c r="B14" s="6" t="n">
        <v>748688</v>
      </c>
      <c r="C14" s="6" t="n">
        <v>1831800</v>
      </c>
      <c r="D14" s="6" t="n">
        <v>1576261</v>
      </c>
      <c r="E14" s="6" t="n">
        <v>2380720</v>
      </c>
      <c r="F14" s="6" t="n">
        <v>2661841</v>
      </c>
      <c r="G14" s="6" t="n">
        <v>236135</v>
      </c>
      <c r="H14" s="6" t="n">
        <v>862056</v>
      </c>
      <c r="I14" s="6" t="n">
        <v>892171</v>
      </c>
      <c r="J14" s="6" t="n">
        <v>750539</v>
      </c>
      <c r="K14" s="6" t="n">
        <v>476027</v>
      </c>
    </row>
    <row r="15">
      <c r="A15" s="6" t="inlineStr">
        <is>
          <t>Prepayments, accrued income and other assets</t>
        </is>
      </c>
      <c r="B15" s="6" t="n">
        <v>219743</v>
      </c>
      <c r="C15" s="6" t="n">
        <v>127040</v>
      </c>
      <c r="D15" s="6" t="n">
        <v>135703</v>
      </c>
      <c r="E15" s="6" t="n">
        <v>109921</v>
      </c>
      <c r="F15" s="6" t="n">
        <v>71600</v>
      </c>
      <c r="G15" s="6" t="n">
        <v>74764</v>
      </c>
      <c r="H15" s="6" t="n">
        <v>110945</v>
      </c>
      <c r="I15" s="6" t="n">
        <v>93275</v>
      </c>
      <c r="J15" s="6" t="n">
        <v>99700</v>
      </c>
      <c r="K15" s="6" t="n">
        <v>92648</v>
      </c>
    </row>
    <row r="16">
      <c r="A16" s="5" t="inlineStr">
        <is>
          <t>Total Assets</t>
        </is>
      </c>
      <c r="B16" s="5" t="n">
        <v>35956037</v>
      </c>
      <c r="C16" s="5" t="n">
        <v>36147101</v>
      </c>
      <c r="D16" s="5" t="n">
        <v>36293524</v>
      </c>
      <c r="E16" s="5" t="n">
        <v>37194488</v>
      </c>
      <c r="F16" s="5" t="n">
        <v>40154805</v>
      </c>
      <c r="G16" s="5" t="n">
        <v>38940466</v>
      </c>
      <c r="H16" s="5" t="n">
        <v>36369860</v>
      </c>
      <c r="I16" s="5" t="n">
        <v>33535815</v>
      </c>
      <c r="J16" s="5" t="n">
        <v>33576835</v>
      </c>
      <c r="K16" s="5" t="n">
        <v>32972669</v>
      </c>
    </row>
    <row r="17">
      <c r="A17" s="5" t="inlineStr">
        <is>
          <t>Liabilities</t>
        </is>
      </c>
      <c r="B17" s="6" t="n"/>
      <c r="C17" s="6" t="n"/>
      <c r="D17" s="6" t="n"/>
      <c r="E17" s="6" t="n"/>
      <c r="F17" s="6" t="n"/>
      <c r="G17" s="6" t="n"/>
      <c r="H17" s="6" t="n"/>
      <c r="I17" s="6" t="n"/>
      <c r="J17" s="6" t="n"/>
      <c r="K17" s="6" t="n"/>
    </row>
    <row r="18">
      <c r="A18" s="6" t="inlineStr">
        <is>
          <t>Customer accounts</t>
        </is>
      </c>
      <c r="B18" s="6" t="n">
        <v>21227564</v>
      </c>
      <c r="C18" s="6" t="n">
        <v>22043458</v>
      </c>
      <c r="D18" s="6" t="n">
        <v>22687021</v>
      </c>
      <c r="E18" s="6" t="n">
        <v>24113288</v>
      </c>
      <c r="F18" s="6" t="n">
        <v>25374073</v>
      </c>
      <c r="G18" s="6" t="n">
        <v>25034413</v>
      </c>
      <c r="H18" s="6" t="n">
        <v>23169408</v>
      </c>
      <c r="I18" s="6" t="n">
        <v>21897604</v>
      </c>
      <c r="J18" s="6" t="n">
        <v>21344785</v>
      </c>
      <c r="K18" s="6" t="n">
        <v>21572515</v>
      </c>
    </row>
    <row r="19">
      <c r="A19" s="6" t="inlineStr">
        <is>
          <t>Other liabilities</t>
        </is>
      </c>
      <c r="B19" s="6" t="n">
        <v>370311</v>
      </c>
      <c r="C19" s="6" t="n">
        <v>167472</v>
      </c>
      <c r="D19" s="6" t="n">
        <v>131713</v>
      </c>
      <c r="E19" s="6" t="n">
        <v>83947</v>
      </c>
      <c r="F19" s="6" t="n">
        <v>64139</v>
      </c>
      <c r="G19" s="6" t="n">
        <v>167071</v>
      </c>
      <c r="H19" s="6" t="n">
        <v>75034</v>
      </c>
      <c r="I19" s="6" t="n">
        <v>64494</v>
      </c>
      <c r="J19" s="6" t="n">
        <v>85883</v>
      </c>
      <c r="K19" s="6" t="n">
        <v>88824</v>
      </c>
    </row>
    <row r="20">
      <c r="A20" s="5" t="inlineStr">
        <is>
          <t>Total Liabilities</t>
        </is>
      </c>
      <c r="B20" s="5" t="n">
        <v>21597875</v>
      </c>
      <c r="C20" s="5" t="n">
        <v>22210930</v>
      </c>
      <c r="D20" s="5" t="n">
        <v>22818734</v>
      </c>
      <c r="E20" s="5" t="n">
        <v>24197235</v>
      </c>
      <c r="F20" s="5" t="n">
        <v>25438212</v>
      </c>
      <c r="G20" s="5" t="n">
        <v>25201484</v>
      </c>
      <c r="H20" s="5" t="n">
        <v>23244442</v>
      </c>
      <c r="I20" s="5" t="n">
        <v>21962098</v>
      </c>
      <c r="J20" s="5" t="n">
        <v>21430668</v>
      </c>
      <c r="K20" s="5" t="n">
        <v>21661339</v>
      </c>
    </row>
    <row r="21">
      <c r="A21" s="5" t="inlineStr">
        <is>
          <t>Provisions</t>
        </is>
      </c>
      <c r="B21" s="6" t="n"/>
      <c r="C21" s="6" t="n"/>
      <c r="D21" s="6" t="n"/>
      <c r="E21" s="6" t="n"/>
      <c r="F21" s="6" t="n"/>
      <c r="G21" s="6" t="n"/>
      <c r="H21" s="6" t="n"/>
      <c r="I21" s="6" t="n"/>
      <c r="J21" s="6" t="n"/>
      <c r="K21" s="6" t="n"/>
    </row>
    <row r="22">
      <c r="A22" s="6" t="inlineStr">
        <is>
          <t>Deferred tax</t>
        </is>
      </c>
      <c r="B22" s="6" t="n">
        <v>241076</v>
      </c>
      <c r="C22" s="6" t="n">
        <v>188844</v>
      </c>
      <c r="D22" s="6" t="n">
        <v>121158</v>
      </c>
      <c r="E22" s="6" t="n">
        <v>45234</v>
      </c>
      <c r="F22" s="6" t="n">
        <v>540391</v>
      </c>
      <c r="G22" s="6" t="n">
        <v>295993</v>
      </c>
      <c r="H22" s="6" t="n">
        <v>257972</v>
      </c>
      <c r="I22" s="6" t="n">
        <v>4956</v>
      </c>
      <c r="J22" s="6" t="n">
        <v>147721</v>
      </c>
      <c r="K22" s="6" t="n">
        <v>239818</v>
      </c>
    </row>
    <row r="23">
      <c r="A23" s="5" t="inlineStr">
        <is>
          <t>Net Assets</t>
        </is>
      </c>
      <c r="B23" s="5" t="n">
        <v>14117086</v>
      </c>
      <c r="C23" s="5" t="n">
        <v>13747327</v>
      </c>
      <c r="D23" s="5" t="n">
        <v>13353632</v>
      </c>
      <c r="E23" s="5" t="n">
        <v>12952019</v>
      </c>
      <c r="F23" s="5" t="n">
        <v>14176202</v>
      </c>
      <c r="G23" s="5" t="n">
        <v>13442989</v>
      </c>
      <c r="H23" s="5" t="n">
        <v>12867446</v>
      </c>
      <c r="I23" s="5" t="n">
        <v>11568761</v>
      </c>
      <c r="J23" s="5" t="n">
        <v>11998446</v>
      </c>
      <c r="K23" s="5" t="n">
        <v>11071512</v>
      </c>
    </row>
    <row r="24">
      <c r="A24" s="5" t="inlineStr">
        <is>
          <t>Shareholders' Funds</t>
        </is>
      </c>
      <c r="B24" s="6" t="n"/>
      <c r="C24" s="6" t="n"/>
      <c r="D24" s="6" t="n"/>
      <c r="E24" s="6" t="n"/>
      <c r="F24" s="6" t="n"/>
      <c r="G24" s="6" t="n"/>
      <c r="H24" s="6" t="n"/>
      <c r="I24" s="6" t="n"/>
      <c r="J24" s="6" t="n"/>
      <c r="K24" s="6" t="n"/>
    </row>
    <row r="25">
      <c r="A25" s="6" t="inlineStr">
        <is>
          <t>Called up equity share capital</t>
        </is>
      </c>
      <c r="B25" s="6" t="n">
        <v>1197</v>
      </c>
      <c r="C25" s="6" t="n">
        <v>1197</v>
      </c>
      <c r="D25" s="6" t="n">
        <v>1197</v>
      </c>
      <c r="E25" s="6" t="n">
        <v>1197</v>
      </c>
      <c r="F25" s="6" t="n">
        <v>1197</v>
      </c>
      <c r="G25" s="6" t="n">
        <v>1197</v>
      </c>
      <c r="H25" s="6" t="n">
        <v>1197</v>
      </c>
      <c r="I25" s="6" t="n">
        <v>1197</v>
      </c>
      <c r="J25" s="6" t="n">
        <v>1197</v>
      </c>
      <c r="K25" s="6" t="n">
        <v>1197</v>
      </c>
    </row>
    <row r="26">
      <c r="A26" s="6" t="inlineStr">
        <is>
          <t>Reserves</t>
        </is>
      </c>
      <c r="B26" s="6" t="n">
        <v>14115889</v>
      </c>
      <c r="C26" s="6" t="n">
        <v>13746130</v>
      </c>
      <c r="D26" s="6" t="n">
        <v>13352435</v>
      </c>
      <c r="E26" s="6" t="n">
        <v>12950822</v>
      </c>
      <c r="F26" s="6" t="n">
        <v>14175005</v>
      </c>
      <c r="G26" s="6" t="n">
        <v>13441792</v>
      </c>
      <c r="H26" s="6" t="n">
        <v>12866249</v>
      </c>
      <c r="I26" s="6" t="n">
        <v>11567564</v>
      </c>
      <c r="J26" s="6" t="n">
        <v>11997249</v>
      </c>
      <c r="K26" s="6" t="n">
        <v>11070315</v>
      </c>
    </row>
    <row r="27">
      <c r="A27" s="5" t="inlineStr">
        <is>
          <t>Total equity</t>
        </is>
      </c>
      <c r="B27" s="5" t="n">
        <v>14117086</v>
      </c>
      <c r="C27" s="5" t="n">
        <v>13747327</v>
      </c>
      <c r="D27" s="5" t="n">
        <v>13353632</v>
      </c>
      <c r="E27" s="5" t="n">
        <v>12952019</v>
      </c>
      <c r="F27" s="5" t="n">
        <v>14176202</v>
      </c>
      <c r="G27" s="5" t="n">
        <v>13442989</v>
      </c>
      <c r="H27" s="5" t="n">
        <v>12867446</v>
      </c>
      <c r="I27" s="5" t="n">
        <v>11568761</v>
      </c>
      <c r="J27" s="5" t="n">
        <v>11998446</v>
      </c>
      <c r="K27" s="5" t="n">
        <v>11071512</v>
      </c>
    </row>
    <row r="29" ht="230" customHeight="1">
      <c r="A29"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9:K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Income and Retained Earnings</t>
        </is>
      </c>
    </row>
    <row r="2">
      <c r="A2" s="2" t="inlineStr">
        <is>
          <t>Entity-level basis, £. FY2025 covers the 9 months ended 30 September 2025; all other years are 12-month periods.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Income</t>
        </is>
      </c>
      <c r="B4" s="6" t="n"/>
      <c r="C4" s="6" t="n"/>
      <c r="D4" s="6" t="n"/>
      <c r="E4" s="6" t="n"/>
      <c r="F4" s="6" t="n"/>
      <c r="G4" s="6" t="n"/>
      <c r="H4" s="6" t="n"/>
      <c r="I4" s="6" t="n"/>
      <c r="J4" s="6" t="n"/>
      <c r="K4" s="6" t="n"/>
    </row>
    <row r="5">
      <c r="A5" s="6" t="inlineStr">
        <is>
          <t>Interest receivable - on loans</t>
        </is>
      </c>
      <c r="B5" s="6" t="n">
        <v>364536</v>
      </c>
      <c r="C5" s="6" t="n">
        <v>542736</v>
      </c>
      <c r="D5" s="6" t="n">
        <v>485539</v>
      </c>
      <c r="E5" s="6" t="n">
        <v>241994</v>
      </c>
      <c r="F5" s="6" t="n">
        <v>226796</v>
      </c>
      <c r="G5" s="6" t="n">
        <v>238045</v>
      </c>
      <c r="H5" s="6" t="n">
        <v>216819</v>
      </c>
      <c r="I5" s="6" t="n">
        <v>188593</v>
      </c>
      <c r="J5" s="6" t="n">
        <v>150120</v>
      </c>
      <c r="K5" s="6" t="n">
        <v>140331</v>
      </c>
    </row>
    <row r="6">
      <c r="A6" s="6" t="inlineStr">
        <is>
          <t>Interest receivable - on debt securities</t>
        </is>
      </c>
      <c r="B6" s="6" t="n">
        <v>254891</v>
      </c>
      <c r="C6" s="6" t="n">
        <v>351721</v>
      </c>
      <c r="D6" s="6" t="n">
        <v>346423</v>
      </c>
      <c r="E6" s="6" t="n">
        <v>292232</v>
      </c>
      <c r="F6" s="6" t="n">
        <v>297207</v>
      </c>
      <c r="G6" s="6" t="n">
        <v>310571</v>
      </c>
      <c r="H6" s="6" t="n">
        <v>321383</v>
      </c>
      <c r="I6" s="6" t="n">
        <v>322478</v>
      </c>
      <c r="J6" s="6" t="n">
        <v>326582</v>
      </c>
      <c r="K6" s="6" t="n">
        <v>329862</v>
      </c>
    </row>
    <row r="7">
      <c r="A7" s="6" t="inlineStr">
        <is>
          <t>Interest receivable - on bank and building society deposits</t>
        </is>
      </c>
      <c r="B7" s="6" t="n">
        <v>301668</v>
      </c>
      <c r="C7" s="6" t="n">
        <v>412981</v>
      </c>
      <c r="D7" s="6" t="n">
        <v>347139</v>
      </c>
      <c r="E7" s="6" t="n">
        <v>114132</v>
      </c>
      <c r="F7" s="6" t="n">
        <v>11584</v>
      </c>
      <c r="G7" s="6" t="n">
        <v>42272</v>
      </c>
      <c r="H7" s="6" t="n">
        <v>71244</v>
      </c>
      <c r="I7" s="6" t="n">
        <v>57941</v>
      </c>
      <c r="J7" s="6" t="n">
        <v>42354</v>
      </c>
      <c r="K7" s="6" t="n">
        <v>89504</v>
      </c>
    </row>
    <row r="8">
      <c r="A8" s="6" t="inlineStr">
        <is>
          <t>Interest payable to depositors</t>
        </is>
      </c>
      <c r="B8" s="6" t="n">
        <v>-513856</v>
      </c>
      <c r="C8" s="6" t="n">
        <v>-702772</v>
      </c>
      <c r="D8" s="6" t="n">
        <v>-570746</v>
      </c>
      <c r="E8" s="6" t="n">
        <v>-167638</v>
      </c>
      <c r="F8" s="6" t="n">
        <v>-158940</v>
      </c>
      <c r="G8" s="6" t="n">
        <v>-218608</v>
      </c>
      <c r="H8" s="6" t="n">
        <v>-229881</v>
      </c>
      <c r="I8" s="6" t="n">
        <v>-206421</v>
      </c>
      <c r="J8" s="6" t="n">
        <v>-182991</v>
      </c>
      <c r="K8" s="6" t="n">
        <v>-263234</v>
      </c>
    </row>
    <row r="9">
      <c r="A9" s="6" t="inlineStr">
        <is>
          <t>Interest payable - amortisation of debt securities</t>
        </is>
      </c>
      <c r="B9" s="6" t="n">
        <v>-12204</v>
      </c>
      <c r="C9" s="6" t="n">
        <v>-55620</v>
      </c>
      <c r="D9" s="6" t="n">
        <v>-101184</v>
      </c>
      <c r="E9" s="6" t="n">
        <v>-87073</v>
      </c>
      <c r="F9" s="6" t="n">
        <v>-86814</v>
      </c>
      <c r="G9" s="6" t="n">
        <v>-96429</v>
      </c>
      <c r="H9" s="6" t="n">
        <v>-69882</v>
      </c>
      <c r="I9" s="6" t="n">
        <v>-61467</v>
      </c>
      <c r="J9" s="6" t="n">
        <v>-54842</v>
      </c>
      <c r="K9" s="6" t="n">
        <v>-52449</v>
      </c>
    </row>
    <row r="10">
      <c r="A10" s="6" t="inlineStr">
        <is>
          <t>Dividend income from equity shares</t>
        </is>
      </c>
      <c r="B10" s="6" t="n">
        <v>149236</v>
      </c>
      <c r="C10" s="6" t="n">
        <v>186640</v>
      </c>
      <c r="D10" s="6" t="n">
        <v>172192</v>
      </c>
      <c r="E10" s="6" t="n">
        <v>226757</v>
      </c>
      <c r="F10" s="6" t="n">
        <v>220001</v>
      </c>
      <c r="G10" s="6" t="n">
        <v>190548</v>
      </c>
      <c r="H10" s="6" t="n">
        <v>259323</v>
      </c>
      <c r="I10" s="6" t="n">
        <v>261860</v>
      </c>
      <c r="J10" s="6" t="n">
        <v>271126</v>
      </c>
      <c r="K10" s="6" t="n">
        <v>287571</v>
      </c>
    </row>
    <row r="11">
      <c r="A11" s="6" t="inlineStr">
        <is>
          <t>Investment gains/(losses) on debt securities</t>
        </is>
      </c>
      <c r="B11" s="6" t="n"/>
      <c r="C11" s="6" t="n">
        <v>-371214</v>
      </c>
      <c r="D11" s="6" t="n">
        <v>-27579</v>
      </c>
      <c r="E11" s="6" t="n">
        <v>-12251</v>
      </c>
      <c r="F11" s="6" t="n">
        <v>-30549</v>
      </c>
      <c r="G11" s="6" t="n">
        <v>328406</v>
      </c>
      <c r="H11" s="6" t="n">
        <v>4366</v>
      </c>
      <c r="I11" s="6" t="n">
        <v>37062</v>
      </c>
      <c r="J11" s="6" t="n">
        <v>4681</v>
      </c>
      <c r="K11" s="6" t="n">
        <v>24643</v>
      </c>
    </row>
    <row r="12">
      <c r="A12" s="6" t="inlineStr">
        <is>
          <t>Fees and commissions payable to Investment Manager</t>
        </is>
      </c>
      <c r="B12" s="6" t="n">
        <v>-32837</v>
      </c>
      <c r="C12" s="6" t="n">
        <v>-3575</v>
      </c>
      <c r="D12" s="6" t="n">
        <v>-19845</v>
      </c>
      <c r="E12" s="6" t="n">
        <v>-37299</v>
      </c>
      <c r="F12" s="6" t="n">
        <v>-29476</v>
      </c>
      <c r="G12" s="6" t="n">
        <v>-43050</v>
      </c>
      <c r="H12" s="6" t="n">
        <v>-43816</v>
      </c>
      <c r="I12" s="6" t="n">
        <v>-51541</v>
      </c>
      <c r="J12" s="6" t="n">
        <v>-52371</v>
      </c>
      <c r="K12" s="6" t="n">
        <v>-66220</v>
      </c>
    </row>
    <row r="13">
      <c r="A13" s="6" t="inlineStr">
        <is>
          <t>Other operating income</t>
        </is>
      </c>
      <c r="B13" s="6" t="n">
        <v>4302</v>
      </c>
      <c r="C13" s="6" t="n">
        <v>4900</v>
      </c>
      <c r="D13" s="6" t="n">
        <v>6543</v>
      </c>
      <c r="E13" s="6" t="n">
        <v>11797</v>
      </c>
      <c r="F13" s="6" t="n">
        <v>177145</v>
      </c>
      <c r="G13" s="6" t="n">
        <v>2924</v>
      </c>
      <c r="H13" s="6" t="n">
        <v>5692</v>
      </c>
      <c r="I13" s="6" t="n">
        <v>3666</v>
      </c>
      <c r="J13" s="6" t="n">
        <v>7218</v>
      </c>
      <c r="K13" s="6" t="n">
        <v>3925</v>
      </c>
    </row>
    <row r="14">
      <c r="A14" s="5" t="inlineStr">
        <is>
          <t>Total income</t>
        </is>
      </c>
      <c r="B14" s="5" t="n">
        <v>515736</v>
      </c>
      <c r="C14" s="5" t="n">
        <v>365797</v>
      </c>
      <c r="D14" s="5" t="n">
        <v>638482</v>
      </c>
      <c r="E14" s="5" t="n">
        <v>582651</v>
      </c>
      <c r="F14" s="5" t="n">
        <v>626954</v>
      </c>
      <c r="G14" s="5" t="n">
        <v>754679</v>
      </c>
      <c r="H14" s="5" t="n">
        <v>535248</v>
      </c>
      <c r="I14" s="5" t="n">
        <v>552171</v>
      </c>
      <c r="J14" s="5" t="n">
        <v>511877</v>
      </c>
      <c r="K14" s="5" t="n">
        <v>493933</v>
      </c>
    </row>
    <row r="15">
      <c r="A15" s="6" t="inlineStr">
        <is>
          <t>Administrative expenses - staff costs</t>
        </is>
      </c>
      <c r="B15" s="6" t="n">
        <v>-241735</v>
      </c>
      <c r="C15" s="6" t="n">
        <v>-310501</v>
      </c>
      <c r="D15" s="6" t="n">
        <v>-281131</v>
      </c>
      <c r="E15" s="6" t="n">
        <v>-236031</v>
      </c>
      <c r="F15" s="6" t="n">
        <v>-202930</v>
      </c>
      <c r="G15" s="6" t="n">
        <v>-205751</v>
      </c>
      <c r="H15" s="6" t="n">
        <v>-198443</v>
      </c>
      <c r="I15" s="6" t="n">
        <v>-191928</v>
      </c>
      <c r="J15" s="6" t="n">
        <v>-180526</v>
      </c>
      <c r="K15" s="6" t="n">
        <v>-179379</v>
      </c>
    </row>
    <row r="16">
      <c r="A16" s="6" t="inlineStr">
        <is>
          <t>Administrative expenses - other</t>
        </is>
      </c>
      <c r="B16" s="6" t="n">
        <v>-230594</v>
      </c>
      <c r="C16" s="6" t="n">
        <v>-246970</v>
      </c>
      <c r="D16" s="6" t="n">
        <v>-260190</v>
      </c>
      <c r="E16" s="6" t="n">
        <v>-212268</v>
      </c>
      <c r="F16" s="6" t="n">
        <v>-154761</v>
      </c>
      <c r="G16" s="6" t="n">
        <v>-150767</v>
      </c>
      <c r="H16" s="6" t="n">
        <v>-162438</v>
      </c>
      <c r="I16" s="6" t="n">
        <v>-159701</v>
      </c>
      <c r="J16" s="6" t="n">
        <v>-162332</v>
      </c>
      <c r="K16" s="6" t="n">
        <v>-162246</v>
      </c>
    </row>
    <row r="17">
      <c r="A17" s="5" t="inlineStr">
        <is>
          <t>Total administrative expenses</t>
        </is>
      </c>
      <c r="B17" s="5" t="n">
        <v>-472329</v>
      </c>
      <c r="C17" s="5" t="n">
        <v>-557471</v>
      </c>
      <c r="D17" s="5" t="n">
        <v>-541321</v>
      </c>
      <c r="E17" s="5" t="n">
        <v>-448299</v>
      </c>
      <c r="F17" s="5" t="n">
        <v>-357691</v>
      </c>
      <c r="G17" s="5" t="n">
        <v>-356518</v>
      </c>
      <c r="H17" s="5" t="n">
        <v>-360881</v>
      </c>
      <c r="I17" s="5" t="n">
        <v>-351629</v>
      </c>
      <c r="J17" s="5" t="n">
        <v>-342858</v>
      </c>
      <c r="K17" s="5" t="n">
        <v>-341625</v>
      </c>
    </row>
    <row r="18">
      <c r="A18" s="6" t="inlineStr">
        <is>
          <t>Depreciation and amortisation</t>
        </is>
      </c>
      <c r="B18" s="6" t="n">
        <v>-9635</v>
      </c>
      <c r="C18" s="6" t="n">
        <v>-13288</v>
      </c>
      <c r="D18" s="6" t="n">
        <v>-9937</v>
      </c>
      <c r="E18" s="6" t="n">
        <v>-7168</v>
      </c>
      <c r="F18" s="6" t="n">
        <v>-3633</v>
      </c>
      <c r="G18" s="6" t="n">
        <v>-14732</v>
      </c>
      <c r="H18" s="6" t="n">
        <v>-17132</v>
      </c>
      <c r="I18" s="6" t="n">
        <v>-18651</v>
      </c>
      <c r="J18" s="6" t="n">
        <v>-18377</v>
      </c>
      <c r="K18" s="6" t="n">
        <v>-14038</v>
      </c>
    </row>
    <row r="19">
      <c r="A19" s="5" t="inlineStr">
        <is>
          <t>Operating surplus/(deficit)</t>
        </is>
      </c>
      <c r="B19" s="5" t="n">
        <v>33772</v>
      </c>
      <c r="C19" s="5" t="n">
        <v>-204962</v>
      </c>
      <c r="D19" s="5" t="n">
        <v>87224</v>
      </c>
      <c r="E19" s="5" t="n">
        <v>127184</v>
      </c>
      <c r="F19" s="5" t="n">
        <v>265630</v>
      </c>
      <c r="G19" s="5" t="n">
        <v>383429</v>
      </c>
      <c r="H19" s="5" t="n">
        <v>157235</v>
      </c>
      <c r="I19" s="5" t="n">
        <v>181891</v>
      </c>
      <c r="J19" s="5" t="n">
        <v>150642</v>
      </c>
      <c r="K19" s="5" t="n">
        <v>138270</v>
      </c>
    </row>
    <row r="20">
      <c r="A20" s="6" t="inlineStr">
        <is>
          <t>Fair value adjustment to investments</t>
        </is>
      </c>
      <c r="B20" s="6" t="n">
        <v>385195</v>
      </c>
      <c r="C20" s="6" t="n">
        <v>694496</v>
      </c>
      <c r="D20" s="6" t="n">
        <v>391546</v>
      </c>
      <c r="E20" s="6" t="n">
        <v>-1845411</v>
      </c>
      <c r="F20" s="6" t="n">
        <v>711942</v>
      </c>
      <c r="G20" s="6" t="n">
        <v>318792</v>
      </c>
      <c r="H20" s="6" t="n">
        <v>1402028</v>
      </c>
      <c r="I20" s="6" t="n">
        <v>-754426</v>
      </c>
      <c r="J20" s="6" t="n">
        <v>729845</v>
      </c>
      <c r="K20" s="6" t="n">
        <v>666013</v>
      </c>
    </row>
    <row r="21">
      <c r="A21" s="5" t="inlineStr">
        <is>
          <t>Surplus/(deficit) on ordinary activities before taxation</t>
        </is>
      </c>
      <c r="B21" s="5" t="n">
        <v>418967</v>
      </c>
      <c r="C21" s="5" t="n">
        <v>489534</v>
      </c>
      <c r="D21" s="5" t="n">
        <v>478770</v>
      </c>
      <c r="E21" s="5" t="n">
        <v>-1718227</v>
      </c>
      <c r="F21" s="5" t="n">
        <v>977572</v>
      </c>
      <c r="G21" s="5" t="n">
        <v>702221</v>
      </c>
      <c r="H21" s="5" t="n">
        <v>1559263</v>
      </c>
      <c r="I21" s="5" t="n">
        <v>-572535</v>
      </c>
      <c r="J21" s="5" t="n">
        <v>880487</v>
      </c>
      <c r="K21" s="5" t="n">
        <v>804283</v>
      </c>
    </row>
    <row r="22">
      <c r="A22" s="6" t="inlineStr">
        <is>
          <t>Tax on surplus/(deficit) on ordinary activities</t>
        </is>
      </c>
      <c r="B22" s="6" t="n">
        <v>-47855</v>
      </c>
      <c r="C22" s="6" t="n">
        <v>-94522</v>
      </c>
      <c r="D22" s="6" t="n">
        <v>-75924</v>
      </c>
      <c r="E22" s="6" t="n">
        <v>495157</v>
      </c>
      <c r="F22" s="6" t="n">
        <v>-243291</v>
      </c>
      <c r="G22" s="6" t="n">
        <v>-125620</v>
      </c>
      <c r="H22" s="6" t="n">
        <v>-259537</v>
      </c>
      <c r="I22" s="6" t="n">
        <v>143868</v>
      </c>
      <c r="J22" s="6" t="n">
        <v>47426</v>
      </c>
      <c r="K22" s="6" t="n">
        <v>-46629</v>
      </c>
    </row>
    <row r="23">
      <c r="A23" s="5" t="inlineStr">
        <is>
          <t>Surplus/(deficit) for the period/year and total comprehensive income</t>
        </is>
      </c>
      <c r="B23" s="5" t="n">
        <v>371112</v>
      </c>
      <c r="C23" s="5" t="n">
        <v>395012</v>
      </c>
      <c r="D23" s="5" t="n">
        <v>402846</v>
      </c>
      <c r="E23" s="5" t="n">
        <v>-1223070</v>
      </c>
      <c r="F23" s="5" t="n">
        <v>734281</v>
      </c>
      <c r="G23" s="5" t="n">
        <v>576601</v>
      </c>
      <c r="H23" s="5" t="n">
        <v>1299726</v>
      </c>
      <c r="I23" s="5" t="n">
        <v>-428667</v>
      </c>
      <c r="J23" s="5" t="n">
        <v>927913</v>
      </c>
      <c r="K23" s="5" t="n">
        <v>757654</v>
      </c>
    </row>
    <row r="25" ht="230" customHeight="1">
      <c r="A25"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5:K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Methodist Chapel Aid Limited — Statement of Changes in Equity</t>
        </is>
      </c>
    </row>
    <row r="2">
      <c r="A2" s="2" t="inlineStr">
        <is>
          <t>Entity-level basis, £. Reconstructed from the combined Statement of Income and Retained Earnings, chronological, oldest to newest.</t>
        </is>
      </c>
    </row>
    <row r="3">
      <c r="A3" s="4" t="inlineStr">
        <is>
          <t>Movement</t>
        </is>
      </c>
      <c r="B3" s="4" t="inlineStr">
        <is>
          <t>Called up share capital</t>
        </is>
      </c>
      <c r="C3" s="4" t="inlineStr">
        <is>
          <t>Reserves</t>
        </is>
      </c>
      <c r="D3" s="4" t="inlineStr">
        <is>
          <t>Total equity</t>
        </is>
      </c>
    </row>
    <row r="4">
      <c r="A4" s="5" t="inlineStr">
        <is>
          <t>Balance at 1 January 2016</t>
        </is>
      </c>
      <c r="B4" s="5" t="n">
        <v>1197</v>
      </c>
      <c r="C4" s="5" t="n">
        <v>10313628</v>
      </c>
      <c r="D4" s="5" t="n">
        <v>10314825</v>
      </c>
    </row>
    <row r="5">
      <c r="A5" s="6" t="inlineStr">
        <is>
          <t>Surplus for the year</t>
        </is>
      </c>
      <c r="B5" s="6" t="n"/>
      <c r="C5" s="6" t="n">
        <v>757654</v>
      </c>
      <c r="D5" s="6" t="n">
        <v>757654</v>
      </c>
    </row>
    <row r="6">
      <c r="A6" s="6" t="inlineStr">
        <is>
          <t>Dividends paid and payable</t>
        </is>
      </c>
      <c r="B6" s="6" t="n"/>
      <c r="C6" s="6" t="n">
        <v>-967</v>
      </c>
      <c r="D6" s="6" t="n">
        <v>-967</v>
      </c>
    </row>
    <row r="7">
      <c r="A7" s="5" t="inlineStr">
        <is>
          <t>Balance at 31 December 2016 / 1 January 2017</t>
        </is>
      </c>
      <c r="B7" s="5" t="n">
        <v>1197</v>
      </c>
      <c r="C7" s="5" t="n">
        <v>11070315</v>
      </c>
      <c r="D7" s="5" t="n">
        <v>11071512</v>
      </c>
    </row>
    <row r="8">
      <c r="A8" s="6" t="inlineStr">
        <is>
          <t>Surplus for the year</t>
        </is>
      </c>
      <c r="B8" s="6" t="n"/>
      <c r="C8" s="6" t="n">
        <v>927913</v>
      </c>
      <c r="D8" s="6" t="n">
        <v>927913</v>
      </c>
    </row>
    <row r="9">
      <c r="A9" s="6" t="inlineStr">
        <is>
          <t>Dividends paid and payable</t>
        </is>
      </c>
      <c r="B9" s="6" t="n"/>
      <c r="C9" s="6" t="n">
        <v>-979</v>
      </c>
      <c r="D9" s="6" t="n">
        <v>-979</v>
      </c>
    </row>
    <row r="10">
      <c r="A10" s="5" t="inlineStr">
        <is>
          <t>Balance at 31 December 2017 / 1 January 2018</t>
        </is>
      </c>
      <c r="B10" s="5" t="n">
        <v>1197</v>
      </c>
      <c r="C10" s="5" t="n">
        <v>11997249</v>
      </c>
      <c r="D10" s="5" t="n">
        <v>11998446</v>
      </c>
    </row>
    <row r="11">
      <c r="A11" s="6" t="inlineStr">
        <is>
          <t>Deficit for the year</t>
        </is>
      </c>
      <c r="B11" s="6" t="n"/>
      <c r="C11" s="6" t="n">
        <v>-428667</v>
      </c>
      <c r="D11" s="6" t="n">
        <v>-428667</v>
      </c>
    </row>
    <row r="12">
      <c r="A12" s="6" t="inlineStr">
        <is>
          <t>Dividends paid and payable</t>
        </is>
      </c>
      <c r="B12" s="6" t="n"/>
      <c r="C12" s="6" t="n">
        <v>-1018</v>
      </c>
      <c r="D12" s="6" t="n">
        <v>-1018</v>
      </c>
    </row>
    <row r="13">
      <c r="A13" s="5" t="inlineStr">
        <is>
          <t>Balance at 31 December 2018 / 1 January 2019</t>
        </is>
      </c>
      <c r="B13" s="5" t="n">
        <v>1197</v>
      </c>
      <c r="C13" s="5" t="n">
        <v>11567564</v>
      </c>
      <c r="D13" s="5" t="n">
        <v>11568761</v>
      </c>
    </row>
    <row r="14">
      <c r="A14" s="6" t="inlineStr">
        <is>
          <t>Surplus for the year</t>
        </is>
      </c>
      <c r="B14" s="6" t="n"/>
      <c r="C14" s="6" t="n">
        <v>1299726</v>
      </c>
      <c r="D14" s="6" t="n">
        <v>1299726</v>
      </c>
    </row>
    <row r="15">
      <c r="A15" s="6" t="inlineStr">
        <is>
          <t>Dividends paid and payable</t>
        </is>
      </c>
      <c r="B15" s="6" t="n"/>
      <c r="C15" s="6" t="n">
        <v>-1041</v>
      </c>
      <c r="D15" s="6" t="n">
        <v>-1041</v>
      </c>
    </row>
    <row r="16">
      <c r="A16" s="5" t="inlineStr">
        <is>
          <t>Balance at 31 December 2019 / 1 January 2020</t>
        </is>
      </c>
      <c r="B16" s="5" t="n">
        <v>1197</v>
      </c>
      <c r="C16" s="5" t="n">
        <v>12866249</v>
      </c>
      <c r="D16" s="5" t="n">
        <v>12867446</v>
      </c>
    </row>
    <row r="17">
      <c r="A17" s="6" t="inlineStr">
        <is>
          <t>Surplus for the year</t>
        </is>
      </c>
      <c r="B17" s="6" t="n"/>
      <c r="C17" s="6" t="n">
        <v>576601</v>
      </c>
      <c r="D17" s="6" t="n">
        <v>576601</v>
      </c>
    </row>
    <row r="18">
      <c r="A18" s="6" t="inlineStr">
        <is>
          <t>Dividends paid and payable</t>
        </is>
      </c>
      <c r="B18" s="6" t="n"/>
      <c r="C18" s="6" t="n">
        <v>-1058</v>
      </c>
      <c r="D18" s="6" t="n">
        <v>-1058</v>
      </c>
    </row>
    <row r="19">
      <c r="A19" s="5" t="inlineStr">
        <is>
          <t>Balance at 31 December 2020 / 1 January 2021</t>
        </is>
      </c>
      <c r="B19" s="5" t="n">
        <v>1197</v>
      </c>
      <c r="C19" s="5" t="n">
        <v>13441792</v>
      </c>
      <c r="D19" s="5" t="n">
        <v>13442989</v>
      </c>
    </row>
    <row r="20">
      <c r="A20" s="6" t="inlineStr">
        <is>
          <t>Surplus for the year</t>
        </is>
      </c>
      <c r="B20" s="6" t="n"/>
      <c r="C20" s="6" t="n">
        <v>734281</v>
      </c>
      <c r="D20" s="6" t="n">
        <v>734281</v>
      </c>
    </row>
    <row r="21">
      <c r="A21" s="6" t="inlineStr">
        <is>
          <t>Dividends paid and payable</t>
        </is>
      </c>
      <c r="B21" s="6" t="n"/>
      <c r="C21" s="6" t="n">
        <v>-1068</v>
      </c>
      <c r="D21" s="6" t="n">
        <v>-1068</v>
      </c>
    </row>
    <row r="22">
      <c r="A22" s="5" t="inlineStr">
        <is>
          <t>Balance at 31 December 2021 / 1 January 2022</t>
        </is>
      </c>
      <c r="B22" s="5" t="n">
        <v>1197</v>
      </c>
      <c r="C22" s="5" t="n">
        <v>14175005</v>
      </c>
      <c r="D22" s="5" t="n">
        <v>14176202</v>
      </c>
    </row>
    <row r="23">
      <c r="A23" s="6" t="inlineStr">
        <is>
          <t>Deficit for the year</t>
        </is>
      </c>
      <c r="B23" s="6" t="n"/>
      <c r="C23" s="6" t="n">
        <v>-1223070</v>
      </c>
      <c r="D23" s="6" t="n">
        <v>-1223070</v>
      </c>
    </row>
    <row r="24">
      <c r="A24" s="6" t="inlineStr">
        <is>
          <t>Dividends paid and payable</t>
        </is>
      </c>
      <c r="B24" s="6" t="n"/>
      <c r="C24" s="6" t="n">
        <v>-1113</v>
      </c>
      <c r="D24" s="6" t="n">
        <v>-1113</v>
      </c>
    </row>
    <row r="25">
      <c r="A25" s="5" t="inlineStr">
        <is>
          <t>Balance at 31 December 2022 / 1 January 2023</t>
        </is>
      </c>
      <c r="B25" s="5" t="n">
        <v>1197</v>
      </c>
      <c r="C25" s="5" t="n">
        <v>12950822</v>
      </c>
      <c r="D25" s="5" t="n">
        <v>12952019</v>
      </c>
    </row>
    <row r="26">
      <c r="A26" s="6" t="inlineStr">
        <is>
          <t>Surplus for the year</t>
        </is>
      </c>
      <c r="B26" s="6" t="n"/>
      <c r="C26" s="6" t="n">
        <v>402846</v>
      </c>
      <c r="D26" s="6" t="n">
        <v>402846</v>
      </c>
    </row>
    <row r="27">
      <c r="A27" s="6" t="inlineStr">
        <is>
          <t>Dividends paid and payable</t>
        </is>
      </c>
      <c r="B27" s="6" t="n"/>
      <c r="C27" s="6" t="n">
        <v>-1233</v>
      </c>
      <c r="D27" s="6" t="n">
        <v>-1233</v>
      </c>
    </row>
    <row r="28">
      <c r="A28" s="5" t="inlineStr">
        <is>
          <t>Balance at 31 December 2023 / 1 January 2024</t>
        </is>
      </c>
      <c r="B28" s="5" t="n">
        <v>1197</v>
      </c>
      <c r="C28" s="5" t="n">
        <v>13352435</v>
      </c>
      <c r="D28" s="5" t="n">
        <v>13353632</v>
      </c>
    </row>
    <row r="29">
      <c r="A29" s="6" t="inlineStr">
        <is>
          <t>Surplus for the year</t>
        </is>
      </c>
      <c r="B29" s="6" t="n"/>
      <c r="C29" s="6" t="n">
        <v>395012</v>
      </c>
      <c r="D29" s="6" t="n">
        <v>395012</v>
      </c>
    </row>
    <row r="30">
      <c r="A30" s="6" t="inlineStr">
        <is>
          <t>Dividends paid and payable</t>
        </is>
      </c>
      <c r="B30" s="6" t="n"/>
      <c r="C30" s="6" t="n">
        <v>-1317</v>
      </c>
      <c r="D30" s="6" t="n">
        <v>-1317</v>
      </c>
    </row>
    <row r="31">
      <c r="A31" s="5" t="inlineStr">
        <is>
          <t>Balance at 31 December 2024 / 1 January 2025</t>
        </is>
      </c>
      <c r="B31" s="5" t="n">
        <v>1197</v>
      </c>
      <c r="C31" s="5" t="n">
        <v>13746130</v>
      </c>
      <c r="D31" s="5" t="n">
        <v>13747327</v>
      </c>
    </row>
    <row r="32">
      <c r="A32" s="6" t="inlineStr">
        <is>
          <t>Surplus for the period (9 months)</t>
        </is>
      </c>
      <c r="B32" s="6" t="n"/>
      <c r="C32" s="6" t="n">
        <v>371112</v>
      </c>
      <c r="D32" s="6" t="n">
        <v>371112</v>
      </c>
    </row>
    <row r="33">
      <c r="A33" s="6" t="inlineStr">
        <is>
          <t>Dividends paid and payable</t>
        </is>
      </c>
      <c r="B33" s="6" t="n"/>
      <c r="C33" s="6" t="n">
        <v>-1353</v>
      </c>
      <c r="D33" s="6" t="n">
        <v>-1353</v>
      </c>
    </row>
    <row r="34">
      <c r="A34" s="5" t="inlineStr">
        <is>
          <t>Balance at 30 September 2025</t>
        </is>
      </c>
      <c r="B34" s="5" t="n">
        <v>1197</v>
      </c>
      <c r="C34" s="5" t="n">
        <v>14115889</v>
      </c>
      <c r="D34" s="5" t="n">
        <v>14117086</v>
      </c>
    </row>
    <row r="36" ht="230" customHeight="1">
      <c r="A36"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6:D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5" t="inlineStr">
        <is>
          <t>Net cash generated/(used) from operating activities</t>
        </is>
      </c>
      <c r="B5" s="5" t="n">
        <v>230314</v>
      </c>
      <c r="C5" s="5" t="n">
        <v>429322</v>
      </c>
      <c r="D5" s="5" t="n">
        <v>-3050504</v>
      </c>
      <c r="E5" s="5" t="n">
        <v>-2346030</v>
      </c>
      <c r="F5" s="5" t="n">
        <v>714322</v>
      </c>
      <c r="G5" s="5" t="n">
        <v>2973715</v>
      </c>
      <c r="H5" s="5" t="n">
        <v>-70421</v>
      </c>
      <c r="I5" s="5" t="n">
        <v>-303376</v>
      </c>
      <c r="J5" s="5" t="n">
        <v>-974245</v>
      </c>
      <c r="K5" s="5" t="n">
        <v>161846</v>
      </c>
    </row>
    <row r="6">
      <c r="A6" s="5" t="inlineStr">
        <is>
          <t>Investing activities</t>
        </is>
      </c>
      <c r="B6" s="6" t="n"/>
      <c r="C6" s="6" t="n"/>
      <c r="D6" s="6" t="n"/>
      <c r="E6" s="6" t="n"/>
      <c r="F6" s="6" t="n"/>
      <c r="G6" s="6" t="n"/>
      <c r="H6" s="6" t="n"/>
      <c r="I6" s="6" t="n"/>
      <c r="J6" s="6" t="n"/>
      <c r="K6" s="6" t="n"/>
    </row>
    <row r="7">
      <c r="A7" s="5" t="inlineStr">
        <is>
          <t>Net cash generated/(used) from investing activities</t>
        </is>
      </c>
      <c r="B7" s="5" t="n">
        <v>-249591</v>
      </c>
      <c r="C7" s="5" t="n">
        <v>661933</v>
      </c>
      <c r="D7" s="5" t="n">
        <v>-364592</v>
      </c>
      <c r="E7" s="5" t="n">
        <v>-261027</v>
      </c>
      <c r="F7" s="5" t="n">
        <v>519122</v>
      </c>
      <c r="G7" s="5" t="n">
        <v>-892604</v>
      </c>
      <c r="H7" s="5" t="n">
        <v>4062</v>
      </c>
      <c r="I7" s="5" t="n">
        <v>178019</v>
      </c>
      <c r="J7" s="5" t="n">
        <v>327744</v>
      </c>
      <c r="K7" s="5" t="n">
        <v>171836</v>
      </c>
    </row>
    <row r="8">
      <c r="A8" s="5" t="inlineStr">
        <is>
          <t>Financing activities</t>
        </is>
      </c>
      <c r="B8" s="6" t="n"/>
      <c r="C8" s="6" t="n"/>
      <c r="D8" s="6" t="n"/>
      <c r="E8" s="6" t="n"/>
      <c r="F8" s="6" t="n"/>
      <c r="G8" s="6" t="n"/>
      <c r="H8" s="6" t="n"/>
      <c r="I8" s="6" t="n"/>
      <c r="J8" s="6" t="n"/>
      <c r="K8" s="6" t="n"/>
    </row>
    <row r="9">
      <c r="A9" s="5" t="inlineStr">
        <is>
          <t>Net cash generated/(used) in financing activities</t>
        </is>
      </c>
      <c r="B9" s="5" t="n">
        <v>-1353</v>
      </c>
      <c r="C9" s="5" t="n">
        <v>-1317</v>
      </c>
      <c r="D9" s="5" t="n">
        <v>-1233</v>
      </c>
      <c r="E9" s="5" t="n">
        <v>-1113</v>
      </c>
      <c r="F9" s="5" t="n">
        <v>-1068</v>
      </c>
      <c r="G9" s="5" t="n">
        <v>-1058</v>
      </c>
      <c r="H9" s="5" t="n">
        <v>-1041</v>
      </c>
      <c r="I9" s="5" t="n">
        <v>-1018</v>
      </c>
      <c r="J9" s="5" t="n">
        <v>-979</v>
      </c>
      <c r="K9" s="5" t="n">
        <v>-967</v>
      </c>
    </row>
    <row r="10">
      <c r="A10" s="5" t="inlineStr">
        <is>
          <t>Net increase/(decrease) in cash and cash equivalents</t>
        </is>
      </c>
      <c r="B10" s="5" t="n">
        <v>-20630</v>
      </c>
      <c r="C10" s="5" t="n">
        <v>1089938</v>
      </c>
      <c r="D10" s="5" t="n">
        <v>-3416329</v>
      </c>
      <c r="E10" s="5" t="n">
        <v>-2608170</v>
      </c>
      <c r="F10" s="5" t="n">
        <v>1232376</v>
      </c>
      <c r="G10" s="5" t="n">
        <v>2080053</v>
      </c>
      <c r="H10" s="5" t="n">
        <v>-67400</v>
      </c>
      <c r="I10" s="5" t="n">
        <v>-126375</v>
      </c>
      <c r="J10" s="5" t="n">
        <v>-647480</v>
      </c>
      <c r="K10" s="5" t="n">
        <v>332715</v>
      </c>
    </row>
    <row r="11">
      <c r="A11" s="6" t="inlineStr">
        <is>
          <t>Cash and cash equivalents at the beginning of year/period</t>
        </is>
      </c>
      <c r="B11" s="6" t="n">
        <v>10187072</v>
      </c>
      <c r="C11" s="6" t="n">
        <v>9097134</v>
      </c>
      <c r="D11" s="6" t="n">
        <v>12513463</v>
      </c>
      <c r="E11" s="6" t="n">
        <v>15121633</v>
      </c>
      <c r="F11" s="6" t="n">
        <v>13889257</v>
      </c>
      <c r="G11" s="6" t="n">
        <v>11809204</v>
      </c>
      <c r="H11" s="6" t="n">
        <v>11876604</v>
      </c>
      <c r="I11" s="6" t="n">
        <v>12002979</v>
      </c>
      <c r="J11" s="6" t="n">
        <v>12650459</v>
      </c>
      <c r="K11" s="6" t="n">
        <v>12317744</v>
      </c>
    </row>
    <row r="12">
      <c r="A12" s="5" t="inlineStr">
        <is>
          <t>Cash and cash equivalents at the end of year/period</t>
        </is>
      </c>
      <c r="B12" s="5" t="n">
        <v>10166442</v>
      </c>
      <c r="C12" s="5" t="n">
        <v>10187072</v>
      </c>
      <c r="D12" s="5" t="n">
        <v>9097134</v>
      </c>
      <c r="E12" s="5" t="n">
        <v>12513463</v>
      </c>
      <c r="F12" s="5" t="n">
        <v>15121633</v>
      </c>
      <c r="G12" s="5" t="n">
        <v>13889257</v>
      </c>
      <c r="H12" s="5" t="n">
        <v>11809204</v>
      </c>
      <c r="I12" s="5" t="n">
        <v>11876604</v>
      </c>
      <c r="J12" s="5" t="n">
        <v>12002979</v>
      </c>
      <c r="K12" s="5" t="n">
        <v>12650459</v>
      </c>
    </row>
    <row r="14" ht="190"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FY2020: Companies House full accounts to 31 December 2020 (filed 13 May 2021), Statement of Cash Flows p. 27 - https://find-and-update.company-information.service.gov.uk/company/00030546/filing-history/MzMwMDQ2Njg3M2FkaXF6a2N4/document?format=pdf&amp;download=0
FY2019: Companies House full accounts to 31 December 2020 comparative, p. 27 - https://find-and-update.company-information.service.gov.uk/company/00030546/filing-history/MzMwMDQ2Njg3M2FkaXF6a2N4/document?format=pdf&amp;download=0
FY2018: Companies House full accounts to 31 December 2018 (filed 10 May 2019), Statement of Cash Flows p. 25 - https://find-and-update.company-information.service.gov.uk/company/00030546/filing-history/MzIzMzkxMzU5MGFkaXF6a2N4/document?format=pdf&amp;download=0
FY2017: Companies House full accounts to 31 December 2018 comparative, p. 25 - https://find-and-update.company-information.service.gov.uk/company/00030546/filing-history/MzIzMzkxMzU5MGFkaXF6a2N4/document?format=pdf&amp;download=0
FY2016: Companies House full accounts to 31 December 2016 (filed 11 May 2017), Statement of Cash Flows p. 23 - https://find-and-update.company-information.service.gov.uk/company/00030546/filing-history/MzE3NTQ2MDUyOWFkaXF6a2N4/document?format=pdf&amp;download=0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4:K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Asset Quality</t>
        </is>
      </c>
    </row>
    <row r="2">
      <c r="A2" s="2" t="inlineStr">
        <is>
          <t>Entity-level basis, £. FRS 102 reporting - no IFRS 9 Stage 1/2/3 split disclosed; credit quality shown via product/security split and a single collective provision for bad debts.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 book by product (gross)</t>
        </is>
      </c>
      <c r="B4" s="6" t="n"/>
      <c r="C4" s="6" t="n"/>
      <c r="D4" s="6" t="n"/>
      <c r="E4" s="6" t="n"/>
      <c r="F4" s="6" t="n"/>
      <c r="G4" s="6" t="n"/>
      <c r="H4" s="6" t="n"/>
      <c r="I4" s="6" t="n"/>
      <c r="J4" s="6" t="n"/>
      <c r="K4" s="6" t="n"/>
    </row>
    <row r="5">
      <c r="A5" s="6" t="inlineStr">
        <is>
          <t>Property loans - secured</t>
        </is>
      </c>
      <c r="B5" s="6" t="n">
        <v>6882826</v>
      </c>
      <c r="C5" s="6" t="n">
        <v>7487986</v>
      </c>
      <c r="D5" s="6" t="n">
        <v>7265355</v>
      </c>
      <c r="E5" s="6" t="n">
        <v>7037375</v>
      </c>
      <c r="F5" s="6" t="n">
        <v>5840927</v>
      </c>
      <c r="G5" s="6" t="n">
        <v>6141270</v>
      </c>
      <c r="H5" s="6" t="n">
        <v>6821441</v>
      </c>
      <c r="I5" s="6" t="n">
        <v>5789736</v>
      </c>
      <c r="J5" s="6" t="n">
        <v>4159580</v>
      </c>
      <c r="K5" s="6" t="n">
        <v>3532033</v>
      </c>
    </row>
    <row r="6">
      <c r="A6" s="6" t="inlineStr">
        <is>
          <t>Property loans - unsecured</t>
        </is>
      </c>
      <c r="B6" s="6" t="n">
        <v>1375657</v>
      </c>
      <c r="C6" s="6" t="n">
        <v>1644631</v>
      </c>
      <c r="D6" s="6" t="n">
        <v>3055122</v>
      </c>
      <c r="E6" s="6" t="n">
        <v>1432495</v>
      </c>
      <c r="F6" s="6" t="n">
        <v>1346352</v>
      </c>
      <c r="G6" s="6" t="n">
        <v>1160251</v>
      </c>
      <c r="H6" s="6" t="n">
        <v>1039071</v>
      </c>
      <c r="I6" s="6" t="n">
        <v>477458</v>
      </c>
      <c r="J6" s="6" t="n">
        <v>972672</v>
      </c>
      <c r="K6" s="6" t="n">
        <v>643066</v>
      </c>
    </row>
    <row r="7">
      <c r="A7" s="5" t="inlineStr">
        <is>
          <t>Property loans - total</t>
        </is>
      </c>
      <c r="B7" s="5" t="n">
        <v>8258483</v>
      </c>
      <c r="C7" s="5" t="n">
        <v>9132617</v>
      </c>
      <c r="D7" s="5" t="n">
        <v>10320477</v>
      </c>
      <c r="E7" s="5" t="n">
        <v>8469870</v>
      </c>
      <c r="F7" s="5" t="n">
        <v>7187279</v>
      </c>
      <c r="G7" s="5" t="n">
        <v>7301521</v>
      </c>
      <c r="H7" s="5" t="n">
        <v>7860512</v>
      </c>
      <c r="I7" s="5" t="n">
        <v>6267194</v>
      </c>
      <c r="J7" s="5" t="n">
        <v>5132252</v>
      </c>
      <c r="K7" s="5" t="n">
        <v>4175099</v>
      </c>
    </row>
    <row r="8">
      <c r="A8" s="6" t="inlineStr">
        <is>
          <t>Car loans - unsecured</t>
        </is>
      </c>
      <c r="B8" s="6" t="n">
        <v>4250</v>
      </c>
      <c r="C8" s="6" t="n">
        <v>6250</v>
      </c>
      <c r="D8" s="6" t="n">
        <v>9833</v>
      </c>
      <c r="E8" s="6" t="n">
        <v>16028</v>
      </c>
      <c r="F8" s="6" t="n">
        <v>10319</v>
      </c>
      <c r="G8" s="6" t="n">
        <v>13400</v>
      </c>
      <c r="H8" s="6" t="n">
        <v>28282</v>
      </c>
      <c r="I8" s="6" t="n">
        <v>49302</v>
      </c>
      <c r="J8" s="6" t="n">
        <v>80686</v>
      </c>
      <c r="K8" s="6" t="n">
        <v>123190</v>
      </c>
    </row>
    <row r="9">
      <c r="A9" s="5" t="inlineStr">
        <is>
          <t>Total loans and advances (gross)</t>
        </is>
      </c>
      <c r="B9" s="5" t="n">
        <v>8262733</v>
      </c>
      <c r="C9" s="5" t="n">
        <v>9138867</v>
      </c>
      <c r="D9" s="5" t="n">
        <v>10330310</v>
      </c>
      <c r="E9" s="5" t="n">
        <v>8485898</v>
      </c>
      <c r="F9" s="5" t="n">
        <v>7197598</v>
      </c>
      <c r="G9" s="5" t="n">
        <v>7314921</v>
      </c>
      <c r="H9" s="5" t="n">
        <v>7888794</v>
      </c>
      <c r="I9" s="5" t="n">
        <v>6316496</v>
      </c>
      <c r="J9" s="5" t="n">
        <v>5212938</v>
      </c>
      <c r="K9" s="5" t="n">
        <v>4298289</v>
      </c>
    </row>
    <row r="10">
      <c r="A10" s="6" t="inlineStr">
        <is>
          <t>Provision for bad debts</t>
        </is>
      </c>
      <c r="B10" s="6" t="n">
        <v>-106</v>
      </c>
      <c r="C10" s="6" t="n">
        <v>-156</v>
      </c>
      <c r="D10" s="6" t="n">
        <v>-246</v>
      </c>
      <c r="E10" s="6" t="n">
        <v>-401</v>
      </c>
      <c r="F10" s="6" t="n">
        <v>-258</v>
      </c>
      <c r="G10" s="6" t="n">
        <v>-335</v>
      </c>
      <c r="H10" s="6" t="n">
        <v>-707</v>
      </c>
      <c r="I10" s="6" t="n">
        <v>-1232</v>
      </c>
      <c r="J10" s="6" t="n">
        <v>-2017</v>
      </c>
      <c r="K10" s="6" t="n">
        <v>-3080</v>
      </c>
    </row>
    <row r="11">
      <c r="A11" s="5" t="inlineStr">
        <is>
          <t>Total loans and advances (net)</t>
        </is>
      </c>
      <c r="B11" s="5" t="n">
        <v>8262627</v>
      </c>
      <c r="C11" s="5" t="n">
        <v>9138711</v>
      </c>
      <c r="D11" s="5" t="n">
        <v>10330064</v>
      </c>
      <c r="E11" s="5" t="n">
        <v>8485497</v>
      </c>
      <c r="F11" s="5" t="n">
        <v>7197340</v>
      </c>
      <c r="G11" s="5" t="n">
        <v>7314586</v>
      </c>
      <c r="H11" s="5" t="n">
        <v>7888087</v>
      </c>
      <c r="I11" s="5" t="n">
        <v>6315264</v>
      </c>
      <c r="J11" s="5" t="n">
        <v>5210921</v>
      </c>
      <c r="K11" s="5" t="n">
        <v>4295209</v>
      </c>
    </row>
    <row r="12">
      <c r="A12" s="5" t="inlineStr">
        <is>
          <t>Maturity profile of loans and advances (net)</t>
        </is>
      </c>
      <c r="B12" s="6" t="n"/>
      <c r="C12" s="6" t="n"/>
      <c r="D12" s="6" t="n"/>
      <c r="E12" s="6" t="n"/>
      <c r="F12" s="6" t="n"/>
      <c r="G12" s="6" t="n"/>
      <c r="H12" s="6" t="n"/>
      <c r="I12" s="6" t="n"/>
      <c r="J12" s="6" t="n"/>
      <c r="K12" s="6" t="n"/>
    </row>
    <row r="13">
      <c r="A13" s="6" t="inlineStr">
        <is>
          <t>Due within 3 months</t>
        </is>
      </c>
      <c r="B13" s="6" t="n">
        <v>480809</v>
      </c>
      <c r="C13" s="6" t="n">
        <v>350750</v>
      </c>
      <c r="D13" s="6" t="n">
        <v>1449455</v>
      </c>
      <c r="E13" s="6" t="n">
        <v>1861</v>
      </c>
      <c r="F13" s="6" t="n">
        <v>1848</v>
      </c>
      <c r="G13" s="6" t="n">
        <v>57672</v>
      </c>
      <c r="H13" s="6" t="n">
        <v>488356</v>
      </c>
      <c r="I13" s="6" t="n">
        <v>8880</v>
      </c>
      <c r="J13" s="6" t="n">
        <v>12201</v>
      </c>
      <c r="K13" s="6" t="n">
        <v>9959</v>
      </c>
    </row>
    <row r="14">
      <c r="A14" s="6" t="inlineStr">
        <is>
          <t>In more than 3 months but not more than 1 year</t>
        </is>
      </c>
      <c r="B14" s="6" t="n">
        <v>1166309</v>
      </c>
      <c r="C14" s="6" t="n">
        <v>1907530</v>
      </c>
      <c r="D14" s="6" t="n">
        <v>2103477</v>
      </c>
      <c r="E14" s="6" t="n">
        <v>2223451</v>
      </c>
      <c r="F14" s="6" t="n">
        <v>364515</v>
      </c>
      <c r="G14" s="6" t="n">
        <v>672303</v>
      </c>
      <c r="H14" s="6" t="n">
        <v>588968</v>
      </c>
      <c r="I14" s="6" t="n">
        <v>1190672</v>
      </c>
      <c r="J14" s="6" t="n">
        <v>1211741</v>
      </c>
      <c r="K14" s="6" t="n">
        <v>1183851</v>
      </c>
    </row>
    <row r="15">
      <c r="A15" s="6" t="inlineStr">
        <is>
          <t>In more than 1 year but not more than 5 years</t>
        </is>
      </c>
      <c r="B15" s="6" t="n">
        <v>3075037</v>
      </c>
      <c r="C15" s="6" t="n">
        <v>3184280</v>
      </c>
      <c r="D15" s="6" t="n">
        <v>3463531</v>
      </c>
      <c r="E15" s="6" t="n">
        <v>3069212</v>
      </c>
      <c r="F15" s="6" t="n">
        <v>3182168</v>
      </c>
      <c r="G15" s="6" t="n">
        <v>2328530</v>
      </c>
      <c r="H15" s="6" t="n">
        <v>1827551</v>
      </c>
      <c r="I15" s="6" t="n">
        <v>1796008</v>
      </c>
      <c r="J15" s="6" t="n">
        <v>1588387</v>
      </c>
      <c r="K15" s="6" t="n">
        <v>1241379</v>
      </c>
    </row>
    <row r="16">
      <c r="A16" s="6" t="inlineStr">
        <is>
          <t>In more than 5 years</t>
        </is>
      </c>
      <c r="B16" s="6" t="n">
        <v>3540578</v>
      </c>
      <c r="C16" s="6" t="n">
        <v>3696307</v>
      </c>
      <c r="D16" s="6" t="n">
        <v>3313847</v>
      </c>
      <c r="E16" s="6" t="n">
        <v>3191374</v>
      </c>
      <c r="F16" s="6" t="n">
        <v>3649067</v>
      </c>
      <c r="G16" s="6" t="n">
        <v>4256416</v>
      </c>
      <c r="H16" s="6" t="n">
        <v>4983919</v>
      </c>
      <c r="I16" s="6" t="n">
        <v>3320936</v>
      </c>
      <c r="J16" s="6" t="n">
        <v>2400609</v>
      </c>
      <c r="K16" s="6" t="n">
        <v>1863100</v>
      </c>
    </row>
    <row r="18" ht="210" customHeight="1">
      <c r="A18" s="8" t="inlineStr">
        <is>
          <t>Sources - Methodist Chapel Aid Limited entity-level loan book detail, Note 11/13 Debtors (Loans and advances to customers), £:
FY2025 and FY2024 comparative: MCA Annual report and accounts 2025, Note 11, pp.49-50 - https://www.mcafundingforchurches.co.uk/media/4bcl2vk5/mca-ar-2025.pdf
FY2023 comparative: MCA Annual report and accounts 2024, Note 11, pp.47-48 - https://www.mcafundingforchurches.co.uk/media/keybconk/annual-report-2024.pdf
FY2022 and FY2021 comparative: MCA Annual report and accounts 2022, Note 13, pp.48-49 - https://www.mcafundingforchurches.co.uk/sitefiles/resources/pdf/annualreport2022.pdf
FY2020: Companies House full accounts to 31 December 2020, Note 13, p.36 - https://find-and-update.company-information.service.gov.uk/company/00030546/filing-history/MzMwMDQ2Njg3M2FkaXF6a2N4/document?format=pdf&amp;download=0
FY2019 comparative: Companies House full accounts to 31 December 2020, Note 13, p.36 - https://find-and-update.company-information.service.gov.uk/company/00030546/filing-history/MzMwMDQ2Njg3M2FkaXF6a2N4/document?format=pdf&amp;download=0
FY2018: Companies House full accounts to 31 December 2018, Note 13, p.34 - https://find-and-update.company-information.service.gov.uk/company/00030546/filing-history/MzIzMzkxMzU5MGFkaXF6a2N4/document?format=pdf&amp;download=0
FY2017 comparative: Companies House full accounts to 31 December 2018, Note 13, p.34 - https://find-and-update.company-information.service.gov.uk/company/00030546/filing-history/MzIzMzkxMzU5MGFkaXF6a2N4/document?format=pdf&amp;download=0
FY2016: Companies House full accounts to 31 December 2016, Note 13, p.32 - https://find-and-update.company-information.service.gov.uk/company/00030546/filing-history/MzE3NTQ2MDUyOWFkaXF6a2N4/document?format=pdf&amp;download=0
Note: the Company applies FRS 102 (not IFRS 9), so no Stage 1/2/3 ECL split is disclosed - credit quality is shown instead via the Company's own product/security split and a single collective 'Provision for bad debts' balance. No past-due/impaired-loan analysis beyond the provision balance was located.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8:K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KM1 Key Metrics</t>
        </is>
      </c>
    </row>
    <row r="2">
      <c r="A2" s="2" t="inlineStr">
        <is>
          <t>The Company's own 'Key Metrics table' (section 1.1 of its Pillar 3 Disclosures), reproduced whole in its own row order, labels and printed precision. It is the UK KM1 template but the Company prints no row numbers and never uses the token 'KM1'. Amounts in £'000, ratios as printed. Only the FY2022 and FY2023 editions contain the table; FY2021 is the FY2022 edition's comparative column, because the FY2021 edition exists and carries no such table. FY2024 onward: the Company is an SDDT and is exempt from publishing Pillar 3 disclosures.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Available own funds (amounts)</t>
        </is>
      </c>
      <c r="B4" s="6" t="n"/>
      <c r="C4" s="6" t="n"/>
      <c r="D4" s="6" t="n"/>
      <c r="E4" s="6" t="n"/>
      <c r="F4" s="6" t="n"/>
      <c r="G4" s="6" t="n"/>
      <c r="H4" s="6" t="n"/>
      <c r="I4" s="6" t="n"/>
      <c r="J4" s="6" t="n"/>
      <c r="K4" s="6" t="n"/>
    </row>
    <row r="5">
      <c r="A5" s="6" t="inlineStr">
        <is>
          <t>Common Equity Tier 1 (CET1) capital (£'000)</t>
        </is>
      </c>
      <c r="B5" s="6" t="n"/>
      <c r="C5" s="6" t="n"/>
      <c r="D5" s="6" t="n">
        <v>13354</v>
      </c>
      <c r="E5" s="6" t="n">
        <v>12952</v>
      </c>
      <c r="F5" s="6" t="n">
        <v>13919</v>
      </c>
      <c r="G5" s="6" t="n"/>
      <c r="H5" s="6" t="n"/>
      <c r="I5" s="6" t="n"/>
      <c r="J5" s="6" t="n"/>
      <c r="K5" s="6" t="n"/>
    </row>
    <row r="6">
      <c r="A6" s="6" t="inlineStr">
        <is>
          <t>Tier 1 capital (£'000)</t>
        </is>
      </c>
      <c r="B6" s="6" t="n"/>
      <c r="C6" s="6" t="n"/>
      <c r="D6" s="6" t="n">
        <v>13354</v>
      </c>
      <c r="E6" s="6" t="n">
        <v>12952</v>
      </c>
      <c r="F6" s="6" t="n">
        <v>13919</v>
      </c>
      <c r="G6" s="6" t="n"/>
      <c r="H6" s="6" t="n"/>
      <c r="I6" s="6" t="n"/>
      <c r="J6" s="6" t="n"/>
      <c r="K6" s="6" t="n"/>
    </row>
    <row r="7">
      <c r="A7" s="6" t="inlineStr">
        <is>
          <t>Total capital (£'000)</t>
        </is>
      </c>
      <c r="B7" s="6" t="n"/>
      <c r="C7" s="6" t="n"/>
      <c r="D7" s="6" t="n">
        <v>13354</v>
      </c>
      <c r="E7" s="6" t="n">
        <v>12952</v>
      </c>
      <c r="F7" s="6" t="n">
        <v>13919</v>
      </c>
      <c r="G7" s="6" t="n"/>
      <c r="H7" s="6" t="n"/>
      <c r="I7" s="6" t="n"/>
      <c r="J7" s="6" t="n"/>
      <c r="K7" s="6" t="n"/>
    </row>
    <row r="8">
      <c r="A8" s="5" t="inlineStr">
        <is>
          <t>Risk-weighted exposure amounts</t>
        </is>
      </c>
      <c r="B8" s="6" t="n"/>
      <c r="C8" s="6" t="n"/>
      <c r="D8" s="6" t="n"/>
      <c r="E8" s="6" t="n"/>
      <c r="F8" s="6" t="n"/>
      <c r="G8" s="6" t="n"/>
      <c r="H8" s="6" t="n"/>
      <c r="I8" s="6" t="n"/>
      <c r="J8" s="6" t="n"/>
      <c r="K8" s="6" t="n"/>
    </row>
    <row r="9">
      <c r="A9" s="6" t="inlineStr">
        <is>
          <t>Total risk-weighted exposure amount (£'000)</t>
        </is>
      </c>
      <c r="B9" s="6" t="n"/>
      <c r="C9" s="6" t="n"/>
      <c r="D9" s="6" t="n">
        <v>25253</v>
      </c>
      <c r="E9" s="6" t="n">
        <v>24052</v>
      </c>
      <c r="F9" s="6" t="n">
        <v>26369</v>
      </c>
      <c r="G9" s="6" t="n"/>
      <c r="H9" s="6" t="n"/>
      <c r="I9" s="6" t="n"/>
      <c r="J9" s="6" t="n"/>
      <c r="K9" s="6" t="n"/>
    </row>
    <row r="10">
      <c r="A10" s="5" t="inlineStr">
        <is>
          <t>Capital ratios (as a percentage of risk-weighted exposure amount)</t>
        </is>
      </c>
      <c r="B10" s="6" t="n"/>
      <c r="C10" s="6" t="n"/>
      <c r="D10" s="6" t="n"/>
      <c r="E10" s="6" t="n"/>
      <c r="F10" s="6" t="n"/>
      <c r="G10" s="6" t="n"/>
      <c r="H10" s="6" t="n"/>
      <c r="I10" s="6" t="n"/>
      <c r="J10" s="6" t="n"/>
      <c r="K10" s="6" t="n"/>
    </row>
    <row r="11">
      <c r="A11" s="6" t="inlineStr">
        <is>
          <t>Common Equity Tier 1 (CET1) ratio (%)</t>
        </is>
      </c>
      <c r="B11" s="6" t="n"/>
      <c r="C11" s="6" t="n"/>
      <c r="D11" s="6" t="inlineStr">
        <is>
          <t>52.88%</t>
        </is>
      </c>
      <c r="E11" s="6" t="inlineStr">
        <is>
          <t>53.85%</t>
        </is>
      </c>
      <c r="F11" s="6" t="inlineStr">
        <is>
          <t>52.79%</t>
        </is>
      </c>
      <c r="G11" s="6" t="n"/>
      <c r="H11" s="6" t="n"/>
      <c r="I11" s="6" t="n"/>
      <c r="J11" s="6" t="n"/>
      <c r="K11" s="6" t="n"/>
    </row>
    <row r="12">
      <c r="A12" s="6" t="inlineStr">
        <is>
          <t>Tier 1 ratio (%)</t>
        </is>
      </c>
      <c r="B12" s="6" t="n"/>
      <c r="C12" s="6" t="n"/>
      <c r="D12" s="6" t="inlineStr">
        <is>
          <t>52.88%</t>
        </is>
      </c>
      <c r="E12" s="6" t="inlineStr">
        <is>
          <t>53.85%</t>
        </is>
      </c>
      <c r="F12" s="6" t="inlineStr">
        <is>
          <t>52.79%</t>
        </is>
      </c>
      <c r="G12" s="6" t="n"/>
      <c r="H12" s="6" t="n"/>
      <c r="I12" s="6" t="n"/>
      <c r="J12" s="6" t="n"/>
      <c r="K12" s="6" t="n"/>
    </row>
    <row r="13">
      <c r="A13" s="6" t="inlineStr">
        <is>
          <t>Total capital ratio (%)</t>
        </is>
      </c>
      <c r="B13" s="6" t="n"/>
      <c r="C13" s="6" t="n"/>
      <c r="D13" s="6" t="inlineStr">
        <is>
          <t>52.88%</t>
        </is>
      </c>
      <c r="E13" s="6" t="inlineStr">
        <is>
          <t>53.85%</t>
        </is>
      </c>
      <c r="F13" s="6" t="inlineStr">
        <is>
          <t>52.79%</t>
        </is>
      </c>
      <c r="G13" s="6" t="n"/>
      <c r="H13" s="6" t="n"/>
      <c r="I13" s="6" t="n"/>
      <c r="J13" s="6" t="n"/>
      <c r="K13" s="6" t="n"/>
    </row>
    <row r="14">
      <c r="A14" s="5" t="inlineStr">
        <is>
          <t>Additional own funds requirements based on PRA Supervisory Review Process (C-SREP) (as a percentage of risk-weighted exposure amount)</t>
        </is>
      </c>
      <c r="B14" s="6" t="n"/>
      <c r="C14" s="6" t="n"/>
      <c r="D14" s="6" t="n"/>
      <c r="E14" s="6" t="n"/>
      <c r="F14" s="6" t="n"/>
      <c r="G14" s="6" t="n"/>
      <c r="H14" s="6" t="n"/>
      <c r="I14" s="6" t="n"/>
      <c r="J14" s="6" t="n"/>
      <c r="K14" s="6" t="n"/>
    </row>
    <row r="15">
      <c r="A15" s="6" t="inlineStr">
        <is>
          <t>Additional SREP own funds requirements (%)</t>
        </is>
      </c>
      <c r="B15" s="6" t="n"/>
      <c r="C15" s="6" t="n"/>
      <c r="D15" s="6" t="inlineStr">
        <is>
          <t>0.00%</t>
        </is>
      </c>
      <c r="E15" s="6" t="inlineStr">
        <is>
          <t>0.00%</t>
        </is>
      </c>
      <c r="F15" s="6" t="inlineStr">
        <is>
          <t>0.00%</t>
        </is>
      </c>
      <c r="G15" s="6" t="n"/>
      <c r="H15" s="6" t="n"/>
      <c r="I15" s="6" t="n"/>
      <c r="J15" s="6" t="n"/>
      <c r="K15" s="6" t="n"/>
    </row>
    <row r="16">
      <c r="A16" s="6" t="inlineStr">
        <is>
          <t>Total SREP own funds requirements (%)</t>
        </is>
      </c>
      <c r="B16" s="6" t="n"/>
      <c r="C16" s="6" t="n"/>
      <c r="D16" s="6" t="inlineStr">
        <is>
          <t>18.27%</t>
        </is>
      </c>
      <c r="E16" s="6" t="inlineStr">
        <is>
          <t>18.27%</t>
        </is>
      </c>
      <c r="F16" s="6" t="inlineStr">
        <is>
          <t>18.27%</t>
        </is>
      </c>
      <c r="G16" s="6" t="n"/>
      <c r="H16" s="6" t="n"/>
      <c r="I16" s="6" t="n"/>
      <c r="J16" s="6" t="n"/>
      <c r="K16" s="6" t="n"/>
    </row>
    <row r="17">
      <c r="A17" s="5" t="inlineStr">
        <is>
          <t>Combined buffer requirement (as a percentage of risk-weighted exposure [heading truncated in the source, which omits the word 'amount'])</t>
        </is>
      </c>
      <c r="B17" s="6" t="n"/>
      <c r="C17" s="6" t="n"/>
      <c r="D17" s="6" t="n"/>
      <c r="E17" s="6" t="n"/>
      <c r="F17" s="6" t="n"/>
      <c r="G17" s="6" t="n"/>
      <c r="H17" s="6" t="n"/>
      <c r="I17" s="6" t="n"/>
      <c r="J17" s="6" t="n"/>
      <c r="K17" s="6" t="n"/>
    </row>
    <row r="18">
      <c r="A18" s="6" t="inlineStr">
        <is>
          <t>Capital conservation buffer (%)</t>
        </is>
      </c>
      <c r="B18" s="6" t="n"/>
      <c r="C18" s="6" t="n"/>
      <c r="D18" s="6" t="inlineStr">
        <is>
          <t>2.50%</t>
        </is>
      </c>
      <c r="E18" s="6" t="inlineStr">
        <is>
          <t>2.50%</t>
        </is>
      </c>
      <c r="F18" s="6" t="inlineStr">
        <is>
          <t>2.50%</t>
        </is>
      </c>
      <c r="G18" s="6" t="n"/>
      <c r="H18" s="6" t="n"/>
      <c r="I18" s="6" t="n"/>
      <c r="J18" s="6" t="n"/>
      <c r="K18" s="6" t="n"/>
    </row>
    <row r="19">
      <c r="A19" s="6" t="inlineStr">
        <is>
          <t>Institution specific countercyclical capital buffer (%)</t>
        </is>
      </c>
      <c r="B19" s="6" t="n"/>
      <c r="C19" s="6" t="n"/>
      <c r="D19" s="6" t="inlineStr">
        <is>
          <t>1.97%</t>
        </is>
      </c>
      <c r="E19" s="6" t="inlineStr">
        <is>
          <t>0.98%</t>
        </is>
      </c>
      <c r="F19" s="6" t="inlineStr">
        <is>
          <t>0.00%</t>
        </is>
      </c>
      <c r="G19" s="6" t="n"/>
      <c r="H19" s="6" t="n"/>
      <c r="I19" s="6" t="n"/>
      <c r="J19" s="6" t="n"/>
      <c r="K19" s="6" t="n"/>
    </row>
    <row r="20">
      <c r="A20" s="6" t="inlineStr">
        <is>
          <t>Systemic risk buffer (%)</t>
        </is>
      </c>
      <c r="B20" s="6" t="n"/>
      <c r="C20" s="6" t="n"/>
      <c r="D20" s="6" t="inlineStr">
        <is>
          <t>0.00%</t>
        </is>
      </c>
      <c r="E20" s="6" t="inlineStr">
        <is>
          <t>0.00%</t>
        </is>
      </c>
      <c r="F20" s="6" t="inlineStr">
        <is>
          <t>0.00%</t>
        </is>
      </c>
      <c r="G20" s="6" t="n"/>
      <c r="H20" s="6" t="n"/>
      <c r="I20" s="6" t="n"/>
      <c r="J20" s="6" t="n"/>
      <c r="K20" s="6" t="n"/>
    </row>
    <row r="21">
      <c r="A21" s="6" t="inlineStr">
        <is>
          <t>Combined buffer requirement (%)</t>
        </is>
      </c>
      <c r="B21" s="6" t="n"/>
      <c r="C21" s="6" t="n"/>
      <c r="D21" s="6" t="inlineStr">
        <is>
          <t>4.47%</t>
        </is>
      </c>
      <c r="E21" s="6" t="inlineStr">
        <is>
          <t>3.48%</t>
        </is>
      </c>
      <c r="F21" s="6" t="inlineStr">
        <is>
          <t>2.50%</t>
        </is>
      </c>
      <c r="G21" s="6" t="n"/>
      <c r="H21" s="6" t="n"/>
      <c r="I21" s="6" t="n"/>
      <c r="J21" s="6" t="n"/>
      <c r="K21" s="6" t="n"/>
    </row>
    <row r="22">
      <c r="A22" s="6" t="inlineStr">
        <is>
          <t>Overall capital requirements (%)</t>
        </is>
      </c>
      <c r="B22" s="6" t="n"/>
      <c r="C22" s="6" t="n"/>
      <c r="D22" s="6" t="inlineStr">
        <is>
          <t>22.74%</t>
        </is>
      </c>
      <c r="E22" s="6" t="inlineStr">
        <is>
          <t>21.75%</t>
        </is>
      </c>
      <c r="F22" s="6" t="inlineStr">
        <is>
          <t>20.77%</t>
        </is>
      </c>
      <c r="G22" s="6" t="n"/>
      <c r="H22" s="6" t="n"/>
      <c r="I22" s="6" t="n"/>
      <c r="J22" s="6" t="n"/>
      <c r="K22" s="6" t="n"/>
    </row>
    <row r="23">
      <c r="A23" s="6" t="inlineStr">
        <is>
          <t>CET1 available after meeting the total SREP own funds requirements (%)</t>
        </is>
      </c>
      <c r="B23" s="6" t="n"/>
      <c r="C23" s="6" t="n"/>
      <c r="D23" s="6" t="inlineStr">
        <is>
          <t>30.14%</t>
        </is>
      </c>
      <c r="E23" s="6" t="inlineStr">
        <is>
          <t>32.10%</t>
        </is>
      </c>
      <c r="F23" s="6" t="inlineStr">
        <is>
          <t>32.02%</t>
        </is>
      </c>
      <c r="G23" s="6" t="n"/>
      <c r="H23" s="6" t="n"/>
      <c r="I23" s="6" t="n"/>
      <c r="J23" s="6" t="n"/>
      <c r="K23" s="6" t="n"/>
    </row>
    <row r="24">
      <c r="A24" s="5" t="inlineStr">
        <is>
          <t>Leverage ratio</t>
        </is>
      </c>
      <c r="B24" s="6" t="n"/>
      <c r="C24" s="6" t="n"/>
      <c r="D24" s="6" t="n"/>
      <c r="E24" s="6" t="n"/>
      <c r="F24" s="6" t="n"/>
      <c r="G24" s="6" t="n"/>
      <c r="H24" s="6" t="n"/>
      <c r="I24" s="6" t="n"/>
      <c r="J24" s="6" t="n"/>
      <c r="K24" s="6" t="n"/>
    </row>
    <row r="25">
      <c r="A25" s="6" t="inlineStr">
        <is>
          <t>Leverage ratio total exposure measure (£'000)</t>
        </is>
      </c>
      <c r="B25" s="6" t="n"/>
      <c r="C25" s="6" t="n"/>
      <c r="D25" s="6" t="n">
        <v>37777</v>
      </c>
      <c r="E25" s="6" t="n">
        <v>38672</v>
      </c>
      <c r="F25" s="6" t="n">
        <v>42114</v>
      </c>
      <c r="G25" s="6" t="n"/>
      <c r="H25" s="6" t="n"/>
      <c r="I25" s="6" t="n"/>
      <c r="J25" s="6" t="n"/>
      <c r="K25" s="6" t="n"/>
    </row>
    <row r="26">
      <c r="A26" s="6" t="inlineStr">
        <is>
          <t>Leverage ratio (%)</t>
        </is>
      </c>
      <c r="B26" s="6" t="n"/>
      <c r="C26" s="6" t="n"/>
      <c r="D26" s="6" t="inlineStr">
        <is>
          <t>35.35%</t>
        </is>
      </c>
      <c r="E26" s="6" t="inlineStr">
        <is>
          <t>33.49%</t>
        </is>
      </c>
      <c r="F26" s="6" t="inlineStr">
        <is>
          <t>33.05%</t>
        </is>
      </c>
      <c r="G26" s="6" t="n"/>
      <c r="H26" s="6" t="n"/>
      <c r="I26" s="6" t="n"/>
      <c r="J26" s="6" t="n"/>
      <c r="K26" s="6" t="n"/>
    </row>
    <row r="27">
      <c r="A27" s="5" t="inlineStr">
        <is>
          <t>Liquidity Coverage Ratio</t>
        </is>
      </c>
      <c r="B27" s="6" t="n"/>
      <c r="C27" s="6" t="n"/>
      <c r="D27" s="6" t="n"/>
      <c r="E27" s="6" t="n"/>
      <c r="F27" s="6" t="n"/>
      <c r="G27" s="6" t="n"/>
      <c r="H27" s="6" t="n"/>
      <c r="I27" s="6" t="n"/>
      <c r="J27" s="6" t="n"/>
      <c r="K27" s="6" t="n"/>
    </row>
    <row r="28">
      <c r="A28" s="6" t="inlineStr">
        <is>
          <t>Total high-quality liquid assets (HQLA) (Weighted value - average) (£'000)</t>
        </is>
      </c>
      <c r="B28" s="6" t="n"/>
      <c r="C28" s="6" t="n"/>
      <c r="D28" s="6" t="n">
        <v>4373</v>
      </c>
      <c r="E28" s="6" t="n">
        <v>4231</v>
      </c>
      <c r="F28" s="6" t="n">
        <v>4220</v>
      </c>
      <c r="G28" s="6" t="n"/>
      <c r="H28" s="6" t="n"/>
      <c r="I28" s="6" t="n"/>
      <c r="J28" s="6" t="n"/>
      <c r="K28" s="6" t="n"/>
    </row>
    <row r="29">
      <c r="A29" s="6" t="inlineStr">
        <is>
          <t>Cash outflows - Total weighted value (£'000)</t>
        </is>
      </c>
      <c r="B29" s="6" t="n"/>
      <c r="C29" s="6" t="n"/>
      <c r="D29" s="6" t="n">
        <v>1803</v>
      </c>
      <c r="E29" s="6" t="n">
        <v>2032</v>
      </c>
      <c r="F29" s="6" t="n">
        <v>2801</v>
      </c>
      <c r="G29" s="6" t="n"/>
      <c r="H29" s="6" t="n"/>
      <c r="I29" s="6" t="n"/>
      <c r="J29" s="6" t="n"/>
      <c r="K29" s="6" t="n"/>
    </row>
    <row r="30">
      <c r="A30" s="6" t="inlineStr">
        <is>
          <t>Cash inflows - Total weighted value (£'000)</t>
        </is>
      </c>
      <c r="B30" s="6" t="n"/>
      <c r="C30" s="6" t="n"/>
      <c r="D30" s="6" t="n">
        <v>5596</v>
      </c>
      <c r="E30" s="6" t="n">
        <v>8745</v>
      </c>
      <c r="F30" s="6" t="n">
        <v>11248</v>
      </c>
      <c r="G30" s="6" t="n"/>
      <c r="H30" s="6" t="n"/>
      <c r="I30" s="6" t="n"/>
      <c r="J30" s="6" t="n"/>
      <c r="K30" s="6" t="n"/>
    </row>
    <row r="31">
      <c r="A31" s="6" t="inlineStr">
        <is>
          <t>Total net cash outflows (adjusted value) (£'000)</t>
        </is>
      </c>
      <c r="B31" s="6" t="n"/>
      <c r="C31" s="6" t="n"/>
      <c r="D31" s="6" t="n">
        <v>451</v>
      </c>
      <c r="E31" s="6" t="n">
        <v>508</v>
      </c>
      <c r="F31" s="6" t="n">
        <v>700</v>
      </c>
      <c r="G31" s="6" t="n"/>
      <c r="H31" s="6" t="n"/>
      <c r="I31" s="6" t="n"/>
      <c r="J31" s="6" t="n"/>
      <c r="K31" s="6" t="n"/>
    </row>
    <row r="32">
      <c r="A32" s="6" t="inlineStr">
        <is>
          <t>Liquidity coverage ratio (%)</t>
        </is>
      </c>
      <c r="B32" s="6" t="n"/>
      <c r="C32" s="6" t="n"/>
      <c r="D32" s="6" t="inlineStr">
        <is>
          <t>970%</t>
        </is>
      </c>
      <c r="E32" s="6" t="inlineStr">
        <is>
          <t>833%</t>
        </is>
      </c>
      <c r="F32" s="6" t="inlineStr">
        <is>
          <t>603%</t>
        </is>
      </c>
      <c r="G32" s="6" t="n"/>
      <c r="H32" s="6" t="n"/>
      <c r="I32" s="6" t="n"/>
      <c r="J32" s="6" t="n"/>
      <c r="K32" s="6" t="n"/>
    </row>
    <row r="33">
      <c r="A33" s="5" t="inlineStr">
        <is>
          <t>Net Stable Funding Ratio (NSFR)</t>
        </is>
      </c>
      <c r="B33" s="6" t="n"/>
      <c r="C33" s="6" t="n"/>
      <c r="D33" s="6" t="n"/>
      <c r="E33" s="6" t="n"/>
      <c r="F33" s="6" t="n"/>
      <c r="G33" s="6" t="n"/>
      <c r="H33" s="6" t="n"/>
      <c r="I33" s="6" t="n"/>
      <c r="J33" s="6" t="n"/>
      <c r="K33" s="6" t="n"/>
    </row>
    <row r="34">
      <c r="A34" s="6" t="inlineStr">
        <is>
          <t>Total available stable funding (£'000)</t>
        </is>
      </c>
      <c r="B34" s="6" t="n"/>
      <c r="C34" s="6" t="n"/>
      <c r="D34" s="6" t="n">
        <v>34839</v>
      </c>
      <c r="E34" s="6" t="n">
        <v>35740</v>
      </c>
      <c r="F34" s="6" t="n">
        <v>37077</v>
      </c>
      <c r="G34" s="6" t="n"/>
      <c r="H34" s="6" t="n"/>
      <c r="I34" s="6" t="n"/>
      <c r="J34" s="6" t="n"/>
      <c r="K34" s="6" t="n"/>
    </row>
    <row r="35">
      <c r="A35" s="6" t="inlineStr">
        <is>
          <t>Total required stable funding (£'000)</t>
        </is>
      </c>
      <c r="B35" s="6" t="n"/>
      <c r="C35" s="6" t="n"/>
      <c r="D35" s="6" t="n">
        <v>20068</v>
      </c>
      <c r="E35" s="6" t="n">
        <v>18568</v>
      </c>
      <c r="F35" s="6" t="n">
        <v>20165</v>
      </c>
      <c r="G35" s="6" t="n"/>
      <c r="H35" s="6" t="n"/>
      <c r="I35" s="6" t="n"/>
      <c r="J35" s="6" t="n"/>
      <c r="K35" s="6" t="n"/>
    </row>
    <row r="36">
      <c r="A36" s="6" t="inlineStr">
        <is>
          <t>NSFR (%)</t>
        </is>
      </c>
      <c r="B36" s="6" t="n"/>
      <c r="C36" s="6" t="n"/>
      <c r="D36" s="6" t="inlineStr">
        <is>
          <t>174%</t>
        </is>
      </c>
      <c r="E36" s="6" t="inlineStr">
        <is>
          <t>192%</t>
        </is>
      </c>
      <c r="F36" s="6" t="inlineStr">
        <is>
          <t>184%</t>
        </is>
      </c>
      <c r="G36" s="6" t="n"/>
      <c r="H36" s="6" t="n"/>
      <c r="I36" s="6" t="n"/>
      <c r="J36" s="6" t="n"/>
      <c r="K36" s="6" t="n"/>
    </row>
    <row r="38" ht="520" customHeight="1">
      <c r="A38" s="8" t="inlineStr">
        <is>
          <t>Sources - the Company's own 'Key Metrics table', section 1.1 of its Pillar 3 Disclosures, reproduced in its own row order, its own labels and its own printed precision. Each year is taken from the edition in which it is the reporting year, except FY2021 as explained below:
FY2023: Pillar 3 Disclosures for the year ended 31 December 2023, 'Key Metrics table' p.3 (column '31-Dec-23') - https://web.archive.org/web/20250407005711id_/https://www.mcafundingforchurches.co.uk/media/ngqlqg5o/pillar-3-disclosures-2023.pdf (Wayback `id_` snapshot; the Company's own URL https://www.mcafundingforchurches.co.uk/media/ngqlqg5o/pillar-3-disclosures-2023.pdf returns HTTP 404 - re-checked 2026-09-16)
FY2022: Pillar 3 Disclosures for the year ended 31 December 2022, 'Key Metrics table' p.3 (column '31-Dec-22') - https://www.mcafundingforchurches.co.uk/siteFiles/resources/pdf/Pillar3disclosures2022.pdf (still live; re-fetched 2026-09-16, HTTP 200, Content-Type application/pdf, 314,344 bytes, begins %PDF)
FY2021: the '31-Dec-21' comparative column of the FY2022 edition above. This is a deliberate departure from this project's use-each-year's-own-edition rule, and the reason is positive rather than convenient: the FY2021 edition EXISTS and was re-read in full for this ticket (https://web.archive.org/web/20220625084136id_/https://www.mcafundingforchurches.co.uk/sitefiles/resources/pdf/2021-pillar-3-disclosures.pdf, HTTP 200, application/pdf, 319,857 bytes, 20pp), and it contains no Key Metrics table at all - its contents page runs Overview / Governance / Risk Management Policies / Capital Resources and Business Strategy / Capital Adequacy / Principal Risks, with no key-metrics entry, and the strings 'KM1' and 'Key Metrics' appear nowhere in it. The FY2022 edition's comparative column is therefore the only published source for FY2021.
FY2024, FY2025, and FY2016-FY2020: blank. See the detailed publication evidence in the Pillar 3 source note on the metric sheets - in summary, the Company published a Pillar 3 disclosure for five consecutive years (FY2019-FY2023) and then stopped after taking the SDDT exemption, and the FY2019, FY2020 and FY2021 editions carry no Key Metrics table.
WHAT MAKES THIS A KM1, AND HOW IT WAS ESTABLISHED:
• IT IS UNNUMBERED. The Company prints no row numbers at all - no '1', no 'UK 7a'. That does not matter: what makes a table the template is its ROW SET, not its numbering, and this one carries the full UK KM1 row set - available own funds, risk-weighted exposure amounts, capital ratios, C-SREP additional own funds requirements, combined buffer requirement, leverage ratio, the five-row LCR block and the three-row NSFR block. It is the same pattern as Europe Arab Bank's unnumbered template, not the same as a short bespoke summary table.
• IT IS NEVER CALLED 'KM1'. The heading is '1.1 Key Metrics table'; the token 'KM1' appears nowhere in any edition. No presence test that keys on the token or on row numbering would have found it.
• ROWS THE STANDARD TEMPLATE DOES NOT HAVE, kept as published: 'Systemic risk buffer (%)' sits inside the combined buffer block (zero in every year), and the additional-own-funds block is captioned against the PRA's C-SREP rather than the generic SREP.
• THE ABSENCE OF THE TABLE IN THE FY2019-FY2021 EDITIONS WAS TESTED AGAINST IMAGES AS WELL AS TEXT, because a KM1 can be published as a bitmap inside an otherwise text-native PDF and then extract as nothing. `pdfimages -list` on the FY2019, FY2020, FY2021 and FY2022 editions returns exactly ONE image each - the 286x165 RGB corporate logo, the same object in every edition - and the FY2023 edition two (that logo plus a 391x200 graphic on p.19). There is no bitmap anywhere in these documents large enough or placed where a concealed key-metrics table could sit. The zero hit-counts for 'KM1' and 'Key Metrics' in the FY2019-FY2021 editions are also a fact about the documents rather than about the extraction: the same text yields 86-88 hits for 'capital', 48-49 for 'ratio', 3 for 'Tier 1' and 3 for 'leverage' in each.
SOURCE DEFECTS, REPRODUCED RATHER THAN CORRECTED:
• THE COMBINED-BUFFER SECTION HEADING IS TRUNCATED in both editions. It reads 'Combined buffer requirement (as a percentage of risk-weighted exposure' - the word 'amount' is missing, in both the FY2022 and the FY2023 document. Kept as printed, with the omission flagged in square brackets.
• THE LCR BLOCK'S HQLA ROW IS CAPTIONED '(Weighted value - average)' BUT THE FIGURES ARE YEAR-END POINT-IN-TIME VALUES. This is demonstrable from the same documents: the KM1's 970% for FY2023 reproduces the 31-Dec-23 column of that document's own quarterly table exactly, while the average it states separately for the same year is 835% (FY2022: KM1 833% = the 31-Dec-22 column; stated average 827%). The caption is left exactly as published rather than corrected, and both bases are carried on separate rows of the LCR and NSFR metric sheets, which is why those sheets and this one can show different numbers for the same year without either being wrong.
• THE 18.27% EXPLANATORY NOTE MOVES. 'Note: although there are no C-SREP additional own funds requirements, the Company is required to hold 18.27% of risk-weighted exposures or EUR 5 million (the regulatory base capital requirement), whichever is the greater' is printed ABOVE the table in the FY2023 edition and BELOW it in the FY2022 edition.
• PRECISION. The leverage ratio reads 35.35% here for FY2023, from the Key Metrics table itself; the Leverage Ratio metric sheet carries 35.4% for the same year from the same document's narrative. Both are the Company's own printed figures at its own two precisions, and neither has been adjusted to match the other.
LATEST-EDITION CHECK, 2026-09-16. The Company's own live 'Financial information' page (https://www.mcafundingforchurches.co.uk/about-us/financial-information/) was fetched directly - HTTP 200, 27KB, no block and no interstitial - and lists exactly two documents plus an FSCS leaflet: the Annual Report 2025 (/media/4bcl2vk5/mca-ar-2025.pdf, already cited by this workbook) and a country-by-country reporting 2025 PDF. NO PILLAR 3 DOCUMENT OF ANY VINTAGE. The Annual Report 2025 was re-downloaded the same day (HTTP 200, application/pdf, %PDF, 1.06MB) and covers the 9 months ended 30 September 2025, which is the period this workbook already holds as FY2025; the string 'Pillar 3' does not occur in it. Nothing newer than FY2025 exists, and no Pillar 3 edition later than FY2023 exists.
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8:K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capital</t>
        </is>
      </c>
      <c r="B4" s="6" t="n"/>
      <c r="C4" s="6" t="n"/>
      <c r="D4" s="6" t="n">
        <v>13354</v>
      </c>
      <c r="E4" s="6" t="n">
        <v>12952</v>
      </c>
      <c r="F4" s="6" t="n">
        <v>13919</v>
      </c>
      <c r="G4" s="6" t="n">
        <v>13032</v>
      </c>
      <c r="H4" s="6" t="n">
        <v>12307</v>
      </c>
      <c r="I4" s="6" t="n"/>
      <c r="J4" s="6" t="n"/>
      <c r="K4" s="6" t="n"/>
    </row>
    <row r="5" ht="60" customHeight="1">
      <c r="A5" s="7" t="inlineStr">
        <is>
          <t>Note: FY2024 and FY2025 absolute regulatory capital was not separately disclosed in the located sources. FY2016-FY2018: no Pillar 3 document was located (genuinely not disclosed, not a search miss - see note above).</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FY2020/FY2019 ratios are calculated as disclosed CET1 capital divided by this workbook's derived Total RWAs (not stated as a ready-made ratio in the source, which only gives the £ components).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c r="D4" s="6" t="n">
        <v>13354</v>
      </c>
      <c r="E4" s="6" t="n">
        <v>12952</v>
      </c>
      <c r="F4" s="6" t="n">
        <v>13919</v>
      </c>
      <c r="G4" s="6" t="n">
        <v>13032</v>
      </c>
      <c r="H4" s="6" t="n">
        <v>12307</v>
      </c>
      <c r="I4" s="6" t="n"/>
      <c r="J4" s="6" t="n"/>
      <c r="K4" s="6" t="n"/>
    </row>
    <row r="5" ht="60" customHeight="1">
      <c r="A5" s="7" t="inlineStr">
        <is>
          <t>Note: All disclosed Tier 1 capital was CET1; FY2024 and FY2025 were not separately disclosed.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c r="D4" s="6" t="n">
        <v>13354</v>
      </c>
      <c r="E4" s="6" t="n">
        <v>12952</v>
      </c>
      <c r="F4" s="6" t="n">
        <v>13919</v>
      </c>
      <c r="G4" s="6" t="n">
        <v>13032</v>
      </c>
      <c r="H4" s="6" t="n">
        <v>12307</v>
      </c>
      <c r="I4" s="6" t="n"/>
      <c r="J4" s="6" t="n"/>
      <c r="K4" s="6" t="n"/>
    </row>
    <row r="5" ht="60" customHeight="1">
      <c r="A5" s="7" t="inlineStr">
        <is>
          <t>Note: All disclosed total capital was CET1; FY2024 and FY2025 were not separately disclosed.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c r="C4" s="6" t="n"/>
      <c r="D4" s="6" t="n">
        <v>25253</v>
      </c>
      <c r="E4" s="6" t="n">
        <v>24052</v>
      </c>
      <c r="F4" s="6" t="n">
        <v>26369</v>
      </c>
      <c r="G4" s="6" t="n">
        <v>25316</v>
      </c>
      <c r="H4" s="6" t="n">
        <v>20975</v>
      </c>
      <c r="I4" s="6" t="n"/>
      <c r="J4" s="6" t="n"/>
      <c r="K4" s="6" t="n"/>
    </row>
    <row r="5" ht="60" customHeight="1">
      <c r="A5" s="7" t="inlineStr">
        <is>
          <t>Note: FY2024 and FY2025 absolute RWA was not separately disclosed in the located sources. FY2020/FY2019 Total RWAs are the sum of the disclosed credit risk RWA plus an operational risk RWA derived as capital requirement x 12.5 (the document's own Pillar 1 formula) since operational risk is disclosed there only as a capital requirement.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RWA Breakdown</t>
        </is>
      </c>
    </row>
    <row r="2">
      <c r="A2" s="2" t="inlineStr">
        <is>
          <t>Entity-level basis, £'000, Standardised Approach.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Credit risk exposure by class (Risk Weighted Exposure)</t>
        </is>
      </c>
      <c r="B4" s="6" t="n"/>
      <c r="C4" s="6" t="n"/>
      <c r="D4" s="6" t="n"/>
      <c r="E4" s="6" t="n"/>
      <c r="F4" s="6" t="n"/>
      <c r="G4" s="6" t="n"/>
      <c r="H4" s="6" t="n"/>
      <c r="I4" s="6" t="n"/>
      <c r="J4" s="6" t="n"/>
      <c r="K4" s="6" t="n"/>
    </row>
    <row r="5">
      <c r="A5" s="6" t="inlineStr">
        <is>
          <t>Credit institutions</t>
        </is>
      </c>
      <c r="B5" s="6" t="n"/>
      <c r="C5" s="6" t="n"/>
      <c r="D5" s="6" t="n">
        <v>1825</v>
      </c>
      <c r="E5" s="6" t="n">
        <v>2713</v>
      </c>
      <c r="F5" s="6" t="n">
        <v>3233</v>
      </c>
      <c r="G5" s="6" t="n">
        <v>3255</v>
      </c>
      <c r="H5" s="6" t="n">
        <v>2835</v>
      </c>
      <c r="I5" s="6" t="n"/>
      <c r="J5" s="6" t="n"/>
      <c r="K5" s="6" t="n"/>
    </row>
    <row r="6">
      <c r="A6" s="6" t="inlineStr">
        <is>
          <t>UK Treasury Stocks</t>
        </is>
      </c>
      <c r="B6" s="6" t="n"/>
      <c r="C6" s="6" t="n"/>
      <c r="D6" s="6" t="n">
        <v>0</v>
      </c>
      <c r="E6" s="6" t="n">
        <v>0</v>
      </c>
      <c r="F6" s="6" t="n">
        <v>0</v>
      </c>
      <c r="G6" s="6" t="n">
        <v>0</v>
      </c>
      <c r="H6" s="6" t="n">
        <v>0</v>
      </c>
      <c r="I6" s="6" t="n"/>
      <c r="J6" s="6" t="n"/>
      <c r="K6" s="6" t="n"/>
    </row>
    <row r="7">
      <c r="A7" s="6" t="inlineStr">
        <is>
          <t>Multilateral Development Banks</t>
        </is>
      </c>
      <c r="B7" s="6" t="n"/>
      <c r="C7" s="6" t="n"/>
      <c r="D7" s="6" t="n"/>
      <c r="E7" s="6" t="n"/>
      <c r="F7" s="6" t="n"/>
      <c r="G7" s="6" t="n"/>
      <c r="H7" s="6" t="n">
        <v>0</v>
      </c>
      <c r="I7" s="6" t="n"/>
      <c r="J7" s="6" t="n"/>
      <c r="K7" s="6" t="n"/>
    </row>
    <row r="8">
      <c r="A8" s="6" t="inlineStr">
        <is>
          <t>Sterling Corporate Bonds</t>
        </is>
      </c>
      <c r="B8" s="6" t="n"/>
      <c r="C8" s="6" t="n"/>
      <c r="D8" s="6" t="n"/>
      <c r="E8" s="6" t="n"/>
      <c r="F8" s="6" t="n"/>
      <c r="G8" s="6" t="n"/>
      <c r="H8" s="6" t="n">
        <v>961</v>
      </c>
      <c r="I8" s="6" t="n"/>
      <c r="J8" s="6" t="n"/>
      <c r="K8" s="6" t="n"/>
    </row>
    <row r="9">
      <c r="A9" s="6" t="inlineStr">
        <is>
          <t>Collective investment undertakings</t>
        </is>
      </c>
      <c r="B9" s="6" t="n"/>
      <c r="C9" s="6" t="n"/>
      <c r="D9" s="6" t="n">
        <v>3271</v>
      </c>
      <c r="E9" s="6" t="n">
        <v>3092</v>
      </c>
      <c r="F9" s="6" t="n">
        <v>3449</v>
      </c>
      <c r="G9" s="6" t="n">
        <v>4097</v>
      </c>
      <c r="H9" s="6" t="n">
        <v>1607</v>
      </c>
      <c r="I9" s="6" t="n"/>
      <c r="J9" s="6" t="n"/>
      <c r="K9" s="6" t="n"/>
    </row>
    <row r="10">
      <c r="A10" s="6" t="inlineStr">
        <is>
          <t>Equity investments</t>
        </is>
      </c>
      <c r="B10" s="6" t="n"/>
      <c r="C10" s="6" t="n"/>
      <c r="D10" s="6" t="n">
        <v>7101</v>
      </c>
      <c r="E10" s="6" t="n">
        <v>7160</v>
      </c>
      <c r="F10" s="6" t="n">
        <v>9123</v>
      </c>
      <c r="G10" s="6" t="n">
        <v>8138</v>
      </c>
      <c r="H10" s="6" t="n">
        <v>7678</v>
      </c>
      <c r="I10" s="6" t="n"/>
      <c r="J10" s="6" t="n"/>
      <c r="K10" s="6" t="n"/>
    </row>
    <row r="11">
      <c r="A11" s="6" t="inlineStr">
        <is>
          <t>Loans and advances to customers (drawn) (aggregate, pre-FY2022 disclosure form)</t>
        </is>
      </c>
      <c r="B11" s="6" t="n"/>
      <c r="C11" s="6" t="n"/>
      <c r="D11" s="6" t="n"/>
      <c r="E11" s="6" t="n"/>
      <c r="F11" s="6" t="n">
        <v>7197</v>
      </c>
      <c r="G11" s="6" t="n">
        <v>7315</v>
      </c>
      <c r="H11" s="6" t="n">
        <v>5916</v>
      </c>
      <c r="I11" s="6" t="n"/>
      <c r="J11" s="6" t="n"/>
      <c r="K11" s="6" t="n"/>
    </row>
    <row r="12">
      <c r="A12" s="6" t="inlineStr">
        <is>
          <t>Loans and advances to customers (50% of undrawn) (aggregate, pre-FY2022 disclosure form)</t>
        </is>
      </c>
      <c r="B12" s="6" t="n"/>
      <c r="C12" s="6" t="n"/>
      <c r="D12" s="6" t="n"/>
      <c r="E12" s="6" t="n"/>
      <c r="F12" s="6" t="n">
        <v>2066</v>
      </c>
      <c r="G12" s="6" t="n">
        <v>1440</v>
      </c>
      <c r="H12" s="6" t="n">
        <v>857</v>
      </c>
      <c r="I12" s="6" t="n"/>
      <c r="J12" s="6" t="n"/>
      <c r="K12" s="6" t="n"/>
    </row>
    <row r="13">
      <c r="A13" s="6" t="inlineStr">
        <is>
          <t>Higher Risk Weighted Equities</t>
        </is>
      </c>
      <c r="B13" s="6" t="n"/>
      <c r="C13" s="6" t="n"/>
      <c r="D13" s="6" t="n"/>
      <c r="E13" s="6" t="n">
        <v>30</v>
      </c>
      <c r="F13" s="6" t="n"/>
      <c r="G13" s="6" t="n"/>
      <c r="H13" s="6" t="n"/>
      <c r="I13" s="6" t="n"/>
      <c r="J13" s="6" t="n"/>
      <c r="K13" s="6" t="n"/>
    </row>
    <row r="14">
      <c r="A14" s="6" t="inlineStr">
        <is>
          <t>Property loans and advances to customers (drawn)</t>
        </is>
      </c>
      <c r="B14" s="6" t="n"/>
      <c r="C14" s="6" t="n"/>
      <c r="D14" s="6" t="n">
        <v>10320</v>
      </c>
      <c r="E14" s="6" t="n">
        <v>8470</v>
      </c>
      <c r="F14" s="6" t="n"/>
      <c r="G14" s="6" t="n"/>
      <c r="H14" s="6" t="n"/>
      <c r="I14" s="6" t="n"/>
      <c r="J14" s="6" t="n"/>
      <c r="K14" s="6" t="n"/>
    </row>
    <row r="15">
      <c r="A15" s="6" t="inlineStr">
        <is>
          <t>Property loans and advances to customers (50% of undrawn)</t>
        </is>
      </c>
      <c r="B15" s="6" t="n"/>
      <c r="C15" s="6" t="n"/>
      <c r="D15" s="6" t="n">
        <v>1125</v>
      </c>
      <c r="E15" s="6" t="n">
        <v>1195</v>
      </c>
      <c r="F15" s="6" t="n"/>
      <c r="G15" s="6" t="n"/>
      <c r="H15" s="6" t="n"/>
      <c r="I15" s="6" t="n"/>
      <c r="J15" s="6" t="n"/>
      <c r="K15" s="6" t="n"/>
    </row>
    <row r="16">
      <c r="A16" s="6" t="inlineStr">
        <is>
          <t>Car loans and advances to customers</t>
        </is>
      </c>
      <c r="B16" s="6" t="n"/>
      <c r="C16" s="6" t="n"/>
      <c r="D16" s="6" t="n">
        <v>7</v>
      </c>
      <c r="E16" s="6" t="n">
        <v>12</v>
      </c>
      <c r="F16" s="6" t="n"/>
      <c r="G16" s="6" t="n"/>
      <c r="H16" s="6" t="n"/>
      <c r="I16" s="6" t="n"/>
      <c r="J16" s="6" t="n"/>
      <c r="K16" s="6" t="n"/>
    </row>
    <row r="17">
      <c r="A17" s="6" t="inlineStr">
        <is>
          <t>Fixed and other assets</t>
        </is>
      </c>
      <c r="B17" s="6" t="n"/>
      <c r="C17" s="6" t="n"/>
      <c r="D17" s="6" t="n">
        <v>436</v>
      </c>
      <c r="E17" s="6" t="n">
        <v>145</v>
      </c>
      <c r="F17" s="6" t="n">
        <v>103</v>
      </c>
      <c r="G17" s="6" t="n">
        <v>83</v>
      </c>
      <c r="H17" s="6" t="n">
        <v>133</v>
      </c>
      <c r="I17" s="6" t="n"/>
      <c r="J17" s="6" t="n"/>
      <c r="K17" s="6" t="n"/>
    </row>
    <row r="18">
      <c r="A18" s="5" t="inlineStr">
        <is>
          <t>Total credit risk exposure (RWA)</t>
        </is>
      </c>
      <c r="B18" s="5" t="n"/>
      <c r="C18" s="5" t="n"/>
      <c r="D18" s="5" t="n">
        <v>24085</v>
      </c>
      <c r="E18" s="5" t="n">
        <v>22817</v>
      </c>
      <c r="F18" s="5" t="n">
        <v>25171</v>
      </c>
      <c r="G18" s="5" t="n">
        <v>24328</v>
      </c>
      <c r="H18" s="5" t="n">
        <v>19987</v>
      </c>
      <c r="I18" s="5" t="n"/>
      <c r="J18" s="5" t="n"/>
      <c r="K18" s="5" t="n"/>
    </row>
    <row r="19">
      <c r="A19" s="6" t="inlineStr">
        <is>
          <t>Operational risk capital requirement (RWA)</t>
        </is>
      </c>
      <c r="B19" s="6" t="n"/>
      <c r="C19" s="6" t="n"/>
      <c r="D19" s="6" t="n">
        <v>1168</v>
      </c>
      <c r="E19" s="6" t="n">
        <v>1235</v>
      </c>
      <c r="F19" s="6" t="n">
        <v>1150</v>
      </c>
      <c r="G19" s="6" t="n">
        <v>988</v>
      </c>
      <c r="H19" s="6" t="n">
        <v>988</v>
      </c>
      <c r="I19" s="6" t="n"/>
      <c r="J19" s="6" t="n"/>
      <c r="K19" s="6" t="n"/>
    </row>
    <row r="20">
      <c r="A20" s="5" t="inlineStr">
        <is>
          <t>Total RWAs (Pillar 1)</t>
        </is>
      </c>
      <c r="B20" s="5" t="n"/>
      <c r="C20" s="5" t="n"/>
      <c r="D20" s="5" t="n">
        <v>25253</v>
      </c>
      <c r="E20" s="5" t="n">
        <v>24052</v>
      </c>
      <c r="F20" s="5" t="n">
        <v>26369</v>
      </c>
      <c r="G20" s="5" t="n">
        <v>25316</v>
      </c>
      <c r="H20" s="5" t="n">
        <v>20975</v>
      </c>
      <c r="I20" s="5" t="n"/>
      <c r="J20" s="5" t="n"/>
      <c r="K20" s="5" t="n"/>
    </row>
    <row r="22" ht="230" customHeight="1">
      <c r="A22" s="8" t="inlineStr">
        <is>
          <t>Sources - Methodist Chapel Aid Limited entity-level Pillar 1 capital requirement / RWA breakdown by exposure class, £'000: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Section 5 Capital Adequacy table, p.7 -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Pillar 3 Disclosures for year ended 31 December 2022, Section 5 Capital Adequacy table, p.8 - https://www.mcafundingforchurches.co.uk/siteFiles/resources/pdf/Pillar3disclosures2022.pdf (still live; the Company's duplicate copy at https://www.mcafundingforchurches.co.uk/media/honer1yl/pillar3disclosures2022.pdf is dead but byte-identical in the archive - see the FY2022 entry on the Pillar 3 metric sheets for the full check)
FY2021: Pillar 3 Disclosures for year ended 31 December 2021, Section 5 Capital Adequacy table, p.6 - https://web.archive.org/web/20220625084136id_/https://www.mcafundingforchurches.co.uk/sitefiles/resources/pdf/2021-pillar-3-disclosures.pdf (Wayback `id_` snapshot of 25 June 2022, the only capture of this file in the CDX index; re-fetched 2026-09-15, 319,857 bytes, begins `%PDF-`. The Company's own URL, https://www.mcafundingforchurches.co.uk/sitefiles/resources/pdf/2021-pillar-3-disclosures.pdf, is dead). CORRECTION 2026-09-15: this sheet previously said no category-level breakdown existed for FY2021 and left every category row blank. That was a sourcing miss, not an absence. The FY2021 standalone Pillar 3 document does exist and carries the same Section 5 capital-adequacy table as every other year; it was missed because the Company changed its filename convention for this one edition - every other year is 'pillar3disclosures&lt;YYYY&gt;.pdf', but FY2021 is '2021-pillar-3-disclosures.pdf', so guessing filenames by pattern could never reach it. It was found by listing the whole mcafundingforchurches.co.uk domain from the Wayback CDX index instead of constructing candidate URLs. FY2021 uses the pre-FY2022 aggregate presentation of customer loans (a single 'drawn' and '50% of undrawn' pair, not the property/car split introduced in FY2022), which is why those rows carry FY2021 alongside FY2020/FY2019.
FY2021 RECONCILIATION - the category rows deliberately do NOT sum to the Total RWAs row, and this is a real difference between two of the Company's own documents rather than a transcription error. The FY2021 document's own table gives credit risk RWA of 25,171 and an operational risk capital requirement of 92 (= 1,150 RWA at x12.5, the document's own Pillar 1 formula), totalling 26,321. The FY2022 document's Key Metrics comparative column states 26,369 for the same date, £48k higher. The Total RWAs row keeps the 26,369 Key Metrics figure so that this sheet ties to the Total RWAs sheet, and the £48k gap is flagged here rather than silently reconciled by adjusting either source.
FY2024/FY2025: no Pillar 3 Key Metrics table or capital-adequacy breakdown was located for these periods (consistent with the existing Total RWAs sheet, which is also blank for these years).
FY2020: Pillar 3 Disclosures for year ended 31 December 2020, Section 5 Capital Adequacy table, p.7 - https://web.archive.org/web/20210515024743id_/https://www.mcafundingforchurches.co.uk/sitefiles/resources/pdf/pillar3disclosures2020.pdf (Wayback `id_` snapshot of 15 May 2021; the Company's own URL, https://www.mcafundingforchurches.co.uk/sitefiles/resources/pdf/pillar3disclosures2020.pdf, is dead). Operational risk RWA is derived as capital requirement x 12.5 (i.e. /8%), the same Pillar 1 formula the document itself states, since the table discloses operational risk only as a capital requirement, not directly as RWA.
FY2019: Pillar 3 Disclosures for year ended 31 December 2019, Section 5 Capital Adequacy table, p.7 - https://web.archive.org/web/20200930032441id_/http://mcafundingforchurches.co.uk/sitefiles/resources/pdf/pillar3disclosures2019.pdf (Wayback `id_` snapshot of 30 September 2020; the Company's own URL, http://mcafundingforchurches.co.uk/sitefiles/resources/pdf/pillar3disclosures2019.pdf, is dead). Operational risk RWA derived the same way.
FY2018/FY2017/FY2016: no Pillar 3 document exists anywhere in the Wayback Machine CDX index for mcafundingforchurches.co.uk before FY2019; category rows left blank as genuinely not disclosed.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2:K2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n"/>
      <c r="C4" s="6" t="n"/>
      <c r="D4" s="6" t="inlineStr">
        <is>
          <t>35.4%</t>
        </is>
      </c>
      <c r="E4" s="6" t="inlineStr">
        <is>
          <t>33.49%</t>
        </is>
      </c>
      <c r="F4" s="6" t="inlineStr">
        <is>
          <t>33.05%</t>
        </is>
      </c>
      <c r="G4" s="6" t="inlineStr">
        <is>
          <t>~30%</t>
        </is>
      </c>
      <c r="H4" s="6" t="inlineStr">
        <is>
          <t>~30%</t>
        </is>
      </c>
      <c r="I4" s="6" t="n"/>
      <c r="J4" s="6" t="n"/>
      <c r="K4" s="6" t="n"/>
    </row>
    <row r="5" ht="60" customHeight="1">
      <c r="A5" s="7" t="inlineStr">
        <is>
          <t>Note: The Company states that the smaller-bank leverage requirement does not apply; reported ratios are included as disclosed. FY2024 and FY2025 were not separately disclosed. FY2020/FY2019 are transcribed as disclosed - the narrative Pillar 3 documents for these years state only 'approximately 30%', not an exact figure (the FY2021 standalone Pillar 3 document uses the same approximate wording, but a more precise 33.05% is used for FY2021 above, sourced from the newer FY2022 Pillar 3 document's comparative column).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liquidity coverage ratio (12-month average of quarterly end-of-month positions)</t>
        </is>
      </c>
      <c r="B4" s="6" t="n"/>
      <c r="C4" s="6" t="n"/>
      <c r="D4" s="6" t="inlineStr">
        <is>
          <t>835%</t>
        </is>
      </c>
      <c r="E4" s="6" t="inlineStr">
        <is>
          <t>827%</t>
        </is>
      </c>
      <c r="F4" s="6" t="n"/>
      <c r="G4" s="6" t="n"/>
      <c r="H4" s="6" t="n"/>
      <c r="I4" s="6" t="n"/>
      <c r="J4" s="6" t="n"/>
      <c r="K4" s="6" t="n"/>
    </row>
    <row r="5">
      <c r="A5" s="6" t="inlineStr">
        <is>
          <t>Liquidity coverage ratio at year-end (point-in-time, per UK KM1)</t>
        </is>
      </c>
      <c r="B5" s="6" t="n"/>
      <c r="C5" s="6" t="n"/>
      <c r="D5" s="6" t="inlineStr">
        <is>
          <t>970%</t>
        </is>
      </c>
      <c r="E5" s="6" t="inlineStr">
        <is>
          <t>833%</t>
        </is>
      </c>
      <c r="F5" s="6" t="inlineStr">
        <is>
          <t>603%</t>
        </is>
      </c>
      <c r="G5" s="6" t="n"/>
      <c r="H5" s="6" t="n"/>
      <c r="I5" s="6" t="n"/>
      <c r="J5" s="6" t="n"/>
      <c r="K5" s="6" t="n"/>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827% is newly added here (2026-09-15) from the FY2022 Pillar 3 document's own narrative - 'The Company's average LCR for the financial year to 31 December 2022 ... was 827%' - which had not previously been transcribed; the 833% that the old single row carried for FY2022 was that document's KM1 year-end figure and is retained, correctly labelled, on the year-end row. FY2023's year-end 970% is likewise newly added from the FY2023 KM1.
FY2019-FY2021 have no average: the standalone Pillar 3 documents for those years state only a policy of maintaining LCR at or above 200% and disclose no actual measured ratio, and a policy floor is not an outturn, so nothing is transcribed from them. FY2021's year-end value comes from the FY2022 edition's KM1 comparative column. FY2016-FY2018: no Pillar 3 document exists. FY2024 and FY2025 are blank because the Company is exempt from publishing Pillar 3 disclosures (SDDT, PRA Rule 3.1, effective 11 April 2024) - see the Sources note.</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6:K6"/>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net stable funding ratio (12-month average of quarterly end-of-month positions)</t>
        </is>
      </c>
      <c r="B4" s="6" t="n"/>
      <c r="C4" s="6" t="n"/>
      <c r="D4" s="6" t="inlineStr">
        <is>
          <t>182%</t>
        </is>
      </c>
      <c r="E4" s="6" t="inlineStr">
        <is>
          <t>194%</t>
        </is>
      </c>
      <c r="F4" s="6" t="n"/>
      <c r="G4" s="6" t="n"/>
      <c r="H4" s="6" t="n"/>
      <c r="I4" s="6" t="n"/>
      <c r="J4" s="6" t="n"/>
      <c r="K4" s="6" t="n"/>
    </row>
    <row r="5">
      <c r="A5" s="6" t="inlineStr">
        <is>
          <t>Net stable funding ratio at year-end (point-in-time, per UK KM1)</t>
        </is>
      </c>
      <c r="B5" s="6" t="n"/>
      <c r="C5" s="6" t="n"/>
      <c r="D5" s="6" t="inlineStr">
        <is>
          <t>174%</t>
        </is>
      </c>
      <c r="E5" s="6" t="inlineStr">
        <is>
          <t>192%</t>
        </is>
      </c>
      <c r="F5" s="6" t="inlineStr">
        <is>
          <t>184%</t>
        </is>
      </c>
      <c r="G5" s="6" t="inlineStr">
        <is>
          <t>Not applicable</t>
        </is>
      </c>
      <c r="H5" s="6" t="inlineStr">
        <is>
          <t>Not applicable</t>
        </is>
      </c>
      <c r="I5" s="6" t="inlineStr">
        <is>
          <t>Not applicable</t>
        </is>
      </c>
      <c r="J5" s="6" t="inlineStr">
        <is>
          <t>Not applicable</t>
        </is>
      </c>
      <c r="K5" s="6" t="inlineStr">
        <is>
          <t>Not applicable</t>
        </is>
      </c>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194% is newly added here (2026-09-15) from the FY2022 Pillar 3 document's own narrative - 'The Company's average NSFR for the financial year to 31 December 2022 ... was 194%' - which had not previously been transcribed; the 192% that the old single row carried for FY2022 was that document's KM1 year-end figure and is retained, correctly labelled, on the year-end row. FY2023's year-end 174% is likewise newly added from the FY2023 KM1.
FY2016-FY2020 are marked 'Not applicable' rather than left blank (changed 2026-09-15). These are STRUCTURAL blanks: the UK had no NSFR requirement and no NSFR disclosure template before 1 January 2022 (PRA PS17/21 / PS22/21, 'Implementation of Basel standards'), so there was no ratio for the Company to compute or publish in those years - consistent with the FY2019 and FY2020 Pillar 3 documents, which exist but contain no NSFR section at all, and with FY2016-FY2018, for which no Pillar 3 document exists. An empty cell would be indistinguishable from an unresearched gap and would be re-chased indefinitely; these five will never yield a figure.
FY2021 is deliberately NOT marked 'Not applicable' even though it also predates the requirement, because a figure was in fact published for it - as the comparative column of the FY2022 edition's KM1 - and a disclosed figure always outranks the structural argument.
FY2024 and FY2025 are left blank rather than 'Not applicable'. The metric applied in both periods; only the duty to publish was removed, by the SDDT Rule 3.1 modification effective 11 April 2024. That is a genuine disclosure limitation and stays counted as a gap.</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6:K6"/>
    <mergeCell ref="A8:K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ratio was disclosed in the located Methodist Chapel Aid Pillar 3 documents.</t>
        </is>
      </c>
    </row>
    <row r="7" ht="15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2026-09-16T11:39:56Z</dcterms:created>
  <dcterms:modified xmlns:dcterms="http://purl.org/dc/terms/" xmlns:xsi="http://www.w3.org/2001/XMLSchema-instance" xsi:type="dcterms:W3CDTF">2026-09-16T11:39:57Z</dcterms:modified>
</cp:coreProperties>
</file>