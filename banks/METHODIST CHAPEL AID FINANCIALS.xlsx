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t>
        </is>
      </c>
      <c r="BT9" t="n">
        <v>603</v>
      </c>
      <c r="BU9" t="n">
        <v>833</v>
      </c>
      <c r="BV9" t="n">
        <v>835</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t>
        </is>
      </c>
      <c r="B35" s="6" t="n"/>
      <c r="C35" s="6" t="n"/>
      <c r="D35" s="6" t="inlineStr">
        <is>
          <t>835%</t>
        </is>
      </c>
      <c r="E35" s="6" t="inlineStr">
        <is>
          <t>833%</t>
        </is>
      </c>
      <c r="F35" s="6" t="inlineStr">
        <is>
          <t>603%</t>
        </is>
      </c>
      <c r="G35" s="6" t="n"/>
      <c r="H35" s="6" t="n"/>
      <c r="I35" s="6" t="n"/>
      <c r="J35" s="6" t="n"/>
      <c r="K35" s="6" t="n"/>
    </row>
    <row r="37" ht="45" customHeight="1">
      <c r="A37" s="7" t="inlineStr">
        <is>
          <t>Note: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6" t="inlineStr">
        <is>
          <t>Administrative expenses - staff costs</t>
        </is>
      </c>
      <c r="B14" s="6" t="n">
        <v>-241735</v>
      </c>
      <c r="C14" s="6" t="n">
        <v>-310501</v>
      </c>
      <c r="D14" s="6" t="n">
        <v>-281131</v>
      </c>
      <c r="E14" s="6" t="n">
        <v>-236031</v>
      </c>
      <c r="F14" s="6" t="n">
        <v>-202930</v>
      </c>
      <c r="G14" s="6" t="n">
        <v>-205751</v>
      </c>
      <c r="H14" s="6" t="n">
        <v>-198443</v>
      </c>
      <c r="I14" s="6" t="n">
        <v>-191928</v>
      </c>
      <c r="J14" s="6" t="n">
        <v>-180526</v>
      </c>
      <c r="K14" s="6" t="n">
        <v>-179379</v>
      </c>
    </row>
    <row r="15">
      <c r="A15" s="6" t="inlineStr">
        <is>
          <t>Administrative expenses - other</t>
        </is>
      </c>
      <c r="B15" s="6" t="n">
        <v>-230594</v>
      </c>
      <c r="C15" s="6" t="n">
        <v>-246970</v>
      </c>
      <c r="D15" s="6" t="n">
        <v>-260190</v>
      </c>
      <c r="E15" s="6" t="n">
        <v>-212268</v>
      </c>
      <c r="F15" s="6" t="n">
        <v>-154761</v>
      </c>
      <c r="G15" s="6" t="n">
        <v>-150767</v>
      </c>
      <c r="H15" s="6" t="n">
        <v>-162438</v>
      </c>
      <c r="I15" s="6" t="n">
        <v>-159701</v>
      </c>
      <c r="J15" s="6" t="n">
        <v>-162332</v>
      </c>
      <c r="K15" s="6" t="n">
        <v>-162246</v>
      </c>
    </row>
    <row r="16">
      <c r="A16" s="6" t="inlineStr">
        <is>
          <t>Depreciation and amortisation</t>
        </is>
      </c>
      <c r="B16" s="6" t="n">
        <v>-9635</v>
      </c>
      <c r="C16" s="6" t="n">
        <v>-13288</v>
      </c>
      <c r="D16" s="6" t="n">
        <v>-9937</v>
      </c>
      <c r="E16" s="6" t="n">
        <v>-7168</v>
      </c>
      <c r="F16" s="6" t="n">
        <v>-3633</v>
      </c>
      <c r="G16" s="6" t="n">
        <v>-14732</v>
      </c>
      <c r="H16" s="6" t="n">
        <v>-17132</v>
      </c>
      <c r="I16" s="6" t="n">
        <v>-18651</v>
      </c>
      <c r="J16" s="6" t="n">
        <v>-18377</v>
      </c>
      <c r="K16" s="6" t="n">
        <v>-14038</v>
      </c>
    </row>
    <row r="17">
      <c r="A17" s="5" t="inlineStr">
        <is>
          <t>Operating surplus/(deficit)</t>
        </is>
      </c>
      <c r="B17" s="5" t="n">
        <v>33772</v>
      </c>
      <c r="C17" s="5" t="n">
        <v>-204962</v>
      </c>
      <c r="D17" s="5" t="n">
        <v>87224</v>
      </c>
      <c r="E17" s="5" t="n">
        <v>127184</v>
      </c>
      <c r="F17" s="5" t="n">
        <v>265630</v>
      </c>
      <c r="G17" s="5" t="n">
        <v>383429</v>
      </c>
      <c r="H17" s="5" t="n">
        <v>157235</v>
      </c>
      <c r="I17" s="5" t="n">
        <v>181891</v>
      </c>
      <c r="J17" s="5" t="n">
        <v>150642</v>
      </c>
      <c r="K17" s="5" t="n">
        <v>138270</v>
      </c>
    </row>
    <row r="18">
      <c r="A18" s="6" t="inlineStr">
        <is>
          <t>Fair value adjustment to investments</t>
        </is>
      </c>
      <c r="B18" s="6" t="n">
        <v>385195</v>
      </c>
      <c r="C18" s="6" t="n">
        <v>694496</v>
      </c>
      <c r="D18" s="6" t="n">
        <v>391546</v>
      </c>
      <c r="E18" s="6" t="n">
        <v>-1845411</v>
      </c>
      <c r="F18" s="6" t="n">
        <v>711942</v>
      </c>
      <c r="G18" s="6" t="n">
        <v>318792</v>
      </c>
      <c r="H18" s="6" t="n">
        <v>1402028</v>
      </c>
      <c r="I18" s="6" t="n">
        <v>-754426</v>
      </c>
      <c r="J18" s="6" t="n">
        <v>729845</v>
      </c>
      <c r="K18" s="6" t="n">
        <v>666013</v>
      </c>
    </row>
    <row r="19">
      <c r="A19" s="5" t="inlineStr">
        <is>
          <t>Surplus/(deficit) on ordinary activities before taxation</t>
        </is>
      </c>
      <c r="B19" s="5" t="n">
        <v>418967</v>
      </c>
      <c r="C19" s="5" t="n">
        <v>489534</v>
      </c>
      <c r="D19" s="5" t="n">
        <v>478770</v>
      </c>
      <c r="E19" s="5" t="n">
        <v>-1718227</v>
      </c>
      <c r="F19" s="5" t="n">
        <v>977572</v>
      </c>
      <c r="G19" s="5" t="n">
        <v>702221</v>
      </c>
      <c r="H19" s="5" t="n">
        <v>1559263</v>
      </c>
      <c r="I19" s="5" t="n">
        <v>-572535</v>
      </c>
      <c r="J19" s="5" t="n">
        <v>880487</v>
      </c>
      <c r="K19" s="5" t="n">
        <v>804283</v>
      </c>
    </row>
    <row r="20">
      <c r="A20" s="6" t="inlineStr">
        <is>
          <t>Tax on surplus/(deficit) on ordinary activities</t>
        </is>
      </c>
      <c r="B20" s="6" t="n">
        <v>-47855</v>
      </c>
      <c r="C20" s="6" t="n">
        <v>-94522</v>
      </c>
      <c r="D20" s="6" t="n">
        <v>-75924</v>
      </c>
      <c r="E20" s="6" t="n">
        <v>495157</v>
      </c>
      <c r="F20" s="6" t="n">
        <v>-243291</v>
      </c>
      <c r="G20" s="6" t="n">
        <v>-125620</v>
      </c>
      <c r="H20" s="6" t="n">
        <v>-259537</v>
      </c>
      <c r="I20" s="6" t="n">
        <v>143868</v>
      </c>
      <c r="J20" s="6" t="n">
        <v>47426</v>
      </c>
      <c r="K20" s="6" t="n">
        <v>-46629</v>
      </c>
    </row>
    <row r="21">
      <c r="A21" s="5" t="inlineStr">
        <is>
          <t>Surplus/(deficit) for the period/year and total comprehensive income</t>
        </is>
      </c>
      <c r="B21" s="5" t="n">
        <v>371112</v>
      </c>
      <c r="C21" s="5" t="n">
        <v>395012</v>
      </c>
      <c r="D21" s="5" t="n">
        <v>402846</v>
      </c>
      <c r="E21" s="5" t="n">
        <v>-1223070</v>
      </c>
      <c r="F21" s="5" t="n">
        <v>734281</v>
      </c>
      <c r="G21" s="5" t="n">
        <v>576601</v>
      </c>
      <c r="H21" s="5" t="n">
        <v>1299726</v>
      </c>
      <c r="I21" s="5" t="n">
        <v>-428667</v>
      </c>
      <c r="J21" s="5" t="n">
        <v>927913</v>
      </c>
      <c r="K21" s="5" t="n">
        <v>757654</v>
      </c>
    </row>
    <row r="23" ht="230" customHeight="1">
      <c r="A23"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3:K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t>
        </is>
      </c>
      <c r="B4" s="6" t="n"/>
      <c r="C4" s="6" t="n"/>
      <c r="D4" s="6" t="n">
        <v>13354</v>
      </c>
      <c r="E4" s="6" t="n">
        <v>12952</v>
      </c>
      <c r="F4" s="6" t="n">
        <v>13919</v>
      </c>
      <c r="G4" s="6" t="n">
        <v>13032</v>
      </c>
      <c r="H4" s="6" t="n">
        <v>12307</v>
      </c>
      <c r="I4" s="6" t="n"/>
      <c r="J4" s="6" t="n"/>
      <c r="K4" s="6" t="n"/>
    </row>
    <row r="5" ht="60" customHeight="1">
      <c r="A5" s="7" t="inlineStr">
        <is>
          <t>Note: FY2024 and FY2025 absolute regulatory capital was not separately disclosed in the located sources. FY2016-FY2018: no Pillar 3 document was located (genuinely not disclosed, not a search miss - see note above).</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FY2020/FY2019 ratios are calculated as disclosed CET1 capital divided by this workbook's derived Total RWAs (not stated as a ready-made ratio in the source, which only gives the £ components).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13354</v>
      </c>
      <c r="E4" s="6" t="n">
        <v>12952</v>
      </c>
      <c r="F4" s="6" t="n">
        <v>13919</v>
      </c>
      <c r="G4" s="6" t="n">
        <v>13032</v>
      </c>
      <c r="H4" s="6" t="n">
        <v>12307</v>
      </c>
      <c r="I4" s="6" t="n"/>
      <c r="J4" s="6" t="n"/>
      <c r="K4" s="6" t="n"/>
    </row>
    <row r="5" ht="60" customHeight="1">
      <c r="A5" s="7" t="inlineStr">
        <is>
          <t>Note: All disclosed Tier 1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13354</v>
      </c>
      <c r="E4" s="6" t="n">
        <v>12952</v>
      </c>
      <c r="F4" s="6" t="n">
        <v>13919</v>
      </c>
      <c r="G4" s="6" t="n">
        <v>13032</v>
      </c>
      <c r="H4" s="6" t="n">
        <v>12307</v>
      </c>
      <c r="I4" s="6" t="n"/>
      <c r="J4" s="6" t="n"/>
      <c r="K4" s="6" t="n"/>
    </row>
    <row r="5" ht="60" customHeight="1">
      <c r="A5" s="7" t="inlineStr">
        <is>
          <t>Note: All disclosed total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25253</v>
      </c>
      <c r="E4" s="6" t="n">
        <v>24052</v>
      </c>
      <c r="F4" s="6" t="n">
        <v>26369</v>
      </c>
      <c r="G4" s="6" t="n">
        <v>25316</v>
      </c>
      <c r="H4" s="6" t="n">
        <v>20975</v>
      </c>
      <c r="I4" s="6" t="n"/>
      <c r="J4" s="6" t="n"/>
      <c r="K4" s="6" t="n"/>
    </row>
    <row r="5" ht="60" customHeight="1">
      <c r="A5" s="7" t="inlineStr">
        <is>
          <t>Note: FY2024 and FY2025 absolute RWA was not separately disclosed in the located sources. FY2020/FY2019 Total RWAs are the sum of the disclosed credit risk RWA plus an operational risk RWA derived as capital requirement x 12.5 (the document's own Pillar 1 formula) since operational risk is disclosed there only as a capital requirement.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Credit risk exposure by class (Risk Weighted Exposure)</t>
        </is>
      </c>
      <c r="B4" s="6" t="n"/>
      <c r="C4" s="6" t="n"/>
      <c r="D4" s="6" t="n"/>
      <c r="E4" s="6" t="n"/>
      <c r="F4" s="6" t="n"/>
      <c r="G4" s="6" t="n"/>
      <c r="H4" s="6" t="n"/>
      <c r="I4" s="6" t="n"/>
      <c r="J4" s="6" t="n"/>
      <c r="K4" s="6" t="n"/>
    </row>
    <row r="5">
      <c r="A5" s="6" t="inlineStr">
        <is>
          <t>Credit institutions</t>
        </is>
      </c>
      <c r="B5" s="6" t="n"/>
      <c r="C5" s="6" t="n"/>
      <c r="D5" s="6" t="n">
        <v>1825</v>
      </c>
      <c r="E5" s="6" t="n">
        <v>2713</v>
      </c>
      <c r="F5" s="6" t="n"/>
      <c r="G5" s="6" t="n">
        <v>3255</v>
      </c>
      <c r="H5" s="6" t="n">
        <v>2835</v>
      </c>
      <c r="I5" s="6" t="n"/>
      <c r="J5" s="6" t="n"/>
      <c r="K5" s="6" t="n"/>
    </row>
    <row r="6">
      <c r="A6" s="6" t="inlineStr">
        <is>
          <t>UK Treasury Stocks</t>
        </is>
      </c>
      <c r="B6" s="6" t="n"/>
      <c r="C6" s="6" t="n"/>
      <c r="D6" s="6" t="n">
        <v>0</v>
      </c>
      <c r="E6" s="6" t="n">
        <v>0</v>
      </c>
      <c r="F6" s="6" t="n"/>
      <c r="G6" s="6" t="n">
        <v>0</v>
      </c>
      <c r="H6" s="6" t="n">
        <v>0</v>
      </c>
      <c r="I6" s="6" t="n"/>
      <c r="J6" s="6" t="n"/>
      <c r="K6" s="6" t="n"/>
    </row>
    <row r="7">
      <c r="A7" s="6" t="inlineStr">
        <is>
          <t>Multilateral Development Banks</t>
        </is>
      </c>
      <c r="B7" s="6" t="n"/>
      <c r="C7" s="6" t="n"/>
      <c r="D7" s="6" t="n"/>
      <c r="E7" s="6" t="n"/>
      <c r="F7" s="6" t="n"/>
      <c r="G7" s="6" t="n"/>
      <c r="H7" s="6" t="n">
        <v>0</v>
      </c>
      <c r="I7" s="6" t="n"/>
      <c r="J7" s="6" t="n"/>
      <c r="K7" s="6" t="n"/>
    </row>
    <row r="8">
      <c r="A8" s="6" t="inlineStr">
        <is>
          <t>Sterling Corporate Bonds</t>
        </is>
      </c>
      <c r="B8" s="6" t="n"/>
      <c r="C8" s="6" t="n"/>
      <c r="D8" s="6" t="n"/>
      <c r="E8" s="6" t="n"/>
      <c r="F8" s="6" t="n"/>
      <c r="G8" s="6" t="n"/>
      <c r="H8" s="6" t="n">
        <v>961</v>
      </c>
      <c r="I8" s="6" t="n"/>
      <c r="J8" s="6" t="n"/>
      <c r="K8" s="6" t="n"/>
    </row>
    <row r="9">
      <c r="A9" s="6" t="inlineStr">
        <is>
          <t>Collective investment undertakings</t>
        </is>
      </c>
      <c r="B9" s="6" t="n"/>
      <c r="C9" s="6" t="n"/>
      <c r="D9" s="6" t="n">
        <v>3271</v>
      </c>
      <c r="E9" s="6" t="n">
        <v>3092</v>
      </c>
      <c r="F9" s="6" t="n"/>
      <c r="G9" s="6" t="n">
        <v>4097</v>
      </c>
      <c r="H9" s="6" t="n">
        <v>1607</v>
      </c>
      <c r="I9" s="6" t="n"/>
      <c r="J9" s="6" t="n"/>
      <c r="K9" s="6" t="n"/>
    </row>
    <row r="10">
      <c r="A10" s="6" t="inlineStr">
        <is>
          <t>Equity investments</t>
        </is>
      </c>
      <c r="B10" s="6" t="n"/>
      <c r="C10" s="6" t="n"/>
      <c r="D10" s="6" t="n">
        <v>7101</v>
      </c>
      <c r="E10" s="6" t="n">
        <v>7160</v>
      </c>
      <c r="F10" s="6" t="n"/>
      <c r="G10" s="6" t="n">
        <v>8138</v>
      </c>
      <c r="H10" s="6" t="n">
        <v>7678</v>
      </c>
      <c r="I10" s="6" t="n"/>
      <c r="J10" s="6" t="n"/>
      <c r="K10" s="6" t="n"/>
    </row>
    <row r="11">
      <c r="A11" s="6" t="inlineStr">
        <is>
          <t>Loans and advances to customers (drawn) (aggregate, pre-2021 disclosure)</t>
        </is>
      </c>
      <c r="B11" s="6" t="n"/>
      <c r="C11" s="6" t="n"/>
      <c r="D11" s="6" t="n"/>
      <c r="E11" s="6" t="n"/>
      <c r="F11" s="6" t="n"/>
      <c r="G11" s="6" t="n">
        <v>7315</v>
      </c>
      <c r="H11" s="6" t="n">
        <v>5916</v>
      </c>
      <c r="I11" s="6" t="n"/>
      <c r="J11" s="6" t="n"/>
      <c r="K11" s="6" t="n"/>
    </row>
    <row r="12">
      <c r="A12" s="6" t="inlineStr">
        <is>
          <t>Loans and advances to customers (50% of undrawn) (aggregate, pre-2021 disclosure)</t>
        </is>
      </c>
      <c r="B12" s="6" t="n"/>
      <c r="C12" s="6" t="n"/>
      <c r="D12" s="6" t="n"/>
      <c r="E12" s="6" t="n"/>
      <c r="F12" s="6" t="n"/>
      <c r="G12" s="6" t="n">
        <v>1440</v>
      </c>
      <c r="H12" s="6" t="n">
        <v>857</v>
      </c>
      <c r="I12" s="6" t="n"/>
      <c r="J12" s="6" t="n"/>
      <c r="K12" s="6" t="n"/>
    </row>
    <row r="13">
      <c r="A13" s="6" t="inlineStr">
        <is>
          <t>Higher Risk Weighted Equities</t>
        </is>
      </c>
      <c r="B13" s="6" t="n"/>
      <c r="C13" s="6" t="n"/>
      <c r="D13" s="6" t="n"/>
      <c r="E13" s="6" t="n">
        <v>30</v>
      </c>
      <c r="F13" s="6" t="n"/>
      <c r="G13" s="6" t="n"/>
      <c r="H13" s="6" t="n"/>
      <c r="I13" s="6" t="n"/>
      <c r="J13" s="6" t="n"/>
      <c r="K13" s="6" t="n"/>
    </row>
    <row r="14">
      <c r="A14" s="6" t="inlineStr">
        <is>
          <t>Property loans and advances to customers (drawn)</t>
        </is>
      </c>
      <c r="B14" s="6" t="n"/>
      <c r="C14" s="6" t="n"/>
      <c r="D14" s="6" t="n">
        <v>10320</v>
      </c>
      <c r="E14" s="6" t="n">
        <v>8470</v>
      </c>
      <c r="F14" s="6" t="n"/>
      <c r="G14" s="6" t="n"/>
      <c r="H14" s="6" t="n"/>
      <c r="I14" s="6" t="n"/>
      <c r="J14" s="6" t="n"/>
      <c r="K14" s="6" t="n"/>
    </row>
    <row r="15">
      <c r="A15" s="6" t="inlineStr">
        <is>
          <t>Property loans and advances to customers (50% of undrawn)</t>
        </is>
      </c>
      <c r="B15" s="6" t="n"/>
      <c r="C15" s="6" t="n"/>
      <c r="D15" s="6" t="n">
        <v>1125</v>
      </c>
      <c r="E15" s="6" t="n">
        <v>1195</v>
      </c>
      <c r="F15" s="6" t="n"/>
      <c r="G15" s="6" t="n"/>
      <c r="H15" s="6" t="n"/>
      <c r="I15" s="6" t="n"/>
      <c r="J15" s="6" t="n"/>
      <c r="K15" s="6" t="n"/>
    </row>
    <row r="16">
      <c r="A16" s="6" t="inlineStr">
        <is>
          <t>Car loans and advances to customers</t>
        </is>
      </c>
      <c r="B16" s="6" t="n"/>
      <c r="C16" s="6" t="n"/>
      <c r="D16" s="6" t="n">
        <v>7</v>
      </c>
      <c r="E16" s="6" t="n">
        <v>12</v>
      </c>
      <c r="F16" s="6" t="n"/>
      <c r="G16" s="6" t="n"/>
      <c r="H16" s="6" t="n"/>
      <c r="I16" s="6" t="n"/>
      <c r="J16" s="6" t="n"/>
      <c r="K16" s="6" t="n"/>
    </row>
    <row r="17">
      <c r="A17" s="6" t="inlineStr">
        <is>
          <t>Fixed and other assets</t>
        </is>
      </c>
      <c r="B17" s="6" t="n"/>
      <c r="C17" s="6" t="n"/>
      <c r="D17" s="6" t="n">
        <v>436</v>
      </c>
      <c r="E17" s="6" t="n">
        <v>145</v>
      </c>
      <c r="F17" s="6" t="n"/>
      <c r="G17" s="6" t="n">
        <v>83</v>
      </c>
      <c r="H17" s="6" t="n">
        <v>133</v>
      </c>
      <c r="I17" s="6" t="n"/>
      <c r="J17" s="6" t="n"/>
      <c r="K17" s="6" t="n"/>
    </row>
    <row r="18">
      <c r="A18" s="5" t="inlineStr">
        <is>
          <t>Total credit risk exposure (RWA)</t>
        </is>
      </c>
      <c r="B18" s="5" t="n"/>
      <c r="C18" s="5" t="n"/>
      <c r="D18" s="5" t="n">
        <v>24085</v>
      </c>
      <c r="E18" s="5" t="n">
        <v>22817</v>
      </c>
      <c r="F18" s="5" t="n"/>
      <c r="G18" s="5" t="n">
        <v>24328</v>
      </c>
      <c r="H18" s="5" t="n">
        <v>19987</v>
      </c>
      <c r="I18" s="5" t="n"/>
      <c r="J18" s="5" t="n"/>
      <c r="K18" s="5" t="n"/>
    </row>
    <row r="19">
      <c r="A19" s="6" t="inlineStr">
        <is>
          <t>Operational risk capital requirement (RWA)</t>
        </is>
      </c>
      <c r="B19" s="6" t="n"/>
      <c r="C19" s="6" t="n"/>
      <c r="D19" s="6" t="n">
        <v>1168</v>
      </c>
      <c r="E19" s="6" t="n">
        <v>1235</v>
      </c>
      <c r="F19" s="6" t="n"/>
      <c r="G19" s="6" t="n">
        <v>988</v>
      </c>
      <c r="H19" s="6" t="n">
        <v>988</v>
      </c>
      <c r="I19" s="6" t="n"/>
      <c r="J19" s="6" t="n"/>
      <c r="K19" s="6" t="n"/>
    </row>
    <row r="20">
      <c r="A20" s="5" t="inlineStr">
        <is>
          <t>Total RWAs (Pillar 1)</t>
        </is>
      </c>
      <c r="B20" s="5" t="n"/>
      <c r="C20" s="5" t="n"/>
      <c r="D20" s="5" t="n">
        <v>25253</v>
      </c>
      <c r="E20" s="5" t="n">
        <v>24052</v>
      </c>
      <c r="F20" s="5" t="n">
        <v>26369</v>
      </c>
      <c r="G20" s="5" t="n">
        <v>25316</v>
      </c>
      <c r="H20" s="5" t="n">
        <v>20975</v>
      </c>
      <c r="I20" s="5" t="n"/>
      <c r="J20" s="5" t="n"/>
      <c r="K20" s="5" t="n"/>
    </row>
    <row r="22" ht="230" customHeight="1">
      <c r="A22" s="8" t="inlineStr">
        <is>
          <t>Sources - Methodist Chapel Aid Limited entity-level Pillar 1 capital requirement / RWA breakdown by exposure class, £'000:
FY2023: Pillar 3 Disclosures for year ended 31 December 2023, Section 5 Capital Adequacy table, p.7 - https://www.mcafundingforchurches.co.uk/media/ngqlqg5o/pillar-3-disclosures-2023.pdf (URL 404s as of this session; retrieved via Wayback Machine snapshot - https://web.archive.org/web/20250407005711/https://www.mcafundingforchurches.co.uk/media/ngqlqg5o/pillar-3-disclosures-2023.pdf)
FY2022: Pillar 3 Disclosures for year ended 31 December 2022, Section 5 Capital Adequacy table, p.8 - https://www.mcafundingforchurches.co.uk/siteFiles/resources/pdf/Pillar3disclosures2022.pdf
FY2021: no category-level breakdown was located - only the Key Metrics table's single Total risk-weighted exposure amount (26,369) is disclosed for FY2021, in the FY2022 Pillar 3 document's comparative column; the underlying Section 5 capital-adequacy table there is 'as at 31 December 2022' only, with no FY2021 equivalent table. Category rows left blank for FY2021; the Total RWAs row is populated from that comparative figure.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(Wayback Machine snapshot - live URL 404s) - https://web.archive.org/web/20210515024743/https://www.mcafundingforchurches.co.uk/sitefiles/resources/pdf/pillar3disclosures2020.pdf.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(Wayback Machine snapshot - live URL 404s) - https://web.archive.org/web/20200930032441/http://mcafundingforchurches.co.uk/sitefiles/resources/pdf/pillar3disclosures2019.pdf. Operational risk RWA derived the same way.
FY2018/FY2017/FY2016: no Pillar 3 document exists anywhere in the Wayback Machine CDX index for mcafundingforchurches.co.uk before FY2019; category rows left blank as genuinely not disclosed.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2:K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n"/>
      <c r="C4" s="6" t="n"/>
      <c r="D4" s="6" t="inlineStr">
        <is>
          <t>35.4%</t>
        </is>
      </c>
      <c r="E4" s="6" t="inlineStr">
        <is>
          <t>33.49%</t>
        </is>
      </c>
      <c r="F4" s="6" t="inlineStr">
        <is>
          <t>33.05%</t>
        </is>
      </c>
      <c r="G4" s="6" t="inlineStr">
        <is>
          <t>~30%</t>
        </is>
      </c>
      <c r="H4" s="6" t="inlineStr">
        <is>
          <t>~30%</t>
        </is>
      </c>
      <c r="I4" s="6" t="n"/>
      <c r="J4" s="6" t="n"/>
      <c r="K4" s="6" t="n"/>
    </row>
    <row r="5" ht="60" customHeight="1">
      <c r="A5" s="7" t="inlineStr">
        <is>
          <t>Note: The Company states that the smaller-bank leverage requirement does not apply; reported ratios are included as disclosed. FY2024 and FY2025 were not separately disclosed.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liquidity coverage ratio</t>
        </is>
      </c>
      <c r="B4" s="6" t="n"/>
      <c r="C4" s="6" t="n"/>
      <c r="D4" s="6" t="inlineStr">
        <is>
          <t>835%</t>
        </is>
      </c>
      <c r="E4" s="6" t="inlineStr">
        <is>
          <t>833%</t>
        </is>
      </c>
      <c r="F4" s="6" t="inlineStr">
        <is>
          <t>603%</t>
        </is>
      </c>
      <c r="G4" s="6" t="n"/>
      <c r="H4" s="6" t="n"/>
      <c r="I4" s="6" t="n"/>
      <c r="J4" s="6" t="n"/>
      <c r="K4" s="6" t="n"/>
    </row>
    <row r="5" ht="60" customHeight="1">
      <c r="A5" s="7" t="inlineStr">
        <is>
          <t>Note: FY2023 is the average based on quarterly end-of-month positions; FY2024 and FY2025 were not separately disclosed. FY2019-FY2021: the standalone Pillar 3 documents for these years state only a policy of maintaining LCR at or above 200% and do not disclose an actual measured ratio; left blank rather than treating the policy floor as an actual value.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t>
        </is>
      </c>
      <c r="B4" s="6" t="n"/>
      <c r="C4" s="6" t="n"/>
      <c r="D4" s="6" t="inlineStr">
        <is>
          <t>182%</t>
        </is>
      </c>
      <c r="E4" s="6" t="inlineStr">
        <is>
          <t>192%</t>
        </is>
      </c>
      <c r="F4" s="6" t="inlineStr">
        <is>
          <t>184%</t>
        </is>
      </c>
      <c r="G4" s="6" t="n"/>
      <c r="H4" s="6" t="n"/>
      <c r="I4" s="6" t="n"/>
      <c r="J4" s="6" t="n"/>
      <c r="K4" s="6" t="n"/>
    </row>
    <row r="5" ht="60" customHeight="1">
      <c r="A5" s="7" t="inlineStr">
        <is>
          <t>Note: FY2023 is the average based on quarterly end-of-month positions; FY2024 and FY2025 were not separately disclosed. FY2019/FY2020: no NSFR was disclosed anywhere in the standalone Pillar 3 documents for these years (no Key Metrics table format existed yet).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2026-09-06T10:33:05Z</dcterms:created>
  <dcterms:modified xmlns:dcterms="http://purl.org/dc/terms/" xmlns:xsi="http://www.w3.org/2001/XMLSchema-instance" xsi:type="dcterms:W3CDTF">2026-09-06T10:33:05Z</dcterms:modified>
</cp:coreProperties>
</file>