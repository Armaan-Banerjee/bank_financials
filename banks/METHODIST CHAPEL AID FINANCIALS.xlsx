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E71"/>
        <bgColor rgb="006B4E7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42</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1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Methodist Chapel Aid Limited — Overview</t>
        </is>
      </c>
    </row>
    <row r="2">
      <c r="A2" s="2" t="inlineStr">
        <is>
          <t>Summary of cash flow and Pillar 3 disclosures across all years covered in this workbook</t>
        </is>
      </c>
    </row>
    <row r="4">
      <c r="A4" s="3" t="inlineStr">
        <is>
          <t>Cash Flow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generated/(used) from operating activities</t>
        </is>
      </c>
      <c r="B6" s="5" t="n">
        <v>230314</v>
      </c>
      <c r="C6" s="5" t="n">
        <v>429322</v>
      </c>
      <c r="D6" s="5" t="n">
        <v>-3050504</v>
      </c>
      <c r="E6" s="5" t="n">
        <v>-2346030</v>
      </c>
      <c r="F6" s="5" t="n">
        <v>714322</v>
      </c>
      <c r="I6" t="inlineStr">
        <is>
          <t>Net cash generated/(used) from operating activities</t>
        </is>
      </c>
      <c r="J6" t="n">
        <v>714322</v>
      </c>
      <c r="K6" t="n">
        <v>-2346030</v>
      </c>
      <c r="L6" t="n">
        <v>-3050504</v>
      </c>
      <c r="M6" t="n">
        <v>429322</v>
      </c>
      <c r="N6" t="n">
        <v>230314</v>
      </c>
      <c r="Q6" t="inlineStr">
        <is>
          <t>CET1 Ratio</t>
        </is>
      </c>
      <c r="R6" t="n">
        <v>52.79</v>
      </c>
      <c r="S6" t="n">
        <v>53.85</v>
      </c>
      <c r="T6" t="n">
        <v>52.88</v>
      </c>
    </row>
    <row r="7">
      <c r="A7" s="5" t="inlineStr">
        <is>
          <t>Net cash generated/(used) from investing activities</t>
        </is>
      </c>
      <c r="B7" s="5" t="n">
        <v>-249591</v>
      </c>
      <c r="C7" s="5" t="n">
        <v>661933</v>
      </c>
      <c r="D7" s="5" t="n">
        <v>-364592</v>
      </c>
      <c r="E7" s="5" t="n">
        <v>-261027</v>
      </c>
      <c r="F7" s="5" t="n">
        <v>519122</v>
      </c>
      <c r="I7" t="inlineStr">
        <is>
          <t>Net cash generated/(used) from investing activities</t>
        </is>
      </c>
      <c r="J7" t="n">
        <v>519122</v>
      </c>
      <c r="K7" t="n">
        <v>-261027</v>
      </c>
      <c r="L7" t="n">
        <v>-364592</v>
      </c>
      <c r="M7" t="n">
        <v>661933</v>
      </c>
      <c r="N7" t="n">
        <v>-249591</v>
      </c>
      <c r="Q7" t="inlineStr">
        <is>
          <t>Total Capital Ratio</t>
        </is>
      </c>
      <c r="R7" t="n">
        <v>52.79</v>
      </c>
      <c r="S7" t="n">
        <v>53.85</v>
      </c>
      <c r="T7" t="n">
        <v>52.88</v>
      </c>
    </row>
    <row r="8">
      <c r="A8" s="5" t="inlineStr">
        <is>
          <t>Net cash generated/(used) in financing activities</t>
        </is>
      </c>
      <c r="B8" s="5" t="n">
        <v>-1353</v>
      </c>
      <c r="C8" s="5" t="n">
        <v>-1317</v>
      </c>
      <c r="D8" s="5" t="n">
        <v>-1233</v>
      </c>
      <c r="E8" s="5" t="n">
        <v>-1113</v>
      </c>
      <c r="F8" s="5" t="n">
        <v>-1068</v>
      </c>
      <c r="I8" t="inlineStr">
        <is>
          <t>Net cash generated/(used) in financing activities</t>
        </is>
      </c>
      <c r="J8" t="n">
        <v>-1068</v>
      </c>
      <c r="K8" t="n">
        <v>-1113</v>
      </c>
      <c r="L8" t="n">
        <v>-1233</v>
      </c>
      <c r="M8" t="n">
        <v>-1317</v>
      </c>
      <c r="N8" t="n">
        <v>-1353</v>
      </c>
      <c r="Q8" t="inlineStr">
        <is>
          <t>Leverage Ratio</t>
        </is>
      </c>
      <c r="R8" t="n">
        <v>33.05</v>
      </c>
      <c r="S8" t="n">
        <v>33.49</v>
      </c>
      <c r="T8" t="n">
        <v>35.4</v>
      </c>
    </row>
    <row r="9">
      <c r="A9" s="5" t="inlineStr">
        <is>
          <t>Cash and cash equivalents at end of year/period</t>
        </is>
      </c>
      <c r="B9" s="5" t="n">
        <v>10166442</v>
      </c>
      <c r="C9" s="5" t="n">
        <v>10187072</v>
      </c>
      <c r="D9" s="5" t="n">
        <v>9097134</v>
      </c>
      <c r="E9" s="5" t="n">
        <v>12513463</v>
      </c>
      <c r="F9" s="5" t="n">
        <v>15121633</v>
      </c>
      <c r="I9" t="inlineStr">
        <is>
          <t>Cash and cash equivalents at end of year/period</t>
        </is>
      </c>
      <c r="J9" t="n">
        <v>15121633</v>
      </c>
      <c r="K9" t="n">
        <v>12513463</v>
      </c>
      <c r="L9" t="n">
        <v>9097134</v>
      </c>
      <c r="M9" t="n">
        <v>10187072</v>
      </c>
      <c r="N9" t="n">
        <v>10166442</v>
      </c>
      <c r="Q9" t="inlineStr">
        <is>
          <t>LCR</t>
        </is>
      </c>
      <c r="R9" t="n">
        <v>603</v>
      </c>
      <c r="S9" t="n">
        <v>833</v>
      </c>
      <c r="T9" t="n">
        <v>835</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n"/>
      <c r="C13" s="6" t="n"/>
      <c r="D13" s="6" t="inlineStr">
        <is>
          <t>52.88%</t>
        </is>
      </c>
      <c r="E13" s="6" t="inlineStr">
        <is>
          <t>53.85%</t>
        </is>
      </c>
      <c r="F13" s="6" t="inlineStr">
        <is>
          <t>52.79%</t>
        </is>
      </c>
    </row>
    <row r="14">
      <c r="A14" s="6" t="inlineStr">
        <is>
          <t>Total Capital Ratio</t>
        </is>
      </c>
      <c r="B14" s="6" t="n"/>
      <c r="C14" s="6" t="n"/>
      <c r="D14" s="6" t="inlineStr">
        <is>
          <t>52.88%</t>
        </is>
      </c>
      <c r="E14" s="6" t="inlineStr">
        <is>
          <t>53.85%</t>
        </is>
      </c>
      <c r="F14" s="6" t="inlineStr">
        <is>
          <t>52.79%</t>
        </is>
      </c>
    </row>
    <row r="15">
      <c r="A15" s="6" t="inlineStr">
        <is>
          <t>Leverage Ratio</t>
        </is>
      </c>
      <c r="B15" s="6" t="n"/>
      <c r="C15" s="6" t="n"/>
      <c r="D15" s="6" t="inlineStr">
        <is>
          <t>35.4%</t>
        </is>
      </c>
      <c r="E15" s="6" t="inlineStr">
        <is>
          <t>33.49%</t>
        </is>
      </c>
      <c r="F15" s="6" t="inlineStr">
        <is>
          <t>33.05%</t>
        </is>
      </c>
    </row>
    <row r="16">
      <c r="A16" s="6" t="inlineStr">
        <is>
          <t>LCR</t>
        </is>
      </c>
      <c r="B16" s="6" t="n"/>
      <c r="C16" s="6" t="n"/>
      <c r="D16" s="6" t="inlineStr">
        <is>
          <t>835%</t>
        </is>
      </c>
      <c r="E16" s="6" t="inlineStr">
        <is>
          <t>833%</t>
        </is>
      </c>
      <c r="F16" s="6" t="inlineStr">
        <is>
          <t>603%</t>
        </is>
      </c>
    </row>
    <row r="18" ht="45" customHeight="1">
      <c r="A18" s="7" t="inlineStr">
        <is>
          <t>Note: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1">
    <mergeCell ref="A18:F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Methodist Chapel Aid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6" t="n"/>
      <c r="C4" s="6" t="n"/>
      <c r="D4" s="6" t="n"/>
      <c r="E4" s="6" t="n"/>
      <c r="F4" s="6" t="n"/>
    </row>
    <row r="5">
      <c r="A5" s="5" t="inlineStr">
        <is>
          <t>Net cash generated/(used) from operating activities</t>
        </is>
      </c>
      <c r="B5" s="5" t="n">
        <v>230314</v>
      </c>
      <c r="C5" s="5" t="n">
        <v>429322</v>
      </c>
      <c r="D5" s="5" t="n">
        <v>-3050504</v>
      </c>
      <c r="E5" s="5" t="n">
        <v>-2346030</v>
      </c>
      <c r="F5" s="5" t="n">
        <v>714322</v>
      </c>
    </row>
    <row r="6">
      <c r="A6" s="5" t="inlineStr">
        <is>
          <t>Investing activities</t>
        </is>
      </c>
      <c r="B6" s="6" t="n"/>
      <c r="C6" s="6" t="n"/>
      <c r="D6" s="6" t="n"/>
      <c r="E6" s="6" t="n"/>
      <c r="F6" s="6" t="n"/>
    </row>
    <row r="7">
      <c r="A7" s="5" t="inlineStr">
        <is>
          <t>Net cash generated/(used) from investing activities</t>
        </is>
      </c>
      <c r="B7" s="5" t="n">
        <v>-249591</v>
      </c>
      <c r="C7" s="5" t="n">
        <v>661933</v>
      </c>
      <c r="D7" s="5" t="n">
        <v>-364592</v>
      </c>
      <c r="E7" s="5" t="n">
        <v>-261027</v>
      </c>
      <c r="F7" s="5" t="n">
        <v>519122</v>
      </c>
    </row>
    <row r="8">
      <c r="A8" s="5" t="inlineStr">
        <is>
          <t>Financing activities</t>
        </is>
      </c>
      <c r="B8" s="6" t="n"/>
      <c r="C8" s="6" t="n"/>
      <c r="D8" s="6" t="n"/>
      <c r="E8" s="6" t="n"/>
      <c r="F8" s="6" t="n"/>
    </row>
    <row r="9">
      <c r="A9" s="5" t="inlineStr">
        <is>
          <t>Net cash generated/(used) in financing activities</t>
        </is>
      </c>
      <c r="B9" s="5" t="n">
        <v>-1353</v>
      </c>
      <c r="C9" s="5" t="n">
        <v>-1317</v>
      </c>
      <c r="D9" s="5" t="n">
        <v>-1233</v>
      </c>
      <c r="E9" s="5" t="n">
        <v>-1113</v>
      </c>
      <c r="F9" s="5" t="n">
        <v>-1068</v>
      </c>
    </row>
    <row r="10">
      <c r="A10" s="5" t="inlineStr">
        <is>
          <t>Net increase/(decrease) in cash and cash equivalents</t>
        </is>
      </c>
      <c r="B10" s="5" t="n">
        <v>-20630</v>
      </c>
      <c r="C10" s="5" t="n">
        <v>1089938</v>
      </c>
      <c r="D10" s="5" t="n">
        <v>-3416329</v>
      </c>
      <c r="E10" s="5" t="n">
        <v>-2608170</v>
      </c>
      <c r="F10" s="5" t="n">
        <v>1232376</v>
      </c>
    </row>
    <row r="11">
      <c r="A11" s="6" t="inlineStr">
        <is>
          <t>Cash and cash equivalents at the beginning of year/period</t>
        </is>
      </c>
      <c r="B11" s="6" t="n">
        <v>10187072</v>
      </c>
      <c r="C11" s="6" t="n">
        <v>9097134</v>
      </c>
      <c r="D11" s="6" t="n">
        <v>12513463</v>
      </c>
      <c r="E11" s="6" t="n">
        <v>15121633</v>
      </c>
      <c r="F11" s="6" t="n">
        <v>13889257</v>
      </c>
    </row>
    <row r="12">
      <c r="A12" s="5" t="inlineStr">
        <is>
          <t>Cash and cash equivalents at the end of year/period</t>
        </is>
      </c>
      <c r="B12" s="5" t="n">
        <v>10166442</v>
      </c>
      <c r="C12" s="5" t="n">
        <v>10187072</v>
      </c>
      <c r="D12" s="5" t="n">
        <v>9097134</v>
      </c>
      <c r="E12" s="5" t="n">
        <v>12513463</v>
      </c>
      <c r="F12" s="5" t="n">
        <v>15121633</v>
      </c>
    </row>
    <row r="14" ht="190" customHeight="1">
      <c r="A14" s="8" t="inlineStr">
        <is>
          <t>Sources - Methodist Chapel Aid Limited entity-level Statement of Cash Flows, £:
FY2025 (9 months ended 30 September 2025): MCA Annual report and accounts 2025, pp. 38-39 - https://www.mcafundingforchurches.co.uk/media/4bcl2vk5/mca-ar-2025.pdf
FY2024: MCA Annual report and accounts 2024, pp. 36-39 - https://www.mcafundingforchurches.co.uk/media/keybconk/annual-report-2024.pdf
FY2023: MCA Annual report and accounts 2024 comparative, p. 39 - https://www.mcafundingforchurches.co.uk/media/keybconk/annual-report-2024.pdf
FY2022: MCA Annual report and accounts 2022, p. 38 - https://www.mcafundingforchurches.co.uk/sitefiles/resources/pdf/annualreport2022.pdf
FY2021: MCA Annual report and accounts 2022 comparative, p. 38 - https://www.mcafundingforchurches.co.uk/sitefiles/resources/pdf/annualreport2022.pdf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1">
    <mergeCell ref="A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c r="C4" s="6" t="n"/>
      <c r="D4" s="6" t="n">
        <v>13354</v>
      </c>
      <c r="E4" s="6" t="n">
        <v>12952</v>
      </c>
      <c r="F4" s="6" t="n">
        <v>13919</v>
      </c>
    </row>
    <row r="5" ht="60" customHeight="1">
      <c r="A5" s="7" t="inlineStr">
        <is>
          <t>Note: FY2024 and FY2025 absolute regulatory capital was not separately disclosed in the located sources.</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n"/>
      <c r="C4" s="6" t="n"/>
      <c r="D4" s="6" t="inlineStr">
        <is>
          <t>52.88%</t>
        </is>
      </c>
      <c r="E4" s="6" t="inlineStr">
        <is>
          <t>53.85%</t>
        </is>
      </c>
      <c r="F4" s="6" t="inlineStr">
        <is>
          <t>52.79%</t>
        </is>
      </c>
    </row>
    <row r="5" ht="60" customHeight="1">
      <c r="A5" s="7" t="inlineStr">
        <is>
          <t>Note: FY2024 and FY2025 ratio not separately disclosed in the located sources.</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c r="D4" s="6" t="n">
        <v>13354</v>
      </c>
      <c r="E4" s="6" t="n">
        <v>12952</v>
      </c>
      <c r="F4" s="6" t="n">
        <v>13919</v>
      </c>
    </row>
    <row r="5" ht="60" customHeight="1">
      <c r="A5" s="7" t="inlineStr">
        <is>
          <t>Note: All disclosed Tier 1 capital was CET1; FY2024 and FY2025 were not separately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n"/>
      <c r="D4" s="6" t="inlineStr">
        <is>
          <t>52.88%</t>
        </is>
      </c>
      <c r="E4" s="6" t="inlineStr">
        <is>
          <t>53.85%</t>
        </is>
      </c>
      <c r="F4" s="6" t="inlineStr">
        <is>
          <t>52.79%</t>
        </is>
      </c>
    </row>
    <row r="5" ht="60" customHeight="1">
      <c r="A5" s="7" t="inlineStr">
        <is>
          <t>Note: FY2024 and FY2025 ratio not separately disclosed in the located sources.</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c r="D4" s="6" t="n">
        <v>13354</v>
      </c>
      <c r="E4" s="6" t="n">
        <v>12952</v>
      </c>
      <c r="F4" s="6" t="n">
        <v>13919</v>
      </c>
    </row>
    <row r="5" ht="60" customHeight="1">
      <c r="A5" s="7" t="inlineStr">
        <is>
          <t>Note: All disclosed total capital was CET1; FY2024 and FY2025 were not separately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n"/>
      <c r="D4" s="6" t="inlineStr">
        <is>
          <t>52.88%</t>
        </is>
      </c>
      <c r="E4" s="6" t="inlineStr">
        <is>
          <t>53.85%</t>
        </is>
      </c>
      <c r="F4" s="6" t="inlineStr">
        <is>
          <t>52.79%</t>
        </is>
      </c>
    </row>
    <row r="5" ht="60" customHeight="1">
      <c r="A5" s="7" t="inlineStr">
        <is>
          <t>Note: FY2024 and FY2025 ratio not separately disclosed in the located sources.</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c r="C4" s="6" t="n"/>
      <c r="D4" s="6" t="n">
        <v>25253</v>
      </c>
      <c r="E4" s="6" t="n">
        <v>24052</v>
      </c>
      <c r="F4" s="6" t="n">
        <v>26369</v>
      </c>
    </row>
    <row r="5" ht="60" customHeight="1">
      <c r="A5" s="7" t="inlineStr">
        <is>
          <t>Note: FY2024 and FY2025 absolute RWA was not separately disclosed in the located sources.</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n"/>
      <c r="D4" s="6" t="inlineStr">
        <is>
          <t>35.4%</t>
        </is>
      </c>
      <c r="E4" s="6" t="inlineStr">
        <is>
          <t>33.49%</t>
        </is>
      </c>
      <c r="F4" s="6" t="inlineStr">
        <is>
          <t>33.05%</t>
        </is>
      </c>
    </row>
    <row r="5" ht="60" customHeight="1">
      <c r="A5" s="7" t="inlineStr">
        <is>
          <t>Note: The Company states that the smaller-bank leverage requirement does not apply; reported ratios are included as disclosed. FY2024 and FY2025 were not separately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Average liquidity coverage ratio</t>
        </is>
      </c>
      <c r="B4" s="6" t="n"/>
      <c r="C4" s="6" t="n"/>
      <c r="D4" s="6" t="inlineStr">
        <is>
          <t>835%</t>
        </is>
      </c>
      <c r="E4" s="6" t="inlineStr">
        <is>
          <t>833%</t>
        </is>
      </c>
      <c r="F4" s="6" t="inlineStr">
        <is>
          <t>603%</t>
        </is>
      </c>
    </row>
    <row r="5" ht="60" customHeight="1">
      <c r="A5" s="7" t="inlineStr">
        <is>
          <t>Note: FY2023 is the average based on quarterly end-of-month positions; FY2024 and FY2025 were not separately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Methodist Chapel Aid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Average net stable funding ratio</t>
        </is>
      </c>
      <c r="B4" s="6" t="n"/>
      <c r="C4" s="6" t="n"/>
      <c r="D4" s="6" t="inlineStr">
        <is>
          <t>182%</t>
        </is>
      </c>
      <c r="E4" s="6" t="inlineStr">
        <is>
          <t>192%</t>
        </is>
      </c>
      <c r="F4" s="6" t="inlineStr">
        <is>
          <t>184%</t>
        </is>
      </c>
    </row>
    <row r="5" ht="60" customHeight="1">
      <c r="A5" s="7" t="inlineStr">
        <is>
          <t>Note: FY2023 is the average based on quarterly end-of-month positions; FY2024 and FY2025 were not separately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Methodist Chapel Aid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was disclosed in the located Methodist Chapel Aid Pillar 3 documents.</t>
        </is>
      </c>
    </row>
    <row r="7" ht="15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 13-sheet annual workbook. FY2024 and FY2025 absolute regulatory capital metrics were not separately disclosed in the located sources and are left blank rather than inferred from statutory net assets. MREL was not disclosed.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2026-08-29T10:34:31Z</dcterms:created>
  <dcterms:modified xmlns:dcterms="http://purl.org/dc/terms/" xmlns:xsi="http://www.w3.org/2001/XMLSchema-instance" xsi:type="dcterms:W3CDTF">2026-08-29T10:34:31Z</dcterms:modified>
</cp:coreProperties>
</file>