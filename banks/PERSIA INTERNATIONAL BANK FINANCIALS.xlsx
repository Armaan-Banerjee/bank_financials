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3E75"/>
        <bgColor rgb="006B3E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Persia International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Persia International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Persia International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ser>
          <idx val="3"/>
          <order val="3"/>
          <tx>
            <strRef>
              <f>'Overview'!AQ22</f>
            </strRef>
          </tx>
          <spPr>
            <a:ln xmlns:a="http://schemas.openxmlformats.org/drawingml/2006/main">
              <a:prstDash val="solid"/>
            </a:ln>
          </spPr>
          <cat>
            <numRef>
              <f>'Overview'!$AR$18:$BB$18</f>
            </numRef>
          </cat>
          <val>
            <numRef>
              <f>'Overview'!$AR$22:$BB$22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Persia International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'Overview'!BE26</f>
            </strRef>
          </tx>
          <spPr>
            <a:ln xmlns:a="http://schemas.openxmlformats.org/drawingml/2006/main">
              <a:prstDash val="solid"/>
            </a:ln>
          </spPr>
          <cat>
            <numRef>
              <f>'Overview'!$BF$25:$BP$25</f>
            </numRef>
          </cat>
          <val>
            <numRef>
              <f>'Overview'!$BF$26:$BP$26</f>
            </numRef>
          </val>
        </ser>
        <ser>
          <idx val="1"/>
          <order val="1"/>
          <tx>
            <strRef>
              <f>'Overview'!BE27</f>
            </strRef>
          </tx>
          <spPr>
            <a:ln xmlns:a="http://schemas.openxmlformats.org/drawingml/2006/main">
              <a:prstDash val="solid"/>
            </a:ln>
          </spPr>
          <cat>
            <numRef>
              <f>'Overview'!$BF$25:$BP$25</f>
            </numRef>
          </cat>
          <val>
            <numRef>
              <f>'Overview'!$BF$27:$BP$27</f>
            </numRef>
          </val>
        </ser>
        <ser>
          <idx val="2"/>
          <order val="2"/>
          <tx>
            <strRef>
              <f>'Overview'!BE28</f>
            </strRef>
          </tx>
          <spPr>
            <a:ln xmlns:a="http://schemas.openxmlformats.org/drawingml/2006/main">
              <a:prstDash val="solid"/>
            </a:ln>
          </spPr>
          <cat>
            <numRef>
              <f>'Overview'!$BF$25:$BP$25</f>
            </numRef>
          </cat>
          <val>
            <numRef>
              <f>'Overview'!$BF$28:$BP$28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Persia International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'Overview'!$BT$5:$CC$5</f>
            </numRef>
          </cat>
          <val>
            <numRef>
              <f>'Overview'!$BT$6:$CC$6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'Overview'!$BT$5:$CC$5</f>
            </numRef>
          </cat>
          <val>
            <numRef>
              <f>'Overview'!$BT$7:$CC$7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125</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C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s>
  <sheetData>
    <row r="1">
      <c r="A1" s="1" t="inlineStr">
        <is>
          <t>Persia International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EUR))</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T5" t="inlineStr">
        <is>
          <t>FY2016</t>
        </is>
      </c>
      <c r="BU5" t="inlineStr">
        <is>
          <t>FY2017</t>
        </is>
      </c>
      <c r="BV5" t="inlineStr">
        <is>
          <t>FY2018</t>
        </is>
      </c>
      <c r="BW5" t="inlineStr">
        <is>
          <t>FY2019</t>
        </is>
      </c>
      <c r="BX5" t="inlineStr">
        <is>
          <t>FY2020</t>
        </is>
      </c>
      <c r="BY5" t="inlineStr">
        <is>
          <t>FY2021</t>
        </is>
      </c>
      <c r="BZ5" t="inlineStr">
        <is>
          <t>FY2022</t>
        </is>
      </c>
      <c r="CA5" t="inlineStr">
        <is>
          <t>FY2023</t>
        </is>
      </c>
      <c r="CB5" t="inlineStr">
        <is>
          <t>FY2024</t>
        </is>
      </c>
      <c r="CC5" t="inlineStr">
        <is>
          <t>FY2025</t>
        </is>
      </c>
    </row>
    <row r="6">
      <c r="A6" s="5" t="inlineStr">
        <is>
          <t>Total assets</t>
        </is>
      </c>
      <c r="B6" s="5" t="n">
        <v>129947.7</v>
      </c>
      <c r="C6" s="5" t="n">
        <v>152437.9</v>
      </c>
      <c r="D6" s="5" t="n">
        <v>183749.3</v>
      </c>
      <c r="E6" s="5" t="n">
        <v>177880.1</v>
      </c>
      <c r="F6" s="5" t="n">
        <v>186250.8</v>
      </c>
      <c r="G6" s="5" t="n">
        <v>195794.7</v>
      </c>
      <c r="H6" s="5" t="n">
        <v>143386.9</v>
      </c>
      <c r="I6" s="5" t="n">
        <v>161278.2</v>
      </c>
      <c r="J6" s="5" t="n">
        <v>169564.6</v>
      </c>
      <c r="K6" s="5" t="n">
        <v>222384</v>
      </c>
      <c r="L6" s="5" t="n">
        <v>225013</v>
      </c>
      <c r="O6" t="inlineStr">
        <is>
          <t>Total assets</t>
        </is>
      </c>
      <c r="P6" t="n">
        <v>225013</v>
      </c>
      <c r="Q6" t="n">
        <v>222384</v>
      </c>
      <c r="R6" t="n">
        <v>169564.6</v>
      </c>
      <c r="S6" t="n">
        <v>161278.2</v>
      </c>
      <c r="T6" t="n">
        <v>143386.9</v>
      </c>
      <c r="U6" t="n">
        <v>195794.7</v>
      </c>
      <c r="V6" t="n">
        <v>186250.8</v>
      </c>
      <c r="W6" t="n">
        <v>177880.1</v>
      </c>
      <c r="X6" t="n">
        <v>183749.3</v>
      </c>
      <c r="Y6" t="n">
        <v>152437.9</v>
      </c>
      <c r="Z6" t="n">
        <v>129947.7</v>
      </c>
      <c r="BS6" t="inlineStr">
        <is>
          <t>Leverage Ratio</t>
        </is>
      </c>
      <c r="BT6" t="n">
        <v>49.99</v>
      </c>
      <c r="BU6" t="n">
        <v>52.52</v>
      </c>
      <c r="BV6" t="n">
        <v>49.27</v>
      </c>
      <c r="BX6" t="n">
        <v>33.77</v>
      </c>
      <c r="BY6" t="n">
        <v>53.32</v>
      </c>
    </row>
    <row r="7">
      <c r="A7" s="5" t="inlineStr">
        <is>
          <t>Loans and advances to customers</t>
        </is>
      </c>
      <c r="B7" s="5" t="n">
        <v>22693.6</v>
      </c>
      <c r="C7" s="5" t="n">
        <v>42269.5</v>
      </c>
      <c r="D7" s="5" t="n">
        <v>21694.6</v>
      </c>
      <c r="E7" s="5" t="n">
        <v>27421.7</v>
      </c>
      <c r="F7" s="5" t="n">
        <v>30927</v>
      </c>
      <c r="G7" s="5" t="n">
        <v>30585.7</v>
      </c>
      <c r="H7" s="5" t="n">
        <v>11913.6</v>
      </c>
      <c r="I7" s="5" t="n">
        <v>13573</v>
      </c>
      <c r="J7" s="5" t="n">
        <v>24281</v>
      </c>
      <c r="K7" s="5" t="n">
        <v>44775</v>
      </c>
      <c r="L7" s="5" t="n">
        <v>50022</v>
      </c>
      <c r="O7" t="inlineStr">
        <is>
          <t>Loans and advances to customers</t>
        </is>
      </c>
      <c r="P7" t="n">
        <v>50022</v>
      </c>
      <c r="Q7" t="n">
        <v>44775</v>
      </c>
      <c r="R7" t="n">
        <v>24281</v>
      </c>
      <c r="S7" t="n">
        <v>13573</v>
      </c>
      <c r="T7" t="n">
        <v>11913.6</v>
      </c>
      <c r="U7" t="n">
        <v>30585.7</v>
      </c>
      <c r="V7" t="n">
        <v>30927</v>
      </c>
      <c r="W7" t="n">
        <v>27421.7</v>
      </c>
      <c r="X7" t="n">
        <v>21694.6</v>
      </c>
      <c r="Y7" t="n">
        <v>42269.5</v>
      </c>
      <c r="Z7" t="n">
        <v>22693.6</v>
      </c>
      <c r="BS7" t="inlineStr">
        <is>
          <t>LCR</t>
        </is>
      </c>
      <c r="BV7" t="n">
        <v>539.22</v>
      </c>
      <c r="BX7" t="n">
        <v>181.69</v>
      </c>
      <c r="BY7" t="n">
        <v>221.13</v>
      </c>
    </row>
    <row r="8">
      <c r="A8" s="5" t="inlineStr">
        <is>
          <t>Deposits from customers</t>
        </is>
      </c>
      <c r="B8" s="5" t="n">
        <v>3838.5</v>
      </c>
      <c r="C8" s="5" t="n">
        <v>4790.6</v>
      </c>
      <c r="D8" s="5" t="n">
        <v>4935</v>
      </c>
      <c r="E8" s="5" t="n">
        <v>5350.3</v>
      </c>
      <c r="F8" s="5" t="n">
        <v>5345.2</v>
      </c>
      <c r="G8" s="5" t="n">
        <v>5606.1</v>
      </c>
      <c r="H8" s="5" t="n">
        <v>5736.2</v>
      </c>
      <c r="I8" s="5" t="n">
        <v>2520</v>
      </c>
      <c r="J8" s="5" t="n">
        <v>1315.4</v>
      </c>
      <c r="K8" s="5" t="n">
        <v>2687</v>
      </c>
      <c r="L8" s="5" t="n">
        <v>2732</v>
      </c>
      <c r="O8" t="inlineStr">
        <is>
          <t>Deposits from customers</t>
        </is>
      </c>
      <c r="P8" t="n">
        <v>2732</v>
      </c>
      <c r="Q8" t="n">
        <v>2687</v>
      </c>
      <c r="R8" t="n">
        <v>1315.4</v>
      </c>
      <c r="S8" t="n">
        <v>2520</v>
      </c>
      <c r="T8" t="n">
        <v>5736.2</v>
      </c>
      <c r="U8" t="n">
        <v>5606.1</v>
      </c>
      <c r="V8" t="n">
        <v>5345.2</v>
      </c>
      <c r="W8" t="n">
        <v>5350.3</v>
      </c>
      <c r="X8" t="n">
        <v>4935</v>
      </c>
      <c r="Y8" t="n">
        <v>4790.6</v>
      </c>
      <c r="Z8" t="n">
        <v>3838.5</v>
      </c>
    </row>
    <row r="9">
      <c r="A9" s="5" t="inlineStr">
        <is>
          <t>Total shareholders' equity</t>
        </is>
      </c>
      <c r="B9" s="5" t="n">
        <v>92204</v>
      </c>
      <c r="C9" s="5" t="n">
        <v>109177.5</v>
      </c>
      <c r="D9" s="5" t="n">
        <v>116653.7</v>
      </c>
      <c r="E9" s="5" t="n">
        <v>111664.9</v>
      </c>
      <c r="F9" s="5" t="n">
        <v>111374</v>
      </c>
      <c r="G9" s="5" t="n">
        <v>72251.10000000001</v>
      </c>
      <c r="H9" s="5" t="n">
        <v>75335.10000000001</v>
      </c>
      <c r="I9" s="5" t="n">
        <v>86014.2</v>
      </c>
      <c r="J9" s="5" t="n">
        <v>89052.2</v>
      </c>
      <c r="K9" s="5" t="n">
        <v>105499</v>
      </c>
      <c r="L9" s="5" t="n">
        <v>105997</v>
      </c>
      <c r="O9" t="inlineStr">
        <is>
          <t>Total shareholders' equity</t>
        </is>
      </c>
      <c r="P9" t="n">
        <v>105997</v>
      </c>
      <c r="Q9" t="n">
        <v>105499</v>
      </c>
      <c r="R9" t="n">
        <v>89052.2</v>
      </c>
      <c r="S9" t="n">
        <v>86014.2</v>
      </c>
      <c r="T9" t="n">
        <v>75335.10000000001</v>
      </c>
      <c r="U9" t="n">
        <v>72251.10000000001</v>
      </c>
      <c r="V9" t="n">
        <v>111374</v>
      </c>
      <c r="W9" t="n">
        <v>111664.9</v>
      </c>
      <c r="X9" t="n">
        <v>116653.7</v>
      </c>
      <c r="Y9" t="n">
        <v>109177.5</v>
      </c>
      <c r="Z9" t="n">
        <v>92204</v>
      </c>
    </row>
    <row r="11">
      <c r="A11" s="3" t="inlineStr">
        <is>
          <t>Profit &amp; Loss Summary (£'000 (conv. from EUR))</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Net Interest Income</t>
        </is>
      </c>
      <c r="B13" s="5" t="n">
        <v>5610.4</v>
      </c>
      <c r="C13" s="5" t="n">
        <v>6552.8</v>
      </c>
      <c r="D13" s="5" t="n">
        <v>5600.1</v>
      </c>
      <c r="E13" s="5" t="n">
        <v>2717.8</v>
      </c>
      <c r="F13" s="5" t="n">
        <v>3269.2</v>
      </c>
      <c r="G13" s="5" t="n">
        <v>1804</v>
      </c>
      <c r="H13" s="5" t="n">
        <v>1334</v>
      </c>
      <c r="I13" s="5" t="n">
        <v>2348.9</v>
      </c>
      <c r="J13" s="5" t="n">
        <v>3538.1</v>
      </c>
      <c r="K13" s="5" t="n">
        <v>4060.8</v>
      </c>
      <c r="L13" s="5" t="n">
        <v>3986.1</v>
      </c>
      <c r="AC13" t="inlineStr">
        <is>
          <t>Net Interest Income</t>
        </is>
      </c>
      <c r="AD13" t="n">
        <v>3986.1</v>
      </c>
      <c r="AE13" t="n">
        <v>4060.8</v>
      </c>
      <c r="AF13" t="n">
        <v>3538.1</v>
      </c>
      <c r="AG13" t="n">
        <v>2348.9</v>
      </c>
      <c r="AH13" t="n">
        <v>1334</v>
      </c>
      <c r="AI13" t="n">
        <v>1804</v>
      </c>
      <c r="AJ13" t="n">
        <v>3269.2</v>
      </c>
      <c r="AK13" t="n">
        <v>2717.8</v>
      </c>
      <c r="AL13" t="n">
        <v>5600.1</v>
      </c>
      <c r="AM13" t="n">
        <v>6552.8</v>
      </c>
      <c r="AN13" t="n">
        <v>5610.4</v>
      </c>
    </row>
    <row r="14">
      <c r="A14" s="5" t="inlineStr">
        <is>
          <t>Total operating expenses</t>
        </is>
      </c>
      <c r="B14" s="5" t="n">
        <v>-5858.7</v>
      </c>
      <c r="C14" s="5" t="n">
        <v>-6295.6</v>
      </c>
      <c r="D14" s="5" t="n">
        <v>-4614.6</v>
      </c>
      <c r="E14" s="5" t="n">
        <v>-3221.6</v>
      </c>
      <c r="F14" s="5" t="n">
        <v>-4644.6</v>
      </c>
      <c r="G14" s="5" t="n"/>
      <c r="H14" s="5" t="n"/>
      <c r="I14" s="5" t="n"/>
      <c r="J14" s="5" t="n"/>
      <c r="K14" s="5" t="n"/>
      <c r="L14" s="5" t="n"/>
      <c r="AC14" t="inlineStr">
        <is>
          <t>Total operating expenses</t>
        </is>
      </c>
      <c r="AJ14" t="n">
        <v>-4644.6</v>
      </c>
      <c r="AK14" t="n">
        <v>-3221.6</v>
      </c>
      <c r="AL14" t="n">
        <v>-4614.6</v>
      </c>
      <c r="AM14" t="n">
        <v>-6295.6</v>
      </c>
      <c r="AN14" t="n">
        <v>-5858.7</v>
      </c>
    </row>
    <row r="15">
      <c r="A15" s="5" t="inlineStr">
        <is>
          <t>Profit/(loss) for the year attributable to equity holders</t>
        </is>
      </c>
      <c r="B15" s="5" t="n">
        <v>-14488.7</v>
      </c>
      <c r="C15" s="5" t="n">
        <v>-3359.7</v>
      </c>
      <c r="D15" s="5" t="n">
        <v>684.6</v>
      </c>
      <c r="E15" s="5" t="n">
        <v>949.7</v>
      </c>
      <c r="F15" s="5" t="n">
        <v>-479.3</v>
      </c>
      <c r="G15" s="5" t="n">
        <v>-5681.2</v>
      </c>
      <c r="H15" s="5" t="n">
        <v>-5151.7</v>
      </c>
      <c r="I15" s="5" t="n">
        <v>-4898.1</v>
      </c>
      <c r="J15" s="5" t="n">
        <v>-1384.3</v>
      </c>
      <c r="K15" s="5" t="n">
        <v>-368</v>
      </c>
      <c r="L15" s="5" t="n">
        <v>405</v>
      </c>
      <c r="AC15" t="inlineStr">
        <is>
          <t>Profit/(loss) for the year attributable to equity holders</t>
        </is>
      </c>
      <c r="AD15" t="n">
        <v>405</v>
      </c>
      <c r="AE15" t="n">
        <v>-368</v>
      </c>
      <c r="AF15" t="n">
        <v>-1384.3</v>
      </c>
      <c r="AG15" t="n">
        <v>-4898.1</v>
      </c>
      <c r="AH15" t="n">
        <v>-5151.7</v>
      </c>
      <c r="AI15" t="n">
        <v>-5681.2</v>
      </c>
      <c r="AJ15" t="n">
        <v>-479.3</v>
      </c>
      <c r="AK15" t="n">
        <v>949.7</v>
      </c>
      <c r="AL15" t="n">
        <v>684.6</v>
      </c>
      <c r="AM15" t="n">
        <v>-3359.7</v>
      </c>
      <c r="AN15" t="n">
        <v>-14488.7</v>
      </c>
    </row>
    <row r="17">
      <c r="A17" s="3" t="inlineStr">
        <is>
          <t>Statement of Changes in Equity Summary (£'000 (conv. from EUR))</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AR18" t="inlineStr">
        <is>
          <t>FY2015</t>
        </is>
      </c>
      <c r="AS18" t="inlineStr">
        <is>
          <t>FY2016</t>
        </is>
      </c>
      <c r="AT18" t="inlineStr">
        <is>
          <t>FY2017</t>
        </is>
      </c>
      <c r="AU18" t="inlineStr">
        <is>
          <t>FY2018</t>
        </is>
      </c>
      <c r="AV18" t="inlineStr">
        <is>
          <t>FY2019</t>
        </is>
      </c>
      <c r="AW18" t="inlineStr">
        <is>
          <t>FY2020</t>
        </is>
      </c>
      <c r="AX18" t="inlineStr">
        <is>
          <t>FY2021</t>
        </is>
      </c>
      <c r="AY18" t="inlineStr">
        <is>
          <t>FY2022</t>
        </is>
      </c>
      <c r="AZ18" t="inlineStr">
        <is>
          <t>FY2023</t>
        </is>
      </c>
      <c r="BA18" t="inlineStr">
        <is>
          <t>FY2024</t>
        </is>
      </c>
      <c r="BB18" t="inlineStr">
        <is>
          <t>FY2025</t>
        </is>
      </c>
    </row>
    <row r="19">
      <c r="A19" s="5" t="inlineStr">
        <is>
          <t>Opening equity</t>
        </is>
      </c>
      <c r="B19" s="5" t="n">
        <v>109177.5</v>
      </c>
      <c r="C19" s="5" t="n">
        <v>116653.7</v>
      </c>
      <c r="D19" s="5" t="n">
        <v>111664.9</v>
      </c>
      <c r="E19" s="5" t="n">
        <v>111374</v>
      </c>
      <c r="F19" s="5" t="n"/>
      <c r="G19" s="5" t="n">
        <v>75335.10000000001</v>
      </c>
      <c r="H19" s="5" t="n">
        <v>86014.2</v>
      </c>
      <c r="I19" s="5" t="n">
        <v>89052.2</v>
      </c>
      <c r="J19" s="5" t="n">
        <v>105499</v>
      </c>
      <c r="K19" s="5" t="n">
        <v>105997</v>
      </c>
      <c r="L19" s="5" t="n">
        <v>105479</v>
      </c>
      <c r="AQ19" t="inlineStr">
        <is>
          <t>Opening equity</t>
        </is>
      </c>
      <c r="AR19" t="n">
        <v>105479</v>
      </c>
      <c r="AS19" t="n">
        <v>105997</v>
      </c>
      <c r="AT19" t="n">
        <v>105499</v>
      </c>
      <c r="AU19" t="n">
        <v>89052.2</v>
      </c>
      <c r="AV19" t="n">
        <v>86014.2</v>
      </c>
      <c r="AW19" t="n">
        <v>75335.10000000001</v>
      </c>
      <c r="AY19" t="n">
        <v>111374</v>
      </c>
      <c r="AZ19" t="n">
        <v>111664.9</v>
      </c>
      <c r="BA19" t="n">
        <v>116653.7</v>
      </c>
      <c r="BB19" t="n">
        <v>109177.5</v>
      </c>
    </row>
    <row r="20">
      <c r="A20" s="5" t="inlineStr">
        <is>
          <t>Total comprehensive income/(expense) for the year</t>
        </is>
      </c>
      <c r="B20" s="5" t="n">
        <v>-14488.7</v>
      </c>
      <c r="C20" s="5" t="n">
        <v>-3359.7</v>
      </c>
      <c r="D20" s="5" t="n">
        <v>684.6</v>
      </c>
      <c r="E20" s="5" t="n">
        <v>949.7</v>
      </c>
      <c r="F20" s="5" t="n">
        <v>-479.3</v>
      </c>
      <c r="G20" s="5" t="n">
        <v>-5681.2</v>
      </c>
      <c r="H20" s="5" t="n">
        <v>-5151.7</v>
      </c>
      <c r="I20" s="5" t="n">
        <v>-4898.1</v>
      </c>
      <c r="J20" s="5" t="n">
        <v>-1384.3</v>
      </c>
      <c r="K20" s="5" t="n">
        <v>-368</v>
      </c>
      <c r="L20" s="5" t="n">
        <v>405</v>
      </c>
      <c r="AQ20" t="inlineStr">
        <is>
          <t>Total comprehensive income/(expense) for the year</t>
        </is>
      </c>
      <c r="AR20" t="n">
        <v>405</v>
      </c>
      <c r="AS20" t="n">
        <v>-368</v>
      </c>
      <c r="AT20" t="n">
        <v>-1384.3</v>
      </c>
      <c r="AU20" t="n">
        <v>-4898.1</v>
      </c>
      <c r="AV20" t="n">
        <v>-5151.7</v>
      </c>
      <c r="AW20" t="n">
        <v>-5681.2</v>
      </c>
      <c r="AX20" t="n">
        <v>-479.3</v>
      </c>
      <c r="AY20" t="n">
        <v>949.7</v>
      </c>
      <c r="AZ20" t="n">
        <v>684.6</v>
      </c>
      <c r="BA20" t="n">
        <v>-3359.7</v>
      </c>
      <c r="BB20" t="n">
        <v>-14488.7</v>
      </c>
    </row>
    <row r="21">
      <c r="A21" s="5" t="inlineStr">
        <is>
          <t>Other equity movements, net (FY2021: share capital issuance; FY2024: prior period restatement per Note 33)</t>
        </is>
      </c>
      <c r="B21" s="5" t="n">
        <v>0</v>
      </c>
      <c r="C21" s="5" t="n">
        <v>-858</v>
      </c>
      <c r="D21" s="5" t="n">
        <v>0</v>
      </c>
      <c r="E21" s="5" t="n">
        <v>0</v>
      </c>
      <c r="F21" s="5" t="n">
        <v>44625</v>
      </c>
      <c r="G21" s="5" t="n">
        <v>0</v>
      </c>
      <c r="H21" s="5" t="n">
        <v>0</v>
      </c>
      <c r="I21" s="5" t="n">
        <v>0</v>
      </c>
      <c r="J21" s="5" t="n">
        <v>0</v>
      </c>
      <c r="K21" s="5" t="n">
        <v>0</v>
      </c>
      <c r="L21" s="5" t="n">
        <v>0</v>
      </c>
      <c r="AQ21" t="inlineStr">
        <is>
          <t>Other equity movements, net (FY2021: share capital issuance; FY2024: prior period restatement per Note 33)</t>
        </is>
      </c>
      <c r="AR21" t="n">
        <v>0</v>
      </c>
      <c r="AS21" t="n">
        <v>0</v>
      </c>
      <c r="AT21" t="n">
        <v>0</v>
      </c>
      <c r="AU21" t="n">
        <v>0</v>
      </c>
      <c r="AV21" t="n">
        <v>0</v>
      </c>
      <c r="AW21" t="n">
        <v>0</v>
      </c>
      <c r="AX21" t="n">
        <v>44625</v>
      </c>
      <c r="AY21" t="n">
        <v>0</v>
      </c>
      <c r="AZ21" t="n">
        <v>0</v>
      </c>
      <c r="BA21" t="n">
        <v>-858</v>
      </c>
      <c r="BB21" t="n">
        <v>0</v>
      </c>
    </row>
    <row r="22">
      <c r="A22" s="5" t="inlineStr">
        <is>
          <t>Closing equity</t>
        </is>
      </c>
      <c r="B22" s="5" t="n">
        <v>92204</v>
      </c>
      <c r="C22" s="5" t="n">
        <v>109177.5</v>
      </c>
      <c r="D22" s="5" t="n">
        <v>116653.7</v>
      </c>
      <c r="E22" s="5" t="n">
        <v>111664.9</v>
      </c>
      <c r="F22" s="5" t="n">
        <v>111374</v>
      </c>
      <c r="G22" s="5" t="n">
        <v>72251.10000000001</v>
      </c>
      <c r="H22" s="5" t="n">
        <v>75335.10000000001</v>
      </c>
      <c r="I22" s="5" t="n">
        <v>86014.2</v>
      </c>
      <c r="J22" s="5" t="n">
        <v>89052.2</v>
      </c>
      <c r="K22" s="5" t="n">
        <v>105499</v>
      </c>
      <c r="L22" s="5" t="n">
        <v>105997</v>
      </c>
      <c r="AQ22" t="inlineStr">
        <is>
          <t>Closing equity</t>
        </is>
      </c>
      <c r="AR22" t="n">
        <v>105997</v>
      </c>
      <c r="AS22" t="n">
        <v>105499</v>
      </c>
      <c r="AT22" t="n">
        <v>89052.2</v>
      </c>
      <c r="AU22" t="n">
        <v>86014.2</v>
      </c>
      <c r="AV22" t="n">
        <v>75335.10000000001</v>
      </c>
      <c r="AW22" t="n">
        <v>72251.10000000001</v>
      </c>
      <c r="AX22" t="n">
        <v>111374</v>
      </c>
      <c r="AY22" t="n">
        <v>111664.9</v>
      </c>
      <c r="AZ22" t="n">
        <v>116653.7</v>
      </c>
      <c r="BA22" t="n">
        <v>109177.5</v>
      </c>
      <c r="BB22" t="n">
        <v>92204</v>
      </c>
    </row>
    <row r="24">
      <c r="A24" s="3" t="inlineStr">
        <is>
          <t>Cash Flow Summary (£'000 (conv. from EUR))</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BF25" t="inlineStr">
        <is>
          <t>FY2015</t>
        </is>
      </c>
      <c r="BG25" t="inlineStr">
        <is>
          <t>FY2016</t>
        </is>
      </c>
      <c r="BH25" t="inlineStr">
        <is>
          <t>FY2017</t>
        </is>
      </c>
      <c r="BI25" t="inlineStr">
        <is>
          <t>FY2018</t>
        </is>
      </c>
      <c r="BJ25" t="inlineStr">
        <is>
          <t>FY2019</t>
        </is>
      </c>
      <c r="BK25" t="inlineStr">
        <is>
          <t>FY2020</t>
        </is>
      </c>
      <c r="BL25" t="inlineStr">
        <is>
          <t>FY2021</t>
        </is>
      </c>
      <c r="BM25" t="inlineStr">
        <is>
          <t>FY2022</t>
        </is>
      </c>
      <c r="BN25" t="inlineStr">
        <is>
          <t>FY2023</t>
        </is>
      </c>
      <c r="BO25" t="inlineStr">
        <is>
          <t>FY2024</t>
        </is>
      </c>
      <c r="BP25" t="inlineStr">
        <is>
          <t>FY2025</t>
        </is>
      </c>
    </row>
    <row r="26">
      <c r="A26" s="5" t="inlineStr">
        <is>
          <t>Net cash flow from operating activities</t>
        </is>
      </c>
      <c r="B26" s="5" t="n">
        <v>1676.3</v>
      </c>
      <c r="C26" s="5" t="n">
        <v>-12268.4</v>
      </c>
      <c r="D26" s="5" t="n">
        <v>4361.4</v>
      </c>
      <c r="E26" s="5" t="n">
        <v>2897.6</v>
      </c>
      <c r="F26" s="5" t="n">
        <v>-328.4</v>
      </c>
      <c r="G26" s="5" t="n">
        <v>-24079.2</v>
      </c>
      <c r="H26" s="5" t="n">
        <v>-3291</v>
      </c>
      <c r="I26" s="5" t="n">
        <v>6778.3</v>
      </c>
      <c r="J26" s="5" t="n">
        <v>-2987.9</v>
      </c>
      <c r="K26" s="5" t="n">
        <v>7942</v>
      </c>
      <c r="L26" s="5" t="n">
        <v>11401.7</v>
      </c>
      <c r="BE26" t="inlineStr">
        <is>
          <t>Net cash flow from operating activities</t>
        </is>
      </c>
      <c r="BF26" t="n">
        <v>11401.7</v>
      </c>
      <c r="BG26" t="n">
        <v>7942</v>
      </c>
      <c r="BH26" t="n">
        <v>-2987.9</v>
      </c>
      <c r="BI26" t="n">
        <v>6778.3</v>
      </c>
      <c r="BJ26" t="n">
        <v>-3291</v>
      </c>
      <c r="BK26" t="n">
        <v>-24079.2</v>
      </c>
      <c r="BL26" t="n">
        <v>-328.4</v>
      </c>
      <c r="BM26" t="n">
        <v>2897.6</v>
      </c>
      <c r="BN26" t="n">
        <v>4361.4</v>
      </c>
      <c r="BO26" t="n">
        <v>-12268.4</v>
      </c>
      <c r="BP26" t="n">
        <v>1676.3</v>
      </c>
    </row>
    <row r="27">
      <c r="A27" s="5" t="inlineStr">
        <is>
          <t>Net cash flow from investing activities</t>
        </is>
      </c>
      <c r="B27" s="5" t="n">
        <v>-1.7</v>
      </c>
      <c r="C27" s="5" t="n">
        <v>-62.1</v>
      </c>
      <c r="D27" s="5" t="n">
        <v>-39.2</v>
      </c>
      <c r="E27" s="5" t="n">
        <v>-37.5</v>
      </c>
      <c r="F27" s="5" t="n">
        <v>0</v>
      </c>
      <c r="G27" s="5" t="n">
        <v>0</v>
      </c>
      <c r="H27" s="5" t="n">
        <v>-55.6</v>
      </c>
      <c r="I27" s="5" t="n">
        <v>-793.5</v>
      </c>
      <c r="J27" s="5" t="n">
        <v>-319.2</v>
      </c>
      <c r="K27" s="5" t="n">
        <v>-65</v>
      </c>
      <c r="L27" s="5" t="n">
        <v>-129.8</v>
      </c>
      <c r="BE27" t="inlineStr">
        <is>
          <t>Net cash flow from investing activities</t>
        </is>
      </c>
      <c r="BF27" t="n">
        <v>-129.8</v>
      </c>
      <c r="BG27" t="n">
        <v>-65</v>
      </c>
      <c r="BH27" t="n">
        <v>-319.2</v>
      </c>
      <c r="BI27" t="n">
        <v>-793.5</v>
      </c>
      <c r="BJ27" t="n">
        <v>-55.6</v>
      </c>
      <c r="BK27" t="n">
        <v>0</v>
      </c>
      <c r="BL27" t="n">
        <v>0</v>
      </c>
      <c r="BM27" t="n">
        <v>-37.5</v>
      </c>
      <c r="BN27" t="n">
        <v>-39.2</v>
      </c>
      <c r="BO27" t="n">
        <v>-62.1</v>
      </c>
      <c r="BP27" t="n">
        <v>-1.7</v>
      </c>
    </row>
    <row r="28">
      <c r="A28" s="5" t="inlineStr">
        <is>
          <t>Cash and cash equivalents at end of year</t>
        </is>
      </c>
      <c r="B28" s="5" t="n">
        <v>64390.2</v>
      </c>
      <c r="C28" s="5" t="n">
        <v>64528.6</v>
      </c>
      <c r="D28" s="5" t="n">
        <v>153443</v>
      </c>
      <c r="E28" s="5" t="n">
        <v>144635.2</v>
      </c>
      <c r="F28" s="5" t="n">
        <v>150459.4</v>
      </c>
      <c r="G28" s="5" t="n">
        <v>158837.4</v>
      </c>
      <c r="H28" s="5" t="n">
        <v>125526.5</v>
      </c>
      <c r="I28" s="5" t="n">
        <v>140874.1</v>
      </c>
      <c r="J28" s="5" t="n">
        <v>139190.3</v>
      </c>
      <c r="K28" s="5" t="n">
        <v>166225</v>
      </c>
      <c r="L28" s="5" t="n">
        <v>155667</v>
      </c>
      <c r="BE28" t="inlineStr">
        <is>
          <t>Cash and cash equivalents at end of year</t>
        </is>
      </c>
      <c r="BF28" t="n">
        <v>155667</v>
      </c>
      <c r="BG28" t="n">
        <v>166225</v>
      </c>
      <c r="BH28" t="n">
        <v>139190.3</v>
      </c>
      <c r="BI28" t="n">
        <v>140874.1</v>
      </c>
      <c r="BJ28" t="n">
        <v>125526.5</v>
      </c>
      <c r="BK28" t="n">
        <v>158837.4</v>
      </c>
      <c r="BL28" t="n">
        <v>150459.4</v>
      </c>
      <c r="BM28" t="n">
        <v>144635.2</v>
      </c>
      <c r="BN28" t="n">
        <v>153443</v>
      </c>
      <c r="BO28" t="n">
        <v>64528.6</v>
      </c>
      <c r="BP28" t="n">
        <v>64390.2</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c r="K31" s="4" t="inlineStr">
        <is>
          <t>FY2016</t>
        </is>
      </c>
    </row>
    <row r="32">
      <c r="A32" s="6" t="inlineStr">
        <is>
          <t>Leverage Ratio</t>
        </is>
      </c>
      <c r="B32" s="6" t="n"/>
      <c r="C32" s="6" t="n"/>
      <c r="D32" s="6" t="n"/>
      <c r="E32" s="6" t="n"/>
      <c r="F32" s="6" t="inlineStr">
        <is>
          <t>53.32%</t>
        </is>
      </c>
      <c r="G32" s="6" t="inlineStr">
        <is>
          <t>33.77%</t>
        </is>
      </c>
      <c r="H32" s="6" t="n"/>
      <c r="I32" s="6" t="inlineStr">
        <is>
          <t>49.27%</t>
        </is>
      </c>
      <c r="J32" s="6" t="inlineStr">
        <is>
          <t>52.52%</t>
        </is>
      </c>
      <c r="K32" s="6" t="inlineStr">
        <is>
          <t>49.99%</t>
        </is>
      </c>
    </row>
    <row r="33">
      <c r="A33" s="6" t="inlineStr">
        <is>
          <t>LCR</t>
        </is>
      </c>
      <c r="B33" s="6" t="n"/>
      <c r="C33" s="6" t="n"/>
      <c r="D33" s="6" t="n"/>
      <c r="E33" s="6" t="n"/>
      <c r="F33" s="6" t="inlineStr">
        <is>
          <t>221.13%</t>
        </is>
      </c>
      <c r="G33" s="6" t="inlineStr">
        <is>
          <t>181.69%</t>
        </is>
      </c>
      <c r="H33" s="6" t="n"/>
      <c r="I33" s="6" t="inlineStr">
        <is>
          <t>539.22%</t>
        </is>
      </c>
      <c r="J33" s="6" t="n"/>
      <c r="K33" s="6" t="n"/>
    </row>
    <row r="35" ht="78" customHeight="1">
      <c r="A35" s="7" t="inlineStr">
        <is>
          <t>Note: FY2021 leverage and LCR are the only directly disclosed regulatory liquidity metrics located in the public source set for FY2021-FY2025; later years there are intentionally blank because the Bank ceased publishing Pillar 3 disclosures after its 31 March 2021 edition - a documented policy change (its FY2022 Annual Report, p.8, says the disclosures 'are published on the Bank's web site'; the FY2023, FY2024 and FY2025 reports all replace that with 'can be made available on request'), confirmed against the Bank's live site, which carries exactly one Pillar 3 PDF, the 2021 edition. The Bank itself has not ceased - it is Active at Companies House, filed accounts to 31 March 2025, and still holds PRA authorisation and its deposit-taking permission (FRN 208020, Bank of England 'List of PRA-regulated Banks as at 01 September 2026', UK-incorporated deposit-takers section). See the Total RWAs / Leverage Ratio / LCR sheets for the full evidence. FY2016/FY2018/FY2020 leverage and FY2018/FY2020 LCR were added under HD-021 from the Bank's own standalone Pillar 3 disclosures - see the Leverage Ratio/LCR sheets for the FY2015/FY2017/FY2019 gaps. FY2021's opening equity is blank because the Bank's disclosed EUR/GBP rate series in this workbook's source set only starts at FY2021 - see the Statement of Changes in Equity sheet for detail; FY2015's opening equity (EUR 105,479k) and FY2016/FY2017's opening equity are shown unconverted or independently converted at each year's own rate for the same reason - see that sheet's own methodology note.</t>
        </is>
      </c>
    </row>
  </sheetData>
  <mergeCells count="1">
    <mergeCell ref="A35:L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Balance Sheet</t>
        </is>
      </c>
    </row>
    <row r="2">
      <c r="A2" s="2" t="inlineStr">
        <is>
          <t>Entity-level basis, £'000 converted from EUR (see FX note; FY2015/FY2016 figures are EUR '000, unconverted - no year-end EUR/GBP rate is disclosed for those two years). Each year shown on its own originally-reported basis - see the RESTATEMENT note for a genuine FY2022/FY2023 restatement disclosed in the Annual Report and Financial Statements 2024's own Note 33, bridged explicitly in the Statement of Changes in Equity rather than blended here. 'Deposits from banks'/'Deposits from customers' are labelled 'Due to other banks'/'Customer accounts' in the Bank's own FY2015-FY2020 reports.</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c r="G3" s="4" t="inlineStr">
        <is>
          <t>FY2020 (£'000, conv. from EUR)</t>
        </is>
      </c>
      <c r="H3" s="4" t="inlineStr">
        <is>
          <t>FY2019 (£'000, conv. from EUR)</t>
        </is>
      </c>
      <c r="I3" s="4" t="inlineStr">
        <is>
          <t>FY2018 (£'000, conv. from EUR)</t>
        </is>
      </c>
      <c r="J3" s="4" t="inlineStr">
        <is>
          <t>FY2017 (£'000, conv. from EUR)</t>
        </is>
      </c>
      <c r="K3" s="4" t="inlineStr">
        <is>
          <t>FY2016 (£'000, conv. from EUR)</t>
        </is>
      </c>
      <c r="L3" s="4" t="inlineStr">
        <is>
          <t>FY2015 (£'000, conv. from EUR)</t>
        </is>
      </c>
    </row>
    <row r="4">
      <c r="A4" s="5" t="inlineStr">
        <is>
          <t>Assets</t>
        </is>
      </c>
      <c r="B4" s="6" t="n"/>
      <c r="C4" s="6" t="n"/>
      <c r="D4" s="6" t="n"/>
      <c r="E4" s="6" t="n"/>
      <c r="F4" s="6" t="n"/>
      <c r="G4" s="6" t="n"/>
      <c r="H4" s="6" t="n"/>
      <c r="I4" s="6" t="n"/>
      <c r="J4" s="6" t="n"/>
      <c r="K4" s="6" t="n"/>
      <c r="L4" s="6" t="n"/>
    </row>
    <row r="5">
      <c r="A5" s="6" t="inlineStr">
        <is>
          <t>Cash and cash equivalent</t>
        </is>
      </c>
      <c r="B5" s="6" t="n">
        <v>64390.2</v>
      </c>
      <c r="C5" s="6" t="n">
        <v>64528.6</v>
      </c>
      <c r="D5" s="6" t="n">
        <v>45697.5</v>
      </c>
      <c r="E5" s="6" t="n">
        <v>87363.7</v>
      </c>
      <c r="F5" s="6" t="n">
        <v>21725.1</v>
      </c>
      <c r="G5" s="6" t="n">
        <v>24424.3</v>
      </c>
      <c r="H5" s="6" t="n">
        <v>24838.5</v>
      </c>
      <c r="I5" s="6" t="n">
        <v>26265.8</v>
      </c>
      <c r="J5" s="6" t="n">
        <v>71698.10000000001</v>
      </c>
      <c r="K5" s="6" t="n">
        <v>151493</v>
      </c>
      <c r="L5" s="6" t="n">
        <v>147831</v>
      </c>
    </row>
    <row r="6">
      <c r="A6" s="6" t="inlineStr">
        <is>
          <t>Loans and advances to banks</t>
        </is>
      </c>
      <c r="B6" s="6" t="n">
        <v>38216.3</v>
      </c>
      <c r="C6" s="6" t="n">
        <v>41087.9</v>
      </c>
      <c r="D6" s="6" t="n">
        <v>107745.4</v>
      </c>
      <c r="E6" s="6" t="n">
        <v>57271.5</v>
      </c>
      <c r="F6" s="6" t="n">
        <v>128734.3</v>
      </c>
      <c r="G6" s="6" t="n">
        <v>134413.1</v>
      </c>
      <c r="H6" s="6" t="n">
        <v>100687.9</v>
      </c>
      <c r="I6" s="6" t="n">
        <v>114608.4</v>
      </c>
      <c r="J6" s="6" t="n">
        <v>67492.10000000001</v>
      </c>
      <c r="K6" s="6" t="n">
        <v>14732</v>
      </c>
      <c r="L6" s="6" t="n">
        <v>10336</v>
      </c>
    </row>
    <row r="7">
      <c r="A7" s="6" t="inlineStr">
        <is>
          <t>Loans and advances to customers</t>
        </is>
      </c>
      <c r="B7" s="6" t="n">
        <v>22693.6</v>
      </c>
      <c r="C7" s="6" t="n">
        <v>42269.5</v>
      </c>
      <c r="D7" s="6" t="n">
        <v>21694.6</v>
      </c>
      <c r="E7" s="6" t="n">
        <v>27421.7</v>
      </c>
      <c r="F7" s="6" t="n">
        <v>30927</v>
      </c>
      <c r="G7" s="6" t="n">
        <v>30585.7</v>
      </c>
      <c r="H7" s="6" t="n">
        <v>11913.6</v>
      </c>
      <c r="I7" s="6" t="n">
        <v>13573</v>
      </c>
      <c r="J7" s="6" t="n">
        <v>24281</v>
      </c>
      <c r="K7" s="6" t="n">
        <v>44775</v>
      </c>
      <c r="L7" s="6" t="n">
        <v>50022</v>
      </c>
    </row>
    <row r="8">
      <c r="A8" s="6" t="inlineStr">
        <is>
          <t>Debt securities - other debt securities, available-for-sale, issued by other than public bodies (unlisted Sukuk/Islamic Bonds; FY2015/FY2016 own reports only; no equivalent line FY2017 onward)</t>
        </is>
      </c>
      <c r="B8" s="6" t="n"/>
      <c r="C8" s="6" t="n"/>
      <c r="D8" s="6" t="n"/>
      <c r="E8" s="6" t="n"/>
      <c r="F8" s="6" t="n"/>
      <c r="G8" s="6" t="n"/>
      <c r="H8" s="6" t="n"/>
      <c r="I8" s="6" t="n"/>
      <c r="J8" s="6" t="n"/>
      <c r="K8" s="6" t="n">
        <v>0</v>
      </c>
      <c r="L8" s="6" t="n">
        <v>435</v>
      </c>
    </row>
    <row r="9">
      <c r="A9" s="6" t="inlineStr">
        <is>
          <t>Property, plant and equipment</t>
        </is>
      </c>
      <c r="B9" s="6" t="n">
        <v>2383.9</v>
      </c>
      <c r="C9" s="6" t="n">
        <v>2730</v>
      </c>
      <c r="D9" s="6" t="n">
        <v>3968.8</v>
      </c>
      <c r="E9" s="6" t="n">
        <v>2908.6</v>
      </c>
      <c r="F9" s="6" t="n">
        <v>2828.6</v>
      </c>
      <c r="G9" s="6" t="n">
        <v>3733.6</v>
      </c>
      <c r="H9" s="6" t="n">
        <v>3747</v>
      </c>
      <c r="I9" s="6" t="n">
        <v>3674.1</v>
      </c>
      <c r="J9" s="6" t="n">
        <v>3840.7</v>
      </c>
      <c r="K9" s="6" t="n">
        <v>4353</v>
      </c>
      <c r="L9" s="6" t="n">
        <v>4456</v>
      </c>
    </row>
    <row r="10">
      <c r="A10" s="6" t="inlineStr">
        <is>
          <t>Intangible assets (FY2023 report shows this line as nil/dash; FY2015-FY2017 own reports have no separate line)</t>
        </is>
      </c>
      <c r="B10" s="6" t="n">
        <v>0</v>
      </c>
      <c r="C10" s="6" t="n">
        <v>0</v>
      </c>
      <c r="D10" s="6" t="n">
        <v>0</v>
      </c>
      <c r="E10" s="6" t="n">
        <v>75.40000000000001</v>
      </c>
      <c r="F10" s="6" t="n">
        <v>228.5</v>
      </c>
      <c r="G10" s="6" t="n">
        <v>396.9</v>
      </c>
      <c r="H10" s="6" t="n">
        <v>537.5</v>
      </c>
      <c r="I10" s="6" t="n">
        <v>702.6</v>
      </c>
      <c r="J10" s="6" t="n"/>
      <c r="K10" s="6" t="n"/>
      <c r="L10" s="6" t="n"/>
    </row>
    <row r="11">
      <c r="A11" s="6" t="inlineStr">
        <is>
          <t>Other assets</t>
        </is>
      </c>
      <c r="B11" s="6" t="n">
        <v>2151.8</v>
      </c>
      <c r="C11" s="6" t="n">
        <v>1696.3</v>
      </c>
      <c r="D11" s="6" t="n">
        <v>1148.4</v>
      </c>
      <c r="E11" s="6" t="n">
        <v>2286.6</v>
      </c>
      <c r="F11" s="6" t="n">
        <v>1190.9</v>
      </c>
      <c r="G11" s="6" t="n">
        <v>1385.7</v>
      </c>
      <c r="H11" s="6" t="n">
        <v>774.9</v>
      </c>
      <c r="I11" s="6" t="n">
        <v>1124.4</v>
      </c>
      <c r="J11" s="6" t="n">
        <v>917.5</v>
      </c>
      <c r="K11" s="6" t="n">
        <v>6074</v>
      </c>
      <c r="L11" s="6" t="n">
        <v>11021</v>
      </c>
    </row>
    <row r="12">
      <c r="A12" s="6" t="inlineStr">
        <is>
          <t>Prepayments and accrued income</t>
        </is>
      </c>
      <c r="B12" s="6" t="n">
        <v>111.9</v>
      </c>
      <c r="C12" s="6" t="n">
        <v>125.7</v>
      </c>
      <c r="D12" s="6" t="n">
        <v>3494.5</v>
      </c>
      <c r="E12" s="6" t="n">
        <v>552.6</v>
      </c>
      <c r="F12" s="6" t="n">
        <v>616.4</v>
      </c>
      <c r="G12" s="6" t="n">
        <v>855.3</v>
      </c>
      <c r="H12" s="6" t="n">
        <v>722.4</v>
      </c>
      <c r="I12" s="6" t="n">
        <v>1164.6</v>
      </c>
      <c r="J12" s="6" t="n">
        <v>1169.6</v>
      </c>
      <c r="K12" s="6" t="n">
        <v>748</v>
      </c>
      <c r="L12" s="6" t="n">
        <v>783</v>
      </c>
    </row>
    <row r="13">
      <c r="A13" s="6" t="inlineStr">
        <is>
          <t>Current tax (FY2015-FY2019 own reports only; FY2020's own report shows this line as nil/dash)</t>
        </is>
      </c>
      <c r="B13" s="6" t="n"/>
      <c r="C13" s="6" t="n"/>
      <c r="D13" s="6" t="n"/>
      <c r="E13" s="6" t="n"/>
      <c r="F13" s="6" t="n"/>
      <c r="G13" s="6" t="n"/>
      <c r="H13" s="6" t="n">
        <v>165.1</v>
      </c>
      <c r="I13" s="6" t="n">
        <v>165.4</v>
      </c>
      <c r="J13" s="6" t="n">
        <v>165.5</v>
      </c>
      <c r="K13" s="6" t="n">
        <v>209</v>
      </c>
      <c r="L13" s="6" t="n">
        <v>129</v>
      </c>
    </row>
    <row r="14">
      <c r="A14" s="5" t="inlineStr">
        <is>
          <t>Total assets</t>
        </is>
      </c>
      <c r="B14" s="5" t="n">
        <v>129947.7</v>
      </c>
      <c r="C14" s="5" t="n">
        <v>152437.9</v>
      </c>
      <c r="D14" s="5" t="n">
        <v>183749.3</v>
      </c>
      <c r="E14" s="5" t="n">
        <v>177880.1</v>
      </c>
      <c r="F14" s="5" t="n">
        <v>186250.8</v>
      </c>
      <c r="G14" s="5" t="n">
        <v>195794.7</v>
      </c>
      <c r="H14" s="5" t="n">
        <v>143386.9</v>
      </c>
      <c r="I14" s="5" t="n">
        <v>161278.2</v>
      </c>
      <c r="J14" s="5" t="n">
        <v>169564.6</v>
      </c>
      <c r="K14" s="5" t="n">
        <v>222384</v>
      </c>
      <c r="L14" s="5" t="n">
        <v>225013</v>
      </c>
    </row>
    <row r="15">
      <c r="A15" s="5" t="inlineStr">
        <is>
          <t>Liabilities</t>
        </is>
      </c>
      <c r="B15" s="6" t="n"/>
      <c r="C15" s="6" t="n"/>
      <c r="D15" s="6" t="n"/>
      <c r="E15" s="6" t="n"/>
      <c r="F15" s="6" t="n"/>
      <c r="G15" s="6" t="n"/>
      <c r="H15" s="6" t="n"/>
      <c r="I15" s="6" t="n"/>
      <c r="J15" s="6" t="n"/>
      <c r="K15" s="6" t="n"/>
      <c r="L15" s="6" t="n"/>
    </row>
    <row r="16">
      <c r="A16" s="6" t="inlineStr">
        <is>
          <t>Deposits from banks</t>
        </is>
      </c>
      <c r="B16" s="6" t="n">
        <v>31285.8</v>
      </c>
      <c r="C16" s="6" t="n">
        <v>35437.2</v>
      </c>
      <c r="D16" s="6" t="n">
        <v>60459.5</v>
      </c>
      <c r="E16" s="6" t="n">
        <v>58747.9</v>
      </c>
      <c r="F16" s="6" t="n">
        <v>66964.7</v>
      </c>
      <c r="G16" s="6" t="n">
        <v>74412</v>
      </c>
      <c r="H16" s="6" t="n">
        <v>20248.7</v>
      </c>
      <c r="I16" s="6" t="n">
        <v>29645.9</v>
      </c>
      <c r="J16" s="6" t="n">
        <v>37158.9</v>
      </c>
      <c r="K16" s="6" t="n">
        <v>65074</v>
      </c>
      <c r="L16" s="6" t="n">
        <v>66801</v>
      </c>
    </row>
    <row r="17">
      <c r="A17" s="6" t="inlineStr">
        <is>
          <t>Deposits from customers</t>
        </is>
      </c>
      <c r="B17" s="6" t="n">
        <v>3838.5</v>
      </c>
      <c r="C17" s="6" t="n">
        <v>4790.6</v>
      </c>
      <c r="D17" s="6" t="n">
        <v>4935</v>
      </c>
      <c r="E17" s="6" t="n">
        <v>5350.3</v>
      </c>
      <c r="F17" s="6" t="n">
        <v>5345.2</v>
      </c>
      <c r="G17" s="6" t="n">
        <v>5606.1</v>
      </c>
      <c r="H17" s="6" t="n">
        <v>5736.2</v>
      </c>
      <c r="I17" s="6" t="n">
        <v>2520</v>
      </c>
      <c r="J17" s="6" t="n">
        <v>1315.4</v>
      </c>
      <c r="K17" s="6" t="n">
        <v>2687</v>
      </c>
      <c r="L17" s="6" t="n">
        <v>2732</v>
      </c>
    </row>
    <row r="18">
      <c r="A18" s="6" t="inlineStr">
        <is>
          <t>Other liabilities / Provisions and accruals (FY2015-FY2018 own reports label this 'Provisions and accruals'; FY2019-FY2020 own reports use 'Other liabilities')</t>
        </is>
      </c>
      <c r="B18" s="6" t="n">
        <v>2619.4</v>
      </c>
      <c r="C18" s="6" t="n">
        <v>3032.7</v>
      </c>
      <c r="D18" s="6" t="n">
        <v>1701</v>
      </c>
      <c r="E18" s="6" t="n">
        <v>2117.1</v>
      </c>
      <c r="F18" s="6" t="n">
        <v>2566.9</v>
      </c>
      <c r="G18" s="6" t="n">
        <v>2140.4</v>
      </c>
      <c r="H18" s="6" t="n">
        <v>2076.9</v>
      </c>
      <c r="I18" s="6" t="n">
        <v>2410.6</v>
      </c>
      <c r="J18" s="6" t="n">
        <v>2164.3</v>
      </c>
      <c r="K18" s="6" t="n">
        <v>2624</v>
      </c>
      <c r="L18" s="6" t="n">
        <v>2983</v>
      </c>
    </row>
    <row r="19">
      <c r="A19" s="6" t="inlineStr">
        <is>
          <t>Subordinated debt liabilities (FY2015-FY2020 own reports only; converted/extinguished by FY2021 - see the Statement of Changes in Equity's FY2021 share-capital-issued row)</t>
        </is>
      </c>
      <c r="B19" s="6" t="n"/>
      <c r="C19" s="6" t="n"/>
      <c r="D19" s="6" t="n"/>
      <c r="E19" s="6" t="n"/>
      <c r="F19" s="6" t="n"/>
      <c r="G19" s="6" t="n">
        <v>41385</v>
      </c>
      <c r="H19" s="6" t="n">
        <v>39990</v>
      </c>
      <c r="I19" s="6" t="n">
        <v>40687.5</v>
      </c>
      <c r="J19" s="6" t="n">
        <v>39873.8</v>
      </c>
      <c r="K19" s="6" t="n">
        <v>46500</v>
      </c>
      <c r="L19" s="6" t="n">
        <v>46500</v>
      </c>
    </row>
    <row r="20">
      <c r="A20" s="5" t="inlineStr">
        <is>
          <t>Total liabilities</t>
        </is>
      </c>
      <c r="B20" s="5" t="n">
        <v>37743.7</v>
      </c>
      <c r="C20" s="5" t="n">
        <v>43260.4</v>
      </c>
      <c r="D20" s="5" t="n">
        <v>67095.60000000001</v>
      </c>
      <c r="E20" s="5" t="n">
        <v>66215.2</v>
      </c>
      <c r="F20" s="5" t="n">
        <v>74876.8</v>
      </c>
      <c r="G20" s="5" t="n">
        <v>123543.6</v>
      </c>
      <c r="H20" s="5" t="n">
        <v>68051.8</v>
      </c>
      <c r="I20" s="5" t="n">
        <v>75264</v>
      </c>
      <c r="J20" s="5" t="n">
        <v>80512.39999999999</v>
      </c>
      <c r="K20" s="5" t="n">
        <v>116885</v>
      </c>
      <c r="L20" s="5" t="n">
        <v>119016</v>
      </c>
    </row>
    <row r="21">
      <c r="A21" s="5" t="inlineStr">
        <is>
          <t>Shareholders' equity</t>
        </is>
      </c>
      <c r="B21" s="6" t="n"/>
      <c r="C21" s="6" t="n"/>
      <c r="D21" s="6" t="n"/>
      <c r="E21" s="6" t="n"/>
      <c r="F21" s="6" t="n"/>
      <c r="G21" s="6" t="n"/>
      <c r="H21" s="6" t="n"/>
      <c r="I21" s="6" t="n"/>
      <c r="J21" s="6" t="n"/>
      <c r="K21" s="6" t="n"/>
      <c r="L21" s="6" t="n"/>
    </row>
    <row r="22">
      <c r="A22" s="6" t="inlineStr">
        <is>
          <t>Called up share capital</t>
        </is>
      </c>
      <c r="B22" s="6" t="n">
        <v>125250</v>
      </c>
      <c r="C22" s="6" t="n">
        <v>128250</v>
      </c>
      <c r="D22" s="6" t="n">
        <v>132000</v>
      </c>
      <c r="E22" s="6" t="n">
        <v>127125</v>
      </c>
      <c r="F22" s="6" t="n">
        <v>127875</v>
      </c>
      <c r="G22" s="6" t="n">
        <v>89000</v>
      </c>
      <c r="H22" s="6" t="n">
        <v>86000</v>
      </c>
      <c r="I22" s="6" t="n">
        <v>87500</v>
      </c>
      <c r="J22" s="6" t="n">
        <v>85750</v>
      </c>
      <c r="K22" s="6" t="n">
        <v>100000</v>
      </c>
      <c r="L22" s="6" t="n">
        <v>100000</v>
      </c>
    </row>
    <row r="23">
      <c r="A23" s="6" t="inlineStr">
        <is>
          <t>Retained earnings</t>
        </is>
      </c>
      <c r="B23" s="6" t="n">
        <v>-33046</v>
      </c>
      <c r="C23" s="6" t="n">
        <v>-19072.5</v>
      </c>
      <c r="D23" s="6" t="n">
        <v>-15346.3</v>
      </c>
      <c r="E23" s="6" t="n">
        <v>-15460.1</v>
      </c>
      <c r="F23" s="6" t="n">
        <v>-16501</v>
      </c>
      <c r="G23" s="6" t="n">
        <v>-16748.9</v>
      </c>
      <c r="H23" s="6" t="n">
        <v>-10664.9</v>
      </c>
      <c r="I23" s="6" t="n">
        <v>-1485.8</v>
      </c>
      <c r="J23" s="6" t="n">
        <v>3302.2</v>
      </c>
      <c r="K23" s="6" t="n">
        <v>5499</v>
      </c>
      <c r="L23" s="6" t="n">
        <v>5997</v>
      </c>
    </row>
    <row r="24">
      <c r="A24" s="5" t="inlineStr">
        <is>
          <t>Total shareholders' equity</t>
        </is>
      </c>
      <c r="B24" s="5" t="n">
        <v>92204</v>
      </c>
      <c r="C24" s="5" t="n">
        <v>109177.5</v>
      </c>
      <c r="D24" s="5" t="n">
        <v>116653.7</v>
      </c>
      <c r="E24" s="5" t="n">
        <v>111664.9</v>
      </c>
      <c r="F24" s="5" t="n">
        <v>111374</v>
      </c>
      <c r="G24" s="5" t="n">
        <v>72251.10000000001</v>
      </c>
      <c r="H24" s="5" t="n">
        <v>75335.10000000001</v>
      </c>
      <c r="I24" s="5" t="n">
        <v>86014.2</v>
      </c>
      <c r="J24" s="5" t="n">
        <v>89052.2</v>
      </c>
      <c r="K24" s="5" t="n">
        <v>105499</v>
      </c>
      <c r="L24" s="5" t="n">
        <v>105997</v>
      </c>
    </row>
    <row r="25">
      <c r="A25" s="5" t="inlineStr">
        <is>
          <t>Total liabilities and equity</t>
        </is>
      </c>
      <c r="B25" s="5" t="n">
        <v>129947.7</v>
      </c>
      <c r="C25" s="5" t="n">
        <v>152437.9</v>
      </c>
      <c r="D25" s="5" t="n">
        <v>183749.3</v>
      </c>
      <c r="E25" s="5" t="n">
        <v>177880.1</v>
      </c>
      <c r="F25" s="5" t="n">
        <v>186250.8</v>
      </c>
      <c r="G25" s="5" t="n">
        <v>195794.7</v>
      </c>
      <c r="H25" s="5" t="n">
        <v>143386.9</v>
      </c>
      <c r="I25" s="5" t="n">
        <v>161278.2</v>
      </c>
      <c r="J25" s="5" t="n">
        <v>169564.6</v>
      </c>
      <c r="K25" s="5" t="n">
        <v>222384</v>
      </c>
      <c r="L25" s="5" t="n">
        <v>225013</v>
      </c>
    </row>
    <row r="27" ht="409" customHeight="1">
      <c r="A27" s="8" t="inlineStr">
        <is>
          <t>Sources - Persia International Bank Plc's own entity-level Statement of Comprehensive Income / Statement of Financial Position / Statement of Changes in Equity / Note 12 (Impairment) / Notes 14-16 (Cash, Loans to banks, Loans to customers), converted from EUR to GBP using the Bank's disclosed rates (see FX note):
FY2025: Annual Report and Financial Statements 2025, Statement of Comprehensive Income p.36, Statement of Financial Position p.37, Statement of Changes in Equity p.38, Note 12 p.69, Notes 14-16 p.71, Credit loss exposure/Capital management (Note 25) p.77 - https://find-and-update.company-information.service.gov.uk/company/04218020/filing-history/MzQ3OTMzNTI0NWFkaXF6a2N4/document?download=0&amp;format=pdf
FY2024: Annual Report and Financial Statements 2024, Statement of Comprehensive Income p.29, Statement of Financial Position p.30, Statement of Changes in Equity p.31, Note 12 p.57, Notes 14-16 p.59 - https://find-and-update.company-information.service.gov.uk/company/04218020/filing-history/MzQzMzA4NzcwMWFkaXF6a2N4/document?download=0&amp;format=pdf
FY2023: Annual Report and Financial Statements 2023, Statement of Comprehensive Income p.28, Statement of Financial Position p.29, Statement of Changes in Equity p.30, Note 12 p.54, Notes 14-16 p.56 - https://find-and-update.company-information.service.gov.uk/company/04218020/filing-history/MzM4OTExNTc1NmFkaXF6a2N4/document?download=0&amp;format=pdf
FY2022: Annual Report and Financial Statements 2022, Statement of Comprehensive Income p.27, Statement of Financial Position p.28, Statement of Changes in Equity p.29, Note 12 p.51, Notes 14-16 p.53 - https://find-and-update.company-information.service.gov.uk/company/04218020/filing-history/MzM1NTU5ODQzNmFkaXF6a2N4/document?download=0&amp;format=pdf
FY2021: Annual Report and Financial Statements 2022's own comparative column (same pages as FY2022 above, this is the latest filing that still contains a full FY2021 column) - https://find-and-update.company-information.service.gov.uk/company/04218020/filing-history/MzM1NTU5ODQzNmFkaXF6a2N4/document?download=0&amp;format=pdf
FY2020: Annual Report and Financial Statements for year ended 31 March 2020, Statement of Comprehensive Income p.26, Statement of Financial Position p.27, Note 28.4 (Capital management) p.62, Note 28.2 (stage-level credit exposure) p.61 (scanned Companies House filing) - https://find-and-update.company-information.service.gov.uk/company/04218020/filing-history/MzI4MjYzOTE2OGFkaXF6a2N4/document?download=0&amp;format=pdf
FY2019: Annual Report and Financial Statements for year ended 31 March 2019, Statement of Comprehensive Income p.22, Statement of Financial Position p.23, Note 28.4 (Capital management) p.58, Note 28 (stage-level credit exposure) p.57 (scanned filing) - https://find-and-update.company-information.service.gov.uk/company/04218020/filing-history/MzI0MDMwNDExNmFkaXF6a2N4/document?download=0&amp;format=pdf
FY2018: Annual Report and Financial Statements for year ended 31 March 2018, Statement of Comprehensive Income p.15, Statement of Financial Position p.16, capital management note p.31, loan-portfolio note p.30 (scanned filing) - https://find-and-update.company-information.service.gov.uk/company/04218020/filing-history/MzIxMjI1ODQ3MmFkaXF6a2N4/document?download=0&amp;format=pdf
FY2017: Annual Report and Financial Statements for year ended 31 March 2017, Statement of Comprehensive Income p.13, Statement of Financial Position p.14, capital management note p.28, loan-portfolio note p.27 (scanned filing) - https://find-and-update.company-information.service.gov.uk/company/04218020/filing-history/MzE4MTE5NDQwMWFkaXF6a2N4/document?download=0&amp;format=pdf
FY2016: Annual Report and Financial Statements for year ended 31 March 2016, Statement of Comprehensive Income p.13, Statement of Financial Position p.14, capital management note p.27, loan-portfolio note p.26 (scanned filing) - https://find-and-update.company-information.service.gov.uk/company/04218020/filing-history/MzE1NjI0NzM2OWFkaXF6a2N4/document?download=0&amp;format=pdf
FY2015: Annual Report and Financial Statements for year ended 31 March 2015, Statement of Comprehensive Income p.12, Statement of Financial Position p.13, capital management note p.31, loan-portfolio note p.30 (scanned filing, includes an embedded Pillar 3 disclosure at pp.35-52) - https://find-and-update.company-information.service.gov.uk/company/04218020/filing-history/MzEyNzM3Mjc4NWFkaXF6a2N4/document?download=0&amp;format=pdf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row r="29" ht="409" customHeight="1">
      <c r="A29" s="8" t="inlineStr">
        <is>
          <t>(continued)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
RESTATEMENT: the Annual Report and Financial Statements 2024's own Note 33 restates the Bank's FY2022/FY2023 figures (e.g. FY2023 closing retained earnings restated from EUR (17,439k) to EUR (18,414k), a genuine EUR 975k downward adjustment; FY2023 loans and advances to customers also restated from EUR 24,653k net to EUR 28,105k net, reclassifying interest receivable into that line). Each year's Balance Sheet/P&amp;L/Equity column here uses that year's own originally-reported figures (not the later restated comparative), consistent with every other bank in this project; the restatement is instead shown as its own explicit bridging row in the Statement of Changes in Equity, between FY2023's originally-reported closing balance and FY2024's own restated opening balance, per the Bank's own Note 33.
DEBT SECURITIES BREAKDOWN: Note 12 (Debt securities) of both the FY2015 (p.23 of the scanned Companies House filing) and FY2016 (p.23 of the scanned Companies House filing) Annual Reports states the entire Debt securities balance is one unlisted Sukuk (Islamic) bond, classified as "Available for sale securities - other debt securities" and "Issued by other than public bodies" - i.e. 100% one measurement-basis bucket (available-for-sale/mark-to-market, no amortised-cost or FVTPL component) and 100% one issuer-type bucket (not UK government/gilts/sovereign - a non-public-body, corporate-type issuer) in both years, so no sub-row split is added; the Balance Sheet row is instead relabelled in place to state both classifications. FY2015's note carries a 90.56% impairment provision against this bond; FY2016's note raises that provision to 100% (an additional EUR 416k impairment, matching the P&amp;L's 'Impairment charge for available-for-sale financial assets' row), which is why the FY2016 balance is nil.</t>
        </is>
      </c>
    </row>
  </sheetData>
  <mergeCells count="2">
    <mergeCell ref="A29:L29"/>
    <mergeCell ref="A27:L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Profit &amp; Loss</t>
        </is>
      </c>
    </row>
    <row r="2">
      <c r="A2" s="2" t="inlineStr">
        <is>
          <t>Entity-level basis, £'000 converted from EUR (see FX note). Structure genuinely differs year to year - see the 'Credit impairment / Net impairment (charge)/reversal' and 'Reversal of impairment' row notes. FY2021's own report uniquely shows a standalone 'Impairment of property' charge alongside a separate impairment reversal. The Bank reports no OCI in any year - Total comprehensive income/(expense) equals Profit/(loss) for the year in every year. FY2015-FY2020 (EUR '000 shown for FY2015/FY2016, £'000 for FY2017-FY2020 - see FX note) use three more structures again: FY2015-FY2018's own statements subtotal 'Net interest income after loan impairments' mid-statement then fold fees/other-operating income into one combined subtotal; FY2019/FY2020's own statements instead carry a 'Net operating income' subtotal (before administrative expenses) and a 'Net impairment (loss)/credit' as a single late-statement line, closer to FY2021 onward's shape.</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c r="G3" s="4" t="inlineStr">
        <is>
          <t>FY2020 (£'000, conv. from EUR)</t>
        </is>
      </c>
      <c r="H3" s="4" t="inlineStr">
        <is>
          <t>FY2019 (£'000, conv. from EUR)</t>
        </is>
      </c>
      <c r="I3" s="4" t="inlineStr">
        <is>
          <t>FY2018 (£'000, conv. from EUR)</t>
        </is>
      </c>
      <c r="J3" s="4" t="inlineStr">
        <is>
          <t>FY2017 (£'000, conv. from EUR)</t>
        </is>
      </c>
      <c r="K3" s="4" t="inlineStr">
        <is>
          <t>FY2016 (£'000, conv. from EUR)</t>
        </is>
      </c>
      <c r="L3" s="4" t="inlineStr">
        <is>
          <t>FY2015 (£'000, conv. from EUR)</t>
        </is>
      </c>
    </row>
    <row r="4">
      <c r="A4" s="5" t="inlineStr">
        <is>
          <t>Income</t>
        </is>
      </c>
      <c r="B4" s="6" t="n"/>
      <c r="C4" s="6" t="n"/>
      <c r="D4" s="6" t="n"/>
      <c r="E4" s="6" t="n"/>
      <c r="F4" s="6" t="n"/>
      <c r="G4" s="6" t="n"/>
      <c r="H4" s="6" t="n"/>
      <c r="I4" s="6" t="n"/>
      <c r="J4" s="6" t="n"/>
      <c r="K4" s="6" t="n"/>
      <c r="L4" s="6" t="n"/>
    </row>
    <row r="5">
      <c r="A5" s="6" t="inlineStr">
        <is>
          <t>Interest and similar income</t>
        </is>
      </c>
      <c r="B5" s="6" t="n">
        <v>5909.9</v>
      </c>
      <c r="C5" s="6" t="n">
        <v>6809.1</v>
      </c>
      <c r="D5" s="6" t="n">
        <v>5768.9</v>
      </c>
      <c r="E5" s="6" t="n">
        <v>3106.5</v>
      </c>
      <c r="F5" s="6" t="n">
        <v>3538.8</v>
      </c>
      <c r="G5" s="6" t="n">
        <v>2129.8</v>
      </c>
      <c r="H5" s="6" t="n">
        <v>1344.6</v>
      </c>
      <c r="I5" s="6" t="n">
        <v>2379.8</v>
      </c>
      <c r="J5" s="6" t="n">
        <v>3565.8</v>
      </c>
      <c r="K5" s="6" t="n">
        <v>4094.1</v>
      </c>
      <c r="L5" s="6" t="n">
        <v>4020.5</v>
      </c>
    </row>
    <row r="6">
      <c r="A6" s="6" t="inlineStr">
        <is>
          <t>Interest and similar expenses</t>
        </is>
      </c>
      <c r="B6" s="6" t="n">
        <v>-299.5</v>
      </c>
      <c r="C6" s="6" t="n">
        <v>-256.3</v>
      </c>
      <c r="D6" s="6" t="n">
        <v>-168.8</v>
      </c>
      <c r="E6" s="6" t="n">
        <v>-388.7</v>
      </c>
      <c r="F6" s="6" t="n">
        <v>-269.5</v>
      </c>
      <c r="G6" s="6" t="n">
        <v>-325.8</v>
      </c>
      <c r="H6" s="6" t="n">
        <v>-10.6</v>
      </c>
      <c r="I6" s="6" t="n">
        <v>-30.9</v>
      </c>
      <c r="J6" s="6" t="n">
        <v>-27.7</v>
      </c>
      <c r="K6" s="6" t="n">
        <v>-33.3</v>
      </c>
      <c r="L6" s="6" t="n">
        <v>-34.4</v>
      </c>
    </row>
    <row r="7">
      <c r="A7" s="5" t="inlineStr">
        <is>
          <t>Net Interest Income</t>
        </is>
      </c>
      <c r="B7" s="5" t="n">
        <v>5610.4</v>
      </c>
      <c r="C7" s="5" t="n">
        <v>6552.8</v>
      </c>
      <c r="D7" s="5" t="n">
        <v>5600.1</v>
      </c>
      <c r="E7" s="5" t="n">
        <v>2717.8</v>
      </c>
      <c r="F7" s="5" t="n">
        <v>3269.2</v>
      </c>
      <c r="G7" s="5" t="n">
        <v>1804</v>
      </c>
      <c r="H7" s="5" t="n">
        <v>1334</v>
      </c>
      <c r="I7" s="5" t="n">
        <v>2348.9</v>
      </c>
      <c r="J7" s="5" t="n">
        <v>3538.1</v>
      </c>
      <c r="K7" s="5" t="n">
        <v>4060.8</v>
      </c>
      <c r="L7" s="5" t="n">
        <v>3986.1</v>
      </c>
    </row>
    <row r="8">
      <c r="A8" s="6" t="inlineStr">
        <is>
          <t>Loan impairment (charge)/credit (FY2015-FY2018 own reports only, shown mid-statement; FY2019 onward split out below as its own late-statement line)</t>
        </is>
      </c>
      <c r="B8" s="6" t="n"/>
      <c r="C8" s="6" t="n"/>
      <c r="D8" s="6" t="n"/>
      <c r="E8" s="6" t="n"/>
      <c r="F8" s="6" t="n"/>
      <c r="G8" s="6" t="n"/>
      <c r="H8" s="6" t="n"/>
      <c r="I8" s="6" t="n">
        <v>0</v>
      </c>
      <c r="J8" s="6" t="n">
        <v>1136.5</v>
      </c>
      <c r="K8" s="6" t="n">
        <v>-185.5</v>
      </c>
      <c r="L8" s="6" t="n">
        <v>-186.1</v>
      </c>
    </row>
    <row r="9">
      <c r="A9" s="6" t="inlineStr">
        <is>
          <t>Impairment charge for available-for-sale financial assets (FY2016 own report only)</t>
        </is>
      </c>
      <c r="B9" s="6" t="n"/>
      <c r="C9" s="6" t="n"/>
      <c r="D9" s="6" t="n"/>
      <c r="E9" s="6" t="n"/>
      <c r="F9" s="6" t="n"/>
      <c r="G9" s="6" t="n"/>
      <c r="H9" s="6" t="n"/>
      <c r="I9" s="6" t="n"/>
      <c r="J9" s="6" t="n"/>
      <c r="K9" s="6" t="n">
        <v>-307.4</v>
      </c>
      <c r="L9" s="6" t="n"/>
    </row>
    <row r="10">
      <c r="A10" s="5" t="inlineStr">
        <is>
          <t>Net interest income after loan impairments (FY2015-FY2018 own reports only - those years' own statements carry this subtotal; FY2019 onward do not)</t>
        </is>
      </c>
      <c r="B10" s="5" t="n"/>
      <c r="C10" s="5" t="n"/>
      <c r="D10" s="5" t="n"/>
      <c r="E10" s="5" t="n"/>
      <c r="F10" s="5" t="n"/>
      <c r="G10" s="5" t="n"/>
      <c r="H10" s="5" t="n"/>
      <c r="I10" s="5" t="n">
        <v>2348.9</v>
      </c>
      <c r="J10" s="5" t="n">
        <v>4674.6</v>
      </c>
      <c r="K10" s="5" t="n">
        <v>3567.9</v>
      </c>
      <c r="L10" s="5" t="n">
        <v>3800</v>
      </c>
    </row>
    <row r="11">
      <c r="A11" s="6" t="inlineStr">
        <is>
          <t>Fees and commission income</t>
        </is>
      </c>
      <c r="B11" s="6" t="n">
        <v>62.9</v>
      </c>
      <c r="C11" s="6" t="n">
        <v>293.4</v>
      </c>
      <c r="D11" s="6" t="n">
        <v>378.5</v>
      </c>
      <c r="E11" s="6" t="n">
        <v>149.2</v>
      </c>
      <c r="F11" s="6" t="n">
        <v>164.2</v>
      </c>
      <c r="G11" s="6" t="n">
        <v>1385.3</v>
      </c>
      <c r="H11" s="6" t="n">
        <v>107.6</v>
      </c>
      <c r="I11" s="6" t="n">
        <v>47.7</v>
      </c>
      <c r="J11" s="6" t="n">
        <v>16.8</v>
      </c>
      <c r="K11" s="6" t="n">
        <v>22.9</v>
      </c>
      <c r="L11" s="6" t="n">
        <v>29.7</v>
      </c>
    </row>
    <row r="12">
      <c r="A12" s="6" t="inlineStr">
        <is>
          <t>Fees and commission expense</t>
        </is>
      </c>
      <c r="B12" s="6" t="n">
        <v>-11.7</v>
      </c>
      <c r="C12" s="6" t="n">
        <v>-40.6</v>
      </c>
      <c r="D12" s="6" t="n">
        <v>-92.90000000000001</v>
      </c>
      <c r="E12" s="6" t="n">
        <v>-69.09999999999999</v>
      </c>
      <c r="F12" s="6" t="n">
        <v>-19.6</v>
      </c>
      <c r="G12" s="6" t="n">
        <v>-13.3</v>
      </c>
      <c r="H12" s="6" t="n">
        <v>-190.6</v>
      </c>
      <c r="I12" s="6" t="n">
        <v>-193.3</v>
      </c>
      <c r="J12" s="6" t="n">
        <v>-131</v>
      </c>
      <c r="K12" s="6" t="n">
        <v>-15.5</v>
      </c>
      <c r="L12" s="6" t="n">
        <v>-11.7</v>
      </c>
    </row>
    <row r="13">
      <c r="A13" s="5" t="inlineStr">
        <is>
          <t>Net fee and commission income</t>
        </is>
      </c>
      <c r="B13" s="5" t="n">
        <v>51.2</v>
      </c>
      <c r="C13" s="5" t="n">
        <v>252.9</v>
      </c>
      <c r="D13" s="5" t="n">
        <v>285.6</v>
      </c>
      <c r="E13" s="5" t="n">
        <v>80.09999999999999</v>
      </c>
      <c r="F13" s="5" t="n">
        <v>144.6</v>
      </c>
      <c r="G13" s="5" t="n">
        <v>1372.1</v>
      </c>
      <c r="H13" s="5" t="n">
        <v>-82.90000000000001</v>
      </c>
      <c r="I13" s="5" t="n"/>
      <c r="J13" s="5" t="n"/>
      <c r="K13" s="5" t="n"/>
      <c r="L13" s="5" t="n"/>
    </row>
    <row r="14">
      <c r="A14" s="6" t="inlineStr">
        <is>
          <t>Other operating (expense)/income</t>
        </is>
      </c>
      <c r="B14" s="6" t="n">
        <v>-264.3</v>
      </c>
      <c r="C14" s="6" t="n">
        <v>-1162.5</v>
      </c>
      <c r="D14" s="6" t="n">
        <v>584.8</v>
      </c>
      <c r="E14" s="6" t="n">
        <v>1373.4</v>
      </c>
      <c r="F14" s="6" t="n">
        <v>751.5</v>
      </c>
      <c r="G14" s="6" t="n">
        <v>2.7</v>
      </c>
      <c r="H14" s="6" t="n">
        <v>132.3</v>
      </c>
      <c r="I14" s="6" t="n">
        <v>216.3</v>
      </c>
      <c r="J14" s="6" t="n">
        <v>178.1</v>
      </c>
      <c r="K14" s="6" t="n">
        <v>158.1</v>
      </c>
      <c r="L14" s="6" t="n">
        <v>36</v>
      </c>
    </row>
    <row r="15">
      <c r="A15" s="5" t="inlineStr">
        <is>
          <t>Net fee, commission and other operating income (FY2015-FY2018 own reports only - those years' own statements sum fees and other operating income into one subtotal)</t>
        </is>
      </c>
      <c r="B15" s="5" t="n"/>
      <c r="C15" s="5" t="n"/>
      <c r="D15" s="5" t="n"/>
      <c r="E15" s="5" t="n"/>
      <c r="F15" s="5" t="n"/>
      <c r="G15" s="5" t="n"/>
      <c r="H15" s="5" t="n"/>
      <c r="I15" s="5" t="n">
        <v>70.59999999999999</v>
      </c>
      <c r="J15" s="5" t="n">
        <v>63.8</v>
      </c>
      <c r="K15" s="5" t="n">
        <v>165.5</v>
      </c>
      <c r="L15" s="5" t="n">
        <v>54</v>
      </c>
    </row>
    <row r="16">
      <c r="A16" s="5" t="inlineStr">
        <is>
          <t>Net operating income (FY2019/FY2020 own reports only - those years' own statements carry this subtotal, before administrative expenses)</t>
        </is>
      </c>
      <c r="B16" s="5" t="n"/>
      <c r="C16" s="5" t="n"/>
      <c r="D16" s="5" t="n"/>
      <c r="E16" s="5" t="n"/>
      <c r="F16" s="5" t="n"/>
      <c r="G16" s="5" t="n">
        <v>3178.8</v>
      </c>
      <c r="H16" s="5" t="n">
        <v>1383.4</v>
      </c>
      <c r="I16" s="5" t="n"/>
      <c r="J16" s="5" t="n"/>
      <c r="K16" s="5" t="n"/>
      <c r="L16" s="5" t="n"/>
    </row>
    <row r="17">
      <c r="A17" s="6" t="inlineStr">
        <is>
          <t>Credit impairment / Net impairment (charge)/reversal (FY2025/FY2024's own report labels this 'Credit impairment'; FY2023's own report labels it 'Net impairment (charge)/reversal')</t>
        </is>
      </c>
      <c r="B17" s="6" t="n">
        <v>-14027.2</v>
      </c>
      <c r="C17" s="6" t="n">
        <v>-2707.2</v>
      </c>
      <c r="D17" s="6" t="n">
        <v>-1171.3</v>
      </c>
      <c r="E17" s="6" t="n"/>
      <c r="F17" s="6" t="n"/>
      <c r="G17" s="6" t="n"/>
      <c r="H17" s="6" t="n"/>
      <c r="I17" s="6" t="n"/>
      <c r="J17" s="6" t="n"/>
      <c r="K17" s="6" t="n"/>
      <c r="L17" s="6" t="n"/>
    </row>
    <row r="18">
      <c r="A18" s="5" t="inlineStr">
        <is>
          <t>Net operating (loss)/income</t>
        </is>
      </c>
      <c r="B18" s="5" t="n">
        <v>-8630</v>
      </c>
      <c r="C18" s="5" t="n">
        <v>2935.9</v>
      </c>
      <c r="D18" s="5" t="n">
        <v>5299.1</v>
      </c>
      <c r="E18" s="5" t="n">
        <v>4171.3</v>
      </c>
      <c r="F18" s="5" t="n">
        <v>4165.3</v>
      </c>
      <c r="G18" s="5" t="n"/>
      <c r="H18" s="5" t="n"/>
      <c r="I18" s="5" t="n"/>
      <c r="J18" s="5" t="n"/>
      <c r="K18" s="5" t="n"/>
      <c r="L18" s="5" t="n"/>
    </row>
    <row r="19">
      <c r="A19" s="6" t="inlineStr">
        <is>
          <t>Administrative expenses</t>
        </is>
      </c>
      <c r="B19" s="6" t="n">
        <v>-5573.5</v>
      </c>
      <c r="C19" s="6" t="n">
        <v>-6009.9</v>
      </c>
      <c r="D19" s="6" t="n">
        <v>-5398</v>
      </c>
      <c r="E19" s="6" t="n">
        <v>-4485</v>
      </c>
      <c r="F19" s="6" t="n">
        <v>-4697.2</v>
      </c>
      <c r="G19" s="6" t="n">
        <v>-4503</v>
      </c>
      <c r="H19" s="6" t="n">
        <v>-6291.7</v>
      </c>
      <c r="I19" s="6" t="n">
        <v>-6985.7</v>
      </c>
      <c r="J19" s="6" t="n">
        <v>-5909.4</v>
      </c>
      <c r="K19" s="6" t="n">
        <v>-4114.8</v>
      </c>
      <c r="L19" s="6" t="n">
        <v>-3299.6</v>
      </c>
    </row>
    <row r="20">
      <c r="A20" s="6" t="inlineStr">
        <is>
          <t>Depreciation</t>
        </is>
      </c>
      <c r="B20" s="6" t="n">
        <v>-285.3</v>
      </c>
      <c r="C20" s="6" t="n">
        <v>-285.7</v>
      </c>
      <c r="D20" s="6" t="n">
        <v>-157.7</v>
      </c>
      <c r="E20" s="6" t="n">
        <v>-214.8</v>
      </c>
      <c r="F20" s="6" t="n">
        <v>-279.4</v>
      </c>
      <c r="G20" s="6" t="n">
        <v>-343.5</v>
      </c>
      <c r="H20" s="6" t="n">
        <v>-407.6</v>
      </c>
      <c r="I20" s="6" t="n">
        <v>-331.9</v>
      </c>
      <c r="J20" s="6" t="n">
        <v>-213.4</v>
      </c>
      <c r="K20" s="6" t="n">
        <v>-141.1</v>
      </c>
      <c r="L20" s="6" t="n">
        <v>-75.09999999999999</v>
      </c>
    </row>
    <row r="21">
      <c r="A21" s="5" t="inlineStr">
        <is>
          <t>Total operating expenses (FY2019/FY2020 own reports only)</t>
        </is>
      </c>
      <c r="B21" s="5" t="n"/>
      <c r="C21" s="5" t="n"/>
      <c r="D21" s="5" t="n"/>
      <c r="E21" s="5" t="n"/>
      <c r="F21" s="5" t="n"/>
      <c r="G21" s="5" t="n">
        <v>-4846.5</v>
      </c>
      <c r="H21" s="5" t="n">
        <v>-6699.3</v>
      </c>
      <c r="I21" s="5" t="n"/>
      <c r="J21" s="5" t="n"/>
      <c r="K21" s="5" t="n"/>
      <c r="L21" s="5" t="n"/>
    </row>
    <row r="22">
      <c r="A22" s="6" t="inlineStr">
        <is>
          <t>Net impairment (loss)/credit (FY2019/FY2020 own reports only - those years' own statements show this as a single late-statement line rather than a mid-statement loan-impairment charge)</t>
        </is>
      </c>
      <c r="B22" s="6" t="n"/>
      <c r="C22" s="6" t="n"/>
      <c r="D22" s="6" t="n"/>
      <c r="E22" s="6" t="n"/>
      <c r="F22" s="6" t="n"/>
      <c r="G22" s="6" t="n">
        <v>-4013.5</v>
      </c>
      <c r="H22" s="6" t="n">
        <v>164.1</v>
      </c>
      <c r="I22" s="6" t="n"/>
      <c r="J22" s="6" t="n"/>
      <c r="K22" s="6" t="n"/>
      <c r="L22" s="6" t="n"/>
    </row>
    <row r="23">
      <c r="A23" s="6" t="inlineStr">
        <is>
          <t>Impairment of property (FY2021 only, per that year's own report)</t>
        </is>
      </c>
      <c r="B23" s="6" t="n"/>
      <c r="C23" s="6" t="n"/>
      <c r="D23" s="6" t="n"/>
      <c r="E23" s="6" t="n"/>
      <c r="F23" s="6" t="n">
        <v>-483.7</v>
      </c>
      <c r="G23" s="6" t="n"/>
      <c r="H23" s="6" t="n"/>
      <c r="I23" s="6" t="n"/>
      <c r="J23" s="6" t="n"/>
      <c r="K23" s="6" t="n"/>
      <c r="L23" s="6" t="n"/>
    </row>
    <row r="24">
      <c r="A24" s="6" t="inlineStr">
        <is>
          <t>Reversal of impairment / Net impairment reversal (FY2021-FY2023's own reports only; FY2024/FY2025's own reports fold this into 'Credit impairment' above instead)</t>
        </is>
      </c>
      <c r="B24" s="6" t="n"/>
      <c r="C24" s="6" t="n"/>
      <c r="D24" s="6" t="n">
        <v>941.2</v>
      </c>
      <c r="E24" s="6" t="n">
        <v>1478.2</v>
      </c>
      <c r="F24" s="6" t="n">
        <v>815.7</v>
      </c>
      <c r="G24" s="6" t="n"/>
      <c r="H24" s="6" t="n"/>
      <c r="I24" s="6" t="n"/>
      <c r="J24" s="6" t="n"/>
      <c r="K24" s="6" t="n"/>
      <c r="L24" s="6" t="n"/>
    </row>
    <row r="25">
      <c r="A25" s="5" t="inlineStr">
        <is>
          <t>Total operating expenses</t>
        </is>
      </c>
      <c r="B25" s="5" t="n">
        <v>-5858.7</v>
      </c>
      <c r="C25" s="5" t="n">
        <v>-6295.6</v>
      </c>
      <c r="D25" s="5" t="n">
        <v>-4614.6</v>
      </c>
      <c r="E25" s="5" t="n">
        <v>-3221.6</v>
      </c>
      <c r="F25" s="5" t="n">
        <v>-4644.6</v>
      </c>
      <c r="G25" s="5" t="n"/>
      <c r="H25" s="5" t="n"/>
      <c r="I25" s="5" t="n"/>
      <c r="J25" s="5" t="n"/>
      <c r="K25" s="5" t="n"/>
      <c r="L25" s="5" t="n"/>
    </row>
    <row r="26">
      <c r="A26" s="5" t="inlineStr">
        <is>
          <t>Profit/(loss) before tax</t>
        </is>
      </c>
      <c r="B26" s="5" t="n">
        <v>-14488.7</v>
      </c>
      <c r="C26" s="5" t="n">
        <v>-3359.7</v>
      </c>
      <c r="D26" s="5" t="n">
        <v>684.6</v>
      </c>
      <c r="E26" s="5" t="n">
        <v>949.7</v>
      </c>
      <c r="F26" s="5" t="n">
        <v>-479.3</v>
      </c>
      <c r="G26" s="5" t="n">
        <v>-5681.2</v>
      </c>
      <c r="H26" s="5" t="n">
        <v>-5151.7</v>
      </c>
      <c r="I26" s="5" t="n">
        <v>-4898.1</v>
      </c>
      <c r="J26" s="5" t="n">
        <v>-1384.3</v>
      </c>
      <c r="K26" s="5" t="n">
        <v>-522.5</v>
      </c>
      <c r="L26" s="5" t="n">
        <v>479.3</v>
      </c>
    </row>
    <row r="27">
      <c r="A27" s="6" t="inlineStr">
        <is>
          <t>Tax on profit</t>
        </is>
      </c>
      <c r="B27" s="6" t="n">
        <v>0</v>
      </c>
      <c r="C27" s="6" t="n">
        <v>0</v>
      </c>
      <c r="D27" s="6" t="n">
        <v>0</v>
      </c>
      <c r="E27" s="6" t="n">
        <v>0</v>
      </c>
      <c r="F27" s="6" t="n">
        <v>0</v>
      </c>
      <c r="G27" s="6" t="n">
        <v>0</v>
      </c>
      <c r="H27" s="6" t="n">
        <v>0</v>
      </c>
      <c r="I27" s="6" t="n">
        <v>0</v>
      </c>
      <c r="J27" s="6" t="n">
        <v>0</v>
      </c>
      <c r="K27" s="6" t="n">
        <v>154.5</v>
      </c>
      <c r="L27" s="6" t="n">
        <v>-74.3</v>
      </c>
    </row>
    <row r="28">
      <c r="A28" s="5" t="inlineStr">
        <is>
          <t>Profit/(loss) for the year attributable to equity holders</t>
        </is>
      </c>
      <c r="B28" s="5" t="n">
        <v>-14488.7</v>
      </c>
      <c r="C28" s="5" t="n">
        <v>-3359.7</v>
      </c>
      <c r="D28" s="5" t="n">
        <v>684.6</v>
      </c>
      <c r="E28" s="5" t="n">
        <v>949.7</v>
      </c>
      <c r="F28" s="5" t="n">
        <v>-479.3</v>
      </c>
      <c r="G28" s="5" t="n">
        <v>-5681.2</v>
      </c>
      <c r="H28" s="5" t="n">
        <v>-5151.7</v>
      </c>
      <c r="I28" s="5" t="n">
        <v>-4898.1</v>
      </c>
      <c r="J28" s="5" t="n">
        <v>-1384.3</v>
      </c>
      <c r="K28" s="5" t="n">
        <v>-368</v>
      </c>
      <c r="L28" s="5" t="n">
        <v>405</v>
      </c>
    </row>
    <row r="29">
      <c r="A29" s="5" t="inlineStr">
        <is>
          <t>Total comprehensive income/(expense) for the year attributable to equity holders</t>
        </is>
      </c>
      <c r="B29" s="5" t="n">
        <v>-14488.7</v>
      </c>
      <c r="C29" s="5" t="n">
        <v>-3359.7</v>
      </c>
      <c r="D29" s="5" t="n">
        <v>684.6</v>
      </c>
      <c r="E29" s="5" t="n">
        <v>949.7</v>
      </c>
      <c r="F29" s="5" t="n">
        <v>-479.3</v>
      </c>
      <c r="G29" s="5" t="n">
        <v>-5681.2</v>
      </c>
      <c r="H29" s="5" t="n">
        <v>-5151.7</v>
      </c>
      <c r="I29" s="5" t="n">
        <v>-4898.1</v>
      </c>
      <c r="J29" s="5" t="n">
        <v>-1384.3</v>
      </c>
      <c r="K29" s="5" t="n">
        <v>-368</v>
      </c>
      <c r="L29" s="5" t="n">
        <v>405</v>
      </c>
    </row>
    <row r="31" ht="409" customHeight="1">
      <c r="A31" s="8" t="inlineStr">
        <is>
          <t>Sources - Persia International Bank Plc's own entity-level Statement of Comprehensive Income / Statement of Financial Position / Statement of Changes in Equity / Note 12 (Impairment) / Notes 14-16 (Cash, Loans to banks, Loans to customers), converted from EUR to GBP using the Bank's disclosed rates (see FX note):
FY2025: Annual Report and Financial Statements 2025, Statement of Comprehensive Income p.36, Statement of Financial Position p.37, Statement of Changes in Equity p.38, Note 12 p.69, Notes 14-16 p.71, Credit loss exposure/Capital management (Note 25) p.77 - https://find-and-update.company-information.service.gov.uk/company/04218020/filing-history/MzQ3OTMzNTI0NWFkaXF6a2N4/document?download=0&amp;format=pdf
FY2024: Annual Report and Financial Statements 2024, Statement of Comprehensive Income p.29, Statement of Financial Position p.30, Statement of Changes in Equity p.31, Note 12 p.57, Notes 14-16 p.59 - https://find-and-update.company-information.service.gov.uk/company/04218020/filing-history/MzQzMzA4NzcwMWFkaXF6a2N4/document?download=0&amp;format=pdf
FY2023: Annual Report and Financial Statements 2023, Statement of Comprehensive Income p.28, Statement of Financial Position p.29, Statement of Changes in Equity p.30, Note 12 p.54, Notes 14-16 p.56 - https://find-and-update.company-information.service.gov.uk/company/04218020/filing-history/MzM4OTExNTc1NmFkaXF6a2N4/document?download=0&amp;format=pdf
FY2022: Annual Report and Financial Statements 2022, Statement of Comprehensive Income p.27, Statement of Financial Position p.28, Statement of Changes in Equity p.29, Note 12 p.51, Notes 14-16 p.53 - https://find-and-update.company-information.service.gov.uk/company/04218020/filing-history/MzM1NTU5ODQzNmFkaXF6a2N4/document?download=0&amp;format=pdf
FY2021: Annual Report and Financial Statements 2022's own comparative column (same pages as FY2022 above, this is the latest filing that still contains a full FY2021 column) - https://find-and-update.company-information.service.gov.uk/company/04218020/filing-history/MzM1NTU5ODQzNmFkaXF6a2N4/document?download=0&amp;format=pdf
FY2020: Annual Report and Financial Statements for year ended 31 March 2020, Statement of Comprehensive Income p.26, Statement of Financial Position p.27, Note 28.4 (Capital management) p.62, Note 28.2 (stage-level credit exposure) p.61 (scanned Companies House filing) - https://find-and-update.company-information.service.gov.uk/company/04218020/filing-history/MzI4MjYzOTE2OGFkaXF6a2N4/document?download=0&amp;format=pdf
FY2019: Annual Report and Financial Statements for year ended 31 March 2019, Statement of Comprehensive Income p.22, Statement of Financial Position p.23, Note 28.4 (Capital management) p.58, Note 28 (stage-level credit exposure) p.57 (scanned filing) - https://find-and-update.company-information.service.gov.uk/company/04218020/filing-history/MzI0MDMwNDExNmFkaXF6a2N4/document?download=0&amp;format=pdf
FY2018: Annual Report and Financial Statements for year ended 31 March 2018, Statement of Comprehensive Income p.15, Statement of Financial Position p.16, capital management note p.31, loan-portfolio note p.30 (scanned filing) - https://find-and-update.company-information.service.gov.uk/company/04218020/filing-history/MzIxMjI1ODQ3MmFkaXF6a2N4/document?download=0&amp;format=pdf
FY2017: Annual Report and Financial Statements for year ended 31 March 2017, Statement of Comprehensive Income p.13, Statement of Financial Position p.14, capital management note p.28, loan-portfolio note p.27 (scanned filing) - https://find-and-update.company-information.service.gov.uk/company/04218020/filing-history/MzE4MTE5NDQwMWFkaXF6a2N4/document?download=0&amp;format=pdf
FY2016: Annual Report and Financial Statements for year ended 31 March 2016, Statement of Comprehensive Income p.13, Statement of Financial Position p.14, capital management note p.27, loan-portfolio note p.26 (scanned filing) - https://find-and-update.company-information.service.gov.uk/company/04218020/filing-history/MzE1NjI0NzM2OWFkaXF6a2N4/document?download=0&amp;format=pdf
FY2015: Annual Report and Financial Statements for year ended 31 March 2015, Statement of Comprehensive Income p.12, Statement of Financial Position p.13, capital management note p.31, loan-portfolio note p.30 (scanned filing, includes an embedded Pillar 3 disclosure at pp.35-52) - https://find-and-update.company-information.service.gov.uk/company/04218020/filing-history/MzEyNzM3Mjc4NWFkaXF6a2N4/document?download=0&amp;format=pdf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row r="33" ht="409" customHeight="1">
      <c r="A33" s="8" t="inlineStr">
        <is>
          <t>(continued)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
RESTATEMENT: the Annual Report and Financial Statements 2024's own Note 33 restates the Bank's FY2022/FY2023 figures (e.g. FY2023 closing retained earnings restated from EUR (17,439k) to EUR (18,414k), a genuine EUR 975k downward adjustment; FY2023 loans and advances to customers also restated from EUR 24,653k net to EUR 28,105k net, reclassifying interest receivable into that line). Each year's Balance Sheet/P&amp;L/Equity column here uses that year's own originally-reported figures (not the later restated comparative), consistent with every other bank in this project; the restatement is instead shown as its own explicit bridging row in the Statement of Changes in Equity, between FY2023's originally-reported closing balance and FY2024's own restated opening balance, per the Bank's own Note 33.
DEBT SECURITIES BREAKDOWN: Note 12 (Debt securities) of both the FY2015 (p.23 of the scanned Companies House filing) and FY2016 (p.23 of the scanned Companies House filing) Annual Reports states the entire Debt securities balance is one unlisted Sukuk (Islamic) bond, classified as "Available for sale securities - other debt securities" and "Issued by other than public bodies" - i.e. 100% one measurement-basis bucket (available-for-sale/mark-to-market, no amortised-cost or FVTPL component) and 100% one issuer-type bucket (not UK government/gilts/sovereign - a non-public-body, corporate-type issuer) in both years, so no sub-row split is added; the Balance Sheet row is instead relabelled in place to state both classifications. FY2015's note carries a 90.56% impairment provision against this bond; FY2016's note raises that provision to 100% (an additional EUR 416k impairment, matching the P&amp;L's 'Impairment charge for available-for-sale financial assets' row), which is why the FY2016 balance is nil.</t>
        </is>
      </c>
    </row>
  </sheetData>
  <mergeCells count="2">
    <mergeCell ref="A31:L31"/>
    <mergeCell ref="A33:L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110" customWidth="1" min="1" max="1"/>
    <col width="15" customWidth="1" min="2" max="2"/>
    <col width="15" customWidth="1" min="3" max="3"/>
    <col width="15" customWidth="1" min="4" max="4"/>
  </cols>
  <sheetData>
    <row r="1">
      <c r="A1" s="1" t="inlineStr">
        <is>
          <t>Persia International Bank Plc — Statement of Changes in Equity</t>
        </is>
      </c>
    </row>
    <row r="2">
      <c r="A2" s="2" t="inlineStr">
        <is>
          <t>Chronological roll-forward, oldest to newest, £'000 converted from EUR (see FX note; FY2015/FY2016 rows are EUR '000, unconverted - no year-end EUR/GBP rate is disclosed for those two years). Equity reconciliation ladder confirmed in EUR terms across all 11 years - zero undocumented plug rows. The one genuine bridging row (a EUR 975k prior period restatement) is disclosed by the Bank itself in Note 33 of the Annual Report and Financial Statements 2024, not an error found in this workbook. IMPORTANT: each £'000 cell below is an independent conversion of that row's own EUR figure at its own correct point-in-time rate (year-end rate for balances, average rate for in-year movements) - the £'000 column does not sum row-to-row the way the EUR figures do, because the Bank's EUR/GBP rate moves between each conversion point. This is a presentation artefact of converting a EUR-functional-currency ladder into GBP for this workbook, not a data error; treat each TOTAL row's £'000 value as independently correct, and see the underlying EUR figures (quoted in the 'At 1 April 2020' row and the RESTATEMENT source note) for the figures that do tie exactly.</t>
        </is>
      </c>
    </row>
    <row r="3">
      <c r="A3" s="4" t="inlineStr">
        <is>
          <t>Movement</t>
        </is>
      </c>
      <c r="B3" s="4" t="inlineStr">
        <is>
          <t>Issued share capital</t>
        </is>
      </c>
      <c r="C3" s="4" t="inlineStr">
        <is>
          <t>Retained earnings</t>
        </is>
      </c>
      <c r="D3" s="4" t="inlineStr">
        <is>
          <t>Total</t>
        </is>
      </c>
    </row>
    <row r="4">
      <c r="A4" s="5" t="inlineStr">
        <is>
          <t>At 1 April 2014 (FY2015 opening; EUR '000, unconverted - no FY2014 year-end EUR/GBP rate disclosed)</t>
        </is>
      </c>
      <c r="B4" s="5" t="n">
        <v>100000</v>
      </c>
      <c r="C4" s="5" t="n">
        <v>5479</v>
      </c>
      <c r="D4" s="5" t="n">
        <v>105479</v>
      </c>
    </row>
    <row r="5">
      <c r="A5" s="6" t="inlineStr">
        <is>
          <t>Profit for the year (FY2015; EUR '000, unconverted - see FX note)</t>
        </is>
      </c>
      <c r="B5" s="6" t="n"/>
      <c r="C5" s="6" t="n">
        <v>518</v>
      </c>
      <c r="D5" s="6" t="n">
        <v>518</v>
      </c>
    </row>
    <row r="6">
      <c r="A6" s="5" t="inlineStr">
        <is>
          <t>At 31 March 2015 (FY2015 closing; EUR '000, unconverted)</t>
        </is>
      </c>
      <c r="B6" s="5" t="n">
        <v>100000</v>
      </c>
      <c r="C6" s="5" t="n">
        <v>5997</v>
      </c>
      <c r="D6" s="5" t="n">
        <v>105997</v>
      </c>
    </row>
    <row r="7">
      <c r="A7" s="6" t="inlineStr">
        <is>
          <t>Loss for the year (FY2016; EUR '000, unconverted - see FX note)</t>
        </is>
      </c>
      <c r="B7" s="6" t="n"/>
      <c r="C7" s="6" t="n">
        <v>-498</v>
      </c>
      <c r="D7" s="6" t="n">
        <v>-498</v>
      </c>
    </row>
    <row r="8">
      <c r="A8" s="5" t="inlineStr">
        <is>
          <t>At 31 March 2016 (FY2016 closing; EUR '000, unconverted)</t>
        </is>
      </c>
      <c r="B8" s="5" t="n">
        <v>100000</v>
      </c>
      <c r="C8" s="5" t="n">
        <v>5499</v>
      </c>
      <c r="D8" s="5" t="n">
        <v>105499</v>
      </c>
    </row>
    <row r="9">
      <c r="A9" s="6" t="inlineStr">
        <is>
          <t>Loss for the year</t>
        </is>
      </c>
      <c r="B9" s="6" t="n"/>
      <c r="C9" s="6" t="n">
        <v>-1384.3</v>
      </c>
      <c r="D9" s="6" t="n">
        <v>-1384.3</v>
      </c>
    </row>
    <row r="10">
      <c r="A10" s="5" t="inlineStr">
        <is>
          <t>At 31 March 2017 (FY2017 closing)</t>
        </is>
      </c>
      <c r="B10" s="5" t="n">
        <v>85750</v>
      </c>
      <c r="C10" s="5" t="n">
        <v>3302.2</v>
      </c>
      <c r="D10" s="5" t="n">
        <v>89052.2</v>
      </c>
    </row>
    <row r="11">
      <c r="A11" s="6" t="inlineStr">
        <is>
          <t>Loss for the year</t>
        </is>
      </c>
      <c r="B11" s="6" t="n"/>
      <c r="C11" s="6" t="n">
        <v>-4898.1</v>
      </c>
      <c r="D11" s="6" t="n">
        <v>-4898.1</v>
      </c>
    </row>
    <row r="12">
      <c r="A12" s="5" t="inlineStr">
        <is>
          <t>At 31 March 2018 (FY2018 closing)</t>
        </is>
      </c>
      <c r="B12" s="5" t="n">
        <v>87500</v>
      </c>
      <c r="C12" s="5" t="n">
        <v>-1485.8</v>
      </c>
      <c r="D12" s="5" t="n">
        <v>86014.2</v>
      </c>
    </row>
    <row r="13">
      <c r="A13" s="6" t="inlineStr">
        <is>
          <t>Loss for the year</t>
        </is>
      </c>
      <c r="B13" s="6" t="n"/>
      <c r="C13" s="6" t="n">
        <v>-5151.7</v>
      </c>
      <c r="D13" s="6" t="n">
        <v>-5151.7</v>
      </c>
    </row>
    <row r="14">
      <c r="A14" s="5" t="inlineStr">
        <is>
          <t>At 31 March 2019 (FY2019 closing)</t>
        </is>
      </c>
      <c r="B14" s="5" t="n">
        <v>86000</v>
      </c>
      <c r="C14" s="5" t="n">
        <v>-10664.9</v>
      </c>
      <c r="D14" s="5" t="n">
        <v>75335.10000000001</v>
      </c>
    </row>
    <row r="15">
      <c r="A15" s="6" t="inlineStr">
        <is>
          <t>Loss for the year</t>
        </is>
      </c>
      <c r="B15" s="6" t="n"/>
      <c r="C15" s="6" t="n">
        <v>-5681.2</v>
      </c>
      <c r="D15" s="6" t="n">
        <v>-5681.2</v>
      </c>
    </row>
    <row r="16">
      <c r="A16" s="5" t="inlineStr">
        <is>
          <t>At 31 March 2020 (FY2020 closing; source EUR 100,000 / (18,819) / 81,181)</t>
        </is>
      </c>
      <c r="B16" s="5" t="n">
        <v>89000</v>
      </c>
      <c r="C16" s="5" t="n">
        <v>-16748.9</v>
      </c>
      <c r="D16" s="5" t="n">
        <v>72251.10000000001</v>
      </c>
    </row>
    <row r="17">
      <c r="A17" s="5" t="inlineStr">
        <is>
          <t>At 1 April 2020 (FY2021 opening; source EUR 100,000 / (18,819) / 81,181 - GBP conversion not available, no FY2020 year-end rate in the disclosed source set)</t>
        </is>
      </c>
      <c r="B17" s="5" t="n"/>
      <c r="C17" s="5" t="n"/>
      <c r="D17" s="5" t="n"/>
    </row>
    <row r="18">
      <c r="A18" s="6" t="inlineStr">
        <is>
          <t>Ordinary share capital issued</t>
        </is>
      </c>
      <c r="B18" s="6" t="n">
        <v>44625</v>
      </c>
      <c r="C18" s="6" t="n"/>
      <c r="D18" s="6" t="n">
        <v>44625</v>
      </c>
    </row>
    <row r="19">
      <c r="A19" s="6" t="inlineStr">
        <is>
          <t>Loss for the year</t>
        </is>
      </c>
      <c r="B19" s="6" t="n"/>
      <c r="C19" s="6" t="n">
        <v>-479.3</v>
      </c>
      <c r="D19" s="6" t="n">
        <v>-479.3</v>
      </c>
    </row>
    <row r="20">
      <c r="A20" s="5" t="inlineStr">
        <is>
          <t>At 31 March 2021 (FY2021 closing)</t>
        </is>
      </c>
      <c r="B20" s="5" t="n">
        <v>127875</v>
      </c>
      <c r="C20" s="5" t="n">
        <v>-16501</v>
      </c>
      <c r="D20" s="5" t="n">
        <v>111374</v>
      </c>
    </row>
    <row r="21">
      <c r="A21" s="6" t="inlineStr">
        <is>
          <t>Profit for the year</t>
        </is>
      </c>
      <c r="B21" s="6" t="n"/>
      <c r="C21" s="6" t="n">
        <v>949.7</v>
      </c>
      <c r="D21" s="6" t="n">
        <v>949.7</v>
      </c>
    </row>
    <row r="22">
      <c r="A22" s="5" t="inlineStr">
        <is>
          <t>At 31 March 2022 (FY2022 closing)</t>
        </is>
      </c>
      <c r="B22" s="5" t="n">
        <v>127125</v>
      </c>
      <c r="C22" s="5" t="n">
        <v>-15460.1</v>
      </c>
      <c r="D22" s="5" t="n">
        <v>111664.9</v>
      </c>
    </row>
    <row r="23">
      <c r="A23" s="6" t="inlineStr">
        <is>
          <t>Profit for the year</t>
        </is>
      </c>
      <c r="B23" s="6" t="n"/>
      <c r="C23" s="6" t="n">
        <v>684.6</v>
      </c>
      <c r="D23" s="6" t="n">
        <v>684.6</v>
      </c>
    </row>
    <row r="24">
      <c r="A24" s="5" t="inlineStr">
        <is>
          <t>At 31 March 2023 (FY2023 closing, as originally reported in the Annual Report and Financial Statements 2023)</t>
        </is>
      </c>
      <c r="B24" s="5" t="n">
        <v>132000</v>
      </c>
      <c r="C24" s="5" t="n">
        <v>-15346.3</v>
      </c>
      <c r="D24" s="5" t="n">
        <v>116653.7</v>
      </c>
    </row>
    <row r="25">
      <c r="A25" s="6" t="inlineStr">
        <is>
          <t>Prior period restatement (per the Annual Report and Financial Statements 2024's own Note 33 - a genuine EUR 975k downward adjustment to the FY2023 closing balance, not a transcription error)</t>
        </is>
      </c>
      <c r="B25" s="6" t="n"/>
      <c r="C25" s="6" t="n">
        <v>-858</v>
      </c>
      <c r="D25" s="6" t="n">
        <v>-858</v>
      </c>
    </row>
    <row r="26">
      <c r="A26" s="6" t="inlineStr">
        <is>
          <t>Loss for the year</t>
        </is>
      </c>
      <c r="B26" s="6" t="n"/>
      <c r="C26" s="6" t="n">
        <v>-3359.7</v>
      </c>
      <c r="D26" s="6" t="n">
        <v>-3359.7</v>
      </c>
    </row>
    <row r="27">
      <c r="A27" s="5" t="inlineStr">
        <is>
          <t>At 31 March 2024 (FY2024 closing)</t>
        </is>
      </c>
      <c r="B27" s="5" t="n">
        <v>128250</v>
      </c>
      <c r="C27" s="5" t="n">
        <v>-19072.5</v>
      </c>
      <c r="D27" s="5" t="n">
        <v>109177.5</v>
      </c>
    </row>
    <row r="28">
      <c r="A28" s="6" t="inlineStr">
        <is>
          <t>Loss for the year</t>
        </is>
      </c>
      <c r="B28" s="6" t="n"/>
      <c r="C28" s="6" t="n">
        <v>-14488.7</v>
      </c>
      <c r="D28" s="6" t="n">
        <v>-14488.7</v>
      </c>
    </row>
    <row r="29">
      <c r="A29" s="5" t="inlineStr">
        <is>
          <t>At 31 March 2025 (FY2025 closing)</t>
        </is>
      </c>
      <c r="B29" s="5" t="n">
        <v>125250</v>
      </c>
      <c r="C29" s="5" t="n">
        <v>-33046</v>
      </c>
      <c r="D29" s="5" t="n">
        <v>92204</v>
      </c>
    </row>
    <row r="31" ht="325" customHeight="1">
      <c r="A31" s="8" t="inlineStr">
        <is>
          <t>Sources - Persia International Bank Plc's own entity-level Statement of Comprehensive Income / Statement of Financial Position / Statement of Changes in Equity / Note 12 (Impairment) / Notes 14-16 (Cash, Loans to banks, Loans to customers), converted from EUR to GBP using the Bank's disclosed rates (see FX note):
FY2025: Annual Report and Financial Statements 2025, Statement of Comprehensive Income p.36, Statement of Financial Position p.37, Statement of Changes in Equity p.38, Note 12 p.69, Notes 14-16 p.71, Credit loss exposure/Capital management (Note 25) p.77 - https://find-and-update.company-information.service.gov.uk/company/04218020/filing-history/MzQ3OTMzNTI0NWFkaXF6a2N4/document?download=0&amp;format=pdf
FY2024: Annual Report and Financial Statements 2024, Statement of Comprehensive Income p.29, Statement of Financial Position p.30, Statement of Changes in Equity p.31, Note 12 p.57, Notes 14-16 p.59 - https://find-and-update.company-information.service.gov.uk/company/04218020/filing-history/MzQzMzA4NzcwMWFkaXF6a2N4/document?download=0&amp;format=pdf
FY2023: Annual Report and Financial Statements 2023, Statement of Comprehensive Income p.28, Statement of Financial Position p.29, Statement of Changes in Equity p.30, Note 12 p.54, Notes 14-16 p.56 - https://find-and-update.company-information.service.gov.uk/company/04218020/filing-history/MzM4OTExNTc1NmFkaXF6a2N4/document?download=0&amp;format=pdf
FY2022: Annual Report and Financial Statements 2022, Statement of Comprehensive Income p.27, Statement of Financial Position p.28, Statement of Changes in Equity p.29, Note 12 p.51, Notes 14-16 p.53 - https://find-and-update.company-information.service.gov.uk/company/04218020/filing-history/MzM1NTU5ODQzNmFkaXF6a2N4/document?download=0&amp;format=pdf
FY2021: Annual Report and Financial Statements 2022's own comparative column (same pages as FY2022 above, this is the latest filing that still contains a full FY2021 column) - https://find-and-update.company-information.service.gov.uk/company/04218020/filing-history/MzM1NTU5ODQzNmFkaXF6a2N4/document?download=0&amp;format=pdf
FY2020: Annual Report and Financial Statements for year ended 31 March 2020, Statement of Comprehensive Income p.26, Statement of Financial Position p.27, Note 28.4 (Capital management) p.62, Note 28.2 (stage-level credit exposure) p.61 (scanned Companies House filing) - https://find-and-update.company-information.service.gov.uk/company/04218020/filing-history/MzI4MjYzOTE2OGFkaXF6a2N4/document?download=0&amp;format=pdf
FY2019: Annual Report and Financial Statements for year ended 31 March 2019, Statement of Comprehensive Income p.22, Statement of Financial Position p.23, Note 28.4 (Capital management) p.58, Note 28 (stage-level credit exposure) p.57 (scanned filing) - https://find-and-update.company-information.service.gov.uk/company/04218020/filing-history/MzI0MDMwNDExNmFkaXF6a2N4/document?download=0&amp;format=pdf
FY2018: Annual Report and Financial Statements for year ended 31 March 2018, Statement of Comprehensive Income p.15, Statement of Financial Position p.16, capital management note p.31, loan-portfolio note p.30 (scanned filing) - https://find-and-update.company-information.service.gov.uk/company/04218020/filing-history/MzIxMjI1ODQ3MmFkaXF6a2N4/document?download=0&amp;format=pdf
FY2017: Annual Report and Financial Statements for year ended 31 March 2017, Statement of Comprehensive Income p.13, Statement of Financial Position p.14, capital management note p.28, loan-portfolio note p.27 (scanned filing) - https://find-and-update.company-information.service.gov.uk/company/04218020/filing-history/MzE4MTE5NDQwMWFkaXF6a2N4/document?download=0&amp;format=pdf
FY2016: Annual Report and Financial Statements for year ended 31 March 2016, Statement of Comprehensive Income p.13, Statement of Financial Position p.14, capital management note p.27, loan-portfolio note p.26 (scanned filing) - https://find-and-update.company-information.service.gov.uk/company/04218020/filing-history/MzE1NjI0NzM2OWFkaXF6a2N4/document?download=0&amp;format=pdf
FY2015: Annual Report and Financial Statements for year ended 31 March 2015, Statement of Comprehensive Income p.12, Statement of Financial Position p.13, capital management note p.31, loan-portfolio note p.30 (scanned filing, includes an embedded Pillar 3 disclosure at pp.35-52) - https://find-and-update.company-information.service.gov.uk/company/04218020/filing-history/MzEyNzM3Mjc4NWFkaXF6a2N4/document?download=0&amp;format=pdf</t>
        </is>
      </c>
    </row>
    <row r="33" ht="377" customHeight="1">
      <c r="A33" s="8" t="inlineStr">
        <is>
          <t>(continued)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t>
        </is>
      </c>
    </row>
    <row r="35" ht="150" customHeight="1">
      <c r="A35" s="8" t="inlineStr">
        <is>
          <t>(continued)
RESTATEMENT: the Annual Report and Financial Statements 2024's own Note 33 restates the Bank's FY2022/FY2023 figures (e.g. FY2023 closing retained earnings restated from EUR (17,439k) to EUR (18,414k), a genuine EUR 975k downward adjustment; FY2023 loans and advances to customers also restated from EUR 24,653k net to EUR 28,105k net, reclassifying interest receivable into that line). Each year's Balance Sheet/P&amp;L/Equity column here uses that year's own originally-reported figures (not the later restated comparative), consistent with every other bank in this project; the restatement is instead shown as its own explicit bridging row in the Statement of Changes in Equity, between FY2023's originally-reported closing balance and FY2024's own restated opening balance, per the Bank's own Note 33.
DEBT SECURITIES BREAKDOWN: Note 12 (Debt securities) of both the FY2015 (p.23 of the scanned Companies House filing) and FY2016 (p.23 of the scanned Companies House filing) Annual Reports states the entire Debt securities balance is one unlisted Sukuk (Islamic) bond, classified as "Available for sale securities - other debt securities" and "Issued by other than public bodies" - i.e. 100% one measurement-basis bucket (available-for-sale/mark-to-market, no amortised-cost or FVTPL component) and 100% one issuer-type bucket (not UK government/gilts/sovereign - a non-public-body, corporate-type issuer) in both years, so no sub-row split is added; the Balance Sheet row is instead relabelled in place to state both classifications. FY2015's note carries a 90.56% impairment provision against this bond; FY2016's note raises that provision to 100% (an additional EUR 416k impairment, matching the P&amp;L's 'Impairment charge for available-for-sale financial assets' row), which is why the FY2016 balance is nil.</t>
        </is>
      </c>
    </row>
  </sheetData>
  <mergeCells count="3">
    <mergeCell ref="A35:D35"/>
    <mergeCell ref="A31:D31"/>
    <mergeCell ref="A33:D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Statement of Cash Flows</t>
        </is>
      </c>
    </row>
    <row r="2">
      <c r="A2" s="2" t="inlineStr">
        <is>
          <t>Entity-level basis, £'000 converted from EUR (FY2015/FY2016 figures are EUR '000, unconverted - no year-end EUR/GBP rate is disclosed for those two years; FY2017 and FY2021 opening cash are each left blank for the same reason, one year removed); see source note for sanctions, reporting basis and FX methodology</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c r="G3" s="4" t="inlineStr">
        <is>
          <t>FY2020 (£'000, conv. from EUR)</t>
        </is>
      </c>
      <c r="H3" s="4" t="inlineStr">
        <is>
          <t>FY2019 (£'000, conv. from EUR)</t>
        </is>
      </c>
      <c r="I3" s="4" t="inlineStr">
        <is>
          <t>FY2018 (£'000, conv. from EUR)</t>
        </is>
      </c>
      <c r="J3" s="4" t="inlineStr">
        <is>
          <t>FY2017 (£'000, conv. from EUR)</t>
        </is>
      </c>
      <c r="K3" s="4" t="inlineStr">
        <is>
          <t>FY2016 (£'000, conv. from EUR)</t>
        </is>
      </c>
      <c r="L3" s="4" t="inlineStr">
        <is>
          <t>FY2015 (£'000, conv. from EUR)</t>
        </is>
      </c>
    </row>
    <row r="4">
      <c r="A4" s="5" t="inlineStr">
        <is>
          <t>Operating activities</t>
        </is>
      </c>
      <c r="B4" s="6" t="n"/>
      <c r="C4" s="6" t="n"/>
      <c r="D4" s="6" t="n"/>
      <c r="E4" s="6" t="n"/>
      <c r="F4" s="6" t="n"/>
      <c r="G4" s="6" t="n"/>
      <c r="H4" s="6" t="n"/>
      <c r="I4" s="6" t="n"/>
      <c r="J4" s="6" t="n"/>
      <c r="K4" s="6" t="n"/>
      <c r="L4" s="6" t="n"/>
    </row>
    <row r="5">
      <c r="A5" s="5" t="inlineStr">
        <is>
          <t>Net cash flow from operating activities</t>
        </is>
      </c>
      <c r="B5" s="5" t="n">
        <v>1676.3</v>
      </c>
      <c r="C5" s="5" t="n">
        <v>-12268.4</v>
      </c>
      <c r="D5" s="5" t="n">
        <v>4361.4</v>
      </c>
      <c r="E5" s="5" t="n">
        <v>2897.6</v>
      </c>
      <c r="F5" s="5" t="n">
        <v>-328.4</v>
      </c>
      <c r="G5" s="5" t="n">
        <v>-24079.2</v>
      </c>
      <c r="H5" s="5" t="n">
        <v>-3291</v>
      </c>
      <c r="I5" s="5" t="n">
        <v>6778.3</v>
      </c>
      <c r="J5" s="5" t="n">
        <v>-2987.9</v>
      </c>
      <c r="K5" s="5" t="n">
        <v>7942</v>
      </c>
      <c r="L5" s="5" t="n">
        <v>11401.7</v>
      </c>
    </row>
    <row r="6">
      <c r="A6" s="5" t="inlineStr">
        <is>
          <t>Investing activities</t>
        </is>
      </c>
      <c r="B6" s="6" t="n"/>
      <c r="C6" s="6" t="n"/>
      <c r="D6" s="6" t="n"/>
      <c r="E6" s="6" t="n"/>
      <c r="F6" s="6" t="n"/>
      <c r="G6" s="6" t="n"/>
      <c r="H6" s="6" t="n"/>
      <c r="I6" s="6" t="n"/>
      <c r="J6" s="6" t="n"/>
      <c r="K6" s="6" t="n"/>
      <c r="L6" s="6" t="n"/>
    </row>
    <row r="7">
      <c r="A7" s="5" t="inlineStr">
        <is>
          <t>Net cash flow from investing activities</t>
        </is>
      </c>
      <c r="B7" s="5" t="n">
        <v>-1.7</v>
      </c>
      <c r="C7" s="5" t="n">
        <v>-62.1</v>
      </c>
      <c r="D7" s="5" t="n">
        <v>-39.2</v>
      </c>
      <c r="E7" s="5" t="n">
        <v>-37.5</v>
      </c>
      <c r="F7" s="5" t="n">
        <v>0</v>
      </c>
      <c r="G7" s="5" t="n">
        <v>0</v>
      </c>
      <c r="H7" s="5" t="n">
        <v>-55.6</v>
      </c>
      <c r="I7" s="5" t="n">
        <v>-793.5</v>
      </c>
      <c r="J7" s="5" t="n">
        <v>-319.2</v>
      </c>
      <c r="K7" s="5" t="n">
        <v>-65</v>
      </c>
      <c r="L7" s="5" t="n">
        <v>-129.8</v>
      </c>
    </row>
    <row r="8">
      <c r="A8" s="5" t="inlineStr">
        <is>
          <t>Financing activities</t>
        </is>
      </c>
      <c r="B8" s="6" t="n"/>
      <c r="C8" s="6" t="n"/>
      <c r="D8" s="6" t="n"/>
      <c r="E8" s="6" t="n"/>
      <c r="F8" s="6" t="n"/>
      <c r="G8" s="6" t="n"/>
      <c r="H8" s="6" t="n"/>
      <c r="I8" s="6" t="n"/>
      <c r="J8" s="6" t="n"/>
      <c r="K8" s="6" t="n"/>
      <c r="L8" s="6" t="n"/>
    </row>
    <row r="9">
      <c r="A9" s="5" t="inlineStr">
        <is>
          <t>Net cash flow from financing activities</t>
        </is>
      </c>
      <c r="B9" s="5" t="n">
        <v>-190.5</v>
      </c>
      <c r="C9" s="5" t="n">
        <v>-23712.7</v>
      </c>
      <c r="D9" s="5" t="n">
        <v>-1125.3</v>
      </c>
      <c r="E9" s="5" t="n">
        <v>-7831.1</v>
      </c>
      <c r="F9" s="5" t="n">
        <v>-1436</v>
      </c>
      <c r="G9" s="5" t="n">
        <v>52855.3</v>
      </c>
      <c r="H9" s="5" t="n">
        <v>-9921.5</v>
      </c>
      <c r="I9" s="5" t="n">
        <v>0</v>
      </c>
      <c r="J9" s="5" t="n">
        <v>0</v>
      </c>
      <c r="K9" s="5" t="n">
        <v>0</v>
      </c>
      <c r="L9" s="5" t="n">
        <v>0</v>
      </c>
    </row>
    <row r="10">
      <c r="A10" s="5" t="inlineStr">
        <is>
          <t>Net (decrease) / increase in cash and cash equivalents</t>
        </is>
      </c>
      <c r="B10" s="5" t="n">
        <v>1499.3</v>
      </c>
      <c r="C10" s="5" t="n">
        <v>-36043.2</v>
      </c>
      <c r="D10" s="5" t="n">
        <v>3196.9</v>
      </c>
      <c r="E10" s="5" t="n">
        <v>-4970.9</v>
      </c>
      <c r="F10" s="5" t="n">
        <v>-1764.5</v>
      </c>
      <c r="G10" s="5" t="n">
        <v>28776.1</v>
      </c>
      <c r="H10" s="5" t="n">
        <v>-13268.9</v>
      </c>
      <c r="I10" s="5" t="n">
        <v>-1167.8</v>
      </c>
      <c r="J10" s="5" t="n">
        <v>-3279.4</v>
      </c>
      <c r="K10" s="5" t="n">
        <v>7802.4</v>
      </c>
      <c r="L10" s="5" t="n">
        <v>11294.5</v>
      </c>
    </row>
    <row r="11">
      <c r="A11" s="6" t="inlineStr">
        <is>
          <t>Exchange difference (Bank's own EUR statement line)</t>
        </is>
      </c>
      <c r="B11" s="6" t="n">
        <v>-121.7</v>
      </c>
      <c r="C11" s="6" t="n">
        <v>870.8</v>
      </c>
      <c r="D11" s="6" t="n">
        <v>-37.5</v>
      </c>
      <c r="E11" s="6" t="n">
        <v>0</v>
      </c>
      <c r="F11" s="6" t="n">
        <v>0</v>
      </c>
      <c r="G11" s="6" t="n">
        <v>0</v>
      </c>
      <c r="H11" s="6" t="n">
        <v>0</v>
      </c>
      <c r="I11" s="6" t="n">
        <v>3.5</v>
      </c>
      <c r="J11" s="6" t="n">
        <v>27.7</v>
      </c>
      <c r="K11" s="6" t="n">
        <v>-74.59999999999999</v>
      </c>
      <c r="L11" s="6" t="n">
        <v>22.7</v>
      </c>
    </row>
    <row r="12">
      <c r="A12" s="6" t="inlineStr">
        <is>
          <t>Effect of GBP/EUR translation (this workbook's conversion line)</t>
        </is>
      </c>
      <c r="B12" s="6" t="n">
        <v>-1516</v>
      </c>
      <c r="C12" s="6" t="n">
        <v>-53742</v>
      </c>
      <c r="D12" s="6" t="n">
        <v>5648.4</v>
      </c>
      <c r="E12" s="6" t="n">
        <v>-853.3</v>
      </c>
      <c r="F12" s="6" t="n"/>
      <c r="G12" s="6" t="n">
        <v>4534.8</v>
      </c>
      <c r="H12" s="6" t="n">
        <v>-2078.7</v>
      </c>
      <c r="I12" s="6" t="n">
        <v>2848.1</v>
      </c>
      <c r="J12" s="6" t="n"/>
      <c r="K12" s="6" t="n">
        <v>2830.2</v>
      </c>
      <c r="L12" s="6" t="n">
        <v>3127.8</v>
      </c>
    </row>
    <row r="13">
      <c r="A13" s="6" t="inlineStr">
        <is>
          <t>Cash and cash equivalents at the beginning of the year</t>
        </is>
      </c>
      <c r="B13" s="6" t="n">
        <v>64528.6</v>
      </c>
      <c r="C13" s="6" t="n">
        <v>153443</v>
      </c>
      <c r="D13" s="6" t="n">
        <v>144635.2</v>
      </c>
      <c r="E13" s="6" t="n">
        <v>150459.4</v>
      </c>
      <c r="F13" s="6" t="n"/>
      <c r="G13" s="6" t="n">
        <v>125526.5</v>
      </c>
      <c r="H13" s="6" t="n">
        <v>140874.1</v>
      </c>
      <c r="I13" s="6" t="n">
        <v>139190.3</v>
      </c>
      <c r="J13" s="6" t="n"/>
      <c r="K13" s="6" t="n">
        <v>155667</v>
      </c>
      <c r="L13" s="6" t="n">
        <v>141222</v>
      </c>
    </row>
    <row r="14">
      <c r="A14" s="5" t="inlineStr">
        <is>
          <t>Cash and cash equivalents at the end of the year</t>
        </is>
      </c>
      <c r="B14" s="5" t="n">
        <v>64390.2</v>
      </c>
      <c r="C14" s="5" t="n">
        <v>64528.6</v>
      </c>
      <c r="D14" s="5" t="n">
        <v>153443</v>
      </c>
      <c r="E14" s="5" t="n">
        <v>144635.2</v>
      </c>
      <c r="F14" s="5" t="n">
        <v>150459.4</v>
      </c>
      <c r="G14" s="5" t="n">
        <v>158837.4</v>
      </c>
      <c r="H14" s="5" t="n">
        <v>125526.5</v>
      </c>
      <c r="I14" s="5" t="n">
        <v>140874.1</v>
      </c>
      <c r="J14" s="5" t="n">
        <v>139190.3</v>
      </c>
      <c r="K14" s="5" t="n">
        <v>166225</v>
      </c>
      <c r="L14" s="5" t="n">
        <v>155667</v>
      </c>
    </row>
    <row r="16" ht="409" customHeight="1">
      <c r="A16" s="8" t="inlineStr">
        <is>
          <t>Sources - Persia International Bank Plc's own entity-level Statements of Cash Flows, converted from EUR to GBP using the Bank's disclosed rates (see FX note):
FY2025: Annual Report and Financial Statements for year ended 31 March 2025, p.39 - https://find-and-update.company-information.service.gov.uk/company/04218020/filing-history/MzQ3OTMzNTI0NWFkaXF6a2N4/document?download=0&amp;format=pdf
FY2024: Annual Report and Financial Statements for year ended 31 March 2024, p.32 - https://find-and-update.company-information.service.gov.uk/company/04218020/filing-history/MzQzMzA4NzcwMWFkaXF6a2N4/document?download=0&amp;format=pdf
FY2023: Annual Report and Financial Statements for year ended 31 March 2023, p.31 - https://find-and-update.company-information.service.gov.uk/company/04218020/filing-history/MzM4OTExNTc1NmFkaXF6a2N4/document?download=0&amp;format=pdf
FY2022: Annual Report and Financial Statements for year ended 31 March 2022, p.30 - https://find-and-update.company-information.service.gov.uk/company/04218020/filing-history/MzM1NTU5ODQzNmFkaXF6a2N4/document?download=0&amp;format=pdf
FY2021: FY2022 Annual Report's comparative column, p.30 - https://find-and-update.company-information.service.gov.uk/company/04218020/filing-history/MzM1NTU5ODQzNmFkaXF6a2N4/document?download=0&amp;format=pdf
FY2020: Annual Report and Financial Statements for year ended 31 March 2020, p.29 (scanned Companies House filing, transcribed from the page image) - https://find-and-update.company-information.service.gov.uk/company/04218020/filing-history/MzI4MjYzOTE2OGFkaXF6a2N4/document?download=0&amp;format=pdf
FY2019: Annual Report and Financial Statements for year ended 31 March 2019, p.25 (scanned filing) - https://find-and-update.company-information.service.gov.uk/company/04218020/filing-history/MzI0MDMwNDExNmFkaXF6a2N4/document?download=0&amp;format=pdf
FY2018: Annual Report and Financial Statements for year ended 31 March 2018, p.18 (scanned filing) - https://find-and-update.company-information.service.gov.uk/company/04218020/filing-history/MzIxMjI1ODQ3MmFkaXF6a2N4/document?download=0&amp;format=pdf
FY2017: Annual Report and Financial Statements for year ended 31 March 2017, p.16 (scanned filing) - https://find-and-update.company-information.service.gov.uk/company/04218020/filing-history/MzE4MTE5NDQwMWFkaXF6a2N4/document?download=0&amp;format=pdf
FY2016: Annual Report and Financial Statements for year ended 31 March 2016, p.16 (scanned filing) - https://find-and-update.company-information.service.gov.uk/company/04218020/filing-history/MzE1NjI0NzM2OWFkaXF6a2N4/document?download=0&amp;format=pdf
FY2015: Annual Report and Financial Statements for year ended 31 March 2015, p.15 (scanned filing) - https://find-and-update.company-information.service.gov.uk/company/04218020/filing-history/MzEyNzM3Mjc4NWFkaXF6a2N4/document?download=0&amp;format=pdf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row r="18" ht="409" customHeight="1">
      <c r="A18" s="8" t="inlineStr">
        <is>
          <t>(continued)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
FY2020 CASH RECONCILIATION NOTE: the FY2020 Annual Report's own Statement of Cash Flows states "Cash and cash equivalents at the end of the year" as EUR 174,469k, but its own supporting reconciliation table two lines below (cash at central banks EUR 27,443k + loans/advances to banks with maturity &lt;3 months EUR 151,026k) sums to EUR 178,469k - a genuine EUR 4,000k internal inconsistency in the Bank's own document, not a transcription error here. This workbook uses EUR 178,469k (the reconciliation-table figure, which also ties to opening cash plus the year's own operating/investing/financing/FX movements) for FY2020 closing cash.</t>
        </is>
      </c>
    </row>
  </sheetData>
  <mergeCells count="2">
    <mergeCell ref="A16:L16"/>
    <mergeCell ref="A18:L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Asset Quality</t>
        </is>
      </c>
    </row>
    <row r="2">
      <c r="A2" s="2" t="inlineStr">
        <is>
          <t>Entity-level basis, £'000 converted from EUR (FY2015/FY2016 figures are EUR '000, unconverted - see FX note). Net loans and advances to customers ties exactly to the Balance Sheet every year. FY2022's own component split (Commercial/Syndicated) differs from a later report's FY2022 comparative despite both giving the identical net figure (EUR 32,356k) - a genuine component-level reclassification, not a data error; this year's own contemporaneous report is used, as elsewhere in this workbook. FY2015-FY2020 (added under HD-021) use two more structures again - see the section headers below.</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c r="G3" s="4" t="inlineStr">
        <is>
          <t>FY2020 (£'000, conv. from EUR)</t>
        </is>
      </c>
      <c r="H3" s="4" t="inlineStr">
        <is>
          <t>FY2019 (£'000, conv. from EUR)</t>
        </is>
      </c>
      <c r="I3" s="4" t="inlineStr">
        <is>
          <t>FY2018 (£'000, conv. from EUR)</t>
        </is>
      </c>
      <c r="J3" s="4" t="inlineStr">
        <is>
          <t>FY2017 (£'000, conv. from EUR)</t>
        </is>
      </c>
      <c r="K3" s="4" t="inlineStr">
        <is>
          <t>FY2016 (£'000, conv. from EUR)</t>
        </is>
      </c>
      <c r="L3" s="4" t="inlineStr">
        <is>
          <t>FY2015 (£'000, conv. from EUR)</t>
        </is>
      </c>
    </row>
    <row r="4">
      <c r="A4" s="5" t="inlineStr">
        <is>
          <t>Loans and advances to customers (Note 16)</t>
        </is>
      </c>
      <c r="B4" s="6" t="n"/>
      <c r="C4" s="6" t="n"/>
      <c r="D4" s="6" t="n"/>
      <c r="E4" s="6" t="n"/>
      <c r="F4" s="6" t="n"/>
      <c r="G4" s="6" t="n"/>
      <c r="H4" s="6" t="n"/>
      <c r="I4" s="6" t="n"/>
      <c r="J4" s="6" t="n"/>
      <c r="K4" s="6" t="n"/>
      <c r="L4" s="6" t="n"/>
    </row>
    <row r="5">
      <c r="A5" s="6" t="inlineStr">
        <is>
          <t>Commercial Loan</t>
        </is>
      </c>
      <c r="B5" s="6" t="n">
        <v>25445</v>
      </c>
      <c r="C5" s="6" t="n">
        <v>25839</v>
      </c>
      <c r="D5" s="6" t="n">
        <v>3726.8</v>
      </c>
      <c r="E5" s="6" t="n">
        <v>3589.2</v>
      </c>
      <c r="F5" s="6" t="n">
        <v>3610.3</v>
      </c>
      <c r="G5" s="6" t="n"/>
      <c r="H5" s="6" t="n"/>
      <c r="I5" s="6" t="n"/>
      <c r="J5" s="6" t="n"/>
      <c r="K5" s="6" t="n"/>
      <c r="L5" s="6" t="n"/>
    </row>
    <row r="6">
      <c r="A6" s="6" t="inlineStr">
        <is>
          <t>Syndicated Loans</t>
        </is>
      </c>
      <c r="B6" s="6" t="n">
        <v>12803.9</v>
      </c>
      <c r="C6" s="6" t="n">
        <v>20756</v>
      </c>
      <c r="D6" s="6" t="n">
        <v>22707.5</v>
      </c>
      <c r="E6" s="6" t="n">
        <v>31703.3</v>
      </c>
      <c r="F6" s="6" t="n">
        <v>35366.8</v>
      </c>
      <c r="G6" s="6" t="n"/>
      <c r="H6" s="6" t="n"/>
      <c r="I6" s="6" t="n"/>
      <c r="J6" s="6" t="n"/>
      <c r="K6" s="6" t="n"/>
      <c r="L6" s="6" t="n"/>
    </row>
    <row r="7">
      <c r="A7" s="6" t="inlineStr">
        <is>
          <t>Interest receivable (only disclosed as its own line FY2024-FY2025)</t>
        </is>
      </c>
      <c r="B7" s="6" t="n">
        <v>4614.2</v>
      </c>
      <c r="C7" s="6" t="n">
        <v>2252.1</v>
      </c>
      <c r="D7" s="6" t="n"/>
      <c r="E7" s="6" t="n"/>
      <c r="F7" s="6" t="n"/>
      <c r="G7" s="6" t="n"/>
      <c r="H7" s="6" t="n"/>
      <c r="I7" s="6" t="n"/>
      <c r="J7" s="6" t="n"/>
      <c r="K7" s="6" t="n"/>
      <c r="L7" s="6" t="n"/>
    </row>
    <row r="8">
      <c r="A8" s="5" t="inlineStr">
        <is>
          <t>Gross loans and advances to customers</t>
        </is>
      </c>
      <c r="B8" s="5" t="n">
        <v>42863.1</v>
      </c>
      <c r="C8" s="5" t="n">
        <v>48847</v>
      </c>
      <c r="D8" s="5" t="n">
        <v>26434.3</v>
      </c>
      <c r="E8" s="5" t="n">
        <v>35292.4</v>
      </c>
      <c r="F8" s="5" t="n">
        <v>38977.2</v>
      </c>
      <c r="G8" s="5" t="n"/>
      <c r="H8" s="5" t="n"/>
      <c r="I8" s="5" t="n"/>
      <c r="J8" s="5" t="n"/>
      <c r="K8" s="5" t="n"/>
      <c r="L8" s="5" t="n"/>
    </row>
    <row r="9">
      <c r="A9" s="6" t="inlineStr">
        <is>
          <t>Less: expected credit loss allowance</t>
        </is>
      </c>
      <c r="B9" s="6" t="n">
        <v>-20169.4</v>
      </c>
      <c r="C9" s="6" t="n">
        <v>-6577.5</v>
      </c>
      <c r="D9" s="6" t="n">
        <v>-4739.7</v>
      </c>
      <c r="E9" s="6" t="n">
        <v>-7870.7</v>
      </c>
      <c r="F9" s="6" t="n">
        <v>-8050.2</v>
      </c>
      <c r="G9" s="6" t="n"/>
      <c r="H9" s="6" t="n"/>
      <c r="I9" s="6" t="n"/>
      <c r="J9" s="6" t="n"/>
      <c r="K9" s="6" t="n"/>
      <c r="L9" s="6" t="n"/>
    </row>
    <row r="10">
      <c r="A10" s="5" t="inlineStr">
        <is>
          <t>Net loans and advances to customers</t>
        </is>
      </c>
      <c r="B10" s="5" t="n">
        <v>22693.6</v>
      </c>
      <c r="C10" s="5" t="n">
        <v>42269.5</v>
      </c>
      <c r="D10" s="5" t="n">
        <v>21694.6</v>
      </c>
      <c r="E10" s="5" t="n">
        <v>27421.7</v>
      </c>
      <c r="F10" s="5" t="n">
        <v>30927</v>
      </c>
      <c r="G10" s="5" t="n"/>
      <c r="H10" s="5" t="n"/>
      <c r="I10" s="5" t="n"/>
      <c r="J10" s="5" t="n"/>
      <c r="K10" s="5" t="n"/>
      <c r="L10" s="5" t="n"/>
    </row>
    <row r="11">
      <c r="A11" s="6" t="inlineStr">
        <is>
          <t>ECL allowance coverage ratio (allowance / gross loans)</t>
        </is>
      </c>
      <c r="B11" s="6" t="inlineStr">
        <is>
          <t>47.06%</t>
        </is>
      </c>
      <c r="C11" s="6" t="inlineStr">
        <is>
          <t>13.47%</t>
        </is>
      </c>
      <c r="D11" s="6" t="inlineStr">
        <is>
          <t>17.93%</t>
        </is>
      </c>
      <c r="E11" s="6" t="inlineStr">
        <is>
          <t>22.30%</t>
        </is>
      </c>
      <c r="F11" s="6" t="inlineStr">
        <is>
          <t>20.66%</t>
        </is>
      </c>
      <c r="G11" s="6" t="n"/>
      <c r="H11" s="6" t="n"/>
      <c r="I11" s="6" t="n"/>
      <c r="J11" s="6" t="n"/>
      <c r="K11" s="6" t="n"/>
      <c r="L11" s="6" t="n"/>
    </row>
    <row r="12">
      <c r="A12" s="5" t="inlineStr">
        <is>
          <t>IFRS 9 stage split of the annual impairment charge/(reversal) (Note 12)</t>
        </is>
      </c>
      <c r="B12" s="6" t="n"/>
      <c r="C12" s="6" t="n"/>
      <c r="D12" s="6" t="n"/>
      <c r="E12" s="6" t="n"/>
      <c r="F12" s="6" t="n"/>
      <c r="G12" s="6" t="n"/>
      <c r="H12" s="6" t="n"/>
      <c r="I12" s="6" t="n"/>
      <c r="J12" s="6" t="n"/>
      <c r="K12" s="6" t="n"/>
      <c r="L12" s="6" t="n"/>
    </row>
    <row r="13">
      <c r="A13" s="6" t="inlineStr">
        <is>
          <t>Stage 1 - Performing - 12 months ECL</t>
        </is>
      </c>
      <c r="B13" s="6" t="n">
        <v>-5</v>
      </c>
      <c r="C13" s="6" t="n">
        <v>-635.2</v>
      </c>
      <c r="D13" s="6" t="n">
        <v>2260.8</v>
      </c>
      <c r="E13" s="6" t="n">
        <v>4667.4</v>
      </c>
      <c r="F13" s="6" t="n">
        <v>4470.5</v>
      </c>
      <c r="G13" s="6" t="n"/>
      <c r="H13" s="6" t="n"/>
      <c r="I13" s="6" t="n"/>
      <c r="J13" s="6" t="n"/>
      <c r="K13" s="6" t="n"/>
      <c r="L13" s="6" t="n"/>
    </row>
    <row r="14">
      <c r="A14" s="6" t="inlineStr">
        <is>
          <t>Stage 2 - Performing - lifetime ECL</t>
        </is>
      </c>
      <c r="B14" s="6" t="n">
        <v>-5279.8</v>
      </c>
      <c r="C14" s="6" t="n">
        <v>-1801.9</v>
      </c>
      <c r="D14" s="6" t="n">
        <v>0</v>
      </c>
      <c r="E14" s="6" t="n">
        <v>0</v>
      </c>
      <c r="F14" s="6" t="n">
        <v>0</v>
      </c>
      <c r="G14" s="6" t="n"/>
      <c r="H14" s="6" t="n"/>
      <c r="I14" s="6" t="n"/>
      <c r="J14" s="6" t="n"/>
      <c r="K14" s="6" t="n"/>
      <c r="L14" s="6" t="n"/>
    </row>
    <row r="15">
      <c r="A15" s="6" t="inlineStr">
        <is>
          <t>Stage 3 - Non-performing - lifetime ECL</t>
        </is>
      </c>
      <c r="B15" s="6" t="n">
        <v>-8742.4</v>
      </c>
      <c r="C15" s="6" t="n">
        <v>-270.1</v>
      </c>
      <c r="D15" s="6" t="n">
        <v>-3432.2</v>
      </c>
      <c r="E15" s="6" t="n">
        <v>-3189.2</v>
      </c>
      <c r="F15" s="6" t="n">
        <v>-3654.8</v>
      </c>
      <c r="G15" s="6" t="n"/>
      <c r="H15" s="6" t="n"/>
      <c r="I15" s="6" t="n"/>
      <c r="J15" s="6" t="n"/>
      <c r="K15" s="6" t="n"/>
      <c r="L15" s="6" t="n"/>
    </row>
    <row r="16">
      <c r="A16" s="5" t="inlineStr">
        <is>
          <t>Impairment (charge)/reversal for the year</t>
        </is>
      </c>
      <c r="B16" s="5" t="n">
        <v>-14027.2</v>
      </c>
      <c r="C16" s="5" t="n">
        <v>-2707.2</v>
      </c>
      <c r="D16" s="5" t="n">
        <v>-1171.3</v>
      </c>
      <c r="E16" s="5" t="n">
        <v>1478.2</v>
      </c>
      <c r="F16" s="5" t="n">
        <v>815.7</v>
      </c>
      <c r="G16" s="5" t="n"/>
      <c r="H16" s="5" t="n"/>
      <c r="I16" s="5" t="n"/>
      <c r="J16" s="5" t="n"/>
      <c r="K16" s="5" t="n"/>
      <c r="L16" s="5" t="n"/>
    </row>
    <row r="17">
      <c r="A17" s="5" t="inlineStr">
        <is>
          <t>FY2025-only: IFRS 9 stage-level loan exposure (Credit loss exposure table, Note 25) - no equivalent balance-level stage table found in FY2021-FY2024's reports</t>
        </is>
      </c>
      <c r="B17" s="6" t="n"/>
      <c r="C17" s="6" t="n"/>
      <c r="D17" s="6" t="n"/>
      <c r="E17" s="6" t="n"/>
      <c r="F17" s="6" t="n"/>
      <c r="G17" s="6" t="n"/>
      <c r="H17" s="6" t="n"/>
      <c r="I17" s="6" t="n"/>
      <c r="J17" s="6" t="n"/>
      <c r="K17" s="6" t="n"/>
      <c r="L17" s="6" t="n"/>
    </row>
    <row r="18">
      <c r="A18" s="6" t="inlineStr">
        <is>
          <t>Stage 1 gross exposure - loans and advances to customers</t>
        </is>
      </c>
      <c r="B18" s="6" t="n">
        <v>40.9</v>
      </c>
      <c r="C18" s="6" t="n"/>
      <c r="D18" s="6" t="n"/>
      <c r="E18" s="6" t="n"/>
      <c r="F18" s="6" t="n"/>
      <c r="G18" s="6" t="n"/>
      <c r="H18" s="6" t="n"/>
      <c r="I18" s="6" t="n"/>
      <c r="J18" s="6" t="n"/>
      <c r="K18" s="6" t="n"/>
      <c r="L18" s="6" t="n"/>
    </row>
    <row r="19">
      <c r="A19" s="6" t="inlineStr">
        <is>
          <t>Stage 2 gross exposure - loans and advances to customers</t>
        </is>
      </c>
      <c r="B19" s="6" t="n">
        <v>23950.3</v>
      </c>
      <c r="C19" s="6" t="n"/>
      <c r="D19" s="6" t="n"/>
      <c r="E19" s="6" t="n"/>
      <c r="F19" s="6" t="n"/>
      <c r="G19" s="6" t="n"/>
      <c r="H19" s="6" t="n"/>
      <c r="I19" s="6" t="n"/>
      <c r="J19" s="6" t="n"/>
      <c r="K19" s="6" t="n"/>
      <c r="L19" s="6" t="n"/>
    </row>
    <row r="20">
      <c r="A20" s="6" t="inlineStr">
        <is>
          <t>Stage 3 gross exposure - loans and advances to customers</t>
        </is>
      </c>
      <c r="B20" s="6" t="n">
        <v>18912.8</v>
      </c>
      <c r="C20" s="6" t="n"/>
      <c r="D20" s="6" t="n"/>
      <c r="E20" s="6" t="n"/>
      <c r="F20" s="6" t="n"/>
      <c r="G20" s="6" t="n"/>
      <c r="H20" s="6" t="n"/>
      <c r="I20" s="6" t="n"/>
      <c r="J20" s="6" t="n"/>
      <c r="K20" s="6" t="n"/>
      <c r="L20" s="6" t="n"/>
    </row>
    <row r="21">
      <c r="A21" s="6" t="inlineStr">
        <is>
          <t>Stage 1 impairment allowance</t>
        </is>
      </c>
      <c r="B21" s="6" t="n">
        <v>-4.2</v>
      </c>
      <c r="C21" s="6" t="n"/>
      <c r="D21" s="6" t="n"/>
      <c r="E21" s="6" t="n"/>
      <c r="F21" s="6" t="n"/>
      <c r="G21" s="6" t="n"/>
      <c r="H21" s="6" t="n"/>
      <c r="I21" s="6" t="n"/>
      <c r="J21" s="6" t="n"/>
      <c r="K21" s="6" t="n"/>
      <c r="L21" s="6" t="n"/>
    </row>
    <row r="22">
      <c r="A22" s="6" t="inlineStr">
        <is>
          <t>Stage 2 impairment allowance</t>
        </is>
      </c>
      <c r="B22" s="6" t="n">
        <v>-6999</v>
      </c>
      <c r="C22" s="6" t="n"/>
      <c r="D22" s="6" t="n"/>
      <c r="E22" s="6" t="n"/>
      <c r="F22" s="6" t="n"/>
      <c r="G22" s="6" t="n"/>
      <c r="H22" s="6" t="n"/>
      <c r="I22" s="6" t="n"/>
      <c r="J22" s="6" t="n"/>
      <c r="K22" s="6" t="n"/>
      <c r="L22" s="6" t="n"/>
    </row>
    <row r="23">
      <c r="A23" s="6" t="inlineStr">
        <is>
          <t>Stage 3 impairment allowance</t>
        </is>
      </c>
      <c r="B23" s="6" t="n">
        <v>-12322.1</v>
      </c>
      <c r="C23" s="6" t="n"/>
      <c r="D23" s="6" t="n"/>
      <c r="E23" s="6" t="n"/>
      <c r="F23" s="6" t="n"/>
      <c r="G23" s="6" t="n"/>
      <c r="H23" s="6" t="n"/>
      <c r="I23" s="6" t="n"/>
      <c r="J23" s="6" t="n"/>
      <c r="K23" s="6" t="n"/>
      <c r="L23" s="6" t="n"/>
    </row>
    <row r="24">
      <c r="A24" s="5" t="inlineStr">
        <is>
          <t>Net exposure - loans and advances to customers, per this stage-level table (FY2025 EUR 28,238k gross-less-allowance - EUR 1,060k / ~4% higher than Note 16's EUR 27,178k net figure used above; a genuine inconsistency between two different notes in the same Annual Report, not reconciled here)</t>
        </is>
      </c>
      <c r="B24" s="5" t="n">
        <v>23578.7</v>
      </c>
      <c r="C24" s="5" t="n"/>
      <c r="D24" s="5" t="n"/>
      <c r="E24" s="5" t="n"/>
      <c r="F24" s="5" t="n"/>
      <c r="G24" s="5" t="n"/>
      <c r="H24" s="5" t="n"/>
      <c r="I24" s="5" t="n"/>
      <c r="J24" s="5" t="n"/>
      <c r="K24" s="5" t="n"/>
      <c r="L24" s="5" t="n"/>
    </row>
    <row r="25">
      <c r="A25" s="5" t="inlineStr">
        <is>
          <t>Total loan portfolio (FY2015-FY2018 own reports; IAS 39 incurred-loss basis, pre-IFRS 9 - performing/non-performing split rather than a stage table)</t>
        </is>
      </c>
      <c r="B25" s="6" t="n"/>
      <c r="C25" s="6" t="n"/>
      <c r="D25" s="6" t="n"/>
      <c r="E25" s="6" t="n"/>
      <c r="F25" s="6" t="n"/>
      <c r="G25" s="6" t="n"/>
      <c r="H25" s="6" t="n"/>
      <c r="I25" s="6" t="n"/>
      <c r="J25" s="6" t="n"/>
      <c r="K25" s="6" t="n"/>
      <c r="L25" s="6" t="n"/>
    </row>
    <row r="26">
      <c r="A26" s="6" t="inlineStr">
        <is>
          <t>Gross loans and advances to customers - performing</t>
        </is>
      </c>
      <c r="B26" s="6" t="n"/>
      <c r="C26" s="6" t="n"/>
      <c r="D26" s="6" t="n"/>
      <c r="E26" s="6" t="n"/>
      <c r="F26" s="6" t="n"/>
      <c r="G26" s="6" t="n"/>
      <c r="H26" s="6" t="n"/>
      <c r="I26" s="6" t="n">
        <v>356.1</v>
      </c>
      <c r="J26" s="6" t="n">
        <v>5776.1</v>
      </c>
      <c r="K26" s="6" t="n">
        <v>17366</v>
      </c>
      <c r="L26" s="6" t="n">
        <v>19857</v>
      </c>
    </row>
    <row r="27">
      <c r="A27" s="6" t="inlineStr">
        <is>
          <t>Non performing loans</t>
        </is>
      </c>
      <c r="B27" s="6" t="n"/>
      <c r="C27" s="6" t="n"/>
      <c r="D27" s="6" t="n"/>
      <c r="E27" s="6" t="n"/>
      <c r="F27" s="6" t="n"/>
      <c r="G27" s="6" t="n"/>
      <c r="H27" s="6" t="n"/>
      <c r="I27" s="6" t="n">
        <v>16774.6</v>
      </c>
      <c r="J27" s="6" t="n">
        <v>22599.4</v>
      </c>
      <c r="K27" s="6" t="n">
        <v>33264</v>
      </c>
      <c r="L27" s="6" t="n">
        <v>35971</v>
      </c>
    </row>
    <row r="28">
      <c r="A28" s="6" t="inlineStr">
        <is>
          <t>Less: allowance for impairment</t>
        </is>
      </c>
      <c r="B28" s="6" t="n"/>
      <c r="C28" s="6" t="n"/>
      <c r="D28" s="6" t="n"/>
      <c r="E28" s="6" t="n"/>
      <c r="F28" s="6" t="n"/>
      <c r="G28" s="6" t="n"/>
      <c r="H28" s="6" t="n"/>
      <c r="I28" s="6" t="n">
        <v>-3557.8</v>
      </c>
      <c r="J28" s="6" t="n">
        <v>-4094.6</v>
      </c>
      <c r="K28" s="6" t="n">
        <v>-5855</v>
      </c>
      <c r="L28" s="6" t="n">
        <v>-5806</v>
      </c>
    </row>
    <row r="29">
      <c r="A29" s="5" t="inlineStr">
        <is>
          <t>Net loans and advances to customers</t>
        </is>
      </c>
      <c r="B29" s="5" t="n"/>
      <c r="C29" s="5" t="n"/>
      <c r="D29" s="5" t="n"/>
      <c r="E29" s="5" t="n"/>
      <c r="F29" s="5" t="n"/>
      <c r="G29" s="5" t="n"/>
      <c r="H29" s="5" t="n"/>
      <c r="I29" s="5" t="n">
        <v>13573</v>
      </c>
      <c r="J29" s="5" t="n">
        <v>24281</v>
      </c>
      <c r="K29" s="5" t="n">
        <v>44775</v>
      </c>
      <c r="L29" s="5" t="n">
        <v>50022</v>
      </c>
    </row>
    <row r="30">
      <c r="A30" s="5" t="inlineStr">
        <is>
          <t>FY2019/FY2020: IFRS 9 stage-level loan exposure (own reports' Credit risk / Risk management note)</t>
        </is>
      </c>
      <c r="B30" s="6" t="n"/>
      <c r="C30" s="6" t="n"/>
      <c r="D30" s="6" t="n"/>
      <c r="E30" s="6" t="n"/>
      <c r="F30" s="6" t="n"/>
      <c r="G30" s="6" t="n"/>
      <c r="H30" s="6" t="n"/>
      <c r="I30" s="6" t="n"/>
      <c r="J30" s="6" t="n"/>
      <c r="K30" s="6" t="n"/>
      <c r="L30" s="6" t="n"/>
    </row>
    <row r="31">
      <c r="A31" s="6" t="inlineStr">
        <is>
          <t>Stage 1 gross exposure - loans and advances to customers (FY2020's own table does not separately break out Stage 3 gross exposure - see note above)</t>
        </is>
      </c>
      <c r="B31" s="6" t="n"/>
      <c r="C31" s="6" t="n"/>
      <c r="D31" s="6" t="n"/>
      <c r="E31" s="6" t="n"/>
      <c r="F31" s="6" t="n"/>
      <c r="G31" s="6" t="n">
        <v>40235.1</v>
      </c>
      <c r="H31" s="6" t="n">
        <v>13853.7</v>
      </c>
      <c r="I31" s="6" t="n"/>
      <c r="J31" s="6" t="n"/>
      <c r="K31" s="6" t="n"/>
      <c r="L31" s="6" t="n"/>
    </row>
    <row r="32">
      <c r="A32" s="6" t="inlineStr">
        <is>
          <t>Stage 3 gross exposure - loans and advances to customers</t>
        </is>
      </c>
      <c r="B32" s="6" t="n"/>
      <c r="C32" s="6" t="n"/>
      <c r="D32" s="6" t="n"/>
      <c r="E32" s="6" t="n"/>
      <c r="F32" s="6" t="n"/>
      <c r="G32" s="6" t="n"/>
      <c r="H32" s="6" t="n">
        <v>3862.3</v>
      </c>
      <c r="I32" s="6" t="n"/>
      <c r="J32" s="6" t="n"/>
      <c r="K32" s="6" t="n"/>
      <c r="L32" s="6" t="n"/>
    </row>
    <row r="33">
      <c r="A33" s="6" t="inlineStr">
        <is>
          <t>Stage 1 impairment allowance</t>
        </is>
      </c>
      <c r="B33" s="6" t="n"/>
      <c r="C33" s="6" t="n"/>
      <c r="D33" s="6" t="n"/>
      <c r="E33" s="6" t="n"/>
      <c r="F33" s="6" t="n"/>
      <c r="G33" s="6" t="n">
        <v>-5575.9</v>
      </c>
      <c r="H33" s="6" t="n">
        <v>-1940.2</v>
      </c>
      <c r="I33" s="6" t="n"/>
      <c r="J33" s="6" t="n"/>
      <c r="K33" s="6" t="n"/>
      <c r="L33" s="6" t="n"/>
    </row>
    <row r="34">
      <c r="A34" s="6" t="inlineStr">
        <is>
          <t>Stage 3 impairment allowance</t>
        </is>
      </c>
      <c r="B34" s="6" t="n"/>
      <c r="C34" s="6" t="n"/>
      <c r="D34" s="6" t="n"/>
      <c r="E34" s="6" t="n"/>
      <c r="F34" s="6" t="n"/>
      <c r="G34" s="6" t="n">
        <v>-4073.5</v>
      </c>
      <c r="H34" s="6" t="n">
        <v>-3862.3</v>
      </c>
      <c r="I34" s="6" t="n"/>
      <c r="J34" s="6" t="n"/>
      <c r="K34" s="6" t="n"/>
      <c r="L34" s="6" t="n"/>
    </row>
    <row r="35">
      <c r="A35" s="5" t="inlineStr">
        <is>
          <t>Net loans and advances to customers</t>
        </is>
      </c>
      <c r="B35" s="5" t="n"/>
      <c r="C35" s="5" t="n"/>
      <c r="D35" s="5" t="n"/>
      <c r="E35" s="5" t="n"/>
      <c r="F35" s="5" t="n"/>
      <c r="G35" s="5" t="n">
        <v>30585.7</v>
      </c>
      <c r="H35" s="5" t="n">
        <v>11913.6</v>
      </c>
      <c r="I35" s="5" t="n"/>
      <c r="J35" s="5" t="n"/>
      <c r="K35" s="5" t="n"/>
      <c r="L35" s="5" t="n"/>
    </row>
    <row r="37" ht="409" customHeight="1">
      <c r="A37" s="8" t="inlineStr">
        <is>
          <t>Sources - Persia International Bank Plc's own entity-level Statement of Comprehensive Income / Statement of Financial Position / Statement of Changes in Equity / Note 12 (Impairment) / Notes 14-16 (Cash, Loans to banks, Loans to customers), converted from EUR to GBP using the Bank's disclosed rates (see FX note):
FY2025: Annual Report and Financial Statements 2025, Statement of Comprehensive Income p.36, Statement of Financial Position p.37, Statement of Changes in Equity p.38, Note 12 p.69, Notes 14-16 p.71, Credit loss exposure/Capital management (Note 25) p.77 - https://find-and-update.company-information.service.gov.uk/company/04218020/filing-history/MzQ3OTMzNTI0NWFkaXF6a2N4/document?download=0&amp;format=pdf
FY2024: Annual Report and Financial Statements 2024, Statement of Comprehensive Income p.29, Statement of Financial Position p.30, Statement of Changes in Equity p.31, Note 12 p.57, Notes 14-16 p.59 - https://find-and-update.company-information.service.gov.uk/company/04218020/filing-history/MzQzMzA4NzcwMWFkaXF6a2N4/document?download=0&amp;format=pdf
FY2023: Annual Report and Financial Statements 2023, Statement of Comprehensive Income p.28, Statement of Financial Position p.29, Statement of Changes in Equity p.30, Note 12 p.54, Notes 14-16 p.56 - https://find-and-update.company-information.service.gov.uk/company/04218020/filing-history/MzM4OTExNTc1NmFkaXF6a2N4/document?download=0&amp;format=pdf
FY2022: Annual Report and Financial Statements 2022, Statement of Comprehensive Income p.27, Statement of Financial Position p.28, Statement of Changes in Equity p.29, Note 12 p.51, Notes 14-16 p.53 - https://find-and-update.company-information.service.gov.uk/company/04218020/filing-history/MzM1NTU5ODQzNmFkaXF6a2N4/document?download=0&amp;format=pdf
FY2021: Annual Report and Financial Statements 2022's own comparative column (same pages as FY2022 above, this is the latest filing that still contains a full FY2021 column) - https://find-and-update.company-information.service.gov.uk/company/04218020/filing-history/MzM1NTU5ODQzNmFkaXF6a2N4/document?download=0&amp;format=pdf
FY2020: Annual Report and Financial Statements for year ended 31 March 2020, Statement of Comprehensive Income p.26, Statement of Financial Position p.27, Note 28.4 (Capital management) p.62, Note 28.2 (stage-level credit exposure) p.61 (scanned Companies House filing) - https://find-and-update.company-information.service.gov.uk/company/04218020/filing-history/MzI4MjYzOTE2OGFkaXF6a2N4/document?download=0&amp;format=pdf
FY2019: Annual Report and Financial Statements for year ended 31 March 2019, Statement of Comprehensive Income p.22, Statement of Financial Position p.23, Note 28.4 (Capital management) p.58, Note 28 (stage-level credit exposure) p.57 (scanned filing) - https://find-and-update.company-information.service.gov.uk/company/04218020/filing-history/MzI0MDMwNDExNmFkaXF6a2N4/document?download=0&amp;format=pdf
FY2018: Annual Report and Financial Statements for year ended 31 March 2018, Statement of Comprehensive Income p.15, Statement of Financial Position p.16, capital management note p.31, loan-portfolio note p.30 (scanned filing) - https://find-and-update.company-information.service.gov.uk/company/04218020/filing-history/MzIxMjI1ODQ3MmFkaXF6a2N4/document?download=0&amp;format=pdf
FY2017: Annual Report and Financial Statements for year ended 31 March 2017, Statement of Comprehensive Income p.13, Statement of Financial Position p.14, capital management note p.28, loan-portfolio note p.27 (scanned filing) - https://find-and-update.company-information.service.gov.uk/company/04218020/filing-history/MzE4MTE5NDQwMWFkaXF6a2N4/document?download=0&amp;format=pdf
FY2016: Annual Report and Financial Statements for year ended 31 March 2016, Statement of Comprehensive Income p.13, Statement of Financial Position p.14, capital management note p.27, loan-portfolio note p.26 (scanned filing) - https://find-and-update.company-information.service.gov.uk/company/04218020/filing-history/MzE1NjI0NzM2OWFkaXF6a2N4/document?download=0&amp;format=pdf
FY2015: Annual Report and Financial Statements for year ended 31 March 2015, Statement of Comprehensive Income p.12, Statement of Financial Position p.13, capital management note p.31, loan-portfolio note p.30 (scanned filing, includes an embedded Pillar 3 disclosure at pp.35-52) - https://find-and-update.company-information.service.gov.uk/company/04218020/filing-history/MzEyNzM3Mjc4NWFkaXF6a2N4/document?download=0&amp;format=pdf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row r="39" ht="409" customHeight="1">
      <c r="A39" s="8" t="inlineStr">
        <is>
          <t>(continued)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
RESTATEMENT: the Annual Report and Financial Statements 2024's own Note 33 restates the Bank's FY2022/FY2023 figures (e.g. FY2023 closing retained earnings restated from EUR (17,439k) to EUR (18,414k), a genuine EUR 975k downward adjustment; FY2023 loans and advances to customers also restated from EUR 24,653k net to EUR 28,105k net, reclassifying interest receivable into that line). Each year's Balance Sheet/P&amp;L/Equity column here uses that year's own originally-reported figures (not the later restated comparative), consistent with every other bank in this project; the restatement is instead shown as its own explicit bridging row in the Statement of Changes in Equity, between FY2023's originally-reported closing balance and FY2024's own restated opening balance, per the Bank's own Note 33.
DEBT SECURITIES BREAKDOWN: Note 12 (Debt securities) of both the FY2015 (p.23 of the scanned Companies House filing) and FY2016 (p.23 of the scanned Companies House filing) Annual Reports states the entire Debt securities balance is one unlisted Sukuk (Islamic) bond, classified as "Available for sale securities - other debt securities" and "Issued by other than public bodies" - i.e. 100% one measurement-basis bucket (available-for-sale/mark-to-market, no amortised-cost or FVTPL component) and 100% one issuer-type bucket (not UK government/gilts/sovereign - a non-public-body, corporate-type issuer) in both years, so no sub-row split is added; the Balance Sheet row is instead relabelled in place to state both classifications. FY2015's note carries a 90.56% impairment provision against this bond; FY2016's note raises that provision to 100% (an additional EUR 416k impairment, matching the P&amp;L's 'Impairment charge for available-for-sale financial assets' row), which is why the FY2016 balance is nil.</t>
        </is>
      </c>
    </row>
  </sheetData>
  <mergeCells count="2">
    <mergeCell ref="A39:L39"/>
    <mergeCell ref="A37:L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c r="K4" s="6" t="inlineStr">
        <is>
          <t>Not computed</t>
        </is>
      </c>
      <c r="L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c r="K5" s="6" t="inlineStr">
        <is>
          <t>Not computed</t>
        </is>
      </c>
      <c r="L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c r="K6" s="6" t="inlineStr">
        <is>
          <t>Not computed</t>
        </is>
      </c>
      <c r="L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c r="K7" s="6" t="inlineStr">
        <is>
          <t>Not computed</t>
        </is>
      </c>
      <c r="L7" s="6" t="inlineStr">
        <is>
          <t>Not computed</t>
        </is>
      </c>
    </row>
    <row r="8">
      <c r="A8" s="6" t="inlineStr">
        <is>
          <t>Persia International Bank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row>
    <row r="9" ht="195" customHeight="1">
      <c r="A9" s="7" t="inlineStr">
        <is>
          <t>Note: COMPUTED, NOT PUBLISHED. The exact entity's FY2025 accounts were OCRed in full. The Strategic Report explicitly identifies interest income and administrative expenses as the financial KPIs and later says regulatory compliance is the only other relevant KPI. No numeric ROE, ROA or RoTE is published.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FY2015 HAS NO AVERAGE-BASIS RATIO, AND THAT IS CORRECT. An average denominator needs an opening balance, and FY2015 is the oldest column this workbook carries, so there is no prior year to open from. The blank is structural, not a missing figure. The year-end basis is shown for FY2015 because it needs only the closing balance.
WHY SOME CELLS SAY 'NOT COMPUTED'. Every year above is marked 'Not computed' rather than given a number, and the reason is a unit problem, not a missing figure. This workbook's statement sheets print (£'000, conv. from EUR):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t>
        </is>
      </c>
    </row>
    <row r="11" ht="170" customHeight="1">
      <c r="A11" s="8" t="inlineStr">
        <is>
          <t>Computed by this workbook's own build script from the Profit &amp; Loss and Balance Sheet sheets of this same workbook - the Profit &amp; Loss row “profit/(loss) for the year attributable to equity holders” and the Balance Sheet rows “total shareholders' equity” and “total assets”, resolved BY LABEL at build time through the shared resolver scripts/profitability_rows.py, so this sheet cannot drift from the statements it summarises. Those rows are themselves transcribed from Persia International Bank Plc's Annual Report and Accounts for each year; see the source cells on the Balance Sheet and Profit &amp; Loss sheets for the exact document, page and table behind every input to every percentage above.
The finding that Persia International Bank Plc publishes no return of its own is recorded in research/profitability/published_returns.jsonl under ‘PERSIA INTERNATIONAL BANK’, verified against the bank's own annual report rendered at 300 dpi.</t>
        </is>
      </c>
    </row>
  </sheetData>
  <mergeCells count="2">
    <mergeCell ref="A11:L11"/>
    <mergeCell ref="A9:L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KM1 Key Metrics</t>
        </is>
      </c>
    </row>
    <row r="2">
      <c r="A2" s="2" t="inlineStr">
        <is>
          <t>Not applicable, for two independent reasons. (1) The template is not used: every Pillar 3 PIB published is organised by the Bank's own section headings with bespoke tables in EUR '000 and no template row numbers. (2) Every edition predates the template: PIB's newest Pillar 3 is 31 March 2021, the UK KM1 arrived on 1 January 2022, and the Bank has published no Pillar 3 since — which its own Annual Reports state. See the source note for how the absence was tested, including the image-only 2015 edition that was rendered and read by eye.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UK KM1 key-metrics template</t>
        </is>
      </c>
      <c r="B4" s="6" t="inlineStr">
        <is>
          <t>Not applicable — template not used, and not published in any year</t>
        </is>
      </c>
      <c r="C4" s="6" t="inlineStr">
        <is>
          <t>Not applicable — template not used, and not published in any year</t>
        </is>
      </c>
      <c r="D4" s="6" t="inlineStr">
        <is>
          <t>Not applicable — template not used, and not published in any year</t>
        </is>
      </c>
      <c r="E4" s="6" t="inlineStr">
        <is>
          <t>Not applicable — template not used, and not published in any year</t>
        </is>
      </c>
      <c r="F4" s="6" t="inlineStr">
        <is>
          <t>Not applicable — template not used, and not published in any year</t>
        </is>
      </c>
      <c r="G4" s="6" t="inlineStr">
        <is>
          <t>Not applicable — template not used, and not published in any year</t>
        </is>
      </c>
      <c r="H4" s="6" t="inlineStr">
        <is>
          <t>Not applicable — template not used, and not published in any year</t>
        </is>
      </c>
      <c r="I4" s="6" t="inlineStr">
        <is>
          <t>Not applicable — template not used, and not published in any year</t>
        </is>
      </c>
      <c r="J4" s="6" t="inlineStr">
        <is>
          <t>Not applicable — template not used, and not published in any year</t>
        </is>
      </c>
      <c r="K4" s="6" t="inlineStr">
        <is>
          <t>Not applicable — template not used, and not published in any year</t>
        </is>
      </c>
      <c r="L4" s="6" t="inlineStr">
        <is>
          <t>Not applicable — template not used, and not published in any year</t>
        </is>
      </c>
    </row>
    <row r="6" ht="409" customHeight="1">
      <c r="A6" s="8" t="inlineStr">
        <is>
          <t>Sources - the UK KM1 key-metrics template is NOT used in any Persia International Bank Plc Pillar 3 disclosure, in any year. This is a positive finding about the documents, not a failed search.
TWO INDEPENDENT REASONS, either sufficient on its own:
(a) THE TEMPLATE IS NOT USED. Every edition PIB published is organised by the Bank's own section headings - Own Funds / Capital Requirements / Total Capital Requirement / Capital Buffers / Credit Risk / Market Risk / Operational Risk / Concentration Risk / IRRBB / Leverage Ratio / Remuneration - with bespoke tables of its own design and no template row numbers anywhere. Its capital table, for example, is headed 'Values in (€000)' over columns '31/03/2021' and '31/03/2020' and runs Ordinary share capital / Retained earnings / Loss of the period / Subordinated loan / Total capital, followed by an 'Own Funds items' table with an 'Own Funds' and a '% of Own Funds' column. Neither is KM1: no row numbers, no SREP rows, no combined-buffer row, no leverage rows, no LCR or NSFR template rows. Under the row-set test that is a different table, so nothing is mapped onto template row numbers.
(b) EVERY EDITION PREDATES THE UK KM1 TEMPLATE. PIB's newest Pillar 3 is 31 March 2021. The UK KM1 template arrived with the Disclosure (CRR) Part of the PRA Rulebook on 1 January 2022, and the Bank published no Pillar 3 at all after that date (see the cessation note below, which is evidenced from the Bank's own Annual Reports). There is therefore no PIB edition in which a UK KM1 could appear.
HOW THE ABSENCE WAS TESTED. Every text-native edition (31 March 2021, 2020, 2018 and 2016) was extracted with pdftotext -layout and probed CASE-INSENSITIVELY: each returns ZERO hits for 'km1', 'key metric' and 'key regulatory', while the SAME extraction is rich on neighbouring terms - 83-106 hits for 'capital', 87-109 for 'ratio', 7-9 for 'cet1' and 4-8 for 'leverage' in each document. A zero beside that richness is a fact about the document rather than a failed tool. Each document's own table of contents was read as well and none lists a key-metrics section. The 31 March 2015 edition is an image-only Canon scan with NO text layer, so no grep could speak to it in either direction; its contents page was RENDERED at 200dpi and READ BY EYE instead - Introduction / Overview of Risk Management and RWA / Capital resources / Capital Adequacy / Risk Management / Market risk / Operational risk / Interest rate risk / Remuneration policy - again with no key-metrics section.
LATEST-EDITION CHECK, 16 September 2026, done on the Bank's OWN site rather than from the URLs already cited here. persiabank.co.uk's home page was fetched over PLAIN HTTP (its TLS is broken at the server - see the scheme note at the top of this script) and its links enumerated. The ONLY Pillar 3 link on the Bank's entire website is 'Pillar 3 2021 v3.pdf', the 31 March 2021 edition already cited here (re-fetched and verified: HTTP 200, application/pdf, %PDF magic bytes, 1,382,251 bytes, 28 PDF pages). No newer Pillar 3 exists on the Bank's site. For the Annual Report, Companies House (company 04218020) was listed directly: the newest accounts filed are 'Full accounts made up to 31 MARCH 2025', filed 2 September 2025 - already this workbook's FY2025. The 31 March 2026 accounts were not yet filed as at 16 September 2026. Nothing newer to transcribe; YEARS is unchanged.
RE-RUN INDEPENDENTLY 18 September 2026 (GA-005), because a citation list cannot answer the question it is being asked. All three legs were repeated from scratch and all three agree. (1) The Bank's own site, fetched over plain HTTP and fully link-enumerated: 34 links, exactly one of which is a Pillar 3 - 'Pillar 3 2021 v3.pdf'. Re-fetched live the same day: HTTP 200, Content-Type application/pdf, %PDF magic bytes, 1,382,251 bytes, MD5 08b8d37ca13c50b214d275062ab119c3, 28 pages - byte-identical to the figures recorded here in September 2026, and the '29 PDF pages' that stood in this paragraph until 18 September 2026 was simply wrong; the file has 28. (2) Companies House company 04218020: 'Last accounts made up to 31 March 2025', next accounts made up to 31 March 2026 due by 31 December 2026, company status Active. The FY2026 accounts had still not been filed on 18 September 2026, so FY2025 remains the newest year that exists (RE-CHECKED 19 September 2026: the filing history's page 1, unfiltered, still has the 2 September 2025 AA filing as its newest accounts and nothing filed after the 10 June 2026 confirmation statement; the company page still reads 'Next accounts made up to 31 March 2026 due by 31 December 2026'; the live home page links no annual report newer than pib_report_2010.pdf, and the Wayback CDX for 2026 holds no accounts document - the only new document on the site is an Italian press release on the Milan branch's 'amministrazione straordinaria' from 3 October 2025. So no FY2026 column is added). (3) A fresh Wayback CDX sweep of the whole persiabank.co.uk domain (152 distinct URLs ever captured, plus targeted .*pillar.* / .*annual.* / .*disclosure.* sweeps): the newest Pillar 3 the Internet Archive has EVER captured on the domain is that same 'Pillar 3 2021 v3.pdf' (most recent capture 25 December 2025), and the domain was still being crawled in 2026 (its Complaint Procedure document was captured 3 February 2026), so the absence of any FY2022-FY2025 edition is a genuine absence and not a crawl gap. THIS IS A 'CHECKED, NONE NEWER EXISTS' FINDING, not a 'could not reach' one: every document was retrieved successfully and read.
Also recorded from that same page-fetch, since it bears on whether the Bank is still publishing at all: the site carries a notice dated 6 October 2025 stating that 'Persia International Bank PLC has been made subject to financial sanctions by the UK Government and the European Union as of 29 September 2025' and pointing to OFSI General Licence INT/2025/7345464. The Bank is therefore still operating and still updating its website - it simply has not published a Pillar 3 since March 2021.</t>
        </is>
      </c>
    </row>
    <row r="8" ht="409" customHeight="1">
      <c r="A8" s="8" t="inlineStr">
        <is>
          <t>(continued)
PARENT CHECK (done before writing this non-disclosure claim). A UK subsidiary's regulatory figures frequently live in the PARENT's Pillar 3 rather than its own. That pattern does not arise here: PIB is ITSELF the PRA-authorised firm and holds the UK disclosure obligation, which is why it published a Pillar 3 at all. Its two shareholders, Bank Mellat and Bank Tejarat, are Iranian banks supervised by the Central Bank of Iran and not by the PRA, so no UK KM1 for PIB could exist in their disclosures; both are themselves subject to UK/EU financial sanctions. No group Pillar 3 covering PIB exists to search.
NOT BACK-FILLED FROM THE STATUTORY ACCOUNTS. The Bank's Companies House filings do carry capital figures, and this workbook uses them on the metric sheets for the years the Pillar 3 documents do not cover. They are statutory-accounts disclosures on a different basis, not KM1 rows, and they are not mapped onto template row numbers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t>
        </is>
      </c>
    </row>
    <row r="10" ht="409" customHeight="1">
      <c r="A10" s="8" t="inlineStr">
        <is>
          <t>(continued)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t>
        </is>
      </c>
    </row>
    <row r="12" ht="409" customHeight="1">
      <c r="A12" s="8" t="inlineStr">
        <is>
          <t>(continued)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sheetData>
  <mergeCells count="4">
    <mergeCell ref="A8:L8"/>
    <mergeCell ref="A6:L6"/>
    <mergeCell ref="A10:L10"/>
    <mergeCell ref="A12:L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Persia International Bank Plc — CET1 Capital</t>
        </is>
      </c>
    </row>
    <row r="2">
      <c r="A2" s="2" t="inlineStr">
        <is>
          <t>£'000 (conv. from EUR)</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capital / disclosed Tier one base</t>
        </is>
      </c>
      <c r="B4" s="6" t="n">
        <v>92204</v>
      </c>
      <c r="C4" s="6" t="n">
        <v>109177.5</v>
      </c>
      <c r="D4" s="6" t="n">
        <v>116653.7</v>
      </c>
      <c r="E4" s="6" t="n">
        <v>111664.9</v>
      </c>
      <c r="F4" s="6" t="n">
        <v>111374</v>
      </c>
      <c r="G4" s="6" t="n">
        <v>66539.10000000001</v>
      </c>
      <c r="H4" s="6" t="n">
        <v>70313.60000000001</v>
      </c>
      <c r="I4" s="6" t="n">
        <v>86014.2</v>
      </c>
      <c r="J4" s="6" t="n">
        <v>89052.2</v>
      </c>
      <c r="K4" s="6" t="n">
        <v>105499</v>
      </c>
    </row>
    <row r="5" ht="78" customHeight="1">
      <c r="A5" s="7" t="inlineStr">
        <is>
          <t>Note: Directly disclosed total regulatory capital base / Tier one capital from the annual-report capital-management table. The Bank's table does not separately disclose CET1, Additional Tier 1 or Tier 2 amounts for FY2022-FY2025; the value is therefore repeated as the entity's disclosed Tier one/regulatory capital base, not inferred as a full Basel capital stack. FY2021's Pillar 3 table reports Own Funds of €130.644m and Tier 2 of zero.
FY2015-FY2020 (added under HD-021): the £-value shown is each year's own STATUTORY capital-management note (Tier 1 = share capital + retained earnings, tying to the Balance Sheet; FY2016-FY2018 CET1 equals this statutory Tier 1 exactly). FY2019/FY2020 differ: the Bank's own Pillar 3 disclosure nets off that year's own in-year loss from CET1 a second time (a CRR prudential filter for unverified profit/loss - see the block comment above); the Pillar-3-disclosed CET1 figure is shown for FY2019/FY2020 instead of the statutory Tier 1 figure used for FY2015-FY2018, FY2016-FY2018 and FY2021-FY2025. FY2015 has no CET1 concept at all (pre-CRD IV Pillar 3 for a firm this size) - its Tier 1 figure appears only on the Tier 1 Capital sheet.</t>
        </is>
      </c>
    </row>
    <row r="7" ht="409" customHeight="1">
      <c r="A7"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t>
        </is>
      </c>
    </row>
    <row r="9" ht="409" customHeight="1">
      <c r="A9" s="8" t="inlineStr">
        <is>
          <t>(continued)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t>
        </is>
      </c>
    </row>
    <row r="11" ht="409" customHeight="1">
      <c r="A11" s="8" t="inlineStr">
        <is>
          <t>(continued)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t>
        </is>
      </c>
    </row>
    <row r="13" ht="409" customHeight="1">
      <c r="A13" s="8" t="inlineStr">
        <is>
          <t>(continued)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5">
    <mergeCell ref="A7:K7"/>
    <mergeCell ref="A11:K11"/>
    <mergeCell ref="A13:K13"/>
    <mergeCell ref="A5:K5"/>
    <mergeCell ref="A9:K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Persia International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CET1 ratio</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inlineStr">
        <is>
          <t>40.99%</t>
        </is>
      </c>
      <c r="G4" s="6" t="inlineStr">
        <is>
          <t>28.76%</t>
        </is>
      </c>
      <c r="H4" s="6" t="inlineStr">
        <is>
          <t>50.16%</t>
        </is>
      </c>
      <c r="I4" s="6" t="inlineStr">
        <is>
          <t>44.14%</t>
        </is>
      </c>
      <c r="J4" s="6" t="inlineStr">
        <is>
          <t>40.51%</t>
        </is>
      </c>
      <c r="K4" s="6" t="inlineStr">
        <is>
          <t>32.99%</t>
        </is>
      </c>
    </row>
    <row r="5" ht="377" customHeight="1">
      <c r="A5" s="7" t="inlineStr">
        <is>
          <t>Note: FY2021 CORRECTION 2026-09-15: this sheet previously read "Not publicly disclosed" for FY2021. That was wrong. The Bank's Pillar 3 Disclosure as at 31 March 2021 - already cited on this workbook's Total RWAs, Leverage Ratio, LCR and RWA Breakdown sheets - states the ratios directly in section 3.4 'Capital Buffers', p.19: "CET1 (and Tier 1) capital ratio (%) 40.99%" and "Total capital ratio (%) 40.99%" for 31/03/2021 (comparative 31/03/2020: 28.76% and 38.35%, which is where this workbook's FY2020 figures already came from). The document adds "As the Bank's Tier 1 capital is entirely made of CET1 capital, the Tier 1 and CET1 ratios are the same", which is why all three ratio sheets carry the identical FY2021 figure. It is internally consistent with the rest of the workbook: Total Capital EUR 130,644k / Pillar 1 RWAs EUR 318,824k = 40.98%, and FY2021 is the year the EUR 46,500k subordinated loan fell to zero, so there is no Tier 2 to separate the Total Capital Ratio from the CET1 Ratio. The figures are transcribed, not derived. The earlier blank was a sourcing miss - the FY2021 document was opened for its RWA, leverage and LCR tables but not for its capital-ratio table.
Not publicly disclosed for this entity/year. The Bank says later Pillar 3 disclosures are available on request; no public 2022-2025 Pillar 3 document was found, and the statutory accounts do not state this metric.
COMMON CRAWL PASS (2026-10-07), for the two years that read 'Unreached today' - FY2019 and FY2022. persiabank.co.uk and persiabank.com were queried in EVERY Common Crawl crawl from CC-MAIN-2019-04 to CC-MAIN-2023-50 (82 queries, matchType=domain, so every host spelling and every path). Common Crawl has captured four of this Bank's Pillar 3 editions - 'Pillar 3 Disclosure as at 31_03_2017', '... as at 31_03_2018 (final)', 'Pillar 3 2020 v6 040221' and 'Pillar 3 2020 v7' - which is the positive control that the lookup reaches this host's Pillar 3 files. Neither a FY2019 nor a FY2022 edition appears in any crawl, so both years stay UNREACHED rather than becoming 'Not published'.
RE-VERIFIED 2026-09-12 (independent disclosure re-audit). The FY2023 and FY2025 Annual Reports were re-downloaded from Companies House and fully OCR'd page-by-page (both are scanned filings with no text layer). Findings:
- Both reports carry a 'Pillar 3 Disclosures' heading whose entire content is the sentence "Pillar 3 disclosures are made separately and can be made available on request." - unchanged in the most recent (year ended 31 March 2025) filing.
- The statutory 'Capital management' note (Note 26 in FY2023, Note 25 in FY2025) gives ONLY the capital base build-up (Ordinary share capital + Retained earnings = Total regulatory capital base) in EUR '000. It explicitly describes the PRA's requirement as "based upon the ratio of capital to total risk weighted exposures" but publishes NO risk-weighted exposure figure and NO resulting ratio, in any year FY2022 onward. The capital amounts it does give are already captured on the CET1/Tier 1/Total Capital sheets (FY2025 EUR110,424k and FY2024 EUR127,693k re-confirmed against this note directly).
- Capital adequacy is referred to only in narrative terms ("The Tier I Capital ratios are still robust", "The Bank maintains a strong capital adequacy ratio and liquidity position") with no percentage attached.
- The Bank's own website was recorded that session as entirely unreachable (DNS/connection failure, HTTP 000). CORRECTED 2026-09-15: the site is reachable, but only over plain HTTP - http://www.persiabank.co.uk/ answers 200; the HTTPS URL still fails the TLS handshake, which is what earlier sessions were hitting. Reading the live site does not change the conclusion: its complete link list carries exactly one Pillar 3 document, the FY2021 edition, and no later one. A full Wayback Machine CDX listing of the domain agrees - the newest Pillar 3 document ever archived is that same FY2021 edition ('Pillar 3 2021 v3.pdf', still being re-crawled as recently as 2025-12-25), and the domain was actively crawled through 2024-2025, so this is the latest edition that exists, not a crawl gap. No 2022, 2023, 2024 or 2025 Pillar 3 document has ever been published at that domain.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t>
        </is>
      </c>
    </row>
    <row r="6" ht="377" customHeight="1">
      <c r="A6" s="7" t="inlineStr">
        <is>
          <t>(continued)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7" ht="403" customHeight="1">
      <c r="A7" s="7"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8" ht="130" customHeight="1">
      <c r="A8" s="7" t="inlineStr">
        <is>
          <t>(continued)
FY2015-FY2020 (added under HD-021): FY2016-FY2020 are directly disclosed in the Bank's own standalone Pillar 3 disclosures (found for FY2016/FY2018/FY2020; FY2017/FY2019 are those documents' own comparative columns). FY2015 predates CRD IV Pillar 3 for a firm this size (no CET1 concept, no ratio table); the FY2015 figure shown on the Total Capital Ratio / Tier 1 Ratio sheets is this workbook's own calculation from the FY2015 statutory Total Capital/Tier 1 figures divided by the FY2015 Pillar 3 disclosure's own Total RWA figure (EUR 221,221k, the 'Breakdown of exposure classes' table's own total - not the same total as its mislabelled Template CR4 table, see the RWA Breakdown sheet's note).
FY2015 RATIO WARNING, ADDED 2026-09-15 - READ BEFORE USING THE FY2015 RATIO CELLS. The Bank's standalone FY2015 Pillar 3 edition has now been recovered from the Internet Archive and read in full, and it confirms two things. First, that no capital ratio of ANY kind is printed anywhere in it - so the FY2015 ratio cells are, as stated above, calculated here rather than transcribed, which already makes them weaker than every other cell on these sheets. Second, and worse, that the denominator they use is wrong: the EUR 221,221k is the CREDIT-RISK RWA only. That edition separately discloses an FX spot position risk of EUR 4,128k and an operational risk risk-weighted exposure of EUR 11,501k, neither of which is inside the 221,221k, and it prints no Pillar 1 total at all. The FY2015 ratios shown are therefore OVERSTATED: on the three components' arithmetic sum of EUR 236,850k, the Total Capital Ratio would be about 64.4% rather than 68.94% and the Tier 1 Ratio about 44.8% rather than 47.92%.
THE CELLS ARE LEFT AS THEY WERE, on purpose. Replacing one calculated ratio with another calculated ratio is not a transcription improvement, and no FY2015 total RWA exists in any document to divide by. This workbook does not have a defensible FY2015 capital ratio and the honest reading of these two cells is that they are an upper bound, not a measurement. Flagged for a decision rather than silently adjusted or silently left.</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t>
        </is>
      </c>
    </row>
    <row r="12" ht="409" customHeight="1">
      <c r="A12" s="8" t="inlineStr">
        <is>
          <t>(continued)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t>
        </is>
      </c>
    </row>
    <row r="14" ht="409" customHeight="1">
      <c r="A14" s="8" t="inlineStr">
        <is>
          <t>(continued)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t>
        </is>
      </c>
    </row>
    <row r="16" ht="409" customHeight="1">
      <c r="A16" s="8" t="inlineStr">
        <is>
          <t>(continued)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8">
    <mergeCell ref="A6:K6"/>
    <mergeCell ref="A12:K12"/>
    <mergeCell ref="A7:K7"/>
    <mergeCell ref="A16:K16"/>
    <mergeCell ref="A10:K10"/>
    <mergeCell ref="A14:K14"/>
    <mergeCell ref="A5:K5"/>
    <mergeCell ref="A8:K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Tier 1 Capital</t>
        </is>
      </c>
    </row>
    <row r="2">
      <c r="A2" s="2" t="inlineStr">
        <is>
          <t>£'000 (conv. from EUR)</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one / total regulatory capital base</t>
        </is>
      </c>
      <c r="B4" s="6" t="n">
        <v>92204</v>
      </c>
      <c r="C4" s="6" t="n">
        <v>109177.5</v>
      </c>
      <c r="D4" s="6" t="n">
        <v>116653.7</v>
      </c>
      <c r="E4" s="6" t="n">
        <v>111664.9</v>
      </c>
      <c r="F4" s="6" t="n">
        <v>111374</v>
      </c>
      <c r="G4" s="6" t="n">
        <v>72251.10000000001</v>
      </c>
      <c r="H4" s="6" t="n">
        <v>75335.10000000001</v>
      </c>
      <c r="I4" s="6" t="n">
        <v>86014.2</v>
      </c>
      <c r="J4" s="6" t="n">
        <v>89052.2</v>
      </c>
      <c r="K4" s="6" t="n">
        <v>105499</v>
      </c>
      <c r="L4" s="6" t="n">
        <v>105997</v>
      </c>
    </row>
    <row r="5" ht="78" customHeight="1">
      <c r="A5" s="7" t="inlineStr">
        <is>
          <t>Note: Directly disclosed total regulatory capital base / Tier one capital from the annual-report capital-management table. The Bank's table does not separately disclose CET1, Additional Tier 1 or Tier 2 amounts for FY2022-FY2025; the value is therefore repeated as the entity's disclosed Tier one/regulatory capital base, not inferred as a full Basel capital stack. FY2021's Pillar 3 table reports Own Funds of €130.644m and Tier 2 of zero.
FY2015-FY2020 (added under HD-021): the £-value shown is each year's own STATUTORY capital-management note (Tier 1 = share capital + retained earnings, tying to the Balance Sheet; FY2016-FY2018 CET1 equals this statutory Tier 1 exactly). FY2019/FY2020 differ: the Bank's own Pillar 3 disclosure nets off that year's own in-year loss from CET1 a second time (a CRR prudential filter for unverified profit/loss - see the block comment above); the Pillar-3-disclosed CET1 figure is shown for FY2019/FY2020 instead of the statutory Tier 1 figure used for FY2015-FY2018, FY2016-FY2018 and FY2021-FY2025. FY2015 has no CET1 concept at all (pre-CRD IV Pillar 3 for a firm this size) - its Tier 1 figure appears only on the Tier 1 Capital sheet.</t>
        </is>
      </c>
    </row>
    <row r="7" ht="409" customHeight="1">
      <c r="A7"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9" ht="409" customHeight="1">
      <c r="A9"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1" ht="409" customHeight="1">
      <c r="A11"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3" ht="409" customHeight="1">
      <c r="A13"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5">
    <mergeCell ref="A7:L7"/>
    <mergeCell ref="A11:L11"/>
    <mergeCell ref="A5:L5"/>
    <mergeCell ref="A13:L13"/>
    <mergeCell ref="A9:L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ratio</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inlineStr">
        <is>
          <t>40.99%</t>
        </is>
      </c>
      <c r="G4" s="6" t="inlineStr">
        <is>
          <t>28.76%</t>
        </is>
      </c>
      <c r="H4" s="6" t="inlineStr">
        <is>
          <t>50.16%</t>
        </is>
      </c>
      <c r="I4" s="6" t="inlineStr">
        <is>
          <t>44.14%</t>
        </is>
      </c>
      <c r="J4" s="6" t="inlineStr">
        <is>
          <t>40.51%</t>
        </is>
      </c>
      <c r="K4" s="6" t="inlineStr">
        <is>
          <t>32.99%</t>
        </is>
      </c>
      <c r="L4" s="6" t="inlineStr">
        <is>
          <t>47.92%</t>
        </is>
      </c>
    </row>
    <row r="5" ht="377" customHeight="1">
      <c r="A5" s="7" t="inlineStr">
        <is>
          <t>Note: FY2021 CORRECTION 2026-09-15: this sheet previously read "Not publicly disclosed" for FY2021. That was wrong. The Bank's Pillar 3 Disclosure as at 31 March 2021 - already cited on this workbook's Total RWAs, Leverage Ratio, LCR and RWA Breakdown sheets - states the ratios directly in section 3.4 'Capital Buffers', p.19: "CET1 (and Tier 1) capital ratio (%) 40.99%" and "Total capital ratio (%) 40.99%" for 31/03/2021 (comparative 31/03/2020: 28.76% and 38.35%, which is where this workbook's FY2020 figures already came from). The document adds "As the Bank's Tier 1 capital is entirely made of CET1 capital, the Tier 1 and CET1 ratios are the same", which is why all three ratio sheets carry the identical FY2021 figure. It is internally consistent with the rest of the workbook: Total Capital EUR 130,644k / Pillar 1 RWAs EUR 318,824k = 40.98%, and FY2021 is the year the EUR 46,500k subordinated loan fell to zero, so there is no Tier 2 to separate the Total Capital Ratio from the CET1 Ratio. The figures are transcribed, not derived. The earlier blank was a sourcing miss - the FY2021 document was opened for its RWA, leverage and LCR tables but not for its capital-ratio table.
Not publicly disclosed for this entity/year. The Bank says later Pillar 3 disclosures are available on request; no public 2022-2025 Pillar 3 document was found, and the statutory accounts do not state this metric.
COMMON CRAWL PASS (2026-10-07), for the two years that read 'Unreached today' - FY2019 and FY2022. persiabank.co.uk and persiabank.com were queried in EVERY Common Crawl crawl from CC-MAIN-2019-04 to CC-MAIN-2023-50 (82 queries, matchType=domain, so every host spelling and every path). Common Crawl has captured four of this Bank's Pillar 3 editions - 'Pillar 3 Disclosure as at 31_03_2017', '... as at 31_03_2018 (final)', 'Pillar 3 2020 v6 040221' and 'Pillar 3 2020 v7' - which is the positive control that the lookup reaches this host's Pillar 3 files. Neither a FY2019 nor a FY2022 edition appears in any crawl, so both years stay UNREACHED rather than becoming 'Not published'.
RE-VERIFIED 2026-09-12 (independent disclosure re-audit). The FY2023 and FY2025 Annual Reports were re-downloaded from Companies House and fully OCR'd page-by-page (both are scanned filings with no text layer). Findings:
- Both reports carry a 'Pillar 3 Disclosures' heading whose entire content is the sentence "Pillar 3 disclosures are made separately and can be made available on request." - unchanged in the most recent (year ended 31 March 2025) filing.
- The statutory 'Capital management' note (Note 26 in FY2023, Note 25 in FY2025) gives ONLY the capital base build-up (Ordinary share capital + Retained earnings = Total regulatory capital base) in EUR '000. It explicitly describes the PRA's requirement as "based upon the ratio of capital to total risk weighted exposures" but publishes NO risk-weighted exposure figure and NO resulting ratio, in any year FY2022 onward. The capital amounts it does give are already captured on the CET1/Tier 1/Total Capital sheets (FY2025 EUR110,424k and FY2024 EUR127,693k re-confirmed against this note directly).
- Capital adequacy is referred to only in narrative terms ("The Tier I Capital ratios are still robust", "The Bank maintains a strong capital adequacy ratio and liquidity position") with no percentage attached.
- The Bank's own website was recorded that session as entirely unreachable (DNS/connection failure, HTTP 000). CORRECTED 2026-09-15: the site is reachable, but only over plain HTTP - http://www.persiabank.co.uk/ answers 200; the HTTPS URL still fails the TLS handshake, which is what earlier sessions were hitting. Reading the live site does not change the conclusion: its complete link list carries exactly one Pillar 3 document, the FY2021 edition, and no later one. A full Wayback Machine CDX listing of the domain agrees - the newest Pillar 3 document ever archived is that same FY2021 edition ('Pillar 3 2021 v3.pdf', still being re-crawled as recently as 2025-12-25), and the domain was actively crawled through 2024-2025, so this is the latest edition that exists, not a crawl gap. No 2022, 2023, 2024 or 2025 Pillar 3 document has ever been published at that domain.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t>
        </is>
      </c>
    </row>
    <row r="6" ht="364" customHeight="1">
      <c r="A6" s="7" t="inlineStr">
        <is>
          <t>(continued)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t>
        </is>
      </c>
    </row>
    <row r="7" ht="390" customHeight="1">
      <c r="A7" s="7" t="inlineStr">
        <is>
          <t>(continued)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FY2015-FY2020 (added under HD-021): FY2016-FY2020 are directly disclosed in the Bank's own standalone Pillar 3 disclosures (found for FY2016/FY2018/FY2020; FY2017/FY2019 are those documents' own comparative columns). FY2015 predates CRD IV Pillar 3 for a firm this size (no CET1 concept, no ratio table); the FY2015 figure shown on the Total Capital Ratio / Tier 1 Ratio sheets is this workbook's own calculation from the FY2015 statutory Total Capital/Tier 1 figures divided by the FY2015 Pillar 3 disclosure's own Total RWA figure (EUR 221,221k, the 'Breakdown of exposure classes' table's own total - not the same total as its mislabelled Template CR4 table, see the RWA Breakdown sheet's note).</t>
        </is>
      </c>
    </row>
    <row r="8" ht="91" customHeight="1">
      <c r="A8" s="7" t="inlineStr">
        <is>
          <t>(continued)
FY2015 RATIO WARNING, ADDED 2026-09-15 - READ BEFORE USING THE FY2015 RATIO CELLS. The Bank's standalone FY2015 Pillar 3 edition has now been recovered from the Internet Archive and read in full, and it confirms two things. First, that no capital ratio of ANY kind is printed anywhere in it - so the FY2015 ratio cells are, as stated above, calculated here rather than transcribed, which already makes them weaker than every other cell on these sheets. Second, and worse, that the denominator they use is wrong: the EUR 221,221k is the CREDIT-RISK RWA only. That edition separately discloses an FX spot position risk of EUR 4,128k and an operational risk risk-weighted exposure of EUR 11,501k, neither of which is inside the 221,221k, and it prints no Pillar 1 total at all. The FY2015 ratios shown are therefore OVERSTATED: on the three components' arithmetic sum of EUR 236,850k, the Total Capital Ratio would be about 64.4% rather than 68.94% and the Tier 1 Ratio about 44.8% rather than 47.92%.
THE CELLS ARE LEFT AS THEY WERE, on purpose. Replacing one calculated ratio with another calculated ratio is not a transcription improvement, and no FY2015 total RWA exists in any document to divide by. This workbook does not have a defensible FY2015 capital ratio and the honest reading of these two cells is that they are an upper bound, not a measurement. Flagged for a decision rather than silently adjusted or silently left.</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12" ht="409" customHeight="1">
      <c r="A12"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4" ht="409" customHeight="1">
      <c r="A14"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6" ht="409" customHeight="1">
      <c r="A16"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8">
    <mergeCell ref="A16:L16"/>
    <mergeCell ref="A10:L10"/>
    <mergeCell ref="A7:L7"/>
    <mergeCell ref="A5:L5"/>
    <mergeCell ref="A8:L8"/>
    <mergeCell ref="A14:L14"/>
    <mergeCell ref="A6:L6"/>
    <mergeCell ref="A12:L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Total Capital</t>
        </is>
      </c>
    </row>
    <row r="2">
      <c r="A2" s="2" t="inlineStr">
        <is>
          <t>£'000 (conv. from EUR)</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regulatory capital base</t>
        </is>
      </c>
      <c r="B4" s="6" t="n">
        <v>92204</v>
      </c>
      <c r="C4" s="6" t="n">
        <v>109177.5</v>
      </c>
      <c r="D4" s="6" t="n">
        <v>116653.7</v>
      </c>
      <c r="E4" s="6" t="n">
        <v>111664.9</v>
      </c>
      <c r="F4" s="6" t="n">
        <v>111374</v>
      </c>
      <c r="G4" s="6" t="n">
        <v>113636.1</v>
      </c>
      <c r="H4" s="6" t="n">
        <v>115325.1</v>
      </c>
      <c r="I4" s="6" t="n">
        <v>126701.8</v>
      </c>
      <c r="J4" s="6" t="n">
        <v>128926</v>
      </c>
      <c r="K4" s="6" t="n">
        <v>151999</v>
      </c>
      <c r="L4" s="6" t="n">
        <v>152497</v>
      </c>
    </row>
    <row r="5" ht="65" customHeight="1">
      <c r="A5" s="7" t="inlineStr">
        <is>
          <t>Note: Directly disclosed total regulatory capital base / Tier one capital from the annual-report capital-management table. The Bank's table does not separately disclose CET1, Additional Tier 1 or Tier 2 amounts for FY2022-FY2025; the value is therefore repeated as the entity's disclosed Tier one/regulatory capital base, not inferred as a full Basel capital stack. FY2021's Pillar 3 table reports Own Funds of €130.644m and Tier 2 of zero.
FY2015-FY2020 (added under HD-021): each year's own statutory capital-management note, Tier 1 (share capital + retained earnings) plus Tier 2 (the EUR 46,500k subordinated loan at full carrying value, not the CRR-capped amount used in the Pillar-3-disclosed capital ratios on the Total Capital Ratio sheet).</t>
        </is>
      </c>
    </row>
    <row r="7" ht="409" customHeight="1">
      <c r="A7"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9" ht="409" customHeight="1">
      <c r="A9"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1" ht="409" customHeight="1">
      <c r="A11"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3" ht="409" customHeight="1">
      <c r="A13"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5">
    <mergeCell ref="A7:L7"/>
    <mergeCell ref="A11:L11"/>
    <mergeCell ref="A5:L5"/>
    <mergeCell ref="A13:L13"/>
    <mergeCell ref="A9:L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 ratio</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inlineStr">
        <is>
          <t>40.99%</t>
        </is>
      </c>
      <c r="G4" s="6" t="inlineStr">
        <is>
          <t>38.35%</t>
        </is>
      </c>
      <c r="H4" s="6" t="inlineStr">
        <is>
          <t>66.88%</t>
        </is>
      </c>
      <c r="I4" s="6" t="inlineStr">
        <is>
          <t>58.85%</t>
        </is>
      </c>
      <c r="J4" s="6" t="inlineStr">
        <is>
          <t>54.01%</t>
        </is>
      </c>
      <c r="K4" s="6" t="inlineStr">
        <is>
          <t>47.53%</t>
        </is>
      </c>
      <c r="L4" s="6" t="inlineStr">
        <is>
          <t>68.94%</t>
        </is>
      </c>
    </row>
    <row r="5" ht="377" customHeight="1">
      <c r="A5" s="7" t="inlineStr">
        <is>
          <t>Note: FY2021 CORRECTION 2026-09-15: this sheet previously read "Not publicly disclosed" for FY2021. That was wrong. The Bank's Pillar 3 Disclosure as at 31 March 2021 - already cited on this workbook's Total RWAs, Leverage Ratio, LCR and RWA Breakdown sheets - states the ratios directly in section 3.4 'Capital Buffers', p.19: "CET1 (and Tier 1) capital ratio (%) 40.99%" and "Total capital ratio (%) 40.99%" for 31/03/2021 (comparative 31/03/2020: 28.76% and 38.35%, which is where this workbook's FY2020 figures already came from). The document adds "As the Bank's Tier 1 capital is entirely made of CET1 capital, the Tier 1 and CET1 ratios are the same", which is why all three ratio sheets carry the identical FY2021 figure. It is internally consistent with the rest of the workbook: Total Capital EUR 130,644k / Pillar 1 RWAs EUR 318,824k = 40.98%, and FY2021 is the year the EUR 46,500k subordinated loan fell to zero, so there is no Tier 2 to separate the Total Capital Ratio from the CET1 Ratio. The figures are transcribed, not derived. The earlier blank was a sourcing miss - the FY2021 document was opened for its RWA, leverage and LCR tables but not for its capital-ratio table.
Not publicly disclosed for this entity/year. The Bank says later Pillar 3 disclosures are available on request; no public 2022-2025 Pillar 3 document was found, and the statutory accounts do not state this metric.
COMMON CRAWL PASS (2026-10-07), for the two years that read 'Unreached today' - FY2019 and FY2022. persiabank.co.uk and persiabank.com were queried in EVERY Common Crawl crawl from CC-MAIN-2019-04 to CC-MAIN-2023-50 (82 queries, matchType=domain, so every host spelling and every path). Common Crawl has captured four of this Bank's Pillar 3 editions - 'Pillar 3 Disclosure as at 31_03_2017', '... as at 31_03_2018 (final)', 'Pillar 3 2020 v6 040221' and 'Pillar 3 2020 v7' - which is the positive control that the lookup reaches this host's Pillar 3 files. Neither a FY2019 nor a FY2022 edition appears in any crawl, so both years stay UNREACHED rather than becoming 'Not published'.
RE-VERIFIED 2026-09-12 (independent disclosure re-audit). The FY2023 and FY2025 Annual Reports were re-downloaded from Companies House and fully OCR'd page-by-page (both are scanned filings with no text layer). Findings:
- Both reports carry a 'Pillar 3 Disclosures' heading whose entire content is the sentence "Pillar 3 disclosures are made separately and can be made available on request." - unchanged in the most recent (year ended 31 March 2025) filing.
- The statutory 'Capital management' note (Note 26 in FY2023, Note 25 in FY2025) gives ONLY the capital base build-up (Ordinary share capital + Retained earnings = Total regulatory capital base) in EUR '000. It explicitly describes the PRA's requirement as "based upon the ratio of capital to total risk weighted exposures" but publishes NO risk-weighted exposure figure and NO resulting ratio, in any year FY2022 onward. The capital amounts it does give are already captured on the CET1/Tier 1/Total Capital sheets (FY2025 EUR110,424k and FY2024 EUR127,693k re-confirmed against this note directly).
- Capital adequacy is referred to only in narrative terms ("The Tier I Capital ratios are still robust", "The Bank maintains a strong capital adequacy ratio and liquidity position") with no percentage attached.
- The Bank's own website was recorded that session as entirely unreachable (DNS/connection failure, HTTP 000). CORRECTED 2026-09-15: the site is reachable, but only over plain HTTP - http://www.persiabank.co.uk/ answers 200; the HTTPS URL still fails the TLS handshake, which is what earlier sessions were hitting. Reading the live site does not change the conclusion: its complete link list carries exactly one Pillar 3 document, the FY2021 edition, and no later one. A full Wayback Machine CDX listing of the domain agrees - the newest Pillar 3 document ever archived is that same FY2021 edition ('Pillar 3 2021 v3.pdf', still being re-crawled as recently as 2025-12-25), and the domain was actively crawled through 2024-2025, so this is the latest edition that exists, not a crawl gap. No 2022, 2023, 2024 or 2025 Pillar 3 document has ever been published at that domain.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t>
        </is>
      </c>
    </row>
    <row r="6" ht="364" customHeight="1">
      <c r="A6" s="7" t="inlineStr">
        <is>
          <t>(continued)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t>
        </is>
      </c>
    </row>
    <row r="7" ht="390" customHeight="1">
      <c r="A7" s="7" t="inlineStr">
        <is>
          <t>(continued)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FY2015-FY2020 (added under HD-021): FY2016-FY2020 are directly disclosed in the Bank's own standalone Pillar 3 disclosures (found for FY2016/FY2018/FY2020; FY2017/FY2019 are those documents' own comparative columns). FY2015 predates CRD IV Pillar 3 for a firm this size (no CET1 concept, no ratio table); the FY2015 figure shown on the Total Capital Ratio / Tier 1 Ratio sheets is this workbook's own calculation from the FY2015 statutory Total Capital/Tier 1 figures divided by the FY2015 Pillar 3 disclosure's own Total RWA figure (EUR 221,221k, the 'Breakdown of exposure classes' table's own total - not the same total as its mislabelled Template CR4 table, see the RWA Breakdown sheet's note).</t>
        </is>
      </c>
    </row>
    <row r="8" ht="91" customHeight="1">
      <c r="A8" s="7" t="inlineStr">
        <is>
          <t>(continued)
FY2015 RATIO WARNING, ADDED 2026-09-15 - READ BEFORE USING THE FY2015 RATIO CELLS. The Bank's standalone FY2015 Pillar 3 edition has now been recovered from the Internet Archive and read in full, and it confirms two things. First, that no capital ratio of ANY kind is printed anywhere in it - so the FY2015 ratio cells are, as stated above, calculated here rather than transcribed, which already makes them weaker than every other cell on these sheets. Second, and worse, that the denominator they use is wrong: the EUR 221,221k is the CREDIT-RISK RWA only. That edition separately discloses an FX spot position risk of EUR 4,128k and an operational risk risk-weighted exposure of EUR 11,501k, neither of which is inside the 221,221k, and it prints no Pillar 1 total at all. The FY2015 ratios shown are therefore OVERSTATED: on the three components' arithmetic sum of EUR 236,850k, the Total Capital Ratio would be about 64.4% rather than 68.94% and the Tier 1 Ratio about 44.8% rather than 47.92%.
THE CELLS ARE LEFT AS THEY WERE, on purpose. Replacing one calculated ratio with another calculated ratio is not a transcription improvement, and no FY2015 total RWA exists in any document to divide by. This workbook does not have a defensible FY2015 capital ratio and the honest reading of these two cells is that they are an upper bound, not a measurement. Flagged for a decision rather than silently adjusted or silently left.</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12" ht="409" customHeight="1">
      <c r="A12"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4" ht="409" customHeight="1">
      <c r="A14"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6" ht="409" customHeight="1">
      <c r="A16"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8">
    <mergeCell ref="A16:L16"/>
    <mergeCell ref="A10:L10"/>
    <mergeCell ref="A7:L7"/>
    <mergeCell ref="A5:L5"/>
    <mergeCell ref="A8:L8"/>
    <mergeCell ref="A14:L14"/>
    <mergeCell ref="A6:L6"/>
    <mergeCell ref="A12:L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Total RWAs</t>
        </is>
      </c>
    </row>
    <row r="2">
      <c r="A2" s="2" t="inlineStr">
        <is>
          <t>£'000 (conv. from EUR)</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Pillar 1 risk-weighted assets (FY2016-FY2021 are each edition's own printed Pillar 1 total; FY2015 is CREDIT-RISK RWA ONLY and understates the total - see note)</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n">
        <v>271797.5</v>
      </c>
      <c r="G4" s="6" t="n">
        <v>250511.9</v>
      </c>
      <c r="H4" s="6" t="n">
        <v>158449.8</v>
      </c>
      <c r="I4" s="6" t="n">
        <v>194880.9</v>
      </c>
      <c r="J4" s="6" t="n">
        <v>219847.6</v>
      </c>
      <c r="K4" s="6" t="n">
        <v>319767</v>
      </c>
      <c r="L4" s="6" t="n">
        <v>221221</v>
      </c>
    </row>
    <row r="5">
      <c r="A5" s="6" t="inlineStr">
        <is>
          <t>FY2015 only - risk-weighted exposures the FY2015 edition discloses SEPARATELY and does NOT include in the 221,221 above: market risk (FX spot position risk) 4,128 and operational risk 11,501</t>
        </is>
      </c>
      <c r="B5" s="6" t="n"/>
      <c r="C5" s="6" t="n"/>
      <c r="D5" s="6" t="n"/>
      <c r="E5" s="6" t="n"/>
      <c r="F5" s="6" t="n"/>
      <c r="G5" s="6" t="n"/>
      <c r="H5" s="6" t="n"/>
      <c r="I5" s="6" t="n"/>
      <c r="J5" s="6" t="n"/>
      <c r="K5" s="6" t="n"/>
      <c r="L5" s="6" t="n">
        <v>15629</v>
      </c>
    </row>
    <row r="6" ht="377" customHeight="1">
      <c r="A6" s="7" t="inlineStr">
        <is>
          <t>Note: Only FY2021 is directly disclosed among FY2021-FY2025: €318.824m in the 2021 Pillar 3 disclosure, p.18. FY2022-FY2025 are not publicly disclosed and are not calculated from capital because no corresponding capital ratio is stated.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t>
        </is>
      </c>
    </row>
    <row r="7" ht="403" customHeight="1">
      <c r="A7" s="7" t="inlineStr">
        <is>
          <t>(continued)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t>
        </is>
      </c>
    </row>
    <row r="8" ht="208" customHeight="1">
      <c r="A8" s="7" t="inlineStr">
        <is>
          <t>(continued)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FY2015-FY2020 (added under HD-021): FY2016-FY2020 RWA (credit/market/operational) are directly disclosed in the Bank's own standalone Pillar 3 disclosures, same sourcing as the ratio sheets, and each of those editions prints its own explicit Pillar 1 total (FY2016's reads 'Total Pillar 1 risk 319,767'), so those years' figures on this sheet are genuine totals.
FY2015 IS NOT A TOTAL AND MUST NOT BE READ AS ONE - corrected 2026-09-15 after the Bank's standalone FY2015 Pillar 3 edition was recovered from the Internet Archive and read in full. The EUR 221,221k shown for FY2015 is the total line of that edition's 'Breakdown of exposure classes' table (repeated as its Template CR4 total), and all six rows of that table are CREDIT exposure classes; the printed 17,698k capital charge beside it is exactly 8% of it. The same document separately discloses, in two narrative sentences elsewhere, an FX spot position risk of EUR 4,128k (section 6, p.14) and an operational risk risk-weighted exposure of EUR 11,501k (section 7, p.15) - NEITHER of which is in the 221,221k. The edition prints no Pillar 1 total anywhere. So FY2015's true total RWA is materially higher than 221,221k, by roughly 7%. This is the same credit-risk-subtotal-presented-as-a-total defect confirmed at Redwood, Ghana International and Bank of Ceylon.
IT IS FLAGGED RATHER THAN FIXED, deliberately. No document states a FY2015 total, so adding the three components to 236,850k and putting that here would substitute a figure this workbook computed for one the Bank disclosed - which this project does not do on this sheet. The component sum is instead shown on its own clearly-labelled row of the RWA Breakdown sheet, where it can be seen but cannot be mistaken for a disclosure. CONSEQUENCE FOR THE RATIO SHEETS: the FY2015 Total Capital Ratio (68.94%) and Tier 1 Ratio (47.92%) in this workbook are this workbook's own calculations using 221,221k as the denominator, so they are OVERSTATED - on the 236,850k component sum they would be about 64.4% and 44.8%. Those cells are flagged on their own sheets and left unchanged pending a decision, because replacing a calculated ratio with a differently-calculated ratio is not an improvement in transcription terms.</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12" ht="409" customHeight="1">
      <c r="A12"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4" ht="409" customHeight="1">
      <c r="A14"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6" ht="409" customHeight="1">
      <c r="A16"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7">
    <mergeCell ref="A16:L16"/>
    <mergeCell ref="A10:L10"/>
    <mergeCell ref="A7:L7"/>
    <mergeCell ref="A8:L8"/>
    <mergeCell ref="A14:L14"/>
    <mergeCell ref="A6:L6"/>
    <mergeCell ref="A12:L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RWA Breakdown</t>
        </is>
      </c>
    </row>
    <row r="2">
      <c r="A2" s="2" t="inlineStr">
        <is>
          <t>FY2021, plus FY2016-FY2020 added under HD-021 (recovered via Wayback Machine snapshots of the Bank's own standalone Pillar 3 disclosures, after the Bank's live site refused every direct TLS connection attempt this session). £'000 converted from EUR (FY2016 figures are EUR '000, unconverted - see FX note). Ties exactly to the Total RWAs sheet for every year shown. FY2022-FY2025 not publicly disclosed - the Bank stopped publishing Pillar 3 after its 31 March 2021 edition (its FY2022 report still said the disclosures were published on its website; FY2023-FY2025 all say they can be made available on request instead), and its live site carries no later edition - see the source note below. FY2015 IS NOW SHOWN (added 2026-09-15, correcting this subtitle's previous claim that it could not be): the recovered standalone FY2015 Pillar 3 edition does break its risk down by the three types after all - the 'Breakdown of exposure classes' table's 221,221 total IS the credit-risk RWA, and the market and operational risk risk-weighted exposures (4,128 and 11,501) are disclosed separately in that document's sections 6 and 7. The earlier conclusion came from reading only the exposure-class table. FY2015's Total row is BLANK because that edition prints no Pillar 1 total, unlike every later one - see the note below.</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c r="G3" s="4" t="inlineStr">
        <is>
          <t>FY2020 (£'000, conv. from EUR)</t>
        </is>
      </c>
      <c r="H3" s="4" t="inlineStr">
        <is>
          <t>FY2019 (£'000, conv. from EUR)</t>
        </is>
      </c>
      <c r="I3" s="4" t="inlineStr">
        <is>
          <t>FY2018 (£'000, conv. from EUR)</t>
        </is>
      </c>
      <c r="J3" s="4" t="inlineStr">
        <is>
          <t>FY2017 (£'000, conv. from EUR)</t>
        </is>
      </c>
      <c r="K3" s="4" t="inlineStr">
        <is>
          <t>FY2016 (£'000, conv. from EUR)</t>
        </is>
      </c>
      <c r="L3" s="4" t="inlineStr">
        <is>
          <t>FY2015 (£'000, conv. from EUR)</t>
        </is>
      </c>
    </row>
    <row r="4">
      <c r="A4" s="6" t="inlineStr">
        <is>
          <t>Credit and counterparty credit risk</t>
        </is>
      </c>
      <c r="B4" s="6" t="n"/>
      <c r="C4" s="6" t="n"/>
      <c r="D4" s="6" t="n"/>
      <c r="E4" s="6" t="n"/>
      <c r="F4" s="6" t="n">
        <v>254527.5</v>
      </c>
      <c r="G4" s="6" t="n">
        <v>233987.2</v>
      </c>
      <c r="H4" s="6" t="n">
        <v>145775.2</v>
      </c>
      <c r="I4" s="6" t="n">
        <v>184382.6</v>
      </c>
      <c r="J4" s="6" t="n">
        <v>208598.9</v>
      </c>
      <c r="K4" s="6" t="n">
        <v>306733</v>
      </c>
      <c r="L4" s="6" t="n">
        <v>221221</v>
      </c>
    </row>
    <row r="5">
      <c r="A5" s="6" t="inlineStr">
        <is>
          <t>Market risk</t>
        </is>
      </c>
      <c r="B5" s="6" t="n"/>
      <c r="C5" s="6" t="n"/>
      <c r="D5" s="6" t="n"/>
      <c r="E5" s="6" t="n"/>
      <c r="F5" s="6" t="n">
        <v>13061.2</v>
      </c>
      <c r="G5" s="6" t="n">
        <v>6545.9</v>
      </c>
      <c r="H5" s="6" t="n">
        <v>5823.1</v>
      </c>
      <c r="I5" s="6" t="n">
        <v>3527.1</v>
      </c>
      <c r="J5" s="6" t="n">
        <v>3090.4</v>
      </c>
      <c r="K5" s="6" t="n">
        <v>3036</v>
      </c>
      <c r="L5" s="6" t="n">
        <v>4128</v>
      </c>
    </row>
    <row r="6">
      <c r="A6" s="6" t="inlineStr">
        <is>
          <t>Operational risk</t>
        </is>
      </c>
      <c r="B6" s="6" t="n"/>
      <c r="C6" s="6" t="n"/>
      <c r="D6" s="6" t="n"/>
      <c r="E6" s="6" t="n"/>
      <c r="F6" s="6" t="n">
        <v>4208.8</v>
      </c>
      <c r="G6" s="6" t="n">
        <v>9978.700000000001</v>
      </c>
      <c r="H6" s="6" t="n">
        <v>6851.6</v>
      </c>
      <c r="I6" s="6" t="n">
        <v>6971.1</v>
      </c>
      <c r="J6" s="6" t="n">
        <v>8158.3</v>
      </c>
      <c r="K6" s="6" t="n">
        <v>9998</v>
      </c>
      <c r="L6" s="6" t="n">
        <v>11501</v>
      </c>
    </row>
    <row r="7">
      <c r="A7" s="5" t="inlineStr">
        <is>
          <t>Total Pillar 1 risk-weighted assets (as printed in each edition; FY2015 blank - no total is printed there)</t>
        </is>
      </c>
      <c r="B7" s="5" t="n"/>
      <c r="C7" s="5" t="n"/>
      <c r="D7" s="5" t="n"/>
      <c r="E7" s="5" t="n"/>
      <c r="F7" s="5" t="n">
        <v>271797.5</v>
      </c>
      <c r="G7" s="5" t="n">
        <v>250511.9</v>
      </c>
      <c r="H7" s="5" t="n">
        <v>158449.8</v>
      </c>
      <c r="I7" s="5" t="n">
        <v>194880.9</v>
      </c>
      <c r="J7" s="5" t="n">
        <v>219847.6</v>
      </c>
      <c r="K7" s="5" t="n">
        <v>319767</v>
      </c>
      <c r="L7" s="5" t="n"/>
    </row>
    <row r="8">
      <c r="A8" s="6" t="inlineStr">
        <is>
          <t>FY2015 ONLY - arithmetic sum of the three FY2015 rows above (NOT a disclosed figure; shown here so the gap against the Total RWAs sheet's credit-only 221,221 is visible, and deliberately NOT carried onto the Total RWAs sheet - see note)</t>
        </is>
      </c>
      <c r="B8" s="6" t="n"/>
      <c r="C8" s="6" t="n"/>
      <c r="D8" s="6" t="n"/>
      <c r="E8" s="6" t="n"/>
      <c r="F8" s="6" t="n"/>
      <c r="G8" s="6" t="n"/>
      <c r="H8" s="6" t="n"/>
      <c r="I8" s="6" t="n"/>
      <c r="J8" s="6" t="n"/>
      <c r="K8" s="6" t="n"/>
      <c r="L8" s="6" t="n">
        <v>236850</v>
      </c>
    </row>
    <row r="9">
      <c r="A9" s="6" t="inlineStr">
        <is>
          <t>Disclosure status where no figures are shown</t>
        </is>
      </c>
      <c r="B9" s="6" t="inlineStr">
        <is>
          <t>Not published - AR p.8: Pillar 3 'can be made available on request'</t>
        </is>
      </c>
      <c r="C9" s="6" t="inlineStr">
        <is>
          <t>Not published - AR p.8: Pillar 3 'can be made available on request'</t>
        </is>
      </c>
      <c r="D9" s="6" t="inlineStr">
        <is>
          <t>Not published - AR p.8: Pillar 3 'can be made available on request'</t>
        </is>
      </c>
      <c r="E9" s="6" t="inlineStr">
        <is>
          <t>Not published - no 31 Mar 2022 edition; site probe found only the 2021 one</t>
        </is>
      </c>
      <c r="F9" s="6" t="n"/>
      <c r="G9" s="6" t="n"/>
      <c r="H9" s="6" t="n"/>
      <c r="I9" s="6" t="n"/>
      <c r="J9" s="6" t="n"/>
      <c r="K9" s="6" t="n"/>
      <c r="L9" s="6" t="n"/>
    </row>
    <row r="11" ht="409" customHeight="1">
      <c r="A11" s="8" t="inlineStr">
        <is>
          <t>Sources - Persia International Bank Plc Pillar 3 disclosures, Pillar 1 capital requirements tables:
FY2021, p.18, recovered via Wayback Machine snapshot (captured 10 January 2026) - http://web.archive.org/web/20260110002617id_/http://www.persiabank.co.uk/Pillar%203%202021%20v3.pdf (live original URL, plain HTTP: http://www.persiabank.co.uk/Pillar%203%202021%20v3.pdf - re-checked 16 September 2026, HTTP 200, %PDF, 28 pages, and byte-identical to the Wayback capture above, MD5 08b8d37ca13c50b214d275062ab119c3 for both. The https:// form of the same path, https://www.persiabank.co.uk/Pillar%203%202021%20v3.pdf, still cannot be fetched by any client: the server resets the TLS handshake at Client hello, so no certificate is presented - see the LINK PROVENANCE note on this sheet, and do not 'upgrade' the cited scheme. This is the ONLY Pillar 3 document on the Bank's live site - see the Total RWAs sheet's cessation note)
FY2020/FY2019: Pillar 3 Disclosure as at 31 March 2020, p.17, recovered via Wayback Machine (captured 25 January 2022) - http://web.archive.org/web/20220125010012id_/http://www.persiabank.co.uk/Pillar%203%202020%20v7.pdf
FY2018/FY2017: Pillar 3 Disclosure as at 31/03/2018, p.16, recovered via Wayback Machine (captured 2 September 2018) - http://web.archive.org/web/20180902131909id_/http://www.persiabank.co.uk/Pillar%203%20Disclosure%20as%20at%2031_03_2018%20(final).pdf
FY2016: Pillar 3 Disclosure as at 31 March 2016, p.13, recovered via Wayback Machine (captured 24 October 2016) - http://web.archive.org/web/20161024202355id_/http://www.persiabank.co.uk/Pillar%203%20Disclosure%20as%20at%2031%20March%202016.pdf
FY2015: Pillar 3 Disclosures March 2015, p.9 (Breakdown of exposure classes - credit risk), p.14 (section 6, FX spot position risk) and p.15 (section 7, operational risk RWE), recovered via Wayback Machine (captured 16 March 2016) - http://web.archive.org/web/20160316221826id_/http://www.persiabank.co.uk/Pillar3_disclosures_March%202015.pdf
FY2015 TOTAL ROW IS BLANK, AND THAT IS THE POINT. Every edition from FY2016 on prints an explicit total - FY2016's reads 'Total Pillar 1 risk 319,767' directly beneath credit 306,733, market 3,036 and operational 9,998. The FY2015 edition prints no such row. Its three components are disclosed in three different places (an exposure-class table on p.9, one sentence on p.14, one sentence on p.15) and are never added up. The consequence is that the 221,221 carried on the Total RWAs sheet for FY2015 is the CREDIT-RISK RWA ONLY - the same credit-subtotal-as-total defect confirmed at Redwood, Ghana International and Bank of Ceylon. It is left there because no document states a FY2015 total and this project does not substitute a derived figure for a disclosed one on that sheet; the arithmetic sum of the three components (236,850) is shown on its own explicitly-labelled row here, and nowhere else, so the size of the understatement is visible without being presented as a disclosure. See the FY2015 note on the metric sheets for the full extract.
ENTITY AND REPORTING BASIS: Persia International Bank Plc (company 04218020, FRN 208020) is an active UK PRA/FCA-regulated bank incorporated 16 May 2001, with registered office at 6 Lothbury, London EC2R 7HH. Companies House shows full accounts filed through the year ended 31 March 2025; the Bank is owned 60% by Bank Mellat and 40% by Bank Tejarat. STATUS RE-CONFIRMED 2026-09-15: Companies House shows the company as ACTIVE, with full accounts to 31 March 2025 filed 2 September 2025, accounts to 31 March 2026 due by 31 December 2026, and a confirmation statement filed 10 June 2026; the Bank also still holds PRA authorisation, appearing as 'Persia International Bank Plc', FRN 208020, in the Bank of England's own 'List of PRA-regulated Banks as at 01 September 2026', in its first section, 'Banks incorporated in the UK authorised to accept deposits' (re-read from the published file 2026-09-18; earlier revisions of this note dated that list 30 September 2026, which is not a date the Bank of England has published - the list's own header reads 01 September 2026). A further restriction post-dates the FY2025 reporting date: the Bank's own website notice 'Persia International Bank PLC - Sanctions Notice' (dated 06/10/2025) states it 'has been made subject to financial sanctions by the UK Government and the European Union as of 29 September 2025' and operates under OFSI General Licence INT/2025/7345464. These are the Company's own entity-level financial statements, prepared under UK-adopted IFRS on a going-concern basis, in EUR (the functional and presentation currency). The Bank's reports say that OFAC sanctions re-imposed in November 2018 and continuing difficulty obtaining UK clearing and correspondent-bank relationships restrict normal banking activity; Iranian exposures continue to receive a 150% risk weight because Iran is excluded from the relevant UK/EU equivalence list. The reports nevertheless state that the Bank expects to continue as a going concern. The FY2022 report's auditor highlighted material uncertainty over going concern, while later reports continued on a going-concern basis. HD-021 EXTENSION: EU/UN sanctions on the Bank (imposed 27 July 2010, annulled by the EU General Court in September 2013, re-imposed November 2013) were lifted 16 January 2016, and the FY2017 report states the PRA authorised the Bank to resume normal business on 7 November 2016 - so FY2015/FY2016 predate that resumption and describe a materially more restricted, wind-down-mode bank than FY2017 onward. BASEL II/III CAVEAT: the FY2015 accounts and the Bank's FY2015 Pillar 3 disclosure predate the UK's CRD IV Pillar 3 rollout for a firm of this size and disclose only Tier 1 / Tier 2 / Total Capital (no CET1 concept, no Leverage Ratio, no LCR); CET1, Leverage Ratio and (from FY2018) LCR are all genuinely disclosed from the Bank's FY2016 Pillar 3 disclosure onward. FY2015's own Pillar 3 disclosure separately states a Total Capital figure (EUR 151,979,000) that is EUR 518,000 lower than the FY2015 statutory accounts' own capital-management note (EUR 152,497,000, which ties to the Balance Sheet); the Pillar 3 figure appears to reuse the FY2014 year-end retained-earnings figure by mistake. This workbook uses each year's own statutory accounts' capital-management note as the authoritative Tier 1/Tier 2/Total Capital figure (consistent with every other bank in this project), and uses Pillar 3 disclosures only for figures the statutory accounts do not state at all (RWA, CET1/Total capital ratios, Leverage Ratio, LCR).</t>
        </is>
      </c>
    </row>
    <row r="13" ht="409" customHeight="1">
      <c r="A13" s="8" t="inlineStr">
        <is>
          <t>(continued)
FX METHODOLOGY: the Bank's accounting policies disclose EUR/GBP rates, which are GBP PER EUR (FY2025 Annual Report, Note 2.1, p.40: "The average exchange rate for EUR/GBP applied during the year was 0.8390 (2023/24: 0.8630). The year-end exchange rate used was 0.8350 (2023/24: 0.8550)" - at 31 March 2025 EUR1 bought GBP0.8358, so 0.8350 is pounds per euro). Flow figures are therefore MULTIPLIED by the year's disclosed average rate and balance figures by its disclosed year-end rate. CORRECTION 2026-09-16: until that date this workbook DIVIDED by both rates, on the strength of a code comment that mis-stated them as "EUR per GBP"; every converted figure was consequently overstated by 1/rate-squared (about 1.43x). The conversion was corrected in both directions of travel; no transcribed source figure was altered, and no percentage moved, because a ratio converts its numerator and denominator by the same factor. Bank Sepah International, the same shape of entity (Iranian-owned, EUR presentation, 31 March year-end), discloses near-identical rates, labels them "GBP per EUR 1" and multiplies - which is the corroborating precedent for this direction. The cash-flow sheet includes the Bank's own exchange-difference line and a programmatic GBP translation line where the use of average rates for flows and year-end rates for balances creates a residual. FY2021 opening cash is left blank because the source does not provide a FY2020 year-end rate in the reviewed five-year source set. HD-021 EXTENSION (FY2015-FY2020): FY2017-FY2020 are converted to GBP the same way, using each year's own disclosed average/year-end rate. FY2015 and FY2016's own accounts disclose only an average EUR/GBP rate for the year, not a year-end rate - so every balance-sheet-type (stock) figure for FY2015 and FY2016 in this workbook (Balance Sheet, Asset Quality, Pillar 3 capital/RWA sheets, and equity closing balances) is shown in EUR '000, unconverted, not GBP; flow figures (P&amp;L, cash flow, in-year equity movements) for FY2015/FY2016 are still converted to GBP using that year's own disclosed average rate. This is a genuine source limitation, not a transcription gap - see stock_v()/stock() below, which pass EUR values through unchanged for any year missing from YEAR_END_RATE.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2">
    <mergeCell ref="A13:L13"/>
    <mergeCell ref="A11:L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Persia International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Leverage ratio</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inlineStr">
        <is>
          <t>53.32%</t>
        </is>
      </c>
      <c r="G4" s="6" t="inlineStr">
        <is>
          <t>33.77%</t>
        </is>
      </c>
      <c r="H4" s="6" t="inlineStr">
        <is>
          <t>Not disclosed - each Pillar 3 edition prints its own date only, never a comparative</t>
        </is>
      </c>
      <c r="I4" s="6" t="inlineStr">
        <is>
          <t>49.27%</t>
        </is>
      </c>
      <c r="J4" s="6" t="inlineStr">
        <is>
          <t>52.52%</t>
        </is>
      </c>
      <c r="K4" s="6" t="inlineStr">
        <is>
          <t>49.99%</t>
        </is>
      </c>
    </row>
    <row r="5" ht="351" customHeight="1">
      <c r="A5" s="7" t="inlineStr">
        <is>
          <t>Note: FY2021, plus FY2016/FY2018/FY2020 added under HD-021 and FY2017 added 2026-09-19 (GA-020 unreached pass, from the FY2017 edition's own p.22): directly disclosed in the Bank's own Pillar 3 disclosures. FY2022-FY2025 are blank because the Bank stopped publishing Pillar 3 after its 31 March 2021 edition - see below.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t>
        </is>
      </c>
    </row>
    <row r="6" ht="377" customHeight="1">
      <c r="A6" s="7" t="inlineStr">
        <is>
          <t>(continued)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t>
        </is>
      </c>
    </row>
    <row r="7" ht="390" customHeight="1">
      <c r="A7" s="7" t="inlineStr">
        <is>
          <t>(continued)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FY2015-FY2020 (added under HD-021): directly disclosed in the Bank's own standalone Pillar 3 disclosures where found (FY2016/FY2017/FY2018/FY2020). No leverage ratio is disclosed in the FY2019 Pillar 3 comparative column (only the current year's leverage ratio is tabulated in each document), and the EBA's LCR disclosure guidelines only applied from 31 December 2017 - so FY2015-FY2017 LCR, and FY2015 leverage ratio, are genuinely not disclosed anywhere located, not a gap in this transcription. FY2019's LCR similarly falls in a gap between the FY2018 and FY2020 Pillar 3 documents' own quarterly disclosure windows (neither one's table includes a 31 March 2019 quarter).
THE BLANK YEARS IN THE MIDDLE OF THESE TWO SHEETS WERE RE-ESTABLISHED FROM THE DOCUMENTS ON 18 SEPTEMBER 2026 (GA-005), because a blank with figures on BOTH sides is a different claim from a blank at either end and deserves its own evidence. Every surviving edition was re-downloaded and re-read; all four MD5s match the values recorded in the LINK PROVENANCE note on this workbook's other sheets.
  LEVERAGE RATIO - THE BANK NEVER PRINTED A COMPARATIVE, IN ANY EDITION. Each edition devotes one short section to it and states a single figure for its own reporting date only: FY2016 edition, section 10, '... a ratio of 49.99% at 31 March 2016'; FY2018 edition, section 11, '49.27% as at 31 March 2018' above a one-column table headed '31 March 2018' (total assets 184,318 / off-balance sheet items 15,211 / total exposure measure 199,529 / Tier 1 capital 98,302); FY2020 edition, section 11, '33.77% as at 31 March 2020', narrative only; FY2021 edition, section 9, '53.32% as at 31 March 2021', narrative only. There is therefore no 31 March 2019 or 31 March 2015 leverage ratio in any edition reached - not a comparative column we failed to read, but a column the Bank never printed. FY2017 WAS ALSO LISTED HERE UNTIL 19 SEPTEMBER 2026, and that claim was false: the FY2017 edition itself, 'Pillar 3 Disclosure as at 31_03_2017 (002).pdf' (23 pages), section 10 'Leverage Ratio' (heading p.21, sentence p.22 of 23, read off the page image), states 'The Bank comfortably meets the minimum requirement with a ratio of 52.52% as at 31 March 2017' - http://www.persiabank.co.uk/Pillar%203%20Disclosure%20as%20at%2031_03_2017%20(002).pdf. The file was never captured by the Wayback Machine; its name was recovered from the archived home page's link list (captures 22 Sep 2017 - 16 Mar 2018) and it is still served live over plain HTTP. No FY2019 edition was ever linked: every home-page capture from 16 Jul 2019 to 24 Sep 2020 links only the 31 March 2018 edition, and the next capture (25 Feb 2021) links the FY2020 one. (Richness control: each text-native edition returns 4-6 hits for 'leverage ratio' and 16-18 for 'own funds'; every leverage hit was inspected.)
  LCR - THE QUARTER SETS ARE PRINTED, AND 31 MARCH 2019 IS NOT IN ANY OF THEM. The FY2018 edition's table (p.15) is headed 30/06/2017, 30/09/2017, 31/12/2017, 31/03/2018 (245.89% / 374.10% / 452.44% / 539.22%). The FY2020 edition's table is headed 31/03/2020, 31/12/2019, 31/09/2019, 30/06/2019 (181.69% / 247.38% / 296.59% / 493.56%). The FY2021 edition's table (p.16) is headed 31/03/2021, 31/03/2020, 31/12/2019, 31/09/2019 (221.13% / 181.69% / 247.38% / 296.59%). The 31 March 2019 quarter falls between the FY2018 table's window and the FY2020 table's window and appears in neither, which is why FY2019 is blank here. The FY2016 edition contains no LCR disclosure at all - zero occurrences of 'LCR' or 'Liquidity Coverage' against 83 occurrences of 'capital' in the same extraction - consistent with the EBA guidelines applying only from 31 December 2017, which is why FY2015-FY2017 are blank.</t>
        </is>
      </c>
    </row>
    <row r="8" ht="104" customHeight="1">
      <c r="A8" s="7" t="inlineStr">
        <is>
          <t>(continued)
TWO SOURCE DEFECTS RECORDED RATHER THAN CORRECTED. (1) The FY2020 and FY2021 editions both print a column headed '31/09/2019' - a date that does not exist; it is plainly 30/09/2019. (2) The FY2021 edition's four columns are NOT four consecutive quarters: it prepends 31/03/2021 to the FY2020 edition's first three columns and drops 30/06/2019, giving 31/03/2021, 31/03/2020, 31/12/2019, 31/09/2019. Both are reproduced as printed. Separately, the FY2020 edition's Introduction still reads 'the Pillar 3 disclosure ... as at 31 March 2018', a stale line carried over from the FY2018 edition, although its title page, its LCR table and its leverage, capital and RWA figures are all unambiguously 31 March 2020.
LEVERAGE BASIS: THE QUESTION DOES NOT ARISE FOR THIS BANK (GA-026, 2026-10-09). The UK dual-basis leverage split - template UK LR2's row 24 INCLUDING claims on central banks against UK-24b EXCLUDING them, reconciling at UK-24a, with ratios at row 25 and UK-25c - is effective only for periods from 1 January 2022. The Bank's last Pillar 3 edition covers the year ended 31 March 2021 and every disclosed leverage figure above (FY2016 to FY2021) predates that date, so none of them could carry the split and no basis distinction is available to record. The post-2022 years are blank because the Bank ceased publishing Pillar 3 altogether, not because a basis could not be determined.</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t>
        </is>
      </c>
    </row>
    <row r="12" ht="409" customHeight="1">
      <c r="A12" s="8" t="inlineStr">
        <is>
          <t>(continued)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t>
        </is>
      </c>
    </row>
    <row r="14" ht="409" customHeight="1">
      <c r="A14" s="8" t="inlineStr">
        <is>
          <t>(continued)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t>
        </is>
      </c>
    </row>
    <row r="16" ht="409" customHeight="1">
      <c r="A16" s="8" t="inlineStr">
        <is>
          <t>(continued)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8">
    <mergeCell ref="A6:K6"/>
    <mergeCell ref="A12:K12"/>
    <mergeCell ref="A7:K7"/>
    <mergeCell ref="A16:K16"/>
    <mergeCell ref="A10:K10"/>
    <mergeCell ref="A14:K14"/>
    <mergeCell ref="A5:K5"/>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Persia International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Liquidity Coverage Ratio (simple average of 12 monthly reports)</t>
        </is>
      </c>
      <c r="B4" s="6" t="inlineStr">
        <is>
          <t>Not published - AR p.8: Pillar 3 'can be made available on request'</t>
        </is>
      </c>
      <c r="C4" s="6" t="inlineStr">
        <is>
          <t>Not published - AR p.8: Pillar 3 'can be made available on request'</t>
        </is>
      </c>
      <c r="D4" s="6" t="inlineStr">
        <is>
          <t>Not published - AR p.8: Pillar 3 'can be made available on request'</t>
        </is>
      </c>
      <c r="E4" s="6" t="inlineStr">
        <is>
          <t>Not published - no 31 Mar 2022 edition; site probe found only the 2021 one</t>
        </is>
      </c>
      <c r="F4" s="6" t="inlineStr">
        <is>
          <t>221.13%</t>
        </is>
      </c>
      <c r="G4" s="6" t="inlineStr">
        <is>
          <t>181.69%</t>
        </is>
      </c>
      <c r="H4" s="6" t="inlineStr">
        <is>
          <t>Not disclosed - 31 Mar 2019 quarter is in neither the FY2018 nor the FY2020 LCR table</t>
        </is>
      </c>
      <c r="I4" s="6" t="inlineStr">
        <is>
          <t>539.22%</t>
        </is>
      </c>
    </row>
    <row r="5" ht="338" customHeight="1">
      <c r="A5" s="7" t="inlineStr">
        <is>
          <t>Note: FY2021, plus FY2018/FY2020 added under HD-021: directly disclosed in the Bank's own Pillar 3 disclosures. FY2022-FY2025 are blank because the Bank stopped publishing Pillar 3 after its 31 March 2021 edition - see below; the statutory accounts state no LCR in any of those years.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t>
        </is>
      </c>
    </row>
    <row r="6" ht="403" customHeight="1">
      <c r="A6" s="7" t="inlineStr">
        <is>
          <t>(continued)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t>
        </is>
      </c>
    </row>
    <row r="7" ht="403" customHeight="1">
      <c r="A7" s="7" t="inlineStr">
        <is>
          <t>(continued)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FY2015-FY2020 (added under HD-021): directly disclosed in the Bank's own standalone Pillar 3 disclosures where found (FY2016/FY2017/FY2018/FY2020). No leverage ratio is disclosed in the FY2019 Pillar 3 comparative column (only the current year's leverage ratio is tabulated in each document), and the EBA's LCR disclosure guidelines only applied from 31 December 2017 - so FY2015-FY2017 LCR, and FY2015 leverage ratio, are genuinely not disclosed anywhere located, not a gap in this transcription. FY2019's LCR similarly falls in a gap between the FY2018 and FY2020 Pillar 3 documents' own quarterly disclosure windows (neither one's table includes a 31 March 2019 quarter).
THE BLANK YEARS IN THE MIDDLE OF THESE TWO SHEETS WERE RE-ESTABLISHED FROM THE DOCUMENTS ON 18 SEPTEMBER 2026 (GA-005), because a blank with figures on BOTH sides is a different claim from a blank at either end and deserves its own evidence. Every surviving edition was re-downloaded and re-read; all four MD5s match the values recorded in the LINK PROVENANCE note on this workbook's other sheets.</t>
        </is>
      </c>
    </row>
    <row r="8" ht="221" customHeight="1">
      <c r="A8" s="7" t="inlineStr">
        <is>
          <t>(continued)
LEVERAGE RATIO - THE BANK NEVER PRINTED A COMPARATIVE, IN ANY EDITION. Each edition devotes one short section to it and states a single figure for its own reporting date only: FY2016 edition, section 10, '... a ratio of 49.99% at 31 March 2016'; FY2018 edition, section 11, '49.27% as at 31 March 2018' above a one-column table headed '31 March 2018' (total assets 184,318 / off-balance sheet items 15,211 / total exposure measure 199,529 / Tier 1 capital 98,302); FY2020 edition, section 11, '33.77% as at 31 March 2020', narrative only; FY2021 edition, section 9, '53.32% as at 31 March 2021', narrative only. There is therefore no 31 March 2019 or 31 March 2015 leverage ratio in any edition reached - not a comparative column we failed to read, but a column the Bank never printed. FY2017 WAS ALSO LISTED HERE UNTIL 19 SEPTEMBER 2026, and that claim was false: the FY2017 edition itself, 'Pillar 3 Disclosure as at 31_03_2017 (002).pdf' (23 pages), section 10 'Leverage Ratio' (heading p.21, sentence p.22 of 23, read off the page image), states 'The Bank comfortably meets the minimum requirement with a ratio of 52.52% as at 31 March 2017' - http://www.persiabank.co.uk/Pillar%203%20Disclosure%20as%20at%2031_03_2017%20(002).pdf. The file was never captured by the Wayback Machine; its name was recovered from the archived home page's link list (captures 22 Sep 2017 - 16 Mar 2018) and it is still served live over plain HTTP. No FY2019 edition was ever linked: every home-page capture from 16 Jul 2019 to 24 Sep 2020 links only the 31 March 2018 edition, and the next capture (25 Feb 2021) links the FY2020 one. (Richness control: each text-native edition returns 4-6 hits for 'leverage ratio' and 16-18 for 'own funds'; every leverage hit was inspected.)
  LCR - THE QUARTER SETS ARE PRINTED, AND 31 MARCH 2019 IS NOT IN ANY OF THEM. The FY2018 edition's table (p.15) is headed 30/06/2017, 30/09/2017, 31/12/2017, 31/03/2018 (245.89% / 374.10% / 452.44% / 539.22%). The FY2020 edition's table is headed 31/03/2020, 31/12/2019, 31/09/2019, 30/06/2019 (181.69% / 247.38% / 296.59% / 493.56%). The FY2021 edition's table (p.16) is headed 31/03/2021, 31/03/2020, 31/12/2019, 31/09/2019 (221.13% / 181.69% / 247.38% / 296.59%). The 31 March 2019 quarter falls between the FY2018 table's window and the FY2020 table's window and appears in neither, which is why FY2019 is blank here. The FY2016 edition contains no LCR disclosure at all - zero occurrences of 'LCR' or 'Liquidity Coverage' against 83 occurrences of 'capital' in the same extraction - consistent with the EBA guidelines applying only from 31 December 2017, which is why FY2015-FY2017 are blank.
  TWO SOURCE DEFECTS RECORDED RATHER THAN CORRECTED. (1) The FY2020 and FY2021 editions both print a column headed '31/09/2019' - a date that does not exist; it is plainly 30/09/2019. (2) The FY2021 edition's four columns are NOT four consecutive quarters: it prepends 31/03/2021 to the FY2020 edition's first three columns and drops 30/06/2019, giving 31/03/2021, 31/03/2020, 31/12/2019, 31/09/2019. Both are reproduced as printed. Separately, the FY2020 edition's Introduction still reads 'the Pillar 3 disclosure ... as at 31 March 2018', a stale line carried over from the FY2018 edition, although its title page, its LCR table and its leverage, capital and RWA figures are all unambiguously 31 March 2020.</t>
        </is>
      </c>
    </row>
    <row r="10" ht="409" customHeight="1">
      <c r="A10"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t>
        </is>
      </c>
    </row>
    <row r="12" ht="409" customHeight="1">
      <c r="A12" s="8" t="inlineStr">
        <is>
          <t>(continued)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t>
        </is>
      </c>
    </row>
    <row r="14" ht="409" customHeight="1">
      <c r="A14" s="8" t="inlineStr">
        <is>
          <t>(continued)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t>
        </is>
      </c>
    </row>
    <row r="16" ht="409" customHeight="1">
      <c r="A16" s="8" t="inlineStr">
        <is>
          <t>(continued)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t>
        </is>
      </c>
    </row>
    <row r="18" ht="409" customHeight="1">
      <c r="A18" s="8" t="inlineStr">
        <is>
          <t>(continued)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9">
    <mergeCell ref="A7:I7"/>
    <mergeCell ref="A10:I10"/>
    <mergeCell ref="A5:I5"/>
    <mergeCell ref="A14:I14"/>
    <mergeCell ref="A18:I18"/>
    <mergeCell ref="A8:I8"/>
    <mergeCell ref="A6:I6"/>
    <mergeCell ref="A12:I12"/>
    <mergeCell ref="A16:I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NSFR</t>
        </is>
      </c>
      <c r="B4" s="6" t="inlineStr">
        <is>
          <t>Not published – no public Pillar 3 after FY2021: FY2025 Annual Report p.8 (full OCR) says Pillar 3 'can be made available on request' and prints no NSFR; none on site or Wayback</t>
        </is>
      </c>
      <c r="C4" s="6" t="inlineStr">
        <is>
          <t>Not published – no public Pillar 3 after FY2021: FY2024 Annual Report p.8 (full OCR) says Pillar 3 'can be made available on request' and prints no NSFR; none on site or Wayback</t>
        </is>
      </c>
      <c r="D4" s="6" t="inlineStr">
        <is>
          <t>Not published – no public Pillar 3 after FY2021: FY2023 Annual Report p.8 (full OCR) says Pillar 3 'can be made available on request' and prints no NSFR; none on site or Wayback</t>
        </is>
      </c>
      <c r="E4" s="6" t="inlineStr">
        <is>
          <t>Unreached today – FY2022 AR p.8 says Pillar 3 is on the web site; CDX domain sweep, home-page link lists Jul-Sep 2022 (2021 edition only), live guesses 404, archive.ph 429 (2026-09-19); Common Crawl 2019-2023, every crawl: no such edition</t>
        </is>
      </c>
      <c r="F4" s="6" t="inlineStr">
        <is>
          <t>Not published – Persia FY2021 Pillar 3 (full text searched 2026-09-19) contains no NSFR figure or reference</t>
        </is>
      </c>
      <c r="G4" s="6" t="inlineStr">
        <is>
          <t>Not published – Persia FY2020 Pillar 3 (full text searched 2026-09-19) contains no NSFR figure or reference</t>
        </is>
      </c>
      <c r="H4" s="6" t="inlineStr">
        <is>
          <t>Unreached today – FY2019 AR says Pillar 3 is on the web site, but home-page captures Jul 2019-Sep 2020 link only the 2018 edition; CDX, live guesses 404, archive.ph 429 (2026-09-19); Common Crawl 2019-2023, every crawl: no such edition</t>
        </is>
      </c>
      <c r="I4" s="6" t="inlineStr">
        <is>
          <t>Not published – Persia FY2018 Pillar 3 (full text searched 2026-09-19) contains no NSFR figure or reference</t>
        </is>
      </c>
      <c r="J4" s="6" t="inlineStr">
        <is>
          <t>Not published – FY2017 Pillar 3 (31 Mar 2017, 23pp, found live 2026-09-19): contents p.4 and full text have no NSFR; only leverage (p.22)</t>
        </is>
      </c>
      <c r="K4" s="6" t="inlineStr">
        <is>
          <t>Not published – Persia FY2016 Pillar 3 (full text searched 2026-09-19) contains no NSFR figure or reference</t>
        </is>
      </c>
      <c r="L4" s="6" t="inlineStr">
        <is>
          <t>Not published – Persia FY2015 Pillar 3 (full text searched 2026-09-19) contains no NSFR figure or reference</t>
        </is>
      </c>
    </row>
    <row r="5" ht="390" customHeight="1">
      <c r="A5" s="7" t="inlineStr">
        <is>
          <t>Note: Not publicly disclosed for this entity/year. The Bank says later Pillar 3 disclosures are available on request; no public 2022-2025 Pillar 3 document was found, and the statutory accounts do not state this metric.
COMMON CRAWL PASS (2026-10-07), for the two years that read 'Unreached today' - FY2019 and FY2022. persiabank.co.uk and persiabank.com were queried in EVERY Common Crawl crawl from CC-MAIN-2019-04 to CC-MAIN-2023-50 (82 queries, matchType=domain, so every host spelling and every path). Common Crawl has captured four of this Bank's Pillar 3 editions - 'Pillar 3 Disclosure as at 31_03_2017', '... as at 31_03_2018 (final)', 'Pillar 3 2020 v6 040221' and 'Pillar 3 2020 v7' - which is the positive control that the lookup reaches this host's Pillar 3 files. Neither a FY2019 nor a FY2022 edition appears in any crawl, so both years stay UNREACHED rather than becoming 'Not published'.
RE-VERIFIED 2026-09-12 (independent disclosure re-audit). The FY2023 and FY2025 Annual Reports were re-downloaded from Companies House and fully OCR'd page-by-page (both are scanned filings with no text layer). Findings:
- Both reports carry a 'Pillar 3 Disclosures' heading whose entire content is the sentence "Pillar 3 disclosures are made separately and can be made available on request." - unchanged in the most recent (year ended 31 March 2025) filing.
- The statutory 'Capital management' note (Note 26 in FY2023, Note 25 in FY2025) gives ONLY the capital base build-up (Ordinary share capital + Retained earnings = Total regulatory capital base) in EUR '000. It explicitly describes the PRA's requirement as "based upon the ratio of capital to total risk weighted exposures" but publishes NO risk-weighted exposure figure and NO resulting ratio, in any year FY2022 onward. The capital amounts it does give are already captured on the CET1/Tier 1/Total Capital sheets (FY2025 EUR110,424k and FY2024 EUR127,693k re-confirmed against this note directly).
- Capital adequacy is referred to only in narrative terms ("The Tier I Capital ratios are still robust", "The Bank maintains a strong capital adequacy ratio and liquidity position") with no percentage attached.
- The Bank's own website was recorded that session as entirely unreachable (DNS/connection failure, HTTP 000). CORRECTED 2026-09-15: the site is reachable, but only over plain HTTP - http://www.persiabank.co.uk/ answers 200; the HTTPS URL still fails the TLS handshake, which is what earlier sessions were hitting. Reading the live site does not change the conclusion: its complete link list carries exactly one Pillar 3 document, the FY2021 edition, and no later one. A full Wayback Machine CDX listing of the domain agrees - the newest Pillar 3 document ever archived is that same FY2021 edition ('Pillar 3 2021 v3.pdf', still being re-crawled as recently as 2025-12-25), and the domain was actively crawled through 2024-2025, so this is the latest edition that exists, not a crawl gap. No 2022, 2023, 2024 or 2025 Pillar 3 document has ever been published at that domain.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t>
        </is>
      </c>
    </row>
    <row r="6" ht="403" customHeight="1">
      <c r="A6" s="7" t="inlineStr">
        <is>
          <t>(continued)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t>
        </is>
      </c>
    </row>
    <row r="7" ht="234" customHeight="1">
      <c r="A7" s="7" t="inlineStr">
        <is>
          <t>(continued)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9" ht="390" customHeight="1">
      <c r="A9"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11" ht="377" customHeight="1">
      <c r="A11"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3" ht="390" customHeight="1">
      <c r="A13"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5" ht="221" customHeight="1">
      <c r="A15"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7">
    <mergeCell ref="A15:L15"/>
    <mergeCell ref="A7:L7"/>
    <mergeCell ref="A11:L11"/>
    <mergeCell ref="A5:L5"/>
    <mergeCell ref="A13:L13"/>
    <mergeCell ref="A6:L6"/>
    <mergeCell ref="A9:L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Persia International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no public Pillar 3 after FY2021: FY2025 Annual Report p.8 (full OCR) says Pillar 3 'can be made available on request' and prints no MREL; none on site or Wayback</t>
        </is>
      </c>
      <c r="C4" s="6" t="inlineStr">
        <is>
          <t>Not published – no public Pillar 3 after FY2021: FY2024 Annual Report p.8 (full OCR) says Pillar 3 'can be made available on request' and prints no MREL; none on site or Wayback</t>
        </is>
      </c>
      <c r="D4" s="6" t="inlineStr">
        <is>
          <t>Not published – no public Pillar 3 after FY2021: FY2023 Annual Report p.8 (full OCR) says Pillar 3 'can be made available on request' and prints no MREL; none on site or Wayback</t>
        </is>
      </c>
      <c r="E4" s="6" t="inlineStr">
        <is>
          <t>Unreached today – FY2022 AR p.8 says Pillar 3 is on the web site; CDX domain sweep, home-page link lists Jul-Sep 2022 (2021 edition only), live guesses 404, archive.ph 429 (2026-09-19); Common Crawl 2019-2023, every crawl: no such edition</t>
        </is>
      </c>
      <c r="F4" s="6" t="inlineStr">
        <is>
          <t>Not published – Persia FY2021 Pillar 3 (full text searched 2026-09-19) contains no MREL figure or reference</t>
        </is>
      </c>
      <c r="G4" s="6" t="inlineStr">
        <is>
          <t>Not published – Persia FY2020 Pillar 3 (full text searched 2026-09-19) contains no MREL figure or reference</t>
        </is>
      </c>
      <c r="H4" s="6" t="inlineStr">
        <is>
          <t>Unreached today – FY2019 AR says Pillar 3 is on the web site, but home-page captures Jul 2019-Sep 2020 link only the 2018 edition; CDX, live guesses 404, archive.ph 429 (2026-09-19); Common Crawl 2019-2023, every crawl: no such edition</t>
        </is>
      </c>
      <c r="I4" s="6" t="inlineStr">
        <is>
          <t>Not published – Persia FY2018 Pillar 3 (full text searched 2026-09-19) contains no MREL figure or reference</t>
        </is>
      </c>
      <c r="J4" s="6" t="inlineStr">
        <is>
          <t>Not published – FY2017 Pillar 3 (31 Mar 2017, 23pp, found live 2026-09-19): contents p.4 and full text have no MREL; only leverage (p.22)</t>
        </is>
      </c>
      <c r="K4" s="6" t="inlineStr">
        <is>
          <t>Not published – Persia FY2016 Pillar 3 (full text searched 2026-09-19) contains no MREL figure or reference</t>
        </is>
      </c>
      <c r="L4" s="6" t="inlineStr">
        <is>
          <t>Not published – Persia FY2015 Pillar 3 (full text searched 2026-09-19) contains no MREL figure or reference</t>
        </is>
      </c>
    </row>
    <row r="5" ht="390" customHeight="1">
      <c r="A5" s="7" t="inlineStr">
        <is>
          <t>Note: Not publicly disclosed for this entity/year. The Bank says later Pillar 3 disclosures are available on request; no public 2022-2025 Pillar 3 document was found, and the statutory accounts do not state this metric.
COMMON CRAWL PASS (2026-10-07), for the two years that read 'Unreached today' - FY2019 and FY2022. persiabank.co.uk and persiabank.com were queried in EVERY Common Crawl crawl from CC-MAIN-2019-04 to CC-MAIN-2023-50 (82 queries, matchType=domain, so every host spelling and every path). Common Crawl has captured four of this Bank's Pillar 3 editions - 'Pillar 3 Disclosure as at 31_03_2017', '... as at 31_03_2018 (final)', 'Pillar 3 2020 v6 040221' and 'Pillar 3 2020 v7' - which is the positive control that the lookup reaches this host's Pillar 3 files. Neither a FY2019 nor a FY2022 edition appears in any crawl, so both years stay UNREACHED rather than becoming 'Not published'.
RE-VERIFIED 2026-09-12 (independent disclosure re-audit). The FY2023 and FY2025 Annual Reports were re-downloaded from Companies House and fully OCR'd page-by-page (both are scanned filings with no text layer). Findings:
- Both reports carry a 'Pillar 3 Disclosures' heading whose entire content is the sentence "Pillar 3 disclosures are made separately and can be made available on request." - unchanged in the most recent (year ended 31 March 2025) filing.
- The statutory 'Capital management' note (Note 26 in FY2023, Note 25 in FY2025) gives ONLY the capital base build-up (Ordinary share capital + Retained earnings = Total regulatory capital base) in EUR '000. It explicitly describes the PRA's requirement as "based upon the ratio of capital to total risk weighted exposures" but publishes NO risk-weighted exposure figure and NO resulting ratio, in any year FY2022 onward. The capital amounts it does give are already captured on the CET1/Tier 1/Total Capital sheets (FY2025 EUR110,424k and FY2024 EUR127,693k re-confirmed against this note directly).
- Capital adequacy is referred to only in narrative terms ("The Tier I Capital ratios are still robust", "The Bank maintains a strong capital adequacy ratio and liquidity position") with no percentage attached.
- The Bank's own website was recorded that session as entirely unreachable (DNS/connection failure, HTTP 000). CORRECTED 2026-09-15: the site is reachable, but only over plain HTTP - http://www.persiabank.co.uk/ answers 200; the HTTPS URL still fails the TLS handshake, which is what earlier sessions were hitting. Reading the live site does not change the conclusion: its complete link list carries exactly one Pillar 3 document, the FY2021 edition, and no later one. A full Wayback Machine CDX listing of the domain agrees - the newest Pillar 3 document ever archived is that same FY2021 edition ('Pillar 3 2021 v3.pdf', still being re-crawled as recently as 2025-12-25), and the domain was actively crawled through 2024-2025, so this is the latest edition that exists, not a crawl gap. No 2022, 2023, 2024 or 2025 Pillar 3 document has ever been published at that domain.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t>
        </is>
      </c>
    </row>
    <row r="6" ht="403" customHeight="1">
      <c r="A6" s="7" t="inlineStr">
        <is>
          <t>(continued)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t>
        </is>
      </c>
    </row>
    <row r="7" ht="234" customHeight="1">
      <c r="A7" s="7" t="inlineStr">
        <is>
          <t>(continued)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9" ht="390" customHeight="1">
      <c r="A9" s="8" t="inlineStr">
        <is>
          <t>Sources - Persia International Bank Plc entity-level capital disclosures:
FY2025/FY2024: Annual Report and Financial Statements 2025, Note 25 (Capital management), p.77 - https://find-and-update.company-information.service.gov.uk/company/04218020/filing-history/MzQ3OTMzNTI0NWFkaXF6a2N4/document?download=0&amp;format=pdf
FY2023/FY2022: Annual Report and Financial Statements 2023, Note 26 (Capital management), p.62 - https://find-and-update.company-information.service.gov.uk/company/04218020/filing-history/MzM4OTExNTc1NmFkaXF6a2N4/document?download=0&amp;format=pdf
FY2021: Annual Report and Financial Statements 2022, Note 26 (Capital management), p.58 - https://find-and-update.company-information.service.gov.uk/company/04218020/filing-history/MzM1NTU5ODQzNmFkaXF6a2N4/document?download=0&amp;format=pdf
FY2021 Pillar 3: Persia International Bank Pillar 3 Disclosure 2021, pp.16-20 and 26 - http://www.persiabank.co.uk/Pillar%203%202021%20v3.pdf
FY2017 Pillar 3 (found 2026-09-19): 'Pillar 3 Disclosure 31 March 2017', 23 pp., section 10 Leverage Ratio, p.22 of 23 (leverage ratio 52.52% as at 31 March 2017); no NSFR or MREL anywhere in it - http://www.persiabank.co.uk/Pillar%203%20Disclosure%20as%20at%2031_03_2017%20(002).pdf
FY2015 STANDALONE PILLAR 3 RECOVERED 2026-09-15 (year ended 31 MARCH 2015; this Bank's year-end is 31 March throughout). 'Pillar 3 Disclosures March 2015', recovered from the Internet Archive - http://web.archive.org/web/20160316221826id_/http://www.persiabank.co.uk/Pillar3_disclosures_March%202015.pdf
  - Section 3 'Capital Resources', p.8, capital structure as at 31 March 2015, in euro: Ordinary share capital 100,000,000; Retained Earnings 5,479,000; TOTAL TIER 1 CAPITAL 105,479,000; Tier 2 capital 46,500,000; TOTAL CAPITAL 151,979,000. The Tier 2 is described as loan capital, floating rate notes redeemable in 2043 and listed on the Luxembourg stock exchange.
  - Section 4 'Capital Adequacy', p.9: Capital charge under Pillar 1 17,698,000; Pillar 2 requirements (stated as 225% of Pillar 1) 39,821,000; Total capital resources 151,979,000; Surplus of capital resources 112,158,000. 'Breakdown of exposure classes' table, same page: Central Government/Bank risk-weighted exposure 144,039,000 (risk capital 11,523,000); Credit institutions 2,514,000 (201,000); Corporate companies 50,022,000 (4,002,000); Securities 435,000 (35,000); Short term claims on institutions 7,822,000 (626,000); Others 16,389,000 (1,311,000); TOTAL 221,221,000 (17,698,000).
  - Section 6 'Market risk', p.14: 'As at 31 March 2015 the FX spot position risk: EUR 4,128,000'.
  - Section 7 'Operational risk', p.15: the Basic Indicator Approach Operational Risk Requirement multiplied by 12.5 gives a Risk Weighted Exposure 'which as at 31 March 2015 was EUR 11,501,000'.
  - WHAT THIS EDITION SETTLES. (1) It confirms the composition of the EUR 518,000 divergence already recorded in this workbook's entity note: the Pillar 3's Tier 1 of 105,479,000 is ordinary share capital 100,000,000 plus retained earnings 5,479,000, where the FY2015 statutory accounts' capital-management note gives 105,997,000 and ties to the Balance Sheet. This workbook's existing convention is unchanged - the statutory figure remains the authoritative Tier 1/Total Capital on those sheets - but the divergence is now traced to the retained-earnings line specifically, not merely asserted. (2) It confirms that NO capital ratio of any kind is printed anywhere in the FY2015 edition, which is why the FY2015 ratio cells are this workbook's own calculation - see the warning on those sheets. (3) It supplies two figures this workbook did not previously hold at all: the market risk and operational risk risk-weighted exposures, now on the RWA Breakdown sheet.
  - THE BIG ONE: THE FY2015 'TOTAL RWA' OF EUR 221,221,000 IS CREDIT-RISK ONLY. The 221,221,000 is the total line of the 'Breakdown of exposure classes' table (and of the same document's Template CR4), whose six rows are all credit exposure classes; 17,698,000 is exactly 8% of it. The market risk RWE (4,128,000) and the operational risk RWE (11,501,000) are disclosed in separate narrative sentences elsewhere in the document and are NOT included in that total, and the edition prints no Pillar 1 total RWA anywhere. This is the same credit-subtotal-presented-as-total defect confirmed at Redwood, Ghana International and Bank of Ceylon. It is flagged on the Total RWAs, Total Capital Ratio and Tier 1 Ratio sheets and the FY2015 figure is left as disclosed there rather than replaced - no document states a FY2015 total. Note that the later editions do NOT share the defect: the FY2016 edition prints an explicit 'Total Pillar 1 risk 319,767' row summing credit 306,733, market 3,036 and operational 9,998, and FY2017-FY2021 follow the same layout.
  - No leverage ratio, LCR or NSFR appears anywhere in the FY2015 edition - structurally so, since none was a UK disclosure requirement at 31 March 2015. Its liquidity discussion is the then-current ILAA regime, narrative only.
The Bank states in the FY2023-FY2025 annual reports that Pillar 3 disclosures are made separately and can be made available on request; no public 2022-2025 Pillar 3 document was locatable. The 2021 Pillar 3 document is unaudited and provides the only directly disclosed FY2021 RWA, LCR and leverage values used here.
STRUCTURAL CESSATION OF PILLAR 3 PUBLICATION - EVIDENCED, not inferred from a failed search (established 2026-09-15). The Bank stopped publishing Pillar 3 disclosures after its 31 March 2021 edition, and says so, in its own words, in its own Annual Reports:
  - Annual Report and Financial Statements 2022 (year ended 31 March 2022), 'Pillar 3 Disclosures' heading in the STRATEGIC REPORT, p.8: "Pillar 3 disclosures are made separately and ARE PUBLISHED ON THE BANK'S WEB SITE at www.persiabank.co.uk."
  - Annual Report and Financial Statements 2023, 2024 and 2025, same heading and same page position (p.8 of each filing), all three years: "Pillar 3 disclosures are made separately and CAN BE MADE AVAILABLE ON REQUEST." - the reference to web publication is gone, and has stayed gone through the most recent filing.</t>
        </is>
      </c>
    </row>
    <row r="11" ht="377" customHeight="1">
      <c r="A11" s="8" t="inlineStr">
        <is>
          <t>(continued)
VERIFICATION NOTE (2026-09-15): these two paragraphs had been OCR'd by an earlier pass. Because every one of these filings is a scanned image with no text layer, and because OCR has already produced real misreads elsewhere in this project, the FY2022 and FY2025 pages were re-rendered and READ VISUALLY this pass. Both quotations above are confirmed word-for-word. One correction fell out of doing so: the section is the Bank's STRATEGIC REPORT, not the Directors'/corporate governance report as previously recorded here.
FY2022 IS A DIFFERENT KIND OF NEGATIVE FROM FY2023-FY2025, and the two should not be collapsed into one. For FY2023, FY2024 and FY2025 the Bank states its own policy: the disclosure is not published, only available on request. That is a complete, sourced answer - the same shape as Havin - and those three years should not be re-chased. FY2022 is different: the Bank asserted at the time that the disclosure WAS published on its website, yet no FY2022 edition is on that website now and none was ever captured by the Internet Archive despite continued crawling. So FY2022 is a published-then-removed (or asserted-but-never-actually-posted) case rather than a declared non-publication, and it is the one year of the four where a copy might still exist somewhere to be found.
FY2022 NARROWED FURTHER, 18 September 2026 (GA-005). The 'published-then-removed' reading is weaker than it looks, and the reason is a date. The FY2022 Annual Report was filed at Companies House on 18 October 2022, and on that date the Bank's website DID carry a Pillar 3 document - the 31 March 2021 edition, which is still the only one there. So the sentence 'Pillar 3 disclosures are made separately and are published on the Bank's web site' was literally true of the 2021 edition when it was written, and is NOT evidence that a 31 March 2022 edition was ever prepared or posted. Read that way, the FY2022 report is describing a stale file rather than reporting a new one, and the wording change in the FY2023 report is the moment the Bank stopped claiming to publish at all. Nothing found in this session supports the existence of a FY2022 edition: it appears in no capture of the domain in a 152-URL Wayback CDX enumeration covering every year the site has been crawled, and the FY2020 edition's own title page carries the note '(Note - the Pillar 3 Disclosure Document for 2021 is being prepared and will be available shortly)' - the Bank flagged forthcoming editions on the title page when it had one coming, and the 2021 edition carries no such note for 2022.
That wording change is the disclosure-policy change itself, and it lines up exactly with what is on the Bank's website. The live site was reachable this session over plain HTTP (http://www.persiabank.co.uk/ - HTTPS still fails the TLS handshake, which is why earlier sessions recorded the domain as dead) and its complete link list was enumerated: it carries exactly ONE Pillar 3 document, 'Pillar 3 2021 v3.pdf' (the 31 March 2021 edition already used in this workbook), and no later edition. A full Wayback CDX enumeration of every URL ever captured on the domain agrees: the newest Pillar 3 file ever archived is that same 2021 edition, and the domain was still being crawled in 2024 and 2025 (e.g. its 2025 Wolfsberg questionnaire and its July 2024 GDPR notice were both captured), so this is a genuine absence rather than a crawl gap.
DIRECT-FETCH PROBE ADDED 2026-09-18 (leading-gap sweep), because every check above is an ENUMERATION - a link list or an archive index - and an enumeration can only ever fail to mention a file that is nonetheless being served. A file can sit on this host unlinked and uncrawled, so the two conventions the Bank has demonstrably used for these filenames were fetched directly rather than looked up: the bare form 'Pillar 3 &lt;year&gt;.pdf' and the versioned form 'Pillar 3 &lt;year&gt; v&lt;n&gt;.pdf' for n = 1..7 (the 2020 edition is v7 and the 2021 edition is v3, so the version suffix genuinely varies and had to be swept). That is 32 URLs, for 2022, 2023, 2024 and 2025, each fetched over plain http:// with --http1.1 -L and each judged on the SHAPE OF SUCCESS - the first five bytes had to be '%PDF-'. NONE of the 32 returned a PDF. THE PROBE CARRIES ITS OWN POSITIVE CONTROL, which is the only thing that makes those 32 zeros worth anything: the identical method, same host, same session, fetched the 2021 edition successfully - HTTP 200, application/pdf, %PDF- magic, 1,382,251 bytes, byte-for-byte the size already recorded in the LINK PROVENANCE note above. So the method demonstrably reaches a Pillar 3 file on this server when one is there; for FY2022-FY2025 there is none there to reach. The live site was also re-walked the same day (index.asp, aboutus.asp, services.asp, contact.asp, faq.asp, Dubai.asp, Tehranoffice.asp - all HTTP 200) and carries no .pdf href at all on any page, which is why the direct probe, not the link list, is the load-bearing evidence here.
The statutory accounts do not fill the gap either. The FY2022 and FY2024 Annual Reports were independently re-downloaded from Companies House and OCR'd page-by-page this session (both are scanned filings with no text layer; the earlier audit had covered FY2023 and FY2025 the same way, so all four gap years have now been read directly). In every one of them the capital-management note gives only the capital BASE build-up - Ordinary share capital + Retained earnings = Total regulatory capital base, in EUR '000 - and explicitly describes the PRA requirement as being 'based upon the ratio of capital to total risk weighted exposures' while publishing no risk-weighted exposure amount, no ratio, no leverage ratio and no LCR. Capital adequacy appears only as narrative ('The Tier 1 Capital ratios are still robust'). Those capital-base amounts are already carried on the CET1/Tier 1/Total Capital sheets; nothing else in the accounts is transcribable, and no RWA is back-solved from them here.
  RE-READ ONCE MORE 2026-09-18, on the newest year only, to check that paragraph against the document rather than against itself. The FY2025 filing was re-downloaded from Companies House (HTTP 200, application/pdf, 3,462,575 bytes, 82 pages, and confirmed image-only: a text-layer extraction yields 82 characters for 82 pages, i.e. nothing but page furniture) and re-OCR'd page-by-page at 250 dpi. Three things were confirmed against the rendered text. (a) The Strategic Report's 'Pillar 3 Disclosures' section reads, in full, 'Pillar 3 disclosures are made separately and can be made available on request.' (b) Note 25 'Capital management' prints Ordinary share capital 150,000 / Retained earnings (39,576) / Total regulatory capital base 110,424 for 31-Mar-25, against 150,000 / (22,307) / 127,693 for 31-Mar-24 - the two figures this workbook already carries in CAPITAL_EUR - and states the PRA sets a requirement 'based upon the ratio of capital to total risk weighted exposures' WITHOUT printing any such exposure amount or ratio. (c) A search of the whole OCR'd document for risk-weighted/RWA/capital ratio/leverage/LCR/NSFR/own funds returns only that one requirement sentence, the 150% Iranian-exposure risk-weighting narrative in the Strategic Report, and the narrative 'The Tier 1 Capital ratios are still robust'. No figure for any of the four gap metrics exists in the newest filing.</t>
        </is>
      </c>
    </row>
    <row r="13" ht="390" customHeight="1">
      <c r="A13" s="8" t="inlineStr">
        <is>
          <t>(continued)
THE ENTITY HAS NOT CEASED, WHICH IS WHY THIS IS A DISCLOSURE-POLICY FINDING RATHER THAN A WIND-UP: Companies House shows Persia International Bank Plc (04218020) as ACTIVE, with full accounts to 31 March 2025 filed on 2 September 2025, next accounts to 31 March 2026 due by 31 December 2026, and a confirmation statement filed on 10 June 2026; and the Bank appears as 'Persia International Bank Plc', FRN 208020, in the Bank of England's own 'List of PRA-regulated Banks as at 01 September 2026', in the section headed 'Banks incorporated in the UK authorised to accept deposits' - i.e. it retains PRA authorisation AND its deposit-taking permission. Its restriction has, however, deepened: the Bank's own website notice 'Persia International Bank PLC - Sanctions Notice' (dated 06/10/2025) states that it 'has been made subject to financial sanctions by the UK Government and the European Union as of 29 September 2025' and operates under OFSI General Licence INT/2025/7345464 - an event that post-dates the FY2025 (31 March 2025) reporting date and therefore does not explain the FY2022-FY2024 gap, but does make a resumption of public Pillar 3 disclosure less likely.
GOING-CONCERN CONTEXT (added 2026-09-15, read visually from the rendered pages - these filings have no text layer). The auditor's reports carry a 'Material uncertainty related to going concern' section in both the first and the last of the four gap years, so the Bank has been reporting under that cloud throughout the period in which it stopped publishing Pillar 3. The FY2025 report (p.24 of 82) reads: "We draw attention to note 2.2 in the financial statements, where the directors explain the basis for preparing the financial statements on a going concern basis. Due to ongoing US sanctions on the Republic of Iran, heightened geopolitical tensions in the Middle East, the Iran Israel war, and the recent change in the US administration, the Bank continues to face significant challenges in maintaining suitable correspondent banking relationships and clearing services. These events and conditions create material uncertainties that may cast significant doubt on the Bank's ability to continue as a going concern. Our opinion is not modified in respect of this matter". The FY2022 auditor's report (p.19) carries the equivalent section. NOTE THE QUALIFIER: the opinion is NOT modified - this is a disclosed material uncertainty, not an adverse or qualified audit opinion, and it is recorded here as context for why the Bank's disclosure practice narrowed, not as a solvency judgement. It is also why 'the entity wound down' remains unavailable as an explanation: a bank filing audited accounts with an unmodified opinion is still operating.
NO REGULATORY INSTRUMENT ENDED THE DUTY - THE REGISTER WAS READ, NOT GUESSED AT (18 September 2026, GA-005). Where a UK bank stops publishing Pillar 3 there is usually a dated instrument behind it, and the Bank of England's consolidated register of waivers and modifications for PRA firms is where it would appear. That file was downloaded and read in full on 18 September 2026 (2,916 data rows). Persia International Bank Plc, FRN 208020, appears in it TWICE, and neither entry touches disclosure:
  - 'Direction for modification by consent of 5.1 to 5.3 of the Capital Buffers Part of the PRA Rulebook', rule description 'Permissions and Waivers (CRR Firms)', sub-rule CA.BU.5.1-5.3, ref 00008999.pdf, start date 24/10/2024, no end date. DATE FIT: it begins inside the year ended 31 March 2025 and so cannot explain a gap that opens at 31 March 2022; and it is a capital-buffers modification, not a disclosure one.
  - 'Permission of classify new instrument as CET1', rule description 'Capital Requirements Regulation', sub-rule Ar 26(3), ref A00001287P.pdf, start date 29/03/2021, no end date. This one is not about disclosure either, but it corroborates a figure this workbook already carries: 29 March 2021 is the date of the share allotment recorded at Companies House on 18 May 2021 ('Statement of capital following an allotment of shares on 29 March 2021, EUR 150,000,000'), i.e. the EUR 50m ordinary share capital issued in FY2021 that replaced the EUR 46,500k subordinated loan. The Article 26(3) permission is the PRA consenting to count that new instrument as CET1, which is why FY2021 is the first year with no Tier 2 and why this workbook's FY2021 CET1 ratio and Total capital ratio are the same number.
  WHAT IS ABSENT, AND WHY THE ABSENCE IS A FACT ABOUT THE REGISTER RATHER THAN ABOUT THE SEARCH. The only instrument that removes a UK Pillar 3 disclosure duty is a modification of Rule 3.1 of the SDDT Regime - General Application Part (the opt-in to the Small Domestic Deposit Taker regime); modifications of Rule 1.2, 2.1(9) or 3.2 change the ELIGIBILITY CRITERIA and remove nothing. The same file holds 90 'SDDT Regime - General Application' rows, 67 of them carrying sub-rule Ru 3.1, and a further 16 rows under 'Public Disclosure (CRR Firms)'. Persia International Bank holds NONE of them. So the register contains exactly the kind of row that would have explained this gap, for 67 other firms, and does not contain one for this Bank.
  NOR HAS THE BANK BEEN DEAUTHORISED, WHICH WAS THE OTHER CANDIDATE EXPLANATION. It appears in the Bank of England's 'List of PRA-regulated Banks as at 01 September 2026' under 'Banks incorporated in the UK authorised to accept deposits' (FRN 208020, LEI 213800HTIY6D1KMBG757) - it has neither surrendered nor had cancelled its Part 4A permission to accept deposits. Companies House shows the company Active on the same date, with accounts to 31 March 2026 due by 31 December 2026. A wind-down would have explained the gap; it did not happen, and saying so is a finding rather than the absence of one.
  WHAT REMAINS UNREACHED, stated separately so it is not mistaken for a negative. The FCA/PRA Financial Services Register's own firm page could not be read this session: its API returns HTTP 403 'Missing Headers' without a registered key, and the web interface is JavaScript-rendered and returns no firm content to a fetch. So the dated HISTORY of variations to this Bank's Part 4A permission has not been inspected - only its current state, which the Bank of England list settles. That is a limit of our reach, not a fact about the Bank.
  THE CONCLUSION THIS SUPPORTS. There is no instrument removing the duty, and no deauthorisation. The FY2022-FY2025 absence is the Bank's own disclosure practice - stated in its own Annual Reports as making the disclosures available on request rather than publishing them - and not a consequence of any exemption, waiver or loss of permission that this project has been able to find. This workbook records what the Bank published and what it did not; it takes no view on whether that practice satisfies the Bank's obligations.
USER-ACTIONABLE: a direct written request to the Bank is the only realistic route to FY2022-FY2025 RWA, leverage and LCR figures - that is what its own Annual Reports invite. Further online searching will not surface them. If someone wants to try the site in a browser, note that it only answers on http://www.persiabank.co.uk/ , not https.</t>
        </is>
      </c>
    </row>
    <row r="15" ht="221" customHeight="1">
      <c r="A15" s="8" t="inlineStr">
        <is>
          <t>(continued)
LINK PROVENANCE (checked 16 September 2026). Two deliberate URL conventions are used for this bank's Pillar 3 sources. Both are easy to 'helpfully' undo, so both are recorded here with the reason.
1) THE FY2021 PILLAR 3 IS CITED OVER PLAIN http://, NOT https://. DO NOT UPGRADE IT. persiabank.co.uk's TLS is broken at the server, not merely misconfigured: the TCP connection to port 443 is accepted and the server then RESETS the connection during the TLS handshake ('Recv failure: Connection reset by peer' at Client hello), so no certificate is ever presented and NO https client can retrieve the file - this is not something a different user-agent, client or retry can get around. Over plain HTTP the same file serves perfectly: HTTP 200, %PDF magic bytes, 1,382,251 bytes, 28 pages. The https:// form that fails is kept in the script as PILLAR3_2021_URL_HTTPS_BROKEN so the record of what was tried is not lost. This TLS failure is also why earlier sessions wrongly recorded the whole domain as dead; it is alive over HTTP.
   INTEGRITY CHECK: the file served live over HTTP is byte-identical to the Internet Archive's capture of it - both MD5 08b8d37ca13c50b214d275062ab119c3 - so the live HTTP copy and the archived copy are the same document, and the figures taken from it are unaffected by which one is read.
   SCOPE: the live site was re-enumerated over HTTP this session and carries exactly ONE Pillar 3 document, 'Pillar 3 2021 v3.pdf'. There is no later edition to switch to.
2) ALL FIVE WAYBACK CITATIONS USE THE id_ MODIFIER, NOT if_ (changed 16 September 2026). id_ is the Internet Archive's identity mode, which returns the originally captured bytes; if_ is iframe mode. Every one of the five was fetched under BOTH modifiers and verified: all returned HTTP 200 with %PDF magic bytes and byte-identical content, MD5 for MD5, so this change repaired nothing and altered no figure - it simply pins the citations to the canonical raw-bytes form. Verified page counts and MD5s, id_ form:
   FY2021 (capture 20260110002617): 28 pages, 1,382,251 bytes, MD5 08b8d37ca13c50b214d275062ab119c3
   FY2020 (capture 20220125010012): 28 pages, 1,109,265 bytes, MD5 1016257632cab1c38991d1bb3dd10606
   FY2018 (capture 20180902131909): 27 pages,   936,437 bytes, MD5 f2ba9c655e0d16e9d22889d93f33b6b7
   FY2016 (capture 20161024202355): 21 pages,   965,006 bytes, MD5 dfcc56241e21d72f059f5e21e9749c88
   FY2015 (capture 20160316221826): 18 pages,   994,951 bytes, MD5 16035cdfe27c311e39daa96e7fde9371
   The FY2015 count of 18 pages confirms the image-only scan already described in this script, and the FY2020 count of 28 pages confirms the v7 capture rather than the 1 MiB-truncated v6 one.
   NOTE ON THE ARCHIVED-SIDE SCHEME: inside each Wayback URL the original address is recorded as http://www.persiabank.co.uk/... That http is part of the archived URL's identity - the key the capture is stored under - and rewriting it to https would address a DIFFERENT key that the Archive may hold no capture for. Leave it as http, on both sides.</t>
        </is>
      </c>
    </row>
  </sheetData>
  <mergeCells count="7">
    <mergeCell ref="A15:L15"/>
    <mergeCell ref="A7:L7"/>
    <mergeCell ref="A11:L11"/>
    <mergeCell ref="A5:L5"/>
    <mergeCell ref="A13:L13"/>
    <mergeCell ref="A6:L6"/>
    <mergeCell ref="A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2026-10-26T09:36:13Z</dcterms:created>
  <dcterms:modified xmlns:dcterms="http://purl.org/dc/terms/" xmlns:xsi="http://www.w3.org/2001/XMLSchema-instance" xsi:type="dcterms:W3CDTF">2026-10-26T09:36:13Z</dcterms:modified>
</cp:coreProperties>
</file>