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sh Flow Statement" sheetId="2" state="visible" r:id="rId2"/>
    <sheet name="CET1 Capital" sheetId="3" state="visible" r:id="rId3"/>
    <sheet name="CET1 Ratio" sheetId="4" state="visible" r:id="rId4"/>
    <sheet name="Tier 1 Capital" sheetId="5" state="visible" r:id="rId5"/>
    <sheet name="Tier 1 Ratio" sheetId="6" state="visible" r:id="rId6"/>
    <sheet name="Total Capital" sheetId="7" state="visible" r:id="rId7"/>
    <sheet name="Total Capital Ratio" sheetId="8" state="visible" r:id="rId8"/>
    <sheet name="Total RWAs" sheetId="9" state="visible" r:id="rId9"/>
    <sheet name="Leverage Ratio" sheetId="10" state="visible" r:id="rId10"/>
    <sheet name="LCR" sheetId="11" state="visible" r:id="rId11"/>
    <sheet name="NSFR" sheetId="12" state="visible" r:id="rId12"/>
    <sheet name="MREL Ratio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3"/>
    </font>
    <font>
      <i val="1"/>
      <color rgb="00666666"/>
      <sz val="9"/>
    </font>
    <font>
      <b val="1"/>
      <color rgb="00FFFFFF"/>
    </font>
    <font>
      <b val="1"/>
    </font>
    <font>
      <i val="1"/>
      <color rgb="00444444"/>
      <sz val="9"/>
    </font>
  </fonts>
  <fills count="3">
    <fill>
      <patternFill/>
    </fill>
    <fill>
      <patternFill patternType="gray125"/>
    </fill>
    <fill>
      <patternFill patternType="solid">
        <fgColor rgb="006B3E75"/>
        <bgColor rgb="006B3E7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1" pivotButton="0" quotePrefix="0" xfId="0"/>
    <xf numFmtId="0" fontId="0" fillId="0" borderId="1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Persia International Bank Plc — Cash Flow Summary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4"/>
          <w val="0.85"/>
          <h val="0.55"/>
        </manualLayout>
      </layout>
      <barChart>
        <barDir val="col"/>
        <grouping val="clustered"/>
        <ser>
          <idx val="0"/>
          <order val="0"/>
          <tx>
            <strRef>
              <f>'Overview'!I6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'Overview'!$J$6:$N$6</f>
            </numRef>
          </val>
        </ser>
        <ser>
          <idx val="1"/>
          <order val="1"/>
          <tx>
            <strRef>
              <f>'Overview'!I7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'Overview'!$J$7:$N$7</f>
            </numRef>
          </val>
        </ser>
        <ser>
          <idx val="2"/>
          <order val="2"/>
          <tx>
            <strRef>
              <f>'Overview'!I8</f>
            </strRef>
          </tx>
          <spPr>
            <a:ln>
              <a:prstDash val="solid"/>
            </a:ln>
          </spPr>
          <cat>
            <numRef>
              <f>'Overview'!$J$5:$N$5</f>
            </numRef>
          </cat>
          <val>
            <numRef>
              <f>'Overview'!$J$8:$N$8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£'000 (conv. from EUR)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84"/>
          <w val="0.96"/>
          <h val="0.16"/>
        </manualLayout>
      </layout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Persia International Bank Plc — Pillar 3 Key Metrics by Year</a:t>
            </a:r>
          </a:p>
        </rich>
      </tx>
    </title>
    <plotArea>
      <layout>
        <manualLayout>
          <layoutTarget val="inner"/>
          <xMode val="edge"/>
          <yMode val="edge"/>
          <wMode val="factor"/>
          <hMode val="factor"/>
          <x val="0.1"/>
          <y val="0.12"/>
          <w val="0.85"/>
          <h val="0.5"/>
        </manualLayout>
      </layout>
      <lineChart>
        <grouping val="standard"/>
        <ser>
          <idx val="0"/>
          <order val="0"/>
          <tx>
            <strRef>
              <f>'Overview'!Q6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'Overview'!$R$6:$V$6</f>
            </numRef>
          </val>
          <smooth val="0"/>
        </ser>
        <ser>
          <idx val="1"/>
          <order val="1"/>
          <tx>
            <strRef>
              <f>'Overview'!Q7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'Overview'!$R$5:$V$5</f>
            </numRef>
          </cat>
          <val>
            <numRef>
              <f>'Overview'!$R$7:$V$7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out"/>
        <minorTickMark val="none"/>
        <tickLblPos val="nextTo"/>
        <crossAx val="10"/>
      </valAx>
    </plotArea>
    <legend>
      <legendPos val="b"/>
      <layout>
        <manualLayout>
          <xMode val="edge"/>
          <yMode val="edge"/>
          <wMode val="factor"/>
          <hMode val="factor"/>
          <x val="0.02"/>
          <y val="0.78"/>
          <w val="0.96"/>
          <h val="0.22"/>
        </manualLayout>
      </layout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864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39</row>
      <rowOff>0</rowOff>
    </from>
    <ext cx="864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>
      <c r="A1" s="1" t="inlineStr">
        <is>
          <t>Persia International Bank Plc — Overview</t>
        </is>
      </c>
    </row>
    <row r="2">
      <c r="A2" s="2" t="inlineStr">
        <is>
          <t>Summary of cash flow and Pillar 3 disclosures across all years covered in this workbook</t>
        </is>
      </c>
    </row>
    <row r="4">
      <c r="A4" s="3" t="inlineStr">
        <is>
          <t>Cash Flow Summary (£'000 (conv. from EUR))</t>
        </is>
      </c>
    </row>
    <row r="5">
      <c r="A5" s="4" t="inlineStr">
        <is>
          <t>Line item</t>
        </is>
      </c>
      <c r="B5" s="4" t="inlineStr">
        <is>
          <t>FY2025</t>
        </is>
      </c>
      <c r="C5" s="4" t="inlineStr">
        <is>
          <t>FY2024</t>
        </is>
      </c>
      <c r="D5" s="4" t="inlineStr">
        <is>
          <t>FY2023</t>
        </is>
      </c>
      <c r="E5" s="4" t="inlineStr">
        <is>
          <t>FY2022</t>
        </is>
      </c>
      <c r="F5" s="4" t="inlineStr">
        <is>
          <t>FY2021</t>
        </is>
      </c>
      <c r="J5" t="inlineStr">
        <is>
          <t>FY2021</t>
        </is>
      </c>
      <c r="K5" t="inlineStr">
        <is>
          <t>FY2022</t>
        </is>
      </c>
      <c r="L5" t="inlineStr">
        <is>
          <t>FY2023</t>
        </is>
      </c>
      <c r="M5" t="inlineStr">
        <is>
          <t>FY2024</t>
        </is>
      </c>
      <c r="N5" t="inlineStr">
        <is>
          <t>FY2025</t>
        </is>
      </c>
      <c r="R5" t="inlineStr">
        <is>
          <t>FY2021</t>
        </is>
      </c>
      <c r="S5" t="inlineStr">
        <is>
          <t>FY2022</t>
        </is>
      </c>
      <c r="T5" t="inlineStr">
        <is>
          <t>FY2023</t>
        </is>
      </c>
      <c r="U5" t="inlineStr">
        <is>
          <t>FY2024</t>
        </is>
      </c>
      <c r="V5" t="inlineStr">
        <is>
          <t>FY2025</t>
        </is>
      </c>
    </row>
    <row r="6">
      <c r="A6" s="5" t="inlineStr">
        <is>
          <t>Net cash flow from operating activities</t>
        </is>
      </c>
      <c r="B6" s="5" t="n">
        <v>2381.4</v>
      </c>
      <c r="C6" s="5" t="n">
        <v>-16472.8</v>
      </c>
      <c r="D6" s="5" t="n">
        <v>6001.2</v>
      </c>
      <c r="E6" s="5" t="n">
        <v>3987.1</v>
      </c>
      <c r="F6" s="5" t="n">
        <v>-412.3</v>
      </c>
      <c r="I6" t="inlineStr">
        <is>
          <t>Net cash flow from operating activities</t>
        </is>
      </c>
      <c r="J6" t="n">
        <v>-412.3</v>
      </c>
      <c r="K6" t="n">
        <v>3987.1</v>
      </c>
      <c r="L6" t="n">
        <v>6001.2</v>
      </c>
      <c r="M6" t="n">
        <v>-16472.8</v>
      </c>
      <c r="N6" t="n">
        <v>2381.4</v>
      </c>
      <c r="Q6" t="inlineStr">
        <is>
          <t>Leverage Ratio</t>
        </is>
      </c>
      <c r="R6" t="n">
        <v>53.32</v>
      </c>
    </row>
    <row r="7">
      <c r="A7" s="5" t="inlineStr">
        <is>
          <t>Net cash flow from investing activities</t>
        </is>
      </c>
      <c r="B7" s="5" t="n">
        <v>-2.4</v>
      </c>
      <c r="C7" s="5" t="n">
        <v>-83.40000000000001</v>
      </c>
      <c r="D7" s="5" t="n">
        <v>-54</v>
      </c>
      <c r="E7" s="5" t="n">
        <v>-51.6</v>
      </c>
      <c r="F7" s="5" t="n">
        <v>0</v>
      </c>
      <c r="I7" t="inlineStr">
        <is>
          <t>Net cash flow from investing activities</t>
        </is>
      </c>
      <c r="J7" t="n">
        <v>0</v>
      </c>
      <c r="K7" t="n">
        <v>-51.6</v>
      </c>
      <c r="L7" t="n">
        <v>-54</v>
      </c>
      <c r="M7" t="n">
        <v>-83.40000000000001</v>
      </c>
      <c r="N7" t="n">
        <v>-2.4</v>
      </c>
      <c r="Q7" t="inlineStr">
        <is>
          <t>LCR</t>
        </is>
      </c>
      <c r="R7" t="n">
        <v>221.13</v>
      </c>
    </row>
    <row r="8">
      <c r="A8" s="5" t="inlineStr">
        <is>
          <t>Cash and cash equivalents at end of year</t>
        </is>
      </c>
      <c r="B8" s="5" t="n">
        <v>92352.10000000001</v>
      </c>
      <c r="C8" s="5" t="n">
        <v>88271.3</v>
      </c>
      <c r="D8" s="5" t="n">
        <v>198144.3</v>
      </c>
      <c r="E8" s="5" t="n">
        <v>201369.9</v>
      </c>
      <c r="F8" s="5" t="n">
        <v>207028.7</v>
      </c>
      <c r="I8" t="inlineStr">
        <is>
          <t>Cash and cash equivalents at end of year</t>
        </is>
      </c>
      <c r="J8" t="n">
        <v>207028.7</v>
      </c>
      <c r="K8" t="n">
        <v>201369.9</v>
      </c>
      <c r="L8" t="n">
        <v>198144.3</v>
      </c>
      <c r="M8" t="n">
        <v>88271.3</v>
      </c>
      <c r="N8" t="n">
        <v>92352.10000000001</v>
      </c>
    </row>
    <row r="10">
      <c r="A10" s="3" t="inlineStr">
        <is>
          <t>Pillar 3 Key Metrics</t>
        </is>
      </c>
    </row>
    <row r="11">
      <c r="A11" s="4" t="inlineStr">
        <is>
          <t>Line item</t>
        </is>
      </c>
      <c r="B11" s="4" t="inlineStr">
        <is>
          <t>FY2025</t>
        </is>
      </c>
      <c r="C11" s="4" t="inlineStr">
        <is>
          <t>FY2024</t>
        </is>
      </c>
      <c r="D11" s="4" t="inlineStr">
        <is>
          <t>FY2023</t>
        </is>
      </c>
      <c r="E11" s="4" t="inlineStr">
        <is>
          <t>FY2022</t>
        </is>
      </c>
      <c r="F11" s="4" t="inlineStr">
        <is>
          <t>FY2021</t>
        </is>
      </c>
    </row>
    <row r="12">
      <c r="A12" s="6" t="inlineStr">
        <is>
          <t>Leverage Ratio</t>
        </is>
      </c>
      <c r="B12" s="6" t="n"/>
      <c r="C12" s="6" t="n"/>
      <c r="D12" s="6" t="n"/>
      <c r="E12" s="6" t="n"/>
      <c r="F12" s="6" t="inlineStr">
        <is>
          <t>53.32%</t>
        </is>
      </c>
    </row>
    <row r="13">
      <c r="A13" s="6" t="inlineStr">
        <is>
          <t>LCR</t>
        </is>
      </c>
      <c r="B13" s="6" t="n"/>
      <c r="C13" s="6" t="n"/>
      <c r="D13" s="6" t="n"/>
      <c r="E13" s="6" t="n"/>
      <c r="F13" s="6" t="inlineStr">
        <is>
          <t>221.13%</t>
        </is>
      </c>
    </row>
    <row r="15" ht="45" customHeight="1">
      <c r="A15" s="7" t="inlineStr">
        <is>
          <t>Note: FY2021 leverage and LCR are the only directly disclosed regulatory liquidity metrics located in the public source set; later years are intentionally blank/not disclosed.</t>
        </is>
      </c>
    </row>
  </sheetData>
  <mergeCells count="1">
    <mergeCell ref="A15:F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Statement of Cash Flows</t>
        </is>
      </c>
    </row>
    <row r="2">
      <c r="A2" s="2" t="inlineStr">
        <is>
          <t>Entity-level basis, £'000 converted from EUR; see source note for sanctions, reporting basis and FX methodology</t>
        </is>
      </c>
    </row>
    <row r="3">
      <c r="A3" s="4" t="inlineStr">
        <is>
          <t>Line item</t>
        </is>
      </c>
      <c r="B3" s="4" t="inlineStr">
        <is>
          <t>FY2025 (£'000, conv. from EUR)</t>
        </is>
      </c>
      <c r="C3" s="4" t="inlineStr">
        <is>
          <t>FY2024 (£'000, conv. from EUR)</t>
        </is>
      </c>
      <c r="D3" s="4" t="inlineStr">
        <is>
          <t>FY2023 (£'000, conv. from EUR)</t>
        </is>
      </c>
      <c r="E3" s="4" t="inlineStr">
        <is>
          <t>FY2022 (£'000, conv. from EUR)</t>
        </is>
      </c>
      <c r="F3" s="4" t="inlineStr">
        <is>
          <t>FY2021 (£'000, conv. from EUR)</t>
        </is>
      </c>
    </row>
    <row r="4">
      <c r="A4" s="5" t="inlineStr">
        <is>
          <t>Operating activities</t>
        </is>
      </c>
      <c r="B4" s="6" t="n"/>
      <c r="C4" s="6" t="n"/>
      <c r="D4" s="6" t="n"/>
      <c r="E4" s="6" t="n"/>
      <c r="F4" s="6" t="n"/>
    </row>
    <row r="5">
      <c r="A5" s="5" t="inlineStr">
        <is>
          <t>Net cash flow from operating activities</t>
        </is>
      </c>
      <c r="B5" s="5" t="n">
        <v>2381.4</v>
      </c>
      <c r="C5" s="5" t="n">
        <v>-16472.8</v>
      </c>
      <c r="D5" s="5" t="n">
        <v>6001.2</v>
      </c>
      <c r="E5" s="5" t="n">
        <v>3987.1</v>
      </c>
      <c r="F5" s="5" t="n">
        <v>-412.3</v>
      </c>
    </row>
    <row r="6">
      <c r="A6" s="5" t="inlineStr">
        <is>
          <t>Investing activities</t>
        </is>
      </c>
      <c r="B6" s="6" t="n"/>
      <c r="C6" s="6" t="n"/>
      <c r="D6" s="6" t="n"/>
      <c r="E6" s="6" t="n"/>
      <c r="F6" s="6" t="n"/>
    </row>
    <row r="7">
      <c r="A7" s="5" t="inlineStr">
        <is>
          <t>Net cash flow from investing activities</t>
        </is>
      </c>
      <c r="B7" s="5" t="n">
        <v>-2.4</v>
      </c>
      <c r="C7" s="5" t="n">
        <v>-83.40000000000001</v>
      </c>
      <c r="D7" s="5" t="n">
        <v>-54</v>
      </c>
      <c r="E7" s="5" t="n">
        <v>-51.6</v>
      </c>
      <c r="F7" s="5" t="n">
        <v>0</v>
      </c>
    </row>
    <row r="8">
      <c r="A8" s="5" t="inlineStr">
        <is>
          <t>Financing activities</t>
        </is>
      </c>
      <c r="B8" s="6" t="n"/>
      <c r="C8" s="6" t="n"/>
      <c r="D8" s="6" t="n"/>
      <c r="E8" s="6" t="n"/>
      <c r="F8" s="6" t="n"/>
    </row>
    <row r="9">
      <c r="A9" s="5" t="inlineStr">
        <is>
          <t>Net cash flow from financing activities</t>
        </is>
      </c>
      <c r="B9" s="5" t="n">
        <v>-270.6</v>
      </c>
      <c r="C9" s="5" t="n">
        <v>-31838.9</v>
      </c>
      <c r="D9" s="5" t="n">
        <v>-1548.4</v>
      </c>
      <c r="E9" s="5" t="n">
        <v>-10775.4</v>
      </c>
      <c r="F9" s="5" t="n">
        <v>-1802.8</v>
      </c>
    </row>
    <row r="10">
      <c r="A10" s="5" t="inlineStr">
        <is>
          <t>Net (decrease) / increase in cash and cash equivalents</t>
        </is>
      </c>
      <c r="B10" s="5" t="n">
        <v>2129.9</v>
      </c>
      <c r="C10" s="5" t="n">
        <v>-48395.1</v>
      </c>
      <c r="D10" s="5" t="n">
        <v>4398.8</v>
      </c>
      <c r="E10" s="5" t="n">
        <v>-6839.9</v>
      </c>
      <c r="F10" s="5" t="n">
        <v>-2215.1</v>
      </c>
    </row>
    <row r="11">
      <c r="A11" s="6" t="inlineStr">
        <is>
          <t>Exchange difference (Bank's own EUR statement line)</t>
        </is>
      </c>
      <c r="B11" s="6" t="n">
        <v>-172.8</v>
      </c>
      <c r="C11" s="6" t="n">
        <v>1169.2</v>
      </c>
      <c r="D11" s="6" t="n">
        <v>-51.6</v>
      </c>
      <c r="E11" s="6" t="n">
        <v>0</v>
      </c>
      <c r="F11" s="6" t="n">
        <v>0</v>
      </c>
    </row>
    <row r="12">
      <c r="A12" s="6" t="inlineStr">
        <is>
          <t>Effect of GBP/EUR translation (this workbook's conversion line)</t>
        </is>
      </c>
      <c r="B12" s="6" t="n">
        <v>2123.7</v>
      </c>
      <c r="C12" s="6" t="n">
        <v>-62647.1</v>
      </c>
      <c r="D12" s="6" t="n">
        <v>-7572.8</v>
      </c>
      <c r="E12" s="6" t="n">
        <v>1181.1</v>
      </c>
      <c r="F12" s="6" t="n"/>
    </row>
    <row r="13">
      <c r="A13" s="6" t="inlineStr">
        <is>
          <t>Cash and cash equivalents at the beginning of the year</t>
        </is>
      </c>
      <c r="B13" s="6" t="n">
        <v>88271.3</v>
      </c>
      <c r="C13" s="6" t="n">
        <v>198144.3</v>
      </c>
      <c r="D13" s="6" t="n">
        <v>201369.9</v>
      </c>
      <c r="E13" s="6" t="n">
        <v>207028.7</v>
      </c>
      <c r="F13" s="6" t="n"/>
    </row>
    <row r="14">
      <c r="A14" s="5" t="inlineStr">
        <is>
          <t>Cash and cash equivalents at the end of the year</t>
        </is>
      </c>
      <c r="B14" s="5" t="n">
        <v>92352.10000000001</v>
      </c>
      <c r="C14" s="5" t="n">
        <v>88271.3</v>
      </c>
      <c r="D14" s="5" t="n">
        <v>198144.3</v>
      </c>
      <c r="E14" s="5" t="n">
        <v>201369.9</v>
      </c>
      <c r="F14" s="5" t="n">
        <v>207028.7</v>
      </c>
    </row>
    <row r="16" ht="330" customHeight="1">
      <c r="A16" s="8" t="inlineStr">
        <is>
          <t>Sources - Persia International Bank Plc's own entity-level Statements of Cash Flows, converted from EUR to GBP using the Bank's disclosed rates (see FX note):
FY2025: Annual Report and Financial Statements for year ended 31 March 2025, p.39 - https://find-and-update.company-information.service.gov.uk/company/04218020/filing-history/MzQ3OTMzNTI0NWFkaXF6a2N4/document?download=0&amp;format=pdf
FY2024: Annual Report and Financial Statements for year ended 31 March 2024, p.32 - https://find-and-update.company-information.service.gov.uk/company/04218020/filing-history/MzQzMzA4NzcwMWFkaXF6a2N4/document?download=0&amp;format=pdf
FY2023: Annual Report and Financial Statements for year ended 31 March 2023, p.31 - https://find-and-update.company-information.service.gov.uk/company/04218020/filing-history/MzM4OTExNTc1NmFkaXF6a2N4/document?download=0&amp;format=pdf
FY2022: Annual Report and Financial Statements for year ended 31 March 2022, p.30 - https://find-and-update.company-information.service.gov.uk/company/04218020/filing-history/MzM1NTU5ODQzNmFkaXF6a2N4/document?download=0&amp;format=pdf
FY2021: FY2022 Annual Report's comparative column, p.30 - https://find-and-update.company-information.service.gov.uk/company/04218020/filing-history/MzM1NTU5ODQzNmFkaXF6a2N4/document?download=0&amp;format=pdf
ENTITY AND REPORTING BASIS: Persia International Bank Plc (company 04218020, FRN 208020) is an active UK PRA/FCA-regulated bank incorporated 16 May 2001, with registered office at 6 Lothbury, London EC2R 7HH. Companies House shows full accounts filed through the year ended 31 March 2025; the Bank is owned 60% by Bank Mellat and 40% by Bank Tejarat. These are the Company's own entity-level financial statements, prepared under UK-adopted IFRS on a going-concern basis, in EUR (the functional and presentation currency). The Bank's reports say that OFAC sanctions re-imposed in November 2018 and continuing difficulty obtaining UK clearing and correspondent-bank relationships restrict normal banking activity; Iranian exposures continue to receive a 150% risk weight because Iran is excluded from the relevant UK/EU equivalence list. The reports nevertheless state that the Bank expects to continue as a going concern. The FY2022 report's auditor highlighted material uncertainty over going concern, while later reports continued on a going-concern basis.
FX METHODOLOGY: the Bank's accounting policies disclose EUR/GBP rates (EUR per GBP). Flow figures are divided by the year's disclosed average rate; balance figures are divided by the year's disclosed year-end rate. The cash-flow sheet includes the Bank's own exchange-difference line and a programmatic GBP translation line where the use of average rates for flows and year-end rates for balances creates a residual. FY2021 opening cash is left blank because the source does not provide a FY2020 year-end rate in the reviewed five-year source set.</t>
        </is>
      </c>
    </row>
  </sheetData>
  <mergeCells count="1">
    <mergeCell ref="A16:F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CET1 Capital</t>
        </is>
      </c>
    </row>
    <row r="2">
      <c r="A2" s="2" t="inlineStr">
        <is>
          <t>£'000 (conv. from EUR)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Common Equity Tier 1 capital / disclosed Tier one base</t>
        </is>
      </c>
      <c r="B4" s="6" t="n">
        <v>132244.3</v>
      </c>
      <c r="C4" s="6" t="n">
        <v>149348.5</v>
      </c>
      <c r="D4" s="6" t="n">
        <v>150637.5</v>
      </c>
      <c r="E4" s="6" t="n">
        <v>155466.7</v>
      </c>
      <c r="F4" s="6" t="n">
        <v>153248.1</v>
      </c>
    </row>
    <row r="5" ht="60" customHeight="1">
      <c r="A5" s="7" t="inlineStr">
        <is>
          <t>Note: Directly disclosed total regulatory capital base / Tier one capital from the annual-report capital-management table. The Bank's table does not separately disclose CET1, Additional Tier 1 or Tier 2 amounts for FY2022-FY2025; the value is therefore repeated as the entity's disclosed Tier one/regulatory capital base, not inferred as a full Basel capital stack. FY2021's Pillar 3 table reports Own Funds of €130.644m and Tier 2 of zero.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CET1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CET1 ratio</t>
        </is>
      </c>
      <c r="B4" s="6" t="n"/>
      <c r="C4" s="6" t="n"/>
      <c r="D4" s="6" t="n"/>
      <c r="E4" s="6" t="n"/>
      <c r="F4" s="6" t="inlineStr">
        <is>
          <t>Not publicly disclosed</t>
        </is>
      </c>
    </row>
    <row r="5" ht="60" customHeight="1">
      <c r="A5" s="7" t="inlineStr">
        <is>
          <t>Note: Not publicly disclosed for this entity/year. The Bank says later Pillar 3 disclosures are available on request; no public 2022-2025 Pillar 3 document was found, and the statutory accounts do not state this metric.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Tier 1 Capital</t>
        </is>
      </c>
    </row>
    <row r="2">
      <c r="A2" s="2" t="inlineStr">
        <is>
          <t>£'000 (conv. from EUR)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one / total regulatory capital base</t>
        </is>
      </c>
      <c r="B4" s="6" t="n">
        <v>132244.3</v>
      </c>
      <c r="C4" s="6" t="n">
        <v>149348.5</v>
      </c>
      <c r="D4" s="6" t="n">
        <v>150637.5</v>
      </c>
      <c r="E4" s="6" t="n">
        <v>155466.7</v>
      </c>
      <c r="F4" s="6" t="n">
        <v>153248.1</v>
      </c>
    </row>
    <row r="5" ht="60" customHeight="1">
      <c r="A5" s="7" t="inlineStr">
        <is>
          <t>Note: Directly disclosed total regulatory capital base / Tier one capital from the annual-report capital-management table. The Bank's table does not separately disclose CET1, Additional Tier 1 or Tier 2 amounts for FY2022-FY2025; the value is therefore repeated as the entity's disclosed Tier one/regulatory capital base, not inferred as a full Basel capital stack. FY2021's Pillar 3 table reports Own Funds of €130.644m and Tier 2 of zero.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Tier 1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Tier 1 ratio</t>
        </is>
      </c>
      <c r="B4" s="6" t="n"/>
      <c r="C4" s="6" t="n"/>
      <c r="D4" s="6" t="n"/>
      <c r="E4" s="6" t="n"/>
      <c r="F4" s="6" t="inlineStr">
        <is>
          <t>Not publicly disclosed</t>
        </is>
      </c>
    </row>
    <row r="5" ht="60" customHeight="1">
      <c r="A5" s="7" t="inlineStr">
        <is>
          <t>Note: Not publicly disclosed for this entity/year. The Bank says later Pillar 3 disclosures are available on request; no public 2022-2025 Pillar 3 document was found, and the statutory accounts do not state this metric.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Total Capital</t>
        </is>
      </c>
    </row>
    <row r="2">
      <c r="A2" s="2" t="inlineStr">
        <is>
          <t>£'000 (conv. from EUR)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regulatory capital base</t>
        </is>
      </c>
      <c r="B4" s="6" t="n">
        <v>132244.3</v>
      </c>
      <c r="C4" s="6" t="n">
        <v>149348.5</v>
      </c>
      <c r="D4" s="6" t="n">
        <v>150637.5</v>
      </c>
      <c r="E4" s="6" t="n">
        <v>155466.7</v>
      </c>
      <c r="F4" s="6" t="n">
        <v>153248.1</v>
      </c>
    </row>
    <row r="5" ht="60" customHeight="1">
      <c r="A5" s="7" t="inlineStr">
        <is>
          <t>Note: Directly disclosed total regulatory capital base / Tier one capital from the annual-report capital-management table. The Bank's table does not separately disclose CET1, Additional Tier 1 or Tier 2 amounts for FY2022-FY2025; the value is therefore repeated as the entity's disclosed Tier one/regulatory capital base, not inferred as a full Basel capital stack. FY2021's Pillar 3 table reports Own Funds of €130.644m and Tier 2 of zero.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Total Capital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Total capital ratio</t>
        </is>
      </c>
      <c r="B4" s="6" t="n"/>
      <c r="C4" s="6" t="n"/>
      <c r="D4" s="6" t="n"/>
      <c r="E4" s="6" t="n"/>
      <c r="F4" s="6" t="inlineStr">
        <is>
          <t>Not publicly disclosed</t>
        </is>
      </c>
    </row>
    <row r="5" ht="60" customHeight="1">
      <c r="A5" s="7" t="inlineStr">
        <is>
          <t>Note: Not publicly disclosed for this entity/year. The Bank says later Pillar 3 disclosures are available on request; no public 2022-2025 Pillar 3 document was found, and the statutory accounts do not state this metric.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Total RWAs</t>
        </is>
      </c>
    </row>
    <row r="2">
      <c r="A2" s="2" t="inlineStr">
        <is>
          <t>£'000 (conv. from EUR)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Pillar 1 risk-weighted assets</t>
        </is>
      </c>
      <c r="B4" s="6" t="n"/>
      <c r="C4" s="6" t="n"/>
      <c r="D4" s="6" t="n"/>
      <c r="E4" s="6" t="n"/>
      <c r="F4" s="6" t="n">
        <v>373987.1</v>
      </c>
    </row>
    <row r="5" ht="60" customHeight="1">
      <c r="A5" s="7" t="inlineStr">
        <is>
          <t>Note: Only FY2021 is directly disclosed: €318.824m in the 2021 Pillar 3 disclosure, p.18. Later years are not publicly disclosed and are not calculated from capital because no corresponding capital ratio is stated.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Leverage Ratio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Leverage ratio</t>
        </is>
      </c>
      <c r="B4" s="6" t="n"/>
      <c r="C4" s="6" t="n"/>
      <c r="D4" s="6" t="n"/>
      <c r="E4" s="6" t="n"/>
      <c r="F4" s="6" t="inlineStr">
        <is>
          <t>53.32%</t>
        </is>
      </c>
    </row>
    <row r="5" ht="60" customHeight="1">
      <c r="A5" s="7" t="inlineStr">
        <is>
          <t>Note: FY2021 only: directly disclosed in the Bank's 2021 Pillar 3 disclosure, p.26. No public later-year value found.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5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LCR</t>
        </is>
      </c>
    </row>
    <row r="2">
      <c r="A2" s="2" t="inlineStr">
        <is>
          <t>%</t>
        </is>
      </c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Liquidity Coverage Ratio (simple average of 12 monthly reports)</t>
        </is>
      </c>
      <c r="B4" s="6" t="n"/>
      <c r="C4" s="6" t="n"/>
      <c r="D4" s="6" t="n"/>
      <c r="E4" s="6" t="n"/>
      <c r="F4" s="6" t="inlineStr">
        <is>
          <t>221.13%</t>
        </is>
      </c>
    </row>
    <row r="5" ht="60" customHeight="1">
      <c r="A5" s="7" t="inlineStr">
        <is>
          <t>Note: FY2021 only: directly disclosed in the Bank's 2021 Pillar 3 disclosure, p.16. No public later-year value found.</t>
        </is>
      </c>
    </row>
    <row r="7" ht="24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NSFR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NSFR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for this entity/year. The Bank says later Pillar 3 disclosures are available on request; no public 2022-2025 Pillar 3 document was found, and the statutory accounts do not state this metric.</t>
        </is>
      </c>
    </row>
    <row r="7" ht="15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Persia International Bank Plc — MREL Ratio</t>
        </is>
      </c>
    </row>
    <row r="2">
      <c r="A2" s="2" t="inlineStr"/>
    </row>
    <row r="3">
      <c r="A3" s="4" t="inlineStr">
        <is>
          <t>Metric</t>
        </is>
      </c>
      <c r="B3" s="4" t="inlineStr">
        <is>
          <t>FY2025</t>
        </is>
      </c>
      <c r="C3" s="4" t="inlineStr">
        <is>
          <t>FY2024</t>
        </is>
      </c>
      <c r="D3" s="4" t="inlineStr">
        <is>
          <t>FY2023</t>
        </is>
      </c>
      <c r="E3" s="4" t="inlineStr">
        <is>
          <t>FY2022</t>
        </is>
      </c>
      <c r="F3" s="4" t="inlineStr">
        <is>
          <t>FY2021</t>
        </is>
      </c>
    </row>
    <row r="4">
      <c r="A4" s="6" t="inlineStr">
        <is>
          <t>MREL Ratio</t>
        </is>
      </c>
      <c r="B4" s="6" t="inlineStr">
        <is>
          <t>Not publicly disclosed</t>
        </is>
      </c>
      <c r="C4" s="6" t="inlineStr">
        <is>
          <t>Not publicly disclosed</t>
        </is>
      </c>
      <c r="D4" s="6" t="inlineStr">
        <is>
          <t>Not publicly disclosed</t>
        </is>
      </c>
      <c r="E4" s="6" t="inlineStr">
        <is>
          <t>Not publicly disclosed</t>
        </is>
      </c>
      <c r="F4" s="6" t="inlineStr">
        <is>
          <t>Not publicly disclosed</t>
        </is>
      </c>
    </row>
    <row r="5" ht="60" customHeight="1">
      <c r="A5" s="7" t="inlineStr">
        <is>
          <t>Note: Not publicly disclosed for this entity/year. The Bank says later Pillar 3 disclosures are available on request; no public 2022-2025 Pillar 3 document was found, and the statutory accounts do not state this metric.</t>
        </is>
      </c>
    </row>
    <row r="7" ht="150" customHeight="1">
      <c r="A7" s="8" t="inlineStr">
        <is>
          <t>Sources - Persia International Bank Plc entity-level capital disclosures:
FY2025/FY2024: Annual Report and Financial Statements 2025, Note 25 (Capital management), p.77 - https://find-and-update.company-information.service.gov.uk/company/04218020/filing-history/MzQ3OTMzNTI0NWFkaXF6a2N4/document?download=0&amp;format=pdf
FY2023/FY2022: Annual Report and Financial Statements 2023, Note 26 (Capital management), p.62 - https://find-and-update.company-information.service.gov.uk/company/04218020/filing-history/MzM4OTExNTc1NmFkaXF6a2N4/document?download=0&amp;format=pdf
FY2021: Annual Report and Financial Statements 2022, Note 26 (Capital management), p.58 - https://find-and-update.company-information.service.gov.uk/company/04218020/filing-history/MzM1NTU5ODQzNmFkaXF6a2N4/document?download=0&amp;format=pdf
FY2021 Pillar 3: Persia International Bank Pillar 3 Disclosure 2021, pp.16-20 and 26 - https://www.persiabank.co.uk/Pillar%203%202021%20v3.pdf
The Bank states in the FY2023-FY2025 annual reports that Pillar 3 disclosures are made separately and can be made available on request; no public 2022-2025 Pillar 3 document was locatable. The 2021 Pillar 3 document is unaudited and provides the only directly disclosed FY2021 RWA, LCR and leverage values used here.</t>
        </is>
      </c>
    </row>
  </sheetData>
  <mergeCells count="2">
    <mergeCell ref="A5:F5"/>
    <mergeCell ref="A7:F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2026-08-28T21:14:57Z</dcterms:created>
  <dcterms:modified xsi:type="dcterms:W3CDTF">2026-08-28T21:14:57Z</dcterms:modified>
</cp:coreProperties>
</file>