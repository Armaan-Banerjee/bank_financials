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B3E75"/>
        <bgColor rgb="006B3E7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ser>
          <idx val="3"/>
          <order val="3"/>
          <tx>
            <strRef>
              <f>'Overview'!AQ22</f>
            </strRef>
          </tx>
          <spPr>
            <a:ln xmlns:a="http://schemas.openxmlformats.org/drawingml/2006/main">
              <a:prstDash val="solid"/>
            </a:ln>
          </spPr>
          <cat>
            <numRef>
              <f>'Overview'!$AR$18:$BB$18</f>
            </numRef>
          </cat>
          <val>
            <numRef>
              <f>'Overview'!$AR$22:$BB$22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'Overview'!BE26</f>
            </strRef>
          </tx>
          <spPr>
            <a:ln xmlns:a="http://schemas.openxmlformats.org/drawingml/2006/main">
              <a:prstDash val="solid"/>
            </a:ln>
          </spPr>
          <cat>
            <numRef>
              <f>'Overview'!$BF$25:$BP$25</f>
            </numRef>
          </cat>
          <val>
            <numRef>
              <f>'Overview'!$BF$26:$BP$26</f>
            </numRef>
          </val>
        </ser>
        <ser>
          <idx val="1"/>
          <order val="1"/>
          <tx>
            <strRef>
              <f>'Overview'!BE27</f>
            </strRef>
          </tx>
          <spPr>
            <a:ln xmlns:a="http://schemas.openxmlformats.org/drawingml/2006/main">
              <a:prstDash val="solid"/>
            </a:ln>
          </spPr>
          <cat>
            <numRef>
              <f>'Overview'!$BF$25:$BP$25</f>
            </numRef>
          </cat>
          <val>
            <numRef>
              <f>'Overview'!$BF$27:$BP$27</f>
            </numRef>
          </val>
        </ser>
        <ser>
          <idx val="2"/>
          <order val="2"/>
          <tx>
            <strRef>
              <f>'Overview'!BE28</f>
            </strRef>
          </tx>
          <spPr>
            <a:ln xmlns:a="http://schemas.openxmlformats.org/drawingml/2006/main">
              <a:prstDash val="solid"/>
            </a:ln>
          </spPr>
          <cat>
            <numRef>
              <f>'Overview'!$BF$25:$BP$25</f>
            </numRef>
          </cat>
          <val>
            <numRef>
              <f>'Overview'!$BF$28:$BP$28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Persia International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'Overview'!$BT$6:$CD$6</f>
            </numRef>
          </val>
          <smooth val="0"/>
        </ser>
        <ser>
          <idx val="1"/>
          <order val="1"/>
          <tx>
            <strRef>
              <f>'Overview'!BS7</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'Overview'!$BT$7:$CD$7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125</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D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s>
  <sheetData>
    <row r="1">
      <c r="A1" s="1" t="inlineStr">
        <is>
          <t>Persia International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 (conv. from EUR))</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T5" t="inlineStr">
        <is>
          <t>FY2015</t>
        </is>
      </c>
      <c r="BU5" t="inlineStr">
        <is>
          <t>FY2016</t>
        </is>
      </c>
      <c r="BV5" t="inlineStr">
        <is>
          <t>FY2017</t>
        </is>
      </c>
      <c r="BW5" t="inlineStr">
        <is>
          <t>FY2018</t>
        </is>
      </c>
      <c r="BX5" t="inlineStr">
        <is>
          <t>FY2019</t>
        </is>
      </c>
      <c r="BY5" t="inlineStr">
        <is>
          <t>FY2020</t>
        </is>
      </c>
      <c r="BZ5" t="inlineStr">
        <is>
          <t>FY2021</t>
        </is>
      </c>
      <c r="CA5" t="inlineStr">
        <is>
          <t>FY2022</t>
        </is>
      </c>
      <c r="CB5" t="inlineStr">
        <is>
          <t>FY2023</t>
        </is>
      </c>
      <c r="CC5" t="inlineStr">
        <is>
          <t>FY2024</t>
        </is>
      </c>
      <c r="CD5" t="inlineStr">
        <is>
          <t>FY2025</t>
        </is>
      </c>
    </row>
    <row r="6">
      <c r="A6" s="5" t="inlineStr">
        <is>
          <t>Total assets</t>
        </is>
      </c>
      <c r="B6" s="5" t="n">
        <v>186378.4</v>
      </c>
      <c r="C6" s="5" t="n">
        <v>208526.3</v>
      </c>
      <c r="D6" s="5" t="n">
        <v>237279.5</v>
      </c>
      <c r="E6" s="5" t="n">
        <v>247655.5</v>
      </c>
      <c r="F6" s="5" t="n">
        <v>256276.8</v>
      </c>
      <c r="G6" s="5" t="n">
        <v>247184.3</v>
      </c>
      <c r="H6" s="5" t="n">
        <v>193870.9</v>
      </c>
      <c r="I6" s="5" t="n">
        <v>210649.1</v>
      </c>
      <c r="J6" s="5" t="n">
        <v>230604.1</v>
      </c>
      <c r="K6" s="5" t="n">
        <v>222384</v>
      </c>
      <c r="L6" s="5" t="n">
        <v>225013</v>
      </c>
      <c r="O6" t="inlineStr">
        <is>
          <t>Total assets</t>
        </is>
      </c>
      <c r="P6" t="n">
        <v>225013</v>
      </c>
      <c r="Q6" t="n">
        <v>222384</v>
      </c>
      <c r="R6" t="n">
        <v>230604.1</v>
      </c>
      <c r="S6" t="n">
        <v>210649.1</v>
      </c>
      <c r="T6" t="n">
        <v>193870.9</v>
      </c>
      <c r="U6" t="n">
        <v>247184.3</v>
      </c>
      <c r="V6" t="n">
        <v>256276.8</v>
      </c>
      <c r="W6" t="n">
        <v>247655.5</v>
      </c>
      <c r="X6" t="n">
        <v>237279.5</v>
      </c>
      <c r="Y6" t="n">
        <v>208526.3</v>
      </c>
      <c r="Z6" t="n">
        <v>186378.4</v>
      </c>
      <c r="BS6" t="inlineStr">
        <is>
          <t>Leverage Ratio</t>
        </is>
      </c>
      <c r="BU6" t="n">
        <v>49.99</v>
      </c>
      <c r="BW6" t="n">
        <v>49.27</v>
      </c>
      <c r="BY6" t="n">
        <v>33.77</v>
      </c>
      <c r="BZ6" t="n">
        <v>53.32</v>
      </c>
    </row>
    <row r="7">
      <c r="A7" s="5" t="inlineStr">
        <is>
          <t>Loans and advances to customers</t>
        </is>
      </c>
      <c r="B7" s="5" t="n">
        <v>32548.5</v>
      </c>
      <c r="C7" s="5" t="n">
        <v>57822.2</v>
      </c>
      <c r="D7" s="5" t="n">
        <v>28014.8</v>
      </c>
      <c r="E7" s="5" t="n">
        <v>38178.2</v>
      </c>
      <c r="F7" s="5" t="n">
        <v>42554.8</v>
      </c>
      <c r="G7" s="5" t="n">
        <v>38613.5</v>
      </c>
      <c r="H7" s="5" t="n">
        <v>16108.1</v>
      </c>
      <c r="I7" s="5" t="n">
        <v>17728</v>
      </c>
      <c r="J7" s="5" t="n">
        <v>33021.6</v>
      </c>
      <c r="K7" s="5" t="n">
        <v>44775</v>
      </c>
      <c r="L7" s="5" t="n">
        <v>50022</v>
      </c>
      <c r="O7" t="inlineStr">
        <is>
          <t>Loans and advances to customers</t>
        </is>
      </c>
      <c r="P7" t="n">
        <v>50022</v>
      </c>
      <c r="Q7" t="n">
        <v>44775</v>
      </c>
      <c r="R7" t="n">
        <v>33021.6</v>
      </c>
      <c r="S7" t="n">
        <v>17728</v>
      </c>
      <c r="T7" t="n">
        <v>16108.1</v>
      </c>
      <c r="U7" t="n">
        <v>38613.5</v>
      </c>
      <c r="V7" t="n">
        <v>42554.8</v>
      </c>
      <c r="W7" t="n">
        <v>38178.2</v>
      </c>
      <c r="X7" t="n">
        <v>28014.8</v>
      </c>
      <c r="Y7" t="n">
        <v>57822.2</v>
      </c>
      <c r="Z7" t="n">
        <v>32548.5</v>
      </c>
      <c r="BS7" t="inlineStr">
        <is>
          <t>LCR</t>
        </is>
      </c>
      <c r="BW7" t="n">
        <v>539.22</v>
      </c>
      <c r="BY7" t="n">
        <v>181.69</v>
      </c>
      <c r="BZ7" t="n">
        <v>221.13</v>
      </c>
    </row>
    <row r="8">
      <c r="A8" s="5" t="inlineStr">
        <is>
          <t>Deposits from customers</t>
        </is>
      </c>
      <c r="B8" s="5" t="n">
        <v>5505.4</v>
      </c>
      <c r="C8" s="5" t="n">
        <v>6553.2</v>
      </c>
      <c r="D8" s="5" t="n">
        <v>6372.7</v>
      </c>
      <c r="E8" s="5" t="n">
        <v>7449</v>
      </c>
      <c r="F8" s="5" t="n">
        <v>7354.8</v>
      </c>
      <c r="G8" s="5" t="n">
        <v>7077.5</v>
      </c>
      <c r="H8" s="5" t="n">
        <v>7755.8</v>
      </c>
      <c r="I8" s="5" t="n">
        <v>3291.4</v>
      </c>
      <c r="J8" s="5" t="n">
        <v>1788.9</v>
      </c>
      <c r="K8" s="5" t="n">
        <v>2687</v>
      </c>
      <c r="L8" s="5" t="n">
        <v>2732</v>
      </c>
      <c r="O8" t="inlineStr">
        <is>
          <t>Deposits from customers</t>
        </is>
      </c>
      <c r="P8" t="n">
        <v>2732</v>
      </c>
      <c r="Q8" t="n">
        <v>2687</v>
      </c>
      <c r="R8" t="n">
        <v>1788.9</v>
      </c>
      <c r="S8" t="n">
        <v>3291.4</v>
      </c>
      <c r="T8" t="n">
        <v>7755.8</v>
      </c>
      <c r="U8" t="n">
        <v>7077.5</v>
      </c>
      <c r="V8" t="n">
        <v>7354.8</v>
      </c>
      <c r="W8" t="n">
        <v>7449</v>
      </c>
      <c r="X8" t="n">
        <v>6372.7</v>
      </c>
      <c r="Y8" t="n">
        <v>6553.2</v>
      </c>
      <c r="Z8" t="n">
        <v>5505.4</v>
      </c>
    </row>
    <row r="9">
      <c r="A9" s="5" t="inlineStr">
        <is>
          <t>Total shareholders' equity</t>
        </is>
      </c>
      <c r="B9" s="5" t="n">
        <v>132244.3</v>
      </c>
      <c r="C9" s="5" t="n">
        <v>149348.5</v>
      </c>
      <c r="D9" s="5" t="n">
        <v>150637.5</v>
      </c>
      <c r="E9" s="5" t="n">
        <v>155466.7</v>
      </c>
      <c r="F9" s="5" t="n">
        <v>153248.1</v>
      </c>
      <c r="G9" s="5" t="n">
        <v>91214.60000000001</v>
      </c>
      <c r="H9" s="5" t="n">
        <v>101859.3</v>
      </c>
      <c r="I9" s="5" t="n">
        <v>112345.1</v>
      </c>
      <c r="J9" s="5" t="n">
        <v>121109</v>
      </c>
      <c r="K9" s="5" t="n">
        <v>105499</v>
      </c>
      <c r="L9" s="5" t="n">
        <v>105997</v>
      </c>
      <c r="O9" t="inlineStr">
        <is>
          <t>Total shareholders' equity</t>
        </is>
      </c>
      <c r="P9" t="n">
        <v>105997</v>
      </c>
      <c r="Q9" t="n">
        <v>105499</v>
      </c>
      <c r="R9" t="n">
        <v>121109</v>
      </c>
      <c r="S9" t="n">
        <v>112345.1</v>
      </c>
      <c r="T9" t="n">
        <v>101859.3</v>
      </c>
      <c r="U9" t="n">
        <v>91214.60000000001</v>
      </c>
      <c r="V9" t="n">
        <v>153248.1</v>
      </c>
      <c r="W9" t="n">
        <v>155466.7</v>
      </c>
      <c r="X9" t="n">
        <v>150637.5</v>
      </c>
      <c r="Y9" t="n">
        <v>149348.5</v>
      </c>
      <c r="Z9" t="n">
        <v>132244.3</v>
      </c>
    </row>
    <row r="11">
      <c r="A11" s="3" t="inlineStr">
        <is>
          <t>Profit &amp; Loss Summary (£'000 (conv. from EUR))</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AD12" t="inlineStr">
        <is>
          <t>FY2015</t>
        </is>
      </c>
      <c r="AE12" t="inlineStr">
        <is>
          <t>FY2016</t>
        </is>
      </c>
      <c r="AF12" t="inlineStr">
        <is>
          <t>FY2017</t>
        </is>
      </c>
      <c r="AG12" t="inlineStr">
        <is>
          <t>FY2018</t>
        </is>
      </c>
      <c r="AH12" t="inlineStr">
        <is>
          <t>FY2019</t>
        </is>
      </c>
      <c r="AI12" t="inlineStr">
        <is>
          <t>FY2020</t>
        </is>
      </c>
      <c r="AJ12" t="inlineStr">
        <is>
          <t>FY2021</t>
        </is>
      </c>
      <c r="AK12" t="inlineStr">
        <is>
          <t>FY2022</t>
        </is>
      </c>
      <c r="AL12" t="inlineStr">
        <is>
          <t>FY2023</t>
        </is>
      </c>
      <c r="AM12" t="inlineStr">
        <is>
          <t>FY2024</t>
        </is>
      </c>
      <c r="AN12" t="inlineStr">
        <is>
          <t>FY2025</t>
        </is>
      </c>
    </row>
    <row r="13">
      <c r="A13" s="5" t="inlineStr">
        <is>
          <t>Net Interest Income</t>
        </is>
      </c>
      <c r="B13" s="5" t="n">
        <v>7970.2</v>
      </c>
      <c r="C13" s="5" t="n">
        <v>8798.4</v>
      </c>
      <c r="D13" s="5" t="n">
        <v>7705.6</v>
      </c>
      <c r="E13" s="5" t="n">
        <v>3739.6</v>
      </c>
      <c r="F13" s="5" t="n">
        <v>4104.2</v>
      </c>
      <c r="G13" s="5" t="n">
        <v>2302.3</v>
      </c>
      <c r="H13" s="5" t="n">
        <v>1713.7</v>
      </c>
      <c r="I13" s="5" t="n">
        <v>3014.6</v>
      </c>
      <c r="J13" s="5" t="n">
        <v>5014.3</v>
      </c>
      <c r="K13" s="5" t="n">
        <v>7435.7</v>
      </c>
      <c r="L13" s="5" t="n">
        <v>6520</v>
      </c>
      <c r="AC13" t="inlineStr">
        <is>
          <t>Net Interest Income</t>
        </is>
      </c>
      <c r="AD13" t="n">
        <v>6520</v>
      </c>
      <c r="AE13" t="n">
        <v>7435.7</v>
      </c>
      <c r="AF13" t="n">
        <v>5014.3</v>
      </c>
      <c r="AG13" t="n">
        <v>3014.6</v>
      </c>
      <c r="AH13" t="n">
        <v>1713.7</v>
      </c>
      <c r="AI13" t="n">
        <v>2302.3</v>
      </c>
      <c r="AJ13" t="n">
        <v>4104.2</v>
      </c>
      <c r="AK13" t="n">
        <v>3739.6</v>
      </c>
      <c r="AL13" t="n">
        <v>7705.6</v>
      </c>
      <c r="AM13" t="n">
        <v>8798.4</v>
      </c>
      <c r="AN13" t="n">
        <v>7970.2</v>
      </c>
    </row>
    <row r="14">
      <c r="A14" s="5" t="inlineStr">
        <is>
          <t>Total operating expenses</t>
        </is>
      </c>
      <c r="B14" s="5" t="n">
        <v>-8323</v>
      </c>
      <c r="C14" s="5" t="n">
        <v>-8453.1</v>
      </c>
      <c r="D14" s="5" t="n">
        <v>-6349.6</v>
      </c>
      <c r="E14" s="5" t="n">
        <v>-4432.8</v>
      </c>
      <c r="F14" s="5" t="n">
        <v>-5830.8</v>
      </c>
      <c r="G14" s="5" t="n"/>
      <c r="H14" s="5" t="n"/>
      <c r="I14" s="5" t="n"/>
      <c r="J14" s="5" t="n"/>
      <c r="K14" s="5" t="n"/>
      <c r="L14" s="5" t="n"/>
      <c r="AC14" t="inlineStr">
        <is>
          <t>Total operating expenses</t>
        </is>
      </c>
      <c r="AJ14" t="n">
        <v>-5830.8</v>
      </c>
      <c r="AK14" t="n">
        <v>-4432.8</v>
      </c>
      <c r="AL14" t="n">
        <v>-6349.6</v>
      </c>
      <c r="AM14" t="n">
        <v>-8453.1</v>
      </c>
      <c r="AN14" t="n">
        <v>-8323</v>
      </c>
    </row>
    <row r="15">
      <c r="A15" s="5" t="inlineStr">
        <is>
          <t>Profit/(loss) for the year attributable to equity holders</t>
        </is>
      </c>
      <c r="B15" s="5" t="n">
        <v>-20582.8</v>
      </c>
      <c r="C15" s="5" t="n">
        <v>-4511</v>
      </c>
      <c r="D15" s="5" t="n">
        <v>941.9</v>
      </c>
      <c r="E15" s="5" t="n">
        <v>1306.7</v>
      </c>
      <c r="F15" s="5" t="n">
        <v>-601.7</v>
      </c>
      <c r="G15" s="5" t="n">
        <v>-7250.3</v>
      </c>
      <c r="H15" s="5" t="n">
        <v>-6617.9</v>
      </c>
      <c r="I15" s="5" t="n">
        <v>-6286.4</v>
      </c>
      <c r="J15" s="5" t="n">
        <v>-1961.9</v>
      </c>
      <c r="K15" s="5" t="n">
        <v>-673.9</v>
      </c>
      <c r="L15" s="5" t="n">
        <v>662.5</v>
      </c>
      <c r="AC15" t="inlineStr">
        <is>
          <t>Profit/(loss) for the year attributable to equity holders</t>
        </is>
      </c>
      <c r="AD15" t="n">
        <v>662.5</v>
      </c>
      <c r="AE15" t="n">
        <v>-673.9</v>
      </c>
      <c r="AF15" t="n">
        <v>-1961.9</v>
      </c>
      <c r="AG15" t="n">
        <v>-6286.4</v>
      </c>
      <c r="AH15" t="n">
        <v>-6617.9</v>
      </c>
      <c r="AI15" t="n">
        <v>-7250.3</v>
      </c>
      <c r="AJ15" t="n">
        <v>-601.7</v>
      </c>
      <c r="AK15" t="n">
        <v>1306.7</v>
      </c>
      <c r="AL15" t="n">
        <v>941.9</v>
      </c>
      <c r="AM15" t="n">
        <v>-4511</v>
      </c>
      <c r="AN15" t="n">
        <v>-20582.8</v>
      </c>
    </row>
    <row r="17">
      <c r="A17" s="3" t="inlineStr">
        <is>
          <t>Statement of Changes in Equity Summary (£'000 (conv. from EUR))</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AR18" t="inlineStr">
        <is>
          <t>FY2015</t>
        </is>
      </c>
      <c r="AS18" t="inlineStr">
        <is>
          <t>FY2016</t>
        </is>
      </c>
      <c r="AT18" t="inlineStr">
        <is>
          <t>FY2017</t>
        </is>
      </c>
      <c r="AU18" t="inlineStr">
        <is>
          <t>FY2018</t>
        </is>
      </c>
      <c r="AV18" t="inlineStr">
        <is>
          <t>FY2019</t>
        </is>
      </c>
      <c r="AW18" t="inlineStr">
        <is>
          <t>FY2020</t>
        </is>
      </c>
      <c r="AX18" t="inlineStr">
        <is>
          <t>FY2021</t>
        </is>
      </c>
      <c r="AY18" t="inlineStr">
        <is>
          <t>FY2022</t>
        </is>
      </c>
      <c r="AZ18" t="inlineStr">
        <is>
          <t>FY2023</t>
        </is>
      </c>
      <c r="BA18" t="inlineStr">
        <is>
          <t>FY2024</t>
        </is>
      </c>
      <c r="BB18" t="inlineStr">
        <is>
          <t>FY2025</t>
        </is>
      </c>
    </row>
    <row r="19">
      <c r="A19" s="5" t="inlineStr">
        <is>
          <t>Opening equity</t>
        </is>
      </c>
      <c r="B19" s="5" t="n">
        <v>149348.5</v>
      </c>
      <c r="C19" s="5" t="n">
        <v>150637.5</v>
      </c>
      <c r="D19" s="5" t="n">
        <v>155466.7</v>
      </c>
      <c r="E19" s="5" t="n">
        <v>153248.1</v>
      </c>
      <c r="F19" s="5" t="n"/>
      <c r="G19" s="5" t="n">
        <v>101859.3</v>
      </c>
      <c r="H19" s="5" t="n">
        <v>112345.1</v>
      </c>
      <c r="I19" s="5" t="n">
        <v>121109</v>
      </c>
      <c r="J19" s="5" t="n">
        <v>105499</v>
      </c>
      <c r="K19" s="5" t="n">
        <v>105997</v>
      </c>
      <c r="L19" s="5" t="n">
        <v>105479</v>
      </c>
      <c r="AQ19" t="inlineStr">
        <is>
          <t>Opening equity</t>
        </is>
      </c>
      <c r="AR19" t="n">
        <v>105479</v>
      </c>
      <c r="AS19" t="n">
        <v>105997</v>
      </c>
      <c r="AT19" t="n">
        <v>105499</v>
      </c>
      <c r="AU19" t="n">
        <v>121109</v>
      </c>
      <c r="AV19" t="n">
        <v>112345.1</v>
      </c>
      <c r="AW19" t="n">
        <v>101859.3</v>
      </c>
      <c r="AY19" t="n">
        <v>153248.1</v>
      </c>
      <c r="AZ19" t="n">
        <v>155466.7</v>
      </c>
      <c r="BA19" t="n">
        <v>150637.5</v>
      </c>
      <c r="BB19" t="n">
        <v>149348.5</v>
      </c>
    </row>
    <row r="20">
      <c r="A20" s="5" t="inlineStr">
        <is>
          <t>Total comprehensive income/(expense) for the year</t>
        </is>
      </c>
      <c r="B20" s="5" t="n">
        <v>-20582.8</v>
      </c>
      <c r="C20" s="5" t="n">
        <v>-4511</v>
      </c>
      <c r="D20" s="5" t="n">
        <v>941.9</v>
      </c>
      <c r="E20" s="5" t="n">
        <v>1306.7</v>
      </c>
      <c r="F20" s="5" t="n">
        <v>-601.7</v>
      </c>
      <c r="G20" s="5" t="n">
        <v>-7250.3</v>
      </c>
      <c r="H20" s="5" t="n">
        <v>-6617.9</v>
      </c>
      <c r="I20" s="5" t="n">
        <v>-6286.4</v>
      </c>
      <c r="J20" s="5" t="n">
        <v>-1961.9</v>
      </c>
      <c r="K20" s="5" t="n">
        <v>-673.9</v>
      </c>
      <c r="L20" s="5" t="n">
        <v>662.5</v>
      </c>
      <c r="AQ20" t="inlineStr">
        <is>
          <t>Total comprehensive income/(expense) for the year</t>
        </is>
      </c>
      <c r="AR20" t="n">
        <v>662.5</v>
      </c>
      <c r="AS20" t="n">
        <v>-673.9</v>
      </c>
      <c r="AT20" t="n">
        <v>-1961.9</v>
      </c>
      <c r="AU20" t="n">
        <v>-6286.4</v>
      </c>
      <c r="AV20" t="n">
        <v>-6617.9</v>
      </c>
      <c r="AW20" t="n">
        <v>-7250.3</v>
      </c>
      <c r="AX20" t="n">
        <v>-601.7</v>
      </c>
      <c r="AY20" t="n">
        <v>1306.7</v>
      </c>
      <c r="AZ20" t="n">
        <v>941.9</v>
      </c>
      <c r="BA20" t="n">
        <v>-4511</v>
      </c>
      <c r="BB20" t="n">
        <v>-20582.8</v>
      </c>
    </row>
    <row r="21">
      <c r="A21" s="5" t="inlineStr">
        <is>
          <t>Other equity movements, net (FY2021: share capital issuance; FY2024: prior period restatement per Note 33)</t>
        </is>
      </c>
      <c r="B21" s="5" t="n">
        <v>0</v>
      </c>
      <c r="C21" s="5" t="n">
        <v>-1108</v>
      </c>
      <c r="D21" s="5" t="n">
        <v>0</v>
      </c>
      <c r="E21" s="5" t="n">
        <v>0</v>
      </c>
      <c r="F21" s="5" t="n">
        <v>56022.4</v>
      </c>
      <c r="G21" s="5" t="n">
        <v>0</v>
      </c>
      <c r="H21" s="5" t="n">
        <v>0</v>
      </c>
      <c r="I21" s="5" t="n">
        <v>0</v>
      </c>
      <c r="J21" s="5" t="n">
        <v>0</v>
      </c>
      <c r="K21" s="5" t="n">
        <v>0</v>
      </c>
      <c r="L21" s="5" t="n">
        <v>0</v>
      </c>
      <c r="AQ21" t="inlineStr">
        <is>
          <t>Other equity movements, net (FY2021: share capital issuance; FY2024: prior period restatement per Note 33)</t>
        </is>
      </c>
      <c r="AR21" t="n">
        <v>0</v>
      </c>
      <c r="AS21" t="n">
        <v>0</v>
      </c>
      <c r="AT21" t="n">
        <v>0</v>
      </c>
      <c r="AU21" t="n">
        <v>0</v>
      </c>
      <c r="AV21" t="n">
        <v>0</v>
      </c>
      <c r="AW21" t="n">
        <v>0</v>
      </c>
      <c r="AX21" t="n">
        <v>56022.4</v>
      </c>
      <c r="AY21" t="n">
        <v>0</v>
      </c>
      <c r="AZ21" t="n">
        <v>0</v>
      </c>
      <c r="BA21" t="n">
        <v>-1108</v>
      </c>
      <c r="BB21" t="n">
        <v>0</v>
      </c>
    </row>
    <row r="22">
      <c r="A22" s="5" t="inlineStr">
        <is>
          <t>Closing equity</t>
        </is>
      </c>
      <c r="B22" s="5" t="n">
        <v>132244.3</v>
      </c>
      <c r="C22" s="5" t="n">
        <v>149348.5</v>
      </c>
      <c r="D22" s="5" t="n">
        <v>150637.5</v>
      </c>
      <c r="E22" s="5" t="n">
        <v>155466.7</v>
      </c>
      <c r="F22" s="5" t="n">
        <v>153248.1</v>
      </c>
      <c r="G22" s="5" t="n">
        <v>91214.60000000001</v>
      </c>
      <c r="H22" s="5" t="n">
        <v>101859.3</v>
      </c>
      <c r="I22" s="5" t="n">
        <v>112345.1</v>
      </c>
      <c r="J22" s="5" t="n">
        <v>121109</v>
      </c>
      <c r="K22" s="5" t="n">
        <v>105499</v>
      </c>
      <c r="L22" s="5" t="n">
        <v>105997</v>
      </c>
      <c r="AQ22" t="inlineStr">
        <is>
          <t>Closing equity</t>
        </is>
      </c>
      <c r="AR22" t="n">
        <v>105997</v>
      </c>
      <c r="AS22" t="n">
        <v>105499</v>
      </c>
      <c r="AT22" t="n">
        <v>121109</v>
      </c>
      <c r="AU22" t="n">
        <v>112345.1</v>
      </c>
      <c r="AV22" t="n">
        <v>101859.3</v>
      </c>
      <c r="AW22" t="n">
        <v>91214.60000000001</v>
      </c>
      <c r="AX22" t="n">
        <v>153248.1</v>
      </c>
      <c r="AY22" t="n">
        <v>155466.7</v>
      </c>
      <c r="AZ22" t="n">
        <v>150637.5</v>
      </c>
      <c r="BA22" t="n">
        <v>149348.5</v>
      </c>
      <c r="BB22" t="n">
        <v>132244.3</v>
      </c>
    </row>
    <row r="24">
      <c r="A24" s="3" t="inlineStr">
        <is>
          <t>Cash Flow Summary (£'000 (conv. from EUR))</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BF25" t="inlineStr">
        <is>
          <t>FY2015</t>
        </is>
      </c>
      <c r="BG25" t="inlineStr">
        <is>
          <t>FY2016</t>
        </is>
      </c>
      <c r="BH25" t="inlineStr">
        <is>
          <t>FY2017</t>
        </is>
      </c>
      <c r="BI25" t="inlineStr">
        <is>
          <t>FY2018</t>
        </is>
      </c>
      <c r="BJ25" t="inlineStr">
        <is>
          <t>FY2019</t>
        </is>
      </c>
      <c r="BK25" t="inlineStr">
        <is>
          <t>FY2020</t>
        </is>
      </c>
      <c r="BL25" t="inlineStr">
        <is>
          <t>FY2021</t>
        </is>
      </c>
      <c r="BM25" t="inlineStr">
        <is>
          <t>FY2022</t>
        </is>
      </c>
      <c r="BN25" t="inlineStr">
        <is>
          <t>FY2023</t>
        </is>
      </c>
      <c r="BO25" t="inlineStr">
        <is>
          <t>FY2024</t>
        </is>
      </c>
      <c r="BP25" t="inlineStr">
        <is>
          <t>FY2025</t>
        </is>
      </c>
    </row>
    <row r="26">
      <c r="A26" s="5" t="inlineStr">
        <is>
          <t>Net cash flow from operating activities</t>
        </is>
      </c>
      <c r="B26" s="5" t="n">
        <v>2381.4</v>
      </c>
      <c r="C26" s="5" t="n">
        <v>-16472.8</v>
      </c>
      <c r="D26" s="5" t="n">
        <v>6001.2</v>
      </c>
      <c r="E26" s="5" t="n">
        <v>3987.1</v>
      </c>
      <c r="F26" s="5" t="n">
        <v>-412.3</v>
      </c>
      <c r="G26" s="5" t="n">
        <v>-30729.8</v>
      </c>
      <c r="H26" s="5" t="n">
        <v>-4227.6</v>
      </c>
      <c r="I26" s="5" t="n">
        <v>8699.4</v>
      </c>
      <c r="J26" s="5" t="n">
        <v>-4234.5</v>
      </c>
      <c r="K26" s="5" t="n">
        <v>14542.6</v>
      </c>
      <c r="L26" s="5" t="n">
        <v>18649.4</v>
      </c>
      <c r="BE26" t="inlineStr">
        <is>
          <t>Net cash flow from operating activities</t>
        </is>
      </c>
      <c r="BF26" t="n">
        <v>18649.4</v>
      </c>
      <c r="BG26" t="n">
        <v>14542.6</v>
      </c>
      <c r="BH26" t="n">
        <v>-4234.5</v>
      </c>
      <c r="BI26" t="n">
        <v>8699.4</v>
      </c>
      <c r="BJ26" t="n">
        <v>-4227.6</v>
      </c>
      <c r="BK26" t="n">
        <v>-30729.8</v>
      </c>
      <c r="BL26" t="n">
        <v>-412.3</v>
      </c>
      <c r="BM26" t="n">
        <v>3987.1</v>
      </c>
      <c r="BN26" t="n">
        <v>6001.2</v>
      </c>
      <c r="BO26" t="n">
        <v>-16472.8</v>
      </c>
      <c r="BP26" t="n">
        <v>2381.4</v>
      </c>
    </row>
    <row r="27">
      <c r="A27" s="5" t="inlineStr">
        <is>
          <t>Net cash flow from investing activities</t>
        </is>
      </c>
      <c r="B27" s="5" t="n">
        <v>-2.4</v>
      </c>
      <c r="C27" s="5" t="n">
        <v>-83.40000000000001</v>
      </c>
      <c r="D27" s="5" t="n">
        <v>-54</v>
      </c>
      <c r="E27" s="5" t="n">
        <v>-51.6</v>
      </c>
      <c r="F27" s="5" t="n">
        <v>0</v>
      </c>
      <c r="G27" s="5" t="n">
        <v>0</v>
      </c>
      <c r="H27" s="5" t="n">
        <v>-71.40000000000001</v>
      </c>
      <c r="I27" s="5" t="n">
        <v>-1018.5</v>
      </c>
      <c r="J27" s="5" t="n">
        <v>-452.4</v>
      </c>
      <c r="K27" s="5" t="n">
        <v>-119.1</v>
      </c>
      <c r="L27" s="5" t="n">
        <v>-212.3</v>
      </c>
      <c r="BE27" t="inlineStr">
        <is>
          <t>Net cash flow from investing activities</t>
        </is>
      </c>
      <c r="BF27" t="n">
        <v>-212.3</v>
      </c>
      <c r="BG27" t="n">
        <v>-119.1</v>
      </c>
      <c r="BH27" t="n">
        <v>-452.4</v>
      </c>
      <c r="BI27" t="n">
        <v>-1018.5</v>
      </c>
      <c r="BJ27" t="n">
        <v>-71.40000000000001</v>
      </c>
      <c r="BK27" t="n">
        <v>0</v>
      </c>
      <c r="BL27" t="n">
        <v>0</v>
      </c>
      <c r="BM27" t="n">
        <v>-51.6</v>
      </c>
      <c r="BN27" t="n">
        <v>-54</v>
      </c>
      <c r="BO27" t="n">
        <v>-83.40000000000001</v>
      </c>
      <c r="BP27" t="n">
        <v>-2.4</v>
      </c>
    </row>
    <row r="28">
      <c r="A28" s="5" t="inlineStr">
        <is>
          <t>Cash and cash equivalents at end of year</t>
        </is>
      </c>
      <c r="B28" s="5" t="n">
        <v>92352.10000000001</v>
      </c>
      <c r="C28" s="5" t="n">
        <v>88271.3</v>
      </c>
      <c r="D28" s="5" t="n">
        <v>198144.3</v>
      </c>
      <c r="E28" s="5" t="n">
        <v>201369.9</v>
      </c>
      <c r="F28" s="5" t="n">
        <v>207028.7</v>
      </c>
      <c r="G28" s="5" t="n">
        <v>200527</v>
      </c>
      <c r="H28" s="5" t="n">
        <v>169722.1</v>
      </c>
      <c r="I28" s="5" t="n">
        <v>183998.9</v>
      </c>
      <c r="J28" s="5" t="n">
        <v>189295.6</v>
      </c>
      <c r="K28" s="5" t="n">
        <v>166225</v>
      </c>
      <c r="L28" s="5" t="n">
        <v>155667</v>
      </c>
      <c r="BE28" t="inlineStr">
        <is>
          <t>Cash and cash equivalents at end of year</t>
        </is>
      </c>
      <c r="BF28" t="n">
        <v>155667</v>
      </c>
      <c r="BG28" t="n">
        <v>166225</v>
      </c>
      <c r="BH28" t="n">
        <v>189295.6</v>
      </c>
      <c r="BI28" t="n">
        <v>183998.9</v>
      </c>
      <c r="BJ28" t="n">
        <v>169722.1</v>
      </c>
      <c r="BK28" t="n">
        <v>200527</v>
      </c>
      <c r="BL28" t="n">
        <v>207028.7</v>
      </c>
      <c r="BM28" t="n">
        <v>201369.9</v>
      </c>
      <c r="BN28" t="n">
        <v>198144.3</v>
      </c>
      <c r="BO28" t="n">
        <v>88271.3</v>
      </c>
      <c r="BP28" t="n">
        <v>92352.10000000001</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c r="J31" s="4" t="inlineStr">
        <is>
          <t>FY2017</t>
        </is>
      </c>
      <c r="K31" s="4" t="inlineStr">
        <is>
          <t>FY2016</t>
        </is>
      </c>
      <c r="L31" s="4" t="inlineStr">
        <is>
          <t>FY2015</t>
        </is>
      </c>
    </row>
    <row r="32">
      <c r="A32" s="6" t="inlineStr">
        <is>
          <t>Leverage Ratio</t>
        </is>
      </c>
      <c r="B32" s="6" t="n"/>
      <c r="C32" s="6" t="n"/>
      <c r="D32" s="6" t="n"/>
      <c r="E32" s="6" t="n"/>
      <c r="F32" s="6" t="inlineStr">
        <is>
          <t>53.32%</t>
        </is>
      </c>
      <c r="G32" s="6" t="inlineStr">
        <is>
          <t>33.77%</t>
        </is>
      </c>
      <c r="H32" s="6" t="n"/>
      <c r="I32" s="6" t="inlineStr">
        <is>
          <t>49.27%</t>
        </is>
      </c>
      <c r="J32" s="6" t="n"/>
      <c r="K32" s="6" t="inlineStr">
        <is>
          <t>49.99%</t>
        </is>
      </c>
      <c r="L32" s="6" t="n"/>
    </row>
    <row r="33">
      <c r="A33" s="6" t="inlineStr">
        <is>
          <t>LCR</t>
        </is>
      </c>
      <c r="B33" s="6" t="n"/>
      <c r="C33" s="6" t="n"/>
      <c r="D33" s="6" t="n"/>
      <c r="E33" s="6" t="n"/>
      <c r="F33" s="6" t="inlineStr">
        <is>
          <t>221.13%</t>
        </is>
      </c>
      <c r="G33" s="6" t="inlineStr">
        <is>
          <t>181.69%</t>
        </is>
      </c>
      <c r="H33" s="6" t="n"/>
      <c r="I33" s="6" t="inlineStr">
        <is>
          <t>539.22%</t>
        </is>
      </c>
      <c r="J33" s="6" t="n"/>
      <c r="K33" s="6" t="n"/>
      <c r="L33" s="6" t="n"/>
    </row>
    <row r="35" ht="45" customHeight="1">
      <c r="A35" s="7" t="inlineStr">
        <is>
          <t>Note: FY2021 leverage and LCR are the only directly disclosed regulatory liquidity metrics located in the public source set for FY2021-FY2025; later years there are intentionally blank/not disclosed. FY2016/FY2018/FY2020 leverage and FY2018/FY2020 LCR were added under HD-021 from the Bank's own standalone Pillar 3 disclosures - see the Leverage Ratio/LCR sheets for the FY2015/FY2017/FY2019 gaps. FY2021's opening equity is blank because the Bank's disclosed EUR/GBP rate series in this workbook's source set only starts at FY2021 - see the Statement of Changes in Equity sheet for detail; FY2015's opening equity (EUR 105,479k) and FY2016/FY2017's opening equity are shown unconverted or independently converted at each year's own rate for the same reason - see that sheet's own methodology note.</t>
        </is>
      </c>
    </row>
  </sheetData>
  <mergeCells count="1">
    <mergeCell ref="A35:L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Balance Sheet</t>
        </is>
      </c>
    </row>
    <row r="2">
      <c r="A2" s="2" t="inlineStr">
        <is>
          <t>Entity-level basis, £'000 converted from EUR (see FX note; FY2015/FY2016 figures are EUR '000, unconverted - no year-end EUR/GBP rate is disclosed for those two years). Each year shown on its own originally-reported basis - see the RESTATEMENT note for a genuine FY2022/FY2023 restatement disclosed in the Annual Report and Financial Statements 2024's own Note 33, bridged explicitly in the Statement of Changes in Equity rather than blended here. 'Deposits from banks'/'Deposits from customers' are labelled 'Due to other banks'/'Customer accounts' in the Bank's own FY2015-FY2020 reports.</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c r="G3" s="4" t="inlineStr">
        <is>
          <t>FY2020 (£'000, conv. from EUR)</t>
        </is>
      </c>
      <c r="H3" s="4" t="inlineStr">
        <is>
          <t>FY2019 (£'000, conv. from EUR)</t>
        </is>
      </c>
      <c r="I3" s="4" t="inlineStr">
        <is>
          <t>FY2018 (£'000, conv. from EUR)</t>
        </is>
      </c>
      <c r="J3" s="4" t="inlineStr">
        <is>
          <t>FY2017 (£'000, conv. from EUR)</t>
        </is>
      </c>
      <c r="K3" s="4" t="inlineStr">
        <is>
          <t>FY2016 (£'000, conv. from EUR)</t>
        </is>
      </c>
      <c r="L3" s="4" t="inlineStr">
        <is>
          <t>FY2015 (£'000, conv. from EUR)</t>
        </is>
      </c>
    </row>
    <row r="4">
      <c r="A4" s="5" t="inlineStr">
        <is>
          <t>Assets</t>
        </is>
      </c>
      <c r="B4" s="6" t="n"/>
      <c r="C4" s="6" t="n"/>
      <c r="D4" s="6" t="n"/>
      <c r="E4" s="6" t="n"/>
      <c r="F4" s="6" t="n"/>
      <c r="G4" s="6" t="n"/>
      <c r="H4" s="6" t="n"/>
      <c r="I4" s="6" t="n"/>
      <c r="J4" s="6" t="n"/>
      <c r="K4" s="6" t="n"/>
      <c r="L4" s="6" t="n"/>
    </row>
    <row r="5">
      <c r="A5" s="6" t="inlineStr">
        <is>
          <t>Cash and cash equivalent</t>
        </is>
      </c>
      <c r="B5" s="6" t="n">
        <v>92352.10000000001</v>
      </c>
      <c r="C5" s="6" t="n">
        <v>88271.3</v>
      </c>
      <c r="D5" s="6" t="n">
        <v>59010.2</v>
      </c>
      <c r="E5" s="6" t="n">
        <v>121633</v>
      </c>
      <c r="F5" s="6" t="n">
        <v>29893.3</v>
      </c>
      <c r="G5" s="6" t="n">
        <v>30834.8</v>
      </c>
      <c r="H5" s="6" t="n">
        <v>33583.7</v>
      </c>
      <c r="I5" s="6" t="n">
        <v>34306.3</v>
      </c>
      <c r="J5" s="6" t="n">
        <v>97507.89999999999</v>
      </c>
      <c r="K5" s="6" t="n">
        <v>151493</v>
      </c>
      <c r="L5" s="6" t="n">
        <v>147831</v>
      </c>
    </row>
    <row r="6">
      <c r="A6" s="6" t="inlineStr">
        <is>
          <t>Loans and advances to banks</t>
        </is>
      </c>
      <c r="B6" s="6" t="n">
        <v>54812</v>
      </c>
      <c r="C6" s="6" t="n">
        <v>56205.8</v>
      </c>
      <c r="D6" s="6" t="n">
        <v>139134.1</v>
      </c>
      <c r="E6" s="6" t="n">
        <v>79736.89999999999</v>
      </c>
      <c r="F6" s="6" t="n">
        <v>177135.5</v>
      </c>
      <c r="G6" s="6" t="n">
        <v>169692.1</v>
      </c>
      <c r="H6" s="6" t="n">
        <v>136138.4</v>
      </c>
      <c r="I6" s="6" t="n">
        <v>149692.6</v>
      </c>
      <c r="J6" s="6" t="n">
        <v>91787.8</v>
      </c>
      <c r="K6" s="6" t="n">
        <v>14732</v>
      </c>
      <c r="L6" s="6" t="n">
        <v>10336</v>
      </c>
    </row>
    <row r="7">
      <c r="A7" s="6" t="inlineStr">
        <is>
          <t>Loans and advances to customers</t>
        </is>
      </c>
      <c r="B7" s="6" t="n">
        <v>32548.5</v>
      </c>
      <c r="C7" s="6" t="n">
        <v>57822.2</v>
      </c>
      <c r="D7" s="6" t="n">
        <v>28014.8</v>
      </c>
      <c r="E7" s="6" t="n">
        <v>38178.2</v>
      </c>
      <c r="F7" s="6" t="n">
        <v>42554.8</v>
      </c>
      <c r="G7" s="6" t="n">
        <v>38613.5</v>
      </c>
      <c r="H7" s="6" t="n">
        <v>16108.1</v>
      </c>
      <c r="I7" s="6" t="n">
        <v>17728</v>
      </c>
      <c r="J7" s="6" t="n">
        <v>33021.6</v>
      </c>
      <c r="K7" s="6" t="n">
        <v>44775</v>
      </c>
      <c r="L7" s="6" t="n">
        <v>50022</v>
      </c>
    </row>
    <row r="8">
      <c r="A8" s="6" t="inlineStr">
        <is>
          <t>Debt securities (FY2015/FY2016 own reports only; no equivalent line FY2017 onward)</t>
        </is>
      </c>
      <c r="B8" s="6" t="n"/>
      <c r="C8" s="6" t="n"/>
      <c r="D8" s="6" t="n"/>
      <c r="E8" s="6" t="n"/>
      <c r="F8" s="6" t="n"/>
      <c r="G8" s="6" t="n"/>
      <c r="H8" s="6" t="n"/>
      <c r="I8" s="6" t="n"/>
      <c r="J8" s="6" t="n"/>
      <c r="K8" s="6" t="n">
        <v>0</v>
      </c>
      <c r="L8" s="6" t="n">
        <v>435</v>
      </c>
    </row>
    <row r="9">
      <c r="A9" s="6" t="inlineStr">
        <is>
          <t>Property, plant and equipment</t>
        </is>
      </c>
      <c r="B9" s="6" t="n">
        <v>3419.2</v>
      </c>
      <c r="C9" s="6" t="n">
        <v>3734.5</v>
      </c>
      <c r="D9" s="6" t="n">
        <v>5125</v>
      </c>
      <c r="E9" s="6" t="n">
        <v>4049.6</v>
      </c>
      <c r="F9" s="6" t="n">
        <v>3892.1</v>
      </c>
      <c r="G9" s="6" t="n">
        <v>4713.5</v>
      </c>
      <c r="H9" s="6" t="n">
        <v>5066.3</v>
      </c>
      <c r="I9" s="6" t="n">
        <v>4798.9</v>
      </c>
      <c r="J9" s="6" t="n">
        <v>5223.3</v>
      </c>
      <c r="K9" s="6" t="n">
        <v>4353</v>
      </c>
      <c r="L9" s="6" t="n">
        <v>4456</v>
      </c>
    </row>
    <row r="10">
      <c r="A10" s="6" t="inlineStr">
        <is>
          <t>Intangible assets (FY2023 report shows this line as nil/dash; FY2015-FY2017 own reports have no separate line)</t>
        </is>
      </c>
      <c r="B10" s="6" t="n">
        <v>0</v>
      </c>
      <c r="C10" s="6" t="n">
        <v>0</v>
      </c>
      <c r="D10" s="6" t="n">
        <v>0</v>
      </c>
      <c r="E10" s="6" t="n">
        <v>105</v>
      </c>
      <c r="F10" s="6" t="n">
        <v>314.4</v>
      </c>
      <c r="G10" s="6" t="n">
        <v>501.1</v>
      </c>
      <c r="H10" s="6" t="n">
        <v>726.7</v>
      </c>
      <c r="I10" s="6" t="n">
        <v>917.7</v>
      </c>
      <c r="J10" s="6" t="n"/>
      <c r="K10" s="6" t="n"/>
      <c r="L10" s="6" t="n"/>
    </row>
    <row r="11">
      <c r="A11" s="6" t="inlineStr">
        <is>
          <t>Other assets</t>
        </is>
      </c>
      <c r="B11" s="6" t="n">
        <v>3086.2</v>
      </c>
      <c r="C11" s="6" t="n">
        <v>2320.5</v>
      </c>
      <c r="D11" s="6" t="n">
        <v>1483</v>
      </c>
      <c r="E11" s="6" t="n">
        <v>3183.5</v>
      </c>
      <c r="F11" s="6" t="n">
        <v>1638.7</v>
      </c>
      <c r="G11" s="6" t="n">
        <v>1749.4</v>
      </c>
      <c r="H11" s="6" t="n">
        <v>1047.7</v>
      </c>
      <c r="I11" s="6" t="n">
        <v>1468.6</v>
      </c>
      <c r="J11" s="6" t="n">
        <v>1247.8</v>
      </c>
      <c r="K11" s="6" t="n">
        <v>6074</v>
      </c>
      <c r="L11" s="6" t="n">
        <v>11021</v>
      </c>
    </row>
    <row r="12">
      <c r="A12" s="6" t="inlineStr">
        <is>
          <t>Prepayments and accrued income</t>
        </is>
      </c>
      <c r="B12" s="6" t="n">
        <v>160.5</v>
      </c>
      <c r="C12" s="6" t="n">
        <v>171.9</v>
      </c>
      <c r="D12" s="6" t="n">
        <v>4512.5</v>
      </c>
      <c r="E12" s="6" t="n">
        <v>769.3</v>
      </c>
      <c r="F12" s="6" t="n">
        <v>848.1</v>
      </c>
      <c r="G12" s="6" t="n">
        <v>1079.8</v>
      </c>
      <c r="H12" s="6" t="n">
        <v>976.7</v>
      </c>
      <c r="I12" s="6" t="n">
        <v>1521.1</v>
      </c>
      <c r="J12" s="6" t="n">
        <v>1590.7</v>
      </c>
      <c r="K12" s="6" t="n">
        <v>748</v>
      </c>
      <c r="L12" s="6" t="n">
        <v>783</v>
      </c>
    </row>
    <row r="13">
      <c r="A13" s="6" t="inlineStr">
        <is>
          <t>Current tax (FY2015-FY2019 own reports only; FY2020's own report shows this line as nil/dash)</t>
        </is>
      </c>
      <c r="B13" s="6" t="n"/>
      <c r="C13" s="6" t="n"/>
      <c r="D13" s="6" t="n"/>
      <c r="E13" s="6" t="n"/>
      <c r="F13" s="6" t="n"/>
      <c r="G13" s="6" t="n"/>
      <c r="H13" s="6" t="n">
        <v>223.3</v>
      </c>
      <c r="I13" s="6" t="n">
        <v>216</v>
      </c>
      <c r="J13" s="6" t="n">
        <v>225.1</v>
      </c>
      <c r="K13" s="6" t="n">
        <v>209</v>
      </c>
      <c r="L13" s="6" t="n">
        <v>129</v>
      </c>
    </row>
    <row r="14">
      <c r="A14" s="5" t="inlineStr">
        <is>
          <t>Total assets</t>
        </is>
      </c>
      <c r="B14" s="5" t="n">
        <v>186378.4</v>
      </c>
      <c r="C14" s="5" t="n">
        <v>208526.3</v>
      </c>
      <c r="D14" s="5" t="n">
        <v>237279.5</v>
      </c>
      <c r="E14" s="5" t="n">
        <v>247655.5</v>
      </c>
      <c r="F14" s="5" t="n">
        <v>256276.8</v>
      </c>
      <c r="G14" s="5" t="n">
        <v>247184.3</v>
      </c>
      <c r="H14" s="5" t="n">
        <v>193870.9</v>
      </c>
      <c r="I14" s="5" t="n">
        <v>210649.1</v>
      </c>
      <c r="J14" s="5" t="n">
        <v>230604.1</v>
      </c>
      <c r="K14" s="5" t="n">
        <v>222384</v>
      </c>
      <c r="L14" s="5" t="n">
        <v>225013</v>
      </c>
    </row>
    <row r="15">
      <c r="A15" s="5" t="inlineStr">
        <is>
          <t>Liabilities</t>
        </is>
      </c>
      <c r="B15" s="6" t="n"/>
      <c r="C15" s="6" t="n"/>
      <c r="D15" s="6" t="n"/>
      <c r="E15" s="6" t="n"/>
      <c r="F15" s="6" t="n"/>
      <c r="G15" s="6" t="n"/>
      <c r="H15" s="6" t="n"/>
      <c r="I15" s="6" t="n"/>
      <c r="J15" s="6" t="n"/>
      <c r="K15" s="6" t="n"/>
      <c r="L15" s="6" t="n"/>
    </row>
    <row r="16">
      <c r="A16" s="6" t="inlineStr">
        <is>
          <t>Deposits from banks</t>
        </is>
      </c>
      <c r="B16" s="6" t="n">
        <v>44871.9</v>
      </c>
      <c r="C16" s="6" t="n">
        <v>48476</v>
      </c>
      <c r="D16" s="6" t="n">
        <v>78072.7</v>
      </c>
      <c r="E16" s="6" t="n">
        <v>81792.3</v>
      </c>
      <c r="F16" s="6" t="n">
        <v>92141.89999999999</v>
      </c>
      <c r="G16" s="6" t="n">
        <v>93942.7</v>
      </c>
      <c r="H16" s="6" t="n">
        <v>27377.9</v>
      </c>
      <c r="I16" s="6" t="n">
        <v>38721.1</v>
      </c>
      <c r="J16" s="6" t="n">
        <v>50535.3</v>
      </c>
      <c r="K16" s="6" t="n">
        <v>65074</v>
      </c>
      <c r="L16" s="6" t="n">
        <v>66801</v>
      </c>
    </row>
    <row r="17">
      <c r="A17" s="6" t="inlineStr">
        <is>
          <t>Deposits from customers</t>
        </is>
      </c>
      <c r="B17" s="6" t="n">
        <v>5505.4</v>
      </c>
      <c r="C17" s="6" t="n">
        <v>6553.2</v>
      </c>
      <c r="D17" s="6" t="n">
        <v>6372.7</v>
      </c>
      <c r="E17" s="6" t="n">
        <v>7449</v>
      </c>
      <c r="F17" s="6" t="n">
        <v>7354.8</v>
      </c>
      <c r="G17" s="6" t="n">
        <v>7077.5</v>
      </c>
      <c r="H17" s="6" t="n">
        <v>7755.8</v>
      </c>
      <c r="I17" s="6" t="n">
        <v>3291.4</v>
      </c>
      <c r="J17" s="6" t="n">
        <v>1788.9</v>
      </c>
      <c r="K17" s="6" t="n">
        <v>2687</v>
      </c>
      <c r="L17" s="6" t="n">
        <v>2732</v>
      </c>
    </row>
    <row r="18">
      <c r="A18" s="6" t="inlineStr">
        <is>
          <t>Other liabilities / Provisions and accruals (FY2015-FY2018 own reports label this 'Provisions and accruals'; FY2019-FY2020 own reports use 'Other liabilities')</t>
        </is>
      </c>
      <c r="B18" s="6" t="n">
        <v>3756.9</v>
      </c>
      <c r="C18" s="6" t="n">
        <v>4148.5</v>
      </c>
      <c r="D18" s="6" t="n">
        <v>2196.6</v>
      </c>
      <c r="E18" s="6" t="n">
        <v>2947.5</v>
      </c>
      <c r="F18" s="6" t="n">
        <v>3532</v>
      </c>
      <c r="G18" s="6" t="n">
        <v>2702.2</v>
      </c>
      <c r="H18" s="6" t="n">
        <v>2808.1</v>
      </c>
      <c r="I18" s="6" t="n">
        <v>3148.6</v>
      </c>
      <c r="J18" s="6" t="n">
        <v>2943.4</v>
      </c>
      <c r="K18" s="6" t="n">
        <v>2624</v>
      </c>
      <c r="L18" s="6" t="n">
        <v>2983</v>
      </c>
    </row>
    <row r="19">
      <c r="A19" s="6" t="inlineStr">
        <is>
          <t>Subordinated debt liabilities (FY2015-FY2020 own reports only; converted/extinguished by FY2021 - see the Statement of Changes in Equity's FY2021 share-capital-issued row)</t>
        </is>
      </c>
      <c r="B19" s="6" t="n"/>
      <c r="C19" s="6" t="n"/>
      <c r="D19" s="6" t="n"/>
      <c r="E19" s="6" t="n"/>
      <c r="F19" s="6" t="n"/>
      <c r="G19" s="6" t="n">
        <v>52247.2</v>
      </c>
      <c r="H19" s="6" t="n">
        <v>54069.8</v>
      </c>
      <c r="I19" s="6" t="n">
        <v>53142.9</v>
      </c>
      <c r="J19" s="6" t="n">
        <v>54227.4</v>
      </c>
      <c r="K19" s="6" t="n">
        <v>46500</v>
      </c>
      <c r="L19" s="6" t="n">
        <v>46500</v>
      </c>
    </row>
    <row r="20">
      <c r="A20" s="5" t="inlineStr">
        <is>
          <t>Total liabilities</t>
        </is>
      </c>
      <c r="B20" s="5" t="n">
        <v>54134.1</v>
      </c>
      <c r="C20" s="5" t="n">
        <v>59177.8</v>
      </c>
      <c r="D20" s="5" t="n">
        <v>86642</v>
      </c>
      <c r="E20" s="5" t="n">
        <v>92188.8</v>
      </c>
      <c r="F20" s="5" t="n">
        <v>103028.7</v>
      </c>
      <c r="G20" s="5" t="n">
        <v>155969.7</v>
      </c>
      <c r="H20" s="5" t="n">
        <v>92011.60000000001</v>
      </c>
      <c r="I20" s="5" t="n">
        <v>98304</v>
      </c>
      <c r="J20" s="5" t="n">
        <v>109495</v>
      </c>
      <c r="K20" s="5" t="n">
        <v>116885</v>
      </c>
      <c r="L20" s="5" t="n">
        <v>119016</v>
      </c>
    </row>
    <row r="21">
      <c r="A21" s="5" t="inlineStr">
        <is>
          <t>Shareholders' equity</t>
        </is>
      </c>
      <c r="B21" s="6" t="n"/>
      <c r="C21" s="6" t="n"/>
      <c r="D21" s="6" t="n"/>
      <c r="E21" s="6" t="n"/>
      <c r="F21" s="6" t="n"/>
      <c r="G21" s="6" t="n"/>
      <c r="H21" s="6" t="n"/>
      <c r="I21" s="6" t="n"/>
      <c r="J21" s="6" t="n"/>
      <c r="K21" s="6" t="n"/>
      <c r="L21" s="6" t="n"/>
    </row>
    <row r="22">
      <c r="A22" s="6" t="inlineStr">
        <is>
          <t>Called up share capital</t>
        </is>
      </c>
      <c r="B22" s="6" t="n">
        <v>179640.7</v>
      </c>
      <c r="C22" s="6" t="n">
        <v>175438.6</v>
      </c>
      <c r="D22" s="6" t="n">
        <v>170454.5</v>
      </c>
      <c r="E22" s="6" t="n">
        <v>176991.2</v>
      </c>
      <c r="F22" s="6" t="n">
        <v>175953.1</v>
      </c>
      <c r="G22" s="6" t="n">
        <v>112359.6</v>
      </c>
      <c r="H22" s="6" t="n">
        <v>116279.1</v>
      </c>
      <c r="I22" s="6" t="n">
        <v>114285.7</v>
      </c>
      <c r="J22" s="6" t="n">
        <v>116618.1</v>
      </c>
      <c r="K22" s="6" t="n">
        <v>100000</v>
      </c>
      <c r="L22" s="6" t="n">
        <v>100000</v>
      </c>
    </row>
    <row r="23">
      <c r="A23" s="6" t="inlineStr">
        <is>
          <t>Retained earnings</t>
        </is>
      </c>
      <c r="B23" s="6" t="n">
        <v>-47396.4</v>
      </c>
      <c r="C23" s="6" t="n">
        <v>-26090.1</v>
      </c>
      <c r="D23" s="6" t="n">
        <v>-19817</v>
      </c>
      <c r="E23" s="6" t="n">
        <v>-21524.5</v>
      </c>
      <c r="F23" s="6" t="n">
        <v>-22705</v>
      </c>
      <c r="G23" s="6" t="n">
        <v>-21144.9</v>
      </c>
      <c r="H23" s="6" t="n">
        <v>-14419.8</v>
      </c>
      <c r="I23" s="6" t="n">
        <v>-1940.6</v>
      </c>
      <c r="J23" s="6" t="n">
        <v>4491</v>
      </c>
      <c r="K23" s="6" t="n">
        <v>5499</v>
      </c>
      <c r="L23" s="6" t="n">
        <v>5997</v>
      </c>
    </row>
    <row r="24">
      <c r="A24" s="5" t="inlineStr">
        <is>
          <t>Total shareholders' equity</t>
        </is>
      </c>
      <c r="B24" s="5" t="n">
        <v>132244.3</v>
      </c>
      <c r="C24" s="5" t="n">
        <v>149348.5</v>
      </c>
      <c r="D24" s="5" t="n">
        <v>150637.5</v>
      </c>
      <c r="E24" s="5" t="n">
        <v>155466.7</v>
      </c>
      <c r="F24" s="5" t="n">
        <v>153248.1</v>
      </c>
      <c r="G24" s="5" t="n">
        <v>91214.60000000001</v>
      </c>
      <c r="H24" s="5" t="n">
        <v>101859.3</v>
      </c>
      <c r="I24" s="5" t="n">
        <v>112345.1</v>
      </c>
      <c r="J24" s="5" t="n">
        <v>121109</v>
      </c>
      <c r="K24" s="5" t="n">
        <v>105499</v>
      </c>
      <c r="L24" s="5" t="n">
        <v>105997</v>
      </c>
    </row>
    <row r="25">
      <c r="A25" s="5" t="inlineStr">
        <is>
          <t>Total liabilities and equity</t>
        </is>
      </c>
      <c r="B25" s="5" t="n">
        <v>186378.4</v>
      </c>
      <c r="C25" s="5" t="n">
        <v>208526.3</v>
      </c>
      <c r="D25" s="5" t="n">
        <v>237279.5</v>
      </c>
      <c r="E25" s="5" t="n">
        <v>247655.5</v>
      </c>
      <c r="F25" s="5" t="n">
        <v>256276.8</v>
      </c>
      <c r="G25" s="5" t="n">
        <v>247184.3</v>
      </c>
      <c r="H25" s="5" t="n">
        <v>193870.9</v>
      </c>
      <c r="I25" s="5" t="n">
        <v>210649.1</v>
      </c>
      <c r="J25" s="5" t="n">
        <v>230604.1</v>
      </c>
      <c r="K25" s="5" t="n">
        <v>222384</v>
      </c>
      <c r="L25" s="5" t="n">
        <v>225013</v>
      </c>
    </row>
    <row r="27" ht="340" customHeight="1">
      <c r="A27" s="8" t="inlineStr">
        <is>
          <t>Sources - Persia International Bank Plc's own entity-level Statement of Comprehensive Income / Statement of Financial Position / Statement of Changes in Equity / Note 12 (Impairment) / Notes 14-16 (Cash, Loans to banks, Loans to customers), converted from EUR to GBP using the Bank's disclosed rates (see FX note):
FY2025: Annual Report and Financial Statements 2025, Statement of Comprehensive Income p.36, Statement of Financial Position p.37, Statement of Changes in Equity p.38, Note 12 p.69, Notes 14-16 p.71, Credit loss exposure/Capital management (Note 25) p.77 - https://find-and-update.company-information.service.gov.uk/company/04218020/filing-history/MzQ3OTMzNTI0NWFkaXF6a2N4/document?download=0&amp;format=pdf
FY2024: Annual Report and Financial Statements 2024, Statement of Comprehensive Income p.29, Statement of Financial Position p.30, Statement of Changes in Equity p.31, Note 12 p.57, Notes 14-16 p.59 - https://find-and-update.company-information.service.gov.uk/company/04218020/filing-history/MzQzMzA4NzcwMWFkaXF6a2N4/document?download=0&amp;format=pdf
FY2023: Annual Report and Financial Statements 2023, Statement of Comprehensive Income p.28, Statement of Financial Position p.29, Statement of Changes in Equity p.30, Note 12 p.54, Notes 14-16 p.56 - https://find-and-update.company-information.service.gov.uk/company/04218020/filing-history/MzM4OTExNTc1NmFkaXF6a2N4/document?download=0&amp;format=pdf
FY2022: Annual Report and Financial Statements 2022, Statement of Comprehensive Income p.27, Statement of Financial Position p.28, Statement of Changes in Equity p.29, Note 12 p.51, Notes 14-16 p.53 - https://find-and-update.company-information.service.gov.uk/company/04218020/filing-history/MzM1NTU5ODQzNmFkaXF6a2N4/document?download=0&amp;format=pdf
FY2021: Annual Report and Financial Statements 2022's own comparative column (same pages as FY2022 above, this is the latest filing that still contains a full FY2021 column) - https://find-and-update.company-information.service.gov.uk/company/04218020/filing-history/MzM1NTU5ODQzNmFkaXF6a2N4/document?download=0&amp;format=pdf
FY2020: Annual Report and Financial Statements for year ended 31 March 2020, Statement of Comprehensive Income p.26, Statement of Financial Position p.27, Note 28.4 (Capital management) p.62, Note 28.2 (stage-level credit exposure) p.61 (scanned Companies House filing) - https://find-and-update.company-information.service.gov.uk/company/04218020/filing-history/MzI4MjYzOTE2OGFkaXF6a2N4/document?download=0&amp;format=pdf
FY2019: Annual Report and Financial Statements for year ended 31 March 2019, Statement of Comprehensive Income p.22, Statement of Financial Position p.23, Note 28.4 (Capital management) p.58, Note 28 (stage-level credit exposure) p.57 (scanned filing) - https://find-and-update.company-information.service.gov.uk/company/04218020/filing-history/MzI0MDMwNDExNmFkaXF6a2N4/document?download=0&amp;format=pdf
FY2018: Annual Report and Financial Statements for year ended 31 March 2018, Statement of Comprehensive Income p.15, Statement of Financial Position p.16, capital management note p.31, loan-portfolio note p.30 (scanned filing) - https://find-and-update.company-information.service.gov.uk/company/04218020/filing-history/MzIxMjI1ODQ3MmFkaXF6a2N4/document?download=0&amp;format=pdf
FY2017: Annual Report and Financial Statements for year ended 31 March 2017, Statement of Comprehensive Income p.13, Statement of Financial Position p.14, capital management note p.28, loan-portfolio note p.27 (scanned filing) - https://find-and-update.company-information.service.gov.uk/company/04218020/filing-history/MzE4MTE5NDQwMWFkaXF6a2N4/document?download=0&amp;format=pdf
FY2016: Annual Report and Financial Statements for year ended 31 March 2016, Statement of Comprehensive Income p.13, Statement of Financial Position p.14, capital management note p.27, loan-portfolio note p.26 (scanned filing) - https://find-and-update.company-information.service.gov.uk/company/04218020/filing-history/MzE1NjI0NzM2OWFkaXF6a2N4/document?download=0&amp;format=pdf
FY2015: Annual Report and Financial Statements for year ended 31 March 2015, Statement of Comprehensive Income p.12, Statement of Financial Position p.13, capital management note p.31, loan-portfolio note p.30 (scanned filing, includes an embedded Pillar 3 disclosure at pp.35-52) - https://find-and-update.company-information.service.gov.uk/company/04218020/filing-history/MzEyNzM3Mjc4NWFkaXF6a2N4/document?download=0&amp;format=pdf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(EUR per GBP). Flow figures are divided by the year's disclosed average rate; balance figures are divided by the year's disclosed year-end rate.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RESTATEMENT: the Annual Report and Financial Statements 2024's own Note 33 restates the Bank's FY2022/FY2023 figures (e.g. FY2023 closing retained earnings restated from EUR (17,439k) to EUR (18,414k), a genuine EUR 975k downward adjustment; FY2023 loans and advances to customers also restated from EUR 24,653k net to EUR 28,105k net, reclassifying interest receivable into that line). Each year's Balance Sheet/P&amp;L/Equity column here uses that year's own originally-reported figures (not the later restated comparative), consistent with every other bank in this project; the restatement is instead shown as its own explicit bridging row in the Statement of Changes in Equity, between FY2023's originally-reported closing balance and FY2024's own restated opening balance, per the Bank's own Note 33.</t>
        </is>
      </c>
    </row>
  </sheetData>
  <mergeCells count="1">
    <mergeCell ref="A27:L2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2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Profit &amp; Loss</t>
        </is>
      </c>
    </row>
    <row r="2">
      <c r="A2" s="2" t="inlineStr">
        <is>
          <t>Entity-level basis, £'000 converted from EUR (see FX note). Structure genuinely differs year to year - see the 'Credit impairment / Net impairment (charge)/reversal' and 'Reversal of impairment' row notes. FY2021's own report uniquely shows a standalone 'Impairment of property' charge alongside a separate impairment reversal. The Bank reports no OCI in any year - Total comprehensive income/(expense) equals Profit/(loss) for the year in every year. FY2015-FY2020 (EUR '000 shown for FY2015/FY2016, £'000 for FY2017-FY2020 - see FX note) use three more structures again: FY2015-FY2018's own statements subtotal 'Net interest income after loan impairments' mid-statement then fold fees/other-operating income into one combined subtotal; FY2019/FY2020's own statements instead carry a 'Net operating income' subtotal (before administrative expenses) and a 'Net impairment (loss)/credit' as a single late-statement line, closer to FY2021 onward's shape.</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c r="G3" s="4" t="inlineStr">
        <is>
          <t>FY2020 (£'000, conv. from EUR)</t>
        </is>
      </c>
      <c r="H3" s="4" t="inlineStr">
        <is>
          <t>FY2019 (£'000, conv. from EUR)</t>
        </is>
      </c>
      <c r="I3" s="4" t="inlineStr">
        <is>
          <t>FY2018 (£'000, conv. from EUR)</t>
        </is>
      </c>
      <c r="J3" s="4" t="inlineStr">
        <is>
          <t>FY2017 (£'000, conv. from EUR)</t>
        </is>
      </c>
      <c r="K3" s="4" t="inlineStr">
        <is>
          <t>FY2016 (£'000, conv. from EUR)</t>
        </is>
      </c>
      <c r="L3" s="4" t="inlineStr">
        <is>
          <t>FY2015 (£'000, conv. from EUR)</t>
        </is>
      </c>
    </row>
    <row r="4">
      <c r="A4" s="5" t="inlineStr">
        <is>
          <t>Income</t>
        </is>
      </c>
      <c r="B4" s="6" t="n"/>
      <c r="C4" s="6" t="n"/>
      <c r="D4" s="6" t="n"/>
      <c r="E4" s="6" t="n"/>
      <c r="F4" s="6" t="n"/>
      <c r="G4" s="6" t="n"/>
      <c r="H4" s="6" t="n"/>
      <c r="I4" s="6" t="n"/>
      <c r="J4" s="6" t="n"/>
      <c r="K4" s="6" t="n"/>
      <c r="L4" s="6" t="n"/>
    </row>
    <row r="5">
      <c r="A5" s="6" t="inlineStr">
        <is>
          <t>Interest and similar income</t>
        </is>
      </c>
      <c r="B5" s="6" t="n">
        <v>8395.700000000001</v>
      </c>
      <c r="C5" s="6" t="n">
        <v>9142.5</v>
      </c>
      <c r="D5" s="6" t="n">
        <v>7937.8</v>
      </c>
      <c r="E5" s="6" t="n">
        <v>4274.5</v>
      </c>
      <c r="F5" s="6" t="n">
        <v>4442.6</v>
      </c>
      <c r="G5" s="6" t="n">
        <v>2718</v>
      </c>
      <c r="H5" s="6" t="n">
        <v>1727.3</v>
      </c>
      <c r="I5" s="6" t="n">
        <v>3054.3</v>
      </c>
      <c r="J5" s="6" t="n">
        <v>5053.6</v>
      </c>
      <c r="K5" s="6" t="n">
        <v>7496.6</v>
      </c>
      <c r="L5" s="6" t="n">
        <v>6576.3</v>
      </c>
    </row>
    <row r="6">
      <c r="A6" s="6" t="inlineStr">
        <is>
          <t>Interest and similar expenses</t>
        </is>
      </c>
      <c r="B6" s="6" t="n">
        <v>-425.5</v>
      </c>
      <c r="C6" s="6" t="n">
        <v>-344.1</v>
      </c>
      <c r="D6" s="6" t="n">
        <v>-232.3</v>
      </c>
      <c r="E6" s="6" t="n">
        <v>-534.9</v>
      </c>
      <c r="F6" s="6" t="n">
        <v>-338.4</v>
      </c>
      <c r="G6" s="6" t="n">
        <v>-415.7</v>
      </c>
      <c r="H6" s="6" t="n">
        <v>-13.6</v>
      </c>
      <c r="I6" s="6" t="n">
        <v>-39.7</v>
      </c>
      <c r="J6" s="6" t="n">
        <v>-39.3</v>
      </c>
      <c r="K6" s="6" t="n">
        <v>-60.9</v>
      </c>
      <c r="L6" s="6" t="n">
        <v>-56.3</v>
      </c>
    </row>
    <row r="7">
      <c r="A7" s="5" t="inlineStr">
        <is>
          <t>Net Interest Income</t>
        </is>
      </c>
      <c r="B7" s="5" t="n">
        <v>7970.2</v>
      </c>
      <c r="C7" s="5" t="n">
        <v>8798.4</v>
      </c>
      <c r="D7" s="5" t="n">
        <v>7705.6</v>
      </c>
      <c r="E7" s="5" t="n">
        <v>3739.6</v>
      </c>
      <c r="F7" s="5" t="n">
        <v>4104.2</v>
      </c>
      <c r="G7" s="5" t="n">
        <v>2302.3</v>
      </c>
      <c r="H7" s="5" t="n">
        <v>1713.7</v>
      </c>
      <c r="I7" s="5" t="n">
        <v>3014.6</v>
      </c>
      <c r="J7" s="5" t="n">
        <v>5014.3</v>
      </c>
      <c r="K7" s="5" t="n">
        <v>7435.7</v>
      </c>
      <c r="L7" s="5" t="n">
        <v>6520</v>
      </c>
    </row>
    <row r="8">
      <c r="A8" s="6" t="inlineStr">
        <is>
          <t>Loan impairment (charge)/credit (FY2015-FY2018 own reports only, shown mid-statement; FY2019 onward split out below as its own late-statement line)</t>
        </is>
      </c>
      <c r="B8" s="6" t="n"/>
      <c r="C8" s="6" t="n"/>
      <c r="D8" s="6" t="n"/>
      <c r="E8" s="6" t="n"/>
      <c r="F8" s="6" t="n"/>
      <c r="G8" s="6" t="n"/>
      <c r="H8" s="6" t="n"/>
      <c r="I8" s="6" t="n">
        <v>0</v>
      </c>
      <c r="J8" s="6" t="n">
        <v>1610.7</v>
      </c>
      <c r="K8" s="6" t="n">
        <v>-339.6</v>
      </c>
      <c r="L8" s="6" t="n">
        <v>-304.4</v>
      </c>
    </row>
    <row r="9">
      <c r="A9" s="6" t="inlineStr">
        <is>
          <t>Impairment charge for available-for-sale financial assets (FY2016 own report only)</t>
        </is>
      </c>
      <c r="B9" s="6" t="n"/>
      <c r="C9" s="6" t="n"/>
      <c r="D9" s="6" t="n"/>
      <c r="E9" s="6" t="n"/>
      <c r="F9" s="6" t="n"/>
      <c r="G9" s="6" t="n"/>
      <c r="H9" s="6" t="n"/>
      <c r="I9" s="6" t="n"/>
      <c r="J9" s="6" t="n"/>
      <c r="K9" s="6" t="n">
        <v>-562.9</v>
      </c>
      <c r="L9" s="6" t="n"/>
    </row>
    <row r="10">
      <c r="A10" s="5" t="inlineStr">
        <is>
          <t>Net interest income after loan impairments (FY2015-FY2018 own reports only - those years' own statements carry this subtotal; FY2019 onward do not)</t>
        </is>
      </c>
      <c r="B10" s="5" t="n"/>
      <c r="C10" s="5" t="n"/>
      <c r="D10" s="5" t="n"/>
      <c r="E10" s="5" t="n"/>
      <c r="F10" s="5" t="n"/>
      <c r="G10" s="5" t="n"/>
      <c r="H10" s="5" t="n"/>
      <c r="I10" s="5" t="n">
        <v>3014.6</v>
      </c>
      <c r="J10" s="5" t="n">
        <v>6625</v>
      </c>
      <c r="K10" s="5" t="n">
        <v>6533.2</v>
      </c>
      <c r="L10" s="5" t="n">
        <v>6215.6</v>
      </c>
    </row>
    <row r="11">
      <c r="A11" s="6" t="inlineStr">
        <is>
          <t>Fees and commission income</t>
        </is>
      </c>
      <c r="B11" s="6" t="n">
        <v>89.40000000000001</v>
      </c>
      <c r="C11" s="6" t="n">
        <v>394</v>
      </c>
      <c r="D11" s="6" t="n">
        <v>520.8</v>
      </c>
      <c r="E11" s="6" t="n">
        <v>205.3</v>
      </c>
      <c r="F11" s="6" t="n">
        <v>206.2</v>
      </c>
      <c r="G11" s="6" t="n">
        <v>1768</v>
      </c>
      <c r="H11" s="6" t="n">
        <v>138.3</v>
      </c>
      <c r="I11" s="6" t="n">
        <v>61.2</v>
      </c>
      <c r="J11" s="6" t="n">
        <v>23.8</v>
      </c>
      <c r="K11" s="6" t="n">
        <v>41.9</v>
      </c>
      <c r="L11" s="6" t="n">
        <v>48.6</v>
      </c>
    </row>
    <row r="12">
      <c r="A12" s="6" t="inlineStr">
        <is>
          <t>Fees and commission expense</t>
        </is>
      </c>
      <c r="B12" s="6" t="n">
        <v>-16.7</v>
      </c>
      <c r="C12" s="6" t="n">
        <v>-54.5</v>
      </c>
      <c r="D12" s="6" t="n">
        <v>-127.9</v>
      </c>
      <c r="E12" s="6" t="n">
        <v>-95</v>
      </c>
      <c r="F12" s="6" t="n">
        <v>-24.6</v>
      </c>
      <c r="G12" s="6" t="n">
        <v>-16.9</v>
      </c>
      <c r="H12" s="6" t="n">
        <v>-244.8</v>
      </c>
      <c r="I12" s="6" t="n">
        <v>-248.1</v>
      </c>
      <c r="J12" s="6" t="n">
        <v>-185.7</v>
      </c>
      <c r="K12" s="6" t="n">
        <v>-28.4</v>
      </c>
      <c r="L12" s="6" t="n">
        <v>-19.2</v>
      </c>
    </row>
    <row r="13">
      <c r="A13" s="5" t="inlineStr">
        <is>
          <t>Net fee and commission income</t>
        </is>
      </c>
      <c r="B13" s="5" t="n">
        <v>72.7</v>
      </c>
      <c r="C13" s="5" t="n">
        <v>339.5</v>
      </c>
      <c r="D13" s="5" t="n">
        <v>393</v>
      </c>
      <c r="E13" s="5" t="n">
        <v>110.3</v>
      </c>
      <c r="F13" s="5" t="n">
        <v>181.5</v>
      </c>
      <c r="G13" s="5" t="n">
        <v>1751</v>
      </c>
      <c r="H13" s="5" t="n">
        <v>-106.5</v>
      </c>
      <c r="I13" s="5" t="n"/>
      <c r="J13" s="5" t="n"/>
      <c r="K13" s="5" t="n"/>
      <c r="L13" s="5" t="n"/>
    </row>
    <row r="14">
      <c r="A14" s="6" t="inlineStr">
        <is>
          <t>Other operating (expense)/income</t>
        </is>
      </c>
      <c r="B14" s="6" t="n">
        <v>-375.4</v>
      </c>
      <c r="C14" s="6" t="n">
        <v>-1560.8</v>
      </c>
      <c r="D14" s="6" t="n">
        <v>804.7</v>
      </c>
      <c r="E14" s="6" t="n">
        <v>1889.7</v>
      </c>
      <c r="F14" s="6" t="n">
        <v>943.4</v>
      </c>
      <c r="G14" s="6" t="n">
        <v>3.4</v>
      </c>
      <c r="H14" s="6" t="n">
        <v>170</v>
      </c>
      <c r="I14" s="6" t="n">
        <v>277.6</v>
      </c>
      <c r="J14" s="6" t="n">
        <v>252.4</v>
      </c>
      <c r="K14" s="6" t="n">
        <v>289.6</v>
      </c>
      <c r="L14" s="6" t="n">
        <v>58.8</v>
      </c>
    </row>
    <row r="15">
      <c r="A15" s="5" t="inlineStr">
        <is>
          <t>Net fee, commission and other operating income (FY2015-FY2018 own reports only - those years' own statements sum fees and other operating income into one subtotal)</t>
        </is>
      </c>
      <c r="B15" s="5" t="n"/>
      <c r="C15" s="5" t="n"/>
      <c r="D15" s="5" t="n"/>
      <c r="E15" s="5" t="n"/>
      <c r="F15" s="5" t="n"/>
      <c r="G15" s="5" t="n"/>
      <c r="H15" s="5" t="n"/>
      <c r="I15" s="5" t="n">
        <v>90.59999999999999</v>
      </c>
      <c r="J15" s="5" t="n">
        <v>90.5</v>
      </c>
      <c r="K15" s="5" t="n">
        <v>303.1</v>
      </c>
      <c r="L15" s="5" t="n">
        <v>88.2</v>
      </c>
    </row>
    <row r="16">
      <c r="A16" s="5" t="inlineStr">
        <is>
          <t>Net operating income (FY2019/FY2020 own reports only - those years' own statements carry this subtotal, before administrative expenses)</t>
        </is>
      </c>
      <c r="B16" s="5" t="n"/>
      <c r="C16" s="5" t="n"/>
      <c r="D16" s="5" t="n"/>
      <c r="E16" s="5" t="n"/>
      <c r="F16" s="5" t="n"/>
      <c r="G16" s="5" t="n">
        <v>4056.7</v>
      </c>
      <c r="H16" s="5" t="n">
        <v>1777.2</v>
      </c>
      <c r="I16" s="5" t="n"/>
      <c r="J16" s="5" t="n"/>
      <c r="K16" s="5" t="n"/>
      <c r="L16" s="5" t="n"/>
    </row>
    <row r="17">
      <c r="A17" s="6" t="inlineStr">
        <is>
          <t>Credit impairment / Net impairment (charge)/reversal (FY2025/FY2024's own report labels this 'Credit impairment'; FY2023's own report labels it 'Net impairment (charge)/reversal')</t>
        </is>
      </c>
      <c r="B17" s="6" t="n">
        <v>-19927.3</v>
      </c>
      <c r="C17" s="6" t="n">
        <v>-3635</v>
      </c>
      <c r="D17" s="6" t="n">
        <v>-1611.7</v>
      </c>
      <c r="E17" s="6" t="n"/>
      <c r="F17" s="6" t="n"/>
      <c r="G17" s="6" t="n"/>
      <c r="H17" s="6" t="n"/>
      <c r="I17" s="6" t="n"/>
      <c r="J17" s="6" t="n"/>
      <c r="K17" s="6" t="n"/>
      <c r="L17" s="6" t="n"/>
    </row>
    <row r="18">
      <c r="A18" s="5" t="inlineStr">
        <is>
          <t>Net operating (loss)/income</t>
        </is>
      </c>
      <c r="B18" s="5" t="n">
        <v>-12259.8</v>
      </c>
      <c r="C18" s="5" t="n">
        <v>3942.1</v>
      </c>
      <c r="D18" s="5" t="n">
        <v>7291.5</v>
      </c>
      <c r="E18" s="5" t="n">
        <v>5739.6</v>
      </c>
      <c r="F18" s="5" t="n">
        <v>5229.1</v>
      </c>
      <c r="G18" s="5" t="n"/>
      <c r="H18" s="5" t="n"/>
      <c r="I18" s="5" t="n"/>
      <c r="J18" s="5" t="n"/>
      <c r="K18" s="5" t="n"/>
      <c r="L18" s="5" t="n"/>
    </row>
    <row r="19">
      <c r="A19" s="6" t="inlineStr">
        <is>
          <t>Administrative expenses</t>
        </is>
      </c>
      <c r="B19" s="6" t="n">
        <v>-7917.8</v>
      </c>
      <c r="C19" s="6" t="n">
        <v>-8069.5</v>
      </c>
      <c r="D19" s="6" t="n">
        <v>-7427.6</v>
      </c>
      <c r="E19" s="6" t="n">
        <v>-6171.3</v>
      </c>
      <c r="F19" s="6" t="n">
        <v>-5896.9</v>
      </c>
      <c r="G19" s="6" t="n">
        <v>-5746.7</v>
      </c>
      <c r="H19" s="6" t="n">
        <v>-8082.3</v>
      </c>
      <c r="I19" s="6" t="n">
        <v>-8965.700000000001</v>
      </c>
      <c r="J19" s="6" t="n">
        <v>-8375</v>
      </c>
      <c r="K19" s="6" t="n">
        <v>-7534.5</v>
      </c>
      <c r="L19" s="6" t="n">
        <v>-5397.1</v>
      </c>
    </row>
    <row r="20">
      <c r="A20" s="6" t="inlineStr">
        <is>
          <t>Depreciation</t>
        </is>
      </c>
      <c r="B20" s="6" t="n">
        <v>-405.2</v>
      </c>
      <c r="C20" s="6" t="n">
        <v>-383.5</v>
      </c>
      <c r="D20" s="6" t="n">
        <v>-217</v>
      </c>
      <c r="E20" s="6" t="n">
        <v>-295.6</v>
      </c>
      <c r="F20" s="6" t="n">
        <v>-350.7</v>
      </c>
      <c r="G20" s="6" t="n">
        <v>-438.3</v>
      </c>
      <c r="H20" s="6" t="n">
        <v>-523.6</v>
      </c>
      <c r="I20" s="6" t="n">
        <v>-426</v>
      </c>
      <c r="J20" s="6" t="n">
        <v>-302.4</v>
      </c>
      <c r="K20" s="6" t="n">
        <v>-258.5</v>
      </c>
      <c r="L20" s="6" t="n">
        <v>-122.8</v>
      </c>
    </row>
    <row r="21">
      <c r="A21" s="5" t="inlineStr">
        <is>
          <t>Total operating expenses (FY2019/FY2020 own reports only)</t>
        </is>
      </c>
      <c r="B21" s="5" t="n"/>
      <c r="C21" s="5" t="n"/>
      <c r="D21" s="5" t="n"/>
      <c r="E21" s="5" t="n"/>
      <c r="F21" s="5" t="n"/>
      <c r="G21" s="5" t="n">
        <v>-6185</v>
      </c>
      <c r="H21" s="5" t="n">
        <v>-8605.9</v>
      </c>
      <c r="I21" s="5" t="n"/>
      <c r="J21" s="5" t="n"/>
      <c r="K21" s="5" t="n"/>
      <c r="L21" s="5" t="n"/>
    </row>
    <row r="22">
      <c r="A22" s="6" t="inlineStr">
        <is>
          <t>Net impairment (loss)/credit (FY2019/FY2020 own reports only - those years' own statements show this as a single late-statement line rather than a mid-statement loan-impairment charge)</t>
        </is>
      </c>
      <c r="B22" s="6" t="n"/>
      <c r="C22" s="6" t="n"/>
      <c r="D22" s="6" t="n"/>
      <c r="E22" s="6" t="n"/>
      <c r="F22" s="6" t="n"/>
      <c r="G22" s="6" t="n">
        <v>-5122</v>
      </c>
      <c r="H22" s="6" t="n">
        <v>210.8</v>
      </c>
      <c r="I22" s="6" t="n"/>
      <c r="J22" s="6" t="n"/>
      <c r="K22" s="6" t="n"/>
      <c r="L22" s="6" t="n"/>
    </row>
    <row r="23">
      <c r="A23" s="6" t="inlineStr">
        <is>
          <t>Impairment of property (FY2021 only, per that year's own report)</t>
        </is>
      </c>
      <c r="B23" s="6" t="n"/>
      <c r="C23" s="6" t="n"/>
      <c r="D23" s="6" t="n"/>
      <c r="E23" s="6" t="n"/>
      <c r="F23" s="6" t="n">
        <v>-607.3</v>
      </c>
      <c r="G23" s="6" t="n"/>
      <c r="H23" s="6" t="n"/>
      <c r="I23" s="6" t="n"/>
      <c r="J23" s="6" t="n"/>
      <c r="K23" s="6" t="n"/>
      <c r="L23" s="6" t="n"/>
    </row>
    <row r="24">
      <c r="A24" s="6" t="inlineStr">
        <is>
          <t>Reversal of impairment / Net impairment reversal (FY2021-FY2023's own reports only; FY2024/FY2025's own reports fold this into 'Credit impairment' above instead)</t>
        </is>
      </c>
      <c r="B24" s="6" t="n"/>
      <c r="C24" s="6" t="n"/>
      <c r="D24" s="6" t="n">
        <v>1295</v>
      </c>
      <c r="E24" s="6" t="n">
        <v>2034</v>
      </c>
      <c r="F24" s="6" t="n">
        <v>1024.1</v>
      </c>
      <c r="G24" s="6" t="n"/>
      <c r="H24" s="6" t="n"/>
      <c r="I24" s="6" t="n"/>
      <c r="J24" s="6" t="n"/>
      <c r="K24" s="6" t="n"/>
      <c r="L24" s="6" t="n"/>
    </row>
    <row r="25">
      <c r="A25" s="5" t="inlineStr">
        <is>
          <t>Total operating expenses</t>
        </is>
      </c>
      <c r="B25" s="5" t="n">
        <v>-8323</v>
      </c>
      <c r="C25" s="5" t="n">
        <v>-8453.1</v>
      </c>
      <c r="D25" s="5" t="n">
        <v>-6349.6</v>
      </c>
      <c r="E25" s="5" t="n">
        <v>-4432.8</v>
      </c>
      <c r="F25" s="5" t="n">
        <v>-5830.8</v>
      </c>
      <c r="G25" s="5" t="n"/>
      <c r="H25" s="5" t="n"/>
      <c r="I25" s="5" t="n"/>
      <c r="J25" s="5" t="n"/>
      <c r="K25" s="5" t="n"/>
      <c r="L25" s="5" t="n"/>
    </row>
    <row r="26">
      <c r="A26" s="5" t="inlineStr">
        <is>
          <t>Profit/(loss) before tax</t>
        </is>
      </c>
      <c r="B26" s="5" t="n">
        <v>-20582.8</v>
      </c>
      <c r="C26" s="5" t="n">
        <v>-4511</v>
      </c>
      <c r="D26" s="5" t="n">
        <v>941.9</v>
      </c>
      <c r="E26" s="5" t="n">
        <v>1306.7</v>
      </c>
      <c r="F26" s="5" t="n">
        <v>-601.7</v>
      </c>
      <c r="G26" s="5" t="n">
        <v>-7250.3</v>
      </c>
      <c r="H26" s="5" t="n">
        <v>-6617.9</v>
      </c>
      <c r="I26" s="5" t="n">
        <v>-6286.4</v>
      </c>
      <c r="J26" s="5" t="n">
        <v>-1961.9</v>
      </c>
      <c r="K26" s="5" t="n">
        <v>-956.7</v>
      </c>
      <c r="L26" s="5" t="n">
        <v>784</v>
      </c>
    </row>
    <row r="27">
      <c r="A27" s="6" t="inlineStr">
        <is>
          <t>Tax on profit</t>
        </is>
      </c>
      <c r="B27" s="6" t="n">
        <v>0</v>
      </c>
      <c r="C27" s="6" t="n">
        <v>0</v>
      </c>
      <c r="D27" s="6" t="n">
        <v>0</v>
      </c>
      <c r="E27" s="6" t="n">
        <v>0</v>
      </c>
      <c r="F27" s="6" t="n">
        <v>0</v>
      </c>
      <c r="G27" s="6" t="n">
        <v>0</v>
      </c>
      <c r="H27" s="6" t="n">
        <v>0</v>
      </c>
      <c r="I27" s="6" t="n">
        <v>0</v>
      </c>
      <c r="J27" s="6" t="n">
        <v>0</v>
      </c>
      <c r="K27" s="6" t="n">
        <v>282.8</v>
      </c>
      <c r="L27" s="6" t="n">
        <v>-121.5</v>
      </c>
    </row>
    <row r="28">
      <c r="A28" s="5" t="inlineStr">
        <is>
          <t>Profit/(loss) for the year attributable to equity holders</t>
        </is>
      </c>
      <c r="B28" s="5" t="n">
        <v>-20582.8</v>
      </c>
      <c r="C28" s="5" t="n">
        <v>-4511</v>
      </c>
      <c r="D28" s="5" t="n">
        <v>941.9</v>
      </c>
      <c r="E28" s="5" t="n">
        <v>1306.7</v>
      </c>
      <c r="F28" s="5" t="n">
        <v>-601.7</v>
      </c>
      <c r="G28" s="5" t="n">
        <v>-7250.3</v>
      </c>
      <c r="H28" s="5" t="n">
        <v>-6617.9</v>
      </c>
      <c r="I28" s="5" t="n">
        <v>-6286.4</v>
      </c>
      <c r="J28" s="5" t="n">
        <v>-1961.9</v>
      </c>
      <c r="K28" s="5" t="n">
        <v>-673.9</v>
      </c>
      <c r="L28" s="5" t="n">
        <v>662.5</v>
      </c>
    </row>
    <row r="29">
      <c r="A29" s="5" t="inlineStr">
        <is>
          <t>Total comprehensive income/(expense) for the year attributable to equity holders</t>
        </is>
      </c>
      <c r="B29" s="5" t="n">
        <v>-20582.8</v>
      </c>
      <c r="C29" s="5" t="n">
        <v>-4511</v>
      </c>
      <c r="D29" s="5" t="n">
        <v>941.9</v>
      </c>
      <c r="E29" s="5" t="n">
        <v>1306.7</v>
      </c>
      <c r="F29" s="5" t="n">
        <v>-601.7</v>
      </c>
      <c r="G29" s="5" t="n">
        <v>-7250.3</v>
      </c>
      <c r="H29" s="5" t="n">
        <v>-6617.9</v>
      </c>
      <c r="I29" s="5" t="n">
        <v>-6286.4</v>
      </c>
      <c r="J29" s="5" t="n">
        <v>-1961.9</v>
      </c>
      <c r="K29" s="5" t="n">
        <v>-673.9</v>
      </c>
      <c r="L29" s="5" t="n">
        <v>662.5</v>
      </c>
    </row>
    <row r="31" ht="340" customHeight="1">
      <c r="A31" s="8" t="inlineStr">
        <is>
          <t>Sources - Persia International Bank Plc's own entity-level Statement of Comprehensive Income / Statement of Financial Position / Statement of Changes in Equity / Note 12 (Impairment) / Notes 14-16 (Cash, Loans to banks, Loans to customers), converted from EUR to GBP using the Bank's disclosed rates (see FX note):
FY2025: Annual Report and Financial Statements 2025, Statement of Comprehensive Income p.36, Statement of Financial Position p.37, Statement of Changes in Equity p.38, Note 12 p.69, Notes 14-16 p.71, Credit loss exposure/Capital management (Note 25) p.77 - https://find-and-update.company-information.service.gov.uk/company/04218020/filing-history/MzQ3OTMzNTI0NWFkaXF6a2N4/document?download=0&amp;format=pdf
FY2024: Annual Report and Financial Statements 2024, Statement of Comprehensive Income p.29, Statement of Financial Position p.30, Statement of Changes in Equity p.31, Note 12 p.57, Notes 14-16 p.59 - https://find-and-update.company-information.service.gov.uk/company/04218020/filing-history/MzQzMzA4NzcwMWFkaXF6a2N4/document?download=0&amp;format=pdf
FY2023: Annual Report and Financial Statements 2023, Statement of Comprehensive Income p.28, Statement of Financial Position p.29, Statement of Changes in Equity p.30, Note 12 p.54, Notes 14-16 p.56 - https://find-and-update.company-information.service.gov.uk/company/04218020/filing-history/MzM4OTExNTc1NmFkaXF6a2N4/document?download=0&amp;format=pdf
FY2022: Annual Report and Financial Statements 2022, Statement of Comprehensive Income p.27, Statement of Financial Position p.28, Statement of Changes in Equity p.29, Note 12 p.51, Notes 14-16 p.53 - https://find-and-update.company-information.service.gov.uk/company/04218020/filing-history/MzM1NTU5ODQzNmFkaXF6a2N4/document?download=0&amp;format=pdf
FY2021: Annual Report and Financial Statements 2022's own comparative column (same pages as FY2022 above, this is the latest filing that still contains a full FY2021 column) - https://find-and-update.company-information.service.gov.uk/company/04218020/filing-history/MzM1NTU5ODQzNmFkaXF6a2N4/document?download=0&amp;format=pdf
FY2020: Annual Report and Financial Statements for year ended 31 March 2020, Statement of Comprehensive Income p.26, Statement of Financial Position p.27, Note 28.4 (Capital management) p.62, Note 28.2 (stage-level credit exposure) p.61 (scanned Companies House filing) - https://find-and-update.company-information.service.gov.uk/company/04218020/filing-history/MzI4MjYzOTE2OGFkaXF6a2N4/document?download=0&amp;format=pdf
FY2019: Annual Report and Financial Statements for year ended 31 March 2019, Statement of Comprehensive Income p.22, Statement of Financial Position p.23, Note 28.4 (Capital management) p.58, Note 28 (stage-level credit exposure) p.57 (scanned filing) - https://find-and-update.company-information.service.gov.uk/company/04218020/filing-history/MzI0MDMwNDExNmFkaXF6a2N4/document?download=0&amp;format=pdf
FY2018: Annual Report and Financial Statements for year ended 31 March 2018, Statement of Comprehensive Income p.15, Statement of Financial Position p.16, capital management note p.31, loan-portfolio note p.30 (scanned filing) - https://find-and-update.company-information.service.gov.uk/company/04218020/filing-history/MzIxMjI1ODQ3MmFkaXF6a2N4/document?download=0&amp;format=pdf
FY2017: Annual Report and Financial Statements for year ended 31 March 2017, Statement of Comprehensive Income p.13, Statement of Financial Position p.14, capital management note p.28, loan-portfolio note p.27 (scanned filing) - https://find-and-update.company-information.service.gov.uk/company/04218020/filing-history/MzE4MTE5NDQwMWFkaXF6a2N4/document?download=0&amp;format=pdf
FY2016: Annual Report and Financial Statements for year ended 31 March 2016, Statement of Comprehensive Income p.13, Statement of Financial Position p.14, capital management note p.27, loan-portfolio note p.26 (scanned filing) - https://find-and-update.company-information.service.gov.uk/company/04218020/filing-history/MzE1NjI0NzM2OWFkaXF6a2N4/document?download=0&amp;format=pdf
FY2015: Annual Report and Financial Statements for year ended 31 March 2015, Statement of Comprehensive Income p.12, Statement of Financial Position p.13, capital management note p.31, loan-portfolio note p.30 (scanned filing, includes an embedded Pillar 3 disclosure at pp.35-52) - https://find-and-update.company-information.service.gov.uk/company/04218020/filing-history/MzEyNzM3Mjc4NWFkaXF6a2N4/document?download=0&amp;format=pdf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(EUR per GBP). Flow figures are divided by the year's disclosed average rate; balance figures are divided by the year's disclosed year-end rate.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RESTATEMENT: the Annual Report and Financial Statements 2024's own Note 33 restates the Bank's FY2022/FY2023 figures (e.g. FY2023 closing retained earnings restated from EUR (17,439k) to EUR (18,414k), a genuine EUR 975k downward adjustment; FY2023 loans and advances to customers also restated from EUR 24,653k net to EUR 28,105k net, reclassifying interest receivable into that line). Each year's Balance Sheet/P&amp;L/Equity column here uses that year's own originally-reported figures (not the later restated comparative), consistent with every other bank in this project; the restatement is instead shown as its own explicit bridging row in the Statement of Changes in Equity, between FY2023's originally-reported closing balance and FY2024's own restated opening balance, per the Bank's own Note 33.</t>
        </is>
      </c>
    </row>
  </sheetData>
  <mergeCells count="1">
    <mergeCell ref="A31:L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1"/>
  <sheetViews>
    <sheetView workbookViewId="0">
      <pane ySplit="4" topLeftCell="A5" activePane="bottomLeft" state="frozen"/>
      <selection pane="bottomLeft" activeCell="A1" sqref="A1"/>
    </sheetView>
  </sheetViews>
  <sheetFormatPr baseColWidth="8" defaultRowHeight="15"/>
  <cols>
    <col width="110" customWidth="1" min="1" max="1"/>
    <col width="15" customWidth="1" min="2" max="2"/>
    <col width="15" customWidth="1" min="3" max="3"/>
    <col width="15" customWidth="1" min="4" max="4"/>
  </cols>
  <sheetData>
    <row r="1">
      <c r="A1" s="1" t="inlineStr">
        <is>
          <t>Persia International Bank Plc — Statement of Changes in Equity</t>
        </is>
      </c>
    </row>
    <row r="2">
      <c r="A2" s="2" t="inlineStr">
        <is>
          <t>Chronological roll-forward, oldest to newest, £'000 converted from EUR (see FX note; FY2015/FY2016 rows are EUR '000, unconverted - no year-end EUR/GBP rate is disclosed for those two years). Equity reconciliation ladder confirmed in EUR terms across all 11 years - zero undocumented plug rows. The one genuine bridging row (a EUR 975k prior period restatement) is disclosed by the Bank itself in Note 33 of the Annual Report and Financial Statements 2024, not an error found in this workbook. IMPORTANT: each £'000 cell below is an independent conversion of that row's own EUR figure at its own correct point-in-time rate (year-end rate for balances, average rate for in-year movements) - the £'000 column does not sum row-to-row the way the EUR figures do, because the Bank's EUR/GBP rate moves between each conversion point. This is a presentation artefact of converting a EUR-functional-currency ladder into GBP for this workbook, not a data error; treat each TOTAL row's £'000 value as independently correct, and see the underlying EUR figures (quoted in the 'At 1 April 2020' row and the RESTATEMENT source note) for the figures that do tie exactly.</t>
        </is>
      </c>
    </row>
    <row r="3">
      <c r="A3" s="4" t="inlineStr">
        <is>
          <t>Movement</t>
        </is>
      </c>
      <c r="B3" s="4" t="inlineStr">
        <is>
          <t>Issued share capital</t>
        </is>
      </c>
      <c r="C3" s="4" t="inlineStr">
        <is>
          <t>Retained earnings</t>
        </is>
      </c>
      <c r="D3" s="4" t="inlineStr">
        <is>
          <t>Total</t>
        </is>
      </c>
    </row>
    <row r="4">
      <c r="A4" s="5" t="inlineStr">
        <is>
          <t>At 1 April 2014 (FY2015 opening; EUR '000, unconverted - no FY2014 year-end EUR/GBP rate disclosed)</t>
        </is>
      </c>
      <c r="B4" s="5" t="n">
        <v>100000</v>
      </c>
      <c r="C4" s="5" t="n">
        <v>5479</v>
      </c>
      <c r="D4" s="5" t="n">
        <v>105479</v>
      </c>
    </row>
    <row r="5">
      <c r="A5" s="6" t="inlineStr">
        <is>
          <t>Profit for the year (FY2015; EUR '000, unconverted - see FX note)</t>
        </is>
      </c>
      <c r="B5" s="6" t="n"/>
      <c r="C5" s="6" t="n">
        <v>518</v>
      </c>
      <c r="D5" s="6" t="n">
        <v>518</v>
      </c>
    </row>
    <row r="6">
      <c r="A6" s="5" t="inlineStr">
        <is>
          <t>At 31 March 2015 (FY2015 closing; EUR '000, unconverted)</t>
        </is>
      </c>
      <c r="B6" s="5" t="n">
        <v>100000</v>
      </c>
      <c r="C6" s="5" t="n">
        <v>5997</v>
      </c>
      <c r="D6" s="5" t="n">
        <v>105997</v>
      </c>
    </row>
    <row r="7">
      <c r="A7" s="6" t="inlineStr">
        <is>
          <t>Loss for the year (FY2016; EUR '000, unconverted - see FX note)</t>
        </is>
      </c>
      <c r="B7" s="6" t="n"/>
      <c r="C7" s="6" t="n">
        <v>-498</v>
      </c>
      <c r="D7" s="6" t="n">
        <v>-498</v>
      </c>
    </row>
    <row r="8">
      <c r="A8" s="5" t="inlineStr">
        <is>
          <t>At 31 March 2016 (FY2016 closing; EUR '000, unconverted)</t>
        </is>
      </c>
      <c r="B8" s="5" t="n">
        <v>100000</v>
      </c>
      <c r="C8" s="5" t="n">
        <v>5499</v>
      </c>
      <c r="D8" s="5" t="n">
        <v>105499</v>
      </c>
    </row>
    <row r="9">
      <c r="A9" s="6" t="inlineStr">
        <is>
          <t>Loss for the year</t>
        </is>
      </c>
      <c r="B9" s="6" t="n"/>
      <c r="C9" s="6" t="n">
        <v>-1961.9</v>
      </c>
      <c r="D9" s="6" t="n">
        <v>-1961.9</v>
      </c>
    </row>
    <row r="10">
      <c r="A10" s="5" t="inlineStr">
        <is>
          <t>At 31 March 2017 (FY2017 closing)</t>
        </is>
      </c>
      <c r="B10" s="5" t="n">
        <v>116618.1</v>
      </c>
      <c r="C10" s="5" t="n">
        <v>4491</v>
      </c>
      <c r="D10" s="5" t="n">
        <v>121109</v>
      </c>
    </row>
    <row r="11">
      <c r="A11" s="6" t="inlineStr">
        <is>
          <t>Loss for the year</t>
        </is>
      </c>
      <c r="B11" s="6" t="n"/>
      <c r="C11" s="6" t="n">
        <v>-6286.4</v>
      </c>
      <c r="D11" s="6" t="n">
        <v>-6286.4</v>
      </c>
    </row>
    <row r="12">
      <c r="A12" s="5" t="inlineStr">
        <is>
          <t>At 31 March 2018 (FY2018 closing)</t>
        </is>
      </c>
      <c r="B12" s="5" t="n">
        <v>114285.7</v>
      </c>
      <c r="C12" s="5" t="n">
        <v>-1940.6</v>
      </c>
      <c r="D12" s="5" t="n">
        <v>112345.1</v>
      </c>
    </row>
    <row r="13">
      <c r="A13" s="6" t="inlineStr">
        <is>
          <t>Loss for the year</t>
        </is>
      </c>
      <c r="B13" s="6" t="n"/>
      <c r="C13" s="6" t="n">
        <v>-6617.9</v>
      </c>
      <c r="D13" s="6" t="n">
        <v>-6617.9</v>
      </c>
    </row>
    <row r="14">
      <c r="A14" s="5" t="inlineStr">
        <is>
          <t>At 31 March 2019 (FY2019 closing)</t>
        </is>
      </c>
      <c r="B14" s="5" t="n">
        <v>116279.1</v>
      </c>
      <c r="C14" s="5" t="n">
        <v>-14419.8</v>
      </c>
      <c r="D14" s="5" t="n">
        <v>101859.3</v>
      </c>
    </row>
    <row r="15">
      <c r="A15" s="6" t="inlineStr">
        <is>
          <t>Loss for the year</t>
        </is>
      </c>
      <c r="B15" s="6" t="n"/>
      <c r="C15" s="6" t="n">
        <v>-7250.3</v>
      </c>
      <c r="D15" s="6" t="n">
        <v>-7250.3</v>
      </c>
    </row>
    <row r="16">
      <c r="A16" s="5" t="inlineStr">
        <is>
          <t>At 31 March 2020 (FY2020 closing; source EUR 100,000 / (18,819) / 81,181)</t>
        </is>
      </c>
      <c r="B16" s="5" t="n">
        <v>112359.6</v>
      </c>
      <c r="C16" s="5" t="n">
        <v>-21144.9</v>
      </c>
      <c r="D16" s="5" t="n">
        <v>91214.60000000001</v>
      </c>
    </row>
    <row r="17">
      <c r="A17" s="5" t="inlineStr">
        <is>
          <t>At 1 April 2020 (FY2021 opening; source EUR 100,000 / (18,819) / 81,181 - GBP conversion not available, no FY2020 year-end rate in the disclosed source set)</t>
        </is>
      </c>
      <c r="B17" s="5" t="n"/>
      <c r="C17" s="5" t="n"/>
      <c r="D17" s="5" t="n"/>
    </row>
    <row r="18">
      <c r="A18" s="6" t="inlineStr">
        <is>
          <t>Ordinary share capital issued</t>
        </is>
      </c>
      <c r="B18" s="6" t="n">
        <v>56022.4</v>
      </c>
      <c r="C18" s="6" t="n"/>
      <c r="D18" s="6" t="n">
        <v>56022.4</v>
      </c>
    </row>
    <row r="19">
      <c r="A19" s="6" t="inlineStr">
        <is>
          <t>Loss for the year</t>
        </is>
      </c>
      <c r="B19" s="6" t="n"/>
      <c r="C19" s="6" t="n">
        <v>-601.7</v>
      </c>
      <c r="D19" s="6" t="n">
        <v>-601.7</v>
      </c>
    </row>
    <row r="20">
      <c r="A20" s="5" t="inlineStr">
        <is>
          <t>At 31 March 2021 (FY2021 closing)</t>
        </is>
      </c>
      <c r="B20" s="5" t="n">
        <v>175953.1</v>
      </c>
      <c r="C20" s="5" t="n">
        <v>-22705</v>
      </c>
      <c r="D20" s="5" t="n">
        <v>153248.1</v>
      </c>
    </row>
    <row r="21">
      <c r="A21" s="6" t="inlineStr">
        <is>
          <t>Profit for the year</t>
        </is>
      </c>
      <c r="B21" s="6" t="n"/>
      <c r="C21" s="6" t="n">
        <v>1306.7</v>
      </c>
      <c r="D21" s="6" t="n">
        <v>1306.7</v>
      </c>
    </row>
    <row r="22">
      <c r="A22" s="5" t="inlineStr">
        <is>
          <t>At 31 March 2022 (FY2022 closing)</t>
        </is>
      </c>
      <c r="B22" s="5" t="n">
        <v>176991.2</v>
      </c>
      <c r="C22" s="5" t="n">
        <v>-21524.5</v>
      </c>
      <c r="D22" s="5" t="n">
        <v>155466.7</v>
      </c>
    </row>
    <row r="23">
      <c r="A23" s="6" t="inlineStr">
        <is>
          <t>Profit for the year</t>
        </is>
      </c>
      <c r="B23" s="6" t="n"/>
      <c r="C23" s="6" t="n">
        <v>941.9</v>
      </c>
      <c r="D23" s="6" t="n">
        <v>941.9</v>
      </c>
    </row>
    <row r="24">
      <c r="A24" s="5" t="inlineStr">
        <is>
          <t>At 31 March 2023 (FY2023 closing, as originally reported in the Annual Report and Financial Statements 2023)</t>
        </is>
      </c>
      <c r="B24" s="5" t="n">
        <v>170454.5</v>
      </c>
      <c r="C24" s="5" t="n">
        <v>-19817</v>
      </c>
      <c r="D24" s="5" t="n">
        <v>150637.5</v>
      </c>
    </row>
    <row r="25">
      <c r="A25" s="6" t="inlineStr">
        <is>
          <t>Prior period restatement (per the Annual Report and Financial Statements 2024's own Note 33 - a genuine EUR 975k downward adjustment to the FY2023 closing balance, not a transcription error)</t>
        </is>
      </c>
      <c r="B25" s="6" t="n"/>
      <c r="C25" s="6" t="n">
        <v>-1108</v>
      </c>
      <c r="D25" s="6" t="n">
        <v>-1108</v>
      </c>
    </row>
    <row r="26">
      <c r="A26" s="6" t="inlineStr">
        <is>
          <t>Loss for the year</t>
        </is>
      </c>
      <c r="B26" s="6" t="n"/>
      <c r="C26" s="6" t="n">
        <v>-4511</v>
      </c>
      <c r="D26" s="6" t="n">
        <v>-4511</v>
      </c>
    </row>
    <row r="27">
      <c r="A27" s="5" t="inlineStr">
        <is>
          <t>At 31 March 2024 (FY2024 closing)</t>
        </is>
      </c>
      <c r="B27" s="5" t="n">
        <v>175438.6</v>
      </c>
      <c r="C27" s="5" t="n">
        <v>-26090.1</v>
      </c>
      <c r="D27" s="5" t="n">
        <v>149348.5</v>
      </c>
    </row>
    <row r="28">
      <c r="A28" s="6" t="inlineStr">
        <is>
          <t>Loss for the year</t>
        </is>
      </c>
      <c r="B28" s="6" t="n"/>
      <c r="C28" s="6" t="n">
        <v>-20582.8</v>
      </c>
      <c r="D28" s="6" t="n">
        <v>-20582.8</v>
      </c>
    </row>
    <row r="29">
      <c r="A29" s="5" t="inlineStr">
        <is>
          <t>At 31 March 2025 (FY2025 closing)</t>
        </is>
      </c>
      <c r="B29" s="5" t="n">
        <v>179640.7</v>
      </c>
      <c r="C29" s="5" t="n">
        <v>-47396.4</v>
      </c>
      <c r="D29" s="5" t="n">
        <v>132244.3</v>
      </c>
    </row>
    <row r="31" ht="150" customHeight="1">
      <c r="A31" s="8" t="inlineStr">
        <is>
          <t>Sources - Persia International Bank Plc's own entity-level Statement of Comprehensive Income / Statement of Financial Position / Statement of Changes in Equity / Note 12 (Impairment) / Notes 14-16 (Cash, Loans to banks, Loans to customers), converted from EUR to GBP using the Bank's disclosed rates (see FX note):
FY2025: Annual Report and Financial Statements 2025, Statement of Comprehensive Income p.36, Statement of Financial Position p.37, Statement of Changes in Equity p.38, Note 12 p.69, Notes 14-16 p.71, Credit loss exposure/Capital management (Note 25) p.77 - https://find-and-update.company-information.service.gov.uk/company/04218020/filing-history/MzQ3OTMzNTI0NWFkaXF6a2N4/document?download=0&amp;format=pdf
FY2024: Annual Report and Financial Statements 2024, Statement of Comprehensive Income p.29, Statement of Financial Position p.30, Statement of Changes in Equity p.31, Note 12 p.57, Notes 14-16 p.59 - https://find-and-update.company-information.service.gov.uk/company/04218020/filing-history/MzQzMzA4NzcwMWFkaXF6a2N4/document?download=0&amp;format=pdf
FY2023: Annual Report and Financial Statements 2023, Statement of Comprehensive Income p.28, Statement of Financial Position p.29, Statement of Changes in Equity p.30, Note 12 p.54, Notes 14-16 p.56 - https://find-and-update.company-information.service.gov.uk/company/04218020/filing-history/MzM4OTExNTc1NmFkaXF6a2N4/document?download=0&amp;format=pdf
FY2022: Annual Report and Financial Statements 2022, Statement of Comprehensive Income p.27, Statement of Financial Position p.28, Statement of Changes in Equity p.29, Note 12 p.51, Notes 14-16 p.53 - https://find-and-update.company-information.service.gov.uk/company/04218020/filing-history/MzM1NTU5ODQzNmFkaXF6a2N4/document?download=0&amp;format=pdf
FY2021: Annual Report and Financial Statements 2022's own comparative column (same pages as FY2022 above, this is the latest filing that still contains a full FY2021 column) - https://find-and-update.company-information.service.gov.uk/company/04218020/filing-history/MzM1NTU5ODQzNmFkaXF6a2N4/document?download=0&amp;format=pdf
FY2020: Annual Report and Financial Statements for year ended 31 March 2020, Statement of Comprehensive Income p.26, Statement of Financial Position p.27, Note 28.4 (Capital management) p.62, Note 28.2 (stage-level credit exposure) p.61 (scanned Companies House filing) - https://find-and-update.company-information.service.gov.uk/company/04218020/filing-history/MzI4MjYzOTE2OGFkaXF6a2N4/document?download=0&amp;format=pdf
FY2019: Annual Report and Financial Statements for year ended 31 March 2019, Statement of Comprehensive Income p.22, Statement of Financial Position p.23, Note 28.4 (Capital management) p.58, Note 28 (stage-level credit exposure) p.57 (scanned filing) - https://find-and-update.company-information.service.gov.uk/company/04218020/filing-history/MzI0MDMwNDExNmFkaXF6a2N4/document?download=0&amp;format=pdf
FY2018: Annual Report and Financial Statements for year ended 31 March 2018, Statement of Comprehensive Income p.15, Statement of Financial Position p.16, capital management note p.31, loan-portfolio note p.30 (scanned filing) - https://find-and-update.company-information.service.gov.uk/company/04218020/filing-history/MzIxMjI1ODQ3MmFkaXF6a2N4/document?download=0&amp;format=pdf
FY2017: Annual Report and Financial Statements for year ended 31 March 2017, Statement of Comprehensive Income p.13, Statement of Financial Position p.14, capital management note p.28, loan-portfolio note p.27 (scanned filing) - https://find-and-update.company-information.service.gov.uk/company/04218020/filing-history/MzE4MTE5NDQwMWFkaXF6a2N4/document?download=0&amp;format=pdf
FY2016: Annual Report and Financial Statements for year ended 31 March 2016, Statement of Comprehensive Income p.13, Statement of Financial Position p.14, capital management note p.27, loan-portfolio note p.26 (scanned filing) - https://find-and-update.company-information.service.gov.uk/company/04218020/filing-history/MzE1NjI0NzM2OWFkaXF6a2N4/document?download=0&amp;format=pdf
FY2015: Annual Report and Financial Statements for year ended 31 March 2015, Statement of Comprehensive Income p.12, Statement of Financial Position p.13, capital management note p.31, loan-portfolio note p.30 (scanned filing, includes an embedded Pillar 3 disclosure at pp.35-52) - https://find-and-update.company-information.service.gov.uk/company/04218020/filing-history/MzEyNzM3Mjc4NWFkaXF6a2N4/document?download=0&amp;format=pdf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(EUR per GBP). Flow figures are divided by the year's disclosed average rate; balance figures are divided by the year's disclosed year-end rate.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RESTATEMENT: the Annual Report and Financial Statements 2024's own Note 33 restates the Bank's FY2022/FY2023 figures (e.g. FY2023 closing retained earnings restated from EUR (17,439k) to EUR (18,414k), a genuine EUR 975k downward adjustment; FY2023 loans and advances to customers also restated from EUR 24,653k net to EUR 28,105k net, reclassifying interest receivable into that line). Each year's Balance Sheet/P&amp;L/Equity column here uses that year's own originally-reported figures (not the later restated comparative), consistent with every other bank in this project; the restatement is instead shown as its own explicit bridging row in the Statement of Changes in Equity, between FY2023's originally-reported closing balance and FY2024's own restated opening balance, per the Bank's own Note 33.</t>
        </is>
      </c>
    </row>
  </sheetData>
  <mergeCells count="1">
    <mergeCell ref="A31:D3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Statement of Cash Flows</t>
        </is>
      </c>
    </row>
    <row r="2">
      <c r="A2" s="2" t="inlineStr">
        <is>
          <t>Entity-level basis, £'000 converted from EUR (FY2015/FY2016 figures are EUR '000, unconverted - no year-end EUR/GBP rate is disclosed for those two years; FY2017 and FY2021 opening cash are each left blank for the same reason, one year removed); see source note for sanctions, reporting basis and FX methodology</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c r="G3" s="4" t="inlineStr">
        <is>
          <t>FY2020 (£'000, conv. from EUR)</t>
        </is>
      </c>
      <c r="H3" s="4" t="inlineStr">
        <is>
          <t>FY2019 (£'000, conv. from EUR)</t>
        </is>
      </c>
      <c r="I3" s="4" t="inlineStr">
        <is>
          <t>FY2018 (£'000, conv. from EUR)</t>
        </is>
      </c>
      <c r="J3" s="4" t="inlineStr">
        <is>
          <t>FY2017 (£'000, conv. from EUR)</t>
        </is>
      </c>
      <c r="K3" s="4" t="inlineStr">
        <is>
          <t>FY2016 (£'000, conv. from EUR)</t>
        </is>
      </c>
      <c r="L3" s="4" t="inlineStr">
        <is>
          <t>FY2015 (£'000, conv. from EUR)</t>
        </is>
      </c>
    </row>
    <row r="4">
      <c r="A4" s="5" t="inlineStr">
        <is>
          <t>Operating activities</t>
        </is>
      </c>
      <c r="B4" s="6" t="n"/>
      <c r="C4" s="6" t="n"/>
      <c r="D4" s="6" t="n"/>
      <c r="E4" s="6" t="n"/>
      <c r="F4" s="6" t="n"/>
      <c r="G4" s="6" t="n"/>
      <c r="H4" s="6" t="n"/>
      <c r="I4" s="6" t="n"/>
      <c r="J4" s="6" t="n"/>
      <c r="K4" s="6" t="n"/>
      <c r="L4" s="6" t="n"/>
    </row>
    <row r="5">
      <c r="A5" s="5" t="inlineStr">
        <is>
          <t>Net cash flow from operating activities</t>
        </is>
      </c>
      <c r="B5" s="5" t="n">
        <v>2381.4</v>
      </c>
      <c r="C5" s="5" t="n">
        <v>-16472.8</v>
      </c>
      <c r="D5" s="5" t="n">
        <v>6001.2</v>
      </c>
      <c r="E5" s="5" t="n">
        <v>3987.1</v>
      </c>
      <c r="F5" s="5" t="n">
        <v>-412.3</v>
      </c>
      <c r="G5" s="5" t="n">
        <v>-30729.8</v>
      </c>
      <c r="H5" s="5" t="n">
        <v>-4227.6</v>
      </c>
      <c r="I5" s="5" t="n">
        <v>8699.4</v>
      </c>
      <c r="J5" s="5" t="n">
        <v>-4234.5</v>
      </c>
      <c r="K5" s="5" t="n">
        <v>14542.6</v>
      </c>
      <c r="L5" s="5" t="n">
        <v>18649.4</v>
      </c>
    </row>
    <row r="6">
      <c r="A6" s="5" t="inlineStr">
        <is>
          <t>Investing activities</t>
        </is>
      </c>
      <c r="B6" s="6" t="n"/>
      <c r="C6" s="6" t="n"/>
      <c r="D6" s="6" t="n"/>
      <c r="E6" s="6" t="n"/>
      <c r="F6" s="6" t="n"/>
      <c r="G6" s="6" t="n"/>
      <c r="H6" s="6" t="n"/>
      <c r="I6" s="6" t="n"/>
      <c r="J6" s="6" t="n"/>
      <c r="K6" s="6" t="n"/>
      <c r="L6" s="6" t="n"/>
    </row>
    <row r="7">
      <c r="A7" s="5" t="inlineStr">
        <is>
          <t>Net cash flow from investing activities</t>
        </is>
      </c>
      <c r="B7" s="5" t="n">
        <v>-2.4</v>
      </c>
      <c r="C7" s="5" t="n">
        <v>-83.40000000000001</v>
      </c>
      <c r="D7" s="5" t="n">
        <v>-54</v>
      </c>
      <c r="E7" s="5" t="n">
        <v>-51.6</v>
      </c>
      <c r="F7" s="5" t="n">
        <v>0</v>
      </c>
      <c r="G7" s="5" t="n">
        <v>0</v>
      </c>
      <c r="H7" s="5" t="n">
        <v>-71.40000000000001</v>
      </c>
      <c r="I7" s="5" t="n">
        <v>-1018.5</v>
      </c>
      <c r="J7" s="5" t="n">
        <v>-452.4</v>
      </c>
      <c r="K7" s="5" t="n">
        <v>-119.1</v>
      </c>
      <c r="L7" s="5" t="n">
        <v>-212.3</v>
      </c>
    </row>
    <row r="8">
      <c r="A8" s="5" t="inlineStr">
        <is>
          <t>Financing activities</t>
        </is>
      </c>
      <c r="B8" s="6" t="n"/>
      <c r="C8" s="6" t="n"/>
      <c r="D8" s="6" t="n"/>
      <c r="E8" s="6" t="n"/>
      <c r="F8" s="6" t="n"/>
      <c r="G8" s="6" t="n"/>
      <c r="H8" s="6" t="n"/>
      <c r="I8" s="6" t="n"/>
      <c r="J8" s="6" t="n"/>
      <c r="K8" s="6" t="n"/>
      <c r="L8" s="6" t="n"/>
    </row>
    <row r="9">
      <c r="A9" s="5" t="inlineStr">
        <is>
          <t>Net cash flow from financing activities</t>
        </is>
      </c>
      <c r="B9" s="5" t="n">
        <v>-270.6</v>
      </c>
      <c r="C9" s="5" t="n">
        <v>-31838.9</v>
      </c>
      <c r="D9" s="5" t="n">
        <v>-1548.4</v>
      </c>
      <c r="E9" s="5" t="n">
        <v>-10775.4</v>
      </c>
      <c r="F9" s="5" t="n">
        <v>-1802.8</v>
      </c>
      <c r="G9" s="5" t="n">
        <v>67453.7</v>
      </c>
      <c r="H9" s="5" t="n">
        <v>-12745.1</v>
      </c>
      <c r="I9" s="5" t="n">
        <v>0</v>
      </c>
      <c r="J9" s="5" t="n">
        <v>0</v>
      </c>
      <c r="K9" s="5" t="n">
        <v>0</v>
      </c>
      <c r="L9" s="5" t="n">
        <v>0</v>
      </c>
    </row>
    <row r="10">
      <c r="A10" s="5" t="inlineStr">
        <is>
          <t>Net (decrease) / increase in cash and cash equivalents</t>
        </is>
      </c>
      <c r="B10" s="5" t="n">
        <v>2129.9</v>
      </c>
      <c r="C10" s="5" t="n">
        <v>-48395.1</v>
      </c>
      <c r="D10" s="5" t="n">
        <v>4398.8</v>
      </c>
      <c r="E10" s="5" t="n">
        <v>-6839.9</v>
      </c>
      <c r="F10" s="5" t="n">
        <v>-2215.1</v>
      </c>
      <c r="G10" s="5" t="n">
        <v>36723.9</v>
      </c>
      <c r="H10" s="5" t="n">
        <v>-17045.2</v>
      </c>
      <c r="I10" s="5" t="n">
        <v>-1498.8</v>
      </c>
      <c r="J10" s="5" t="n">
        <v>-4647.6</v>
      </c>
      <c r="K10" s="5" t="n">
        <v>14286.9</v>
      </c>
      <c r="L10" s="5" t="n">
        <v>18474.2</v>
      </c>
    </row>
    <row r="11">
      <c r="A11" s="6" t="inlineStr">
        <is>
          <t>Exchange difference (Bank's own EUR statement line)</t>
        </is>
      </c>
      <c r="B11" s="6" t="n">
        <v>-172.8</v>
      </c>
      <c r="C11" s="6" t="n">
        <v>1169.2</v>
      </c>
      <c r="D11" s="6" t="n">
        <v>-51.6</v>
      </c>
      <c r="E11" s="6" t="n">
        <v>0</v>
      </c>
      <c r="F11" s="6" t="n">
        <v>0</v>
      </c>
      <c r="G11" s="6" t="n">
        <v>0</v>
      </c>
      <c r="H11" s="6" t="n">
        <v>0</v>
      </c>
      <c r="I11" s="6" t="n">
        <v>4.5</v>
      </c>
      <c r="J11" s="6" t="n">
        <v>39.3</v>
      </c>
      <c r="K11" s="6" t="n">
        <v>-136.7</v>
      </c>
      <c r="L11" s="6" t="n">
        <v>37.1</v>
      </c>
    </row>
    <row r="12">
      <c r="A12" s="6" t="inlineStr">
        <is>
          <t>Effect of GBP/EUR translation (this workbook's conversion line)</t>
        </is>
      </c>
      <c r="B12" s="6" t="n">
        <v>2123.7</v>
      </c>
      <c r="C12" s="6" t="n">
        <v>-62647.1</v>
      </c>
      <c r="D12" s="6" t="n">
        <v>-7572.8</v>
      </c>
      <c r="E12" s="6" t="n">
        <v>1181.1</v>
      </c>
      <c r="F12" s="6" t="n"/>
      <c r="G12" s="6" t="n">
        <v>-5919</v>
      </c>
      <c r="H12" s="6" t="n">
        <v>2768.4</v>
      </c>
      <c r="I12" s="6" t="n">
        <v>-3802.4</v>
      </c>
      <c r="J12" s="6" t="n"/>
      <c r="K12" s="6" t="n">
        <v>-3592.2</v>
      </c>
      <c r="L12" s="6" t="n">
        <v>-4066.3</v>
      </c>
    </row>
    <row r="13">
      <c r="A13" s="6" t="inlineStr">
        <is>
          <t>Cash and cash equivalents at the beginning of the year</t>
        </is>
      </c>
      <c r="B13" s="6" t="n">
        <v>88271.3</v>
      </c>
      <c r="C13" s="6" t="n">
        <v>198144.3</v>
      </c>
      <c r="D13" s="6" t="n">
        <v>201369.9</v>
      </c>
      <c r="E13" s="6" t="n">
        <v>207028.7</v>
      </c>
      <c r="F13" s="6" t="n"/>
      <c r="G13" s="6" t="n">
        <v>169722.1</v>
      </c>
      <c r="H13" s="6" t="n">
        <v>183998.9</v>
      </c>
      <c r="I13" s="6" t="n">
        <v>189295.6</v>
      </c>
      <c r="J13" s="6" t="n"/>
      <c r="K13" s="6" t="n">
        <v>155667</v>
      </c>
      <c r="L13" s="6" t="n">
        <v>141222</v>
      </c>
    </row>
    <row r="14">
      <c r="A14" s="5" t="inlineStr">
        <is>
          <t>Cash and cash equivalents at the end of the year</t>
        </is>
      </c>
      <c r="B14" s="5" t="n">
        <v>92352.10000000001</v>
      </c>
      <c r="C14" s="5" t="n">
        <v>88271.3</v>
      </c>
      <c r="D14" s="5" t="n">
        <v>198144.3</v>
      </c>
      <c r="E14" s="5" t="n">
        <v>201369.9</v>
      </c>
      <c r="F14" s="5" t="n">
        <v>207028.7</v>
      </c>
      <c r="G14" s="5" t="n">
        <v>200527</v>
      </c>
      <c r="H14" s="5" t="n">
        <v>169722.1</v>
      </c>
      <c r="I14" s="5" t="n">
        <v>183998.9</v>
      </c>
      <c r="J14" s="5" t="n">
        <v>189295.6</v>
      </c>
      <c r="K14" s="5" t="n">
        <v>166225</v>
      </c>
      <c r="L14" s="5" t="n">
        <v>155667</v>
      </c>
    </row>
    <row r="16" ht="330" customHeight="1">
      <c r="A16" s="8" t="inlineStr">
        <is>
          <t>Sources - Persia International Bank Plc's own entity-level Statements of Cash Flows, converted from EUR to GBP using the Bank's disclosed rates (see FX note):
FY2025: Annual Report and Financial Statements for year ended 31 March 2025, p.39 - https://find-and-update.company-information.service.gov.uk/company/04218020/filing-history/MzQ3OTMzNTI0NWFkaXF6a2N4/document?download=0&amp;format=pdf
FY2024: Annual Report and Financial Statements for year ended 31 March 2024, p.32 - https://find-and-update.company-information.service.gov.uk/company/04218020/filing-history/MzQzMzA4NzcwMWFkaXF6a2N4/document?download=0&amp;format=pdf
FY2023: Annual Report and Financial Statements for year ended 31 March 2023, p.31 - https://find-and-update.company-information.service.gov.uk/company/04218020/filing-history/MzM4OTExNTc1NmFkaXF6a2N4/document?download=0&amp;format=pdf
FY2022: Annual Report and Financial Statements for year ended 31 March 2022, p.30 - https://find-and-update.company-information.service.gov.uk/company/04218020/filing-history/MzM1NTU5ODQzNmFkaXF6a2N4/document?download=0&amp;format=pdf
FY2021: FY2022 Annual Report's comparative column, p.30 - https://find-and-update.company-information.service.gov.uk/company/04218020/filing-history/MzM1NTU5ODQzNmFkaXF6a2N4/document?download=0&amp;format=pdf
FY2020: Annual Report and Financial Statements for year ended 31 March 2020, p.29 (scanned Companies House filing, transcribed from the page image) - https://find-and-update.company-information.service.gov.uk/company/04218020/filing-history/MzI4MjYzOTE2OGFkaXF6a2N4/document?download=0&amp;format=pdf
FY2019: Annual Report and Financial Statements for year ended 31 March 2019, p.25 (scanned filing) - https://find-and-update.company-information.service.gov.uk/company/04218020/filing-history/MzI0MDMwNDExNmFkaXF6a2N4/document?download=0&amp;format=pdf
FY2018: Annual Report and Financial Statements for year ended 31 March 2018, p.18 (scanned filing) - https://find-and-update.company-information.service.gov.uk/company/04218020/filing-history/MzIxMjI1ODQ3MmFkaXF6a2N4/document?download=0&amp;format=pdf
FY2017: Annual Report and Financial Statements for year ended 31 March 2017, p.16 (scanned filing) - https://find-and-update.company-information.service.gov.uk/company/04218020/filing-history/MzE4MTE5NDQwMWFkaXF6a2N4/document?download=0&amp;format=pdf
FY2016: Annual Report and Financial Statements for year ended 31 March 2016, p.16 (scanned filing) - https://find-and-update.company-information.service.gov.uk/company/04218020/filing-history/MzE1NjI0NzM2OWFkaXF6a2N4/document?download=0&amp;format=pdf
FY2015: Annual Report and Financial Statements for year ended 31 March 2015, p.15 (scanned filing) - https://find-and-update.company-information.service.gov.uk/company/04218020/filing-history/MzEyNzM3Mjc4NWFkaXF6a2N4/document?download=0&amp;format=pdf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(EUR per GBP). Flow figures are divided by the year's disclosed average rate; balance figures are divided by the year's disclosed year-end rate.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FY2020 CASH RECONCILIATION NOTE: the FY2020 Annual Report's own Statement of Cash Flows states "Cash and cash equivalents at the end of the year" as EUR 174,469k, but its own supporting reconciliation table two lines below (cash at central banks EUR 27,443k + loans/advances to banks with maturity &lt;3 months EUR 151,026k) sums to EUR 178,469k - a genuine EUR 4,000k internal inconsistency in the Bank's own document, not a transcription error here. This workbook uses EUR 178,469k (the reconciliation-table figure, which also ties to opening cash plus the year's own operating/investing/financing/FX movements) for FY2020 closing cash.</t>
        </is>
      </c>
    </row>
  </sheetData>
  <mergeCells count="1">
    <mergeCell ref="A16:L1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1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Asset Quality</t>
        </is>
      </c>
    </row>
    <row r="2">
      <c r="A2" s="2" t="inlineStr">
        <is>
          <t>Entity-level basis, £'000 converted from EUR (FY2015/FY2016 figures are EUR '000, unconverted - see FX note). Net loans and advances to customers ties exactly to the Balance Sheet every year. FY2022's own component split (Commercial/Syndicated) differs from a later report's FY2022 comparative despite both giving the identical net figure (EUR 32,356k) - a genuine component-level reclassification, not a data error; this year's own contemporaneous report is used, as elsewhere in this workbook. FY2015-FY2020 (added under HD-021) use two more structures again - see the section headers below.</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c r="G3" s="4" t="inlineStr">
        <is>
          <t>FY2020 (£'000, conv. from EUR)</t>
        </is>
      </c>
      <c r="H3" s="4" t="inlineStr">
        <is>
          <t>FY2019 (£'000, conv. from EUR)</t>
        </is>
      </c>
      <c r="I3" s="4" t="inlineStr">
        <is>
          <t>FY2018 (£'000, conv. from EUR)</t>
        </is>
      </c>
      <c r="J3" s="4" t="inlineStr">
        <is>
          <t>FY2017 (£'000, conv. from EUR)</t>
        </is>
      </c>
      <c r="K3" s="4" t="inlineStr">
        <is>
          <t>FY2016 (£'000, conv. from EUR)</t>
        </is>
      </c>
      <c r="L3" s="4" t="inlineStr">
        <is>
          <t>FY2015 (£'000, conv. from EUR)</t>
        </is>
      </c>
    </row>
    <row r="4">
      <c r="A4" s="5" t="inlineStr">
        <is>
          <t>Loans and advances to customers (Note 16)</t>
        </is>
      </c>
      <c r="B4" s="6" t="n"/>
      <c r="C4" s="6" t="n"/>
      <c r="D4" s="6" t="n"/>
      <c r="E4" s="6" t="n"/>
      <c r="F4" s="6" t="n"/>
      <c r="G4" s="6" t="n"/>
      <c r="H4" s="6" t="n"/>
      <c r="I4" s="6" t="n"/>
      <c r="J4" s="6" t="n"/>
      <c r="K4" s="6" t="n"/>
      <c r="L4" s="6" t="n"/>
    </row>
    <row r="5">
      <c r="A5" s="6" t="inlineStr">
        <is>
          <t>Commercial Loan</t>
        </is>
      </c>
      <c r="B5" s="6" t="n">
        <v>36494.6</v>
      </c>
      <c r="C5" s="6" t="n">
        <v>35346.2</v>
      </c>
      <c r="D5" s="6" t="n">
        <v>4812.5</v>
      </c>
      <c r="E5" s="6" t="n">
        <v>4997.1</v>
      </c>
      <c r="F5" s="6" t="n">
        <v>4967.7</v>
      </c>
      <c r="G5" s="6" t="n"/>
      <c r="H5" s="6" t="n"/>
      <c r="I5" s="6" t="n"/>
      <c r="J5" s="6" t="n"/>
      <c r="K5" s="6" t="n"/>
      <c r="L5" s="6" t="n"/>
    </row>
    <row r="6">
      <c r="A6" s="6" t="inlineStr">
        <is>
          <t>Syndicated Loans</t>
        </is>
      </c>
      <c r="B6" s="6" t="n">
        <v>18364.1</v>
      </c>
      <c r="C6" s="6" t="n">
        <v>28393</v>
      </c>
      <c r="D6" s="6" t="n">
        <v>29322.7</v>
      </c>
      <c r="E6" s="6" t="n">
        <v>44139.2</v>
      </c>
      <c r="F6" s="6" t="n">
        <v>48663.9</v>
      </c>
      <c r="G6" s="6" t="n"/>
      <c r="H6" s="6" t="n"/>
      <c r="I6" s="6" t="n"/>
      <c r="J6" s="6" t="n"/>
      <c r="K6" s="6" t="n"/>
      <c r="L6" s="6" t="n"/>
    </row>
    <row r="7">
      <c r="A7" s="6" t="inlineStr">
        <is>
          <t>Interest receivable (only disclosed as its own line FY2024-FY2025)</t>
        </is>
      </c>
      <c r="B7" s="6" t="n">
        <v>6618</v>
      </c>
      <c r="C7" s="6" t="n">
        <v>3080.7</v>
      </c>
      <c r="D7" s="6" t="n"/>
      <c r="E7" s="6" t="n"/>
      <c r="F7" s="6" t="n"/>
      <c r="G7" s="6" t="n"/>
      <c r="H7" s="6" t="n"/>
      <c r="I7" s="6" t="n"/>
      <c r="J7" s="6" t="n"/>
      <c r="K7" s="6" t="n"/>
      <c r="L7" s="6" t="n"/>
    </row>
    <row r="8">
      <c r="A8" s="5" t="inlineStr">
        <is>
          <t>Gross loans and advances to customers</t>
        </is>
      </c>
      <c r="B8" s="5" t="n">
        <v>61476.6</v>
      </c>
      <c r="C8" s="5" t="n">
        <v>66819.89999999999</v>
      </c>
      <c r="D8" s="5" t="n">
        <v>34135.2</v>
      </c>
      <c r="E8" s="5" t="n">
        <v>49136.3</v>
      </c>
      <c r="F8" s="5" t="n">
        <v>53631.7</v>
      </c>
      <c r="G8" s="5" t="n"/>
      <c r="H8" s="5" t="n"/>
      <c r="I8" s="5" t="n"/>
      <c r="J8" s="5" t="n"/>
      <c r="K8" s="5" t="n"/>
      <c r="L8" s="5" t="n"/>
    </row>
    <row r="9">
      <c r="A9" s="6" t="inlineStr">
        <is>
          <t>Less: expected credit loss allowance</t>
        </is>
      </c>
      <c r="B9" s="6" t="n">
        <v>-28928.1</v>
      </c>
      <c r="C9" s="6" t="n">
        <v>-8997.700000000001</v>
      </c>
      <c r="D9" s="6" t="n">
        <v>-6120.5</v>
      </c>
      <c r="E9" s="6" t="n">
        <v>-10958.1</v>
      </c>
      <c r="F9" s="6" t="n">
        <v>-11076.8</v>
      </c>
      <c r="G9" s="6" t="n"/>
      <c r="H9" s="6" t="n"/>
      <c r="I9" s="6" t="n"/>
      <c r="J9" s="6" t="n"/>
      <c r="K9" s="6" t="n"/>
      <c r="L9" s="6" t="n"/>
    </row>
    <row r="10">
      <c r="A10" s="5" t="inlineStr">
        <is>
          <t>Net loans and advances to customers</t>
        </is>
      </c>
      <c r="B10" s="5" t="n">
        <v>32548.5</v>
      </c>
      <c r="C10" s="5" t="n">
        <v>57822.2</v>
      </c>
      <c r="D10" s="5" t="n">
        <v>28014.8</v>
      </c>
      <c r="E10" s="5" t="n">
        <v>38178.2</v>
      </c>
      <c r="F10" s="5" t="n">
        <v>42554.8</v>
      </c>
      <c r="G10" s="5" t="n"/>
      <c r="H10" s="5" t="n"/>
      <c r="I10" s="5" t="n"/>
      <c r="J10" s="5" t="n"/>
      <c r="K10" s="5" t="n"/>
      <c r="L10" s="5" t="n"/>
    </row>
    <row r="11">
      <c r="A11" s="6" t="inlineStr">
        <is>
          <t>ECL allowance coverage ratio (allowance / gross loans)</t>
        </is>
      </c>
      <c r="B11" s="6" t="inlineStr">
        <is>
          <t>47.06%</t>
        </is>
      </c>
      <c r="C11" s="6" t="inlineStr">
        <is>
          <t>13.47%</t>
        </is>
      </c>
      <c r="D11" s="6" t="inlineStr">
        <is>
          <t>17.93%</t>
        </is>
      </c>
      <c r="E11" s="6" t="inlineStr">
        <is>
          <t>22.30%</t>
        </is>
      </c>
      <c r="F11" s="6" t="inlineStr">
        <is>
          <t>20.66%</t>
        </is>
      </c>
      <c r="G11" s="6" t="n"/>
      <c r="H11" s="6" t="n"/>
      <c r="I11" s="6" t="n"/>
      <c r="J11" s="6" t="n"/>
      <c r="K11" s="6" t="n"/>
      <c r="L11" s="6" t="n"/>
    </row>
    <row r="12">
      <c r="A12" s="5" t="inlineStr">
        <is>
          <t>IFRS 9 stage split of the annual impairment charge/(reversal) (Note 12)</t>
        </is>
      </c>
      <c r="B12" s="6" t="n"/>
      <c r="C12" s="6" t="n"/>
      <c r="D12" s="6" t="n"/>
      <c r="E12" s="6" t="n"/>
      <c r="F12" s="6" t="n"/>
      <c r="G12" s="6" t="n"/>
      <c r="H12" s="6" t="n"/>
      <c r="I12" s="6" t="n"/>
      <c r="J12" s="6" t="n"/>
      <c r="K12" s="6" t="n"/>
      <c r="L12" s="6" t="n"/>
    </row>
    <row r="13">
      <c r="A13" s="6" t="inlineStr">
        <is>
          <t>Stage 1 - Performing - 12 months ECL</t>
        </is>
      </c>
      <c r="B13" s="6" t="n">
        <v>-7.2</v>
      </c>
      <c r="C13" s="6" t="n">
        <v>-852.8</v>
      </c>
      <c r="D13" s="6" t="n">
        <v>3110.9</v>
      </c>
      <c r="E13" s="6" t="n">
        <v>6422.3</v>
      </c>
      <c r="F13" s="6" t="n">
        <v>5612.3</v>
      </c>
      <c r="G13" s="6" t="n"/>
      <c r="H13" s="6" t="n"/>
      <c r="I13" s="6" t="n"/>
      <c r="J13" s="6" t="n"/>
      <c r="K13" s="6" t="n"/>
      <c r="L13" s="6" t="n"/>
    </row>
    <row r="14">
      <c r="A14" s="6" t="inlineStr">
        <is>
          <t>Stage 2 - Performing - lifetime ECL</t>
        </is>
      </c>
      <c r="B14" s="6" t="n">
        <v>-7500.6</v>
      </c>
      <c r="C14" s="6" t="n">
        <v>-2419.5</v>
      </c>
      <c r="D14" s="6" t="n">
        <v>0</v>
      </c>
      <c r="E14" s="6" t="n">
        <v>0</v>
      </c>
      <c r="F14" s="6" t="n">
        <v>0</v>
      </c>
      <c r="G14" s="6" t="n"/>
      <c r="H14" s="6" t="n"/>
      <c r="I14" s="6" t="n"/>
      <c r="J14" s="6" t="n"/>
      <c r="K14" s="6" t="n"/>
      <c r="L14" s="6" t="n"/>
    </row>
    <row r="15">
      <c r="A15" s="6" t="inlineStr">
        <is>
          <t>Stage 3 - Non-performing - lifetime ECL</t>
        </is>
      </c>
      <c r="B15" s="6" t="n">
        <v>-12419.5</v>
      </c>
      <c r="C15" s="6" t="n">
        <v>-362.7</v>
      </c>
      <c r="D15" s="6" t="n">
        <v>-4722.6</v>
      </c>
      <c r="E15" s="6" t="n">
        <v>-4388.3</v>
      </c>
      <c r="F15" s="6" t="n">
        <v>-4588.2</v>
      </c>
      <c r="G15" s="6" t="n"/>
      <c r="H15" s="6" t="n"/>
      <c r="I15" s="6" t="n"/>
      <c r="J15" s="6" t="n"/>
      <c r="K15" s="6" t="n"/>
      <c r="L15" s="6" t="n"/>
    </row>
    <row r="16">
      <c r="A16" s="5" t="inlineStr">
        <is>
          <t>Impairment (charge)/reversal for the year</t>
        </is>
      </c>
      <c r="B16" s="5" t="n">
        <v>-19927.3</v>
      </c>
      <c r="C16" s="5" t="n">
        <v>-3635</v>
      </c>
      <c r="D16" s="5" t="n">
        <v>-1611.7</v>
      </c>
      <c r="E16" s="5" t="n">
        <v>2034</v>
      </c>
      <c r="F16" s="5" t="n">
        <v>1024.1</v>
      </c>
      <c r="G16" s="5" t="n"/>
      <c r="H16" s="5" t="n"/>
      <c r="I16" s="5" t="n"/>
      <c r="J16" s="5" t="n"/>
      <c r="K16" s="5" t="n"/>
      <c r="L16" s="5" t="n"/>
    </row>
    <row r="17">
      <c r="A17" s="5" t="inlineStr">
        <is>
          <t>FY2025-only: IFRS 9 stage-level loan exposure (Credit loss exposure table, Note 25) - no equivalent balance-level stage table found in FY2021-FY2024's reports</t>
        </is>
      </c>
      <c r="B17" s="6" t="n"/>
      <c r="C17" s="6" t="n"/>
      <c r="D17" s="6" t="n"/>
      <c r="E17" s="6" t="n"/>
      <c r="F17" s="6" t="n"/>
      <c r="G17" s="6" t="n"/>
      <c r="H17" s="6" t="n"/>
      <c r="I17" s="6" t="n"/>
      <c r="J17" s="6" t="n"/>
      <c r="K17" s="6" t="n"/>
      <c r="L17" s="6" t="n"/>
    </row>
    <row r="18">
      <c r="A18" s="6" t="inlineStr">
        <is>
          <t>Stage 1 gross exposure - loans and advances to customers</t>
        </is>
      </c>
      <c r="B18" s="6" t="n">
        <v>58.7</v>
      </c>
      <c r="C18" s="6" t="n"/>
      <c r="D18" s="6" t="n"/>
      <c r="E18" s="6" t="n"/>
      <c r="F18" s="6" t="n"/>
      <c r="G18" s="6" t="n"/>
      <c r="H18" s="6" t="n"/>
      <c r="I18" s="6" t="n"/>
      <c r="J18" s="6" t="n"/>
      <c r="K18" s="6" t="n"/>
      <c r="L18" s="6" t="n"/>
    </row>
    <row r="19">
      <c r="A19" s="6" t="inlineStr">
        <is>
          <t>Stage 2 gross exposure - loans and advances to customers</t>
        </is>
      </c>
      <c r="B19" s="6" t="n">
        <v>34350.9</v>
      </c>
      <c r="C19" s="6" t="n"/>
      <c r="D19" s="6" t="n"/>
      <c r="E19" s="6" t="n"/>
      <c r="F19" s="6" t="n"/>
      <c r="G19" s="6" t="n"/>
      <c r="H19" s="6" t="n"/>
      <c r="I19" s="6" t="n"/>
      <c r="J19" s="6" t="n"/>
      <c r="K19" s="6" t="n"/>
      <c r="L19" s="6" t="n"/>
    </row>
    <row r="20">
      <c r="A20" s="6" t="inlineStr">
        <is>
          <t>Stage 3 gross exposure - loans and advances to customers</t>
        </is>
      </c>
      <c r="B20" s="6" t="n">
        <v>27125.7</v>
      </c>
      <c r="C20" s="6" t="n"/>
      <c r="D20" s="6" t="n"/>
      <c r="E20" s="6" t="n"/>
      <c r="F20" s="6" t="n"/>
      <c r="G20" s="6" t="n"/>
      <c r="H20" s="6" t="n"/>
      <c r="I20" s="6" t="n"/>
      <c r="J20" s="6" t="n"/>
      <c r="K20" s="6" t="n"/>
      <c r="L20" s="6" t="n"/>
    </row>
    <row r="21">
      <c r="A21" s="6" t="inlineStr">
        <is>
          <t>Stage 1 impairment allowance</t>
        </is>
      </c>
      <c r="B21" s="6" t="n">
        <v>-6</v>
      </c>
      <c r="C21" s="6" t="n"/>
      <c r="D21" s="6" t="n"/>
      <c r="E21" s="6" t="n"/>
      <c r="F21" s="6" t="n"/>
      <c r="G21" s="6" t="n"/>
      <c r="H21" s="6" t="n"/>
      <c r="I21" s="6" t="n"/>
      <c r="J21" s="6" t="n"/>
      <c r="K21" s="6" t="n"/>
      <c r="L21" s="6" t="n"/>
    </row>
    <row r="22">
      <c r="A22" s="6" t="inlineStr">
        <is>
          <t>Stage 2 impairment allowance</t>
        </is>
      </c>
      <c r="B22" s="6" t="n">
        <v>-10038.3</v>
      </c>
      <c r="C22" s="6" t="n"/>
      <c r="D22" s="6" t="n"/>
      <c r="E22" s="6" t="n"/>
      <c r="F22" s="6" t="n"/>
      <c r="G22" s="6" t="n"/>
      <c r="H22" s="6" t="n"/>
      <c r="I22" s="6" t="n"/>
      <c r="J22" s="6" t="n"/>
      <c r="K22" s="6" t="n"/>
      <c r="L22" s="6" t="n"/>
    </row>
    <row r="23">
      <c r="A23" s="6" t="inlineStr">
        <is>
          <t>Stage 3 impairment allowance</t>
        </is>
      </c>
      <c r="B23" s="6" t="n">
        <v>-17673.1</v>
      </c>
      <c r="C23" s="6" t="n"/>
      <c r="D23" s="6" t="n"/>
      <c r="E23" s="6" t="n"/>
      <c r="F23" s="6" t="n"/>
      <c r="G23" s="6" t="n"/>
      <c r="H23" s="6" t="n"/>
      <c r="I23" s="6" t="n"/>
      <c r="J23" s="6" t="n"/>
      <c r="K23" s="6" t="n"/>
      <c r="L23" s="6" t="n"/>
    </row>
    <row r="24">
      <c r="A24" s="5" t="inlineStr">
        <is>
          <t>Net exposure - loans and advances to customers, per this stage-level table (FY2025 EUR 28,238k gross-less-allowance - EUR 1,060k / ~4% higher than Note 16's EUR 27,178k net figure used above; a genuine inconsistency between two different notes in the same Annual Report, not reconciled here)</t>
        </is>
      </c>
      <c r="B24" s="5" t="n">
        <v>33818</v>
      </c>
      <c r="C24" s="5" t="n"/>
      <c r="D24" s="5" t="n"/>
      <c r="E24" s="5" t="n"/>
      <c r="F24" s="5" t="n"/>
      <c r="G24" s="5" t="n"/>
      <c r="H24" s="5" t="n"/>
      <c r="I24" s="5" t="n"/>
      <c r="J24" s="5" t="n"/>
      <c r="K24" s="5" t="n"/>
      <c r="L24" s="5" t="n"/>
    </row>
    <row r="25">
      <c r="A25" s="5" t="inlineStr">
        <is>
          <t>Total loan portfolio (FY2015-FY2018 own reports; IAS 39 incurred-loss basis, pre-IFRS 9 - performing/non-performing split rather than a stage table)</t>
        </is>
      </c>
      <c r="B25" s="6" t="n"/>
      <c r="C25" s="6" t="n"/>
      <c r="D25" s="6" t="n"/>
      <c r="E25" s="6" t="n"/>
      <c r="F25" s="6" t="n"/>
      <c r="G25" s="6" t="n"/>
      <c r="H25" s="6" t="n"/>
      <c r="I25" s="6" t="n"/>
      <c r="J25" s="6" t="n"/>
      <c r="K25" s="6" t="n"/>
      <c r="L25" s="6" t="n"/>
    </row>
    <row r="26">
      <c r="A26" s="6" t="inlineStr">
        <is>
          <t>Gross loans and advances to customers - performing</t>
        </is>
      </c>
      <c r="B26" s="6" t="n"/>
      <c r="C26" s="6" t="n"/>
      <c r="D26" s="6" t="n"/>
      <c r="E26" s="6" t="n"/>
      <c r="F26" s="6" t="n"/>
      <c r="G26" s="6" t="n"/>
      <c r="H26" s="6" t="n"/>
      <c r="I26" s="6" t="n">
        <v>465.1</v>
      </c>
      <c r="J26" s="6" t="n">
        <v>7855.4</v>
      </c>
      <c r="K26" s="6" t="n">
        <v>17366</v>
      </c>
      <c r="L26" s="6" t="n">
        <v>19857</v>
      </c>
    </row>
    <row r="27">
      <c r="A27" s="6" t="inlineStr">
        <is>
          <t>Non performing loans</t>
        </is>
      </c>
      <c r="B27" s="6" t="n"/>
      <c r="C27" s="6" t="n"/>
      <c r="D27" s="6" t="n"/>
      <c r="E27" s="6" t="n"/>
      <c r="F27" s="6" t="n"/>
      <c r="G27" s="6" t="n"/>
      <c r="H27" s="6" t="n"/>
      <c r="I27" s="6" t="n">
        <v>21909.7</v>
      </c>
      <c r="J27" s="6" t="n">
        <v>30734.7</v>
      </c>
      <c r="K27" s="6" t="n">
        <v>33264</v>
      </c>
      <c r="L27" s="6" t="n">
        <v>35971</v>
      </c>
    </row>
    <row r="28">
      <c r="A28" s="6" t="inlineStr">
        <is>
          <t>Less: allowance for impairment</t>
        </is>
      </c>
      <c r="B28" s="6" t="n"/>
      <c r="C28" s="6" t="n"/>
      <c r="D28" s="6" t="n"/>
      <c r="E28" s="6" t="n"/>
      <c r="F28" s="6" t="n"/>
      <c r="G28" s="6" t="n"/>
      <c r="H28" s="6" t="n"/>
      <c r="I28" s="6" t="n">
        <v>-4646.9</v>
      </c>
      <c r="J28" s="6" t="n">
        <v>-5568.5</v>
      </c>
      <c r="K28" s="6" t="n">
        <v>-5855</v>
      </c>
      <c r="L28" s="6" t="n">
        <v>-5806</v>
      </c>
    </row>
    <row r="29">
      <c r="A29" s="5" t="inlineStr">
        <is>
          <t>Net loans and advances to customers</t>
        </is>
      </c>
      <c r="B29" s="5" t="n"/>
      <c r="C29" s="5" t="n"/>
      <c r="D29" s="5" t="n"/>
      <c r="E29" s="5" t="n"/>
      <c r="F29" s="5" t="n"/>
      <c r="G29" s="5" t="n"/>
      <c r="H29" s="5" t="n"/>
      <c r="I29" s="5" t="n">
        <v>17728</v>
      </c>
      <c r="J29" s="5" t="n">
        <v>33021.6</v>
      </c>
      <c r="K29" s="5" t="n">
        <v>44775</v>
      </c>
      <c r="L29" s="5" t="n">
        <v>50022</v>
      </c>
    </row>
    <row r="30">
      <c r="A30" s="5" t="inlineStr">
        <is>
          <t>FY2019/FY2020: IFRS 9 stage-level loan exposure (own reports' Credit risk / Risk management note)</t>
        </is>
      </c>
      <c r="B30" s="6" t="n"/>
      <c r="C30" s="6" t="n"/>
      <c r="D30" s="6" t="n"/>
      <c r="E30" s="6" t="n"/>
      <c r="F30" s="6" t="n"/>
      <c r="G30" s="6" t="n"/>
      <c r="H30" s="6" t="n"/>
      <c r="I30" s="6" t="n"/>
      <c r="J30" s="6" t="n"/>
      <c r="K30" s="6" t="n"/>
      <c r="L30" s="6" t="n"/>
    </row>
    <row r="31">
      <c r="A31" s="6" t="inlineStr">
        <is>
          <t>Stage 1 gross exposure - loans and advances to customers (FY2020's own table does not separately break out Stage 3 gross exposure - see note above)</t>
        </is>
      </c>
      <c r="B31" s="6" t="n"/>
      <c r="C31" s="6" t="n"/>
      <c r="D31" s="6" t="n"/>
      <c r="E31" s="6" t="n"/>
      <c r="F31" s="6" t="n"/>
      <c r="G31" s="6" t="n">
        <v>50795.5</v>
      </c>
      <c r="H31" s="6" t="n">
        <v>18731.4</v>
      </c>
      <c r="I31" s="6" t="n"/>
      <c r="J31" s="6" t="n"/>
      <c r="K31" s="6" t="n"/>
      <c r="L31" s="6" t="n"/>
    </row>
    <row r="32">
      <c r="A32" s="6" t="inlineStr">
        <is>
          <t>Stage 3 gross exposure - loans and advances to customers</t>
        </is>
      </c>
      <c r="B32" s="6" t="n"/>
      <c r="C32" s="6" t="n"/>
      <c r="D32" s="6" t="n"/>
      <c r="E32" s="6" t="n"/>
      <c r="F32" s="6" t="n"/>
      <c r="G32" s="6" t="n"/>
      <c r="H32" s="6" t="n">
        <v>5222.1</v>
      </c>
      <c r="I32" s="6" t="n"/>
      <c r="J32" s="6" t="n"/>
      <c r="K32" s="6" t="n"/>
      <c r="L32" s="6" t="n"/>
    </row>
    <row r="33">
      <c r="A33" s="6" t="inlineStr">
        <is>
          <t>Stage 1 impairment allowance</t>
        </is>
      </c>
      <c r="B33" s="6" t="n"/>
      <c r="C33" s="6" t="n"/>
      <c r="D33" s="6" t="n"/>
      <c r="E33" s="6" t="n"/>
      <c r="F33" s="6" t="n"/>
      <c r="G33" s="6" t="n">
        <v>-7039.3</v>
      </c>
      <c r="H33" s="6" t="n">
        <v>-2623.3</v>
      </c>
      <c r="I33" s="6" t="n"/>
      <c r="J33" s="6" t="n"/>
      <c r="K33" s="6" t="n"/>
      <c r="L33" s="6" t="n"/>
    </row>
    <row r="34">
      <c r="A34" s="6" t="inlineStr">
        <is>
          <t>Stage 3 impairment allowance</t>
        </is>
      </c>
      <c r="B34" s="6" t="n"/>
      <c r="C34" s="6" t="n"/>
      <c r="D34" s="6" t="n"/>
      <c r="E34" s="6" t="n"/>
      <c r="F34" s="6" t="n"/>
      <c r="G34" s="6" t="n">
        <v>-5142.7</v>
      </c>
      <c r="H34" s="6" t="n">
        <v>-5222.1</v>
      </c>
      <c r="I34" s="6" t="n"/>
      <c r="J34" s="6" t="n"/>
      <c r="K34" s="6" t="n"/>
      <c r="L34" s="6" t="n"/>
    </row>
    <row r="35">
      <c r="A35" s="5" t="inlineStr">
        <is>
          <t>Net loans and advances to customers</t>
        </is>
      </c>
      <c r="B35" s="5" t="n"/>
      <c r="C35" s="5" t="n"/>
      <c r="D35" s="5" t="n"/>
      <c r="E35" s="5" t="n"/>
      <c r="F35" s="5" t="n"/>
      <c r="G35" s="5" t="n">
        <v>38613.5</v>
      </c>
      <c r="H35" s="5" t="n">
        <v>16108.1</v>
      </c>
      <c r="I35" s="5" t="n"/>
      <c r="J35" s="5" t="n"/>
      <c r="K35" s="5" t="n"/>
      <c r="L35" s="5" t="n"/>
    </row>
    <row r="37" ht="340" customHeight="1">
      <c r="A37" s="8" t="inlineStr">
        <is>
          <t>Sources - Persia International Bank Plc's own entity-level Statement of Comprehensive Income / Statement of Financial Position / Statement of Changes in Equity / Note 12 (Impairment) / Notes 14-16 (Cash, Loans to banks, Loans to customers), converted from EUR to GBP using the Bank's disclosed rates (see FX note):
FY2025: Annual Report and Financial Statements 2025, Statement of Comprehensive Income p.36, Statement of Financial Position p.37, Statement of Changes in Equity p.38, Note 12 p.69, Notes 14-16 p.71, Credit loss exposure/Capital management (Note 25) p.77 - https://find-and-update.company-information.service.gov.uk/company/04218020/filing-history/MzQ3OTMzNTI0NWFkaXF6a2N4/document?download=0&amp;format=pdf
FY2024: Annual Report and Financial Statements 2024, Statement of Comprehensive Income p.29, Statement of Financial Position p.30, Statement of Changes in Equity p.31, Note 12 p.57, Notes 14-16 p.59 - https://find-and-update.company-information.service.gov.uk/company/04218020/filing-history/MzQzMzA4NzcwMWFkaXF6a2N4/document?download=0&amp;format=pdf
FY2023: Annual Report and Financial Statements 2023, Statement of Comprehensive Income p.28, Statement of Financial Position p.29, Statement of Changes in Equity p.30, Note 12 p.54, Notes 14-16 p.56 - https://find-and-update.company-information.service.gov.uk/company/04218020/filing-history/MzM4OTExNTc1NmFkaXF6a2N4/document?download=0&amp;format=pdf
FY2022: Annual Report and Financial Statements 2022, Statement of Comprehensive Income p.27, Statement of Financial Position p.28, Statement of Changes in Equity p.29, Note 12 p.51, Notes 14-16 p.53 - https://find-and-update.company-information.service.gov.uk/company/04218020/filing-history/MzM1NTU5ODQzNmFkaXF6a2N4/document?download=0&amp;format=pdf
FY2021: Annual Report and Financial Statements 2022's own comparative column (same pages as FY2022 above, this is the latest filing that still contains a full FY2021 column) - https://find-and-update.company-information.service.gov.uk/company/04218020/filing-history/MzM1NTU5ODQzNmFkaXF6a2N4/document?download=0&amp;format=pdf
FY2020: Annual Report and Financial Statements for year ended 31 March 2020, Statement of Comprehensive Income p.26, Statement of Financial Position p.27, Note 28.4 (Capital management) p.62, Note 28.2 (stage-level credit exposure) p.61 (scanned Companies House filing) - https://find-and-update.company-information.service.gov.uk/company/04218020/filing-history/MzI4MjYzOTE2OGFkaXF6a2N4/document?download=0&amp;format=pdf
FY2019: Annual Report and Financial Statements for year ended 31 March 2019, Statement of Comprehensive Income p.22, Statement of Financial Position p.23, Note 28.4 (Capital management) p.58, Note 28 (stage-level credit exposure) p.57 (scanned filing) - https://find-and-update.company-information.service.gov.uk/company/04218020/filing-history/MzI0MDMwNDExNmFkaXF6a2N4/document?download=0&amp;format=pdf
FY2018: Annual Report and Financial Statements for year ended 31 March 2018, Statement of Comprehensive Income p.15, Statement of Financial Position p.16, capital management note p.31, loan-portfolio note p.30 (scanned filing) - https://find-and-update.company-information.service.gov.uk/company/04218020/filing-history/MzIxMjI1ODQ3MmFkaXF6a2N4/document?download=0&amp;format=pdf
FY2017: Annual Report and Financial Statements for year ended 31 March 2017, Statement of Comprehensive Income p.13, Statement of Financial Position p.14, capital management note p.28, loan-portfolio note p.27 (scanned filing) - https://find-and-update.company-information.service.gov.uk/company/04218020/filing-history/MzE4MTE5NDQwMWFkaXF6a2N4/document?download=0&amp;format=pdf
FY2016: Annual Report and Financial Statements for year ended 31 March 2016, Statement of Comprehensive Income p.13, Statement of Financial Position p.14, capital management note p.27, loan-portfolio note p.26 (scanned filing) - https://find-and-update.company-information.service.gov.uk/company/04218020/filing-history/MzE1NjI0NzM2OWFkaXF6a2N4/document?download=0&amp;format=pdf
FY2015: Annual Report and Financial Statements for year ended 31 March 2015, Statement of Comprehensive Income p.12, Statement of Financial Position p.13, capital management note p.31, loan-portfolio note p.30 (scanned filing, includes an embedded Pillar 3 disclosure at pp.35-52) - https://find-and-update.company-information.service.gov.uk/company/04218020/filing-history/MzEyNzM3Mjc4NWFkaXF6a2N4/document?download=0&amp;format=pdf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(EUR per GBP). Flow figures are divided by the year's disclosed average rate; balance figures are divided by the year's disclosed year-end rate.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
RESTATEMENT: the Annual Report and Financial Statements 2024's own Note 33 restates the Bank's FY2022/FY2023 figures (e.g. FY2023 closing retained earnings restated from EUR (17,439k) to EUR (18,414k), a genuine EUR 975k downward adjustment; FY2023 loans and advances to customers also restated from EUR 24,653k net to EUR 28,105k net, reclassifying interest receivable into that line). Each year's Balance Sheet/P&amp;L/Equity column here uses that year's own originally-reported figures (not the later restated comparative), consistent with every other bank in this project; the restatement is instead shown as its own explicit bridging row in the Statement of Changes in Equity, between FY2023's originally-reported closing balance and FY2024's own restated opening balance, per the Bank's own Note 33.</t>
        </is>
      </c>
    </row>
  </sheetData>
  <mergeCells count="1">
    <mergeCell ref="A37:L3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CET1 Capital</t>
        </is>
      </c>
    </row>
    <row r="2">
      <c r="A2" s="2" t="inlineStr">
        <is>
          <t>£'000 (conv. from EUR)</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capital / disclosed Tier one base</t>
        </is>
      </c>
      <c r="B4" s="6" t="n">
        <v>132244.3</v>
      </c>
      <c r="C4" s="6" t="n">
        <v>149348.5</v>
      </c>
      <c r="D4" s="6" t="n">
        <v>150637.5</v>
      </c>
      <c r="E4" s="6" t="n">
        <v>155466.7</v>
      </c>
      <c r="F4" s="6" t="n">
        <v>153248.1</v>
      </c>
      <c r="G4" s="6" t="n">
        <v>84003.39999999999</v>
      </c>
      <c r="H4" s="6" t="n">
        <v>95069.8</v>
      </c>
      <c r="I4" s="6" t="n">
        <v>112345.1</v>
      </c>
      <c r="J4" s="6" t="n">
        <v>121109</v>
      </c>
      <c r="K4" s="6" t="n">
        <v>105499</v>
      </c>
      <c r="L4" s="6" t="n"/>
    </row>
    <row r="5" ht="60" customHeight="1">
      <c r="A5" s="7" t="inlineStr">
        <is>
          <t>Note: Directly disclosed total regulatory capital base / Tier one capital from the annual-report capital-management table. The Bank's table does not separately disclose CET1, Additional Tier 1 or Tier 2 amounts for FY2022-FY2025; the value is therefore repeated as the entity's disclosed Tier one/regulatory capital base, not inferred as a full Basel capital stack. FY2021's Pillar 3 table reports Own Funds of €130.644m and Tier 2 of zero.
FY2015-FY2020 (added under HD-021): the £-value shown is each year's own STATUTORY capital-management note (Tier 1 = share capital + retained earnings, tying to the Balance Sheet; FY2016-FY2018 CET1 equals this statutory Tier 1 exactly). FY2019/FY2020 differ: the Bank's own Pillar 3 disclosure nets off that year's own in-year loss from CET1 a second time (a CRR prudential filter for unverified profit/loss - see the block comment above); the Pillar-3-disclosed CET1 figure is shown for FY2019/FY2020 instead of the statutory Tier 1 figure used for FY2015-FY2018, FY2016-FY2018 and FY2021-FY2025. FY2015 has no CET1 concept at all (pre-CRD IV Pillar 3 for a firm this size) - its Tier 1 figure appears only on the Tier 1 Capital sheet.</t>
        </is>
      </c>
    </row>
    <row r="7" ht="24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t>
        </is>
      </c>
    </row>
  </sheetData>
  <mergeCells count="2">
    <mergeCell ref="A5:L5"/>
    <mergeCell ref="A7:L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CET1 ratio</t>
        </is>
      </c>
      <c r="B4" s="6" t="n"/>
      <c r="C4" s="6" t="n"/>
      <c r="D4" s="6" t="n"/>
      <c r="E4" s="6" t="n"/>
      <c r="F4" s="6" t="inlineStr">
        <is>
          <t>Not publicly disclosed</t>
        </is>
      </c>
      <c r="G4" s="6" t="inlineStr">
        <is>
          <t>28.76%</t>
        </is>
      </c>
      <c r="H4" s="6" t="inlineStr">
        <is>
          <t>50.16%</t>
        </is>
      </c>
      <c r="I4" s="6" t="inlineStr">
        <is>
          <t>44.14%</t>
        </is>
      </c>
      <c r="J4" s="6" t="inlineStr">
        <is>
          <t>40.51%</t>
        </is>
      </c>
      <c r="K4" s="6" t="inlineStr">
        <is>
          <t>32.99%</t>
        </is>
      </c>
      <c r="L4" s="6" t="n"/>
    </row>
    <row r="5" ht="60" customHeight="1">
      <c r="A5" s="7" t="inlineStr">
        <is>
          <t>Note: Not publicly disclosed for this entity/year. The Bank says later Pillar 3 disclosures are available on request; no public 2022-2025 Pillar 3 document was found, and the statutory accounts do not state this metric.
FY2015-FY2020 (added under HD-021): FY2016-FY2020 are directly disclosed in the Bank's own standalone Pillar 3 disclosures (found for FY2016/FY2018/FY2020; FY2017/FY2019 are those documents' own comparative columns). FY2015 predates CRD IV Pillar 3 for a firm this size (no CET1 concept, no ratio table); the FY2015 figure shown on the Total Capital Ratio / Tier 1 Ratio sheets is this workbook's own calculation from the FY2015 statutory Total Capital/Tier 1 figures divided by the FY2015 Pillar 3 disclosure's own Total RWA figure (EUR 221,221k, the 'Breakdown of exposure classes' table's own total - not the same total as its mislabelled Template CR4 table, see the RWA Breakdown sheet's note).</t>
        </is>
      </c>
    </row>
    <row r="7" ht="24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t>
        </is>
      </c>
    </row>
  </sheetData>
  <mergeCells count="2">
    <mergeCell ref="A5:L5"/>
    <mergeCell ref="A7:L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Tier 1 Capital</t>
        </is>
      </c>
    </row>
    <row r="2">
      <c r="A2" s="2" t="inlineStr">
        <is>
          <t>£'000 (conv. from EUR)</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one / total regulatory capital base</t>
        </is>
      </c>
      <c r="B4" s="6" t="n">
        <v>132244.3</v>
      </c>
      <c r="C4" s="6" t="n">
        <v>149348.5</v>
      </c>
      <c r="D4" s="6" t="n">
        <v>150637.5</v>
      </c>
      <c r="E4" s="6" t="n">
        <v>155466.7</v>
      </c>
      <c r="F4" s="6" t="n">
        <v>153248.1</v>
      </c>
      <c r="G4" s="6" t="n">
        <v>91214.60000000001</v>
      </c>
      <c r="H4" s="6" t="n">
        <v>101859.3</v>
      </c>
      <c r="I4" s="6" t="n">
        <v>112345.1</v>
      </c>
      <c r="J4" s="6" t="n">
        <v>121109</v>
      </c>
      <c r="K4" s="6" t="n">
        <v>105499</v>
      </c>
      <c r="L4" s="6" t="n">
        <v>105997</v>
      </c>
    </row>
    <row r="5" ht="60" customHeight="1">
      <c r="A5" s="7" t="inlineStr">
        <is>
          <t>Note: Directly disclosed total regulatory capital base / Tier one capital from the annual-report capital-management table. The Bank's table does not separately disclose CET1, Additional Tier 1 or Tier 2 amounts for FY2022-FY2025; the value is therefore repeated as the entity's disclosed Tier one/regulatory capital base, not inferred as a full Basel capital stack. FY2021's Pillar 3 table reports Own Funds of €130.644m and Tier 2 of zero.
FY2015-FY2020 (added under HD-021): the £-value shown is each year's own STATUTORY capital-management note (Tier 1 = share capital + retained earnings, tying to the Balance Sheet; FY2016-FY2018 CET1 equals this statutory Tier 1 exactly). FY2019/FY2020 differ: the Bank's own Pillar 3 disclosure nets off that year's own in-year loss from CET1 a second time (a CRR prudential filter for unverified profit/loss - see the block comment above); the Pillar-3-disclosed CET1 figure is shown for FY2019/FY2020 instead of the statutory Tier 1 figure used for FY2015-FY2018, FY2016-FY2018 and FY2021-FY2025. FY2015 has no CET1 concept at all (pre-CRD IV Pillar 3 for a firm this size) - its Tier 1 figure appears only on the Tier 1 Capital sheet.</t>
        </is>
      </c>
    </row>
    <row r="7" ht="24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t>
        </is>
      </c>
    </row>
  </sheetData>
  <mergeCells count="2">
    <mergeCell ref="A5:L5"/>
    <mergeCell ref="A7:L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ratio</t>
        </is>
      </c>
      <c r="B4" s="6" t="n"/>
      <c r="C4" s="6" t="n"/>
      <c r="D4" s="6" t="n"/>
      <c r="E4" s="6" t="n"/>
      <c r="F4" s="6" t="inlineStr">
        <is>
          <t>Not publicly disclosed</t>
        </is>
      </c>
      <c r="G4" s="6" t="inlineStr">
        <is>
          <t>28.76%</t>
        </is>
      </c>
      <c r="H4" s="6" t="inlineStr">
        <is>
          <t>50.16%</t>
        </is>
      </c>
      <c r="I4" s="6" t="inlineStr">
        <is>
          <t>44.14%</t>
        </is>
      </c>
      <c r="J4" s="6" t="inlineStr">
        <is>
          <t>40.51%</t>
        </is>
      </c>
      <c r="K4" s="6" t="inlineStr">
        <is>
          <t>32.99%</t>
        </is>
      </c>
      <c r="L4" s="6" t="inlineStr">
        <is>
          <t>47.92%</t>
        </is>
      </c>
    </row>
    <row r="5" ht="60" customHeight="1">
      <c r="A5" s="7" t="inlineStr">
        <is>
          <t>Note: Not publicly disclosed for this entity/year. The Bank says later Pillar 3 disclosures are available on request; no public 2022-2025 Pillar 3 document was found, and the statutory accounts do not state this metric.
FY2015-FY2020 (added under HD-021): FY2016-FY2020 are directly disclosed in the Bank's own standalone Pillar 3 disclosures (found for FY2016/FY2018/FY2020; FY2017/FY2019 are those documents' own comparative columns). FY2015 predates CRD IV Pillar 3 for a firm this size (no CET1 concept, no ratio table); the FY2015 figure shown on the Total Capital Ratio / Tier 1 Ratio sheets is this workbook's own calculation from the FY2015 statutory Total Capital/Tier 1 figures divided by the FY2015 Pillar 3 disclosure's own Total RWA figure (EUR 221,221k, the 'Breakdown of exposure classes' table's own total - not the same total as its mislabelled Template CR4 table, see the RWA Breakdown sheet's note).</t>
        </is>
      </c>
    </row>
    <row r="7" ht="24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t>
        </is>
      </c>
    </row>
  </sheetData>
  <mergeCells count="2">
    <mergeCell ref="A5:L5"/>
    <mergeCell ref="A7:L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Total Capital</t>
        </is>
      </c>
    </row>
    <row r="2">
      <c r="A2" s="2" t="inlineStr">
        <is>
          <t>£'000 (conv. from EUR)</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regulatory capital base</t>
        </is>
      </c>
      <c r="B4" s="6" t="n">
        <v>132244.3</v>
      </c>
      <c r="C4" s="6" t="n">
        <v>149348.5</v>
      </c>
      <c r="D4" s="6" t="n">
        <v>150637.5</v>
      </c>
      <c r="E4" s="6" t="n">
        <v>155466.7</v>
      </c>
      <c r="F4" s="6" t="n">
        <v>153248.1</v>
      </c>
      <c r="G4" s="6" t="n">
        <v>143461.8</v>
      </c>
      <c r="H4" s="6" t="n">
        <v>155929.1</v>
      </c>
      <c r="I4" s="6" t="n">
        <v>165488</v>
      </c>
      <c r="J4" s="6" t="n">
        <v>175336.4</v>
      </c>
      <c r="K4" s="6" t="n">
        <v>151999</v>
      </c>
      <c r="L4" s="6" t="n">
        <v>152497</v>
      </c>
    </row>
    <row r="5" ht="60" customHeight="1">
      <c r="A5" s="7" t="inlineStr">
        <is>
          <t>Note: Directly disclosed total regulatory capital base / Tier one capital from the annual-report capital-management table. The Bank's table does not separately disclose CET1, Additional Tier 1 or Tier 2 amounts for FY2022-FY2025; the value is therefore repeated as the entity's disclosed Tier one/regulatory capital base, not inferred as a full Basel capital stack. FY2021's Pillar 3 table reports Own Funds of €130.644m and Tier 2 of zero.
FY2015-FY2020 (added under HD-021): each year's own statutory capital-management note, Tier 1 (share capital + retained earnings) plus Tier 2 (the EUR 46,500k subordinated loan at full carrying value, not the CRR-capped amount used in the Pillar-3-disclosed capital ratios on the Total Capital Ratio sheet).</t>
        </is>
      </c>
    </row>
    <row r="7" ht="24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t>
        </is>
      </c>
    </row>
  </sheetData>
  <mergeCells count="2">
    <mergeCell ref="A5:L5"/>
    <mergeCell ref="A7:L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 ratio</t>
        </is>
      </c>
      <c r="B4" s="6" t="n"/>
      <c r="C4" s="6" t="n"/>
      <c r="D4" s="6" t="n"/>
      <c r="E4" s="6" t="n"/>
      <c r="F4" s="6" t="inlineStr">
        <is>
          <t>Not publicly disclosed</t>
        </is>
      </c>
      <c r="G4" s="6" t="inlineStr">
        <is>
          <t>38.35%</t>
        </is>
      </c>
      <c r="H4" s="6" t="inlineStr">
        <is>
          <t>66.88%</t>
        </is>
      </c>
      <c r="I4" s="6" t="inlineStr">
        <is>
          <t>58.85%</t>
        </is>
      </c>
      <c r="J4" s="6" t="inlineStr">
        <is>
          <t>54.01%</t>
        </is>
      </c>
      <c r="K4" s="6" t="inlineStr">
        <is>
          <t>47.53%</t>
        </is>
      </c>
      <c r="L4" s="6" t="inlineStr">
        <is>
          <t>68.94%</t>
        </is>
      </c>
    </row>
    <row r="5" ht="60" customHeight="1">
      <c r="A5" s="7" t="inlineStr">
        <is>
          <t>Note: Not publicly disclosed for this entity/year. The Bank says later Pillar 3 disclosures are available on request; no public 2022-2025 Pillar 3 document was found, and the statutory accounts do not state this metric.
FY2015-FY2020 (added under HD-021): FY2016-FY2020 are directly disclosed in the Bank's own standalone Pillar 3 disclosures (found for FY2016/FY2018/FY2020; FY2017/FY2019 are those documents' own comparative columns). FY2015 predates CRD IV Pillar 3 for a firm this size (no CET1 concept, no ratio table); the FY2015 figure shown on the Total Capital Ratio / Tier 1 Ratio sheets is this workbook's own calculation from the FY2015 statutory Total Capital/Tier 1 figures divided by the FY2015 Pillar 3 disclosure's own Total RWA figure (EUR 221,221k, the 'Breakdown of exposure classes' table's own total - not the same total as its mislabelled Template CR4 table, see the RWA Breakdown sheet's note).</t>
        </is>
      </c>
    </row>
    <row r="7" ht="24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t>
        </is>
      </c>
    </row>
  </sheetData>
  <mergeCells count="2">
    <mergeCell ref="A5:L5"/>
    <mergeCell ref="A7:L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Total RWAs</t>
        </is>
      </c>
    </row>
    <row r="2">
      <c r="A2" s="2" t="inlineStr">
        <is>
          <t>£'000 (conv. from EUR)</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Pillar 1 risk-weighted assets</t>
        </is>
      </c>
      <c r="B4" s="6" t="n"/>
      <c r="C4" s="6" t="n"/>
      <c r="D4" s="6" t="n"/>
      <c r="E4" s="6" t="n"/>
      <c r="F4" s="6" t="n">
        <v>373987.1</v>
      </c>
      <c r="G4" s="6" t="n">
        <v>316262.9</v>
      </c>
      <c r="H4" s="6" t="n">
        <v>214237.2</v>
      </c>
      <c r="I4" s="6" t="n">
        <v>254538.3</v>
      </c>
      <c r="J4" s="6" t="n">
        <v>298987.8</v>
      </c>
      <c r="K4" s="6" t="n">
        <v>319767</v>
      </c>
      <c r="L4" s="6" t="n">
        <v>221221</v>
      </c>
    </row>
    <row r="5" ht="60" customHeight="1">
      <c r="A5" s="7" t="inlineStr">
        <is>
          <t>Note: Only FY2021 is directly disclosed among FY2021-FY2025: €318.824m in the 2021 Pillar 3 disclosure, p.18. FY2022-FY2025 are not publicly disclosed and are not calculated from capital because no corresponding capital ratio is stated.
FY2015-FY2020 (added under HD-021): FY2016-FY2020 RWA (credit/market/operational) are directly disclosed in the Bank's own standalone Pillar 3 disclosures, same sourcing as the ratio sheets. FY2015's own Pillar 3 disclosure does not break RWA down by credit/market/operational risk type at all - only by exposure class (see the RWA Breakdown sheet's note) - so only a FY2015 total is shown here, not a risk-type split.</t>
        </is>
      </c>
    </row>
    <row r="7" ht="24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t>
        </is>
      </c>
    </row>
  </sheetData>
  <mergeCells count="2">
    <mergeCell ref="A5:L5"/>
    <mergeCell ref="A7:L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RWA Breakdown</t>
        </is>
      </c>
    </row>
    <row r="2">
      <c r="A2" s="2" t="inlineStr">
        <is>
          <t>FY2021, plus FY2016-FY2020 added under HD-021 (recovered via Wayback Machine snapshots of the Bank's own standalone Pillar 3 disclosures, after the Bank's live site refused every direct TLS connection attempt this session). £'000 converted from EUR (FY2016 figures are EUR '000, unconverted - see FX note). Ties exactly to the Total RWAs sheet for every year shown. FY2022-FY2025 not publicly disclosed - the Bank's Annual Reports state Pillar 3 disclosure is available on request, and no public standalone Pillar 3 document for those years was located. FY2015 is NOT shown on this sheet (see Total RWAs instead): the FY2015 Pillar 3 disclosure breaks its RWA down by exposure class (Central Government/Bank, Credit institutions, Corporate companies, Securities, Short term claims on institutions, Others), not by credit/market/operational risk type, so it does not map onto this sheet's three rows without inventing a category split the source does not provide.</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c r="G3" s="4" t="inlineStr">
        <is>
          <t>FY2020 (£'000, conv. from EUR)</t>
        </is>
      </c>
      <c r="H3" s="4" t="inlineStr">
        <is>
          <t>FY2019 (£'000, conv. from EUR)</t>
        </is>
      </c>
      <c r="I3" s="4" t="inlineStr">
        <is>
          <t>FY2018 (£'000, conv. from EUR)</t>
        </is>
      </c>
      <c r="J3" s="4" t="inlineStr">
        <is>
          <t>FY2017 (£'000, conv. from EUR)</t>
        </is>
      </c>
      <c r="K3" s="4" t="inlineStr">
        <is>
          <t>FY2016 (£'000, conv. from EUR)</t>
        </is>
      </c>
      <c r="L3" s="4" t="inlineStr">
        <is>
          <t>FY2015 (£'000, conv. from EUR)</t>
        </is>
      </c>
    </row>
    <row r="4">
      <c r="A4" s="6" t="inlineStr">
        <is>
          <t>Credit and counterparty credit risk</t>
        </is>
      </c>
      <c r="B4" s="6" t="n"/>
      <c r="C4" s="6" t="n"/>
      <c r="D4" s="6" t="n"/>
      <c r="E4" s="6" t="n"/>
      <c r="F4" s="6" t="n">
        <v>350224</v>
      </c>
      <c r="G4" s="6" t="n">
        <v>295401.1</v>
      </c>
      <c r="H4" s="6" t="n">
        <v>197100</v>
      </c>
      <c r="I4" s="6" t="n">
        <v>240826.3</v>
      </c>
      <c r="J4" s="6" t="n">
        <v>283689.8</v>
      </c>
      <c r="K4" s="6" t="n">
        <v>306733</v>
      </c>
      <c r="L4" s="6" t="n"/>
    </row>
    <row r="5">
      <c r="A5" s="6" t="inlineStr">
        <is>
          <t>Market risk</t>
        </is>
      </c>
      <c r="B5" s="6" t="n"/>
      <c r="C5" s="6" t="n"/>
      <c r="D5" s="6" t="n"/>
      <c r="E5" s="6" t="n"/>
      <c r="F5" s="6" t="n">
        <v>17971.8</v>
      </c>
      <c r="G5" s="6" t="n">
        <v>8264</v>
      </c>
      <c r="H5" s="6" t="n">
        <v>7873.3</v>
      </c>
      <c r="I5" s="6" t="n">
        <v>4606.9</v>
      </c>
      <c r="J5" s="6" t="n">
        <v>4202.9</v>
      </c>
      <c r="K5" s="6" t="n">
        <v>3036</v>
      </c>
      <c r="L5" s="6" t="n"/>
    </row>
    <row r="6">
      <c r="A6" s="6" t="inlineStr">
        <is>
          <t>Operational risk</t>
        </is>
      </c>
      <c r="B6" s="6" t="n"/>
      <c r="C6" s="6" t="n"/>
      <c r="D6" s="6" t="n"/>
      <c r="E6" s="6" t="n"/>
      <c r="F6" s="6" t="n">
        <v>5791.2</v>
      </c>
      <c r="G6" s="6" t="n">
        <v>12597.8</v>
      </c>
      <c r="H6" s="6" t="n">
        <v>9264</v>
      </c>
      <c r="I6" s="6" t="n">
        <v>9105.1</v>
      </c>
      <c r="J6" s="6" t="n">
        <v>11095</v>
      </c>
      <c r="K6" s="6" t="n">
        <v>9998</v>
      </c>
      <c r="L6" s="6" t="n"/>
    </row>
    <row r="7">
      <c r="A7" s="5" t="inlineStr">
        <is>
          <t>Total Pillar 1 risk-weighted assets</t>
        </is>
      </c>
      <c r="B7" s="5" t="n"/>
      <c r="C7" s="5" t="n"/>
      <c r="D7" s="5" t="n"/>
      <c r="E7" s="5" t="n"/>
      <c r="F7" s="5" t="n">
        <v>373987.1</v>
      </c>
      <c r="G7" s="5" t="n">
        <v>316262.9</v>
      </c>
      <c r="H7" s="5" t="n">
        <v>214237.2</v>
      </c>
      <c r="I7" s="5" t="n">
        <v>254538.3</v>
      </c>
      <c r="J7" s="5" t="n">
        <v>298987.8</v>
      </c>
      <c r="K7" s="5" t="n">
        <v>319767</v>
      </c>
      <c r="L7" s="5" t="n">
        <v>221221</v>
      </c>
    </row>
    <row r="9" ht="220" customHeight="1">
      <c r="A9" s="8" t="inlineStr">
        <is>
          <t>Sources - Persia International Bank Plc Pillar 3 disclosures, Pillar 1 capital requirements tables:
FY2021, p.18, recovered via Wayback Machine snapshot (captured 10 January 2026) - http://web.archive.org/web/20260110002617if_/http://www.persiabank.co.uk/Pillar%203%202021%20v3.pdf (original URL, unreachable this session due to a TLS handshake failure on every attempt: https://www.persiabank.co.uk/Pillar%203%202021%20v3.pdf)
FY2020/FY2019: Pillar 3 Disclosure as at 31 March 2020, p.17, recovered via Wayback Machine (captured 25 January 2022) - http://web.archive.org/web/20220125010012if_/http://www.persiabank.co.uk/Pillar%203%202020%20v7.pdf
FY2018/FY2017: Pillar 3 Disclosure as at 31/03/2018, p.16, recovered via Wayback Machine (captured 2 September 2018) - http://web.archive.org/web/20180902131909if_/http://www.persiabank.co.uk/Pillar%203%20Disclosure%20as%20at%2031_03_2018%20(final).pdf
FY2016: Pillar 3 Disclosure as at 31 March 2016, p.13, recovered via Wayback Machine (captured 24 October 2016) - http://web.archive.org/web/20161024202355if_/http://www.persiabank.co.uk/Pillar%203%20Disclosure%20as%20at%2031%20March%202016.pdf
ENTITY AND REPORTING BASIS: Persia International Bank Plc (company 04218020, FRN 208020) is an active UK PRA/FCA-regulated bank incorporated 16 May 2001, with registered office at 6 Lothbury, London EC2R 7HH. Companies House shows full accounts filed through the year ended 31 March 2025; the Bank is owned 60% by Bank Mellat and 40% by Bank Tejarat. These are the Company's own entity-level financial statements, prepared under UK-adopted IFRS on a going-concern basis, in EUR (the functional and presentation currency). The Bank's reports say that OFAC sanctions re-imposed in November 2018 and continuing difficulty obtaining UK clearing and correspondent-bank relationships restrict normal banking activity; Iranian exposures continue to receive a 150% risk weight because Iran is excluded from the relevant UK/EU equivalence list. The reports nevertheless state that the Bank expects to continue as a going concern. The FY2022 report's auditor highlighted material uncertainty over going concern, while later reports continued on a going-concern basis. HD-021 EXTENSION: EU/UN sanctions on the Bank (imposed 27 July 2010, annulled by the EU General Court in September 2013, re-imposed November 2013) were lifted 16 January 2016, and the FY2017 report states the PRA authorised the Bank to resume normal business on 7 November 2016 - so FY2015/FY2016 predate that resumption and describe a materially more restricted, wind-down-mode bank than FY2017 onward. BASEL II/III CAVEAT: the FY2015 accounts and the Bank's FY2015 Pillar 3 disclosure predate the UK's CRD IV Pillar 3 rollout for a firm of this size and disclose only Tier 1 / Tier 2 / Total Capital (no CET1 concept, no Leverage Ratio, no LCR); CET1, Leverage Ratio and (from FY2018) LCR are all genuinely disclosed from the Bank's FY2016 Pillar 3 disclosure onward. FY2015's own Pillar 3 disclosure separately states a Total Capital figure (EUR 151,979,000) that is EUR 518,000 lower than the FY2015 statutory accounts' own capital-management note (EUR 152,497,000, which ties to the Balance Sheet); the Pillar 3 figure appears to reuse the FY2014 year-end retained-earnings figure by mistake. This workbook uses each year's own statutory accounts' capital-management note as the authoritative Tier 1/Tier 2/Total Capital figure (consistent with every other bank in this project), and uses Pillar 3 disclosures only for figures the statutory accounts do not state at all (RWA, CET1/Total capital ratios, Leverage Ratio, LCR).
FX METHODOLOGY: the Bank's accounting policies disclose EUR/GBP rates (EUR per GBP). Flow figures are divided by the year's disclosed average rate; balance figures are divided by the year's disclosed year-end rate. The cash-flow sheet includes the Bank's own exchange-difference line and a programmatic GBP translation line where the use of average rates for flows and year-end rates for balances creates a residual. FY2021 opening cash is left blank because the source does not provide a FY2020 year-end rate in the reviewed five-year source set. HD-021 EXTENSION (FY2015-FY2020): FY2017-FY2020 are converted to GBP the same way, using each year's own disclosed average/year-end rate. FY2015 and FY2016's own accounts disclose only an average EUR/GBP rate for the year, not a year-end rate - so every balance-sheet-type (stock) figure for FY2015 and FY2016 in this workbook (Balance Sheet, Asset Quality, Pillar 3 capital/RWA sheets, and equity closing balances) is shown in EUR '000, unconverted, not GBP; flow figures (P&amp;L, cash flow, in-year equity movements) for FY2015/FY2016 are still converted to GBP using that year's own disclosed average rate. This is a genuine source limitation, not a transcription gap - see stock_v()/stock() below, which pass EUR values through unchanged for any year missing from YEAR_END_RATE.</t>
        </is>
      </c>
    </row>
  </sheetData>
  <mergeCells count="1">
    <mergeCell ref="A9:L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Leverage ratio</t>
        </is>
      </c>
      <c r="B4" s="6" t="n"/>
      <c r="C4" s="6" t="n"/>
      <c r="D4" s="6" t="n"/>
      <c r="E4" s="6" t="n"/>
      <c r="F4" s="6" t="inlineStr">
        <is>
          <t>53.32%</t>
        </is>
      </c>
      <c r="G4" s="6" t="inlineStr">
        <is>
          <t>33.77%</t>
        </is>
      </c>
      <c r="H4" s="6" t="n"/>
      <c r="I4" s="6" t="inlineStr">
        <is>
          <t>49.27%</t>
        </is>
      </c>
      <c r="J4" s="6" t="n"/>
      <c r="K4" s="6" t="inlineStr">
        <is>
          <t>49.99%</t>
        </is>
      </c>
      <c r="L4" s="6" t="n"/>
    </row>
    <row r="5" ht="60" customHeight="1">
      <c r="A5" s="7" t="inlineStr">
        <is>
          <t>Note: FY2021, plus FY2016/FY2018/FY2020 added under HD-021: directly disclosed in the Bank's own Pillar 3 disclosures.
FY2015-FY2020 (added under HD-021): directly disclosed in the Bank's own standalone Pillar 3 disclosures where found (FY2016/FY2018/FY2020). No leverage ratio is disclosed in the FY2017 or FY2019 Pillar 3 comparative columns (only the current year's leverage ratio is tabulated in each document), and the EBA's LCR disclosure guidelines only applied from 31 December 2017 - so FY2015-FY2017 LCR, and FY2015 leverage ratio, are genuinely not disclosed anywhere located, not a gap in this transcription. FY2019's LCR similarly falls in a gap between the FY2018 and FY2020 Pillar 3 documents' own quarterly disclosure windows (neither one's table includes a 31 March 2019 quarter).</t>
        </is>
      </c>
    </row>
    <row r="7" ht="24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t>
        </is>
      </c>
    </row>
  </sheetData>
  <mergeCells count="2">
    <mergeCell ref="A5:L5"/>
    <mergeCell ref="A7:L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Liquidity Coverage Ratio (simple average of 12 monthly reports)</t>
        </is>
      </c>
      <c r="B4" s="6" t="n"/>
      <c r="C4" s="6" t="n"/>
      <c r="D4" s="6" t="n"/>
      <c r="E4" s="6" t="n"/>
      <c r="F4" s="6" t="inlineStr">
        <is>
          <t>221.13%</t>
        </is>
      </c>
      <c r="G4" s="6" t="inlineStr">
        <is>
          <t>181.69%</t>
        </is>
      </c>
      <c r="H4" s="6" t="n"/>
      <c r="I4" s="6" t="inlineStr">
        <is>
          <t>539.22%</t>
        </is>
      </c>
      <c r="J4" s="6" t="n"/>
      <c r="K4" s="6" t="n"/>
      <c r="L4" s="6" t="n"/>
    </row>
    <row r="5" ht="60" customHeight="1">
      <c r="A5" s="7" t="inlineStr">
        <is>
          <t>Note: FY2021, plus FY2018/FY2020 added under HD-021: directly disclosed in the Bank's own Pillar 3 disclosures.
FY2015-FY2020 (added under HD-021): directly disclosed in the Bank's own standalone Pillar 3 disclosures where found (FY2016/FY2018/FY2020). No leverage ratio is disclosed in the FY2017 or FY2019 Pillar 3 comparative columns (only the current year's leverage ratio is tabulated in each document), and the EBA's LCR disclosure guidelines only applied from 31 December 2017 - so FY2015-FY2017 LCR, and FY2015 leverage ratio, are genuinely not disclosed anywhere located, not a gap in this transcription. FY2019's LCR similarly falls in a gap between the FY2018 and FY2020 Pillar 3 documents' own quarterly disclosure windows (neither one's table includes a 31 March 2019 quarter).</t>
        </is>
      </c>
    </row>
    <row r="7" ht="24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t>
        </is>
      </c>
    </row>
  </sheetData>
  <mergeCells count="2">
    <mergeCell ref="A5:L5"/>
    <mergeCell ref="A7:L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Not publicly disclosed for this entity/year. The Bank says later Pillar 3 disclosures are available on request; no public 2022-2025 Pillar 3 document was found, and the statutory accounts do not state this metric.</t>
        </is>
      </c>
    </row>
    <row r="7" ht="15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t>
        </is>
      </c>
    </row>
  </sheetData>
  <mergeCells count="2">
    <mergeCell ref="A5:L5"/>
    <mergeCell ref="A7:L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Persia International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Not publicly disclosed for this entity/year. The Bank says later Pillar 3 disclosures are available on request; no public 2022-2025 Pillar 3 document was found, and the statutory accounts do not state this metric.</t>
        </is>
      </c>
    </row>
    <row r="7" ht="150" customHeight="1">
      <c r="A7" s="8" t="inlineStr">
        <is>
          <t>Sources - Persia International Bank Plc entity-level capital disclosures:
FY2025/FY2024: Annual Report and Financial Statements 2025, Note 25 (Capital management), p.77 - https://find-and-update.company-information.service.gov.uk/company/04218020/filing-history/MzQ3OTMzNTI0NWFkaXF6a2N4/document?download=0&amp;format=pdf
FY2023/FY2022: Annual Report and Financial Statements 2023, Note 26 (Capital management), p.62 - https://find-and-update.company-information.service.gov.uk/company/04218020/filing-history/MzM4OTExNTc1NmFkaXF6a2N4/document?download=0&amp;format=pdf
FY2021: Annual Report and Financial Statements 2022, Note 26 (Capital management), p.58 - https://find-and-update.company-information.service.gov.uk/company/04218020/filing-history/MzM1NTU5ODQzNmFkaXF6a2N4/document?download=0&amp;format=pdf
FY2021 Pillar 3: Persia International Bank Pillar 3 Disclosure 2021, pp.16-20 and 26 - https://www.persiabank.co.uk/Pillar%203%202021%20v3.pdf
The Bank states in the FY2023-FY2025 annual reports that Pillar 3 disclosures are made separately and can be made available on request; no public 2022-2025 Pillar 3 document was locatable. The 2021 Pillar 3 document is unaudited and provides the only directly disclosed FY2021 RWA, LCR and leverage values used here.</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2026-09-06T15:27:23Z</dcterms:created>
  <dcterms:modified xmlns:dcterms="http://purl.org/dc/terms/" xmlns:xsi="http://www.w3.org/2001/XMLSchema-instance" xsi:type="dcterms:W3CDTF">2026-09-06T15:27:23Z</dcterms:modified>
</cp:coreProperties>
</file>