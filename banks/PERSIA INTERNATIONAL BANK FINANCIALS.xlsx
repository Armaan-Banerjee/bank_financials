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186378.4</v>
      </c>
      <c r="C6" s="5" t="n">
        <v>208526.3</v>
      </c>
      <c r="D6" s="5" t="n">
        <v>237279.5</v>
      </c>
      <c r="E6" s="5" t="n">
        <v>247655.5</v>
      </c>
      <c r="F6" s="5" t="n">
        <v>256276.8</v>
      </c>
      <c r="G6" s="5" t="n">
        <v>247184.3</v>
      </c>
      <c r="H6" s="5" t="n">
        <v>193870.9</v>
      </c>
      <c r="I6" s="5" t="n">
        <v>210649.1</v>
      </c>
      <c r="J6" s="5" t="n">
        <v>230604.1</v>
      </c>
      <c r="K6" s="5" t="n">
        <v>222384</v>
      </c>
      <c r="L6" s="5" t="n">
        <v>225013</v>
      </c>
      <c r="O6" t="inlineStr">
        <is>
          <t>Total assets</t>
        </is>
      </c>
      <c r="P6" t="n">
        <v>225013</v>
      </c>
      <c r="Q6" t="n">
        <v>222384</v>
      </c>
      <c r="R6" t="n">
        <v>230604.1</v>
      </c>
      <c r="S6" t="n">
        <v>210649.1</v>
      </c>
      <c r="T6" t="n">
        <v>193870.9</v>
      </c>
      <c r="U6" t="n">
        <v>247184.3</v>
      </c>
      <c r="V6" t="n">
        <v>256276.8</v>
      </c>
      <c r="W6" t="n">
        <v>247655.5</v>
      </c>
      <c r="X6" t="n">
        <v>237279.5</v>
      </c>
      <c r="Y6" t="n">
        <v>208526.3</v>
      </c>
      <c r="Z6" t="n">
        <v>186378.4</v>
      </c>
      <c r="BS6" t="inlineStr">
        <is>
          <t>Leverage Ratio</t>
        </is>
      </c>
      <c r="BU6" t="n">
        <v>49.99</v>
      </c>
      <c r="BW6" t="n">
        <v>49.27</v>
      </c>
      <c r="BY6" t="n">
        <v>33.77</v>
      </c>
      <c r="BZ6" t="n">
        <v>53.32</v>
      </c>
    </row>
    <row r="7">
      <c r="A7" s="5" t="inlineStr">
        <is>
          <t>Loans and advances to customers</t>
        </is>
      </c>
      <c r="B7" s="5" t="n">
        <v>32548.5</v>
      </c>
      <c r="C7" s="5" t="n">
        <v>57822.2</v>
      </c>
      <c r="D7" s="5" t="n">
        <v>28014.8</v>
      </c>
      <c r="E7" s="5" t="n">
        <v>38178.2</v>
      </c>
      <c r="F7" s="5" t="n">
        <v>42554.8</v>
      </c>
      <c r="G7" s="5" t="n">
        <v>38613.5</v>
      </c>
      <c r="H7" s="5" t="n">
        <v>16108.1</v>
      </c>
      <c r="I7" s="5" t="n">
        <v>17728</v>
      </c>
      <c r="J7" s="5" t="n">
        <v>33021.6</v>
      </c>
      <c r="K7" s="5" t="n">
        <v>44775</v>
      </c>
      <c r="L7" s="5" t="n">
        <v>50022</v>
      </c>
      <c r="O7" t="inlineStr">
        <is>
          <t>Loans and advances to customers</t>
        </is>
      </c>
      <c r="P7" t="n">
        <v>50022</v>
      </c>
      <c r="Q7" t="n">
        <v>44775</v>
      </c>
      <c r="R7" t="n">
        <v>33021.6</v>
      </c>
      <c r="S7" t="n">
        <v>17728</v>
      </c>
      <c r="T7" t="n">
        <v>16108.1</v>
      </c>
      <c r="U7" t="n">
        <v>38613.5</v>
      </c>
      <c r="V7" t="n">
        <v>42554.8</v>
      </c>
      <c r="W7" t="n">
        <v>38178.2</v>
      </c>
      <c r="X7" t="n">
        <v>28014.8</v>
      </c>
      <c r="Y7" t="n">
        <v>57822.2</v>
      </c>
      <c r="Z7" t="n">
        <v>32548.5</v>
      </c>
      <c r="BS7" t="inlineStr">
        <is>
          <t>LCR</t>
        </is>
      </c>
      <c r="BW7" t="n">
        <v>539.22</v>
      </c>
      <c r="BY7" t="n">
        <v>181.69</v>
      </c>
      <c r="BZ7" t="n">
        <v>221.13</v>
      </c>
    </row>
    <row r="8">
      <c r="A8" s="5" t="inlineStr">
        <is>
          <t>Deposits from customers</t>
        </is>
      </c>
      <c r="B8" s="5" t="n">
        <v>5505.4</v>
      </c>
      <c r="C8" s="5" t="n">
        <v>6553.2</v>
      </c>
      <c r="D8" s="5" t="n">
        <v>6372.7</v>
      </c>
      <c r="E8" s="5" t="n">
        <v>7449</v>
      </c>
      <c r="F8" s="5" t="n">
        <v>7354.8</v>
      </c>
      <c r="G8" s="5" t="n">
        <v>7077.5</v>
      </c>
      <c r="H8" s="5" t="n">
        <v>7755.8</v>
      </c>
      <c r="I8" s="5" t="n">
        <v>3291.4</v>
      </c>
      <c r="J8" s="5" t="n">
        <v>1788.9</v>
      </c>
      <c r="K8" s="5" t="n">
        <v>2687</v>
      </c>
      <c r="L8" s="5" t="n">
        <v>2732</v>
      </c>
      <c r="O8" t="inlineStr">
        <is>
          <t>Deposits from customers</t>
        </is>
      </c>
      <c r="P8" t="n">
        <v>2732</v>
      </c>
      <c r="Q8" t="n">
        <v>2687</v>
      </c>
      <c r="R8" t="n">
        <v>1788.9</v>
      </c>
      <c r="S8" t="n">
        <v>3291.4</v>
      </c>
      <c r="T8" t="n">
        <v>7755.8</v>
      </c>
      <c r="U8" t="n">
        <v>7077.5</v>
      </c>
      <c r="V8" t="n">
        <v>7354.8</v>
      </c>
      <c r="W8" t="n">
        <v>7449</v>
      </c>
      <c r="X8" t="n">
        <v>6372.7</v>
      </c>
      <c r="Y8" t="n">
        <v>6553.2</v>
      </c>
      <c r="Z8" t="n">
        <v>5505.4</v>
      </c>
    </row>
    <row r="9">
      <c r="A9" s="5" t="inlineStr">
        <is>
          <t>Total shareholders' equity</t>
        </is>
      </c>
      <c r="B9" s="5" t="n">
        <v>132244.3</v>
      </c>
      <c r="C9" s="5" t="n">
        <v>149348.5</v>
      </c>
      <c r="D9" s="5" t="n">
        <v>150637.5</v>
      </c>
      <c r="E9" s="5" t="n">
        <v>155466.7</v>
      </c>
      <c r="F9" s="5" t="n">
        <v>153248.1</v>
      </c>
      <c r="G9" s="5" t="n">
        <v>91214.60000000001</v>
      </c>
      <c r="H9" s="5" t="n">
        <v>101859.3</v>
      </c>
      <c r="I9" s="5" t="n">
        <v>112345.1</v>
      </c>
      <c r="J9" s="5" t="n">
        <v>121109</v>
      </c>
      <c r="K9" s="5" t="n">
        <v>105499</v>
      </c>
      <c r="L9" s="5" t="n">
        <v>105997</v>
      </c>
      <c r="O9" t="inlineStr">
        <is>
          <t>Total shareholders' equity</t>
        </is>
      </c>
      <c r="P9" t="n">
        <v>105997</v>
      </c>
      <c r="Q9" t="n">
        <v>105499</v>
      </c>
      <c r="R9" t="n">
        <v>121109</v>
      </c>
      <c r="S9" t="n">
        <v>112345.1</v>
      </c>
      <c r="T9" t="n">
        <v>101859.3</v>
      </c>
      <c r="U9" t="n">
        <v>91214.60000000001</v>
      </c>
      <c r="V9" t="n">
        <v>153248.1</v>
      </c>
      <c r="W9" t="n">
        <v>155466.7</v>
      </c>
      <c r="X9" t="n">
        <v>150637.5</v>
      </c>
      <c r="Y9" t="n">
        <v>149348.5</v>
      </c>
      <c r="Z9" t="n">
        <v>132244.3</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7970.2</v>
      </c>
      <c r="C13" s="5" t="n">
        <v>8798.4</v>
      </c>
      <c r="D13" s="5" t="n">
        <v>7705.6</v>
      </c>
      <c r="E13" s="5" t="n">
        <v>3739.6</v>
      </c>
      <c r="F13" s="5" t="n">
        <v>4104.2</v>
      </c>
      <c r="G13" s="5" t="n">
        <v>2302.3</v>
      </c>
      <c r="H13" s="5" t="n">
        <v>1713.7</v>
      </c>
      <c r="I13" s="5" t="n">
        <v>3014.6</v>
      </c>
      <c r="J13" s="5" t="n">
        <v>5014.3</v>
      </c>
      <c r="K13" s="5" t="n">
        <v>7435.7</v>
      </c>
      <c r="L13" s="5" t="n">
        <v>6520</v>
      </c>
      <c r="AC13" t="inlineStr">
        <is>
          <t>Net Interest Income</t>
        </is>
      </c>
      <c r="AD13" t="n">
        <v>6520</v>
      </c>
      <c r="AE13" t="n">
        <v>7435.7</v>
      </c>
      <c r="AF13" t="n">
        <v>5014.3</v>
      </c>
      <c r="AG13" t="n">
        <v>3014.6</v>
      </c>
      <c r="AH13" t="n">
        <v>1713.7</v>
      </c>
      <c r="AI13" t="n">
        <v>2302.3</v>
      </c>
      <c r="AJ13" t="n">
        <v>4104.2</v>
      </c>
      <c r="AK13" t="n">
        <v>3739.6</v>
      </c>
      <c r="AL13" t="n">
        <v>7705.6</v>
      </c>
      <c r="AM13" t="n">
        <v>8798.4</v>
      </c>
      <c r="AN13" t="n">
        <v>7970.2</v>
      </c>
    </row>
    <row r="14">
      <c r="A14" s="5" t="inlineStr">
        <is>
          <t>Total operating expenses</t>
        </is>
      </c>
      <c r="B14" s="5" t="n">
        <v>-8323</v>
      </c>
      <c r="C14" s="5" t="n">
        <v>-8453.1</v>
      </c>
      <c r="D14" s="5" t="n">
        <v>-6349.6</v>
      </c>
      <c r="E14" s="5" t="n">
        <v>-4432.8</v>
      </c>
      <c r="F14" s="5" t="n">
        <v>-5830.8</v>
      </c>
      <c r="G14" s="5" t="n"/>
      <c r="H14" s="5" t="n"/>
      <c r="I14" s="5" t="n"/>
      <c r="J14" s="5" t="n"/>
      <c r="K14" s="5" t="n"/>
      <c r="L14" s="5" t="n"/>
      <c r="AC14" t="inlineStr">
        <is>
          <t>Total operating expenses</t>
        </is>
      </c>
      <c r="AJ14" t="n">
        <v>-5830.8</v>
      </c>
      <c r="AK14" t="n">
        <v>-4432.8</v>
      </c>
      <c r="AL14" t="n">
        <v>-6349.6</v>
      </c>
      <c r="AM14" t="n">
        <v>-8453.1</v>
      </c>
      <c r="AN14" t="n">
        <v>-8323</v>
      </c>
    </row>
    <row r="15">
      <c r="A15" s="5" t="inlineStr">
        <is>
          <t>Profit/(loss) for the year attributable to equity holders</t>
        </is>
      </c>
      <c r="B15" s="5" t="n">
        <v>-20582.8</v>
      </c>
      <c r="C15" s="5" t="n">
        <v>-4511</v>
      </c>
      <c r="D15" s="5" t="n">
        <v>941.9</v>
      </c>
      <c r="E15" s="5" t="n">
        <v>1306.7</v>
      </c>
      <c r="F15" s="5" t="n">
        <v>-601.7</v>
      </c>
      <c r="G15" s="5" t="n">
        <v>-7250.3</v>
      </c>
      <c r="H15" s="5" t="n">
        <v>-6617.9</v>
      </c>
      <c r="I15" s="5" t="n">
        <v>-6286.4</v>
      </c>
      <c r="J15" s="5" t="n">
        <v>-1961.9</v>
      </c>
      <c r="K15" s="5" t="n">
        <v>-673.9</v>
      </c>
      <c r="L15" s="5" t="n">
        <v>662.5</v>
      </c>
      <c r="AC15" t="inlineStr">
        <is>
          <t>Profit/(loss) for the year attributable to equity holders</t>
        </is>
      </c>
      <c r="AD15" t="n">
        <v>662.5</v>
      </c>
      <c r="AE15" t="n">
        <v>-673.9</v>
      </c>
      <c r="AF15" t="n">
        <v>-1961.9</v>
      </c>
      <c r="AG15" t="n">
        <v>-6286.4</v>
      </c>
      <c r="AH15" t="n">
        <v>-6617.9</v>
      </c>
      <c r="AI15" t="n">
        <v>-7250.3</v>
      </c>
      <c r="AJ15" t="n">
        <v>-601.7</v>
      </c>
      <c r="AK15" t="n">
        <v>1306.7</v>
      </c>
      <c r="AL15" t="n">
        <v>941.9</v>
      </c>
      <c r="AM15" t="n">
        <v>-4511</v>
      </c>
      <c r="AN15" t="n">
        <v>-20582.8</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149348.5</v>
      </c>
      <c r="C19" s="5" t="n">
        <v>150637.5</v>
      </c>
      <c r="D19" s="5" t="n">
        <v>155466.7</v>
      </c>
      <c r="E19" s="5" t="n">
        <v>153248.1</v>
      </c>
      <c r="F19" s="5" t="n"/>
      <c r="G19" s="5" t="n">
        <v>101859.3</v>
      </c>
      <c r="H19" s="5" t="n">
        <v>112345.1</v>
      </c>
      <c r="I19" s="5" t="n">
        <v>121109</v>
      </c>
      <c r="J19" s="5" t="n">
        <v>105499</v>
      </c>
      <c r="K19" s="5" t="n">
        <v>105997</v>
      </c>
      <c r="L19" s="5" t="n">
        <v>105479</v>
      </c>
      <c r="AQ19" t="inlineStr">
        <is>
          <t>Opening equity</t>
        </is>
      </c>
      <c r="AR19" t="n">
        <v>105479</v>
      </c>
      <c r="AS19" t="n">
        <v>105997</v>
      </c>
      <c r="AT19" t="n">
        <v>105499</v>
      </c>
      <c r="AU19" t="n">
        <v>121109</v>
      </c>
      <c r="AV19" t="n">
        <v>112345.1</v>
      </c>
      <c r="AW19" t="n">
        <v>101859.3</v>
      </c>
      <c r="AY19" t="n">
        <v>153248.1</v>
      </c>
      <c r="AZ19" t="n">
        <v>155466.7</v>
      </c>
      <c r="BA19" t="n">
        <v>150637.5</v>
      </c>
      <c r="BB19" t="n">
        <v>149348.5</v>
      </c>
    </row>
    <row r="20">
      <c r="A20" s="5" t="inlineStr">
        <is>
          <t>Total comprehensive income/(expense) for the year</t>
        </is>
      </c>
      <c r="B20" s="5" t="n">
        <v>-20582.8</v>
      </c>
      <c r="C20" s="5" t="n">
        <v>-4511</v>
      </c>
      <c r="D20" s="5" t="n">
        <v>941.9</v>
      </c>
      <c r="E20" s="5" t="n">
        <v>1306.7</v>
      </c>
      <c r="F20" s="5" t="n">
        <v>-601.7</v>
      </c>
      <c r="G20" s="5" t="n">
        <v>-7250.3</v>
      </c>
      <c r="H20" s="5" t="n">
        <v>-6617.9</v>
      </c>
      <c r="I20" s="5" t="n">
        <v>-6286.4</v>
      </c>
      <c r="J20" s="5" t="n">
        <v>-1961.9</v>
      </c>
      <c r="K20" s="5" t="n">
        <v>-673.9</v>
      </c>
      <c r="L20" s="5" t="n">
        <v>662.5</v>
      </c>
      <c r="AQ20" t="inlineStr">
        <is>
          <t>Total comprehensive income/(expense) for the year</t>
        </is>
      </c>
      <c r="AR20" t="n">
        <v>662.5</v>
      </c>
      <c r="AS20" t="n">
        <v>-673.9</v>
      </c>
      <c r="AT20" t="n">
        <v>-1961.9</v>
      </c>
      <c r="AU20" t="n">
        <v>-6286.4</v>
      </c>
      <c r="AV20" t="n">
        <v>-6617.9</v>
      </c>
      <c r="AW20" t="n">
        <v>-7250.3</v>
      </c>
      <c r="AX20" t="n">
        <v>-601.7</v>
      </c>
      <c r="AY20" t="n">
        <v>1306.7</v>
      </c>
      <c r="AZ20" t="n">
        <v>941.9</v>
      </c>
      <c r="BA20" t="n">
        <v>-4511</v>
      </c>
      <c r="BB20" t="n">
        <v>-20582.8</v>
      </c>
    </row>
    <row r="21">
      <c r="A21" s="5" t="inlineStr">
        <is>
          <t>Other equity movements, net (FY2021: share capital issuance; FY2024: prior period restatement per Note 33)</t>
        </is>
      </c>
      <c r="B21" s="5" t="n">
        <v>0</v>
      </c>
      <c r="C21" s="5" t="n">
        <v>-1108</v>
      </c>
      <c r="D21" s="5" t="n">
        <v>0</v>
      </c>
      <c r="E21" s="5" t="n">
        <v>0</v>
      </c>
      <c r="F21" s="5" t="n">
        <v>56022.4</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56022.4</v>
      </c>
      <c r="AY21" t="n">
        <v>0</v>
      </c>
      <c r="AZ21" t="n">
        <v>0</v>
      </c>
      <c r="BA21" t="n">
        <v>-1108</v>
      </c>
      <c r="BB21" t="n">
        <v>0</v>
      </c>
    </row>
    <row r="22">
      <c r="A22" s="5" t="inlineStr">
        <is>
          <t>Closing equity</t>
        </is>
      </c>
      <c r="B22" s="5" t="n">
        <v>132244.3</v>
      </c>
      <c r="C22" s="5" t="n">
        <v>149348.5</v>
      </c>
      <c r="D22" s="5" t="n">
        <v>150637.5</v>
      </c>
      <c r="E22" s="5" t="n">
        <v>155466.7</v>
      </c>
      <c r="F22" s="5" t="n">
        <v>153248.1</v>
      </c>
      <c r="G22" s="5" t="n">
        <v>91214.60000000001</v>
      </c>
      <c r="H22" s="5" t="n">
        <v>101859.3</v>
      </c>
      <c r="I22" s="5" t="n">
        <v>112345.1</v>
      </c>
      <c r="J22" s="5" t="n">
        <v>121109</v>
      </c>
      <c r="K22" s="5" t="n">
        <v>105499</v>
      </c>
      <c r="L22" s="5" t="n">
        <v>105997</v>
      </c>
      <c r="AQ22" t="inlineStr">
        <is>
          <t>Closing equity</t>
        </is>
      </c>
      <c r="AR22" t="n">
        <v>105997</v>
      </c>
      <c r="AS22" t="n">
        <v>105499</v>
      </c>
      <c r="AT22" t="n">
        <v>121109</v>
      </c>
      <c r="AU22" t="n">
        <v>112345.1</v>
      </c>
      <c r="AV22" t="n">
        <v>101859.3</v>
      </c>
      <c r="AW22" t="n">
        <v>91214.60000000001</v>
      </c>
      <c r="AX22" t="n">
        <v>153248.1</v>
      </c>
      <c r="AY22" t="n">
        <v>155466.7</v>
      </c>
      <c r="AZ22" t="n">
        <v>150637.5</v>
      </c>
      <c r="BA22" t="n">
        <v>149348.5</v>
      </c>
      <c r="BB22" t="n">
        <v>132244.3</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2381.4</v>
      </c>
      <c r="C26" s="5" t="n">
        <v>-16472.8</v>
      </c>
      <c r="D26" s="5" t="n">
        <v>6001.2</v>
      </c>
      <c r="E26" s="5" t="n">
        <v>3987.1</v>
      </c>
      <c r="F26" s="5" t="n">
        <v>-412.3</v>
      </c>
      <c r="G26" s="5" t="n">
        <v>-30729.8</v>
      </c>
      <c r="H26" s="5" t="n">
        <v>-4227.6</v>
      </c>
      <c r="I26" s="5" t="n">
        <v>8699.4</v>
      </c>
      <c r="J26" s="5" t="n">
        <v>-4234.5</v>
      </c>
      <c r="K26" s="5" t="n">
        <v>14542.6</v>
      </c>
      <c r="L26" s="5" t="n">
        <v>18649.4</v>
      </c>
      <c r="BE26" t="inlineStr">
        <is>
          <t>Net cash flow from operating activities</t>
        </is>
      </c>
      <c r="BF26" t="n">
        <v>18649.4</v>
      </c>
      <c r="BG26" t="n">
        <v>14542.6</v>
      </c>
      <c r="BH26" t="n">
        <v>-4234.5</v>
      </c>
      <c r="BI26" t="n">
        <v>8699.4</v>
      </c>
      <c r="BJ26" t="n">
        <v>-4227.6</v>
      </c>
      <c r="BK26" t="n">
        <v>-30729.8</v>
      </c>
      <c r="BL26" t="n">
        <v>-412.3</v>
      </c>
      <c r="BM26" t="n">
        <v>3987.1</v>
      </c>
      <c r="BN26" t="n">
        <v>6001.2</v>
      </c>
      <c r="BO26" t="n">
        <v>-16472.8</v>
      </c>
      <c r="BP26" t="n">
        <v>2381.4</v>
      </c>
    </row>
    <row r="27">
      <c r="A27" s="5" t="inlineStr">
        <is>
          <t>Net cash flow from investing activities</t>
        </is>
      </c>
      <c r="B27" s="5" t="n">
        <v>-2.4</v>
      </c>
      <c r="C27" s="5" t="n">
        <v>-83.40000000000001</v>
      </c>
      <c r="D27" s="5" t="n">
        <v>-54</v>
      </c>
      <c r="E27" s="5" t="n">
        <v>-51.6</v>
      </c>
      <c r="F27" s="5" t="n">
        <v>0</v>
      </c>
      <c r="G27" s="5" t="n">
        <v>0</v>
      </c>
      <c r="H27" s="5" t="n">
        <v>-71.40000000000001</v>
      </c>
      <c r="I27" s="5" t="n">
        <v>-1018.5</v>
      </c>
      <c r="J27" s="5" t="n">
        <v>-452.4</v>
      </c>
      <c r="K27" s="5" t="n">
        <v>-119.1</v>
      </c>
      <c r="L27" s="5" t="n">
        <v>-212.3</v>
      </c>
      <c r="BE27" t="inlineStr">
        <is>
          <t>Net cash flow from investing activities</t>
        </is>
      </c>
      <c r="BF27" t="n">
        <v>-212.3</v>
      </c>
      <c r="BG27" t="n">
        <v>-119.1</v>
      </c>
      <c r="BH27" t="n">
        <v>-452.4</v>
      </c>
      <c r="BI27" t="n">
        <v>-1018.5</v>
      </c>
      <c r="BJ27" t="n">
        <v>-71.40000000000001</v>
      </c>
      <c r="BK27" t="n">
        <v>0</v>
      </c>
      <c r="BL27" t="n">
        <v>0</v>
      </c>
      <c r="BM27" t="n">
        <v>-51.6</v>
      </c>
      <c r="BN27" t="n">
        <v>-54</v>
      </c>
      <c r="BO27" t="n">
        <v>-83.40000000000001</v>
      </c>
      <c r="BP27" t="n">
        <v>-2.4</v>
      </c>
    </row>
    <row r="28">
      <c r="A28" s="5" t="inlineStr">
        <is>
          <t>Cash and cash equivalents at end of year</t>
        </is>
      </c>
      <c r="B28" s="5" t="n">
        <v>92352.10000000001</v>
      </c>
      <c r="C28" s="5" t="n">
        <v>88271.3</v>
      </c>
      <c r="D28" s="5" t="n">
        <v>198144.3</v>
      </c>
      <c r="E28" s="5" t="n">
        <v>201369.9</v>
      </c>
      <c r="F28" s="5" t="n">
        <v>207028.7</v>
      </c>
      <c r="G28" s="5" t="n">
        <v>200527</v>
      </c>
      <c r="H28" s="5" t="n">
        <v>169722.1</v>
      </c>
      <c r="I28" s="5" t="n">
        <v>183998.9</v>
      </c>
      <c r="J28" s="5" t="n">
        <v>189295.6</v>
      </c>
      <c r="K28" s="5" t="n">
        <v>166225</v>
      </c>
      <c r="L28" s="5" t="n">
        <v>155667</v>
      </c>
      <c r="BE28" t="inlineStr">
        <is>
          <t>Cash and cash equivalents at end of year</t>
        </is>
      </c>
      <c r="BF28" t="n">
        <v>155667</v>
      </c>
      <c r="BG28" t="n">
        <v>166225</v>
      </c>
      <c r="BH28" t="n">
        <v>189295.6</v>
      </c>
      <c r="BI28" t="n">
        <v>183998.9</v>
      </c>
      <c r="BJ28" t="n">
        <v>169722.1</v>
      </c>
      <c r="BK28" t="n">
        <v>200527</v>
      </c>
      <c r="BL28" t="n">
        <v>207028.7</v>
      </c>
      <c r="BM28" t="n">
        <v>201369.9</v>
      </c>
      <c r="BN28" t="n">
        <v>198144.3</v>
      </c>
      <c r="BO28" t="n">
        <v>88271.3</v>
      </c>
      <c r="BP28" t="n">
        <v>92352.10000000001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Leverage Ratio</t>
        </is>
      </c>
      <c r="B32" s="6" t="n"/>
      <c r="C32" s="6" t="n"/>
      <c r="D32" s="6" t="n"/>
      <c r="E32" s="6" t="n"/>
      <c r="F32" s="6" t="inlineStr">
        <is>
          <t>53.32%</t>
        </is>
      </c>
      <c r="G32" s="6" t="inlineStr">
        <is>
          <t>33.77%</t>
        </is>
      </c>
      <c r="H32" s="6" t="n"/>
      <c r="I32" s="6" t="inlineStr">
        <is>
          <t>49.27%</t>
        </is>
      </c>
      <c r="J32" s="6" t="n"/>
      <c r="K32" s="6" t="inlineStr">
        <is>
          <t>49.99%</t>
        </is>
      </c>
      <c r="L32" s="6" t="n"/>
    </row>
    <row r="33">
      <c r="A33" s="6" t="inlineStr">
        <is>
          <t>LCR</t>
        </is>
      </c>
      <c r="B33" s="6" t="n"/>
      <c r="C33" s="6" t="n"/>
      <c r="D33" s="6" t="n"/>
      <c r="E33" s="6" t="n"/>
      <c r="F33" s="6" t="inlineStr">
        <is>
          <t>221.13%</t>
        </is>
      </c>
      <c r="G33" s="6" t="inlineStr">
        <is>
          <t>181.69%</t>
        </is>
      </c>
      <c r="H33" s="6" t="n"/>
      <c r="I33" s="6" t="inlineStr">
        <is>
          <t>539.22%</t>
        </is>
      </c>
      <c r="J33" s="6" t="n"/>
      <c r="K33" s="6" t="n"/>
      <c r="L33" s="6" t="n"/>
    </row>
    <row r="35" ht="45" customHeight="1">
      <c r="A35" s="7" t="inlineStr">
        <is>
          <t>Note: FY2021 leverage and LCR are the only directly disclosed regulatory liquidity metrics located in the public source set for FY2021-FY2025; later years there are intentionally blank because the Bank ceased publishing Pillar 3 disclosures after its 31 March 2021 edition - a documented policy change (its FY2022 Annual Report, p.8, says the disclosures 'are published on the Bank's web site'; the FY2023, FY2024 and FY2025 reports all replace that with 'can be made available on request'), confirmed against the Bank's live site, which carries exactly one Pillar 3 PDF, the 2021 edition. The Bank itself has not ceased - it is Active at Companies House, filed accounts to 31 March 2025, and still holds PRA authorisation (FRN 208020, Bank of England List of banks at 30 September 2026). See the Total RWAs / Leverage Ratio / LCR sheets for the full evidence.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92352.10000000001</v>
      </c>
      <c r="C5" s="6" t="n">
        <v>88271.3</v>
      </c>
      <c r="D5" s="6" t="n">
        <v>59010.2</v>
      </c>
      <c r="E5" s="6" t="n">
        <v>121633</v>
      </c>
      <c r="F5" s="6" t="n">
        <v>29893.3</v>
      </c>
      <c r="G5" s="6" t="n">
        <v>30834.8</v>
      </c>
      <c r="H5" s="6" t="n">
        <v>33583.7</v>
      </c>
      <c r="I5" s="6" t="n">
        <v>34306.3</v>
      </c>
      <c r="J5" s="6" t="n">
        <v>97507.89999999999</v>
      </c>
      <c r="K5" s="6" t="n">
        <v>151493</v>
      </c>
      <c r="L5" s="6" t="n">
        <v>147831</v>
      </c>
    </row>
    <row r="6">
      <c r="A6" s="6" t="inlineStr">
        <is>
          <t>Loans and advances to banks</t>
        </is>
      </c>
      <c r="B6" s="6" t="n">
        <v>54812</v>
      </c>
      <c r="C6" s="6" t="n">
        <v>56205.8</v>
      </c>
      <c r="D6" s="6" t="n">
        <v>139134.1</v>
      </c>
      <c r="E6" s="6" t="n">
        <v>79736.89999999999</v>
      </c>
      <c r="F6" s="6" t="n">
        <v>177135.5</v>
      </c>
      <c r="G6" s="6" t="n">
        <v>169692.1</v>
      </c>
      <c r="H6" s="6" t="n">
        <v>136138.4</v>
      </c>
      <c r="I6" s="6" t="n">
        <v>149692.6</v>
      </c>
      <c r="J6" s="6" t="n">
        <v>91787.8</v>
      </c>
      <c r="K6" s="6" t="n">
        <v>14732</v>
      </c>
      <c r="L6" s="6" t="n">
        <v>10336</v>
      </c>
    </row>
    <row r="7">
      <c r="A7" s="6" t="inlineStr">
        <is>
          <t>Loans and advances to customers</t>
        </is>
      </c>
      <c r="B7" s="6" t="n">
        <v>32548.5</v>
      </c>
      <c r="C7" s="6" t="n">
        <v>57822.2</v>
      </c>
      <c r="D7" s="6" t="n">
        <v>28014.8</v>
      </c>
      <c r="E7" s="6" t="n">
        <v>38178.2</v>
      </c>
      <c r="F7" s="6" t="n">
        <v>42554.8</v>
      </c>
      <c r="G7" s="6" t="n">
        <v>38613.5</v>
      </c>
      <c r="H7" s="6" t="n">
        <v>16108.1</v>
      </c>
      <c r="I7" s="6" t="n">
        <v>17728</v>
      </c>
      <c r="J7" s="6" t="n">
        <v>33021.6</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3419.2</v>
      </c>
      <c r="C9" s="6" t="n">
        <v>3734.5</v>
      </c>
      <c r="D9" s="6" t="n">
        <v>5125</v>
      </c>
      <c r="E9" s="6" t="n">
        <v>4049.6</v>
      </c>
      <c r="F9" s="6" t="n">
        <v>3892.1</v>
      </c>
      <c r="G9" s="6" t="n">
        <v>4713.5</v>
      </c>
      <c r="H9" s="6" t="n">
        <v>5066.3</v>
      </c>
      <c r="I9" s="6" t="n">
        <v>4798.9</v>
      </c>
      <c r="J9" s="6" t="n">
        <v>5223.3</v>
      </c>
      <c r="K9" s="6" t="n">
        <v>4353</v>
      </c>
      <c r="L9" s="6" t="n">
        <v>4456</v>
      </c>
    </row>
    <row r="10">
      <c r="A10" s="6" t="inlineStr">
        <is>
          <t>Intangible assets (FY2023 report shows this line as nil/dash; FY2015-FY2017 own reports have no separate line)</t>
        </is>
      </c>
      <c r="B10" s="6" t="n">
        <v>0</v>
      </c>
      <c r="C10" s="6" t="n">
        <v>0</v>
      </c>
      <c r="D10" s="6" t="n">
        <v>0</v>
      </c>
      <c r="E10" s="6" t="n">
        <v>105</v>
      </c>
      <c r="F10" s="6" t="n">
        <v>314.4</v>
      </c>
      <c r="G10" s="6" t="n">
        <v>501.1</v>
      </c>
      <c r="H10" s="6" t="n">
        <v>726.7</v>
      </c>
      <c r="I10" s="6" t="n">
        <v>917.7</v>
      </c>
      <c r="J10" s="6" t="n"/>
      <c r="K10" s="6" t="n"/>
      <c r="L10" s="6" t="n"/>
    </row>
    <row r="11">
      <c r="A11" s="6" t="inlineStr">
        <is>
          <t>Other assets</t>
        </is>
      </c>
      <c r="B11" s="6" t="n">
        <v>3086.2</v>
      </c>
      <c r="C11" s="6" t="n">
        <v>2320.5</v>
      </c>
      <c r="D11" s="6" t="n">
        <v>1483</v>
      </c>
      <c r="E11" s="6" t="n">
        <v>3183.5</v>
      </c>
      <c r="F11" s="6" t="n">
        <v>1638.7</v>
      </c>
      <c r="G11" s="6" t="n">
        <v>1749.4</v>
      </c>
      <c r="H11" s="6" t="n">
        <v>1047.7</v>
      </c>
      <c r="I11" s="6" t="n">
        <v>1468.6</v>
      </c>
      <c r="J11" s="6" t="n">
        <v>1247.8</v>
      </c>
      <c r="K11" s="6" t="n">
        <v>6074</v>
      </c>
      <c r="L11" s="6" t="n">
        <v>11021</v>
      </c>
    </row>
    <row r="12">
      <c r="A12" s="6" t="inlineStr">
        <is>
          <t>Prepayments and accrued income</t>
        </is>
      </c>
      <c r="B12" s="6" t="n">
        <v>160.5</v>
      </c>
      <c r="C12" s="6" t="n">
        <v>171.9</v>
      </c>
      <c r="D12" s="6" t="n">
        <v>4512.5</v>
      </c>
      <c r="E12" s="6" t="n">
        <v>769.3</v>
      </c>
      <c r="F12" s="6" t="n">
        <v>848.1</v>
      </c>
      <c r="G12" s="6" t="n">
        <v>1079.8</v>
      </c>
      <c r="H12" s="6" t="n">
        <v>976.7</v>
      </c>
      <c r="I12" s="6" t="n">
        <v>1521.1</v>
      </c>
      <c r="J12" s="6" t="n">
        <v>1590.7</v>
      </c>
      <c r="K12" s="6" t="n">
        <v>748</v>
      </c>
      <c r="L12" s="6" t="n">
        <v>783</v>
      </c>
    </row>
    <row r="13">
      <c r="A13" s="6" t="inlineStr">
        <is>
          <t>Current tax (FY2015-FY2019 own reports only; FY2020's own report shows this line as nil/dash)</t>
        </is>
      </c>
      <c r="B13" s="6" t="n"/>
      <c r="C13" s="6" t="n"/>
      <c r="D13" s="6" t="n"/>
      <c r="E13" s="6" t="n"/>
      <c r="F13" s="6" t="n"/>
      <c r="G13" s="6" t="n"/>
      <c r="H13" s="6" t="n">
        <v>223.3</v>
      </c>
      <c r="I13" s="6" t="n">
        <v>216</v>
      </c>
      <c r="J13" s="6" t="n">
        <v>225.1</v>
      </c>
      <c r="K13" s="6" t="n">
        <v>209</v>
      </c>
      <c r="L13" s="6" t="n">
        <v>129</v>
      </c>
    </row>
    <row r="14">
      <c r="A14" s="5" t="inlineStr">
        <is>
          <t>Total assets</t>
        </is>
      </c>
      <c r="B14" s="5" t="n">
        <v>186378.4</v>
      </c>
      <c r="C14" s="5" t="n">
        <v>208526.3</v>
      </c>
      <c r="D14" s="5" t="n">
        <v>237279.5</v>
      </c>
      <c r="E14" s="5" t="n">
        <v>247655.5</v>
      </c>
      <c r="F14" s="5" t="n">
        <v>256276.8</v>
      </c>
      <c r="G14" s="5" t="n">
        <v>247184.3</v>
      </c>
      <c r="H14" s="5" t="n">
        <v>193870.9</v>
      </c>
      <c r="I14" s="5" t="n">
        <v>210649.1</v>
      </c>
      <c r="J14" s="5" t="n">
        <v>230604.1</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44871.9</v>
      </c>
      <c r="C16" s="6" t="n">
        <v>48476</v>
      </c>
      <c r="D16" s="6" t="n">
        <v>78072.7</v>
      </c>
      <c r="E16" s="6" t="n">
        <v>81792.3</v>
      </c>
      <c r="F16" s="6" t="n">
        <v>92141.89999999999</v>
      </c>
      <c r="G16" s="6" t="n">
        <v>93942.7</v>
      </c>
      <c r="H16" s="6" t="n">
        <v>27377.9</v>
      </c>
      <c r="I16" s="6" t="n">
        <v>38721.1</v>
      </c>
      <c r="J16" s="6" t="n">
        <v>50535.3</v>
      </c>
      <c r="K16" s="6" t="n">
        <v>65074</v>
      </c>
      <c r="L16" s="6" t="n">
        <v>66801</v>
      </c>
    </row>
    <row r="17">
      <c r="A17" s="6" t="inlineStr">
        <is>
          <t>Deposits from customers</t>
        </is>
      </c>
      <c r="B17" s="6" t="n">
        <v>5505.4</v>
      </c>
      <c r="C17" s="6" t="n">
        <v>6553.2</v>
      </c>
      <c r="D17" s="6" t="n">
        <v>6372.7</v>
      </c>
      <c r="E17" s="6" t="n">
        <v>7449</v>
      </c>
      <c r="F17" s="6" t="n">
        <v>7354.8</v>
      </c>
      <c r="G17" s="6" t="n">
        <v>7077.5</v>
      </c>
      <c r="H17" s="6" t="n">
        <v>7755.8</v>
      </c>
      <c r="I17" s="6" t="n">
        <v>3291.4</v>
      </c>
      <c r="J17" s="6" t="n">
        <v>1788.9</v>
      </c>
      <c r="K17" s="6" t="n">
        <v>2687</v>
      </c>
      <c r="L17" s="6" t="n">
        <v>2732</v>
      </c>
    </row>
    <row r="18">
      <c r="A18" s="6" t="inlineStr">
        <is>
          <t>Other liabilities / Provisions and accruals (FY2015-FY2018 own reports label this 'Provisions and accruals'; FY2019-FY2020 own reports use 'Other liabilities')</t>
        </is>
      </c>
      <c r="B18" s="6" t="n">
        <v>3756.9</v>
      </c>
      <c r="C18" s="6" t="n">
        <v>4148.5</v>
      </c>
      <c r="D18" s="6" t="n">
        <v>2196.6</v>
      </c>
      <c r="E18" s="6" t="n">
        <v>2947.5</v>
      </c>
      <c r="F18" s="6" t="n">
        <v>3532</v>
      </c>
      <c r="G18" s="6" t="n">
        <v>2702.2</v>
      </c>
      <c r="H18" s="6" t="n">
        <v>2808.1</v>
      </c>
      <c r="I18" s="6" t="n">
        <v>3148.6</v>
      </c>
      <c r="J18" s="6" t="n">
        <v>2943.4</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52247.2</v>
      </c>
      <c r="H19" s="6" t="n">
        <v>54069.8</v>
      </c>
      <c r="I19" s="6" t="n">
        <v>53142.9</v>
      </c>
      <c r="J19" s="6" t="n">
        <v>54227.4</v>
      </c>
      <c r="K19" s="6" t="n">
        <v>46500</v>
      </c>
      <c r="L19" s="6" t="n">
        <v>46500</v>
      </c>
    </row>
    <row r="20">
      <c r="A20" s="5" t="inlineStr">
        <is>
          <t>Total liabilities</t>
        </is>
      </c>
      <c r="B20" s="5" t="n">
        <v>54134.1</v>
      </c>
      <c r="C20" s="5" t="n">
        <v>59177.8</v>
      </c>
      <c r="D20" s="5" t="n">
        <v>86642</v>
      </c>
      <c r="E20" s="5" t="n">
        <v>92188.8</v>
      </c>
      <c r="F20" s="5" t="n">
        <v>103028.7</v>
      </c>
      <c r="G20" s="5" t="n">
        <v>155969.7</v>
      </c>
      <c r="H20" s="5" t="n">
        <v>92011.60000000001</v>
      </c>
      <c r="I20" s="5" t="n">
        <v>98304</v>
      </c>
      <c r="J20" s="5" t="n">
        <v>109495</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179640.7</v>
      </c>
      <c r="C22" s="6" t="n">
        <v>175438.6</v>
      </c>
      <c r="D22" s="6" t="n">
        <v>170454.5</v>
      </c>
      <c r="E22" s="6" t="n">
        <v>176991.2</v>
      </c>
      <c r="F22" s="6" t="n">
        <v>175953.1</v>
      </c>
      <c r="G22" s="6" t="n">
        <v>112359.6</v>
      </c>
      <c r="H22" s="6" t="n">
        <v>116279.1</v>
      </c>
      <c r="I22" s="6" t="n">
        <v>114285.7</v>
      </c>
      <c r="J22" s="6" t="n">
        <v>116618.1</v>
      </c>
      <c r="K22" s="6" t="n">
        <v>100000</v>
      </c>
      <c r="L22" s="6" t="n">
        <v>100000</v>
      </c>
    </row>
    <row r="23">
      <c r="A23" s="6" t="inlineStr">
        <is>
          <t>Retained earnings</t>
        </is>
      </c>
      <c r="B23" s="6" t="n">
        <v>-47396.4</v>
      </c>
      <c r="C23" s="6" t="n">
        <v>-26090.1</v>
      </c>
      <c r="D23" s="6" t="n">
        <v>-19817</v>
      </c>
      <c r="E23" s="6" t="n">
        <v>-21524.5</v>
      </c>
      <c r="F23" s="6" t="n">
        <v>-22705</v>
      </c>
      <c r="G23" s="6" t="n">
        <v>-21144.9</v>
      </c>
      <c r="H23" s="6" t="n">
        <v>-14419.8</v>
      </c>
      <c r="I23" s="6" t="n">
        <v>-1940.6</v>
      </c>
      <c r="J23" s="6" t="n">
        <v>4491</v>
      </c>
      <c r="K23" s="6" t="n">
        <v>5499</v>
      </c>
      <c r="L23" s="6" t="n">
        <v>5997</v>
      </c>
    </row>
    <row r="24">
      <c r="A24" s="5" t="inlineStr">
        <is>
          <t>Total shareholders' equity</t>
        </is>
      </c>
      <c r="B24" s="5" t="n">
        <v>132244.3</v>
      </c>
      <c r="C24" s="5" t="n">
        <v>149348.5</v>
      </c>
      <c r="D24" s="5" t="n">
        <v>150637.5</v>
      </c>
      <c r="E24" s="5" t="n">
        <v>155466.7</v>
      </c>
      <c r="F24" s="5" t="n">
        <v>153248.1</v>
      </c>
      <c r="G24" s="5" t="n">
        <v>91214.60000000001</v>
      </c>
      <c r="H24" s="5" t="n">
        <v>101859.3</v>
      </c>
      <c r="I24" s="5" t="n">
        <v>112345.1</v>
      </c>
      <c r="J24" s="5" t="n">
        <v>121109</v>
      </c>
      <c r="K24" s="5" t="n">
        <v>105499</v>
      </c>
      <c r="L24" s="5" t="n">
        <v>105997</v>
      </c>
    </row>
    <row r="25">
      <c r="A25" s="5" t="inlineStr">
        <is>
          <t>Total liabilities and equity</t>
        </is>
      </c>
      <c r="B25" s="5" t="n">
        <v>186378.4</v>
      </c>
      <c r="C25" s="5" t="n">
        <v>208526.3</v>
      </c>
      <c r="D25" s="5" t="n">
        <v>237279.5</v>
      </c>
      <c r="E25" s="5" t="n">
        <v>247655.5</v>
      </c>
      <c r="F25" s="5" t="n">
        <v>256276.8</v>
      </c>
      <c r="G25" s="5" t="n">
        <v>247184.3</v>
      </c>
      <c r="H25" s="5" t="n">
        <v>193870.9</v>
      </c>
      <c r="I25" s="5" t="n">
        <v>210649.1</v>
      </c>
      <c r="J25" s="5" t="n">
        <v>230604.1</v>
      </c>
      <c r="K25" s="5" t="n">
        <v>222384</v>
      </c>
      <c r="L25" s="5" t="n">
        <v>225013</v>
      </c>
    </row>
    <row r="27" ht="34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8395.700000000001</v>
      </c>
      <c r="C5" s="6" t="n">
        <v>9142.5</v>
      </c>
      <c r="D5" s="6" t="n">
        <v>7937.8</v>
      </c>
      <c r="E5" s="6" t="n">
        <v>4274.5</v>
      </c>
      <c r="F5" s="6" t="n">
        <v>4442.6</v>
      </c>
      <c r="G5" s="6" t="n">
        <v>2718</v>
      </c>
      <c r="H5" s="6" t="n">
        <v>1727.3</v>
      </c>
      <c r="I5" s="6" t="n">
        <v>3054.3</v>
      </c>
      <c r="J5" s="6" t="n">
        <v>5053.6</v>
      </c>
      <c r="K5" s="6" t="n">
        <v>7496.6</v>
      </c>
      <c r="L5" s="6" t="n">
        <v>6576.3</v>
      </c>
    </row>
    <row r="6">
      <c r="A6" s="6" t="inlineStr">
        <is>
          <t>Interest and similar expenses</t>
        </is>
      </c>
      <c r="B6" s="6" t="n">
        <v>-425.5</v>
      </c>
      <c r="C6" s="6" t="n">
        <v>-344.1</v>
      </c>
      <c r="D6" s="6" t="n">
        <v>-232.3</v>
      </c>
      <c r="E6" s="6" t="n">
        <v>-534.9</v>
      </c>
      <c r="F6" s="6" t="n">
        <v>-338.4</v>
      </c>
      <c r="G6" s="6" t="n">
        <v>-415.7</v>
      </c>
      <c r="H6" s="6" t="n">
        <v>-13.6</v>
      </c>
      <c r="I6" s="6" t="n">
        <v>-39.7</v>
      </c>
      <c r="J6" s="6" t="n">
        <v>-39.3</v>
      </c>
      <c r="K6" s="6" t="n">
        <v>-60.9</v>
      </c>
      <c r="L6" s="6" t="n">
        <v>-56.3</v>
      </c>
    </row>
    <row r="7">
      <c r="A7" s="5" t="inlineStr">
        <is>
          <t>Net Interest Income</t>
        </is>
      </c>
      <c r="B7" s="5" t="n">
        <v>7970.2</v>
      </c>
      <c r="C7" s="5" t="n">
        <v>8798.4</v>
      </c>
      <c r="D7" s="5" t="n">
        <v>7705.6</v>
      </c>
      <c r="E7" s="5" t="n">
        <v>3739.6</v>
      </c>
      <c r="F7" s="5" t="n">
        <v>4104.2</v>
      </c>
      <c r="G7" s="5" t="n">
        <v>2302.3</v>
      </c>
      <c r="H7" s="5" t="n">
        <v>1713.7</v>
      </c>
      <c r="I7" s="5" t="n">
        <v>3014.6</v>
      </c>
      <c r="J7" s="5" t="n">
        <v>5014.3</v>
      </c>
      <c r="K7" s="5" t="n">
        <v>7435.7</v>
      </c>
      <c r="L7" s="5" t="n">
        <v>6520</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1610.7</v>
      </c>
      <c r="K8" s="6" t="n">
        <v>-339.6</v>
      </c>
      <c r="L8" s="6" t="n">
        <v>-304.4</v>
      </c>
    </row>
    <row r="9">
      <c r="A9" s="6" t="inlineStr">
        <is>
          <t>Impairment charge for available-for-sale financial assets (FY2016 own report only)</t>
        </is>
      </c>
      <c r="B9" s="6" t="n"/>
      <c r="C9" s="6" t="n"/>
      <c r="D9" s="6" t="n"/>
      <c r="E9" s="6" t="n"/>
      <c r="F9" s="6" t="n"/>
      <c r="G9" s="6" t="n"/>
      <c r="H9" s="6" t="n"/>
      <c r="I9" s="6" t="n"/>
      <c r="J9" s="6" t="n"/>
      <c r="K9" s="6" t="n">
        <v>-562.9</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3014.6</v>
      </c>
      <c r="J10" s="5" t="n">
        <v>6625</v>
      </c>
      <c r="K10" s="5" t="n">
        <v>6533.2</v>
      </c>
      <c r="L10" s="5" t="n">
        <v>6215.6</v>
      </c>
    </row>
    <row r="11">
      <c r="A11" s="6" t="inlineStr">
        <is>
          <t>Fees and commission income</t>
        </is>
      </c>
      <c r="B11" s="6" t="n">
        <v>89.40000000000001</v>
      </c>
      <c r="C11" s="6" t="n">
        <v>394</v>
      </c>
      <c r="D11" s="6" t="n">
        <v>520.8</v>
      </c>
      <c r="E11" s="6" t="n">
        <v>205.3</v>
      </c>
      <c r="F11" s="6" t="n">
        <v>206.2</v>
      </c>
      <c r="G11" s="6" t="n">
        <v>1768</v>
      </c>
      <c r="H11" s="6" t="n">
        <v>138.3</v>
      </c>
      <c r="I11" s="6" t="n">
        <v>61.2</v>
      </c>
      <c r="J11" s="6" t="n">
        <v>23.8</v>
      </c>
      <c r="K11" s="6" t="n">
        <v>41.9</v>
      </c>
      <c r="L11" s="6" t="n">
        <v>48.6</v>
      </c>
    </row>
    <row r="12">
      <c r="A12" s="6" t="inlineStr">
        <is>
          <t>Fees and commission expense</t>
        </is>
      </c>
      <c r="B12" s="6" t="n">
        <v>-16.7</v>
      </c>
      <c r="C12" s="6" t="n">
        <v>-54.5</v>
      </c>
      <c r="D12" s="6" t="n">
        <v>-127.9</v>
      </c>
      <c r="E12" s="6" t="n">
        <v>-95</v>
      </c>
      <c r="F12" s="6" t="n">
        <v>-24.6</v>
      </c>
      <c r="G12" s="6" t="n">
        <v>-16.9</v>
      </c>
      <c r="H12" s="6" t="n">
        <v>-244.8</v>
      </c>
      <c r="I12" s="6" t="n">
        <v>-248.1</v>
      </c>
      <c r="J12" s="6" t="n">
        <v>-185.7</v>
      </c>
      <c r="K12" s="6" t="n">
        <v>-28.4</v>
      </c>
      <c r="L12" s="6" t="n">
        <v>-19.2</v>
      </c>
    </row>
    <row r="13">
      <c r="A13" s="5" t="inlineStr">
        <is>
          <t>Net fee and commission income</t>
        </is>
      </c>
      <c r="B13" s="5" t="n">
        <v>72.7</v>
      </c>
      <c r="C13" s="5" t="n">
        <v>339.5</v>
      </c>
      <c r="D13" s="5" t="n">
        <v>393</v>
      </c>
      <c r="E13" s="5" t="n">
        <v>110.3</v>
      </c>
      <c r="F13" s="5" t="n">
        <v>181.5</v>
      </c>
      <c r="G13" s="5" t="n">
        <v>1751</v>
      </c>
      <c r="H13" s="5" t="n">
        <v>-106.5</v>
      </c>
      <c r="I13" s="5" t="n"/>
      <c r="J13" s="5" t="n"/>
      <c r="K13" s="5" t="n"/>
      <c r="L13" s="5" t="n"/>
    </row>
    <row r="14">
      <c r="A14" s="6" t="inlineStr">
        <is>
          <t>Other operating (expense)/income</t>
        </is>
      </c>
      <c r="B14" s="6" t="n">
        <v>-375.4</v>
      </c>
      <c r="C14" s="6" t="n">
        <v>-1560.8</v>
      </c>
      <c r="D14" s="6" t="n">
        <v>804.7</v>
      </c>
      <c r="E14" s="6" t="n">
        <v>1889.7</v>
      </c>
      <c r="F14" s="6" t="n">
        <v>943.4</v>
      </c>
      <c r="G14" s="6" t="n">
        <v>3.4</v>
      </c>
      <c r="H14" s="6" t="n">
        <v>170</v>
      </c>
      <c r="I14" s="6" t="n">
        <v>277.6</v>
      </c>
      <c r="J14" s="6" t="n">
        <v>252.4</v>
      </c>
      <c r="K14" s="6" t="n">
        <v>289.6</v>
      </c>
      <c r="L14" s="6" t="n">
        <v>58.8</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90.59999999999999</v>
      </c>
      <c r="J15" s="5" t="n">
        <v>90.5</v>
      </c>
      <c r="K15" s="5" t="n">
        <v>303.1</v>
      </c>
      <c r="L15" s="5" t="n">
        <v>88.2</v>
      </c>
    </row>
    <row r="16">
      <c r="A16" s="5" t="inlineStr">
        <is>
          <t>Net operating income (FY2019/FY2020 own reports only - those years' own statements carry this subtotal, before administrative expenses)</t>
        </is>
      </c>
      <c r="B16" s="5" t="n"/>
      <c r="C16" s="5" t="n"/>
      <c r="D16" s="5" t="n"/>
      <c r="E16" s="5" t="n"/>
      <c r="F16" s="5" t="n"/>
      <c r="G16" s="5" t="n">
        <v>4056.7</v>
      </c>
      <c r="H16" s="5" t="n">
        <v>1777.2</v>
      </c>
      <c r="I16" s="5" t="n"/>
      <c r="J16" s="5" t="n"/>
      <c r="K16" s="5" t="n"/>
      <c r="L16" s="5" t="n"/>
    </row>
    <row r="17">
      <c r="A17" s="6" t="inlineStr">
        <is>
          <t>Credit impairment / Net impairment (charge)/reversal (FY2025/FY2024's own report labels this 'Credit impairment'; FY2023's own report labels it 'Net impairment (charge)/reversal')</t>
        </is>
      </c>
      <c r="B17" s="6" t="n">
        <v>-19927.3</v>
      </c>
      <c r="C17" s="6" t="n">
        <v>-3635</v>
      </c>
      <c r="D17" s="6" t="n">
        <v>-1611.7</v>
      </c>
      <c r="E17" s="6" t="n"/>
      <c r="F17" s="6" t="n"/>
      <c r="G17" s="6" t="n"/>
      <c r="H17" s="6" t="n"/>
      <c r="I17" s="6" t="n"/>
      <c r="J17" s="6" t="n"/>
      <c r="K17" s="6" t="n"/>
      <c r="L17" s="6" t="n"/>
    </row>
    <row r="18">
      <c r="A18" s="5" t="inlineStr">
        <is>
          <t>Net operating (loss)/income</t>
        </is>
      </c>
      <c r="B18" s="5" t="n">
        <v>-12259.8</v>
      </c>
      <c r="C18" s="5" t="n">
        <v>3942.1</v>
      </c>
      <c r="D18" s="5" t="n">
        <v>7291.5</v>
      </c>
      <c r="E18" s="5" t="n">
        <v>5739.6</v>
      </c>
      <c r="F18" s="5" t="n">
        <v>5229.1</v>
      </c>
      <c r="G18" s="5" t="n"/>
      <c r="H18" s="5" t="n"/>
      <c r="I18" s="5" t="n"/>
      <c r="J18" s="5" t="n"/>
      <c r="K18" s="5" t="n"/>
      <c r="L18" s="5" t="n"/>
    </row>
    <row r="19">
      <c r="A19" s="6" t="inlineStr">
        <is>
          <t>Administrative expenses</t>
        </is>
      </c>
      <c r="B19" s="6" t="n">
        <v>-7917.8</v>
      </c>
      <c r="C19" s="6" t="n">
        <v>-8069.5</v>
      </c>
      <c r="D19" s="6" t="n">
        <v>-7427.6</v>
      </c>
      <c r="E19" s="6" t="n">
        <v>-6171.3</v>
      </c>
      <c r="F19" s="6" t="n">
        <v>-5896.9</v>
      </c>
      <c r="G19" s="6" t="n">
        <v>-5746.7</v>
      </c>
      <c r="H19" s="6" t="n">
        <v>-8082.3</v>
      </c>
      <c r="I19" s="6" t="n">
        <v>-8965.700000000001</v>
      </c>
      <c r="J19" s="6" t="n">
        <v>-8375</v>
      </c>
      <c r="K19" s="6" t="n">
        <v>-7534.5</v>
      </c>
      <c r="L19" s="6" t="n">
        <v>-5397.1</v>
      </c>
    </row>
    <row r="20">
      <c r="A20" s="6" t="inlineStr">
        <is>
          <t>Depreciation</t>
        </is>
      </c>
      <c r="B20" s="6" t="n">
        <v>-405.2</v>
      </c>
      <c r="C20" s="6" t="n">
        <v>-383.5</v>
      </c>
      <c r="D20" s="6" t="n">
        <v>-217</v>
      </c>
      <c r="E20" s="6" t="n">
        <v>-295.6</v>
      </c>
      <c r="F20" s="6" t="n">
        <v>-350.7</v>
      </c>
      <c r="G20" s="6" t="n">
        <v>-438.3</v>
      </c>
      <c r="H20" s="6" t="n">
        <v>-523.6</v>
      </c>
      <c r="I20" s="6" t="n">
        <v>-426</v>
      </c>
      <c r="J20" s="6" t="n">
        <v>-302.4</v>
      </c>
      <c r="K20" s="6" t="n">
        <v>-258.5</v>
      </c>
      <c r="L20" s="6" t="n">
        <v>-122.8</v>
      </c>
    </row>
    <row r="21">
      <c r="A21" s="5" t="inlineStr">
        <is>
          <t>Total operating expenses (FY2019/FY2020 own reports only)</t>
        </is>
      </c>
      <c r="B21" s="5" t="n"/>
      <c r="C21" s="5" t="n"/>
      <c r="D21" s="5" t="n"/>
      <c r="E21" s="5" t="n"/>
      <c r="F21" s="5" t="n"/>
      <c r="G21" s="5" t="n">
        <v>-6185</v>
      </c>
      <c r="H21" s="5" t="n">
        <v>-8605.9</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-5122</v>
      </c>
      <c r="H22" s="6" t="n">
        <v>210.8</v>
      </c>
      <c r="I22" s="6" t="n"/>
      <c r="J22" s="6" t="n"/>
      <c r="K22" s="6" t="n"/>
      <c r="L22" s="6" t="n"/>
    </row>
    <row r="23">
      <c r="A23" s="6" t="inlineStr">
        <is>
          <t>Impairment of property (FY2021 only, per that year's own report)</t>
        </is>
      </c>
      <c r="B23" s="6" t="n"/>
      <c r="C23" s="6" t="n"/>
      <c r="D23" s="6" t="n"/>
      <c r="E23" s="6" t="n"/>
      <c r="F23" s="6" t="n">
        <v>-607.3</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1295</v>
      </c>
      <c r="E24" s="6" t="n">
        <v>2034</v>
      </c>
      <c r="F24" s="6" t="n">
        <v>1024.1</v>
      </c>
      <c r="G24" s="6" t="n"/>
      <c r="H24" s="6" t="n"/>
      <c r="I24" s="6" t="n"/>
      <c r="J24" s="6" t="n"/>
      <c r="K24" s="6" t="n"/>
      <c r="L24" s="6" t="n"/>
    </row>
    <row r="25">
      <c r="A25" s="5" t="inlineStr">
        <is>
          <t>Total operating expenses</t>
        </is>
      </c>
      <c r="B25" s="5" t="n">
        <v>-8323</v>
      </c>
      <c r="C25" s="5" t="n">
        <v>-8453.1</v>
      </c>
      <c r="D25" s="5" t="n">
        <v>-6349.6</v>
      </c>
      <c r="E25" s="5" t="n">
        <v>-4432.8</v>
      </c>
      <c r="F25" s="5" t="n">
        <v>-5830.8</v>
      </c>
      <c r="G25" s="5" t="n"/>
      <c r="H25" s="5" t="n"/>
      <c r="I25" s="5" t="n"/>
      <c r="J25" s="5" t="n"/>
      <c r="K25" s="5" t="n"/>
      <c r="L25" s="5" t="n"/>
    </row>
    <row r="26">
      <c r="A26" s="5" t="inlineStr">
        <is>
          <t>Profit/(loss) before tax</t>
        </is>
      </c>
      <c r="B26" s="5" t="n">
        <v>-20582.8</v>
      </c>
      <c r="C26" s="5" t="n">
        <v>-4511</v>
      </c>
      <c r="D26" s="5" t="n">
        <v>941.9</v>
      </c>
      <c r="E26" s="5" t="n">
        <v>1306.7</v>
      </c>
      <c r="F26" s="5" t="n">
        <v>-601.7</v>
      </c>
      <c r="G26" s="5" t="n">
        <v>-7250.3</v>
      </c>
      <c r="H26" s="5" t="n">
        <v>-6617.9</v>
      </c>
      <c r="I26" s="5" t="n">
        <v>-6286.4</v>
      </c>
      <c r="J26" s="5" t="n">
        <v>-1961.9</v>
      </c>
      <c r="K26" s="5" t="n">
        <v>-956.7</v>
      </c>
      <c r="L26" s="5" t="n">
        <v>784</v>
      </c>
    </row>
    <row r="27">
      <c r="A27" s="6" t="inlineStr">
        <is>
          <t>Tax on profit</t>
        </is>
      </c>
      <c r="B27" s="6" t="n">
        <v>0</v>
      </c>
      <c r="C27" s="6" t="n">
        <v>0</v>
      </c>
      <c r="D27" s="6" t="n">
        <v>0</v>
      </c>
      <c r="E27" s="6" t="n">
        <v>0</v>
      </c>
      <c r="F27" s="6" t="n">
        <v>0</v>
      </c>
      <c r="G27" s="6" t="n">
        <v>0</v>
      </c>
      <c r="H27" s="6" t="n">
        <v>0</v>
      </c>
      <c r="I27" s="6" t="n">
        <v>0</v>
      </c>
      <c r="J27" s="6" t="n">
        <v>0</v>
      </c>
      <c r="K27" s="6" t="n">
        <v>282.8</v>
      </c>
      <c r="L27" s="6" t="n">
        <v>-121.5</v>
      </c>
    </row>
    <row r="28">
      <c r="A28" s="5" t="inlineStr">
        <is>
          <t>Profit/(loss) for the year attributable to equity holders</t>
        </is>
      </c>
      <c r="B28" s="5" t="n">
        <v>-20582.8</v>
      </c>
      <c r="C28" s="5" t="n">
        <v>-4511</v>
      </c>
      <c r="D28" s="5" t="n">
        <v>941.9</v>
      </c>
      <c r="E28" s="5" t="n">
        <v>1306.7</v>
      </c>
      <c r="F28" s="5" t="n">
        <v>-601.7</v>
      </c>
      <c r="G28" s="5" t="n">
        <v>-7250.3</v>
      </c>
      <c r="H28" s="5" t="n">
        <v>-6617.9</v>
      </c>
      <c r="I28" s="5" t="n">
        <v>-6286.4</v>
      </c>
      <c r="J28" s="5" t="n">
        <v>-1961.9</v>
      </c>
      <c r="K28" s="5" t="n">
        <v>-673.9</v>
      </c>
      <c r="L28" s="5" t="n">
        <v>662.5</v>
      </c>
    </row>
    <row r="29">
      <c r="A29" s="5" t="inlineStr">
        <is>
          <t>Total comprehensive income/(expense) for the year attributable to equity holders</t>
        </is>
      </c>
      <c r="B29" s="5" t="n">
        <v>-20582.8</v>
      </c>
      <c r="C29" s="5" t="n">
        <v>-4511</v>
      </c>
      <c r="D29" s="5" t="n">
        <v>941.9</v>
      </c>
      <c r="E29" s="5" t="n">
        <v>1306.7</v>
      </c>
      <c r="F29" s="5" t="n">
        <v>-601.7</v>
      </c>
      <c r="G29" s="5" t="n">
        <v>-7250.3</v>
      </c>
      <c r="H29" s="5" t="n">
        <v>-6617.9</v>
      </c>
      <c r="I29" s="5" t="n">
        <v>-6286.4</v>
      </c>
      <c r="J29" s="5" t="n">
        <v>-1961.9</v>
      </c>
      <c r="K29" s="5" t="n">
        <v>-673.9</v>
      </c>
      <c r="L29" s="5" t="n">
        <v>662.5</v>
      </c>
    </row>
    <row r="31" ht="34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-1961.9</v>
      </c>
      <c r="D9" s="6" t="n">
        <v>-1961.9</v>
      </c>
    </row>
    <row r="10">
      <c r="A10" s="5" t="inlineStr">
        <is>
          <t>At 31 March 2017 (FY2017 closing)</t>
        </is>
      </c>
      <c r="B10" s="5" t="n">
        <v>116618.1</v>
      </c>
      <c r="C10" s="5" t="n">
        <v>4491</v>
      </c>
      <c r="D10" s="5" t="n">
        <v>121109</v>
      </c>
    </row>
    <row r="11">
      <c r="A11" s="6" t="inlineStr">
        <is>
          <t>Loss for the year</t>
        </is>
      </c>
      <c r="B11" s="6" t="n"/>
      <c r="C11" s="6" t="n">
        <v>-6286.4</v>
      </c>
      <c r="D11" s="6" t="n">
        <v>-6286.4</v>
      </c>
    </row>
    <row r="12">
      <c r="A12" s="5" t="inlineStr">
        <is>
          <t>At 31 March 2018 (FY2018 closing)</t>
        </is>
      </c>
      <c r="B12" s="5" t="n">
        <v>114285.7</v>
      </c>
      <c r="C12" s="5" t="n">
        <v>-1940.6</v>
      </c>
      <c r="D12" s="5" t="n">
        <v>112345.1</v>
      </c>
    </row>
    <row r="13">
      <c r="A13" s="6" t="inlineStr">
        <is>
          <t>Loss for the year</t>
        </is>
      </c>
      <c r="B13" s="6" t="n"/>
      <c r="C13" s="6" t="n">
        <v>-6617.9</v>
      </c>
      <c r="D13" s="6" t="n">
        <v>-6617.9</v>
      </c>
    </row>
    <row r="14">
      <c r="A14" s="5" t="inlineStr">
        <is>
          <t>At 31 March 2019 (FY2019 closing)</t>
        </is>
      </c>
      <c r="B14" s="5" t="n">
        <v>116279.1</v>
      </c>
      <c r="C14" s="5" t="n">
        <v>-14419.8</v>
      </c>
      <c r="D14" s="5" t="n">
        <v>101859.3</v>
      </c>
    </row>
    <row r="15">
      <c r="A15" s="6" t="inlineStr">
        <is>
          <t>Loss for the year</t>
        </is>
      </c>
      <c r="B15" s="6" t="n"/>
      <c r="C15" s="6" t="n">
        <v>-7250.3</v>
      </c>
      <c r="D15" s="6" t="n">
        <v>-7250.3</v>
      </c>
    </row>
    <row r="16">
      <c r="A16" s="5" t="inlineStr">
        <is>
          <t>At 31 March 2020 (FY2020 closing; source EUR 100,000 / (18,819) / 81,181)</t>
        </is>
      </c>
      <c r="B16" s="5" t="n">
        <v>112359.6</v>
      </c>
      <c r="C16" s="5" t="n">
        <v>-21144.9</v>
      </c>
      <c r="D16" s="5" t="n">
        <v>91214.60000000001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56022.4</v>
      </c>
      <c r="C18" s="6" t="n"/>
      <c r="D18" s="6" t="n">
        <v>56022.4</v>
      </c>
    </row>
    <row r="19">
      <c r="A19" s="6" t="inlineStr">
        <is>
          <t>Loss for the year</t>
        </is>
      </c>
      <c r="B19" s="6" t="n"/>
      <c r="C19" s="6" t="n">
        <v>-601.7</v>
      </c>
      <c r="D19" s="6" t="n">
        <v>-601.7</v>
      </c>
    </row>
    <row r="20">
      <c r="A20" s="5" t="inlineStr">
        <is>
          <t>At 31 March 2021 (FY2021 closing)</t>
        </is>
      </c>
      <c r="B20" s="5" t="n">
        <v>175953.1</v>
      </c>
      <c r="C20" s="5" t="n">
        <v>-22705</v>
      </c>
      <c r="D20" s="5" t="n">
        <v>153248.1</v>
      </c>
    </row>
    <row r="21">
      <c r="A21" s="6" t="inlineStr">
        <is>
          <t>Profit for the year</t>
        </is>
      </c>
      <c r="B21" s="6" t="n"/>
      <c r="C21" s="6" t="n">
        <v>1306.7</v>
      </c>
      <c r="D21" s="6" t="n">
        <v>1306.7</v>
      </c>
    </row>
    <row r="22">
      <c r="A22" s="5" t="inlineStr">
        <is>
          <t>At 31 March 2022 (FY2022 closing)</t>
        </is>
      </c>
      <c r="B22" s="5" t="n">
        <v>176991.2</v>
      </c>
      <c r="C22" s="5" t="n">
        <v>-21524.5</v>
      </c>
      <c r="D22" s="5" t="n">
        <v>155466.7</v>
      </c>
    </row>
    <row r="23">
      <c r="A23" s="6" t="inlineStr">
        <is>
          <t>Profit for the year</t>
        </is>
      </c>
      <c r="B23" s="6" t="n"/>
      <c r="C23" s="6" t="n">
        <v>941.9</v>
      </c>
      <c r="D23" s="6" t="n">
        <v>941.9</v>
      </c>
    </row>
    <row r="24">
      <c r="A24" s="5" t="inlineStr">
        <is>
          <t>At 31 March 2023 (FY2023 closing, as originally reported in the Annual Report and Financial Statements 2023)</t>
        </is>
      </c>
      <c r="B24" s="5" t="n">
        <v>170454.5</v>
      </c>
      <c r="C24" s="5" t="n">
        <v>-19817</v>
      </c>
      <c r="D24" s="5" t="n">
        <v>150637.5</v>
      </c>
    </row>
    <row r="25">
      <c r="A25" s="6" t="inlineStr">
        <is>
          <t>Prior period restatement (per the Annual Report and Financial Statements 2024's own Note 33 - a genuine EUR 975k downward adjustment to the FY2023 closing balance, not a transcription error)</t>
        </is>
      </c>
      <c r="B25" s="6" t="n"/>
      <c r="C25" s="6" t="n">
        <v>-1108</v>
      </c>
      <c r="D25" s="6" t="n">
        <v>-1108</v>
      </c>
    </row>
    <row r="26">
      <c r="A26" s="6" t="inlineStr">
        <is>
          <t>Loss for the year</t>
        </is>
      </c>
      <c r="B26" s="6" t="n"/>
      <c r="C26" s="6" t="n">
        <v>-4511</v>
      </c>
      <c r="D26" s="6" t="n">
        <v>-4511</v>
      </c>
    </row>
    <row r="27">
      <c r="A27" s="5" t="inlineStr">
        <is>
          <t>At 31 March 2024 (FY2024 closing)</t>
        </is>
      </c>
      <c r="B27" s="5" t="n">
        <v>175438.6</v>
      </c>
      <c r="C27" s="5" t="n">
        <v>-26090.1</v>
      </c>
      <c r="D27" s="5" t="n">
        <v>149348.5</v>
      </c>
    </row>
    <row r="28">
      <c r="A28" s="6" t="inlineStr">
        <is>
          <t>Loss for the year</t>
        </is>
      </c>
      <c r="B28" s="6" t="n"/>
      <c r="C28" s="6" t="n">
        <v>-20582.8</v>
      </c>
      <c r="D28" s="6" t="n">
        <v>-20582.8</v>
      </c>
    </row>
    <row r="29">
      <c r="A29" s="5" t="inlineStr">
        <is>
          <t>At 31 March 2025 (FY2025 closing)</t>
        </is>
      </c>
      <c r="B29" s="5" t="n">
        <v>179640.7</v>
      </c>
      <c r="C29" s="5" t="n">
        <v>-47396.4</v>
      </c>
      <c r="D29" s="5" t="n">
        <v>132244.3</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2381.4</v>
      </c>
      <c r="C5" s="5" t="n">
        <v>-16472.8</v>
      </c>
      <c r="D5" s="5" t="n">
        <v>6001.2</v>
      </c>
      <c r="E5" s="5" t="n">
        <v>3987.1</v>
      </c>
      <c r="F5" s="5" t="n">
        <v>-412.3</v>
      </c>
      <c r="G5" s="5" t="n">
        <v>-30729.8</v>
      </c>
      <c r="H5" s="5" t="n">
        <v>-4227.6</v>
      </c>
      <c r="I5" s="5" t="n">
        <v>8699.4</v>
      </c>
      <c r="J5" s="5" t="n">
        <v>-4234.5</v>
      </c>
      <c r="K5" s="5" t="n">
        <v>14542.6</v>
      </c>
      <c r="L5" s="5" t="n">
        <v>18649.4</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-2.4</v>
      </c>
      <c r="C7" s="5" t="n">
        <v>-83.40000000000001</v>
      </c>
      <c r="D7" s="5" t="n">
        <v>-54</v>
      </c>
      <c r="E7" s="5" t="n">
        <v>-51.6</v>
      </c>
      <c r="F7" s="5" t="n">
        <v>0</v>
      </c>
      <c r="G7" s="5" t="n">
        <v>0</v>
      </c>
      <c r="H7" s="5" t="n">
        <v>-71.40000000000001</v>
      </c>
      <c r="I7" s="5" t="n">
        <v>-1018.5</v>
      </c>
      <c r="J7" s="5" t="n">
        <v>-452.4</v>
      </c>
      <c r="K7" s="5" t="n">
        <v>-119.1</v>
      </c>
      <c r="L7" s="5" t="n">
        <v>-212.3</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-270.6</v>
      </c>
      <c r="C9" s="5" t="n">
        <v>-31838.9</v>
      </c>
      <c r="D9" s="5" t="n">
        <v>-1548.4</v>
      </c>
      <c r="E9" s="5" t="n">
        <v>-10775.4</v>
      </c>
      <c r="F9" s="5" t="n">
        <v>-1802.8</v>
      </c>
      <c r="G9" s="5" t="n">
        <v>67453.7</v>
      </c>
      <c r="H9" s="5" t="n">
        <v>-12745.1</v>
      </c>
      <c r="I9" s="5" t="n">
        <v>0</v>
      </c>
      <c r="J9" s="5" t="n">
        <v>0</v>
      </c>
      <c r="K9" s="5" t="n">
        <v>0</v>
      </c>
      <c r="L9" s="5" t="n">
        <v>0</v>
      </c>
    </row>
    <row r="10">
      <c r="A10" s="5" t="inlineStr">
        <is>
          <t>Net (decrease) / increase in cash and cash equivalents</t>
        </is>
      </c>
      <c r="B10" s="5" t="n">
        <v>2129.9</v>
      </c>
      <c r="C10" s="5" t="n">
        <v>-48395.1</v>
      </c>
      <c r="D10" s="5" t="n">
        <v>4398.8</v>
      </c>
      <c r="E10" s="5" t="n">
        <v>-6839.9</v>
      </c>
      <c r="F10" s="5" t="n">
        <v>-2215.1</v>
      </c>
      <c r="G10" s="5" t="n">
        <v>36723.9</v>
      </c>
      <c r="H10" s="5" t="n">
        <v>-17045.2</v>
      </c>
      <c r="I10" s="5" t="n">
        <v>-1498.8</v>
      </c>
      <c r="J10" s="5" t="n">
        <v>-4647.6</v>
      </c>
      <c r="K10" s="5" t="n">
        <v>14286.9</v>
      </c>
      <c r="L10" s="5" t="n">
        <v>18474.2</v>
      </c>
    </row>
    <row r="11">
      <c r="A11" s="6" t="inlineStr">
        <is>
          <t>Exchange difference (Bank's own EUR statement line)</t>
        </is>
      </c>
      <c r="B11" s="6" t="n">
        <v>-172.8</v>
      </c>
      <c r="C11" s="6" t="n">
        <v>1169.2</v>
      </c>
      <c r="D11" s="6" t="n">
        <v>-51.6</v>
      </c>
      <c r="E11" s="6" t="n">
        <v>0</v>
      </c>
      <c r="F11" s="6" t="n">
        <v>0</v>
      </c>
      <c r="G11" s="6" t="n">
        <v>0</v>
      </c>
      <c r="H11" s="6" t="n">
        <v>0</v>
      </c>
      <c r="I11" s="6" t="n">
        <v>4.5</v>
      </c>
      <c r="J11" s="6" t="n">
        <v>39.3</v>
      </c>
      <c r="K11" s="6" t="n">
        <v>-136.7</v>
      </c>
      <c r="L11" s="6" t="n">
        <v>37.1</v>
      </c>
    </row>
    <row r="12">
      <c r="A12" s="6" t="inlineStr">
        <is>
          <t>Effect of GBP/EUR translation (this workbook's conversion line)</t>
        </is>
      </c>
      <c r="B12" s="6" t="n">
        <v>2123.7</v>
      </c>
      <c r="C12" s="6" t="n">
        <v>-62647.1</v>
      </c>
      <c r="D12" s="6" t="n">
        <v>-7572.8</v>
      </c>
      <c r="E12" s="6" t="n">
        <v>1181.1</v>
      </c>
      <c r="F12" s="6" t="n"/>
      <c r="G12" s="6" t="n">
        <v>-5919</v>
      </c>
      <c r="H12" s="6" t="n">
        <v>2768.4</v>
      </c>
      <c r="I12" s="6" t="n">
        <v>-3802.4</v>
      </c>
      <c r="J12" s="6" t="n"/>
      <c r="K12" s="6" t="n">
        <v>-3592.2</v>
      </c>
      <c r="L12" s="6" t="n">
        <v>-4066.3</v>
      </c>
    </row>
    <row r="13">
      <c r="A13" s="6" t="inlineStr">
        <is>
          <t>Cash and cash equivalents at the beginning of the year</t>
        </is>
      </c>
      <c r="B13" s="6" t="n">
        <v>88271.3</v>
      </c>
      <c r="C13" s="6" t="n">
        <v>198144.3</v>
      </c>
      <c r="D13" s="6" t="n">
        <v>201369.9</v>
      </c>
      <c r="E13" s="6" t="n">
        <v>207028.7</v>
      </c>
      <c r="F13" s="6" t="n"/>
      <c r="G13" s="6" t="n">
        <v>169722.1</v>
      </c>
      <c r="H13" s="6" t="n">
        <v>183998.9</v>
      </c>
      <c r="I13" s="6" t="n">
        <v>189295.6</v>
      </c>
      <c r="J13" s="6" t="n"/>
      <c r="K13" s="6" t="n">
        <v>155667</v>
      </c>
      <c r="L13" s="6" t="n">
        <v>141222</v>
      </c>
    </row>
    <row r="14">
      <c r="A14" s="5" t="inlineStr">
        <is>
          <t>Cash and cash equivalents at the end of the year</t>
        </is>
      </c>
      <c r="B14" s="5" t="n">
        <v>92352.10000000001</v>
      </c>
      <c r="C14" s="5" t="n">
        <v>88271.3</v>
      </c>
      <c r="D14" s="5" t="n">
        <v>198144.3</v>
      </c>
      <c r="E14" s="5" t="n">
        <v>201369.9</v>
      </c>
      <c r="F14" s="5" t="n">
        <v>207028.7</v>
      </c>
      <c r="G14" s="5" t="n">
        <v>200527</v>
      </c>
      <c r="H14" s="5" t="n">
        <v>169722.1</v>
      </c>
      <c r="I14" s="5" t="n">
        <v>183998.9</v>
      </c>
      <c r="J14" s="5" t="n">
        <v>189295.6</v>
      </c>
      <c r="K14" s="5" t="n">
        <v>166225</v>
      </c>
      <c r="L14" s="5" t="n">
        <v>155667</v>
      </c>
    </row>
    <row r="16" ht="33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36494.6</v>
      </c>
      <c r="C5" s="6" t="n">
        <v>35346.2</v>
      </c>
      <c r="D5" s="6" t="n">
        <v>4812.5</v>
      </c>
      <c r="E5" s="6" t="n">
        <v>4997.1</v>
      </c>
      <c r="F5" s="6" t="n">
        <v>4967.7</v>
      </c>
      <c r="G5" s="6" t="n"/>
      <c r="H5" s="6" t="n"/>
      <c r="I5" s="6" t="n"/>
      <c r="J5" s="6" t="n"/>
      <c r="K5" s="6" t="n"/>
      <c r="L5" s="6" t="n"/>
    </row>
    <row r="6">
      <c r="A6" s="6" t="inlineStr">
        <is>
          <t>Syndicated Loans</t>
        </is>
      </c>
      <c r="B6" s="6" t="n">
        <v>18364.1</v>
      </c>
      <c r="C6" s="6" t="n">
        <v>28393</v>
      </c>
      <c r="D6" s="6" t="n">
        <v>29322.7</v>
      </c>
      <c r="E6" s="6" t="n">
        <v>44139.2</v>
      </c>
      <c r="F6" s="6" t="n">
        <v>48663.9</v>
      </c>
      <c r="G6" s="6" t="n"/>
      <c r="H6" s="6" t="n"/>
      <c r="I6" s="6" t="n"/>
      <c r="J6" s="6" t="n"/>
      <c r="K6" s="6" t="n"/>
      <c r="L6" s="6" t="n"/>
    </row>
    <row r="7">
      <c r="A7" s="6" t="inlineStr">
        <is>
          <t>Interest receivable (only disclosed as its own line FY2024-FY2025)</t>
        </is>
      </c>
      <c r="B7" s="6" t="n">
        <v>6618</v>
      </c>
      <c r="C7" s="6" t="n">
        <v>3080.7</v>
      </c>
      <c r="D7" s="6" t="n"/>
      <c r="E7" s="6" t="n"/>
      <c r="F7" s="6" t="n"/>
      <c r="G7" s="6" t="n"/>
      <c r="H7" s="6" t="n"/>
      <c r="I7" s="6" t="n"/>
      <c r="J7" s="6" t="n"/>
      <c r="K7" s="6" t="n"/>
      <c r="L7" s="6" t="n"/>
    </row>
    <row r="8">
      <c r="A8" s="5" t="inlineStr">
        <is>
          <t>Gross loans and advances to customers</t>
        </is>
      </c>
      <c r="B8" s="5" t="n">
        <v>61476.6</v>
      </c>
      <c r="C8" s="5" t="n">
        <v>66819.89999999999</v>
      </c>
      <c r="D8" s="5" t="n">
        <v>34135.2</v>
      </c>
      <c r="E8" s="5" t="n">
        <v>49136.3</v>
      </c>
      <c r="F8" s="5" t="n">
        <v>53631.7</v>
      </c>
      <c r="G8" s="5" t="n"/>
      <c r="H8" s="5" t="n"/>
      <c r="I8" s="5" t="n"/>
      <c r="J8" s="5" t="n"/>
      <c r="K8" s="5" t="n"/>
      <c r="L8" s="5" t="n"/>
    </row>
    <row r="9">
      <c r="A9" s="6" t="inlineStr">
        <is>
          <t>Less: expected credit loss allowance</t>
        </is>
      </c>
      <c r="B9" s="6" t="n">
        <v>-28928.1</v>
      </c>
      <c r="C9" s="6" t="n">
        <v>-8997.700000000001</v>
      </c>
      <c r="D9" s="6" t="n">
        <v>-6120.5</v>
      </c>
      <c r="E9" s="6" t="n">
        <v>-10958.1</v>
      </c>
      <c r="F9" s="6" t="n">
        <v>-11076.8</v>
      </c>
      <c r="G9" s="6" t="n"/>
      <c r="H9" s="6" t="n"/>
      <c r="I9" s="6" t="n"/>
      <c r="J9" s="6" t="n"/>
      <c r="K9" s="6" t="n"/>
      <c r="L9" s="6" t="n"/>
    </row>
    <row r="10">
      <c r="A10" s="5" t="inlineStr">
        <is>
          <t>Net loans and advances to customers</t>
        </is>
      </c>
      <c r="B10" s="5" t="n">
        <v>32548.5</v>
      </c>
      <c r="C10" s="5" t="n">
        <v>57822.2</v>
      </c>
      <c r="D10" s="5" t="n">
        <v>28014.8</v>
      </c>
      <c r="E10" s="5" t="n">
        <v>38178.2</v>
      </c>
      <c r="F10" s="5" t="n">
        <v>42554.8</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-7.2</v>
      </c>
      <c r="C13" s="6" t="n">
        <v>-852.8</v>
      </c>
      <c r="D13" s="6" t="n">
        <v>3110.9</v>
      </c>
      <c r="E13" s="6" t="n">
        <v>6422.3</v>
      </c>
      <c r="F13" s="6" t="n">
        <v>5612.3</v>
      </c>
      <c r="G13" s="6" t="n"/>
      <c r="H13" s="6" t="n"/>
      <c r="I13" s="6" t="n"/>
      <c r="J13" s="6" t="n"/>
      <c r="K13" s="6" t="n"/>
      <c r="L13" s="6" t="n"/>
    </row>
    <row r="14">
      <c r="A14" s="6" t="inlineStr">
        <is>
          <t>Stage 2 - Performing - lifetime ECL</t>
        </is>
      </c>
      <c r="B14" s="6" t="n">
        <v>-7500.6</v>
      </c>
      <c r="C14" s="6" t="n">
        <v>-2419.5</v>
      </c>
      <c r="D14" s="6" t="n">
        <v>0</v>
      </c>
      <c r="E14" s="6" t="n">
        <v>0</v>
      </c>
      <c r="F14" s="6" t="n">
        <v>0</v>
      </c>
      <c r="G14" s="6" t="n"/>
      <c r="H14" s="6" t="n"/>
      <c r="I14" s="6" t="n"/>
      <c r="J14" s="6" t="n"/>
      <c r="K14" s="6" t="n"/>
      <c r="L14" s="6" t="n"/>
    </row>
    <row r="15">
      <c r="A15" s="6" t="inlineStr">
        <is>
          <t>Stage 3 - Non-performing - lifetime ECL</t>
        </is>
      </c>
      <c r="B15" s="6" t="n">
        <v>-12419.5</v>
      </c>
      <c r="C15" s="6" t="n">
        <v>-362.7</v>
      </c>
      <c r="D15" s="6" t="n">
        <v>-4722.6</v>
      </c>
      <c r="E15" s="6" t="n">
        <v>-4388.3</v>
      </c>
      <c r="F15" s="6" t="n">
        <v>-4588.2</v>
      </c>
      <c r="G15" s="6" t="n"/>
      <c r="H15" s="6" t="n"/>
      <c r="I15" s="6" t="n"/>
      <c r="J15" s="6" t="n"/>
      <c r="K15" s="6" t="n"/>
      <c r="L15" s="6" t="n"/>
    </row>
    <row r="16">
      <c r="A16" s="5" t="inlineStr">
        <is>
          <t>Impairment (charge)/reversal for the year</t>
        </is>
      </c>
      <c r="B16" s="5" t="n">
        <v>-19927.3</v>
      </c>
      <c r="C16" s="5" t="n">
        <v>-3635</v>
      </c>
      <c r="D16" s="5" t="n">
        <v>-1611.7</v>
      </c>
      <c r="E16" s="5" t="n">
        <v>2034</v>
      </c>
      <c r="F16" s="5" t="n">
        <v>1024.1</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58.7</v>
      </c>
      <c r="C18" s="6" t="n"/>
      <c r="D18" s="6" t="n"/>
      <c r="E18" s="6" t="n"/>
      <c r="F18" s="6" t="n"/>
      <c r="G18" s="6" t="n"/>
      <c r="H18" s="6" t="n"/>
      <c r="I18" s="6" t="n"/>
      <c r="J18" s="6" t="n"/>
      <c r="K18" s="6" t="n"/>
      <c r="L18" s="6" t="n"/>
    </row>
    <row r="19">
      <c r="A19" s="6" t="inlineStr">
        <is>
          <t>Stage 2 gross exposure - loans and advances to customers</t>
        </is>
      </c>
      <c r="B19" s="6" t="n">
        <v>34350.9</v>
      </c>
      <c r="C19" s="6" t="n"/>
      <c r="D19" s="6" t="n"/>
      <c r="E19" s="6" t="n"/>
      <c r="F19" s="6" t="n"/>
      <c r="G19" s="6" t="n"/>
      <c r="H19" s="6" t="n"/>
      <c r="I19" s="6" t="n"/>
      <c r="J19" s="6" t="n"/>
      <c r="K19" s="6" t="n"/>
      <c r="L19" s="6" t="n"/>
    </row>
    <row r="20">
      <c r="A20" s="6" t="inlineStr">
        <is>
          <t>Stage 3 gross exposure - loans and advances to customers</t>
        </is>
      </c>
      <c r="B20" s="6" t="n">
        <v>27125.7</v>
      </c>
      <c r="C20" s="6" t="n"/>
      <c r="D20" s="6" t="n"/>
      <c r="E20" s="6" t="n"/>
      <c r="F20" s="6" t="n"/>
      <c r="G20" s="6" t="n"/>
      <c r="H20" s="6" t="n"/>
      <c r="I20" s="6" t="n"/>
      <c r="J20" s="6" t="n"/>
      <c r="K20" s="6" t="n"/>
      <c r="L20" s="6" t="n"/>
    </row>
    <row r="21">
      <c r="A21" s="6" t="inlineStr">
        <is>
          <t>Stage 1 impairment allowance</t>
        </is>
      </c>
      <c r="B21" s="6" t="n">
        <v>-6</v>
      </c>
      <c r="C21" s="6" t="n"/>
      <c r="D21" s="6" t="n"/>
      <c r="E21" s="6" t="n"/>
      <c r="F21" s="6" t="n"/>
      <c r="G21" s="6" t="n"/>
      <c r="H21" s="6" t="n"/>
      <c r="I21" s="6" t="n"/>
      <c r="J21" s="6" t="n"/>
      <c r="K21" s="6" t="n"/>
      <c r="L21" s="6" t="n"/>
    </row>
    <row r="22">
      <c r="A22" s="6" t="inlineStr">
        <is>
          <t>Stage 2 impairment allowance</t>
        </is>
      </c>
      <c r="B22" s="6" t="n">
        <v>-10038.3</v>
      </c>
      <c r="C22" s="6" t="n"/>
      <c r="D22" s="6" t="n"/>
      <c r="E22" s="6" t="n"/>
      <c r="F22" s="6" t="n"/>
      <c r="G22" s="6" t="n"/>
      <c r="H22" s="6" t="n"/>
      <c r="I22" s="6" t="n"/>
      <c r="J22" s="6" t="n"/>
      <c r="K22" s="6" t="n"/>
      <c r="L22" s="6" t="n"/>
    </row>
    <row r="23">
      <c r="A23" s="6" t="inlineStr">
        <is>
          <t>Stage 3 impairment allowance</t>
        </is>
      </c>
      <c r="B23" s="6" t="n">
        <v>-17673.1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33818</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465.1</v>
      </c>
      <c r="J26" s="6" t="n">
        <v>7855.4</v>
      </c>
      <c r="K26" s="6" t="n">
        <v>17366</v>
      </c>
      <c r="L26" s="6" t="n">
        <v>19857</v>
      </c>
    </row>
    <row r="27">
      <c r="A27" s="6" t="inlineStr">
        <is>
          <t>Non performing loans</t>
        </is>
      </c>
      <c r="B27" s="6" t="n"/>
      <c r="C27" s="6" t="n"/>
      <c r="D27" s="6" t="n"/>
      <c r="E27" s="6" t="n"/>
      <c r="F27" s="6" t="n"/>
      <c r="G27" s="6" t="n"/>
      <c r="H27" s="6" t="n"/>
      <c r="I27" s="6" t="n">
        <v>21909.7</v>
      </c>
      <c r="J27" s="6" t="n">
        <v>30734.7</v>
      </c>
      <c r="K27" s="6" t="n">
        <v>33264</v>
      </c>
      <c r="L27" s="6" t="n">
        <v>35971</v>
      </c>
    </row>
    <row r="28">
      <c r="A28" s="6" t="inlineStr">
        <is>
          <t>Less: allowance for impairment</t>
        </is>
      </c>
      <c r="B28" s="6" t="n"/>
      <c r="C28" s="6" t="n"/>
      <c r="D28" s="6" t="n"/>
      <c r="E28" s="6" t="n"/>
      <c r="F28" s="6" t="n"/>
      <c r="G28" s="6" t="n"/>
      <c r="H28" s="6" t="n"/>
      <c r="I28" s="6" t="n">
        <v>-4646.9</v>
      </c>
      <c r="J28" s="6" t="n">
        <v>-5568.5</v>
      </c>
      <c r="K28" s="6" t="n">
        <v>-5855</v>
      </c>
      <c r="L28" s="6" t="n">
        <v>-5806</v>
      </c>
    </row>
    <row r="29">
      <c r="A29" s="5" t="inlineStr">
        <is>
          <t>Net loans and advances to customers</t>
        </is>
      </c>
      <c r="B29" s="5" t="n"/>
      <c r="C29" s="5" t="n"/>
      <c r="D29" s="5" t="n"/>
      <c r="E29" s="5" t="n"/>
      <c r="F29" s="5" t="n"/>
      <c r="G29" s="5" t="n"/>
      <c r="H29" s="5" t="n"/>
      <c r="I29" s="5" t="n">
        <v>17728</v>
      </c>
      <c r="J29" s="5" t="n">
        <v>33021.6</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50795.5</v>
      </c>
      <c r="H31" s="6" t="n">
        <v>18731.4</v>
      </c>
      <c r="I31" s="6" t="n"/>
      <c r="J31" s="6" t="n"/>
      <c r="K31" s="6" t="n"/>
      <c r="L31" s="6" t="n"/>
    </row>
    <row r="32">
      <c r="A32" s="6" t="inlineStr">
        <is>
          <t>Stage 3 gross exposure - loans and advances to customers</t>
        </is>
      </c>
      <c r="B32" s="6" t="n"/>
      <c r="C32" s="6" t="n"/>
      <c r="D32" s="6" t="n"/>
      <c r="E32" s="6" t="n"/>
      <c r="F32" s="6" t="n"/>
      <c r="G32" s="6" t="n"/>
      <c r="H32" s="6" t="n">
        <v>5222.1</v>
      </c>
      <c r="I32" s="6" t="n"/>
      <c r="J32" s="6" t="n"/>
      <c r="K32" s="6" t="n"/>
      <c r="L32" s="6" t="n"/>
    </row>
    <row r="33">
      <c r="A33" s="6" t="inlineStr">
        <is>
          <t>Stage 1 impairment allowance</t>
        </is>
      </c>
      <c r="B33" s="6" t="n"/>
      <c r="C33" s="6" t="n"/>
      <c r="D33" s="6" t="n"/>
      <c r="E33" s="6" t="n"/>
      <c r="F33" s="6" t="n"/>
      <c r="G33" s="6" t="n">
        <v>-7039.3</v>
      </c>
      <c r="H33" s="6" t="n">
        <v>-2623.3</v>
      </c>
      <c r="I33" s="6" t="n"/>
      <c r="J33" s="6" t="n"/>
      <c r="K33" s="6" t="n"/>
      <c r="L33" s="6" t="n"/>
    </row>
    <row r="34">
      <c r="A34" s="6" t="inlineStr">
        <is>
          <t>Stage 3 impairment allowance</t>
        </is>
      </c>
      <c r="B34" s="6" t="n"/>
      <c r="C34" s="6" t="n"/>
      <c r="D34" s="6" t="n"/>
      <c r="E34" s="6" t="n"/>
      <c r="F34" s="6" t="n"/>
      <c r="G34" s="6" t="n">
        <v>-5142.7</v>
      </c>
      <c r="H34" s="6" t="n">
        <v>-5222.1</v>
      </c>
      <c r="I34" s="6" t="n"/>
      <c r="J34" s="6" t="n"/>
      <c r="K34" s="6" t="n"/>
      <c r="L34" s="6" t="n"/>
    </row>
    <row r="35">
      <c r="A35" s="5" t="inlineStr">
        <is>
          <t>Net loans and advances to customers</t>
        </is>
      </c>
      <c r="B35" s="5" t="n"/>
      <c r="C35" s="5" t="n"/>
      <c r="D35" s="5" t="n"/>
      <c r="E35" s="5" t="n"/>
      <c r="F35" s="5" t="n"/>
      <c r="G35" s="5" t="n">
        <v>38613.5</v>
      </c>
      <c r="H35" s="5" t="n">
        <v>16108.1</v>
      </c>
      <c r="I35" s="5" t="n"/>
      <c r="J35" s="5" t="n"/>
      <c r="K35" s="5" t="n"/>
      <c r="L35" s="5" t="n"/>
    </row>
    <row r="37" ht="34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capital / disclosed Tier one base</t>
        </is>
      </c>
      <c r="B4" s="6" t="n">
        <v>132244.3</v>
      </c>
      <c r="C4" s="6" t="n">
        <v>149348.5</v>
      </c>
      <c r="D4" s="6" t="n">
        <v>150637.5</v>
      </c>
      <c r="E4" s="6" t="n">
        <v>155466.7</v>
      </c>
      <c r="F4" s="6" t="n">
        <v>153248.1</v>
      </c>
      <c r="G4" s="6" t="n">
        <v>84003.39999999999</v>
      </c>
      <c r="H4" s="6" t="n">
        <v>95069.8</v>
      </c>
      <c r="I4" s="6" t="n">
        <v>112345.1</v>
      </c>
      <c r="J4" s="6" t="n">
        <v>121109</v>
      </c>
      <c r="K4" s="6" t="n">
        <v>105499</v>
      </c>
      <c r="L4" s="6" t="n"/>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n"/>
      <c r="C4" s="6" t="n"/>
      <c r="D4" s="6" t="n"/>
      <c r="E4" s="6" t="n"/>
      <c r="F4" s="6" t="inlineStr">
        <is>
          <t>40.99%</t>
        </is>
      </c>
      <c r="G4" s="6" t="inlineStr">
        <is>
          <t>28.76%</t>
        </is>
      </c>
      <c r="H4" s="6" t="inlineStr">
        <is>
          <t>50.16%</t>
        </is>
      </c>
      <c r="I4" s="6" t="inlineStr">
        <is>
          <t>44.14%</t>
        </is>
      </c>
      <c r="J4" s="6" t="inlineStr">
        <is>
          <t>40.51%</t>
        </is>
      </c>
      <c r="K4" s="6" t="inlineStr">
        <is>
          <t>32.99%</t>
        </is>
      </c>
      <c r="L4" s="6" t="n"/>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132244.3</v>
      </c>
      <c r="C4" s="6" t="n">
        <v>149348.5</v>
      </c>
      <c r="D4" s="6" t="n">
        <v>150637.5</v>
      </c>
      <c r="E4" s="6" t="n">
        <v>155466.7</v>
      </c>
      <c r="F4" s="6" t="n">
        <v>153248.1</v>
      </c>
      <c r="G4" s="6" t="n">
        <v>91214.60000000001</v>
      </c>
      <c r="H4" s="6" t="n">
        <v>101859.3</v>
      </c>
      <c r="I4" s="6" t="n">
        <v>112345.1</v>
      </c>
      <c r="J4" s="6" t="n">
        <v>121109</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n"/>
      <c r="C4" s="6" t="n"/>
      <c r="D4" s="6" t="n"/>
      <c r="E4" s="6" t="n"/>
      <c r="F4" s="6" t="inlineStr">
        <is>
          <t>40.99%</t>
        </is>
      </c>
      <c r="G4" s="6" t="inlineStr">
        <is>
          <t>28.76%</t>
        </is>
      </c>
      <c r="H4" s="6" t="inlineStr">
        <is>
          <t>50.16%</t>
        </is>
      </c>
      <c r="I4" s="6" t="inlineStr">
        <is>
          <t>44.14%</t>
        </is>
      </c>
      <c r="J4" s="6" t="inlineStr">
        <is>
          <t>40.51%</t>
        </is>
      </c>
      <c r="K4" s="6" t="inlineStr">
        <is>
          <t>32.99%</t>
        </is>
      </c>
      <c r="L4" s="6" t="inlineStr">
        <is>
          <t>47.92%</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132244.3</v>
      </c>
      <c r="C4" s="6" t="n">
        <v>149348.5</v>
      </c>
      <c r="D4" s="6" t="n">
        <v>150637.5</v>
      </c>
      <c r="E4" s="6" t="n">
        <v>155466.7</v>
      </c>
      <c r="F4" s="6" t="n">
        <v>153248.1</v>
      </c>
      <c r="G4" s="6" t="n">
        <v>143461.8</v>
      </c>
      <c r="H4" s="6" t="n">
        <v>155929.1</v>
      </c>
      <c r="I4" s="6" t="n">
        <v>165488</v>
      </c>
      <c r="J4" s="6" t="n">
        <v>175336.4</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n"/>
      <c r="D4" s="6" t="n"/>
      <c r="E4" s="6" t="n"/>
      <c r="F4" s="6" t="inlineStr">
        <is>
          <t>40.99%</t>
        </is>
      </c>
      <c r="G4" s="6" t="inlineStr">
        <is>
          <t>38.35%</t>
        </is>
      </c>
      <c r="H4" s="6" t="inlineStr">
        <is>
          <t>66.88%</t>
        </is>
      </c>
      <c r="I4" s="6" t="inlineStr">
        <is>
          <t>58.85%</t>
        </is>
      </c>
      <c r="J4" s="6" t="inlineStr">
        <is>
          <t>54.01%</t>
        </is>
      </c>
      <c r="K4" s="6" t="inlineStr">
        <is>
          <t>47.53%</t>
        </is>
      </c>
      <c r="L4" s="6" t="inlineStr">
        <is>
          <t>68.94%</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 (FY2016-FY2021 are each edition's own printed Pillar 1 total; FY2015 is CREDIT-RISK RWA ONLY and understates the total - see note)</t>
        </is>
      </c>
      <c r="B4" s="6" t="n"/>
      <c r="C4" s="6" t="n"/>
      <c r="D4" s="6" t="n"/>
      <c r="E4" s="6" t="n"/>
      <c r="F4" s="6" t="n">
        <v>373987.1</v>
      </c>
      <c r="G4" s="6" t="n">
        <v>316262.9</v>
      </c>
      <c r="H4" s="6" t="n">
        <v>214237.2</v>
      </c>
      <c r="I4" s="6" t="n">
        <v>254538.3</v>
      </c>
      <c r="J4" s="6" t="n">
        <v>298987.8</v>
      </c>
      <c r="K4" s="6" t="n">
        <v>319767</v>
      </c>
      <c r="L4" s="6" t="n">
        <v>221221</v>
      </c>
    </row>
    <row r="5">
      <c r="A5" s="6" t="inlineStr">
        <is>
          <t>FY2015 only - risk-weighted exposures the FY2015 edition discloses SEPARATELY and does NOT include in the 221,221 above: market risk (FX spot position risk) 4,128 and operational risk 11,501</t>
        </is>
      </c>
      <c r="B5" s="6" t="n"/>
      <c r="C5" s="6" t="n"/>
      <c r="D5" s="6" t="n"/>
      <c r="E5" s="6" t="n"/>
      <c r="F5" s="6" t="n"/>
      <c r="G5" s="6" t="n"/>
      <c r="H5" s="6" t="n"/>
      <c r="I5" s="6" t="n"/>
      <c r="J5" s="6" t="n"/>
      <c r="K5" s="6" t="n"/>
      <c r="L5" s="6" t="n">
        <v>15629</v>
      </c>
    </row>
    <row r="6" ht="60" customHeight="1">
      <c r="A6" s="7" t="inlineStr">
        <is>
          <t>Note: Only FY2021 is directly disclosed among FY2021-FY2025: €318.824m in the 2021 Pillar 3 disclosure, p.18. FY2022-FY2025 are not publicly disclosed and are not calculated from capital because no corresponding capital ratio is stated.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RWA (credit/market/operational) are directly disclosed in the Bank's own standalone Pillar 3 disclosures, same sourcing as the ratio sheets, and each of those editions prints its own explicit Pillar 1 total (FY2016's reads 'Total Pillar 1 risk 319,767'), so those years' figures on this sheet are genuine totals.
FY2015 IS NOT A TOTAL AND MUST NOT BE READ AS ONE - corrected 2026-09-15 after the Bank's standalone FY2015 Pillar 3 edition was recovered from the Internet Archive and read in full. The EUR 221,221k shown for FY2015 is the total line of that edition's 'Breakdown of exposure classes' table (repeated as its Template CR4 total), and all six rows of that table are CREDIT exposure classes; the printed 17,698k capital charge beside it is exactly 8% of it. The same document separately discloses, in two narrative sentences elsewhere, an FX spot position risk of EUR 4,128k (section 6, p.14) and an operational risk risk-weighted exposure of EUR 11,501k (section 7, p.15) - NEITHER of which is in the 221,221k. The edition prints no Pillar 1 total anywhere. So FY2015's true total RWA is materially higher than 221,221k, by roughly 7%. This is the same credit-risk-subtotal-presented-as-a-total defect confirmed at Redwood, Ghana International and Bank of Ceylon.
IT IS FLAGGED RATHER THAN FIXED, deliberately. No document states a FY2015 total, so adding the three components to 236,850k and putting that here would substitute a figure this workbook computed for one the Bank disclosed - which this project does not do on this sheet. The component sum is instead shown on its own clearly-labelled row of the RWA Breakdown sheet, where it can be seen but cannot be mistaken for a disclosure. CONSEQUENCE FOR THE RATIO SHEETS: the FY2015 Total Capital Ratio (68.94%) and Tier 1 Ratio (47.92%) in this workbook are this workbook's own calculations using 221,221k as the denominator, so they are OVERSTATED - on the 236,850k component sum they would be about 64.4% and 44.8%. Those cells are flagged on their own sheets and left unchanged pending a decision, because replacing a calculated ratio with a differently-calculated ratio is not an improvement in transcription terms.</t>
        </is>
      </c>
    </row>
    <row r="8" ht="240" customHeight="1">
      <c r="A8"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8:L8"/>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 stopped publishing Pillar 3 after its 31 March 2021 edition (its FY2022 report still said the disclosures were published on its website; FY2023-FY2025 all say they can be made available on request instead), and its live site carries no later edition - see the source note below. FY2015 IS NOW SHOWN (added 2026-09-15, correcting this subtitle's previous claim that it could not be): the recovered standalone FY2015 Pillar 3 edition does break its risk down by the three types after all - the 'Breakdown of exposure classes' table's 221,221 total IS the credit-risk RWA, and the market and operational risk risk-weighted exposures (4,128 and 11,501) are disclosed separately in that document's sections 6 and 7. The earlier conclusion came from reading only the exposure-class table. FY2015's Total row is BLANK because that edition prints no Pillar 1 total, unlike every later one - see the note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350224</v>
      </c>
      <c r="G4" s="6" t="n">
        <v>295401.1</v>
      </c>
      <c r="H4" s="6" t="n">
        <v>197100</v>
      </c>
      <c r="I4" s="6" t="n">
        <v>240826.3</v>
      </c>
      <c r="J4" s="6" t="n">
        <v>283689.8</v>
      </c>
      <c r="K4" s="6" t="n">
        <v>306733</v>
      </c>
      <c r="L4" s="6" t="n">
        <v>221221</v>
      </c>
    </row>
    <row r="5">
      <c r="A5" s="6" t="inlineStr">
        <is>
          <t>Market risk</t>
        </is>
      </c>
      <c r="B5" s="6" t="n"/>
      <c r="C5" s="6" t="n"/>
      <c r="D5" s="6" t="n"/>
      <c r="E5" s="6" t="n"/>
      <c r="F5" s="6" t="n">
        <v>17971.8</v>
      </c>
      <c r="G5" s="6" t="n">
        <v>8264</v>
      </c>
      <c r="H5" s="6" t="n">
        <v>7873.3</v>
      </c>
      <c r="I5" s="6" t="n">
        <v>4606.9</v>
      </c>
      <c r="J5" s="6" t="n">
        <v>4202.9</v>
      </c>
      <c r="K5" s="6" t="n">
        <v>3036</v>
      </c>
      <c r="L5" s="6" t="n">
        <v>4128</v>
      </c>
    </row>
    <row r="6">
      <c r="A6" s="6" t="inlineStr">
        <is>
          <t>Operational risk</t>
        </is>
      </c>
      <c r="B6" s="6" t="n"/>
      <c r="C6" s="6" t="n"/>
      <c r="D6" s="6" t="n"/>
      <c r="E6" s="6" t="n"/>
      <c r="F6" s="6" t="n">
        <v>5791.2</v>
      </c>
      <c r="G6" s="6" t="n">
        <v>12597.8</v>
      </c>
      <c r="H6" s="6" t="n">
        <v>9264</v>
      </c>
      <c r="I6" s="6" t="n">
        <v>9105.1</v>
      </c>
      <c r="J6" s="6" t="n">
        <v>11095</v>
      </c>
      <c r="K6" s="6" t="n">
        <v>9998</v>
      </c>
      <c r="L6" s="6" t="n">
        <v>11501</v>
      </c>
    </row>
    <row r="7">
      <c r="A7" s="5" t="inlineStr">
        <is>
          <t>Total Pillar 1 risk-weighted assets (as printed in each edition; FY2015 blank - no total is printed there)</t>
        </is>
      </c>
      <c r="B7" s="5" t="n"/>
      <c r="C7" s="5" t="n"/>
      <c r="D7" s="5" t="n"/>
      <c r="E7" s="5" t="n"/>
      <c r="F7" s="5" t="n">
        <v>373987.1</v>
      </c>
      <c r="G7" s="5" t="n">
        <v>316262.9</v>
      </c>
      <c r="H7" s="5" t="n">
        <v>214237.2</v>
      </c>
      <c r="I7" s="5" t="n">
        <v>254538.3</v>
      </c>
      <c r="J7" s="5" t="n">
        <v>298987.8</v>
      </c>
      <c r="K7" s="5" t="n">
        <v>319767</v>
      </c>
      <c r="L7" s="5" t="n"/>
    </row>
    <row r="8">
      <c r="A8" s="6" t="inlineStr">
        <is>
          <t>FY2015 ONLY - arithmetic sum of the three FY2015 rows above (NOT a disclosed figure; shown here so the gap against the Total RWAs sheet's credit-only 221,221 is visible, and deliberately NOT carried onto the Total RWAs sheet - see note)</t>
        </is>
      </c>
      <c r="B8" s="6" t="n"/>
      <c r="C8" s="6" t="n"/>
      <c r="D8" s="6" t="n"/>
      <c r="E8" s="6" t="n"/>
      <c r="F8" s="6" t="n"/>
      <c r="G8" s="6" t="n"/>
      <c r="H8" s="6" t="n"/>
      <c r="I8" s="6" t="n"/>
      <c r="J8" s="6" t="n"/>
      <c r="K8" s="6" t="n"/>
      <c r="L8" s="6" t="n">
        <v>236850</v>
      </c>
    </row>
    <row r="10" ht="220" customHeight="1">
      <c r="A10" s="8" t="inlineStr">
        <is>
          <t>Sources - Persia International Bank Plc Pillar 3 disclosures, Pillar 1 capital requirements tables:
FY2021, p.18, recovered via Wayback Machine snapshot (captured 10 January 2026) - http://web.archive.org/web/20260110002617if_/http://www.persiabank.co.uk/Pillar%203%202021%20v3.pdf (original URL: https://www.persiabank.co.uk/Pillar%203%202021%20v3.pdf - that HTTPS form still fails the TLS handshake, but re-checked 2026-09-15 the same file does serve over plain HTTP at http://www.persiabank.co.uk/Pillar%203%202021%20v3.pdf, and is the ONLY Pillar 3 document on the Bank's live site - see the Total RWAs sheet's cessation note)
FY2020/FY2019: Pillar 3 Disclosure as at 31 March 2020, p.17, recovered via Wayback Machine (captured 25 January 2022) - http://web.archive.org/web/20220125010012if_/http://www.persiabank.co.uk/Pillar%203%202020%20v7.pdf
FY2018/FY2017: Pillar 3 Disclosure as at 31/03/2018, p.16, recovered via Wayback Machine (captured 2 September 2018) - http://web.archive.org/web/20180902131909if_/http://www.persiabank.co.uk/Pillar%203%20Disclosure%20as%20at%2031_03_2018%20(final).pdf
FY2016: Pillar 3 Disclosure as at 31 March 2016, p.13, recovered via Wayback Machine (captured 24 October 2016) - http://web.archive.org/web/20161024202355if_/http://www.persiabank.co.uk/Pillar%203%20Disclosure%20as%20at%2031%20March%202016.pdf
FY2015: Pillar 3 Disclosures March 2015, p.9 (Breakdown of exposure classes - credit risk), p.14 (section 6, FX spot position risk) and p.15 (section 7, operational risk RWE), recovered via Wayback Machine (captured 16 March 2016) - http://web.archive.org/web/20160316221826if_/http://www.persiabank.co.uk/Pillar3_disclosures_March%202015.pdf
FY2015 TOTAL ROW IS BLANK, AND THAT IS THE POINT. Every edition from FY2016 on prints an explicit total - FY2016's reads 'Total Pillar 1 risk 319,767' directly beneath credit 306,733, market 3,036 and operational 9,998. The FY2015 edition prints no such row. Its three components are disclosed in three different places (an exposure-class table on p.9, one sentence on p.14, one sentence on p.15) and are never added up. The consequence is that the 221,221 carried on the Total RWAs sheet for FY2015 is the CREDIT-RISK RWA ONLY - the same credit-subtotal-as-total defect confirmed at Redwood, Ghana International and Bank of Ceylon. It is left there because no document states a FY2015 total and this project does not substitute a derived figure for a disclosed one on that sheet; the arithmetic sum of the three components (236,850) is shown on its own explicitly-labelled row here, and nowhere else, so the size of the understatement is visible without being presented as a disclosure. See the FY2015 note on the metric sheets for the full extract.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t>
        </is>
      </c>
    </row>
  </sheetData>
  <mergeCells count="1">
    <mergeCell ref="A10:L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n"/>
      <c r="D4" s="6" t="n"/>
      <c r="E4" s="6" t="n"/>
      <c r="F4" s="6" t="inlineStr">
        <is>
          <t>53.32%</t>
        </is>
      </c>
      <c r="G4" s="6" t="inlineStr">
        <is>
          <t>33.77%</t>
        </is>
      </c>
      <c r="H4" s="6" t="n"/>
      <c r="I4" s="6" t="inlineStr">
        <is>
          <t>49.27%</t>
        </is>
      </c>
      <c r="J4" s="6" t="n"/>
      <c r="K4" s="6" t="inlineStr">
        <is>
          <t>49.99%</t>
        </is>
      </c>
      <c r="L4" s="6" t="n"/>
    </row>
    <row r="5" ht="60" customHeight="1">
      <c r="A5" s="7" t="inlineStr">
        <is>
          <t>Note: FY2021, plus FY2016/FY2018/FY2020 added under HD-021: directly disclosed in the Bank's own Pillar 3 disclosures. FY2022-FY2025 are blank because the Bank stopped publishing Pillar 3 after its 31 March 2021 edition - see below.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(simple average of 12 monthly reports)</t>
        </is>
      </c>
      <c r="B4" s="6" t="n"/>
      <c r="C4" s="6" t="n"/>
      <c r="D4" s="6" t="n"/>
      <c r="E4" s="6" t="n"/>
      <c r="F4" s="6" t="inlineStr">
        <is>
          <t>221.13%</t>
        </is>
      </c>
      <c r="G4" s="6" t="inlineStr">
        <is>
          <t>181.69%</t>
        </is>
      </c>
      <c r="H4" s="6" t="n"/>
      <c r="I4" s="6" t="inlineStr">
        <is>
          <t>539.22%</t>
        </is>
      </c>
      <c r="J4" s="6" t="n"/>
      <c r="K4" s="6" t="n"/>
      <c r="L4" s="6" t="n"/>
    </row>
    <row r="5" ht="60" customHeight="1">
      <c r="A5" s="7" t="inlineStr">
        <is>
          <t>Note: FY2021, plus FY2018/FY2020 added under HD-021: directly disclosed in the Bank's own Pillar 3 disclosures. FY2022-FY2025 are blank because the Bank stopped publishing Pillar 3 after its 31 March 2021 edition - see below; the statutory accounts state no LCR in any of those years.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FY2015 STANDALONE PILLAR 3 RECOVERED 2026-09-15 (year ended 31 MARCH 2015; this Bank's year-end is 31 March throughout). 'Pillar 3 Disclosures March 2015', recovered from the Internet Archive - http://web.archive.org/web/20160316221826if_/http://www.persiabank.co.uk/Pillar3_disclosures_March%202015.pdf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2026-09-15T20:48:35Z</dcterms:created>
  <dcterms:modified xmlns:dcterms="http://purl.org/dc/terms/" xmlns:xsi="http://www.w3.org/2001/XMLSchema-instance" xsi:type="dcterms:W3CDTF">2026-09-15T20:48:35Z</dcterms:modified>
</cp:coreProperties>
</file>