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Balance Sheet" sheetId="2" state="visible" r:id="rId2"/>
    <sheet xmlns:r="http://schemas.openxmlformats.org/officeDocument/2006/relationships" name="Profit &amp; Loss" sheetId="3" state="visible" r:id="rId3"/>
    <sheet xmlns:r="http://schemas.openxmlformats.org/officeDocument/2006/relationships" name="Statement of Changes in Equity" sheetId="4" state="visible" r:id="rId4"/>
    <sheet xmlns:r="http://schemas.openxmlformats.org/officeDocument/2006/relationships" name="Cash Flow Statement" sheetId="5" state="visible" r:id="rId5"/>
    <sheet xmlns:r="http://schemas.openxmlformats.org/officeDocument/2006/relationships" name="Asset Quality" sheetId="6" state="visible" r:id="rId6"/>
    <sheet xmlns:r="http://schemas.openxmlformats.org/officeDocument/2006/relationships" name="Profitability" sheetId="7" state="visible" r:id="rId7"/>
    <sheet xmlns:r="http://schemas.openxmlformats.org/officeDocument/2006/relationships" name="KM1 Key Metrics" sheetId="8" state="visible" r:id="rId8"/>
    <sheet xmlns:r="http://schemas.openxmlformats.org/officeDocument/2006/relationships" name="CET1 Capital" sheetId="9" state="visible" r:id="rId9"/>
    <sheet xmlns:r="http://schemas.openxmlformats.org/officeDocument/2006/relationships" name="CET1 Ratio" sheetId="10" state="visible" r:id="rId10"/>
    <sheet xmlns:r="http://schemas.openxmlformats.org/officeDocument/2006/relationships" name="Tier 1 Capital" sheetId="11" state="visible" r:id="rId11"/>
    <sheet xmlns:r="http://schemas.openxmlformats.org/officeDocument/2006/relationships" name="Tier 1 Ratio" sheetId="12" state="visible" r:id="rId12"/>
    <sheet xmlns:r="http://schemas.openxmlformats.org/officeDocument/2006/relationships" name="Total Capital" sheetId="13" state="visible" r:id="rId13"/>
    <sheet xmlns:r="http://schemas.openxmlformats.org/officeDocument/2006/relationships" name="Total Capital Ratio" sheetId="14" state="visible" r:id="rId14"/>
    <sheet xmlns:r="http://schemas.openxmlformats.org/officeDocument/2006/relationships" name="Total RWAs" sheetId="15" state="visible" r:id="rId15"/>
    <sheet xmlns:r="http://schemas.openxmlformats.org/officeDocument/2006/relationships" name="RWA Breakdown" sheetId="16" state="visible" r:id="rId16"/>
    <sheet xmlns:r="http://schemas.openxmlformats.org/officeDocument/2006/relationships" name="Leverage Ratio" sheetId="17" state="visible" r:id="rId17"/>
    <sheet xmlns:r="http://schemas.openxmlformats.org/officeDocument/2006/relationships" name="LCR" sheetId="18" state="visible" r:id="rId18"/>
    <sheet xmlns:r="http://schemas.openxmlformats.org/officeDocument/2006/relationships" name="NSFR" sheetId="19" state="visible" r:id="rId19"/>
    <sheet xmlns:r="http://schemas.openxmlformats.org/officeDocument/2006/relationships" name="MREL Ratio" sheetId="20" state="visible" r:id="rId20"/>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i val="1"/>
      <color rgb="00666666"/>
      <sz val="9"/>
    </font>
    <font>
      <b val="1"/>
      <color rgb="00FFFFFF"/>
    </font>
    <font>
      <b val="1"/>
    </font>
    <font>
      <i val="1"/>
      <color rgb="00444444"/>
      <sz val="9"/>
    </font>
  </fonts>
  <fills count="3">
    <fill>
      <patternFill/>
    </fill>
    <fill>
      <patternFill patternType="gray125"/>
    </fill>
    <fill>
      <patternFill patternType="solid">
        <fgColor rgb="000D7377"/>
        <bgColor rgb="000D7377"/>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4" fillId="0" borderId="0" pivotButton="0" quotePrefix="0" xfId="0"/>
    <xf numFmtId="0" fontId="3" fillId="2" borderId="0" applyAlignment="1" pivotButton="0" quotePrefix="0" xfId="0">
      <alignment horizontal="left" vertical="center" wrapText="1"/>
    </xf>
    <xf numFmtId="0" fontId="4" fillId="0" borderId="1" pivotButton="0" quotePrefix="0" xfId="0"/>
    <xf numFmtId="0" fontId="0" fillId="0" borderId="1" pivotButton="0" quotePrefix="0" xfId="0"/>
    <xf numFmtId="0" fontId="2" fillId="0" borderId="0" applyAlignment="1" pivotButton="0" quotePrefix="0" xfId="0">
      <alignment horizontal="left" vertical="top" wrapText="1"/>
    </xf>
    <xf numFmtId="0" fontId="5"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ABC International Bank plc — Balance Sheet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'Overview'!P6</f>
            </strRef>
          </tx>
          <spPr>
            <a:ln xmlns:a="http://schemas.openxmlformats.org/drawingml/2006/main">
              <a:prstDash val="solid"/>
            </a:ln>
          </spPr>
          <cat>
            <numRef>
              <f>'Overview'!$Q$5:$AB$5</f>
            </numRef>
          </cat>
          <val>
            <numRef>
              <f>'Overview'!$Q$6:$AB$6</f>
            </numRef>
          </val>
        </ser>
        <ser>
          <idx val="1"/>
          <order val="1"/>
          <tx>
            <strRef>
              <f>'Overview'!P7</f>
            </strRef>
          </tx>
          <spPr>
            <a:ln xmlns:a="http://schemas.openxmlformats.org/drawingml/2006/main">
              <a:prstDash val="solid"/>
            </a:ln>
          </spPr>
          <cat>
            <numRef>
              <f>'Overview'!$Q$5:$AB$5</f>
            </numRef>
          </cat>
          <val>
            <numRef>
              <f>'Overview'!$Q$7:$AB$7</f>
            </numRef>
          </val>
        </ser>
        <ser>
          <idx val="2"/>
          <order val="2"/>
          <tx>
            <strRef>
              <f>'Overview'!P8</f>
            </strRef>
          </tx>
          <spPr>
            <a:ln xmlns:a="http://schemas.openxmlformats.org/drawingml/2006/main">
              <a:prstDash val="solid"/>
            </a:ln>
          </spPr>
          <cat>
            <numRef>
              <f>'Overview'!$Q$5:$AB$5</f>
            </numRef>
          </cat>
          <val>
            <numRef>
              <f>'Overview'!$Q$8:$AB$8</f>
            </numRef>
          </val>
        </ser>
        <ser>
          <idx val="3"/>
          <order val="3"/>
          <tx>
            <strRef>
              <f>'Overview'!P9</f>
            </strRef>
          </tx>
          <spPr>
            <a:ln xmlns:a="http://schemas.openxmlformats.org/drawingml/2006/main">
              <a:prstDash val="solid"/>
            </a:ln>
          </spPr>
          <cat>
            <numRef>
              <f>'Overview'!$Q$5:$AB$5</f>
            </numRef>
          </cat>
          <val>
            <numRef>
              <f>'Overview'!$Q$9:$AB$9</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ABC International Bank plc — Profit &amp; Loss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'Overview'!AE13</f>
            </strRef>
          </tx>
          <spPr>
            <a:ln xmlns:a="http://schemas.openxmlformats.org/drawingml/2006/main">
              <a:prstDash val="solid"/>
            </a:ln>
          </spPr>
          <cat>
            <numRef>
              <f>'Overview'!$AF$12:$AQ$12</f>
            </numRef>
          </cat>
          <val>
            <numRef>
              <f>'Overview'!$AF$13:$AQ$13</f>
            </numRef>
          </val>
        </ser>
        <ser>
          <idx val="1"/>
          <order val="1"/>
          <tx>
            <strRef>
              <f>'Overview'!AE14</f>
            </strRef>
          </tx>
          <spPr>
            <a:ln xmlns:a="http://schemas.openxmlformats.org/drawingml/2006/main">
              <a:prstDash val="solid"/>
            </a:ln>
          </spPr>
          <cat>
            <numRef>
              <f>'Overview'!$AF$12:$AQ$12</f>
            </numRef>
          </cat>
          <val>
            <numRef>
              <f>'Overview'!$AF$14:$AQ$14</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ABC International Bank plc — Statement of Changes in Equity Summary by Year</a:t>
            </a:r>
          </a:p>
        </rich>
      </tx>
    </title>
    <plotArea>
      <layout>
        <manualLayout>
          <layoutTarget val="inner"/>
          <xMode val="edge"/>
          <yMode val="edge"/>
          <wMode val="factor"/>
          <hMode val="factor"/>
          <x val="0.1"/>
          <y val="0.14"/>
          <w val="0.85"/>
          <h val="0.55"/>
        </manualLayout>
      </layout>
      <barChart>
        <barDir val="col"/>
        <grouping val="clustered"/>
        <ser>
          <idx val="0"/>
          <order val="0"/>
          <tx>
            <strRef>
              <f>'Overview'!AT18</f>
            </strRef>
          </tx>
          <spPr>
            <a:ln xmlns:a="http://schemas.openxmlformats.org/drawingml/2006/main">
              <a:prstDash val="solid"/>
            </a:ln>
          </spPr>
          <cat>
            <numRef>
              <f>'Overview'!$AU$17:$BF$17</f>
            </numRef>
          </cat>
          <val>
            <numRef>
              <f>'Overview'!$AU$18:$BF$18</f>
            </numRef>
          </val>
        </ser>
        <ser>
          <idx val="1"/>
          <order val="1"/>
          <tx>
            <strRef>
              <f>'Overview'!AT19</f>
            </strRef>
          </tx>
          <spPr>
            <a:ln xmlns:a="http://schemas.openxmlformats.org/drawingml/2006/main">
              <a:prstDash val="solid"/>
            </a:ln>
          </spPr>
          <cat>
            <numRef>
              <f>'Overview'!$AU$17:$BF$17</f>
            </numRef>
          </cat>
          <val>
            <numRef>
              <f>'Overview'!$AU$19:$BF$19</f>
            </numRef>
          </val>
        </ser>
        <ser>
          <idx val="2"/>
          <order val="2"/>
          <tx>
            <strRef>
              <f>'Overview'!AT20</f>
            </strRef>
          </tx>
          <spPr>
            <a:ln xmlns:a="http://schemas.openxmlformats.org/drawingml/2006/main">
              <a:prstDash val="solid"/>
            </a:ln>
          </spPr>
          <cat>
            <numRef>
              <f>'Overview'!$AU$17:$BF$17</f>
            </numRef>
          </cat>
          <val>
            <numRef>
              <f>'Overview'!$AU$20:$BF$20</f>
            </numRef>
          </val>
        </ser>
        <ser>
          <idx val="3"/>
          <order val="3"/>
          <tx>
            <strRef>
              <f>'Overview'!AT21</f>
            </strRef>
          </tx>
          <spPr>
            <a:ln xmlns:a="http://schemas.openxmlformats.org/drawingml/2006/main">
              <a:prstDash val="solid"/>
            </a:ln>
          </spPr>
          <cat>
            <numRef>
              <f>'Overview'!$AU$17:$BF$17</f>
            </numRef>
          </cat>
          <val>
            <numRef>
              <f>'Overview'!$AU$21:$BF$21</f>
            </numRef>
          </val>
        </ser>
        <gapWidth val="150"/>
        <axId val="10"/>
        <axId val="100"/>
      </bar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£'000</a:t>
                </a:r>
              </a:p>
            </rich>
          </tx>
        </title>
        <majorTickMark val="out"/>
        <minorTickMark val="none"/>
        <tickLblPos val="nextTo"/>
        <crossAx val="10"/>
      </valAx>
    </plotArea>
    <legend>
      <legendPos val="b"/>
      <layout>
        <manualLayout>
          <xMode val="edge"/>
          <yMode val="edge"/>
          <wMode val="factor"/>
          <hMode val="factor"/>
          <x val="0.02"/>
          <y val="0.84"/>
          <w val="0.96"/>
          <h val="0.16"/>
        </manualLayout>
      </layout>
    </legend>
    <plotVisOnly val="0"/>
    <dispBlanksAs val="gap"/>
  </chart>
</chartSpace>
</file>

<file path=xl/charts/chart4.xml><?xml version="1.0" encoding="utf-8"?>
<chartSpace xmlns="http://schemas.openxmlformats.org/drawingml/2006/chart">
  <chart>
    <title>
      <tx>
        <rich>
          <a:bodyPr xmlns:a="http://schemas.openxmlformats.org/drawingml/2006/main"/>
          <a:p xmlns:a="http://schemas.openxmlformats.org/drawingml/2006/main">
            <a:pPr>
              <a:defRPr/>
            </a:pPr>
            <a:r>
              <a:t>ABC International Bank plc — Pillar 3 Key Metrics by Year</a:t>
            </a:r>
          </a:p>
        </rich>
      </tx>
    </title>
    <plotArea>
      <layout>
        <manualLayout>
          <layoutTarget val="inner"/>
          <xMode val="edge"/>
          <yMode val="edge"/>
          <wMode val="factor"/>
          <hMode val="factor"/>
          <x val="0.1"/>
          <y val="0.12"/>
          <w val="0.85"/>
          <h val="0.5"/>
        </manualLayout>
      </layout>
      <lineChart>
        <grouping val="standard"/>
        <ser>
          <idx val="0"/>
          <order val="0"/>
          <tx>
            <strRef>
              <f>'Overview'!BI6</f>
            </strRef>
          </tx>
          <spPr>
            <a:ln xmlns:a="http://schemas.openxmlformats.org/drawingml/2006/main">
              <a:prstDash val="solid"/>
            </a:ln>
          </spPr>
          <marker>
            <symbol val="none"/>
            <spPr>
              <a:ln xmlns:a="http://schemas.openxmlformats.org/drawingml/2006/main">
                <a:prstDash val="solid"/>
              </a:ln>
            </spPr>
          </marker>
          <cat>
            <numRef>
              <f>'Overview'!$BJ$5:$BU$5</f>
            </numRef>
          </cat>
          <val>
            <numRef>
              <f>'Overview'!$BJ$6:$BU$6</f>
            </numRef>
          </val>
          <smooth val="0"/>
        </ser>
        <ser>
          <idx val="1"/>
          <order val="1"/>
          <tx>
            <strRef>
              <f>'Overview'!BI7</f>
            </strRef>
          </tx>
          <spPr>
            <a:ln xmlns:a="http://schemas.openxmlformats.org/drawingml/2006/main">
              <a:prstDash val="solid"/>
            </a:ln>
          </spPr>
          <marker>
            <symbol val="none"/>
            <spPr>
              <a:ln xmlns:a="http://schemas.openxmlformats.org/drawingml/2006/main">
                <a:prstDash val="solid"/>
              </a:ln>
            </spPr>
          </marker>
          <cat>
            <numRef>
              <f>'Overview'!$BJ$5:$BU$5</f>
            </numRef>
          </cat>
          <val>
            <numRef>
              <f>'Overview'!$BJ$7:$BU$7</f>
            </numRef>
          </val>
          <smooth val="0"/>
        </ser>
        <ser>
          <idx val="2"/>
          <order val="2"/>
          <tx>
            <strRef>
              <f>'Overview'!BI8</f>
            </strRef>
          </tx>
          <spPr>
            <a:ln xmlns:a="http://schemas.openxmlformats.org/drawingml/2006/main">
              <a:prstDash val="solid"/>
            </a:ln>
          </spPr>
          <marker>
            <symbol val="none"/>
            <spPr>
              <a:ln xmlns:a="http://schemas.openxmlformats.org/drawingml/2006/main">
                <a:prstDash val="solid"/>
              </a:ln>
            </spPr>
          </marker>
          <cat>
            <numRef>
              <f>'Overview'!$BJ$5:$BU$5</f>
            </numRef>
          </cat>
          <val>
            <numRef>
              <f>'Overview'!$BJ$8:$BU$8</f>
            </numRef>
          </val>
          <smooth val="0"/>
        </ser>
        <ser>
          <idx val="3"/>
          <order val="3"/>
          <tx>
            <strRef>
              <f>'Overview'!BI9</f>
            </strRef>
          </tx>
          <spPr>
            <a:ln xmlns:a="http://schemas.openxmlformats.org/drawingml/2006/main">
              <a:prstDash val="solid"/>
            </a:ln>
          </spPr>
          <marker>
            <symbol val="none"/>
            <spPr>
              <a:ln xmlns:a="http://schemas.openxmlformats.org/drawingml/2006/main">
                <a:prstDash val="solid"/>
              </a:ln>
            </spPr>
          </marker>
          <cat>
            <numRef>
              <f>'Overview'!$BJ$5:$BU$5</f>
            </numRef>
          </cat>
          <val>
            <numRef>
              <f>'Overview'!$BJ$9:$BU$9</f>
            </numRef>
          </val>
          <smooth val="0"/>
        </ser>
        <ser>
          <idx val="4"/>
          <order val="4"/>
          <tx>
            <strRef>
              <f>'Overview'!BI10</f>
            </strRef>
          </tx>
          <spPr>
            <a:ln xmlns:a="http://schemas.openxmlformats.org/drawingml/2006/main">
              <a:prstDash val="solid"/>
            </a:ln>
          </spPr>
          <marker>
            <symbol val="none"/>
            <spPr>
              <a:ln xmlns:a="http://schemas.openxmlformats.org/drawingml/2006/main">
                <a:prstDash val="solid"/>
              </a:ln>
            </spPr>
          </marker>
          <cat>
            <numRef>
              <f>'Overview'!$BJ$5:$BU$5</f>
            </numRef>
          </cat>
          <val>
            <numRef>
              <f>'Overview'!$BJ$10:$BU$10</f>
            </numRef>
          </val>
          <smooth val="0"/>
        </ser>
        <ser>
          <idx val="5"/>
          <order val="5"/>
          <tx>
            <strRef>
              <f>'Overview'!BI11</f>
            </strRef>
          </tx>
          <spPr>
            <a:ln xmlns:a="http://schemas.openxmlformats.org/drawingml/2006/main">
              <a:prstDash val="solid"/>
            </a:ln>
          </spPr>
          <marker>
            <symbol val="none"/>
            <spPr>
              <a:ln xmlns:a="http://schemas.openxmlformats.org/drawingml/2006/main">
                <a:prstDash val="solid"/>
              </a:ln>
            </spPr>
          </marker>
          <cat>
            <numRef>
              <f>'Overview'!$BJ$5:$BU$5</f>
            </numRef>
          </cat>
          <val>
            <numRef>
              <f>'Overview'!$BJ$11:$BU$11</f>
            </numRef>
          </val>
          <smooth val="0"/>
        </ser>
        <axId val="10"/>
        <axId val="100"/>
      </lineChart>
      <catAx>
        <axId val="10"/>
        <scaling>
          <orientation val="minMax"/>
        </scaling>
        <delete val="0"/>
        <axPos val="b"/>
        <majorTickMark val="out"/>
        <minorTickMark val="none"/>
        <tickLblPos val="nextTo"/>
        <crossAx val="100"/>
        <lblOffset val="100"/>
      </catAx>
      <valAx>
        <axId val="100"/>
        <scaling>
          <orientation val="minMax"/>
        </scaling>
        <delete val="0"/>
        <axPos val="l"/>
        <majorGridlines/>
        <title>
          <tx>
            <rich>
              <a:bodyPr xmlns:a="http://schemas.openxmlformats.org/drawingml/2006/main"/>
              <a:p xmlns:a="http://schemas.openxmlformats.org/drawingml/2006/main">
                <a:pPr>
                  <a:defRPr/>
                </a:pPr>
                <a:r>
                  <a:t>%</a:t>
                </a:r>
              </a:p>
            </rich>
          </tx>
        </title>
        <majorTickMark val="out"/>
        <minorTickMark val="none"/>
        <tickLblPos val="nextTo"/>
        <crossAx val="10"/>
      </valAx>
    </plotArea>
    <legend>
      <legendPos val="b"/>
      <layout>
        <manualLayout>
          <xMode val="edge"/>
          <yMode val="edge"/>
          <wMode val="factor"/>
          <hMode val="factor"/>
          <x val="0.02"/>
          <y val="0.78"/>
          <w val="0.96"/>
          <h val="0.22"/>
        </manualLayout>
      </layout>
    </legend>
    <plotVisOnly val="0"/>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s>
</file>

<file path=xl/drawings/drawing1.xml><?xml version="1.0" encoding="utf-8"?>
<wsDr xmlns="http://schemas.openxmlformats.org/drawingml/2006/spreadsheetDrawing">
  <oneCellAnchor>
    <from>
      <col>0</col>
      <colOff>0</colOff>
      <row>36</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0</col>
      <colOff>0</colOff>
      <row>58</row>
      <rowOff>0</rowOff>
    </from>
    <ext cx="8640000" cy="46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oneCellAnchor>
    <from>
      <col>0</col>
      <colOff>0</colOff>
      <row>80</row>
      <rowOff>0</rowOff>
    </from>
    <ext cx="8640000" cy="4680000"/>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oneCellAnchor>
  <oneCellAnchor>
    <from>
      <col>0</col>
      <colOff>0</colOff>
      <row>102</row>
      <rowOff>0</rowOff>
    </from>
    <ext cx="8640000" cy="5760000"/>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BU34"/>
  <sheetViews>
    <sheetView workbookViewId="0">
      <selection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 hidden="1" width="13" customWidth="1" min="16" max="16"/>
    <col hidden="1" width="13" customWidth="1" min="17" max="17"/>
    <col hidden="1" width="13" customWidth="1" min="18" max="18"/>
    <col hidden="1" width="13" customWidth="1" min="19" max="19"/>
    <col hidden="1" width="13"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 hidden="1" width="13" customWidth="1" min="27" max="27"/>
    <col hidden="1" width="13" customWidth="1" min="28" max="28"/>
    <col hidden="1" width="13" customWidth="1" min="29" max="29"/>
    <col hidden="1" width="13" customWidth="1" min="30" max="30"/>
    <col hidden="1" width="13" customWidth="1" min="31" max="31"/>
    <col hidden="1" width="13" customWidth="1" min="32" max="32"/>
    <col hidden="1" width="13" customWidth="1" min="33" max="33"/>
    <col hidden="1" width="13" customWidth="1" min="34" max="34"/>
    <col hidden="1" width="13" customWidth="1" min="35" max="35"/>
    <col hidden="1" width="13" customWidth="1" min="36" max="36"/>
    <col hidden="1" width="13" customWidth="1" min="37" max="37"/>
    <col hidden="1" width="13" customWidth="1" min="38" max="38"/>
    <col hidden="1" width="13" customWidth="1" min="39" max="39"/>
    <col hidden="1" width="13" customWidth="1" min="40" max="40"/>
    <col hidden="1" width="13" customWidth="1" min="41" max="41"/>
    <col hidden="1" width="13" customWidth="1" min="42" max="42"/>
    <col hidden="1" width="13" customWidth="1" min="43" max="43"/>
    <col hidden="1" width="13" customWidth="1" min="44" max="44"/>
    <col hidden="1" width="13" customWidth="1" min="45" max="45"/>
    <col hidden="1" width="13" customWidth="1" min="46" max="46"/>
    <col hidden="1" width="13" customWidth="1" min="47" max="47"/>
    <col hidden="1" width="13" customWidth="1" min="48" max="48"/>
    <col hidden="1" width="13" customWidth="1" min="49" max="49"/>
    <col hidden="1" width="13" customWidth="1" min="50" max="50"/>
    <col hidden="1" width="13" customWidth="1" min="51" max="51"/>
    <col hidden="1" width="13" customWidth="1" min="52" max="52"/>
    <col hidden="1" width="13" customWidth="1" min="53" max="53"/>
    <col hidden="1" width="13" customWidth="1" min="54" max="54"/>
    <col hidden="1" width="13" customWidth="1" min="55" max="55"/>
    <col hidden="1" width="13" customWidth="1" min="56" max="56"/>
    <col hidden="1" width="13" customWidth="1" min="57" max="57"/>
    <col hidden="1" width="13" customWidth="1" min="58" max="58"/>
    <col hidden="1" width="13" customWidth="1" min="59" max="59"/>
    <col hidden="1" width="13" customWidth="1" min="60" max="60"/>
    <col hidden="1" width="13" customWidth="1" min="61" max="61"/>
    <col hidden="1" width="13" customWidth="1" min="62" max="62"/>
    <col hidden="1" width="13" customWidth="1" min="63" max="63"/>
    <col hidden="1" width="13" customWidth="1" min="64" max="64"/>
    <col hidden="1" width="13" customWidth="1" min="65" max="65"/>
    <col hidden="1" width="13" customWidth="1" min="66" max="66"/>
    <col hidden="1" width="13" customWidth="1" min="67" max="67"/>
    <col hidden="1" width="13" customWidth="1" min="68" max="68"/>
    <col hidden="1" width="13" customWidth="1" min="69" max="69"/>
    <col hidden="1" width="13" customWidth="1" min="70" max="70"/>
    <col hidden="1" width="13" customWidth="1" min="71" max="71"/>
    <col hidden="1" width="13" customWidth="1" min="72" max="72"/>
    <col hidden="1" width="13" customWidth="1" min="73" max="73"/>
  </cols>
  <sheetData>
    <row r="1">
      <c r="A1" s="1" t="inlineStr">
        <is>
          <t>ABC International Bank plc — Overview</t>
        </is>
      </c>
    </row>
    <row r="2">
      <c r="A2" s="2" t="inlineStr">
        <is>
          <t>Headline balance sheet, profit &amp; loss, cash flow and Pillar 3 figures across all years covered in this workbook - how the bank is using its money and the risk it is taking with it</t>
        </is>
      </c>
    </row>
    <row r="3"/>
    <row r="4">
      <c r="A4" s="3" t="inlineStr">
        <is>
          <t>Balance Sheet Summary (£'000)</t>
        </is>
      </c>
    </row>
    <row r="5">
      <c r="A5" s="4" t="inlineStr">
        <is>
          <t>Line item</t>
        </is>
      </c>
      <c r="B5" s="4" t="inlineStr">
        <is>
          <t>FY2025</t>
        </is>
      </c>
      <c r="C5" s="4" t="inlineStr">
        <is>
          <t>FY2024</t>
        </is>
      </c>
      <c r="D5" s="4" t="inlineStr">
        <is>
          <t>FY2023</t>
        </is>
      </c>
      <c r="E5" s="4" t="inlineStr">
        <is>
          <t>FY2022</t>
        </is>
      </c>
      <c r="F5" s="4" t="inlineStr">
        <is>
          <t>FY2021</t>
        </is>
      </c>
      <c r="G5" s="4" t="inlineStr">
        <is>
          <t>FY2020</t>
        </is>
      </c>
      <c r="H5" s="4" t="inlineStr">
        <is>
          <t>FY2019</t>
        </is>
      </c>
      <c r="I5" s="4" t="inlineStr">
        <is>
          <t>FY2018</t>
        </is>
      </c>
      <c r="J5" s="4" t="inlineStr">
        <is>
          <t>FY2017</t>
        </is>
      </c>
      <c r="K5" s="4" t="inlineStr">
        <is>
          <t>FY2016</t>
        </is>
      </c>
      <c r="L5" s="4" t="inlineStr">
        <is>
          <t>FY2015</t>
        </is>
      </c>
      <c r="M5" s="4" t="inlineStr">
        <is>
          <t>FY2014</t>
        </is>
      </c>
      <c r="Q5" t="inlineStr">
        <is>
          <t>FY2014</t>
        </is>
      </c>
      <c r="R5" t="inlineStr">
        <is>
          <t>FY2015</t>
        </is>
      </c>
      <c r="S5" t="inlineStr">
        <is>
          <t>FY2016</t>
        </is>
      </c>
      <c r="T5" t="inlineStr">
        <is>
          <t>FY2017</t>
        </is>
      </c>
      <c r="U5" t="inlineStr">
        <is>
          <t>FY2018</t>
        </is>
      </c>
      <c r="V5" t="inlineStr">
        <is>
          <t>FY2019</t>
        </is>
      </c>
      <c r="W5" t="inlineStr">
        <is>
          <t>FY2020</t>
        </is>
      </c>
      <c r="X5" t="inlineStr">
        <is>
          <t>FY2021</t>
        </is>
      </c>
      <c r="Y5" t="inlineStr">
        <is>
          <t>FY2022</t>
        </is>
      </c>
      <c r="Z5" t="inlineStr">
        <is>
          <t>FY2023</t>
        </is>
      </c>
      <c r="AA5" t="inlineStr">
        <is>
          <t>FY2024</t>
        </is>
      </c>
      <c r="AB5" t="inlineStr">
        <is>
          <t>FY2025</t>
        </is>
      </c>
      <c r="BJ5" t="inlineStr">
        <is>
          <t>FY2014</t>
        </is>
      </c>
      <c r="BK5" t="inlineStr">
        <is>
          <t>FY2015</t>
        </is>
      </c>
      <c r="BL5" t="inlineStr">
        <is>
          <t>FY2016</t>
        </is>
      </c>
      <c r="BM5" t="inlineStr">
        <is>
          <t>FY2017</t>
        </is>
      </c>
      <c r="BN5" t="inlineStr">
        <is>
          <t>FY2018</t>
        </is>
      </c>
      <c r="BO5" t="inlineStr">
        <is>
          <t>FY2019</t>
        </is>
      </c>
      <c r="BP5" t="inlineStr">
        <is>
          <t>FY2020</t>
        </is>
      </c>
      <c r="BQ5" t="inlineStr">
        <is>
          <t>FY2021</t>
        </is>
      </c>
      <c r="BR5" t="inlineStr">
        <is>
          <t>FY2022</t>
        </is>
      </c>
      <c r="BS5" t="inlineStr">
        <is>
          <t>FY2023</t>
        </is>
      </c>
      <c r="BT5" t="inlineStr">
        <is>
          <t>FY2024</t>
        </is>
      </c>
      <c r="BU5" t="inlineStr">
        <is>
          <t>FY2025</t>
        </is>
      </c>
    </row>
    <row r="6">
      <c r="A6" s="5" t="inlineStr">
        <is>
          <t>Total assets</t>
        </is>
      </c>
      <c r="B6" s="5" t="n">
        <v>3628416</v>
      </c>
      <c r="C6" s="5" t="n">
        <v>3487130</v>
      </c>
      <c r="D6" s="5" t="n">
        <v>3197291</v>
      </c>
      <c r="E6" s="5" t="n">
        <v>3150890</v>
      </c>
      <c r="F6" s="5" t="n">
        <v>2805879</v>
      </c>
      <c r="G6" s="5" t="n">
        <v>2731397</v>
      </c>
      <c r="H6" s="5" t="n">
        <v>3027686</v>
      </c>
      <c r="I6" s="5" t="n">
        <v>3696138</v>
      </c>
      <c r="J6" s="5" t="n">
        <v>2932134</v>
      </c>
      <c r="K6" s="5" t="n">
        <v>3689507</v>
      </c>
      <c r="L6" s="5" t="n">
        <v>2834515</v>
      </c>
      <c r="M6" s="5" t="n">
        <v>2696707</v>
      </c>
      <c r="P6" t="inlineStr">
        <is>
          <t>Total assets</t>
        </is>
      </c>
      <c r="Q6" t="n">
        <v>2696707</v>
      </c>
      <c r="R6" t="n">
        <v>2834515</v>
      </c>
      <c r="S6" t="n">
        <v>3689507</v>
      </c>
      <c r="T6" t="n">
        <v>2932134</v>
      </c>
      <c r="U6" t="n">
        <v>3696138</v>
      </c>
      <c r="V6" t="n">
        <v>3027686</v>
      </c>
      <c r="W6" t="n">
        <v>2731397</v>
      </c>
      <c r="X6" t="n">
        <v>2805879</v>
      </c>
      <c r="Y6" t="n">
        <v>3150890</v>
      </c>
      <c r="Z6" t="n">
        <v>3197291</v>
      </c>
      <c r="AA6" t="n">
        <v>3487130</v>
      </c>
      <c r="AB6" t="n">
        <v>3628416</v>
      </c>
      <c r="BI6" t="inlineStr">
        <is>
          <t>CET1 Ratio</t>
        </is>
      </c>
      <c r="BJ6" t="n">
        <v>22</v>
      </c>
      <c r="BK6" t="n">
        <v>20.4</v>
      </c>
      <c r="BL6" t="n">
        <v>19.2</v>
      </c>
      <c r="BM6" t="n">
        <v>18.2</v>
      </c>
      <c r="BN6" t="n">
        <v>16.6</v>
      </c>
      <c r="BO6" t="n">
        <v>17.5</v>
      </c>
      <c r="BP6" t="n">
        <v>16.4</v>
      </c>
      <c r="BQ6" t="n">
        <v>16.7</v>
      </c>
      <c r="BR6" t="n">
        <v>17</v>
      </c>
      <c r="BS6" t="n">
        <v>17.6</v>
      </c>
      <c r="BT6" t="n">
        <v>16.2</v>
      </c>
      <c r="BU6" t="n">
        <v>14.9</v>
      </c>
    </row>
    <row r="7">
      <c r="A7" s="5" t="inlineStr">
        <is>
          <t>Loans and advances to customers</t>
        </is>
      </c>
      <c r="B7" s="5" t="n">
        <v>1540521</v>
      </c>
      <c r="C7" s="5" t="n">
        <v>1368632</v>
      </c>
      <c r="D7" s="5" t="n">
        <v>1290334</v>
      </c>
      <c r="E7" s="5" t="n">
        <v>1101772</v>
      </c>
      <c r="F7" s="5" t="n">
        <v>1094131</v>
      </c>
      <c r="G7" s="5" t="n">
        <v>1105423</v>
      </c>
      <c r="H7" s="5" t="n">
        <v>1435262</v>
      </c>
      <c r="I7" s="5" t="n">
        <v>1414678</v>
      </c>
      <c r="J7" s="5" t="n">
        <v>1121735</v>
      </c>
      <c r="K7" s="5" t="n">
        <v>909592</v>
      </c>
      <c r="L7" s="5" t="n">
        <v>983414</v>
      </c>
      <c r="M7" s="5" t="n">
        <v>1170920</v>
      </c>
      <c r="P7" t="inlineStr">
        <is>
          <t>Loans and advances to customers</t>
        </is>
      </c>
      <c r="Q7" t="n">
        <v>1170920</v>
      </c>
      <c r="R7" t="n">
        <v>983414</v>
      </c>
      <c r="S7" t="n">
        <v>909592</v>
      </c>
      <c r="T7" t="n">
        <v>1121735</v>
      </c>
      <c r="U7" t="n">
        <v>1414678</v>
      </c>
      <c r="V7" t="n">
        <v>1435262</v>
      </c>
      <c r="W7" t="n">
        <v>1105423</v>
      </c>
      <c r="X7" t="n">
        <v>1094131</v>
      </c>
      <c r="Y7" t="n">
        <v>1101772</v>
      </c>
      <c r="Z7" t="n">
        <v>1290334</v>
      </c>
      <c r="AA7" t="n">
        <v>1368632</v>
      </c>
      <c r="AB7" t="n">
        <v>1540521</v>
      </c>
      <c r="BI7" t="inlineStr">
        <is>
          <t>Tier 1 Ratio</t>
        </is>
      </c>
      <c r="BJ7" t="n">
        <v>22</v>
      </c>
      <c r="BK7" t="n">
        <v>20.4</v>
      </c>
      <c r="BL7" t="n">
        <v>19.2</v>
      </c>
      <c r="BM7" t="n">
        <v>18.2</v>
      </c>
      <c r="BN7" t="n">
        <v>16.6</v>
      </c>
      <c r="BO7" t="n">
        <v>17.5</v>
      </c>
      <c r="BP7" t="n">
        <v>16.4</v>
      </c>
      <c r="BQ7" t="n">
        <v>16.7</v>
      </c>
      <c r="BR7" t="n">
        <v>17</v>
      </c>
      <c r="BS7" t="n">
        <v>17.6</v>
      </c>
      <c r="BT7" t="n">
        <v>16.2</v>
      </c>
      <c r="BU7" t="n">
        <v>14.9</v>
      </c>
    </row>
    <row r="8">
      <c r="A8" s="5" t="inlineStr">
        <is>
          <t>Customer deposits</t>
        </is>
      </c>
      <c r="B8" s="5" t="n">
        <v>796992</v>
      </c>
      <c r="C8" s="5" t="n">
        <v>588657</v>
      </c>
      <c r="D8" s="5" t="n">
        <v>460063</v>
      </c>
      <c r="E8" s="5" t="n">
        <v>517193</v>
      </c>
      <c r="F8" s="5" t="n">
        <v>238737</v>
      </c>
      <c r="G8" s="5" t="n">
        <v>224299</v>
      </c>
      <c r="H8" s="5" t="n">
        <v>243923</v>
      </c>
      <c r="I8" s="5" t="n">
        <v>432416</v>
      </c>
      <c r="J8" s="5" t="n">
        <v>399274</v>
      </c>
      <c r="K8" s="5" t="n">
        <v>267883</v>
      </c>
      <c r="L8" s="5" t="n">
        <v>235152</v>
      </c>
      <c r="M8" s="5" t="n">
        <v>196351</v>
      </c>
      <c r="P8" t="inlineStr">
        <is>
          <t>Customer deposits</t>
        </is>
      </c>
      <c r="Q8" t="n">
        <v>196351</v>
      </c>
      <c r="R8" t="n">
        <v>235152</v>
      </c>
      <c r="S8" t="n">
        <v>267883</v>
      </c>
      <c r="T8" t="n">
        <v>399274</v>
      </c>
      <c r="U8" t="n">
        <v>432416</v>
      </c>
      <c r="V8" t="n">
        <v>243923</v>
      </c>
      <c r="W8" t="n">
        <v>224299</v>
      </c>
      <c r="X8" t="n">
        <v>238737</v>
      </c>
      <c r="Y8" t="n">
        <v>517193</v>
      </c>
      <c r="Z8" t="n">
        <v>460063</v>
      </c>
      <c r="AA8" t="n">
        <v>588657</v>
      </c>
      <c r="AB8" t="n">
        <v>796992</v>
      </c>
      <c r="BI8" t="inlineStr">
        <is>
          <t>Total Capital Ratio</t>
        </is>
      </c>
      <c r="BJ8" t="n">
        <v>22.1</v>
      </c>
      <c r="BK8" t="n">
        <v>22.9</v>
      </c>
      <c r="BL8" t="n">
        <v>21.5</v>
      </c>
      <c r="BM8" t="n">
        <v>20.4</v>
      </c>
      <c r="BN8" t="n">
        <v>18.3</v>
      </c>
      <c r="BO8" t="n">
        <v>19.3</v>
      </c>
      <c r="BP8" t="n">
        <v>18.5</v>
      </c>
      <c r="BQ8" t="n">
        <v>18.3</v>
      </c>
      <c r="BR8" t="n">
        <v>18.2</v>
      </c>
      <c r="BS8" t="n">
        <v>19.3</v>
      </c>
      <c r="BT8" t="n">
        <v>17.7</v>
      </c>
      <c r="BU8" t="n">
        <v>16.2</v>
      </c>
    </row>
    <row r="9">
      <c r="A9" s="5" t="inlineStr">
        <is>
          <t>Total equity</t>
        </is>
      </c>
      <c r="B9" s="5" t="n">
        <v>601054</v>
      </c>
      <c r="C9" s="5" t="n">
        <v>586474</v>
      </c>
      <c r="D9" s="5" t="n">
        <v>568132</v>
      </c>
      <c r="E9" s="5" t="n">
        <v>543701</v>
      </c>
      <c r="F9" s="5" t="n">
        <v>534131</v>
      </c>
      <c r="G9" s="5" t="n">
        <v>501167</v>
      </c>
      <c r="H9" s="5" t="n">
        <v>496862</v>
      </c>
      <c r="I9" s="5" t="n">
        <v>487536</v>
      </c>
      <c r="J9" s="5" t="n">
        <v>469692</v>
      </c>
      <c r="K9" s="5" t="n">
        <v>449727</v>
      </c>
      <c r="L9" s="5" t="n">
        <v>441996</v>
      </c>
      <c r="M9" s="5" t="n">
        <v>427294</v>
      </c>
      <c r="P9" t="inlineStr">
        <is>
          <t>Total equity</t>
        </is>
      </c>
      <c r="Q9" t="n">
        <v>427294</v>
      </c>
      <c r="R9" t="n">
        <v>441996</v>
      </c>
      <c r="S9" t="n">
        <v>449727</v>
      </c>
      <c r="T9" t="n">
        <v>469692</v>
      </c>
      <c r="U9" t="n">
        <v>487536</v>
      </c>
      <c r="V9" t="n">
        <v>496862</v>
      </c>
      <c r="W9" t="n">
        <v>501167</v>
      </c>
      <c r="X9" t="n">
        <v>534131</v>
      </c>
      <c r="Y9" t="n">
        <v>543701</v>
      </c>
      <c r="Z9" t="n">
        <v>568132</v>
      </c>
      <c r="AA9" t="n">
        <v>586474</v>
      </c>
      <c r="AB9" t="n">
        <v>601054</v>
      </c>
      <c r="BI9" t="inlineStr">
        <is>
          <t>Leverage Ratio (excl. central bank claims)</t>
        </is>
      </c>
      <c r="BM9" t="n">
        <v>12.59</v>
      </c>
      <c r="BN9" t="n">
        <v>10.28</v>
      </c>
      <c r="BO9" t="n">
        <v>13.45</v>
      </c>
      <c r="BP9" t="n">
        <v>13.39</v>
      </c>
      <c r="BQ9" t="n">
        <v>13.77</v>
      </c>
      <c r="BR9" t="n">
        <v>12.28</v>
      </c>
      <c r="BS9" t="n">
        <v>10.62</v>
      </c>
      <c r="BT9" t="n">
        <v>10.2</v>
      </c>
      <c r="BU9" t="n">
        <v>9.699999999999999</v>
      </c>
    </row>
    <row r="10">
      <c r="BI10" t="inlineStr">
        <is>
          <t>LCR</t>
        </is>
      </c>
      <c r="BM10" t="n">
        <v>281</v>
      </c>
      <c r="BN10" t="n">
        <v>325</v>
      </c>
      <c r="BO10" t="n">
        <v>391</v>
      </c>
      <c r="BP10" t="n">
        <v>281</v>
      </c>
      <c r="BQ10" t="n">
        <v>276</v>
      </c>
      <c r="BR10" t="n">
        <v>310</v>
      </c>
      <c r="BS10" t="n">
        <v>369</v>
      </c>
      <c r="BT10" t="n">
        <v>339.1</v>
      </c>
      <c r="BU10" t="n">
        <v>250.1</v>
      </c>
    </row>
    <row r="11">
      <c r="A11" s="3" t="inlineStr">
        <is>
          <t>Profit &amp; Loss Summary (£'000)</t>
        </is>
      </c>
      <c r="BI11" t="inlineStr">
        <is>
          <t>NSFR</t>
        </is>
      </c>
      <c r="BR11" t="n">
        <v>125.24</v>
      </c>
      <c r="BS11" t="n">
        <v>136.4</v>
      </c>
      <c r="BT11" t="n">
        <v>129.8</v>
      </c>
      <c r="BU11" t="n">
        <v>125.7</v>
      </c>
    </row>
    <row r="12">
      <c r="A12" s="4" t="inlineStr">
        <is>
          <t>Line item</t>
        </is>
      </c>
      <c r="B12" s="4" t="inlineStr">
        <is>
          <t>FY2025</t>
        </is>
      </c>
      <c r="C12" s="4" t="inlineStr">
        <is>
          <t>FY2024</t>
        </is>
      </c>
      <c r="D12" s="4" t="inlineStr">
        <is>
          <t>FY2023</t>
        </is>
      </c>
      <c r="E12" s="4" t="inlineStr">
        <is>
          <t>FY2022</t>
        </is>
      </c>
      <c r="F12" s="4" t="inlineStr">
        <is>
          <t>FY2021</t>
        </is>
      </c>
      <c r="G12" s="4" t="inlineStr">
        <is>
          <t>FY2020</t>
        </is>
      </c>
      <c r="H12" s="4" t="inlineStr">
        <is>
          <t>FY2019</t>
        </is>
      </c>
      <c r="I12" s="4" t="inlineStr">
        <is>
          <t>FY2018</t>
        </is>
      </c>
      <c r="J12" s="4" t="inlineStr">
        <is>
          <t>FY2017</t>
        </is>
      </c>
      <c r="K12" s="4" t="inlineStr">
        <is>
          <t>FY2016</t>
        </is>
      </c>
      <c r="L12" s="4" t="inlineStr">
        <is>
          <t>FY2015</t>
        </is>
      </c>
      <c r="M12" s="4" t="inlineStr">
        <is>
          <t>FY2014</t>
        </is>
      </c>
      <c r="AF12" t="inlineStr">
        <is>
          <t>FY2014</t>
        </is>
      </c>
      <c r="AG12" t="inlineStr">
        <is>
          <t>FY2015</t>
        </is>
      </c>
      <c r="AH12" t="inlineStr">
        <is>
          <t>FY2016</t>
        </is>
      </c>
      <c r="AI12" t="inlineStr">
        <is>
          <t>FY2017</t>
        </is>
      </c>
      <c r="AJ12" t="inlineStr">
        <is>
          <t>FY2018</t>
        </is>
      </c>
      <c r="AK12" t="inlineStr">
        <is>
          <t>FY2019</t>
        </is>
      </c>
      <c r="AL12" t="inlineStr">
        <is>
          <t>FY2020</t>
        </is>
      </c>
      <c r="AM12" t="inlineStr">
        <is>
          <t>FY2021</t>
        </is>
      </c>
      <c r="AN12" t="inlineStr">
        <is>
          <t>FY2022</t>
        </is>
      </c>
      <c r="AO12" t="inlineStr">
        <is>
          <t>FY2023</t>
        </is>
      </c>
      <c r="AP12" t="inlineStr">
        <is>
          <t>FY2024</t>
        </is>
      </c>
      <c r="AQ12" t="inlineStr">
        <is>
          <t>FY2025</t>
        </is>
      </c>
    </row>
    <row r="13">
      <c r="A13" s="5" t="inlineStr">
        <is>
          <t>Profit for the year attributable to owners</t>
        </is>
      </c>
      <c r="B13" s="5" t="n">
        <v>32616</v>
      </c>
      <c r="C13" s="5" t="n">
        <v>34113</v>
      </c>
      <c r="D13" s="5" t="n">
        <v>28022</v>
      </c>
      <c r="E13" s="5" t="n">
        <v>22069</v>
      </c>
      <c r="F13" s="5" t="n">
        <v>25344</v>
      </c>
      <c r="G13" s="5" t="n">
        <v>8001</v>
      </c>
      <c r="H13" s="5" t="n">
        <v>16031</v>
      </c>
      <c r="I13" s="5" t="n">
        <v>23085</v>
      </c>
      <c r="J13" s="5" t="n">
        <v>18521</v>
      </c>
      <c r="K13" s="5" t="n">
        <v>16227</v>
      </c>
      <c r="L13" s="5" t="n">
        <v>14025</v>
      </c>
      <c r="M13" s="5" t="n">
        <v>23684</v>
      </c>
      <c r="AE13" t="inlineStr">
        <is>
          <t>Profit for the year attributable to owners</t>
        </is>
      </c>
      <c r="AF13" t="n">
        <v>23684</v>
      </c>
      <c r="AG13" t="n">
        <v>14025</v>
      </c>
      <c r="AH13" t="n">
        <v>16227</v>
      </c>
      <c r="AI13" t="n">
        <v>18521</v>
      </c>
      <c r="AJ13" t="n">
        <v>23085</v>
      </c>
      <c r="AK13" t="n">
        <v>16031</v>
      </c>
      <c r="AL13" t="n">
        <v>8001</v>
      </c>
      <c r="AM13" t="n">
        <v>25344</v>
      </c>
      <c r="AN13" t="n">
        <v>22069</v>
      </c>
      <c r="AO13" t="n">
        <v>28022</v>
      </c>
      <c r="AP13" t="n">
        <v>34113</v>
      </c>
      <c r="AQ13" t="n">
        <v>32616</v>
      </c>
    </row>
    <row r="14">
      <c r="A14" s="5" t="inlineStr">
        <is>
          <t>Total comprehensive income for the year</t>
        </is>
      </c>
      <c r="B14" s="5" t="n">
        <v>31680</v>
      </c>
      <c r="C14" s="5" t="n">
        <v>34148</v>
      </c>
      <c r="D14" s="5" t="n">
        <v>31051</v>
      </c>
      <c r="E14" s="5" t="n">
        <v>16840</v>
      </c>
      <c r="F14" s="5" t="n">
        <v>30974</v>
      </c>
      <c r="G14" s="5" t="n">
        <v>4305</v>
      </c>
      <c r="H14" s="5" t="n">
        <v>15096</v>
      </c>
      <c r="I14" s="5" t="n">
        <v>24393</v>
      </c>
      <c r="J14" s="5" t="n">
        <v>19965</v>
      </c>
      <c r="K14" s="5" t="n">
        <v>7731</v>
      </c>
      <c r="L14" s="5" t="n">
        <v>14702</v>
      </c>
      <c r="M14" s="5" t="n">
        <v>20232</v>
      </c>
      <c r="AE14" t="inlineStr">
        <is>
          <t>Total comprehensive income for the year</t>
        </is>
      </c>
      <c r="AF14" t="n">
        <v>20232</v>
      </c>
      <c r="AG14" t="n">
        <v>14702</v>
      </c>
      <c r="AH14" t="n">
        <v>7731</v>
      </c>
      <c r="AI14" t="n">
        <v>19965</v>
      </c>
      <c r="AJ14" t="n">
        <v>24393</v>
      </c>
      <c r="AK14" t="n">
        <v>15096</v>
      </c>
      <c r="AL14" t="n">
        <v>4305</v>
      </c>
      <c r="AM14" t="n">
        <v>30974</v>
      </c>
      <c r="AN14" t="n">
        <v>16840</v>
      </c>
      <c r="AO14" t="n">
        <v>31051</v>
      </c>
      <c r="AP14" t="n">
        <v>34148</v>
      </c>
      <c r="AQ14" t="n">
        <v>31680</v>
      </c>
    </row>
    <row r="16">
      <c r="A16" s="3" t="inlineStr">
        <is>
          <t>Statement of Changes in Equity Summary (£'000)</t>
        </is>
      </c>
    </row>
    <row r="17">
      <c r="A17" s="4" t="inlineStr">
        <is>
          <t>Line item</t>
        </is>
      </c>
      <c r="B17" s="4" t="inlineStr">
        <is>
          <t>FY2025</t>
        </is>
      </c>
      <c r="C17" s="4" t="inlineStr">
        <is>
          <t>FY2024</t>
        </is>
      </c>
      <c r="D17" s="4" t="inlineStr">
        <is>
          <t>FY2023</t>
        </is>
      </c>
      <c r="E17" s="4" t="inlineStr">
        <is>
          <t>FY2022</t>
        </is>
      </c>
      <c r="F17" s="4" t="inlineStr">
        <is>
          <t>FY2021</t>
        </is>
      </c>
      <c r="G17" s="4" t="inlineStr">
        <is>
          <t>FY2020</t>
        </is>
      </c>
      <c r="H17" s="4" t="inlineStr">
        <is>
          <t>FY2019</t>
        </is>
      </c>
      <c r="I17" s="4" t="inlineStr">
        <is>
          <t>FY2018</t>
        </is>
      </c>
      <c r="J17" s="4" t="inlineStr">
        <is>
          <t>FY2017</t>
        </is>
      </c>
      <c r="K17" s="4" t="inlineStr">
        <is>
          <t>FY2016</t>
        </is>
      </c>
      <c r="L17" s="4" t="inlineStr">
        <is>
          <t>FY2015</t>
        </is>
      </c>
      <c r="M17" s="4" t="inlineStr">
        <is>
          <t>FY2014</t>
        </is>
      </c>
      <c r="AU17" t="inlineStr">
        <is>
          <t>FY2014</t>
        </is>
      </c>
      <c r="AV17" t="inlineStr">
        <is>
          <t>FY2015</t>
        </is>
      </c>
      <c r="AW17" t="inlineStr">
        <is>
          <t>FY2016</t>
        </is>
      </c>
      <c r="AX17" t="inlineStr">
        <is>
          <t>FY2017</t>
        </is>
      </c>
      <c r="AY17" t="inlineStr">
        <is>
          <t>FY2018</t>
        </is>
      </c>
      <c r="AZ17" t="inlineStr">
        <is>
          <t>FY2019</t>
        </is>
      </c>
      <c r="BA17" t="inlineStr">
        <is>
          <t>FY2020</t>
        </is>
      </c>
      <c r="BB17" t="inlineStr">
        <is>
          <t>FY2021</t>
        </is>
      </c>
      <c r="BC17" t="inlineStr">
        <is>
          <t>FY2022</t>
        </is>
      </c>
      <c r="BD17" t="inlineStr">
        <is>
          <t>FY2023</t>
        </is>
      </c>
      <c r="BE17" t="inlineStr">
        <is>
          <t>FY2024</t>
        </is>
      </c>
      <c r="BF17" t="inlineStr">
        <is>
          <t>FY2025</t>
        </is>
      </c>
    </row>
    <row r="18">
      <c r="A18" s="5" t="inlineStr">
        <is>
          <t>Opening equity</t>
        </is>
      </c>
      <c r="B18" s="5" t="n">
        <v>586474</v>
      </c>
      <c r="C18" s="5" t="n">
        <v>568132</v>
      </c>
      <c r="D18" s="5" t="n">
        <v>543701</v>
      </c>
      <c r="E18" s="5" t="n">
        <v>534131</v>
      </c>
      <c r="F18" s="5" t="n">
        <v>503157</v>
      </c>
      <c r="G18" s="5" t="n">
        <v>496862</v>
      </c>
      <c r="H18" s="5" t="n">
        <v>487536</v>
      </c>
      <c r="I18" s="5" t="n">
        <v>469692</v>
      </c>
      <c r="J18" s="5" t="n">
        <v>449727</v>
      </c>
      <c r="K18" s="5" t="n">
        <v>441996</v>
      </c>
      <c r="L18" s="5" t="n">
        <v>427294</v>
      </c>
      <c r="M18" s="5" t="n">
        <v>407062</v>
      </c>
      <c r="AT18" t="inlineStr">
        <is>
          <t>Opening equity</t>
        </is>
      </c>
      <c r="AU18" t="n">
        <v>407062</v>
      </c>
      <c r="AV18" t="n">
        <v>427294</v>
      </c>
      <c r="AW18" t="n">
        <v>441996</v>
      </c>
      <c r="AX18" t="n">
        <v>449727</v>
      </c>
      <c r="AY18" t="n">
        <v>469692</v>
      </c>
      <c r="AZ18" t="n">
        <v>487536</v>
      </c>
      <c r="BA18" t="n">
        <v>496862</v>
      </c>
      <c r="BB18" t="n">
        <v>503157</v>
      </c>
      <c r="BC18" t="n">
        <v>534131</v>
      </c>
      <c r="BD18" t="n">
        <v>543701</v>
      </c>
      <c r="BE18" t="n">
        <v>568132</v>
      </c>
      <c r="BF18" t="n">
        <v>586474</v>
      </c>
    </row>
    <row r="19">
      <c r="A19" s="5" t="inlineStr">
        <is>
          <t>Total comprehensive income for the year</t>
        </is>
      </c>
      <c r="B19" s="5" t="n">
        <v>31680</v>
      </c>
      <c r="C19" s="5" t="n">
        <v>34148</v>
      </c>
      <c r="D19" s="5" t="n">
        <v>31051</v>
      </c>
      <c r="E19" s="5" t="n">
        <v>16840</v>
      </c>
      <c r="F19" s="5" t="n">
        <v>30974</v>
      </c>
      <c r="G19" s="5" t="n">
        <v>4305</v>
      </c>
      <c r="H19" s="5" t="n">
        <v>15096</v>
      </c>
      <c r="I19" s="5" t="n">
        <v>24393</v>
      </c>
      <c r="J19" s="5" t="n">
        <v>19965</v>
      </c>
      <c r="K19" s="5" t="n">
        <v>7731</v>
      </c>
      <c r="L19" s="5" t="n">
        <v>14702</v>
      </c>
      <c r="M19" s="5" t="n">
        <v>20232</v>
      </c>
      <c r="AT19" t="inlineStr">
        <is>
          <t>Total comprehensive income for the year</t>
        </is>
      </c>
      <c r="AU19" t="n">
        <v>20232</v>
      </c>
      <c r="AV19" t="n">
        <v>14702</v>
      </c>
      <c r="AW19" t="n">
        <v>7731</v>
      </c>
      <c r="AX19" t="n">
        <v>19965</v>
      </c>
      <c r="AY19" t="n">
        <v>24393</v>
      </c>
      <c r="AZ19" t="n">
        <v>15096</v>
      </c>
      <c r="BA19" t="n">
        <v>4305</v>
      </c>
      <c r="BB19" t="n">
        <v>30974</v>
      </c>
      <c r="BC19" t="n">
        <v>16840</v>
      </c>
      <c r="BD19" t="n">
        <v>31051</v>
      </c>
      <c r="BE19" t="n">
        <v>34148</v>
      </c>
      <c r="BF19" t="n">
        <v>31680</v>
      </c>
    </row>
    <row r="20">
      <c r="A20" s="5" t="inlineStr">
        <is>
          <t>Other equity movements, net (dividends)</t>
        </is>
      </c>
      <c r="B20" s="5" t="n">
        <v>-17100</v>
      </c>
      <c r="C20" s="5" t="n">
        <v>-15806</v>
      </c>
      <c r="D20" s="5" t="n">
        <v>-6620</v>
      </c>
      <c r="E20" s="5" t="n">
        <v>-7270</v>
      </c>
      <c r="F20" s="5" t="n">
        <v>0</v>
      </c>
      <c r="G20" s="5" t="n">
        <v>0</v>
      </c>
      <c r="H20" s="5" t="n">
        <v>-5770</v>
      </c>
      <c r="I20" s="5" t="n">
        <v>-6549</v>
      </c>
      <c r="J20" s="5" t="n">
        <v>0</v>
      </c>
      <c r="K20" s="5" t="n">
        <v>0</v>
      </c>
      <c r="L20" s="5" t="n">
        <v>0</v>
      </c>
      <c r="M20" s="5" t="n">
        <v>0</v>
      </c>
      <c r="AT20" t="inlineStr">
        <is>
          <t>Other equity movements, net (dividends)</t>
        </is>
      </c>
      <c r="AU20" t="n">
        <v>0</v>
      </c>
      <c r="AV20" t="n">
        <v>0</v>
      </c>
      <c r="AW20" t="n">
        <v>0</v>
      </c>
      <c r="AX20" t="n">
        <v>0</v>
      </c>
      <c r="AY20" t="n">
        <v>-6549</v>
      </c>
      <c r="AZ20" t="n">
        <v>-5770</v>
      </c>
      <c r="BA20" t="n">
        <v>0</v>
      </c>
      <c r="BB20" t="n">
        <v>0</v>
      </c>
      <c r="BC20" t="n">
        <v>-7270</v>
      </c>
      <c r="BD20" t="n">
        <v>-6620</v>
      </c>
      <c r="BE20" t="n">
        <v>-15806</v>
      </c>
      <c r="BF20" t="n">
        <v>-17100</v>
      </c>
    </row>
    <row r="21">
      <c r="A21" s="5" t="inlineStr">
        <is>
          <t>Closing equity</t>
        </is>
      </c>
      <c r="B21" s="5" t="n">
        <v>601054</v>
      </c>
      <c r="C21" s="5" t="n">
        <v>586474</v>
      </c>
      <c r="D21" s="5" t="n">
        <v>568132</v>
      </c>
      <c r="E21" s="5" t="n">
        <v>543701</v>
      </c>
      <c r="F21" s="5" t="n">
        <v>534131</v>
      </c>
      <c r="G21" s="5" t="n">
        <v>501167</v>
      </c>
      <c r="H21" s="5" t="n">
        <v>496862</v>
      </c>
      <c r="I21" s="5" t="n">
        <v>487536</v>
      </c>
      <c r="J21" s="5" t="n">
        <v>469692</v>
      </c>
      <c r="K21" s="5" t="n">
        <v>449727</v>
      </c>
      <c r="L21" s="5" t="n">
        <v>441996</v>
      </c>
      <c r="M21" s="5" t="n">
        <v>427294</v>
      </c>
      <c r="AT21" t="inlineStr">
        <is>
          <t>Closing equity</t>
        </is>
      </c>
      <c r="AU21" t="n">
        <v>427294</v>
      </c>
      <c r="AV21" t="n">
        <v>441996</v>
      </c>
      <c r="AW21" t="n">
        <v>449727</v>
      </c>
      <c r="AX21" t="n">
        <v>469692</v>
      </c>
      <c r="AY21" t="n">
        <v>487536</v>
      </c>
      <c r="AZ21" t="n">
        <v>496862</v>
      </c>
      <c r="BA21" t="n">
        <v>501167</v>
      </c>
      <c r="BB21" t="n">
        <v>534131</v>
      </c>
      <c r="BC21" t="n">
        <v>543701</v>
      </c>
      <c r="BD21" t="n">
        <v>568132</v>
      </c>
      <c r="BE21" t="n">
        <v>586474</v>
      </c>
      <c r="BF21" t="n">
        <v>601054</v>
      </c>
    </row>
    <row r="23">
      <c r="A23" s="3" t="inlineStr">
        <is>
          <t>Cash Flow Summary: not applicable — this entity does not publish a cash flow statement (see the Cash Flow Statement sheet for the exemption basis).</t>
        </is>
      </c>
    </row>
    <row r="25">
      <c r="A25" s="3" t="inlineStr">
        <is>
          <t>Pillar 3 Key Metrics</t>
        </is>
      </c>
    </row>
    <row r="26">
      <c r="A26" s="4" t="inlineStr">
        <is>
          <t>Line item</t>
        </is>
      </c>
      <c r="B26" s="4" t="inlineStr">
        <is>
          <t>FY2025</t>
        </is>
      </c>
      <c r="C26" s="4" t="inlineStr">
        <is>
          <t>FY2024</t>
        </is>
      </c>
      <c r="D26" s="4" t="inlineStr">
        <is>
          <t>FY2023</t>
        </is>
      </c>
      <c r="E26" s="4" t="inlineStr">
        <is>
          <t>FY2022</t>
        </is>
      </c>
      <c r="F26" s="4" t="inlineStr">
        <is>
          <t>FY2021</t>
        </is>
      </c>
      <c r="G26" s="4" t="inlineStr">
        <is>
          <t>FY2020</t>
        </is>
      </c>
      <c r="H26" s="4" t="inlineStr">
        <is>
          <t>FY2019</t>
        </is>
      </c>
      <c r="I26" s="4" t="inlineStr">
        <is>
          <t>FY2018</t>
        </is>
      </c>
      <c r="J26" s="4" t="inlineStr">
        <is>
          <t>FY2017</t>
        </is>
      </c>
      <c r="K26" s="4" t="inlineStr">
        <is>
          <t>FY2016</t>
        </is>
      </c>
      <c r="L26" s="4" t="inlineStr">
        <is>
          <t>FY2015</t>
        </is>
      </c>
      <c r="M26" s="4" t="inlineStr">
        <is>
          <t>FY2014</t>
        </is>
      </c>
    </row>
    <row r="27">
      <c r="A27" s="6" t="inlineStr">
        <is>
          <t>CET1 Ratio</t>
        </is>
      </c>
      <c r="B27" s="6" t="inlineStr">
        <is>
          <t>14.9%</t>
        </is>
      </c>
      <c r="C27" s="6" t="inlineStr">
        <is>
          <t>16.2%</t>
        </is>
      </c>
      <c r="D27" s="6" t="inlineStr">
        <is>
          <t>17.6%</t>
        </is>
      </c>
      <c r="E27" s="6" t="inlineStr">
        <is>
          <t>17.0%</t>
        </is>
      </c>
      <c r="F27" s="6" t="inlineStr">
        <is>
          <t>16.7%</t>
        </is>
      </c>
      <c r="G27" s="6" t="inlineStr">
        <is>
          <t>16.4%</t>
        </is>
      </c>
      <c r="H27" s="6" t="inlineStr">
        <is>
          <t>17.5%</t>
        </is>
      </c>
      <c r="I27" s="6" t="inlineStr">
        <is>
          <t>16.6%</t>
        </is>
      </c>
      <c r="J27" s="6" t="inlineStr">
        <is>
          <t>18.2%</t>
        </is>
      </c>
      <c r="K27" s="6" t="inlineStr">
        <is>
          <t>19.2%</t>
        </is>
      </c>
      <c r="L27" s="6" t="inlineStr">
        <is>
          <t>20.4%</t>
        </is>
      </c>
      <c r="M27" s="6" t="inlineStr">
        <is>
          <t>22.0%</t>
        </is>
      </c>
    </row>
    <row r="28">
      <c r="A28" s="6" t="inlineStr">
        <is>
          <t>Tier 1 Ratio</t>
        </is>
      </c>
      <c r="B28" s="6" t="inlineStr">
        <is>
          <t>14.9%</t>
        </is>
      </c>
      <c r="C28" s="6" t="inlineStr">
        <is>
          <t>16.2%</t>
        </is>
      </c>
      <c r="D28" s="6" t="inlineStr">
        <is>
          <t>17.6%</t>
        </is>
      </c>
      <c r="E28" s="6" t="inlineStr">
        <is>
          <t>17.0%</t>
        </is>
      </c>
      <c r="F28" s="6" t="inlineStr">
        <is>
          <t>16.7%</t>
        </is>
      </c>
      <c r="G28" s="6" t="inlineStr">
        <is>
          <t>16.4%</t>
        </is>
      </c>
      <c r="H28" s="6" t="inlineStr">
        <is>
          <t>17.5%</t>
        </is>
      </c>
      <c r="I28" s="6" t="inlineStr">
        <is>
          <t>16.6%</t>
        </is>
      </c>
      <c r="J28" s="6" t="inlineStr">
        <is>
          <t>18.2%</t>
        </is>
      </c>
      <c r="K28" s="6" t="inlineStr">
        <is>
          <t>19.2%</t>
        </is>
      </c>
      <c r="L28" s="6" t="inlineStr">
        <is>
          <t>20.4%</t>
        </is>
      </c>
      <c r="M28" s="6" t="inlineStr">
        <is>
          <t>22.0%</t>
        </is>
      </c>
    </row>
    <row r="29">
      <c r="A29" s="6" t="inlineStr">
        <is>
          <t>Total Capital Ratio</t>
        </is>
      </c>
      <c r="B29" s="6" t="inlineStr">
        <is>
          <t>16.2%</t>
        </is>
      </c>
      <c r="C29" s="6" t="inlineStr">
        <is>
          <t>17.7%</t>
        </is>
      </c>
      <c r="D29" s="6" t="inlineStr">
        <is>
          <t>19.3%</t>
        </is>
      </c>
      <c r="E29" s="6" t="inlineStr">
        <is>
          <t>18.2%</t>
        </is>
      </c>
      <c r="F29" s="6" t="inlineStr">
        <is>
          <t>18.3%</t>
        </is>
      </c>
      <c r="G29" s="6" t="inlineStr">
        <is>
          <t>18.5%</t>
        </is>
      </c>
      <c r="H29" s="6" t="inlineStr">
        <is>
          <t>19.3%</t>
        </is>
      </c>
      <c r="I29" s="6" t="inlineStr">
        <is>
          <t>18.3%</t>
        </is>
      </c>
      <c r="J29" s="6" t="inlineStr">
        <is>
          <t>20.4%</t>
        </is>
      </c>
      <c r="K29" s="6" t="inlineStr">
        <is>
          <t>21.5%</t>
        </is>
      </c>
      <c r="L29" s="6" t="inlineStr">
        <is>
          <t>22.9%</t>
        </is>
      </c>
      <c r="M29" s="6" t="inlineStr">
        <is>
          <t>22.1%</t>
        </is>
      </c>
    </row>
    <row r="30">
      <c r="A30" s="6" t="inlineStr">
        <is>
          <t>Leverage Ratio (excl. central bank claims)</t>
        </is>
      </c>
      <c r="B30" s="6" t="inlineStr">
        <is>
          <t>9.7%</t>
        </is>
      </c>
      <c r="C30" s="6" t="inlineStr">
        <is>
          <t>10.2%</t>
        </is>
      </c>
      <c r="D30" s="6" t="inlineStr">
        <is>
          <t>10.62%</t>
        </is>
      </c>
      <c r="E30" s="6" t="inlineStr">
        <is>
          <t>12.28%</t>
        </is>
      </c>
      <c r="F30" s="6" t="inlineStr">
        <is>
          <t>13.77%</t>
        </is>
      </c>
      <c r="G30" s="6" t="inlineStr">
        <is>
          <t>13.39%</t>
        </is>
      </c>
      <c r="H30" s="6" t="inlineStr">
        <is>
          <t>13.45%</t>
        </is>
      </c>
      <c r="I30" s="6" t="inlineStr">
        <is>
          <t>10.28%</t>
        </is>
      </c>
      <c r="J30" s="6" t="inlineStr">
        <is>
          <t>12.59%</t>
        </is>
      </c>
      <c r="K30" s="6" t="n"/>
      <c r="L30" s="6" t="n"/>
      <c r="M30" s="6" t="n"/>
    </row>
    <row r="31">
      <c r="A31" s="6" t="inlineStr">
        <is>
          <t>LCR</t>
        </is>
      </c>
      <c r="B31" s="6" t="inlineStr">
        <is>
          <t>250.1%</t>
        </is>
      </c>
      <c r="C31" s="6" t="inlineStr">
        <is>
          <t>339.1%</t>
        </is>
      </c>
      <c r="D31" s="6" t="inlineStr">
        <is>
          <t>369.0%</t>
        </is>
      </c>
      <c r="E31" s="6" t="inlineStr">
        <is>
          <t>310%</t>
        </is>
      </c>
      <c r="F31" s="6" t="inlineStr">
        <is>
          <t>276%</t>
        </is>
      </c>
      <c r="G31" s="6" t="inlineStr">
        <is>
          <t>281%</t>
        </is>
      </c>
      <c r="H31" s="6" t="inlineStr">
        <is>
          <t>391%</t>
        </is>
      </c>
      <c r="I31" s="6" t="inlineStr">
        <is>
          <t>325%</t>
        </is>
      </c>
      <c r="J31" s="6" t="inlineStr">
        <is>
          <t>281%</t>
        </is>
      </c>
      <c r="K31" s="6" t="n"/>
      <c r="L31" s="6" t="n"/>
      <c r="M31" s="6" t="n"/>
    </row>
    <row r="32">
      <c r="A32" s="6" t="inlineStr">
        <is>
          <t>NSFR</t>
        </is>
      </c>
      <c r="B32" s="6" t="inlineStr">
        <is>
          <t>125.7%</t>
        </is>
      </c>
      <c r="C32" s="6" t="inlineStr">
        <is>
          <t>129.8%</t>
        </is>
      </c>
      <c r="D32" s="6" t="inlineStr">
        <is>
          <t>136.4%</t>
        </is>
      </c>
      <c r="E32" s="6" t="inlineStr">
        <is>
          <t>125.24%</t>
        </is>
      </c>
      <c r="F32" s="6" t="n"/>
      <c r="G32" s="6" t="n"/>
      <c r="H32" s="6" t="n"/>
      <c r="I32" s="6" t="n"/>
      <c r="J32" s="6" t="n"/>
      <c r="K32" s="6" t="n"/>
      <c r="L32" s="6" t="n"/>
      <c r="M32" s="6" t="n"/>
    </row>
    <row r="34" ht="78" customHeight="1">
      <c r="A34" s="7" t="inlineStr">
        <is>
          <t>Note: ABC International Bank plc takes the FRS 101 cash-flow-statement exemption every year (see the Cash Flow Statement sheet), so no cash flow summary or chart is shown here - only the Balance Sheet / P&amp;L / Equity blocks (all entity/solo basis) and the Pillar 3 Key Metrics trend chart below. Pillar 3 ratios are consolidated basis for FY2023-FY2025 and solo basis for FY2014-FY2022 - a different basis to the statement blocks above, see the Cash Flow Statement sheet's entity note. FY2025 BASIS MIX RESOLVED (2026-09-15): the FY2025 column previously held CONSOLIDATED Leverage/LCR/NSFR alongside SOLO capital ratios. On the user's explicit instruction the capital ratios were restated onto the consolidated basis (CET1/Tier 1 15.0% -&gt; 14.9%, total capital 16.5% -&gt; 16.2%, RWAs £3,132m -&gt; £3,880.104m), so the whole FY2025 column is now one basis. Superseded solo figures are preserved in each capital sheet's note and as a full risk-type split in the RWA Breakdown sheet's SOLO block. FY2022/FY2021 Leverage Ratio and LCR, and FY2022 NSFR, were ADDED the same day from each year's own dedicated Pillar 3 report (ABCIB-Pillar3Disclosure-2021.pdf / -2022.pdf), which an earlier pass had wrongly recorded as non-existent. Note the resulting FY2022 -&gt; FY2023 step in the Leverage/LCR rows is partly the solo-to-consolidated basis change, not solely a real movement - see those sheets' notes. FY2025's statement/asset-quality figures were transcribed from a scanned Companies House filing via visual reading (OCR-style). HD-018 extended this workbook's window from FY2021-FY2025 back to FY2014-FY2025 (2026-09-05); FY2018's 'Other equity movements' figure (-£6,549k) is the IFRS 9 transition adjustment recognised on 1 January 2018, not a dividend - see the Statement of Changes in Equity sheet.</t>
        </is>
      </c>
    </row>
  </sheetData>
  <mergeCells count="1">
    <mergeCell ref="A34:M34"/>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M36"/>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ABC International Bank plc — Statement of Financial Position</t>
        </is>
      </c>
    </row>
    <row r="2">
      <c r="A2" s="2" t="inlineStr">
        <is>
          <t>Entity (solo) basis, all figures in £'000. Blank cells indicate that year's report did not disclose that specific line.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Assets</t>
        </is>
      </c>
      <c r="B4" s="6" t="n"/>
      <c r="C4" s="6" t="n"/>
      <c r="D4" s="6" t="n"/>
      <c r="E4" s="6" t="n"/>
      <c r="F4" s="6" t="n"/>
      <c r="G4" s="6" t="n"/>
      <c r="H4" s="6" t="n"/>
      <c r="I4" s="6" t="n"/>
      <c r="J4" s="6" t="n"/>
      <c r="K4" s="6" t="n"/>
      <c r="L4" s="6" t="n"/>
      <c r="M4" s="6" t="n"/>
    </row>
    <row r="5">
      <c r="A5" s="6" t="inlineStr">
        <is>
          <t>Cash and cash equivalents</t>
        </is>
      </c>
      <c r="B5" s="6" t="n">
        <v>103934</v>
      </c>
      <c r="C5" s="6" t="n">
        <v>373606</v>
      </c>
      <c r="D5" s="6" t="n">
        <v>535241</v>
      </c>
      <c r="E5" s="6" t="n">
        <v>133298</v>
      </c>
      <c r="F5" s="6" t="n">
        <v>8395</v>
      </c>
      <c r="G5" s="6" t="n">
        <v>47646</v>
      </c>
      <c r="H5" s="6" t="n">
        <v>32683</v>
      </c>
      <c r="I5" s="6" t="n">
        <v>70763</v>
      </c>
      <c r="J5" s="6" t="n">
        <v>21379</v>
      </c>
      <c r="K5" s="6" t="n">
        <v>26269</v>
      </c>
      <c r="L5" s="6" t="n">
        <v>83226</v>
      </c>
      <c r="M5" s="6" t="n">
        <v>81076</v>
      </c>
    </row>
    <row r="6">
      <c r="A6" s="6" t="inlineStr">
        <is>
          <t>Debt investments - FVOCI</t>
        </is>
      </c>
      <c r="B6" s="6" t="n">
        <v>562145</v>
      </c>
      <c r="C6" s="6" t="n">
        <v>550345</v>
      </c>
      <c r="D6" s="6" t="n">
        <v>494318</v>
      </c>
      <c r="E6" s="6" t="n">
        <v>574839</v>
      </c>
      <c r="F6" s="6" t="n">
        <v>466103</v>
      </c>
      <c r="G6" s="6" t="n">
        <v>333872</v>
      </c>
      <c r="H6" s="6" t="n">
        <v>277909</v>
      </c>
      <c r="I6" s="6" t="n">
        <v>265129</v>
      </c>
      <c r="J6" s="6" t="n">
        <v>277687</v>
      </c>
      <c r="K6" s="6" t="n">
        <v>321055</v>
      </c>
      <c r="L6" s="6" t="n">
        <v>219030</v>
      </c>
      <c r="M6" s="6" t="n">
        <v>259769</v>
      </c>
    </row>
    <row r="7">
      <c r="A7" s="6" t="inlineStr">
        <is>
          <t>Loans and advances to banks</t>
        </is>
      </c>
      <c r="B7" s="6" t="n">
        <v>1164047</v>
      </c>
      <c r="C7" s="6" t="n">
        <v>896970</v>
      </c>
      <c r="D7" s="6" t="n">
        <v>604546</v>
      </c>
      <c r="E7" s="6" t="n">
        <v>1036596</v>
      </c>
      <c r="F7" s="6" t="n">
        <v>1002776</v>
      </c>
      <c r="G7" s="6" t="n">
        <v>975054</v>
      </c>
      <c r="H7" s="6" t="n">
        <v>1186006</v>
      </c>
      <c r="I7" s="6" t="n">
        <v>1855187</v>
      </c>
      <c r="J7" s="6" t="n">
        <v>1441263</v>
      </c>
      <c r="K7" s="6" t="n">
        <v>2350215</v>
      </c>
      <c r="L7" s="6" t="n">
        <v>1519663</v>
      </c>
      <c r="M7" s="6" t="n">
        <v>1086342</v>
      </c>
    </row>
    <row r="8">
      <c r="A8" s="6" t="inlineStr">
        <is>
          <t>Loans and advances to customers</t>
        </is>
      </c>
      <c r="B8" s="6" t="n">
        <v>1540521</v>
      </c>
      <c r="C8" s="6" t="n">
        <v>1368632</v>
      </c>
      <c r="D8" s="6" t="n">
        <v>1290334</v>
      </c>
      <c r="E8" s="6" t="n">
        <v>1101772</v>
      </c>
      <c r="F8" s="6" t="n">
        <v>1094131</v>
      </c>
      <c r="G8" s="6" t="n">
        <v>1105423</v>
      </c>
      <c r="H8" s="6" t="n">
        <v>1435262</v>
      </c>
      <c r="I8" s="6" t="n">
        <v>1414678</v>
      </c>
      <c r="J8" s="6" t="n">
        <v>1121735</v>
      </c>
      <c r="K8" s="6" t="n">
        <v>909592</v>
      </c>
      <c r="L8" s="6" t="n">
        <v>983414</v>
      </c>
      <c r="M8" s="6" t="n">
        <v>1170920</v>
      </c>
    </row>
    <row r="9">
      <c r="A9" s="6" t="inlineStr">
        <is>
          <t>Derivative financial assets</t>
        </is>
      </c>
      <c r="B9" s="6" t="n">
        <v>4859</v>
      </c>
      <c r="C9" s="6" t="n">
        <v>20825</v>
      </c>
      <c r="D9" s="6" t="n">
        <v>4038</v>
      </c>
      <c r="E9" s="6" t="n">
        <v>3704</v>
      </c>
      <c r="F9" s="6" t="n">
        <v>3606</v>
      </c>
      <c r="G9" s="6" t="n">
        <v>490</v>
      </c>
      <c r="H9" s="6" t="n">
        <v>336</v>
      </c>
      <c r="I9" s="6" t="n">
        <v>1905</v>
      </c>
      <c r="J9" s="6" t="n">
        <v>874</v>
      </c>
      <c r="K9" s="6" t="n">
        <v>16438</v>
      </c>
      <c r="L9" s="6" t="n">
        <v>1843</v>
      </c>
      <c r="M9" s="6" t="n">
        <v>39487</v>
      </c>
    </row>
    <row r="10">
      <c r="A10" s="6" t="inlineStr">
        <is>
          <t>Tangible fixed assets</t>
        </is>
      </c>
      <c r="B10" s="6" t="n">
        <v>29127</v>
      </c>
      <c r="C10" s="6" t="n">
        <v>35131</v>
      </c>
      <c r="D10" s="6" t="n">
        <v>35215</v>
      </c>
      <c r="E10" s="6" t="n">
        <v>35409</v>
      </c>
      <c r="F10" s="6" t="n">
        <v>36270</v>
      </c>
      <c r="G10" s="6" t="n">
        <v>37386</v>
      </c>
      <c r="H10" s="6" t="n">
        <v>39303</v>
      </c>
      <c r="I10" s="6" t="n">
        <v>39561</v>
      </c>
      <c r="J10" s="6" t="n">
        <v>39885</v>
      </c>
      <c r="K10" s="6" t="n">
        <v>40290</v>
      </c>
      <c r="L10" s="6" t="n">
        <v>2113</v>
      </c>
      <c r="M10" s="6" t="n">
        <v>1098</v>
      </c>
    </row>
    <row r="11">
      <c r="A11" s="6" t="inlineStr">
        <is>
          <t>Investment property</t>
        </is>
      </c>
      <c r="B11" s="6" t="n">
        <v>5973</v>
      </c>
      <c r="C11" s="6" t="n"/>
      <c r="D11" s="6" t="n"/>
      <c r="E11" s="6" t="n"/>
      <c r="F11" s="6" t="n"/>
      <c r="G11" s="6" t="n"/>
      <c r="H11" s="6" t="n"/>
      <c r="I11" s="6" t="n"/>
      <c r="J11" s="6" t="n"/>
      <c r="K11" s="6" t="n"/>
      <c r="L11" s="6" t="n"/>
      <c r="M11" s="6" t="n"/>
    </row>
    <row r="12">
      <c r="A12" s="6" t="inlineStr">
        <is>
          <t>Current tax asset</t>
        </is>
      </c>
      <c r="B12" s="6" t="n">
        <v>1104</v>
      </c>
      <c r="C12" s="6" t="n">
        <v>889</v>
      </c>
      <c r="D12" s="6" t="n"/>
      <c r="E12" s="6" t="n">
        <v>0</v>
      </c>
      <c r="F12" s="6" t="n">
        <v>127</v>
      </c>
      <c r="G12" s="6" t="n">
        <v>923</v>
      </c>
      <c r="H12" s="6" t="n">
        <v>730</v>
      </c>
      <c r="I12" s="6" t="n">
        <v>322</v>
      </c>
      <c r="J12" s="6" t="n">
        <v>0</v>
      </c>
      <c r="K12" s="6" t="n">
        <v>315</v>
      </c>
      <c r="L12" s="6" t="n">
        <v>1493</v>
      </c>
      <c r="M12" s="6" t="n">
        <v>67</v>
      </c>
    </row>
    <row r="13">
      <c r="A13" s="6" t="inlineStr">
        <is>
          <t>Deferred tax asset</t>
        </is>
      </c>
      <c r="B13" s="6" t="n"/>
      <c r="C13" s="6" t="n"/>
      <c r="D13" s="6" t="n"/>
      <c r="E13" s="6" t="n">
        <v>2149</v>
      </c>
      <c r="F13" s="6" t="n">
        <v>1574</v>
      </c>
      <c r="G13" s="6" t="n">
        <v>3159</v>
      </c>
      <c r="H13" s="6" t="n">
        <v>2041</v>
      </c>
      <c r="I13" s="6" t="n">
        <v>2314</v>
      </c>
      <c r="J13" s="6" t="n">
        <v>2915</v>
      </c>
      <c r="K13" s="6" t="n">
        <v>4119</v>
      </c>
      <c r="L13" s="6" t="n">
        <v>3154</v>
      </c>
      <c r="M13" s="6" t="n">
        <v>7245</v>
      </c>
    </row>
    <row r="14">
      <c r="A14" s="6" t="inlineStr">
        <is>
          <t>Prepayments, accrued income and other debtors</t>
        </is>
      </c>
      <c r="B14" s="6" t="n">
        <v>44993</v>
      </c>
      <c r="C14" s="6" t="n">
        <v>75609</v>
      </c>
      <c r="D14" s="6" t="n">
        <v>62556</v>
      </c>
      <c r="E14" s="6" t="n">
        <v>88821</v>
      </c>
      <c r="F14" s="6" t="n">
        <v>27093</v>
      </c>
      <c r="G14" s="6" t="n">
        <v>63630</v>
      </c>
      <c r="H14" s="6" t="n">
        <v>49163</v>
      </c>
      <c r="I14" s="6" t="n">
        <v>46246</v>
      </c>
      <c r="J14" s="6" t="n">
        <v>26396</v>
      </c>
      <c r="K14" s="6" t="n">
        <v>21214</v>
      </c>
      <c r="L14" s="6" t="n">
        <v>20579</v>
      </c>
      <c r="M14" s="6" t="n">
        <v>50703</v>
      </c>
    </row>
    <row r="15">
      <c r="A15" s="6" t="inlineStr">
        <is>
          <t>Pension scheme asset</t>
        </is>
      </c>
      <c r="B15" s="6" t="n">
        <v>0</v>
      </c>
      <c r="C15" s="6" t="n">
        <v>1347</v>
      </c>
      <c r="D15" s="6" t="n"/>
      <c r="E15" s="6" t="n"/>
      <c r="F15" s="6" t="n"/>
      <c r="G15" s="6" t="n"/>
      <c r="H15" s="6" t="n"/>
      <c r="I15" s="6" t="n"/>
      <c r="J15" s="6" t="n"/>
      <c r="K15" s="6" t="n"/>
      <c r="L15" s="6" t="n"/>
      <c r="M15" s="6" t="n"/>
    </row>
    <row r="16">
      <c r="A16" s="6" t="inlineStr">
        <is>
          <t>Investment in subsidiary</t>
        </is>
      </c>
      <c r="B16" s="6" t="n">
        <v>171713</v>
      </c>
      <c r="C16" s="6" t="n">
        <v>163776</v>
      </c>
      <c r="D16" s="6" t="n">
        <v>171043</v>
      </c>
      <c r="E16" s="6" t="n">
        <v>174302</v>
      </c>
      <c r="F16" s="6" t="n">
        <v>165804</v>
      </c>
      <c r="G16" s="6" t="n">
        <v>163814</v>
      </c>
      <c r="H16" s="6" t="n">
        <v>4253</v>
      </c>
      <c r="I16" s="6" t="n">
        <v>33</v>
      </c>
      <c r="J16" s="6" t="n"/>
      <c r="K16" s="6" t="n"/>
      <c r="L16" s="6" t="n"/>
      <c r="M16" s="6" t="n"/>
    </row>
    <row r="17">
      <c r="A17" s="5" t="inlineStr">
        <is>
          <t>Total assets</t>
        </is>
      </c>
      <c r="B17" s="5" t="n">
        <v>3628416</v>
      </c>
      <c r="C17" s="5" t="n">
        <v>3487130</v>
      </c>
      <c r="D17" s="5" t="n">
        <v>3197291</v>
      </c>
      <c r="E17" s="5" t="n">
        <v>3150890</v>
      </c>
      <c r="F17" s="5" t="n">
        <v>2805879</v>
      </c>
      <c r="G17" s="5" t="n">
        <v>2731397</v>
      </c>
      <c r="H17" s="5" t="n">
        <v>3027686</v>
      </c>
      <c r="I17" s="5" t="n">
        <v>3696138</v>
      </c>
      <c r="J17" s="5" t="n">
        <v>2932134</v>
      </c>
      <c r="K17" s="5" t="n">
        <v>3689507</v>
      </c>
      <c r="L17" s="5" t="n">
        <v>2834515</v>
      </c>
      <c r="M17" s="5" t="n">
        <v>2696707</v>
      </c>
    </row>
    <row r="18">
      <c r="A18" s="5" t="inlineStr">
        <is>
          <t>Liabilities</t>
        </is>
      </c>
      <c r="B18" s="6" t="n"/>
      <c r="C18" s="6" t="n"/>
      <c r="D18" s="6" t="n"/>
      <c r="E18" s="6" t="n"/>
      <c r="F18" s="6" t="n"/>
      <c r="G18" s="6" t="n"/>
      <c r="H18" s="6" t="n"/>
      <c r="I18" s="6" t="n"/>
      <c r="J18" s="6" t="n"/>
      <c r="K18" s="6" t="n"/>
      <c r="L18" s="6" t="n"/>
      <c r="M18" s="6" t="n"/>
    </row>
    <row r="19">
      <c r="A19" s="6" t="inlineStr">
        <is>
          <t>Deposits from banks</t>
        </is>
      </c>
      <c r="B19" s="6" t="n">
        <v>1801577</v>
      </c>
      <c r="C19" s="6" t="n">
        <v>1793118</v>
      </c>
      <c r="D19" s="6" t="n">
        <v>1719290</v>
      </c>
      <c r="E19" s="6" t="n">
        <v>1604268</v>
      </c>
      <c r="F19" s="6" t="n">
        <v>1711980</v>
      </c>
      <c r="G19" s="6" t="n">
        <v>1650452</v>
      </c>
      <c r="H19" s="6" t="n">
        <v>1875147</v>
      </c>
      <c r="I19" s="6" t="n">
        <v>2382938</v>
      </c>
      <c r="J19" s="6" t="n">
        <v>1725984</v>
      </c>
      <c r="K19" s="6" t="n">
        <v>2599892</v>
      </c>
      <c r="L19" s="6" t="n">
        <v>1824418</v>
      </c>
      <c r="M19" s="6" t="n">
        <v>1753585</v>
      </c>
    </row>
    <row r="20">
      <c r="A20" s="6" t="inlineStr">
        <is>
          <t>Customer deposits</t>
        </is>
      </c>
      <c r="B20" s="6" t="n">
        <v>796992</v>
      </c>
      <c r="C20" s="6" t="n">
        <v>588657</v>
      </c>
      <c r="D20" s="6" t="n">
        <v>460063</v>
      </c>
      <c r="E20" s="6" t="n">
        <v>517193</v>
      </c>
      <c r="F20" s="6" t="n">
        <v>238737</v>
      </c>
      <c r="G20" s="6" t="n">
        <v>224299</v>
      </c>
      <c r="H20" s="6" t="n">
        <v>243923</v>
      </c>
      <c r="I20" s="6" t="n">
        <v>432416</v>
      </c>
      <c r="J20" s="6" t="n">
        <v>399274</v>
      </c>
      <c r="K20" s="6" t="n">
        <v>267883</v>
      </c>
      <c r="L20" s="6" t="n">
        <v>235152</v>
      </c>
      <c r="M20" s="6" t="n">
        <v>196351</v>
      </c>
    </row>
    <row r="21">
      <c r="A21" s="6" t="inlineStr">
        <is>
          <t>Derivative financial liabilities</t>
        </is>
      </c>
      <c r="B21" s="6" t="n">
        <v>1644</v>
      </c>
      <c r="C21" s="6" t="n">
        <v>1190</v>
      </c>
      <c r="D21" s="6" t="n">
        <v>13647</v>
      </c>
      <c r="E21" s="6" t="n">
        <v>10516</v>
      </c>
      <c r="F21" s="6" t="n">
        <v>635</v>
      </c>
      <c r="G21" s="6" t="n">
        <v>5501</v>
      </c>
      <c r="H21" s="6" t="n">
        <v>3975</v>
      </c>
      <c r="I21" s="6" t="n">
        <v>2533</v>
      </c>
      <c r="J21" s="6" t="n">
        <v>2280</v>
      </c>
      <c r="K21" s="6" t="n">
        <v>1720</v>
      </c>
      <c r="L21" s="6" t="n">
        <v>5604</v>
      </c>
      <c r="M21" s="6" t="n">
        <v>2087</v>
      </c>
    </row>
    <row r="22">
      <c r="A22" s="6" t="inlineStr">
        <is>
          <t>Other liabilities, accruals and deferred income</t>
        </is>
      </c>
      <c r="B22" s="6" t="n">
        <v>61776</v>
      </c>
      <c r="C22" s="6" t="n">
        <v>208793</v>
      </c>
      <c r="D22" s="6" t="n">
        <v>168234</v>
      </c>
      <c r="E22" s="6" t="n">
        <v>195399</v>
      </c>
      <c r="F22" s="6" t="n">
        <v>102982</v>
      </c>
      <c r="G22" s="6" t="n">
        <v>56740</v>
      </c>
      <c r="H22" s="6" t="n">
        <v>56166</v>
      </c>
      <c r="I22" s="6" t="n">
        <v>51162</v>
      </c>
      <c r="J22" s="6" t="n">
        <v>21798</v>
      </c>
      <c r="K22" s="6" t="n">
        <v>22691</v>
      </c>
      <c r="L22" s="6" t="n">
        <v>22997</v>
      </c>
      <c r="M22" s="6" t="n">
        <v>55491</v>
      </c>
    </row>
    <row r="23">
      <c r="A23" s="6" t="inlineStr">
        <is>
          <t>Current tax liability</t>
        </is>
      </c>
      <c r="B23" s="6" t="n"/>
      <c r="C23" s="6" t="n"/>
      <c r="D23" s="6" t="n">
        <v>491</v>
      </c>
      <c r="E23" s="6" t="n">
        <v>2286</v>
      </c>
      <c r="F23" s="6" t="n"/>
      <c r="G23" s="6" t="n">
        <v>0</v>
      </c>
      <c r="H23" s="6" t="n">
        <v>1746</v>
      </c>
      <c r="I23" s="6" t="n">
        <v>2369</v>
      </c>
      <c r="J23" s="6" t="n">
        <v>2077</v>
      </c>
      <c r="K23" s="6" t="n">
        <v>1475</v>
      </c>
      <c r="L23" s="6" t="n">
        <v>185</v>
      </c>
      <c r="M23" s="6" t="n">
        <v>891</v>
      </c>
    </row>
    <row r="24">
      <c r="A24" s="6" t="inlineStr">
        <is>
          <t>Term borrowing</t>
        </is>
      </c>
      <c r="B24" s="6" t="n">
        <v>315538</v>
      </c>
      <c r="C24" s="6" t="n">
        <v>256013</v>
      </c>
      <c r="D24" s="6" t="n">
        <v>216093</v>
      </c>
      <c r="E24" s="6" t="n">
        <v>224794</v>
      </c>
      <c r="F24" s="6" t="n">
        <v>164793</v>
      </c>
      <c r="G24" s="6" t="n">
        <v>230665</v>
      </c>
      <c r="H24" s="6" t="n">
        <v>288149</v>
      </c>
      <c r="I24" s="6" t="n">
        <v>275634</v>
      </c>
      <c r="J24" s="6" t="n">
        <v>245827</v>
      </c>
      <c r="K24" s="6" t="n">
        <v>278033</v>
      </c>
      <c r="L24" s="6" t="n">
        <v>245582</v>
      </c>
      <c r="M24" s="6" t="n">
        <v>170463</v>
      </c>
    </row>
    <row r="25">
      <c r="A25" s="6" t="inlineStr">
        <is>
          <t>Pension scheme liability</t>
        </is>
      </c>
      <c r="B25" s="6" t="n">
        <v>163</v>
      </c>
      <c r="C25" s="6" t="n"/>
      <c r="D25" s="6" t="n">
        <v>209</v>
      </c>
      <c r="E25" s="6" t="n">
        <v>2733</v>
      </c>
      <c r="F25" s="6" t="n">
        <v>2621</v>
      </c>
      <c r="G25" s="6" t="n">
        <v>12573</v>
      </c>
      <c r="H25" s="6" t="n">
        <v>11718</v>
      </c>
      <c r="I25" s="6" t="n">
        <v>11550</v>
      </c>
      <c r="J25" s="6" t="n">
        <v>15202</v>
      </c>
      <c r="K25" s="6" t="n">
        <v>18086</v>
      </c>
      <c r="L25" s="6" t="n">
        <v>8581</v>
      </c>
      <c r="M25" s="6" t="n">
        <v>9732</v>
      </c>
    </row>
    <row r="26">
      <c r="A26" s="6" t="inlineStr">
        <is>
          <t>Subordinated liabilities</t>
        </is>
      </c>
      <c r="B26" s="6" t="n">
        <v>48263</v>
      </c>
      <c r="C26" s="6" t="n">
        <v>51869</v>
      </c>
      <c r="D26" s="6" t="n">
        <v>51121</v>
      </c>
      <c r="E26" s="6" t="n">
        <v>50000</v>
      </c>
      <c r="F26" s="6" t="n">
        <v>50000</v>
      </c>
      <c r="G26" s="6" t="n">
        <v>50000</v>
      </c>
      <c r="H26" s="6" t="n">
        <v>50000</v>
      </c>
      <c r="I26" s="6" t="n">
        <v>50000</v>
      </c>
      <c r="J26" s="6" t="n">
        <v>50000</v>
      </c>
      <c r="K26" s="6" t="n">
        <v>50000</v>
      </c>
      <c r="L26" s="6" t="n">
        <v>50000</v>
      </c>
      <c r="M26" s="6" t="n">
        <v>80813</v>
      </c>
    </row>
    <row r="27">
      <c r="A27" s="6" t="inlineStr">
        <is>
          <t>Deferred tax liability</t>
        </is>
      </c>
      <c r="B27" s="6" t="n">
        <v>1409</v>
      </c>
      <c r="C27" s="6" t="n">
        <v>1016</v>
      </c>
      <c r="D27" s="6" t="n">
        <v>11</v>
      </c>
      <c r="E27" s="6" t="n"/>
      <c r="F27" s="6" t="n"/>
      <c r="G27" s="6" t="n"/>
      <c r="H27" s="6" t="n"/>
      <c r="I27" s="6" t="n"/>
      <c r="J27" s="6" t="n"/>
      <c r="K27" s="6" t="n"/>
      <c r="L27" s="6" t="n"/>
      <c r="M27" s="6" t="n"/>
    </row>
    <row r="28">
      <c r="A28" s="5" t="inlineStr">
        <is>
          <t>Total liabilities</t>
        </is>
      </c>
      <c r="B28" s="5" t="n">
        <v>3027362</v>
      </c>
      <c r="C28" s="5" t="n">
        <v>2900656</v>
      </c>
      <c r="D28" s="5" t="n">
        <v>2629159</v>
      </c>
      <c r="E28" s="5" t="n">
        <v>2607189</v>
      </c>
      <c r="F28" s="5" t="n">
        <v>2271748</v>
      </c>
      <c r="G28" s="5" t="n">
        <v>2230230</v>
      </c>
      <c r="H28" s="5" t="n">
        <v>2530824</v>
      </c>
      <c r="I28" s="5" t="n">
        <v>3208602</v>
      </c>
      <c r="J28" s="5" t="n">
        <v>2462442</v>
      </c>
      <c r="K28" s="5" t="n">
        <v>3239780</v>
      </c>
      <c r="L28" s="5" t="n">
        <v>2392519</v>
      </c>
      <c r="M28" s="5" t="n">
        <v>2269413</v>
      </c>
    </row>
    <row r="29">
      <c r="A29" s="5" t="inlineStr">
        <is>
          <t>Equity</t>
        </is>
      </c>
      <c r="B29" s="6" t="n"/>
      <c r="C29" s="6" t="n"/>
      <c r="D29" s="6" t="n"/>
      <c r="E29" s="6" t="n"/>
      <c r="F29" s="6" t="n"/>
      <c r="G29" s="6" t="n"/>
      <c r="H29" s="6" t="n"/>
      <c r="I29" s="6" t="n"/>
      <c r="J29" s="6" t="n"/>
      <c r="K29" s="6" t="n"/>
      <c r="L29" s="6" t="n"/>
      <c r="M29" s="6" t="n"/>
    </row>
    <row r="30">
      <c r="A30" s="6" t="inlineStr">
        <is>
          <t>Share capital</t>
        </is>
      </c>
      <c r="B30" s="6" t="n">
        <v>212296</v>
      </c>
      <c r="C30" s="6" t="n">
        <v>212296</v>
      </c>
      <c r="D30" s="6" t="n">
        <v>212296</v>
      </c>
      <c r="E30" s="6" t="n">
        <v>212296</v>
      </c>
      <c r="F30" s="6" t="n">
        <v>212296</v>
      </c>
      <c r="G30" s="6" t="n">
        <v>212296</v>
      </c>
      <c r="H30" s="6" t="n">
        <v>212296</v>
      </c>
      <c r="I30" s="6" t="n">
        <v>212296</v>
      </c>
      <c r="J30" s="6" t="n">
        <v>212296</v>
      </c>
      <c r="K30" s="6" t="n">
        <v>212296</v>
      </c>
      <c r="L30" s="6" t="n">
        <v>212296</v>
      </c>
      <c r="M30" s="6" t="n">
        <v>212296</v>
      </c>
    </row>
    <row r="31">
      <c r="A31" s="6" t="inlineStr">
        <is>
          <t>Retained earnings</t>
        </is>
      </c>
      <c r="B31" s="6" t="n">
        <v>385710</v>
      </c>
      <c r="C31" s="6" t="n">
        <v>372922</v>
      </c>
      <c r="D31" s="6" t="n">
        <v>355584</v>
      </c>
      <c r="E31" s="6" t="n">
        <v>334086</v>
      </c>
      <c r="F31" s="6" t="n">
        <v>321493</v>
      </c>
      <c r="G31" s="6" t="n">
        <v>287834</v>
      </c>
      <c r="H31" s="6" t="n">
        <v>284231</v>
      </c>
      <c r="I31" s="6" t="n">
        <v>275816</v>
      </c>
      <c r="J31" s="6" t="n">
        <v>257372</v>
      </c>
      <c r="K31" s="6" t="n">
        <v>237409</v>
      </c>
      <c r="L31" s="6" t="n">
        <v>229682</v>
      </c>
      <c r="M31" s="6" t="n">
        <v>215018</v>
      </c>
    </row>
    <row r="32">
      <c r="A32" s="6" t="inlineStr">
        <is>
          <t>Fair value reserve</t>
        </is>
      </c>
      <c r="B32" s="6" t="n">
        <v>3048</v>
      </c>
      <c r="C32" s="6" t="n">
        <v>1256</v>
      </c>
      <c r="D32" s="6" t="n">
        <v>252</v>
      </c>
      <c r="E32" s="6" t="n">
        <v>-2681</v>
      </c>
      <c r="F32" s="6" t="n">
        <v>342</v>
      </c>
      <c r="G32" s="6" t="n">
        <v>1037</v>
      </c>
      <c r="H32" s="6" t="n">
        <v>335</v>
      </c>
      <c r="I32" s="6" t="n">
        <v>-576</v>
      </c>
      <c r="J32" s="6" t="n">
        <v>24</v>
      </c>
      <c r="K32" s="6" t="n">
        <v>22</v>
      </c>
      <c r="L32" s="6" t="n">
        <v>18</v>
      </c>
      <c r="M32" s="6" t="n">
        <v>-20</v>
      </c>
    </row>
    <row r="33">
      <c r="A33" s="5" t="inlineStr">
        <is>
          <t>Total equity</t>
        </is>
      </c>
      <c r="B33" s="5" t="n">
        <v>601054</v>
      </c>
      <c r="C33" s="5" t="n">
        <v>586474</v>
      </c>
      <c r="D33" s="5" t="n">
        <v>568132</v>
      </c>
      <c r="E33" s="5" t="n">
        <v>543701</v>
      </c>
      <c r="F33" s="5" t="n">
        <v>534131</v>
      </c>
      <c r="G33" s="5" t="n">
        <v>501167</v>
      </c>
      <c r="H33" s="5" t="n">
        <v>496862</v>
      </c>
      <c r="I33" s="5" t="n">
        <v>487536</v>
      </c>
      <c r="J33" s="5" t="n">
        <v>469692</v>
      </c>
      <c r="K33" s="5" t="n">
        <v>449727</v>
      </c>
      <c r="L33" s="5" t="n">
        <v>441996</v>
      </c>
      <c r="M33" s="5" t="n">
        <v>427294</v>
      </c>
    </row>
    <row r="34">
      <c r="A34" s="5" t="inlineStr">
        <is>
          <t>Total equity and liabilities</t>
        </is>
      </c>
      <c r="B34" s="5" t="n">
        <v>3628416</v>
      </c>
      <c r="C34" s="5" t="n">
        <v>3487130</v>
      </c>
      <c r="D34" s="5" t="n">
        <v>3197291</v>
      </c>
      <c r="E34" s="5" t="n">
        <v>3150890</v>
      </c>
      <c r="F34" s="5" t="n">
        <v>2805879</v>
      </c>
      <c r="G34" s="5" t="n">
        <v>2731397</v>
      </c>
      <c r="H34" s="5" t="n">
        <v>3027686</v>
      </c>
      <c r="I34" s="5" t="n">
        <v>3696138</v>
      </c>
      <c r="J34" s="5" t="n">
        <v>2932134</v>
      </c>
      <c r="K34" s="5" t="n">
        <v>3689507</v>
      </c>
      <c r="L34" s="5" t="n">
        <v>2834515</v>
      </c>
      <c r="M34" s="5" t="n">
        <v>2696707</v>
      </c>
    </row>
    <row r="36" ht="273" customHeight="1">
      <c r="A36" s="8" t="inlineStr">
        <is>
          <t>Sources - ABC International Bank plc:
FY2025: ABC International Bank plc Annual Report 2025, Statement of Financial Position, p.46 (scanned filing, visually transcribed) - https://find-and-update.company-information.service.gov.uk/company/02564490/filing-history
FY2024 &amp; FY2023: ABC International Bank plc Annual Report 2024, Statement of Financial Position, p.53 (FY2023 restated - see Note 37) - https://www.bank-abc.com/en/ShareholderRelations/Annual%20Reports/ABC%20IB%20Annual%20Report%202024%20_%20Spreads%20for%20web.pdf
FY2022 &amp; FY2021: ABC International Bank plc Annual Report 2022, Statement of Financial Position, p.62 - https://www.bank-abc.com/en/ShareholderRelations/Annual%20Reports/ABCIB%20Annual%20Report%202022.pdf
FY2020 &amp; FY2019: ABC International Bank plc Annual Report 2020, Statement of Financial Position, p.58 - https://www.bank-abc.com/en/ShareholderRelations/Annual%20Reports/ABCIB_Annual_Report_2020.pdf
FY2019 &amp; FY2018 (as originally reported): ABC International Bank plc Annual Report 2019, Statement of Financial Position, p.51 - https://www.bank-abc.com/en/ShareholderRelations/Annual%20Reports/ABCIB%20Annual%20Report%202019.pdf
FY2017 &amp; FY2016 (as originally reported): ABC International Bank plc Annual Report 2017 (Companies House filing, scanned, visually transcribed), Statement of Financial Position, p.40 - https://find-and-update.company-information.service.gov.uk/company/02564490/filing-history/MzE5OTA1ODc1MWFkaXF6a2N4/document?format=pdf&amp;download=0
FY2016 &amp; FY2015 (as originally reported): ABC International Bank plc Annual Report 2016 (Companies House filing, scanned, visually transcribed), Statement of Financial Position, p.33 - https://find-and-update.company-information.service.gov.uk/company/02564490/filing-history/MzE3MDg4MzM5M2FkaXF6a2N4/document?format=pdf&amp;download=0
FY2014: ABC International Bank plc Annual Report 2014, Statement of Financial Position, p.26 - https://www.bank-abc.com/en/ShareholderRelations/Annual%20Reports/ABCIB%20Annual%20Report%202014.pdf
ENTITY NOTE: Balance Sheet, Profit &amp; Loss and Statement of Changes in Equity are all prepared on ABCIB's own SOLO (entity, non-consolidated) FRS 101 basis for every year shown - ABCIB does not prepare group accounts (Companies Act 2006, Section 401 exemption; the 'Investment in subsidiary' line, where disclosed, is the only trace of ABCIB's subsidiaries on these statements - it is not disclosed at all for FY2014-FY2017, and grows from a nominal £33k in FY2018 to £163.8m in FY2020 once ABCIB's new Paris subsidiary, Arab Banking Corporation S.A. ('ABCSA'), is opened in October 2020 as part of the bank's post-Brexit restructuring - a real change in the underlying business, not a data gap). This is a different basis to the Pillar 3 sheets, which are CONSOLIDATED for FY2023-FY2024 and SOLO for every other year (see the Cash Flow Statement sheet's entity note) - flagged here so the two blocks of sheets aren't assumed to be on the same basis. FY2025 figures were transcribed by rendering the scanned FY2025 Companies House filing to PNG and reading it visually (pdf_tools.py render + Read), not from a text layer - see AR2025_URL; the same method was used for FY2015-FY2017 (scanned Companies House filings for those years - CH2016_URL/CH2017_URL), while FY2014 and FY2018-FY2020 have a text layer and were extracted directly.
ACCOUNTING STANDARD NOTE: ABCIB adopted IFRS 9 (replacing IAS 39) from 1 January 2018, restating the opening 1 January 2018 equity balance by -£6,549k (recognised as a separate roll-forward line on the Statement of Changes in Equity, not netted into 'profit for the year'). Two presentational consequences follow, both flagged rather than silently smoothed over: (1) the 'Financial investments - available-for-sale' balance sheet line (FY2014-FY2017, IAS 39) and the 'Debt investments - FVOCI' line (FY2018 onward, IFRS 9) are the same underlying asset class under different standards - shown on the SAME balance sheet row for continuity; (2) the equivalent OCI line on the Profit &amp; Loss sheet is labelled 'Change in fair value of debt investments at FVOCI' throughout, though FY2014-FY2017's own statements label it 'Change in fair value of available for sale investments and loans and advances' (IAS 39 terminology) - again the same underlying item, relabelled for one consistent row across the full FY2014-FY2025 series.
PRESENTATION NOTE: FY2025 introduces two lines not present in earlier years - 'Investment property' (£5,973k) and a 'Pension scheme liability' of £163k (FY2024 instead showed a net 'Pension scheme asset' of £1,347k, now nil) - both are new/changed, not omissions, and are shown as disclosed. 'Investment in subsidiary' is not disclosed at all for FY2014-FY2017 (blank, not zero) - see the entity note above.</t>
        </is>
      </c>
    </row>
  </sheetData>
  <mergeCells count="1">
    <mergeCell ref="A36:M36"/>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ABC International Bank plc — Statement of Comprehensive Income</t>
        </is>
      </c>
    </row>
    <row r="2">
      <c r="A2" s="2" t="inlineStr">
        <is>
          <t>Entity (solo) basis, all figures in £'000. Blank cells indicate that year's report did not disclose that specific line.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Comprehensive income</t>
        </is>
      </c>
      <c r="B4" s="6" t="n"/>
      <c r="C4" s="6" t="n"/>
      <c r="D4" s="6" t="n"/>
      <c r="E4" s="6" t="n"/>
      <c r="F4" s="6" t="n"/>
      <c r="G4" s="6" t="n"/>
      <c r="H4" s="6" t="n"/>
      <c r="I4" s="6" t="n"/>
      <c r="J4" s="6" t="n"/>
      <c r="K4" s="6" t="n"/>
      <c r="L4" s="6" t="n"/>
      <c r="M4" s="6" t="n"/>
    </row>
    <row r="5">
      <c r="A5" s="5" t="inlineStr">
        <is>
          <t>Profit for the year attributable to owners</t>
        </is>
      </c>
      <c r="B5" s="5" t="n">
        <v>32616</v>
      </c>
      <c r="C5" s="5" t="n">
        <v>34113</v>
      </c>
      <c r="D5" s="5" t="n">
        <v>28022</v>
      </c>
      <c r="E5" s="5" t="n">
        <v>22069</v>
      </c>
      <c r="F5" s="5" t="n">
        <v>25344</v>
      </c>
      <c r="G5" s="5" t="n">
        <v>8001</v>
      </c>
      <c r="H5" s="5" t="n">
        <v>16031</v>
      </c>
      <c r="I5" s="5" t="n">
        <v>23085</v>
      </c>
      <c r="J5" s="5" t="n">
        <v>18521</v>
      </c>
      <c r="K5" s="5" t="n">
        <v>16227</v>
      </c>
      <c r="L5" s="5" t="n">
        <v>14025</v>
      </c>
      <c r="M5" s="5" t="n">
        <v>23684</v>
      </c>
    </row>
    <row r="6">
      <c r="A6" s="5" t="inlineStr">
        <is>
          <t>Items that cannot be reclassified to income statement</t>
        </is>
      </c>
      <c r="B6" s="6" t="n"/>
      <c r="C6" s="6" t="n"/>
      <c r="D6" s="6" t="n"/>
      <c r="E6" s="6" t="n"/>
      <c r="F6" s="6" t="n"/>
      <c r="G6" s="6" t="n"/>
      <c r="H6" s="6" t="n"/>
      <c r="I6" s="6" t="n"/>
      <c r="J6" s="6" t="n"/>
      <c r="K6" s="6" t="n"/>
      <c r="L6" s="6" t="n"/>
      <c r="M6" s="6" t="n"/>
    </row>
    <row r="7">
      <c r="A7" s="6" t="inlineStr">
        <is>
          <t>Foreign exchange movement</t>
        </is>
      </c>
      <c r="B7" s="6" t="n"/>
      <c r="C7" s="6" t="n">
        <v>155</v>
      </c>
      <c r="D7" s="6" t="n">
        <v>22</v>
      </c>
      <c r="E7" s="6" t="n">
        <v>-10</v>
      </c>
      <c r="F7" s="6" t="n"/>
      <c r="G7" s="6" t="n">
        <v>-47</v>
      </c>
      <c r="H7" s="6" t="n">
        <v>-119</v>
      </c>
      <c r="I7" s="6" t="n">
        <v>-14</v>
      </c>
      <c r="J7" s="6" t="n">
        <v>38</v>
      </c>
      <c r="K7" s="6" t="n">
        <v>28</v>
      </c>
      <c r="L7" s="6" t="n">
        <v>-67</v>
      </c>
      <c r="M7" s="6" t="n">
        <v>-142</v>
      </c>
    </row>
    <row r="8">
      <c r="A8" s="6" t="inlineStr">
        <is>
          <t>Actuarial gain / (loss) recognised on defined benefit pension scheme</t>
        </is>
      </c>
      <c r="B8" s="6" t="n">
        <v>-3431</v>
      </c>
      <c r="C8" s="6" t="n">
        <v>36</v>
      </c>
      <c r="D8" s="6" t="n">
        <v>-1055</v>
      </c>
      <c r="E8" s="6" t="n">
        <v>-2676</v>
      </c>
      <c r="F8" s="6" t="n">
        <v>7756</v>
      </c>
      <c r="G8" s="6" t="n">
        <v>-5366</v>
      </c>
      <c r="H8" s="6" t="n">
        <v>-2075</v>
      </c>
      <c r="I8" s="6" t="n">
        <v>2527</v>
      </c>
      <c r="J8" s="6" t="n">
        <v>1733</v>
      </c>
      <c r="K8" s="6" t="n">
        <v>-10529</v>
      </c>
      <c r="L8" s="6" t="n">
        <v>326</v>
      </c>
      <c r="M8" s="6" t="n">
        <v>-4350</v>
      </c>
    </row>
    <row r="9">
      <c r="A9" s="6" t="inlineStr">
        <is>
          <t>Current and Deferred tax (charge) / credit relating to defined benefit pension scheme</t>
        </is>
      </c>
      <c r="B9" s="6" t="n">
        <v>703</v>
      </c>
      <c r="C9" s="6" t="n">
        <v>-69</v>
      </c>
      <c r="D9" s="6" t="n">
        <v>-37</v>
      </c>
      <c r="E9" s="6" t="n">
        <v>480</v>
      </c>
      <c r="F9" s="6" t="n">
        <v>-1431</v>
      </c>
      <c r="G9" s="6" t="n">
        <v>1149</v>
      </c>
      <c r="H9" s="6" t="n">
        <v>391</v>
      </c>
      <c r="I9" s="6" t="n">
        <v>-605</v>
      </c>
      <c r="J9" s="6" t="n">
        <v>-329</v>
      </c>
      <c r="K9" s="6" t="n">
        <v>2001</v>
      </c>
      <c r="L9" s="6" t="n">
        <v>380</v>
      </c>
      <c r="M9" s="6" t="n">
        <v>599</v>
      </c>
    </row>
    <row r="10">
      <c r="A10" s="5" t="inlineStr">
        <is>
          <t>Items that can be reclassified to income statement</t>
        </is>
      </c>
      <c r="B10" s="6" t="n"/>
      <c r="C10" s="6" t="n"/>
      <c r="D10" s="6" t="n"/>
      <c r="E10" s="6" t="n"/>
      <c r="F10" s="6" t="n"/>
      <c r="G10" s="6" t="n"/>
      <c r="H10" s="6" t="n"/>
      <c r="I10" s="6" t="n"/>
      <c r="J10" s="6" t="n"/>
      <c r="K10" s="6" t="n"/>
      <c r="L10" s="6" t="n"/>
      <c r="M10" s="6" t="n"/>
    </row>
    <row r="11">
      <c r="A11" s="6" t="inlineStr">
        <is>
          <t>Deferred tax (charge) / credit relating to change in fair value of debt investments at FVOCI</t>
        </is>
      </c>
      <c r="B11" s="6" t="n">
        <v>-420</v>
      </c>
      <c r="C11" s="6" t="n">
        <v>-333</v>
      </c>
      <c r="D11" s="6" t="n">
        <v>-988</v>
      </c>
      <c r="E11" s="6" t="n">
        <v>964</v>
      </c>
      <c r="F11" s="6" t="n">
        <v>205</v>
      </c>
      <c r="G11" s="6" t="n">
        <v>-134</v>
      </c>
      <c r="H11" s="6" t="n">
        <v>-43</v>
      </c>
      <c r="I11" s="6" t="n">
        <v>0</v>
      </c>
      <c r="J11" s="6" t="n"/>
      <c r="K11" s="6" t="n"/>
      <c r="L11" s="6" t="n"/>
      <c r="M11" s="6" t="n">
        <v>-70</v>
      </c>
    </row>
    <row r="12">
      <c r="A12" s="6" t="inlineStr">
        <is>
          <t>Change in fair value of debt investments at FVOCI</t>
        </is>
      </c>
      <c r="B12" s="6" t="n">
        <v>4060</v>
      </c>
      <c r="C12" s="6" t="n">
        <v>-1044</v>
      </c>
      <c r="D12" s="6" t="n">
        <v>2406</v>
      </c>
      <c r="E12" s="6" t="n">
        <v>-6637</v>
      </c>
      <c r="F12" s="6" t="n">
        <v>-765</v>
      </c>
      <c r="G12" s="6" t="n">
        <v>929</v>
      </c>
      <c r="H12" s="6" t="n">
        <v>831</v>
      </c>
      <c r="I12" s="6" t="n">
        <v>-600</v>
      </c>
      <c r="J12" s="6" t="n">
        <v>2</v>
      </c>
      <c r="K12" s="6" t="n">
        <v>4</v>
      </c>
      <c r="L12" s="6" t="n">
        <v>38</v>
      </c>
      <c r="M12" s="6" t="n">
        <v>511</v>
      </c>
    </row>
    <row r="13">
      <c r="A13" s="6" t="inlineStr">
        <is>
          <t>Reclassification to income statement: debt investments at FVOCI</t>
        </is>
      </c>
      <c r="B13" s="6" t="n">
        <v>549</v>
      </c>
      <c r="C13" s="6" t="n">
        <v>1954</v>
      </c>
      <c r="D13" s="6" t="n">
        <v>3421</v>
      </c>
      <c r="E13" s="6" t="n">
        <v>-85</v>
      </c>
      <c r="F13" s="6" t="n">
        <v>-282</v>
      </c>
      <c r="G13" s="6" t="n">
        <v>-248</v>
      </c>
      <c r="H13" s="6" t="n"/>
      <c r="I13" s="6" t="n"/>
      <c r="J13" s="6" t="n"/>
      <c r="K13" s="6" t="n"/>
      <c r="L13" s="6" t="n"/>
      <c r="M13" s="6" t="n"/>
    </row>
    <row r="14">
      <c r="A14" s="6" t="inlineStr">
        <is>
          <t>Change in ECL allowance for debt investments at FVOCI</t>
        </is>
      </c>
      <c r="B14" s="6" t="n">
        <v>6</v>
      </c>
      <c r="C14" s="6" t="n">
        <v>4</v>
      </c>
      <c r="D14" s="6" t="n">
        <v>-33</v>
      </c>
      <c r="E14" s="6" t="n">
        <v>12</v>
      </c>
      <c r="F14" s="6" t="n">
        <v>2</v>
      </c>
      <c r="G14" s="6" t="n">
        <v>21</v>
      </c>
      <c r="H14" s="6" t="n">
        <v>80</v>
      </c>
      <c r="I14" s="6" t="n">
        <v>0</v>
      </c>
      <c r="J14" s="6" t="n"/>
      <c r="K14" s="6" t="n"/>
      <c r="L14" s="6" t="n"/>
      <c r="M14" s="6" t="n"/>
    </row>
    <row r="15">
      <c r="A15" s="6" t="inlineStr">
        <is>
          <t>Net gain / (loss) due to fair value hedging</t>
        </is>
      </c>
      <c r="B15" s="6" t="n">
        <v>-2403</v>
      </c>
      <c r="C15" s="6" t="n">
        <v>423</v>
      </c>
      <c r="D15" s="6" t="n">
        <v>-1873</v>
      </c>
      <c r="E15" s="6" t="n">
        <v>2723</v>
      </c>
      <c r="F15" s="6" t="n">
        <v>145</v>
      </c>
      <c r="G15" s="6" t="n"/>
      <c r="H15" s="6" t="n"/>
      <c r="I15" s="6" t="n"/>
      <c r="J15" s="6" t="n"/>
      <c r="K15" s="6" t="n"/>
      <c r="L15" s="6" t="n"/>
      <c r="M15" s="6" t="n"/>
    </row>
    <row r="16">
      <c r="A16" s="5" t="inlineStr">
        <is>
          <t>Total comprehensive income for the year attributable to owners</t>
        </is>
      </c>
      <c r="B16" s="5" t="n">
        <v>31680</v>
      </c>
      <c r="C16" s="5" t="n">
        <v>34148</v>
      </c>
      <c r="D16" s="5" t="n">
        <v>31051</v>
      </c>
      <c r="E16" s="5" t="n">
        <v>16840</v>
      </c>
      <c r="F16" s="5" t="n">
        <v>30974</v>
      </c>
      <c r="G16" s="5" t="n">
        <v>4305</v>
      </c>
      <c r="H16" s="5" t="n">
        <v>15096</v>
      </c>
      <c r="I16" s="5" t="n">
        <v>24393</v>
      </c>
      <c r="J16" s="5" t="n">
        <v>19965</v>
      </c>
      <c r="K16" s="5" t="n">
        <v>7731</v>
      </c>
      <c r="L16" s="5" t="n">
        <v>14702</v>
      </c>
      <c r="M16" s="5" t="n">
        <v>20232</v>
      </c>
    </row>
    <row r="18" ht="364" customHeight="1">
      <c r="A18" s="8" t="inlineStr">
        <is>
          <t>Sources - ABC International Bank plc:
FY2025: ABC International Bank plc Annual Report 2025, Statement of Comprehensive Income, p.45 (scanned filing, visually transcribed) - https://find-and-update.company-information.service.gov.uk/company/02564490/filing-history
FY2024 &amp; FY2023: ABC International Bank plc Annual Report 2024, Statement of Comprehensive Income, p.52 (FY2023 restated - see Note 37) - https://www.bank-abc.com/en/ShareholderRelations/Annual%20Reports/ABC%20IB%20Annual%20Report%202024%20_%20Spreads%20for%20web.pdf
FY2022 &amp; FY2021: ABC International Bank plc Annual Report 2022, Statement of Comprehensive Income, p.61 - https://www.bank-abc.com/en/ShareholderRelations/Annual%20Reports/ABCIB%20Annual%20Report%202022.pdf
FY2020 &amp; FY2019: ABC International Bank plc Annual Report 2020, Statement of Comprehensive Income, p.57 - https://www.bank-abc.com/en/ShareholderRelations/Annual%20Reports/ABCIB_Annual_Report_2020.pdf
FY2019 &amp; FY2018 (as originally reported): ABC International Bank plc Annual Report 2019, Statement of Comprehensive Income, p.51 - https://www.bank-abc.com/en/ShareholderRelations/Annual%20Reports/ABCIB%20Annual%20Report%202019.pdf
FY2017 &amp; FY2016 (as originally reported): ABC International Bank plc Annual Report 2017 (Companies House filing, scanned, visually transcribed), Statement of Comprehensive Income, p.39 - https://find-and-update.company-information.service.gov.uk/company/02564490/filing-history/MzE5OTA1ODc1MWFkaXF6a2N4/document?format=pdf&amp;download=0
FY2016 &amp; FY2015 (as originally reported): ABC International Bank plc Annual Report 2016 (Companies House filing, scanned, visually transcribed), Income Statement + Statement of Comprehensive Income, p.31-32 - https://find-and-update.company-information.service.gov.uk/company/02564490/filing-history/MzE3MDg4MzM5M2FkaXF6a2N4/document?format=pdf&amp;download=0
FY2014: ABC International Bank plc Annual Report 2014, Statement of Comprehensive Income, p.25 - https://www.bank-abc.com/en/ShareholderRelations/Annual%20Reports/ABCIB%20Annual%20Report%202014.pdf
ENTITY NOTE: Balance Sheet, Profit &amp; Loss and Statement of Changes in Equity are all prepared on ABCIB's own SOLO (entity, non-consolidated) FRS 101 basis for every year shown - ABCIB does not prepare group accounts (Companies Act 2006, Section 401 exemption; the 'Investment in subsidiary' line, where disclosed, is the only trace of ABCIB's subsidiaries on these statements - it is not disclosed at all for FY2014-FY2017, and grows from a nominal £33k in FY2018 to £163.8m in FY2020 once ABCIB's new Paris subsidiary, Arab Banking Corporation S.A. ('ABCSA'), is opened in October 2020 as part of the bank's post-Brexit restructuring - a real change in the underlying business, not a data gap). This is a different basis to the Pillar 3 sheets, which are CONSOLIDATED for FY2023-FY2024 and SOLO for every other year (see the Cash Flow Statement sheet's entity note) - flagged here so the two blocks of sheets aren't assumed to be on the same basis. FY2025 figures were transcribed by rendering the scanned FY2025 Companies House filing to PNG and reading it visually (pdf_tools.py render + Read), not from a text layer - see AR2025_URL; the same method was used for FY2015-FY2017 (scanned Companies House filings for those years - CH2016_URL/CH2017_URL), while FY2014 and FY2018-FY2020 have a text layer and were extracted directly.
ACCOUNTING STANDARD NOTE: ABCIB adopted IFRS 9 (replacing IAS 39) from 1 January 2018, restating the opening 1 January 2018 equity balance by -£6,549k (recognised as a separate roll-forward line on the Statement of Changes in Equity, not netted into 'profit for the year'). Two presentational consequences follow, both flagged rather than silently smoothed over: (1) the 'Financial investments - available-for-sale' balance sheet line (FY2014-FY2017, IAS 39) and the 'Debt investments - FVOCI' line (FY2018 onward, IFRS 9) are the same underlying asset class under different standards - shown on the SAME balance sheet row for continuity; (2) the equivalent OCI line on the Profit &amp; Loss sheet is labelled 'Change in fair value of debt investments at FVOCI' throughout, though FY2014-FY2017's own statements label it 'Change in fair value of available for sale investments and loans and advances' (IAS 39 terminology) - again the same underlying item, relabelled for one consistent row across the full FY2014-FY2025 series.
PRESENTATION NOTE: ABCIB's statement of comprehensive income is presented net of interest/fee income and expense from the top ("Profit for the year attributable to owners" is the first disclosed line, with expense items not broken out above it) - there is no Revenue/Net operating income subtotal structure disclosed for any year, unlike Monzo's workbook. "Total comprehensive income for the year" is the one row comparable and populated across all 12 years. FY2014-FY2020's own primary statements actually DO disclose a full Income Statement above this point (net interest income, fees, G&amp;A expenses, impairment, profit before tax) - not reproduced here, to keep this sheet's row set identical across all 12 years matching the FY2021-FY2025 disclosure shape already established; the full income statement for those years is available in the cited primary sources for a human who wants it.
DISCREPANCY FLAGGED (found while sourcing FY2025, not fixed - out of scope for this pass): AR2024's own OCI line items for FY2024 (as directly re-verified against the source PDF: Foreign exchange movement 155, Actuarial gain 36, tax (69), FVOCI tax (333), FVOCI change (1,044), reclassification 1,954, ECL 4, fair value hedging 423) sum to +1,126, but AR2024's own disclosed 'Total comprehensive income' row implies a total OCI of only +35 (34,148 - 34,113 profit) - the components do not reconcile to AR2024's own total, which is a defect in the primary source, not a transcription error (both re-verified directly against the PDF text). AR2025's FY2024 comparative column uses a different item set (no separate FX line; Actuarial (1,055) not 36; fair value hedging 578 not 423) that DOES reconcile to 35 exactly. The FY2024 figures below are left as originally sourced from AR2024 (each year sourced from its own primary report, per this project's convention) rather than silently swapped to AR2025's restated figures - a genuine unresolved reconciliation gap in ABCIB's own disclosures, flagged here for a human to judge. FY2021-FY2023 were not re-checked for the same issue (out of scope for this pass).</t>
        </is>
      </c>
    </row>
  </sheetData>
  <mergeCells count="1">
    <mergeCell ref="A18:M18"/>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52"/>
  <sheetViews>
    <sheetView workbookViewId="0">
      <pane ySplit="4" topLeftCell="A5" activePane="bottomLeft" state="frozen"/>
      <selection pane="bottomLeft" activeCell="A1" sqref="A1"/>
    </sheetView>
  </sheetViews>
  <sheetFormatPr baseColWidth="8" defaultRowHeight="15"/>
  <cols>
    <col width="46" customWidth="1" min="1" max="1"/>
    <col width="15" customWidth="1" min="2" max="2"/>
    <col width="15" customWidth="1" min="3" max="3"/>
    <col width="15" customWidth="1" min="4" max="4"/>
    <col width="15" customWidth="1" min="5" max="5"/>
  </cols>
  <sheetData>
    <row r="1">
      <c r="A1" s="1" t="inlineStr">
        <is>
          <t>ABC International Bank plc — Statement of Changes in Equity</t>
        </is>
      </c>
    </row>
    <row r="2">
      <c r="A2" s="2" t="inlineStr">
        <is>
          <t>Entity (solo) basis, chronological, all figures in £'000.</t>
        </is>
      </c>
    </row>
    <row r="3">
      <c r="A3" s="4" t="inlineStr">
        <is>
          <t>Movement</t>
        </is>
      </c>
      <c r="B3" s="4" t="inlineStr">
        <is>
          <t>Share capital</t>
        </is>
      </c>
      <c r="C3" s="4" t="inlineStr">
        <is>
          <t>Retained earnings</t>
        </is>
      </c>
      <c r="D3" s="4" t="inlineStr">
        <is>
          <t>Fair value reserve</t>
        </is>
      </c>
      <c r="E3" s="4" t="inlineStr">
        <is>
          <t>Total equity</t>
        </is>
      </c>
    </row>
    <row r="4">
      <c r="A4" s="5" t="inlineStr">
        <is>
          <t>Balance at 1 January 2014</t>
        </is>
      </c>
      <c r="B4" s="5" t="n">
        <v>212296</v>
      </c>
      <c r="C4" s="5" t="n">
        <v>195227</v>
      </c>
      <c r="D4" s="5" t="n">
        <v>-461</v>
      </c>
      <c r="E4" s="5" t="n">
        <v>407062</v>
      </c>
    </row>
    <row r="5">
      <c r="A5" s="6" t="inlineStr">
        <is>
          <t>Profit for the year</t>
        </is>
      </c>
      <c r="B5" s="6" t="n"/>
      <c r="C5" s="6" t="n">
        <v>23684</v>
      </c>
      <c r="D5" s="6" t="n"/>
      <c r="E5" s="6" t="n">
        <v>23684</v>
      </c>
    </row>
    <row r="6">
      <c r="A6" s="6" t="inlineStr">
        <is>
          <t>Other comprehensive income / (loss)</t>
        </is>
      </c>
      <c r="B6" s="6" t="n"/>
      <c r="C6" s="6" t="n">
        <v>-3893</v>
      </c>
      <c r="D6" s="6" t="n">
        <v>441</v>
      </c>
      <c r="E6" s="6" t="n">
        <v>-3452</v>
      </c>
    </row>
    <row r="7">
      <c r="A7" s="5" t="inlineStr">
        <is>
          <t>Balance at 31 December 2014</t>
        </is>
      </c>
      <c r="B7" s="5" t="n">
        <v>212296</v>
      </c>
      <c r="C7" s="5" t="n">
        <v>215018</v>
      </c>
      <c r="D7" s="5" t="n">
        <v>-20</v>
      </c>
      <c r="E7" s="5" t="n">
        <v>427294</v>
      </c>
    </row>
    <row r="8">
      <c r="A8" s="6" t="inlineStr">
        <is>
          <t>Profit for the year</t>
        </is>
      </c>
      <c r="B8" s="6" t="n"/>
      <c r="C8" s="6" t="n">
        <v>14025</v>
      </c>
      <c r="D8" s="6" t="n"/>
      <c r="E8" s="6" t="n">
        <v>14025</v>
      </c>
    </row>
    <row r="9">
      <c r="A9" s="6" t="inlineStr">
        <is>
          <t>Other comprehensive income / (loss)</t>
        </is>
      </c>
      <c r="B9" s="6" t="n"/>
      <c r="C9" s="6" t="n">
        <v>639</v>
      </c>
      <c r="D9" s="6" t="n">
        <v>38</v>
      </c>
      <c r="E9" s="6" t="n">
        <v>677</v>
      </c>
    </row>
    <row r="10">
      <c r="A10" s="5" t="inlineStr">
        <is>
          <t>Balance at 31 December 2015</t>
        </is>
      </c>
      <c r="B10" s="5" t="n">
        <v>212296</v>
      </c>
      <c r="C10" s="5" t="n">
        <v>229682</v>
      </c>
      <c r="D10" s="5" t="n">
        <v>18</v>
      </c>
      <c r="E10" s="5" t="n">
        <v>441996</v>
      </c>
    </row>
    <row r="11">
      <c r="A11" s="6" t="inlineStr">
        <is>
          <t>Profit for the year</t>
        </is>
      </c>
      <c r="B11" s="6" t="n"/>
      <c r="C11" s="6" t="n">
        <v>16227</v>
      </c>
      <c r="D11" s="6" t="n"/>
      <c r="E11" s="6" t="n">
        <v>16227</v>
      </c>
    </row>
    <row r="12">
      <c r="A12" s="6" t="inlineStr">
        <is>
          <t>Other comprehensive income / (loss)</t>
        </is>
      </c>
      <c r="B12" s="6" t="n"/>
      <c r="C12" s="6" t="n">
        <v>-8500</v>
      </c>
      <c r="D12" s="6" t="n">
        <v>4</v>
      </c>
      <c r="E12" s="6" t="n">
        <v>-8496</v>
      </c>
    </row>
    <row r="13">
      <c r="A13" s="5" t="inlineStr">
        <is>
          <t>Balance at 31 December 2016</t>
        </is>
      </c>
      <c r="B13" s="5" t="n">
        <v>212296</v>
      </c>
      <c r="C13" s="5" t="n">
        <v>237409</v>
      </c>
      <c r="D13" s="5" t="n">
        <v>22</v>
      </c>
      <c r="E13" s="5" t="n">
        <v>449727</v>
      </c>
    </row>
    <row r="14">
      <c r="A14" s="6" t="inlineStr">
        <is>
          <t>Profit for the year</t>
        </is>
      </c>
      <c r="B14" s="6" t="n"/>
      <c r="C14" s="6" t="n">
        <v>18521</v>
      </c>
      <c r="D14" s="6" t="n"/>
      <c r="E14" s="6" t="n">
        <v>18521</v>
      </c>
    </row>
    <row r="15">
      <c r="A15" s="6" t="inlineStr">
        <is>
          <t>Other comprehensive income / (loss)</t>
        </is>
      </c>
      <c r="B15" s="6" t="n"/>
      <c r="C15" s="6" t="n">
        <v>1442</v>
      </c>
      <c r="D15" s="6" t="n">
        <v>2</v>
      </c>
      <c r="E15" s="6" t="n">
        <v>1444</v>
      </c>
    </row>
    <row r="16">
      <c r="A16" s="5" t="inlineStr">
        <is>
          <t>Balance at 31 December 2017</t>
        </is>
      </c>
      <c r="B16" s="5" t="n">
        <v>212296</v>
      </c>
      <c r="C16" s="5" t="n">
        <v>257372</v>
      </c>
      <c r="D16" s="5" t="n">
        <v>24</v>
      </c>
      <c r="E16" s="5" t="n">
        <v>469692</v>
      </c>
    </row>
    <row r="17">
      <c r="A17" s="6" t="inlineStr">
        <is>
          <t>Impact of adopting IFRS 9, net of tax (1 January 2018)</t>
        </is>
      </c>
      <c r="B17" s="6" t="n"/>
      <c r="C17" s="6" t="n">
        <v>-6549</v>
      </c>
      <c r="D17" s="6" t="n"/>
      <c r="E17" s="6" t="n">
        <v>-6549</v>
      </c>
    </row>
    <row r="18">
      <c r="A18" s="6" t="inlineStr">
        <is>
          <t>Profit for the year</t>
        </is>
      </c>
      <c r="B18" s="6" t="n"/>
      <c r="C18" s="6" t="n">
        <v>23085</v>
      </c>
      <c r="D18" s="6" t="n"/>
      <c r="E18" s="6" t="n">
        <v>23085</v>
      </c>
    </row>
    <row r="19">
      <c r="A19" s="6" t="inlineStr">
        <is>
          <t>Other comprehensive income / (loss)</t>
        </is>
      </c>
      <c r="B19" s="6" t="n"/>
      <c r="C19" s="6" t="n">
        <v>1908</v>
      </c>
      <c r="D19" s="6" t="n">
        <v>-600</v>
      </c>
      <c r="E19" s="6" t="n">
        <v>1308</v>
      </c>
    </row>
    <row r="20">
      <c r="A20" s="5" t="inlineStr">
        <is>
          <t>Balance at 31 December 2018</t>
        </is>
      </c>
      <c r="B20" s="5" t="n">
        <v>212296</v>
      </c>
      <c r="C20" s="5" t="n">
        <v>275816</v>
      </c>
      <c r="D20" s="5" t="n">
        <v>-576</v>
      </c>
      <c r="E20" s="5" t="n">
        <v>487536</v>
      </c>
    </row>
    <row r="21">
      <c r="A21" s="6" t="inlineStr">
        <is>
          <t>Dividend paid</t>
        </is>
      </c>
      <c r="B21" s="6" t="n"/>
      <c r="C21" s="6" t="n">
        <v>-5770</v>
      </c>
      <c r="D21" s="6" t="n"/>
      <c r="E21" s="6" t="n">
        <v>-5770</v>
      </c>
    </row>
    <row r="22">
      <c r="A22" s="6" t="inlineStr">
        <is>
          <t>Profit for the year</t>
        </is>
      </c>
      <c r="B22" s="6" t="n"/>
      <c r="C22" s="6" t="n">
        <v>16031</v>
      </c>
      <c r="D22" s="6" t="n"/>
      <c r="E22" s="6" t="n">
        <v>16031</v>
      </c>
    </row>
    <row r="23">
      <c r="A23" s="6" t="inlineStr">
        <is>
          <t>Other comprehensive income / (loss)</t>
        </is>
      </c>
      <c r="B23" s="6" t="n"/>
      <c r="C23" s="6" t="n">
        <v>-1846</v>
      </c>
      <c r="D23" s="6" t="n">
        <v>911</v>
      </c>
      <c r="E23" s="6" t="n">
        <v>-935</v>
      </c>
    </row>
    <row r="24">
      <c r="A24" s="5" t="inlineStr">
        <is>
          <t>Balance at 31 December 2019</t>
        </is>
      </c>
      <c r="B24" s="5" t="n">
        <v>212296</v>
      </c>
      <c r="C24" s="5" t="n">
        <v>284231</v>
      </c>
      <c r="D24" s="5" t="n">
        <v>335</v>
      </c>
      <c r="E24" s="5" t="n">
        <v>496862</v>
      </c>
    </row>
    <row r="25">
      <c r="A25" s="6" t="inlineStr">
        <is>
          <t>Dividend paid</t>
        </is>
      </c>
      <c r="B25" s="6" t="n"/>
      <c r="C25" s="6" t="n">
        <v>0</v>
      </c>
      <c r="D25" s="6" t="n"/>
      <c r="E25" s="6" t="n">
        <v>0</v>
      </c>
    </row>
    <row r="26">
      <c r="A26" s="6" t="inlineStr">
        <is>
          <t>Profit for the year</t>
        </is>
      </c>
      <c r="B26" s="6" t="n"/>
      <c r="C26" s="6" t="n">
        <v>8001</v>
      </c>
      <c r="D26" s="6" t="n"/>
      <c r="E26" s="6" t="n">
        <v>8001</v>
      </c>
    </row>
    <row r="27">
      <c r="A27" s="6" t="inlineStr">
        <is>
          <t>Other comprehensive income / (loss)</t>
        </is>
      </c>
      <c r="B27" s="6" t="n"/>
      <c r="C27" s="6" t="n">
        <v>-4398</v>
      </c>
      <c r="D27" s="6" t="n">
        <v>702</v>
      </c>
      <c r="E27" s="6" t="n">
        <v>-3696</v>
      </c>
    </row>
    <row r="28">
      <c r="A28" s="5" t="inlineStr">
        <is>
          <t>Balance at 31 December 2020</t>
        </is>
      </c>
      <c r="B28" s="5" t="n">
        <v>212296</v>
      </c>
      <c r="C28" s="5" t="n">
        <v>287834</v>
      </c>
      <c r="D28" s="5" t="n">
        <v>1037</v>
      </c>
      <c r="E28" s="5" t="n">
        <v>501167</v>
      </c>
    </row>
    <row r="29">
      <c r="A29" s="5" t="inlineStr">
        <is>
          <t>Balance at 1 January 2021</t>
        </is>
      </c>
      <c r="B29" s="5" t="n">
        <v>212296</v>
      </c>
      <c r="C29" s="5" t="n">
        <v>289824</v>
      </c>
      <c r="D29" s="5" t="n">
        <v>1037</v>
      </c>
      <c r="E29" s="5" t="n">
        <v>503157</v>
      </c>
    </row>
    <row r="30">
      <c r="A30" s="6" t="inlineStr">
        <is>
          <t>Profit for the year</t>
        </is>
      </c>
      <c r="B30" s="6" t="n"/>
      <c r="C30" s="6" t="n">
        <v>25344</v>
      </c>
      <c r="D30" s="6" t="n"/>
      <c r="E30" s="6" t="n">
        <v>25344</v>
      </c>
    </row>
    <row r="31">
      <c r="A31" s="6" t="inlineStr">
        <is>
          <t>Other comprehensive income / (loss)</t>
        </is>
      </c>
      <c r="B31" s="6" t="n"/>
      <c r="C31" s="6" t="n">
        <v>6325</v>
      </c>
      <c r="D31" s="6" t="n">
        <v>-695</v>
      </c>
      <c r="E31" s="6" t="n">
        <v>5630</v>
      </c>
    </row>
    <row r="32">
      <c r="A32" s="5" t="inlineStr">
        <is>
          <t>Balance at 31 December 2021</t>
        </is>
      </c>
      <c r="B32" s="5" t="n">
        <v>212296</v>
      </c>
      <c r="C32" s="5" t="n">
        <v>321493</v>
      </c>
      <c r="D32" s="5" t="n">
        <v>342</v>
      </c>
      <c r="E32" s="5" t="n">
        <v>534131</v>
      </c>
    </row>
    <row r="33">
      <c r="A33" s="6" t="inlineStr">
        <is>
          <t>Dividend paid</t>
        </is>
      </c>
      <c r="B33" s="6" t="n"/>
      <c r="C33" s="6" t="n">
        <v>-7270</v>
      </c>
      <c r="D33" s="6" t="n"/>
      <c r="E33" s="6" t="n">
        <v>-7270</v>
      </c>
    </row>
    <row r="34">
      <c r="A34" s="6" t="inlineStr">
        <is>
          <t>Profit for the year</t>
        </is>
      </c>
      <c r="B34" s="6" t="n"/>
      <c r="C34" s="6" t="n">
        <v>22069</v>
      </c>
      <c r="D34" s="6" t="n"/>
      <c r="E34" s="6" t="n">
        <v>22069</v>
      </c>
    </row>
    <row r="35">
      <c r="A35" s="6" t="inlineStr">
        <is>
          <t>Other comprehensive income / (loss)</t>
        </is>
      </c>
      <c r="B35" s="6" t="n"/>
      <c r="C35" s="6" t="n">
        <v>-2206</v>
      </c>
      <c r="D35" s="6" t="n">
        <v>-3023</v>
      </c>
      <c r="E35" s="6" t="n">
        <v>-5229</v>
      </c>
    </row>
    <row r="36">
      <c r="A36" s="5" t="inlineStr">
        <is>
          <t>Balance at 31 December 2022</t>
        </is>
      </c>
      <c r="B36" s="5" t="n">
        <v>212296</v>
      </c>
      <c r="C36" s="5" t="n">
        <v>334086</v>
      </c>
      <c r="D36" s="5" t="n">
        <v>-2681</v>
      </c>
      <c r="E36" s="5" t="n">
        <v>543701</v>
      </c>
    </row>
    <row r="37">
      <c r="A37" s="6" t="inlineStr">
        <is>
          <t>Dividend paid</t>
        </is>
      </c>
      <c r="B37" s="6" t="n"/>
      <c r="C37" s="6" t="n">
        <v>-6620</v>
      </c>
      <c r="D37" s="6" t="n"/>
      <c r="E37" s="6" t="n">
        <v>-6620</v>
      </c>
    </row>
    <row r="38">
      <c r="A38" s="6" t="inlineStr">
        <is>
          <t>Profit for the year</t>
        </is>
      </c>
      <c r="B38" s="6" t="n"/>
      <c r="C38" s="6" t="n">
        <v>28022</v>
      </c>
      <c r="D38" s="6" t="n"/>
      <c r="E38" s="6" t="n">
        <v>28022</v>
      </c>
    </row>
    <row r="39">
      <c r="A39" s="6" t="inlineStr">
        <is>
          <t>Other comprehensive income / (loss)</t>
        </is>
      </c>
      <c r="B39" s="6" t="n"/>
      <c r="C39" s="6" t="n">
        <v>96</v>
      </c>
      <c r="D39" s="6" t="n">
        <v>2933</v>
      </c>
      <c r="E39" s="6" t="n">
        <v>3029</v>
      </c>
    </row>
    <row r="40">
      <c r="A40" s="5" t="inlineStr">
        <is>
          <t>Balance at 31 December 2023</t>
        </is>
      </c>
      <c r="B40" s="5" t="n">
        <v>212296</v>
      </c>
      <c r="C40" s="5" t="n">
        <v>355584</v>
      </c>
      <c r="D40" s="5" t="n">
        <v>252</v>
      </c>
      <c r="E40" s="5" t="n">
        <v>568132</v>
      </c>
    </row>
    <row r="41">
      <c r="A41" s="6" t="inlineStr">
        <is>
          <t>Dividend paid</t>
        </is>
      </c>
      <c r="B41" s="6" t="n"/>
      <c r="C41" s="6" t="n">
        <v>-15806</v>
      </c>
      <c r="D41" s="6" t="n"/>
      <c r="E41" s="6" t="n">
        <v>-15806</v>
      </c>
    </row>
    <row r="42">
      <c r="A42" s="6" t="inlineStr">
        <is>
          <t>Profit for the year</t>
        </is>
      </c>
      <c r="B42" s="6" t="n"/>
      <c r="C42" s="6" t="n">
        <v>34113</v>
      </c>
      <c r="D42" s="6" t="n"/>
      <c r="E42" s="6" t="n">
        <v>34113</v>
      </c>
    </row>
    <row r="43">
      <c r="A43" s="6" t="inlineStr">
        <is>
          <t>Other comprehensive income / (loss)</t>
        </is>
      </c>
      <c r="B43" s="6" t="n"/>
      <c r="C43" s="6" t="n">
        <v>-969</v>
      </c>
      <c r="D43" s="6" t="n">
        <v>1004</v>
      </c>
      <c r="E43" s="6" t="n">
        <v>35</v>
      </c>
    </row>
    <row r="44">
      <c r="A44" s="5" t="inlineStr">
        <is>
          <t>Balance at 31 December 2024</t>
        </is>
      </c>
      <c r="B44" s="5" t="n">
        <v>212296</v>
      </c>
      <c r="C44" s="5" t="n">
        <v>372922</v>
      </c>
      <c r="D44" s="5" t="n">
        <v>1256</v>
      </c>
      <c r="E44" s="5" t="n">
        <v>586474</v>
      </c>
    </row>
    <row r="45">
      <c r="A45" s="6" t="inlineStr">
        <is>
          <t>Dividend paid</t>
        </is>
      </c>
      <c r="B45" s="6" t="n"/>
      <c r="C45" s="6" t="n">
        <v>-17100</v>
      </c>
      <c r="D45" s="6" t="n"/>
      <c r="E45" s="6" t="n">
        <v>-17100</v>
      </c>
    </row>
    <row r="46">
      <c r="A46" s="6" t="inlineStr">
        <is>
          <t>Profit for the year</t>
        </is>
      </c>
      <c r="B46" s="6" t="n"/>
      <c r="C46" s="6" t="n">
        <v>32616</v>
      </c>
      <c r="D46" s="6" t="n"/>
      <c r="E46" s="6" t="n">
        <v>32616</v>
      </c>
    </row>
    <row r="47">
      <c r="A47" s="6" t="inlineStr">
        <is>
          <t>Other comprehensive income / (loss)</t>
        </is>
      </c>
      <c r="B47" s="6" t="n"/>
      <c r="C47" s="6" t="n">
        <v>-2728</v>
      </c>
      <c r="D47" s="6" t="n">
        <v>1792</v>
      </c>
      <c r="E47" s="6" t="n">
        <v>-936</v>
      </c>
    </row>
    <row r="48">
      <c r="A48" s="5" t="inlineStr">
        <is>
          <t>Balance at 31 December 2025</t>
        </is>
      </c>
      <c r="B48" s="5" t="n">
        <v>212296</v>
      </c>
      <c r="C48" s="5" t="n">
        <v>385710</v>
      </c>
      <c r="D48" s="5" t="n">
        <v>3048</v>
      </c>
      <c r="E48" s="5" t="n">
        <v>601054</v>
      </c>
    </row>
    <row r="50" ht="390" customHeight="1">
      <c r="A50" s="8" t="inlineStr">
        <is>
          <t>Sources - ABC International Bank plc:
FY2021-FY2022 roll-forward: ABC International Bank plc Annual Report 2022, Statement of Changes in Equity, p.62 - https://www.bank-abc.com/en/ShareholderRelations/Annual%20Reports/ABCIB%20Annual%20Report%202022.pdf
FY2023-FY2024 roll-forward: ABC International Bank plc Annual Report 2024, Statement of Changes in Equity, p.54 (FY2023 restated - see Note 37; opening 1 Jan 2023 balance not materially affected) - https://www.bank-abc.com/en/ShareholderRelations/Annual%20Reports/ABC%20IB%20Annual%20Report%202024%20_%20Spreads%20for%20web.pdf
FY2025 roll-forward: ABC International Bank plc Annual Report 2025, Statement of Changes in Equity, p.47 (scanned filing, visually transcribed) - https://find-and-update.company-information.service.gov.uk/company/02564490/filing-history
FY2019-FY2020 roll-forward: ABC International Bank plc Annual Report 2020, Statement of Changes in Equity, p.59 - https://www.bank-abc.com/en/ShareholderRelations/Annual%20Reports/ABCIB_Annual_Report_2020.pdf
FY2018-FY2019 roll-forward (incl. the IFRS 9 transition adjustment at 1 Jan 2018): ABC International Bank plc Annual Report 2019, Statement of Changes in Equity, p.52 - https://www.bank-abc.com/en/ShareholderRelations/Annual%20Reports/ABCIB%20Annual%20Report%202019.pdf
FY2016-FY2017 roll-forward: ABC International Bank plc Annual Report 2017 (Companies House filing, scanned, visually transcribed), Statement of Changes in Equity, p.41 - https://find-and-update.company-information.service.gov.uk/company/02564490/filing-history/MzE5OTA1ODc1MWFkaXF6a2N4/document?format=pdf&amp;download=0
FY2014-FY2016 roll-forward: ABC International Bank plc Annual Report 2016 (Companies House filing, scanned, visually transcribed), Statement of Changes in Equity, p.34 - https://find-and-update.company-information.service.gov.uk/company/02564490/filing-history/MzE3MDg4MzM5M2FkaXF6a2N4/document?format=pdf&amp;download=0; FY2014 opening/closing balances cross-checked against ABC International Bank plc Annual Report 2014, Statement of Changes in Equity, p.27 - https://www.bank-abc.com/en/ShareholderRelations/Annual%20Reports/ABCIB%20Annual%20Report%202014.pdf
ENTITY NOTE: Balance Sheet, Profit &amp; Loss and Statement of Changes in Equity are all prepared on ABCIB's own SOLO (entity, non-consolidated) FRS 101 basis for every year shown - ABCIB does not prepare group accounts (Companies Act 2006, Section 401 exemption; the 'Investment in subsidiary' line, where disclosed, is the only trace of ABCIB's subsidiaries on these statements - it is not disclosed at all for FY2014-FY2017, and grows from a nominal £33k in FY2018 to £163.8m in FY2020 once ABCIB's new Paris subsidiary, Arab Banking Corporation S.A. ('ABCSA'), is opened in October 2020 as part of the bank's post-Brexit restructuring - a real change in the underlying business, not a data gap). This is a different basis to the Pillar 3 sheets, which are CONSOLIDATED for FY2023-FY2024 and SOLO for every other year (see the Cash Flow Statement sheet's entity note) - flagged here so the two blocks of sheets aren't assumed to be on the same basis. FY2025 figures were transcribed by rendering the scanned FY2025 Companies House filing to PNG and reading it visually (pdf_tools.py render + Read), not from a text layer - see AR2025_URL; the same method was used for FY2015-FY2017 (scanned Companies House filings for those years - CH2016_URL/CH2017_URL), while FY2014 and FY2018-FY2020 have a text layer and were extracted directly.</t>
        </is>
      </c>
    </row>
    <row r="52" ht="195" customHeight="1">
      <c r="A52" s="8" t="inlineStr">
        <is>
          <t>(continued)
ACCOUNTING STANDARD NOTE: ABCIB adopted IFRS 9 (replacing IAS 39) from 1 January 2018, restating the opening 1 January 2018 equity balance by -£6,549k (recognised as a separate roll-forward line on the Statement of Changes in Equity, not netted into 'profit for the year'). Two presentational consequences follow, both flagged rather than silently smoothed over: (1) the 'Financial investments - available-for-sale' balance sheet line (FY2014-FY2017, IAS 39) and the 'Debt investments - FVOCI' line (FY2018 onward, IFRS 9) are the same underlying asset class under different standards - shown on the SAME balance sheet row for continuity; (2) the equivalent OCI line on the Profit &amp; Loss sheet is labelled 'Change in fair value of debt investments at FVOCI' throughout, though FY2014-FY2017's own statements label it 'Change in fair value of available for sale investments and loans and advances' (IAS 39 terminology) - again the same underlying item, relabelled for one consistent row across the full FY2014-FY2025 series.
RECONCILIATION GAP FLAGGED (found while sourcing this extension, not fixed - out of scope for this pass): ABCIB's own FY2020 Annual Report discloses a 31 December 2020 closing 'Total equity' of £501,167k (Share capital 212,296 / Retained earnings 287,834 / Fair value reserve 1,037), but the already-shipped FY2021-2025 columns on this sheet (sourced from AR2022) open FY2021 at £503,157k (Retained earnings 289,824) - a £1,990k gap in the opening balance that neither AR2020 nor AR2022 explains (no restatement note found in AR2022 for the FY2021 opening position). Left as originally sourced in each affected year per this project's convention; flagged here for a human to judge.</t>
        </is>
      </c>
    </row>
  </sheetData>
  <mergeCells count="2">
    <mergeCell ref="A52:E52"/>
    <mergeCell ref="A50:E5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8"/>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90"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ABC International Bank plc — Cash Flow Statement</t>
        </is>
      </c>
    </row>
    <row r="2">
      <c r="A2" s="2" t="inlineStr">
        <is>
          <t>Not applicable — this entity takes the FRS 101 cash-flow-statement disclosure exemption every year. See source note below.</t>
        </is>
      </c>
    </row>
    <row r="3">
      <c r="A3" s="4" t="inlineStr">
        <is>
          <t>Line item</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5" t="inlineStr">
        <is>
          <t>No Statement of Cash Flows is published by this entity in any year</t>
        </is>
      </c>
      <c r="B4" s="6" t="n"/>
      <c r="C4" s="6" t="n"/>
      <c r="D4" s="6" t="n"/>
      <c r="E4" s="6" t="n"/>
      <c r="F4" s="6" t="n"/>
      <c r="G4" s="6" t="n"/>
      <c r="H4" s="6" t="n"/>
      <c r="I4" s="6" t="n"/>
      <c r="J4" s="6" t="n"/>
      <c r="K4" s="6" t="n"/>
      <c r="L4" s="6" t="n"/>
      <c r="M4" s="6" t="n"/>
    </row>
    <row r="5">
      <c r="A5" s="6" t="inlineStr">
        <is>
          <t>Statement of Cash Flows</t>
        </is>
      </c>
      <c r="B5" s="6" t="inlineStr">
        <is>
          <t>Not published - FRS 101 disclosure exemption taken every year</t>
        </is>
      </c>
      <c r="C5" s="6" t="inlineStr">
        <is>
          <t>Not published - FRS 101 disclosure exemption taken every year</t>
        </is>
      </c>
      <c r="D5" s="6" t="inlineStr">
        <is>
          <t>Not published - FRS 101 disclosure exemption taken every year</t>
        </is>
      </c>
      <c r="E5" s="6" t="inlineStr">
        <is>
          <t>Not published - FRS 101 disclosure exemption taken every year</t>
        </is>
      </c>
      <c r="F5" s="6" t="inlineStr">
        <is>
          <t>Not published - FRS 101 disclosure exemption taken every year</t>
        </is>
      </c>
      <c r="G5" s="6" t="inlineStr">
        <is>
          <t>Not published - FRS 101 disclosure exemption taken every year</t>
        </is>
      </c>
      <c r="H5" s="6" t="inlineStr">
        <is>
          <t>Not published - FRS 101 disclosure exemption taken every year</t>
        </is>
      </c>
      <c r="I5" s="6" t="inlineStr">
        <is>
          <t>Not published - FRS 101 disclosure exemption taken every year</t>
        </is>
      </c>
      <c r="J5" s="6" t="inlineStr">
        <is>
          <t>Not published - FRS 101 disclosure exemption taken every year</t>
        </is>
      </c>
      <c r="K5" s="6" t="inlineStr">
        <is>
          <t>Not published - FRS 101 disclosure exemption taken every year</t>
        </is>
      </c>
      <c r="L5" s="6" t="inlineStr">
        <is>
          <t>Not published - FRS 101 disclosure exemption taken every year</t>
        </is>
      </c>
      <c r="M5" s="6" t="inlineStr">
        <is>
          <t>Not published - FRS 101 disclosure exemption taken every year</t>
        </is>
      </c>
    </row>
    <row r="6">
      <c r="A6" s="6" t="inlineStr">
        <is>
          <t>See the note below for the FRS 101 exemption this entity relies on every year, and why this workbook is built as a Pillar-3-only variant.</t>
        </is>
      </c>
      <c r="B6" s="6" t="n"/>
      <c r="C6" s="6" t="n"/>
      <c r="D6" s="6" t="n"/>
      <c r="E6" s="6" t="n"/>
      <c r="F6" s="6" t="n"/>
      <c r="G6" s="6" t="n"/>
      <c r="H6" s="6" t="n"/>
      <c r="I6" s="6" t="n"/>
      <c r="J6" s="6" t="n"/>
      <c r="K6" s="6" t="n"/>
      <c r="L6" s="6" t="n"/>
      <c r="M6" s="6" t="n"/>
    </row>
    <row r="8" ht="280" customHeight="1">
      <c r="A8" s="8" t="inlineStr">
        <is>
          <t>ENTITY NOTE: ABC International Bank plc (company 02564490, FRN 149025, incorporated 3 December 1990) is a wholly-owned subsidiary within the Bank ABC (Arab Banking Corporation B.S.C., Bahrain) group. FY2023, FY2024 and FY2025 figures are on a CONSOLIDATED basis (ABCIB's own subsidiaries, e.g. Alphabet Nominees Limited - a nominee company, not a trading entity). FY2014-FY2022 are on a SOLO (entity-only) basis. This is a genuine basis break within the series, not a data-entry choice - flagged on every affected sheet.
TWO CLAIMS CORRECTED HERE (2026-09-16), both of which had been recorded more confidently than their evidence supported. (1) This note previously said the UK KM1 template was 'introduced for the FY2023 report onward'. It was not: the FY2023 edition prints a 10-row 'Table 3 Key Regulatory Metrics' summary and contains no occurrence of 'KM1' or 'SREP' anywhere. ABCIB first published the template in its Pillar 3 Report 2024, and FY2023's consolidated figures come from that 2023 Table 3, not from a KM1. (2) This note previously said FY2021/FY2022 were taken from the Annual Report's Financial Highlights because 'earlier years' Pillar 3 documents could not be located on the bank's website or via Wayback Machine'. Both documents do exist on the disclosures index and were located on 2026-09-15 (see P3_2021_URL / P3_2022_URL); those two years are now sourced from their own Pillar 3 reports. A document that a fetch failed to reach is not a document that does not exist, and the original wording did not preserve that distinction.
FRS 101 CASH-FLOW EXEMPTION: ABCIB's FY2024 Annual Report states (Note 1.2, Basis of preparation): "ABCIB is not required to prepare group accounts since it qualifies for the exemptions available under Section 401 of the Companies Act 2006. In addition, there is no requirement to prepare a statement of cash flows in accordance with Financial Reporting Standard 101," and lists among the FRS 101 exemptions taken: "The requirements of IAS 7 Statement of Cash Flows." - ABC International Bank plc Annual Report 2024, p.55 - https://www.bank-abc.com/en/ShareholderRelations/Annual%20Reports/ABC%20IB%20Annual%20Report%202024%20_%20Spreads%20for%20web.pdf. No Statement of Cash Flows exists in any of the entity's published accounts for any year - this is a standing structural feature of the entity, not a one-off or a data gap - confirmed as far back as FY2014 (same FRS 101 exemption language, ABC International Bank plc Annual Report 2014, note 1.2). Per the project's established policy for this exemption (see The Bank of New York Mellon (International) Limited), this workbook is built as a PILLAR-3-ONLY variant: all 11 Pillar 3 metric sheets are populated below (all 12 years for the capital/RWA total and ratio sheets; only FY2017-FY2020 and FY2023-FY2024 for Leverage Ratio/LCR, which aren't in the Financial Highlights table used for every other year; NSFR and MREL are not disclosed in any year), but no cash flow figures exist to show. See the Overview sheet for the equivalent treatment there.
FY2025 CONTROL, ADDED 2026-09-18 (GA-006) - the exemption above was evidenced from the FY2024 and FY2014 editions, so the newest year on this workbook rested on neither end of that range. Re-established against the FY2025 accounts themselves (Companies House 02564490, 'Full accounts made up to 31 December 2025', filed 17 March 2026, 84 pages).
THAT FILING IS AN IMAGE SCAN AND A GREP OF IT IS WORTHLESS - pdftotext returns 84 CHARACTERS across all 84 pages, so 'statement of cash flows' returns zero, and so does 'cash flow', 'FRS 101', 'exemption' and every other term. That zero is an instrument failure and looks identical to a finding. It was read by rendering at 250 dpi and OCR-ing instead, and two independent pages settle it decisively rather than statistically:
  (a) the CONTENTS page lists the primary statements as Income Statement, Statement of Comprehensive Income, Statement of Financial Position, Statement of Changes in Equity, Notes to the Accounts - and NO Statement of Cash Flows;
  (b) the INDEPENDENT AUDITOR'S REPORT enumerates what it audited: 'the financial statements of ABC International Bank plc for the year ended 31 December 2025 which comprise the Income Statement, the Statement of Comprehensive Income, the Statement of Financial Position, the Statement of Changes in Equity and the related notes 1 to 39 ... The financial reporting framework that has been applied in their preparation is applicable law and United Kingdom Accounting Standards including FRS 101 "Reduced Disclosure Framework"'. An auditor's own enumeration of the statements is the strongest available evidence that a fifth statement does not exist, and it names the framework in the same sentence.
So the exemption holds at FY2014 (own note 1.2), FY2024 (own note 1.2) and FY2025 (the above) - the two ends of the workbook and a point in between.</t>
        </is>
      </c>
    </row>
  </sheetData>
  <mergeCells count="1">
    <mergeCell ref="A8:M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8"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ABC International Bank plc — Asset Quality / Credit Risk Disclosures</t>
        </is>
      </c>
    </row>
    <row r="2">
      <c r="A2" s="2" t="inlineStr">
        <is>
          <t>Loans and advances to customers only, entity (solo) basis, all figures in £'000. IFRS 9 stage breakdown; no by-product split disclosed.</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c r="K3" s="4" t="inlineStr">
        <is>
          <t>FY2016 (£'000)</t>
        </is>
      </c>
      <c r="L3" s="4" t="inlineStr">
        <is>
          <t>FY2015 (£'000)</t>
        </is>
      </c>
      <c r="M3" s="4" t="inlineStr">
        <is>
          <t>FY2014 (£'000)</t>
        </is>
      </c>
    </row>
    <row r="4">
      <c r="A4" s="5" t="inlineStr">
        <is>
          <t>Loans and advances to customers - gross carrying amount by IFRS 9 stage</t>
        </is>
      </c>
      <c r="B4" s="6" t="n"/>
      <c r="C4" s="6" t="n"/>
      <c r="D4" s="6" t="n"/>
      <c r="E4" s="6" t="n"/>
      <c r="F4" s="6" t="n"/>
      <c r="G4" s="6" t="n"/>
      <c r="H4" s="6" t="n"/>
      <c r="I4" s="6" t="n"/>
      <c r="J4" s="6" t="n"/>
      <c r="K4" s="6" t="n"/>
      <c r="L4" s="6" t="n"/>
      <c r="M4" s="6" t="n"/>
    </row>
    <row r="5">
      <c r="A5" s="6" t="inlineStr">
        <is>
          <t>Stage 1 (performing)</t>
        </is>
      </c>
      <c r="B5" s="6" t="n">
        <v>1508403</v>
      </c>
      <c r="C5" s="6" t="n">
        <v>1332380</v>
      </c>
      <c r="D5" s="6" t="n">
        <v>1225745</v>
      </c>
      <c r="E5" s="6" t="n">
        <v>979678</v>
      </c>
      <c r="F5" s="6" t="n">
        <v>944168</v>
      </c>
      <c r="G5" s="6" t="n">
        <v>941585</v>
      </c>
      <c r="H5" s="6" t="n">
        <v>1312947</v>
      </c>
      <c r="I5" s="6" t="n">
        <v>1292777</v>
      </c>
      <c r="J5" s="6" t="n">
        <v>1127006</v>
      </c>
      <c r="K5" s="6" t="n">
        <v>914584</v>
      </c>
      <c r="L5" s="6" t="n">
        <v>984581</v>
      </c>
      <c r="M5" s="6" t="n">
        <v>1169552</v>
      </c>
    </row>
    <row r="6">
      <c r="A6" s="6" t="inlineStr">
        <is>
          <t>Stage 2 (underperforming / SICR)</t>
        </is>
      </c>
      <c r="B6" s="6" t="n">
        <v>5752</v>
      </c>
      <c r="C6" s="6" t="n">
        <v>6075</v>
      </c>
      <c r="D6" s="6" t="n">
        <v>41723</v>
      </c>
      <c r="E6" s="6" t="n">
        <v>108221</v>
      </c>
      <c r="F6" s="6" t="n">
        <v>160564</v>
      </c>
      <c r="G6" s="6" t="n">
        <v>174184</v>
      </c>
      <c r="H6" s="6" t="n">
        <v>128434</v>
      </c>
      <c r="I6" s="6" t="n">
        <v>126344</v>
      </c>
      <c r="J6" s="6" t="n"/>
      <c r="K6" s="6" t="n"/>
      <c r="L6" s="6" t="n"/>
      <c r="M6" s="6" t="n"/>
    </row>
    <row r="7">
      <c r="A7" s="6" t="inlineStr">
        <is>
          <t>Stage 3 (credit-impaired / non-performing)</t>
        </is>
      </c>
      <c r="B7" s="6" t="n">
        <v>45704</v>
      </c>
      <c r="C7" s="6" t="n">
        <v>46882</v>
      </c>
      <c r="D7" s="6" t="n">
        <v>39868</v>
      </c>
      <c r="E7" s="6" t="n">
        <v>25547</v>
      </c>
      <c r="F7" s="6" t="n">
        <v>1311</v>
      </c>
      <c r="G7" s="6" t="n">
        <v>2247</v>
      </c>
      <c r="H7" s="6" t="n">
        <v>2729</v>
      </c>
      <c r="I7" s="6" t="n">
        <v>14626</v>
      </c>
      <c r="J7" s="6" t="n">
        <v>17713</v>
      </c>
      <c r="K7" s="6" t="n">
        <v>21433</v>
      </c>
      <c r="L7" s="6" t="n">
        <v>19133</v>
      </c>
      <c r="M7" s="6" t="n">
        <v>20260</v>
      </c>
    </row>
    <row r="8">
      <c r="A8" s="5" t="inlineStr">
        <is>
          <t>Total gross carrying amount</t>
        </is>
      </c>
      <c r="B8" s="5" t="n">
        <v>1559859</v>
      </c>
      <c r="C8" s="5" t="n">
        <v>1385337</v>
      </c>
      <c r="D8" s="5" t="n">
        <v>1307336</v>
      </c>
      <c r="E8" s="5" t="n">
        <v>1113446</v>
      </c>
      <c r="F8" s="5" t="n">
        <v>1106043</v>
      </c>
      <c r="G8" s="5" t="n">
        <v>1118016</v>
      </c>
      <c r="H8" s="5" t="n">
        <v>1444109</v>
      </c>
      <c r="I8" s="5" t="n">
        <v>1433747</v>
      </c>
      <c r="J8" s="5" t="n">
        <v>1144719</v>
      </c>
      <c r="K8" s="5" t="n">
        <v>936017</v>
      </c>
      <c r="L8" s="5" t="n">
        <v>1003714</v>
      </c>
      <c r="M8" s="5" t="n">
        <v>1189812</v>
      </c>
    </row>
    <row r="9">
      <c r="A9" s="5" t="inlineStr">
        <is>
          <t>Loans and advances to customers - ECL allowance by IFRS 9 stage</t>
        </is>
      </c>
      <c r="B9" s="6" t="n"/>
      <c r="C9" s="6" t="n"/>
      <c r="D9" s="6" t="n"/>
      <c r="E9" s="6" t="n"/>
      <c r="F9" s="6" t="n"/>
      <c r="G9" s="6" t="n"/>
      <c r="H9" s="6" t="n"/>
      <c r="I9" s="6" t="n"/>
      <c r="J9" s="6" t="n"/>
      <c r="K9" s="6" t="n"/>
      <c r="L9" s="6" t="n"/>
      <c r="M9" s="6" t="n"/>
    </row>
    <row r="10">
      <c r="A10" s="6" t="inlineStr">
        <is>
          <t>Stage 1 ECL allowance</t>
        </is>
      </c>
      <c r="B10" s="6" t="n">
        <v>1164</v>
      </c>
      <c r="C10" s="6" t="n">
        <v>1524</v>
      </c>
      <c r="D10" s="6" t="n">
        <v>1096</v>
      </c>
      <c r="E10" s="6" t="n">
        <v>1569</v>
      </c>
      <c r="F10" s="6" t="n">
        <v>464</v>
      </c>
      <c r="G10" s="6" t="n">
        <v>914</v>
      </c>
      <c r="H10" s="6" t="n">
        <v>1750</v>
      </c>
      <c r="I10" s="6" t="n">
        <v>1932</v>
      </c>
      <c r="J10" s="6" t="n">
        <v>5700</v>
      </c>
      <c r="K10" s="6" t="n">
        <v>5900</v>
      </c>
      <c r="L10" s="6" t="n">
        <v>3135</v>
      </c>
      <c r="M10" s="6" t="n">
        <v>2200</v>
      </c>
    </row>
    <row r="11">
      <c r="A11" s="6" t="inlineStr">
        <is>
          <t>Stage 2 ECL allowance</t>
        </is>
      </c>
      <c r="B11" s="6" t="n">
        <v>33</v>
      </c>
      <c r="C11" s="6" t="n">
        <v>9</v>
      </c>
      <c r="D11" s="6" t="n">
        <v>31</v>
      </c>
      <c r="E11" s="6" t="n">
        <v>3636</v>
      </c>
      <c r="F11" s="6" t="n">
        <v>10137</v>
      </c>
      <c r="G11" s="6" t="n">
        <v>9520</v>
      </c>
      <c r="H11" s="6" t="n">
        <v>4897</v>
      </c>
      <c r="I11" s="6" t="n">
        <v>3131</v>
      </c>
      <c r="J11" s="6" t="n"/>
      <c r="K11" s="6" t="n"/>
      <c r="L11" s="6" t="n"/>
      <c r="M11" s="6" t="n"/>
    </row>
    <row r="12">
      <c r="A12" s="6" t="inlineStr">
        <is>
          <t>Stage 3 ECL allowance</t>
        </is>
      </c>
      <c r="B12" s="6" t="n">
        <v>18141</v>
      </c>
      <c r="C12" s="6" t="n">
        <v>15172</v>
      </c>
      <c r="D12" s="6" t="n">
        <v>15875</v>
      </c>
      <c r="E12" s="6" t="n">
        <v>6469</v>
      </c>
      <c r="F12" s="6" t="n">
        <v>1311</v>
      </c>
      <c r="G12" s="6" t="n">
        <v>2159</v>
      </c>
      <c r="H12" s="6" t="n">
        <v>2201</v>
      </c>
      <c r="I12" s="6" t="n">
        <v>14006</v>
      </c>
      <c r="J12" s="6" t="n">
        <v>17284</v>
      </c>
      <c r="K12" s="6" t="n">
        <v>20525</v>
      </c>
      <c r="L12" s="6" t="n">
        <v>17165</v>
      </c>
      <c r="M12" s="6" t="n">
        <v>16692</v>
      </c>
    </row>
    <row r="13">
      <c r="A13" s="5" t="inlineStr">
        <is>
          <t>Total ECL allowance</t>
        </is>
      </c>
      <c r="B13" s="5" t="n">
        <v>19338</v>
      </c>
      <c r="C13" s="5" t="n">
        <v>16705</v>
      </c>
      <c r="D13" s="5" t="n">
        <v>17002</v>
      </c>
      <c r="E13" s="5" t="n">
        <v>11674</v>
      </c>
      <c r="F13" s="5" t="n">
        <v>11912</v>
      </c>
      <c r="G13" s="5" t="n">
        <v>12593</v>
      </c>
      <c r="H13" s="5" t="n">
        <v>8847</v>
      </c>
      <c r="I13" s="5" t="n">
        <v>19069</v>
      </c>
      <c r="J13" s="5" t="n">
        <v>22984</v>
      </c>
      <c r="K13" s="5" t="n">
        <v>26425</v>
      </c>
      <c r="L13" s="5" t="n">
        <v>20300</v>
      </c>
      <c r="M13" s="5" t="n">
        <v>18892</v>
      </c>
    </row>
    <row r="14">
      <c r="A14" s="5" t="inlineStr">
        <is>
          <t>Loans and advances to customers - net carrying amount</t>
        </is>
      </c>
      <c r="B14" s="6" t="n"/>
      <c r="C14" s="6" t="n"/>
      <c r="D14" s="6" t="n"/>
      <c r="E14" s="6" t="n"/>
      <c r="F14" s="6" t="n"/>
      <c r="G14" s="6" t="n"/>
      <c r="H14" s="6" t="n"/>
      <c r="I14" s="6" t="n"/>
      <c r="J14" s="6" t="n"/>
      <c r="K14" s="6" t="n"/>
      <c r="L14" s="6" t="n"/>
      <c r="M14" s="6" t="n"/>
    </row>
    <row r="15">
      <c r="A15" s="5" t="inlineStr">
        <is>
          <t>Net carrying amount</t>
        </is>
      </c>
      <c r="B15" s="5" t="n">
        <v>1540521</v>
      </c>
      <c r="C15" s="5" t="n">
        <v>1368632</v>
      </c>
      <c r="D15" s="5" t="n">
        <v>1290334</v>
      </c>
      <c r="E15" s="5" t="n">
        <v>1101772</v>
      </c>
      <c r="F15" s="5" t="n">
        <v>1094131</v>
      </c>
      <c r="G15" s="5" t="n">
        <v>1105423</v>
      </c>
      <c r="H15" s="5" t="n">
        <v>1435262</v>
      </c>
      <c r="I15" s="5" t="n">
        <v>1414678</v>
      </c>
      <c r="J15" s="5" t="n">
        <v>1121735</v>
      </c>
      <c r="K15" s="5" t="n">
        <v>909592</v>
      </c>
      <c r="L15" s="5" t="n">
        <v>983414</v>
      </c>
      <c r="M15" s="5" t="n">
        <v>1170920</v>
      </c>
    </row>
    <row r="16">
      <c r="A16" s="5" t="inlineStr">
        <is>
          <t>Derived ratios</t>
        </is>
      </c>
      <c r="B16" s="6" t="n"/>
      <c r="C16" s="6" t="n"/>
      <c r="D16" s="6" t="n"/>
      <c r="E16" s="6" t="n"/>
      <c r="F16" s="6" t="n"/>
      <c r="G16" s="6" t="n"/>
      <c r="H16" s="6" t="n"/>
      <c r="I16" s="6" t="n"/>
      <c r="J16" s="6" t="n"/>
      <c r="K16" s="6" t="n"/>
      <c r="L16" s="6" t="n"/>
      <c r="M16" s="6" t="n"/>
    </row>
    <row r="17">
      <c r="A17" s="6" t="inlineStr">
        <is>
          <t>Stage 3 / NPL ratio (Stage 3 gross / total gross)</t>
        </is>
      </c>
      <c r="B17" s="6" t="inlineStr">
        <is>
          <t>2.93%</t>
        </is>
      </c>
      <c r="C17" s="6" t="inlineStr">
        <is>
          <t>3.38%</t>
        </is>
      </c>
      <c r="D17" s="6" t="inlineStr">
        <is>
          <t>3.05%</t>
        </is>
      </c>
      <c r="E17" s="6" t="inlineStr">
        <is>
          <t>2.29%</t>
        </is>
      </c>
      <c r="F17" s="6" t="inlineStr">
        <is>
          <t>0.12%</t>
        </is>
      </c>
      <c r="G17" s="6" t="inlineStr">
        <is>
          <t>0.20%</t>
        </is>
      </c>
      <c r="H17" s="6" t="inlineStr">
        <is>
          <t>0.19%</t>
        </is>
      </c>
      <c r="I17" s="6" t="inlineStr">
        <is>
          <t>1.02%</t>
        </is>
      </c>
      <c r="J17" s="6" t="inlineStr">
        <is>
          <t>1.55%</t>
        </is>
      </c>
      <c r="K17" s="6" t="inlineStr">
        <is>
          <t>2.29%</t>
        </is>
      </c>
      <c r="L17" s="6" t="inlineStr">
        <is>
          <t>1.91%</t>
        </is>
      </c>
      <c r="M17" s="6" t="inlineStr">
        <is>
          <t>1.70%</t>
        </is>
      </c>
    </row>
    <row r="18">
      <c r="A18" s="6" t="inlineStr">
        <is>
          <t>Stage 3 coverage ratio (Stage 3 ECL / Stage 3 gross)</t>
        </is>
      </c>
      <c r="B18" s="6" t="inlineStr">
        <is>
          <t>39.69%</t>
        </is>
      </c>
      <c r="C18" s="6" t="inlineStr">
        <is>
          <t>32.36%</t>
        </is>
      </c>
      <c r="D18" s="6" t="inlineStr">
        <is>
          <t>39.82%</t>
        </is>
      </c>
      <c r="E18" s="6" t="inlineStr">
        <is>
          <t>25.32%</t>
        </is>
      </c>
      <c r="F18" s="6" t="inlineStr">
        <is>
          <t>100.00%</t>
        </is>
      </c>
      <c r="G18" s="6" t="inlineStr">
        <is>
          <t>96.08%</t>
        </is>
      </c>
      <c r="H18" s="6" t="inlineStr">
        <is>
          <t>80.65%</t>
        </is>
      </c>
      <c r="I18" s="6" t="inlineStr">
        <is>
          <t>95.76%</t>
        </is>
      </c>
      <c r="J18" s="6" t="inlineStr">
        <is>
          <t>97.58%</t>
        </is>
      </c>
      <c r="K18" s="6" t="inlineStr">
        <is>
          <t>95.76%</t>
        </is>
      </c>
      <c r="L18" s="6" t="inlineStr">
        <is>
          <t>89.71%</t>
        </is>
      </c>
      <c r="M18" s="6" t="inlineStr">
        <is>
          <t>82.39%</t>
        </is>
      </c>
    </row>
    <row r="19">
      <c r="A19" s="6" t="inlineStr">
        <is>
          <t>Overall ECL coverage ratio (Total ECL / Total gross)</t>
        </is>
      </c>
      <c r="B19" s="6" t="inlineStr">
        <is>
          <t>1.24%</t>
        </is>
      </c>
      <c r="C19" s="6" t="inlineStr">
        <is>
          <t>1.21%</t>
        </is>
      </c>
      <c r="D19" s="6" t="inlineStr">
        <is>
          <t>1.30%</t>
        </is>
      </c>
      <c r="E19" s="6" t="inlineStr">
        <is>
          <t>1.05%</t>
        </is>
      </c>
      <c r="F19" s="6" t="inlineStr">
        <is>
          <t>1.08%</t>
        </is>
      </c>
      <c r="G19" s="6" t="inlineStr">
        <is>
          <t>1.13%</t>
        </is>
      </c>
      <c r="H19" s="6" t="inlineStr">
        <is>
          <t>0.61%</t>
        </is>
      </c>
      <c r="I19" s="6" t="inlineStr">
        <is>
          <t>1.33%</t>
        </is>
      </c>
      <c r="J19" s="6" t="inlineStr">
        <is>
          <t>2.01%</t>
        </is>
      </c>
      <c r="K19" s="6" t="inlineStr">
        <is>
          <t>2.82%</t>
        </is>
      </c>
      <c r="L19" s="6" t="inlineStr">
        <is>
          <t>2.02%</t>
        </is>
      </c>
      <c r="M19" s="6" t="inlineStr">
        <is>
          <t>1.59%</t>
        </is>
      </c>
    </row>
    <row r="21" ht="364" customHeight="1">
      <c r="A21" s="8" t="inlineStr">
        <is>
          <t>Sources - ABC International Bank plc:
FY2025 IFRS 9 stage roll-forward: ABC International Bank plc Annual Report 2025, Note 11 (Loans and advances to customers), p.62 (scanned filing, visually transcribed) - https://find-and-update.company-information.service.gov.uk/company/02564490/filing-history
FY2023-FY2024 IFRS 9 stage roll-forward: ABC International Bank plc Annual Report 2024, Note 11 (Loans and advances to customers), p.76-77 - https://www.bank-abc.com/en/ShareholderRelations/Annual%20Reports/ABC%20IB%20Annual%20Report%202024%20_%20Spreads%20for%20web.pdf
FY2021-FY2022 IFRS 9 stage roll-forward: ABC International Bank plc Annual Report 2022, Note 11, p.87-89 - https://www.bank-abc.com/en/ShareholderRelations/Annual%20Reports/ABCIB%20Annual%20Report%202022.pdf
FY2020 IFRS 9 stage roll-forward: ABC International Bank plc Annual Report 2020, Note 11, p.84-85 - https://www.bank-abc.com/en/ShareholderRelations/Annual%20Reports/ABCIB_Annual_Report_2020.pdf
FY2019 &amp; FY2018 IFRS 9 stage roll-forward (as originally reported): ABC International Bank plc Annual Report 2019, Note 11, p.76-77 - https://www.bank-abc.com/en/ShareholderRelations/Annual%20Reports/ABCIB%20Annual%20Report%202019.pdf
FY2017 &amp; FY2016 (as originally reported): ABC International Bank plc Annual Report 2017 (Companies House filing, scanned, visually transcribed), Notes 11-13, p.52-53 - https://find-and-update.company-information.service.gov.uk/company/02564490/filing-history/MzE5OTA1ODc1MWFkaXF6a2N4/document?format=pdf&amp;download=0
FY2016 &amp; FY2015 (as originally reported): ABC International Bank plc Annual Report 2016 (Companies House filing, scanned, visually transcribed), Notes 11-13, p.47 - https://find-and-update.company-information.service.gov.uk/company/02564490/filing-history/MzE3MDg4MzM5M2FkaXF6a2N4/document?format=pdf&amp;download=0
FY2014: ABC International Bank plc Annual Report 2014, Notes 14-15 (Loans and advances by credit quality; Movements in allowance for impairment losses), p.44 - https://www.bank-abc.com/en/ShareholderRelations/Annual%20Reports/ABCIB%20Annual%20Report%202014.pdf
ENTITY NOTE: Balance Sheet, Profit &amp; Loss and Statement of Changes in Equity are all prepared on ABCIB's own SOLO (entity, non-consolidated) FRS 101 basis for every year shown - ABCIB does not prepare group accounts (Companies Act 2006, Section 401 exemption; the 'Investment in subsidiary' line, where disclosed, is the only trace of ABCIB's subsidiaries on these statements - it is not disclosed at all for FY2014-FY2017, and grows from a nominal £33k in FY2018 to £163.8m in FY2020 once ABCIB's new Paris subsidiary, Arab Banking Corporation S.A. ('ABCSA'), is opened in October 2020 as part of the bank's post-Brexit restructuring - a real change in the underlying business, not a data gap). This is a different basis to the Pillar 3 sheets, which are CONSOLIDATED for FY2023-FY2024 and SOLO for every other year (see the Cash Flow Statement sheet's entity note) - flagged here so the two blocks of sheets aren't assumed to be on the same basis. FY2025 figures were transcribed by rendering the scanned FY2025 Companies House filing to PNG and reading it visually (pdf_tools.py render + Read), not from a text layer - see AR2025_URL; the same method was used for FY2015-FY2017 (scanned Companies House filings for those years - CH2016_URL/CH2017_URL), while FY2014 and FY2018-FY2020 have a text layer and were extracted directly.
ACCOUNTING STANDARD NOTE: ABCIB adopted IFRS 9 (replacing IAS 39) from 1 January 2018, restating the opening 1 January 2018 equity balance by -£6,549k (recognised as a separate roll-forward line on the Statement of Changes in Equity, not netted into 'profit for the year'). Two presentational consequences follow, both flagged rather than silently smoothed over: (1) the 'Financial investments - available-for-sale' balance sheet line (FY2014-FY2017, IAS 39) and the 'Debt investments - FVOCI' line (FY2018 onward, IFRS 9) are the same underlying asset class under different standards - shown on the SAME balance sheet row for continuity; (2) the equivalent OCI line on the Profit &amp; Loss sheet is labelled 'Change in fair value of debt investments at FVOCI' throughout, though FY2014-FY2017's own statements label it 'Change in fair value of available for sale investments and loans and advances' (IAS 39 terminology) - again the same underlying item, relabelled for one consistent row across the full FY2014-FY2025 series.
PRESENTATION NOTE: No by-product breakdown of the loan book is disclosed (a single 'Loans and advances to customers' line only) - only the IFRS 9 stage 1/2/3 breakdown, shown here. Ratios are calculated from the disclosed gross carrying amount and ECL allowance figures. FY2025's Stage 1/Stage 3 gross figures include £60.5m/£1.5m of credit enhancements via export credit agency guarantee respectively (per the Annual Report's own footnote) - shown gross, as disclosed, not netted down.
IAS 39 / PRE-IFRS 9 CAVEAT: FY2014-FY2017 report loans and advances to customers on an IAS 39 two-category 'impaired' / 'neither past due nor impaired' basis, not the three-stage IFRS 9 expected-credit-loss model (adopted 1 January 2018 - see the entity note above) - the IFRS 9 'Stage 2' concept (a meaningful rise in credit risk without the loan yet being credit-impaired) simply does not exist pre-2018. For continuity of this sheet's row layout across all 12 years, FY2014-FY2017's 'neither past due nor impaired' balance is shown under 'Stage 1', 'Stage 2' is left blank (not zero - a concept that did not exist, not a disclosed nil), and 'impaired' is shown under 'Stage 3'. Likewise the ECL allowance split shown under 'Stage 1 ECL allowance' / 'Stage 3 ECL allowance' for FY2014-FY2017 is actually ABCIB's own 'collectively assessed' / 'individually assessed' provision split (IAS 39 terminology) - a reasonable but approximate analogy (collective provisions broadly correspond to the performing/under-performing book, individual provisions to the impaired book), not an exact IFRS 9 equivalence. The NPL and coverage ratios below are calculated on the CUSTOMER loan book only throughout, in every year - this is a narrower denominator than the combined banks+customers ratios ABCIB's own Financial Highlights table reports (e.g. FY2016: this sheet's 2.29% vs the Financial Highlights table's 0.7%, which divides by the combined loans-to-banks-and-customers book), so the two should not be compared directly.</t>
        </is>
      </c>
    </row>
  </sheetData>
  <mergeCells count="1">
    <mergeCell ref="A21:M2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cols>
    <col width="63"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ABC International Bank plc — Profitability</t>
        </is>
      </c>
    </row>
    <row r="2">
      <c r="A2" s="2" t="inlineStr">
        <is>
          <t>Return on equity and return on assets in per cent, computed from this workbook's own Balance Sheet and Profit &amp; Loss sheets.</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Return on equity - average equity basis</t>
        </is>
      </c>
      <c r="B4" s="6" t="inlineStr">
        <is>
          <t>5.49%</t>
        </is>
      </c>
      <c r="C4" s="6" t="inlineStr">
        <is>
          <t>5.91%</t>
        </is>
      </c>
      <c r="D4" s="6" t="inlineStr">
        <is>
          <t>5.04%</t>
        </is>
      </c>
      <c r="E4" s="6" t="inlineStr">
        <is>
          <t>4.10%</t>
        </is>
      </c>
      <c r="F4" s="6" t="inlineStr">
        <is>
          <t>4.90%</t>
        </is>
      </c>
      <c r="G4" s="6" t="inlineStr">
        <is>
          <t>1.60%</t>
        </is>
      </c>
      <c r="H4" s="6" t="inlineStr">
        <is>
          <t>3.26%</t>
        </is>
      </c>
      <c r="I4" s="6" t="inlineStr">
        <is>
          <t>4.82%</t>
        </is>
      </c>
      <c r="J4" s="6" t="inlineStr">
        <is>
          <t>4.03%</t>
        </is>
      </c>
      <c r="K4" s="6" t="inlineStr">
        <is>
          <t>3.64%</t>
        </is>
      </c>
      <c r="L4" s="6" t="inlineStr">
        <is>
          <t>3.23%</t>
        </is>
      </c>
      <c r="M4" s="6" t="n"/>
    </row>
    <row r="5">
      <c r="A5" s="6" t="inlineStr">
        <is>
          <t>Return on equity - year-end equity basis</t>
        </is>
      </c>
      <c r="B5" s="6" t="inlineStr">
        <is>
          <t>5.43%</t>
        </is>
      </c>
      <c r="C5" s="6" t="inlineStr">
        <is>
          <t>5.82%</t>
        </is>
      </c>
      <c r="D5" s="6" t="inlineStr">
        <is>
          <t>4.93%</t>
        </is>
      </c>
      <c r="E5" s="6" t="inlineStr">
        <is>
          <t>4.06%</t>
        </is>
      </c>
      <c r="F5" s="6" t="inlineStr">
        <is>
          <t>4.74%</t>
        </is>
      </c>
      <c r="G5" s="6" t="inlineStr">
        <is>
          <t>1.60%</t>
        </is>
      </c>
      <c r="H5" s="6" t="inlineStr">
        <is>
          <t>3.23%</t>
        </is>
      </c>
      <c r="I5" s="6" t="inlineStr">
        <is>
          <t>4.74%</t>
        </is>
      </c>
      <c r="J5" s="6" t="inlineStr">
        <is>
          <t>3.94%</t>
        </is>
      </c>
      <c r="K5" s="6" t="inlineStr">
        <is>
          <t>3.61%</t>
        </is>
      </c>
      <c r="L5" s="6" t="inlineStr">
        <is>
          <t>3.17%</t>
        </is>
      </c>
      <c r="M5" s="6" t="inlineStr">
        <is>
          <t>5.54%</t>
        </is>
      </c>
    </row>
    <row r="6">
      <c r="A6" s="6" t="inlineStr">
        <is>
          <t>Return on assets - average assets basis</t>
        </is>
      </c>
      <c r="B6" s="6" t="inlineStr">
        <is>
          <t>0.92%</t>
        </is>
      </c>
      <c r="C6" s="6" t="inlineStr">
        <is>
          <t>1.02%</t>
        </is>
      </c>
      <c r="D6" s="6" t="inlineStr">
        <is>
          <t>0.88%</t>
        </is>
      </c>
      <c r="E6" s="6" t="inlineStr">
        <is>
          <t>0.74%</t>
        </is>
      </c>
      <c r="F6" s="6" t="inlineStr">
        <is>
          <t>0.92%</t>
        </is>
      </c>
      <c r="G6" s="6" t="inlineStr">
        <is>
          <t>0.28%</t>
        </is>
      </c>
      <c r="H6" s="6" t="inlineStr">
        <is>
          <t>0.48%</t>
        </is>
      </c>
      <c r="I6" s="6" t="inlineStr">
        <is>
          <t>0.70%</t>
        </is>
      </c>
      <c r="J6" s="6" t="inlineStr">
        <is>
          <t>0.56%</t>
        </is>
      </c>
      <c r="K6" s="6" t="inlineStr">
        <is>
          <t>0.50%</t>
        </is>
      </c>
      <c r="L6" s="6" t="inlineStr">
        <is>
          <t>0.51%</t>
        </is>
      </c>
      <c r="M6" s="6" t="n"/>
    </row>
    <row r="7">
      <c r="A7" s="6" t="inlineStr">
        <is>
          <t>Return on assets - year-end assets basis</t>
        </is>
      </c>
      <c r="B7" s="6" t="inlineStr">
        <is>
          <t>0.90%</t>
        </is>
      </c>
      <c r="C7" s="6" t="inlineStr">
        <is>
          <t>0.98%</t>
        </is>
      </c>
      <c r="D7" s="6" t="inlineStr">
        <is>
          <t>0.88%</t>
        </is>
      </c>
      <c r="E7" s="6" t="inlineStr">
        <is>
          <t>0.70%</t>
        </is>
      </c>
      <c r="F7" s="6" t="inlineStr">
        <is>
          <t>0.90%</t>
        </is>
      </c>
      <c r="G7" s="6" t="inlineStr">
        <is>
          <t>0.29%</t>
        </is>
      </c>
      <c r="H7" s="6" t="inlineStr">
        <is>
          <t>0.53%</t>
        </is>
      </c>
      <c r="I7" s="6" t="inlineStr">
        <is>
          <t>0.62%</t>
        </is>
      </c>
      <c r="J7" s="6" t="inlineStr">
        <is>
          <t>0.63%</t>
        </is>
      </c>
      <c r="K7" s="6" t="inlineStr">
        <is>
          <t>0.44%</t>
        </is>
      </c>
      <c r="L7" s="6" t="inlineStr">
        <is>
          <t>0.49%</t>
        </is>
      </c>
      <c r="M7" s="6" t="inlineStr">
        <is>
          <t>0.88%</t>
        </is>
      </c>
    </row>
    <row r="8">
      <c r="A8" s="6" t="inlineStr">
        <is>
          <t>Net profit as % of average assets (as published)</t>
        </is>
      </c>
      <c r="B8" s="6" t="n"/>
      <c r="C8" s="6" t="inlineStr">
        <is>
          <t>1.0%</t>
        </is>
      </c>
      <c r="D8" s="6" t="inlineStr">
        <is>
          <t>Not published</t>
        </is>
      </c>
      <c r="E8" s="6" t="n"/>
      <c r="F8" s="6" t="n"/>
      <c r="G8" s="6" t="n"/>
      <c r="H8" s="6" t="n"/>
      <c r="I8" s="6" t="n"/>
      <c r="J8" s="6" t="n"/>
      <c r="K8" s="6" t="n"/>
      <c r="L8" s="6" t="n"/>
      <c r="M8" s="6" t="n"/>
    </row>
    <row r="9">
      <c r="A9" s="6" t="inlineStr">
        <is>
          <t>Net profit as % of average shareholders' funds (as published)</t>
        </is>
      </c>
      <c r="B9" s="6" t="n"/>
      <c r="C9" s="6" t="inlineStr">
        <is>
          <t>5.9%</t>
        </is>
      </c>
      <c r="D9" s="6" t="inlineStr">
        <is>
          <t>Not published</t>
        </is>
      </c>
      <c r="E9" s="6" t="n"/>
      <c r="F9" s="6" t="n"/>
      <c r="G9" s="6" t="n"/>
      <c r="H9" s="6" t="n"/>
      <c r="I9" s="6" t="n"/>
      <c r="J9" s="6" t="n"/>
      <c r="K9" s="6" t="n"/>
      <c r="L9" s="6" t="n"/>
      <c r="M9" s="6" t="n"/>
    </row>
    <row r="10" ht="169" customHeight="1">
      <c r="A10" s="7" t="inlineStr">
        <is>
          <t>Note: TWO KINDS OF FIGURE, NEVER MERGED. The rows above are not one series. The 'Return on equity/assets' rows are THIS PROJECT'S OWN ARITHMETIC on the figures printed on this workbook's statement sheets. The rows marked '(as published)' are the bank's own published ratios, quoted verbatim, each struck on the bank's own definition - which differs from bank to bank and usually from ours, most often in whether the numerator is before or after tax and whether the denominator is average, opening or year-end equity, tangible equity or required equity. They are not averaged, reconciled, or substituted for one another, and where they disagree both stand: the disagreement is the finding.
THE BANK'S OWN DEFINITIONS, VERBATIM. Net profit as % of average assets: the document states no definition, and none is supplied here. Net profit as % of average shareholders' funds: the document states no definition, and none is supplied here.
WHY TWO BASES ARE PRINTED FOR EACH RATIO, AND NEITHER IS PREFERRED. The average basis divides by the mean of the opening and closing balance and is the fairer measure of a year in which the balance sheet moved a long way; the year-end basis divides by the closing balance alone and is what most outside sources quote. Both are shown so the reader can see which question a figure answers. They are not averaged and neither is 'the' return.
FY2014 HAS NO AVERAGE-BASIS RATIO, AND THAT IS CORRECT. An average denominator needs an opening balance, and FY2014 is the oldest column this workbook carries, so there is no prior year to open from. The blank is structural, not a missing figure. The year-end basis is shown for FY2014 because it needs only the closing balance.
FIGURES THE BANK PUBLISHED ONLY AS A LATER EDITION'S COMPARATIVE, AND WHY THEY ARE NOT IN THE CELLS ABOVE. FY2023 Net profit as % of average shareholders' funds 5.0%; FY2023 Net profit as % of average assets 0.9%. Each year's cell carries what that year's OWN annual report printed. A comparative restated in a later edition is a different claim - it may rest on a revised definition, a restated perimeter or a corrected prior figure - so it is recorded here rather than substituted into the year it refers to.</t>
        </is>
      </c>
    </row>
    <row r="12" ht="170" customHeight="1">
      <c r="A12" s="8" t="inlineStr">
        <is>
          <t>Computed by this workbook's own build script from the Profit &amp; Loss and Balance Sheet sheets of this same workbook - the Profit &amp; Loss row “profit for the year attributable to owners” and the Balance Sheet rows “total equity” and “total assets”, resolved BY LABEL at build time through the shared resolver scripts/profitability_rows.py, so this sheet cannot drift from the statements it summarises. Those rows are themselves transcribed from ABC International Bank plc's Annual Report and Accounts for each year; see the source cells on the Balance Sheet and Profit &amp; Loss sheets for the exact document, page and table behind every input to every percentage above.
The '(as published)' rows are quoted verbatim from ABC International Bank plc's own disclosures and are recorded, with the exact document, page and verification state for each, in research/profitability/published_returns.jsonl under ‘ABC INTERNATIONAL BANK’.</t>
        </is>
      </c>
    </row>
  </sheetData>
  <mergeCells count="2">
    <mergeCell ref="A10:M10"/>
    <mergeCell ref="A12:M1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42"/>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64" customWidth="1" min="1" max="1"/>
    <col width="15" customWidth="1" min="2" max="2"/>
    <col width="15" customWidth="1" min="3" max="3"/>
    <col width="15" customWidth="1" min="4" max="4"/>
    <col width="15" customWidth="1" min="5" max="5"/>
    <col width="15" customWidth="1" min="6" max="6"/>
  </cols>
  <sheetData>
    <row r="1">
      <c r="A1" s="1" t="inlineStr">
        <is>
          <t>ABC International Bank plc - KM1 Key Metrics</t>
        </is>
      </c>
    </row>
    <row r="2">
      <c r="A2" s="2" t="inlineStr">
        <is>
          <t>The 'ABCIB CONSOLIDATED' UK KM1 - Key metrics template, reproduced in the bank's own row order, row numbers, labels and precision. Amounts in £'000 as published; ratios as printed. FY2023 and earlier carry a statement rather than figures because ABCIB did not publish this template before its FY2024 report - what those editions print instead is a bespoke nine-row 'Table 3: Key Regulatory Metrics', re-read in full on 2026-09-18 and deliberately NOT reshaped into the template; its figures are on the individual metric sheets. See the sources note, which also records a printed-separator defect in FY2025 row 3.</t>
        </is>
      </c>
    </row>
    <row r="3">
      <c r="A3" s="4" t="inlineStr">
        <is>
          <t>Line item</t>
        </is>
      </c>
      <c r="B3" s="4" t="inlineStr">
        <is>
          <t>FY2025</t>
        </is>
      </c>
      <c r="C3" s="4" t="inlineStr">
        <is>
          <t>FY2024</t>
        </is>
      </c>
      <c r="D3" s="4" t="inlineStr">
        <is>
          <t>FY2023</t>
        </is>
      </c>
      <c r="E3" s="4" t="inlineStr">
        <is>
          <t>FY2022</t>
        </is>
      </c>
      <c r="F3" s="4" t="inlineStr">
        <is>
          <t>FY2021</t>
        </is>
      </c>
    </row>
    <row r="4">
      <c r="A4" s="6" t="inlineStr">
        <is>
          <t>[No UK KM1 published for this year - see note below]</t>
        </is>
      </c>
      <c r="B4" s="6" t="n"/>
      <c r="C4" s="6" t="n"/>
      <c r="D4" s="6" t="inlineStr">
        <is>
          <t>Not published - bespoke 'Key Regulatory Metrics' table only</t>
        </is>
      </c>
      <c r="E4" s="6" t="inlineStr">
        <is>
          <t>Not published - bespoke 'Key Regulatory Metrics' table only</t>
        </is>
      </c>
      <c r="F4" s="6" t="inlineStr">
        <is>
          <t>Not published - bespoke 'Key Regulatory Metrics' table only</t>
        </is>
      </c>
    </row>
    <row r="5">
      <c r="A5" s="5" t="inlineStr">
        <is>
          <t>Available own funds (amounts)</t>
        </is>
      </c>
      <c r="B5" s="6" t="n"/>
      <c r="C5" s="6" t="n"/>
      <c r="D5" s="6" t="n"/>
      <c r="E5" s="6" t="n"/>
      <c r="F5" s="6" t="n"/>
    </row>
    <row r="6">
      <c r="A6" s="6" t="inlineStr">
        <is>
          <t>1  Common Equity Tier 1 (CET1) capital (£'000)</t>
        </is>
      </c>
      <c r="B6" s="6" t="n">
        <v>579993</v>
      </c>
      <c r="C6" s="6" t="n">
        <v>564579</v>
      </c>
      <c r="D6" s="6" t="n"/>
      <c r="E6" s="6" t="n"/>
      <c r="F6" s="6" t="n"/>
    </row>
    <row r="7">
      <c r="A7" s="6" t="inlineStr">
        <is>
          <t>2  Tier 1 capital (£'000)</t>
        </is>
      </c>
      <c r="B7" s="6" t="n">
        <v>579993</v>
      </c>
      <c r="C7" s="6" t="n">
        <v>564579</v>
      </c>
      <c r="D7" s="6" t="n"/>
      <c r="E7" s="6" t="n"/>
      <c r="F7" s="6" t="n"/>
    </row>
    <row r="8">
      <c r="A8" s="6" t="inlineStr">
        <is>
          <t>3  Total capital (£'000)</t>
        </is>
      </c>
      <c r="B8" s="6" t="n">
        <v>628255</v>
      </c>
      <c r="C8" s="6" t="n">
        <v>616448</v>
      </c>
      <c r="D8" s="6" t="n"/>
      <c r="E8" s="6" t="n"/>
      <c r="F8" s="6" t="n"/>
    </row>
    <row r="9">
      <c r="A9" s="5" t="inlineStr">
        <is>
          <t>Risk-weighted exposure amounts</t>
        </is>
      </c>
      <c r="B9" s="6" t="n"/>
      <c r="C9" s="6" t="n"/>
      <c r="D9" s="6" t="n"/>
      <c r="E9" s="6" t="n"/>
      <c r="F9" s="6" t="n"/>
    </row>
    <row r="10">
      <c r="A10" s="6" t="inlineStr">
        <is>
          <t>4  Total risk-weighted exposure amount (£'000)</t>
        </is>
      </c>
      <c r="B10" s="6" t="n">
        <v>3880104</v>
      </c>
      <c r="C10" s="6" t="n">
        <v>3486256</v>
      </c>
      <c r="D10" s="6" t="n"/>
      <c r="E10" s="6" t="n"/>
      <c r="F10" s="6" t="n"/>
    </row>
    <row r="11">
      <c r="A11" s="5" t="inlineStr">
        <is>
          <t>Capital ratios (as a percentage of risk-weighted exposure amount)</t>
        </is>
      </c>
      <c r="B11" s="6" t="n"/>
      <c r="C11" s="6" t="n"/>
      <c r="D11" s="6" t="n"/>
      <c r="E11" s="6" t="n"/>
      <c r="F11" s="6" t="n"/>
    </row>
    <row r="12">
      <c r="A12" s="6" t="inlineStr">
        <is>
          <t>5  Common Equity Tier 1 ratio (%)</t>
        </is>
      </c>
      <c r="B12" s="6" t="inlineStr">
        <is>
          <t>14.9%</t>
        </is>
      </c>
      <c r="C12" s="6" t="inlineStr">
        <is>
          <t>16.2%</t>
        </is>
      </c>
      <c r="D12" s="6" t="n"/>
      <c r="E12" s="6" t="n"/>
      <c r="F12" s="6" t="n"/>
    </row>
    <row r="13">
      <c r="A13" s="6" t="inlineStr">
        <is>
          <t>6  Tier 1 ratio (%)</t>
        </is>
      </c>
      <c r="B13" s="6" t="inlineStr">
        <is>
          <t>14.9%</t>
        </is>
      </c>
      <c r="C13" s="6" t="inlineStr">
        <is>
          <t>16.2%</t>
        </is>
      </c>
      <c r="D13" s="6" t="n"/>
      <c r="E13" s="6" t="n"/>
      <c r="F13" s="6" t="n"/>
    </row>
    <row r="14">
      <c r="A14" s="6" t="inlineStr">
        <is>
          <t>7  Total capital ratio (%)</t>
        </is>
      </c>
      <c r="B14" s="6" t="inlineStr">
        <is>
          <t>16.2%</t>
        </is>
      </c>
      <c r="C14" s="6" t="inlineStr">
        <is>
          <t>17.7%</t>
        </is>
      </c>
      <c r="D14" s="6" t="n"/>
      <c r="E14" s="6" t="n"/>
      <c r="F14" s="6" t="n"/>
    </row>
    <row r="15">
      <c r="A15" s="5" t="inlineStr">
        <is>
          <t>Additional own funds requirements based on SREP (as a percentage of risk-weighted exposure amount)</t>
        </is>
      </c>
      <c r="B15" s="6" t="n"/>
      <c r="C15" s="6" t="n"/>
      <c r="D15" s="6" t="n"/>
      <c r="E15" s="6" t="n"/>
      <c r="F15" s="6" t="n"/>
    </row>
    <row r="16">
      <c r="A16" s="6" t="inlineStr">
        <is>
          <t>UK 7a  Additional CET1 SREP requirements (%)</t>
        </is>
      </c>
      <c r="B16" s="6" t="inlineStr">
        <is>
          <t>2.1%</t>
        </is>
      </c>
      <c r="C16" s="6" t="inlineStr">
        <is>
          <t>2.1%</t>
        </is>
      </c>
      <c r="D16" s="6" t="n"/>
      <c r="E16" s="6" t="n"/>
      <c r="F16" s="6" t="n"/>
    </row>
    <row r="17">
      <c r="A17" s="6" t="inlineStr">
        <is>
          <t>UK 7b  Additional AT1 SREP requirements (%)</t>
        </is>
      </c>
      <c r="B17" s="6" t="inlineStr">
        <is>
          <t>0.0%</t>
        </is>
      </c>
      <c r="C17" s="6" t="inlineStr">
        <is>
          <t>0.0%</t>
        </is>
      </c>
      <c r="D17" s="6" t="n"/>
      <c r="E17" s="6" t="n"/>
      <c r="F17" s="6" t="n"/>
    </row>
    <row r="18">
      <c r="A18" s="6" t="inlineStr">
        <is>
          <t>UK 7c  Additional T2 SREP requirements (%)</t>
        </is>
      </c>
      <c r="B18" s="6" t="inlineStr">
        <is>
          <t>0.0%</t>
        </is>
      </c>
      <c r="C18" s="6" t="inlineStr">
        <is>
          <t>0.0%</t>
        </is>
      </c>
      <c r="D18" s="6" t="n"/>
      <c r="E18" s="6" t="n"/>
      <c r="F18" s="6" t="n"/>
    </row>
    <row r="19">
      <c r="A19" s="6" t="inlineStr">
        <is>
          <t>UK 7d  Total SREP own funds requirements (%)</t>
        </is>
      </c>
      <c r="B19" s="6" t="inlineStr">
        <is>
          <t>10.1%</t>
        </is>
      </c>
      <c r="C19" s="6" t="inlineStr">
        <is>
          <t>10.1%</t>
        </is>
      </c>
      <c r="D19" s="6" t="n"/>
      <c r="E19" s="6" t="n"/>
      <c r="F19" s="6" t="n"/>
    </row>
    <row r="20">
      <c r="A20" s="5" t="inlineStr">
        <is>
          <t>Combined buffer requirement (as a percentage of risk-weighted exposure amount)</t>
        </is>
      </c>
      <c r="B20" s="6" t="n"/>
      <c r="C20" s="6" t="n"/>
      <c r="D20" s="6" t="n"/>
      <c r="E20" s="6" t="n"/>
      <c r="F20" s="6" t="n"/>
    </row>
    <row r="21">
      <c r="A21" s="6" t="inlineStr">
        <is>
          <t>8  Capital conservation buffer (%)</t>
        </is>
      </c>
      <c r="B21" s="6" t="inlineStr">
        <is>
          <t>2.5%</t>
        </is>
      </c>
      <c r="C21" s="6" t="inlineStr">
        <is>
          <t>2.5%</t>
        </is>
      </c>
      <c r="D21" s="6" t="n"/>
      <c r="E21" s="6" t="n"/>
      <c r="F21" s="6" t="n"/>
    </row>
    <row r="22">
      <c r="A22" s="6" t="inlineStr">
        <is>
          <t>9  Institution specific countercyclical capital buffer (%)</t>
        </is>
      </c>
      <c r="B22" s="6" t="inlineStr">
        <is>
          <t>0.6%</t>
        </is>
      </c>
      <c r="C22" s="6" t="inlineStr">
        <is>
          <t>0.7%</t>
        </is>
      </c>
      <c r="D22" s="6" t="n"/>
      <c r="E22" s="6" t="n"/>
      <c r="F22" s="6" t="n"/>
    </row>
    <row r="23">
      <c r="A23" s="6" t="inlineStr">
        <is>
          <t>11  Combined buffer requirement (%)</t>
        </is>
      </c>
      <c r="B23" s="6" t="inlineStr">
        <is>
          <t>3.1%</t>
        </is>
      </c>
      <c r="C23" s="6" t="inlineStr">
        <is>
          <t>3.2%</t>
        </is>
      </c>
      <c r="D23" s="6" t="n"/>
      <c r="E23" s="6" t="n"/>
      <c r="F23" s="6" t="n"/>
    </row>
    <row r="24">
      <c r="A24" s="6" t="inlineStr">
        <is>
          <t>UK 11a  Overall capital requirements (%)</t>
        </is>
      </c>
      <c r="B24" s="6" t="inlineStr">
        <is>
          <t>13.2%</t>
        </is>
      </c>
      <c r="C24" s="6" t="inlineStr">
        <is>
          <t>13.3%</t>
        </is>
      </c>
      <c r="D24" s="6" t="n"/>
      <c r="E24" s="6" t="n"/>
      <c r="F24" s="6" t="n"/>
    </row>
    <row r="25">
      <c r="A25" s="6" t="inlineStr">
        <is>
          <t>12  CET1 available after meeting the total SREP own funds requirements (%)</t>
        </is>
      </c>
      <c r="B25" s="6" t="inlineStr">
        <is>
          <t>4.8%</t>
        </is>
      </c>
      <c r="C25" s="6" t="inlineStr">
        <is>
          <t>6.0%</t>
        </is>
      </c>
      <c r="D25" s="6" t="n"/>
      <c r="E25" s="6" t="n"/>
      <c r="F25" s="6" t="n"/>
    </row>
    <row r="26">
      <c r="A26" s="5" t="inlineStr">
        <is>
          <t>Leverage ratio</t>
        </is>
      </c>
      <c r="B26" s="6" t="n"/>
      <c r="C26" s="6" t="n"/>
      <c r="D26" s="6" t="n"/>
      <c r="E26" s="6" t="n"/>
      <c r="F26" s="6" t="n"/>
    </row>
    <row r="27">
      <c r="A27" s="6" t="inlineStr">
        <is>
          <t>13  Total exposure measure excluding claims on central banks (£'000)</t>
        </is>
      </c>
      <c r="B27" s="6" t="n">
        <v>5990509</v>
      </c>
      <c r="C27" s="6" t="n">
        <v>5540164</v>
      </c>
      <c r="D27" s="6" t="n"/>
      <c r="E27" s="6" t="n"/>
      <c r="F27" s="6" t="n"/>
    </row>
    <row r="28">
      <c r="A28" s="6" t="inlineStr">
        <is>
          <t>14  Leverage ratio excluding claims on central banks (%)</t>
        </is>
      </c>
      <c r="B28" s="6" t="inlineStr">
        <is>
          <t>9.7%</t>
        </is>
      </c>
      <c r="C28" s="6" t="inlineStr">
        <is>
          <t>10.2%</t>
        </is>
      </c>
      <c r="D28" s="6" t="n"/>
      <c r="E28" s="6" t="n"/>
      <c r="F28" s="6" t="n"/>
    </row>
    <row r="29">
      <c r="A29" s="5" t="inlineStr">
        <is>
          <t>Liquidity Coverage Ratio</t>
        </is>
      </c>
      <c r="B29" s="6" t="n"/>
      <c r="C29" s="6" t="n"/>
      <c r="D29" s="6" t="n"/>
      <c r="E29" s="6" t="n"/>
      <c r="F29" s="6" t="n"/>
    </row>
    <row r="30">
      <c r="A30" s="6" t="inlineStr">
        <is>
          <t>15  Total high-quality liquid assets (HQLA) (Weighted value - average) (£'000)</t>
        </is>
      </c>
      <c r="B30" s="6" t="n">
        <v>748628</v>
      </c>
      <c r="C30" s="6" t="n">
        <v>854893</v>
      </c>
      <c r="D30" s="6" t="n"/>
      <c r="E30" s="6" t="n"/>
      <c r="F30" s="6" t="n"/>
    </row>
    <row r="31">
      <c r="A31" s="6" t="inlineStr">
        <is>
          <t>UK 16a  Cash outflows - Total weighted value (£'000)</t>
        </is>
      </c>
      <c r="B31" s="6" t="n">
        <v>878001</v>
      </c>
      <c r="C31" s="6" t="n">
        <v>839225</v>
      </c>
      <c r="D31" s="6" t="n"/>
      <c r="E31" s="6" t="n"/>
      <c r="F31" s="6" t="n"/>
    </row>
    <row r="32">
      <c r="A32" s="6" t="inlineStr">
        <is>
          <t>UK 16b  Cash inflows - Total weighted value (£'000)</t>
        </is>
      </c>
      <c r="B32" s="6" t="n">
        <v>578631</v>
      </c>
      <c r="C32" s="6" t="n">
        <v>587092</v>
      </c>
      <c r="D32" s="6" t="n"/>
      <c r="E32" s="6" t="n"/>
      <c r="F32" s="6" t="n"/>
    </row>
    <row r="33">
      <c r="A33" s="6" t="inlineStr">
        <is>
          <t>16  Total net cash outflows (adjusted value) (£'000)</t>
        </is>
      </c>
      <c r="B33" s="6" t="n">
        <v>299370</v>
      </c>
      <c r="C33" s="6" t="n">
        <v>252133</v>
      </c>
      <c r="D33" s="6" t="n"/>
      <c r="E33" s="6" t="n"/>
      <c r="F33" s="6" t="n"/>
    </row>
    <row r="34">
      <c r="A34" s="6" t="inlineStr">
        <is>
          <t>17  Liquidity coverage ratio (%)</t>
        </is>
      </c>
      <c r="B34" s="6" t="inlineStr">
        <is>
          <t>250.1%</t>
        </is>
      </c>
      <c r="C34" s="6" t="inlineStr">
        <is>
          <t>339.1%</t>
        </is>
      </c>
      <c r="D34" s="6" t="n"/>
      <c r="E34" s="6" t="n"/>
      <c r="F34" s="6" t="n"/>
    </row>
    <row r="35">
      <c r="A35" s="5" t="inlineStr">
        <is>
          <t>Net Stable Funding Ratio</t>
        </is>
      </c>
      <c r="B35" s="6" t="n"/>
      <c r="C35" s="6" t="n"/>
      <c r="D35" s="6" t="n"/>
      <c r="E35" s="6" t="n"/>
      <c r="F35" s="6" t="n"/>
    </row>
    <row r="36">
      <c r="A36" s="6" t="inlineStr">
        <is>
          <t>18  Total available stable funding (£'000)</t>
        </is>
      </c>
      <c r="B36" s="6" t="n">
        <v>2391315</v>
      </c>
      <c r="C36" s="6" t="n">
        <v>2339367</v>
      </c>
      <c r="D36" s="6" t="n"/>
      <c r="E36" s="6" t="n"/>
      <c r="F36" s="6" t="n"/>
    </row>
    <row r="37">
      <c r="A37" s="6" t="inlineStr">
        <is>
          <t>19  Total required stable funding (£'000)</t>
        </is>
      </c>
      <c r="B37" s="6" t="n">
        <v>1902311</v>
      </c>
      <c r="C37" s="6" t="n">
        <v>1802627</v>
      </c>
      <c r="D37" s="6" t="n"/>
      <c r="E37" s="6" t="n"/>
      <c r="F37" s="6" t="n"/>
    </row>
    <row r="38">
      <c r="A38" s="6" t="inlineStr">
        <is>
          <t>20  NSFR ratio (%)</t>
        </is>
      </c>
      <c r="B38" s="6" t="inlineStr">
        <is>
          <t>125.7%</t>
        </is>
      </c>
      <c r="C38" s="6" t="inlineStr">
        <is>
          <t>129.8%</t>
        </is>
      </c>
      <c r="D38" s="6" t="n"/>
      <c r="E38" s="6" t="n"/>
      <c r="F38" s="6" t="n"/>
    </row>
    <row r="40" ht="364" customHeight="1">
      <c r="A40" s="8" t="inlineStr">
        <is>
          <t>Sources - the 'ABCIB CONSOLIDATED' UK KM1 table in each year's OWN Pillar 3 edition. Every edition prints this template twice, once for ABCIB SOLO and once for ABCIB CONSOLIDATED; the consolidated table is used here, matching this workbook's FY2023-FY2025 basis (see the Cash Flow Statement sheet's entity note). ABCIB CONSOLIDATED is ABC International Bank plc's own consolidation of its own subsidiaries - it is NOT the Bahraini parent group's consolidation. Amounts are in £'000 exactly as published, not converted to the £m used by the single-metric sheets.
FY2025: ABC International Bank plc Pillar 3 Report 2025, p.16, Table 3 'Key Regulatory Metrics', 'ABCIB CONSOLIDATED' UK KM1 - Key metrics template, 2025 column - https://www.bank-abc.com/en/CountrySites/Europe/London/Financial-Info/Basel%20Pillars/Bank-ABC-IB-Pillar-Report-2025.pdf
FY2024: ABC International Bank plc Pillar 3 Report 2024, p.14, Table 3 'Key Regulatory Metrics', 'ABCIB CONSOLIDATED' UK KM1 - Key metrics template, 2024 column - https://www.bank-abc.com/en/CountrySites/Europe/London/Financial-Info/Basel%20Pillars/ABCIB%20Pillar%203%20final%20Board%202024%20.pdf
WHY FY2023, FY2022 AND FY2021 ARE BLANK - NOT DISCLOSED, NOT 'NOT FOUND'.
ABCIB first published the UK KM1 template in its Pillar 3 Report 2024. The 2023, 2022 and 2021 editions each print 'Table 3 Key Regulatory Metrics' instead: a 10-row Solo|Consolidated summary at a single date, carrying capital, RWAs, two ratios and leverage only - no SREP rows, no buffer rows, no LCR and no NSFR - and captioning leverage as 'Total Leverage ratio exposure measure' rather than '...excluding claims on central banks'. The 2023 document was re-read in full on 2026-09-16 and contains no occurrence of 'KM1' or 'SREP' anywhere. A 10-row summary is a different table from the 26-row template, so its figures are not mapped onto template row numbers here; they appear on the single-metric sheets instead, captioned as their own edition printed them.
A full FY2023 KM1 column DOES exist - as the FY2024 edition's comparative - and is deliberately not used, because each column on this sheet comes from the edition in which that year is the reporting year. The two sources disagree, which is precisely why: the FY2023 edition prints consolidated RWAs of 3,104,763 while the FY2024 edition's FY2023 comparative prints 3,101,197.
SOURCE DEFECT, REPRODUCED AND FLAGGED RATHER THAN CORRECTED.
Row 3 of the FY2025 consolidated table prints total capital as '628.255' - a DECIMAL POINT where the thousands separator belongs, while every other figure in the same column uses a comma. It is carried here as 628,255 £'000: the printed digits are unchanged and only the separator is wrong. This is corroborated inside the same document rather than derived - 'Table 2 Regulatory Capital' on the preceding page prints total regulatory capital of 628,255 for the consolidated basis. A literal 628.255 (£628k) would sit below that table's own CET1 of £580m.
LABEL DRIFT: the FY2024 edition captions row 12 'CET1 available after meeting the total SREP own funds requirements (%)'; the FY2025 edition drops the '(%)'. The FY2024 wording is used for the row label and both years' figures are percentages as printed.
CROSS-EDITION VALIDATION (map rule 6): all 26 rows of the FY2024 column were taken from the FY2024 edition's own consolidated table and independently reproduce the FY2025 edition's FY2024 comparative column exactly, which is what confirms both columns are on the consolidated basis and not the solo one.
UNIT IS £'000 AS PUBLISHED, WHILE THE SINGLE-METRIC SHEETS ARE £m.</t>
        </is>
      </c>
    </row>
    <row r="42" ht="377" customHeight="1">
      <c r="A42" s="8" t="inlineStr">
        <is>
          <t>(continued)
ABCIB publishes this template in £'000, so it is reproduced in £'000, matching the RWA Breakdown sheet in this same workbook. The eleven single-metric Pillar 3 sheets are in £m. The two are therefore the same figures at a different scale - 579,993 here against 579.993 there, 564,579 against 564.579, 628,255 against 628.255, 3,880,104 against 3,880.104 - identical digits, factor of 1,000, no digit slip anywhere. Each row label on this sheet carries its own unit token ((£'000) on amount rows, (%) on ratio rows), which is how the cross-check resolves the scale: a KM1 sheet cannot declare one sheet-level unit, because the map requires it to mix £'000 amounts and % ratios down a single column.
HISTORY, so the earlier note is not mistaken for a live defect: until 2026-09-16 scripts/verify_workbook.py inferred scale from the COLUMN HEADER only, and neither this sheet's headers ('FY2025') nor a metric sheet's carries a unit token, so both sides were read as scale 1 and compared raw - which made rows 1-4 report as disagreeing in both years. That was a gap in the checker, not in these figures. It was fixed the same day (_unit_scale() now returns None rather than 1.0 when a label carries no unit, with _km1_row_scale() preferring the ROW LABEL, then the header, then the sheet), and this workbook now cross-checks 20 of 20 KM1 cells clean. Do not rescale these cells to £m: they are right as printed, and this sheet is deliberately not normalised away from the unit the bank published.
LATEST-EDITION CHECK: ABCIB's own disclosures index (https://www.bank-abc.com/en/CountrySites/Europe/London/Financial-Info/Basel Pillars/) checked 2026-09-16 - newest Pillar 3 is the Pillar 3 Report 2025 (year ended 31 December 2025), already carried here and already cited by this script. None newer.
RE-CHECKED 2026-09-18 (GA-006), both halves, live:
* PILLAR 3. The FY2025 report was re-downloaded directly and is live (HTTP 200, application/pdf, %PDF-, 8.02 MB). ABCIB's year-end is 31 December, so FY2025 is the newest edition that can exist. None newer, and none possible before the FY2026 report. Note the Pillar 3 landing page itself is a SharePoint page that renders its document list in script: a plain href scrape of it returns exactly ONE pdf, and that one is a Vendor Code of Conduct. Anyone enumerating that page the obvious way will conclude the bank publishes no Pillar 3 at all. The documents are reached by their direct /Basel%20Pillars/ paths, which is how this script cites them.
* STATUTORY ACCOUNTS. Companies House filing history for 02564490 read live: the newest accounts filing is 'Full accounts made up to 31 December 2025', filed 17 March 2026 (84 pages) - the edition already carried here. Richness control on that page: 11 'accounts' matches, 10 '2026'. None newer.
WHAT THE FY2021-FY2023 EDITIONS ACTUALLY PRINT, re-read in full on 2026-09-18 rather than taken from this note's own earlier claim. Searching those three editions for the TEMPLATE's vocabulary is misleading on its own: 'KM1' returns 0, 'UK KM' returns 0 and 'Total risk exposure' returns 0 in all three - but 'Key metrics' returns 4, 3 and 3, because ABCIB has always had a key-metrics table, just not this one. What it prints, under section 4.1, is 'Table 3: Key Regulatory Metrics': a nine-row table with Solo and Consolidated columns for a single year-end, giving CET1, Tier 1, Total Tier 1, Tier 2, Total regulatory capital, RWAs, the Tier 1 and Total capital ratios, and the leverage exposure measure and ratio. It has no SREP block, no buffer block, no LCR block and no NSFR block, and it is not the UK KM1 template. It is therefore NOT reshaped into one here (map rule 8) - but its figures are not lost either: they are on the individual Pillar 3 metric sheets in this workbook, which is where the FY2023 consolidated CET1 of 547,665, RWAs of 3,104,763 and leverage ratio of 10.62% come from. So the FY2021-FY2023 blanks on THIS sheet are 'the bank published a different table', not 'the figures were not found', and the cells now say so.</t>
        </is>
      </c>
    </row>
  </sheetData>
  <mergeCells count="2">
    <mergeCell ref="A40:F40"/>
    <mergeCell ref="A42:F4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ABC International Bank plc — CET1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capital</t>
        </is>
      </c>
      <c r="B4" s="6" t="n">
        <v>579.9930000000001</v>
      </c>
      <c r="C4" s="6" t="n">
        <v>564.579</v>
      </c>
      <c r="D4" s="6" t="n">
        <v>547.665</v>
      </c>
      <c r="E4" s="6" t="n">
        <v>416.914</v>
      </c>
      <c r="F4" s="6" t="n">
        <v>419.517</v>
      </c>
      <c r="G4" s="6" t="n">
        <v>393.198</v>
      </c>
      <c r="H4" s="6" t="n">
        <v>495.422</v>
      </c>
      <c r="I4" s="6" t="n">
        <v>487.265</v>
      </c>
      <c r="J4" s="6" t="n">
        <v>469.029</v>
      </c>
      <c r="K4" s="6" t="n">
        <v>449.664</v>
      </c>
      <c r="L4" s="6" t="n">
        <v>439.008</v>
      </c>
      <c r="M4" s="6" t="n">
        <v>421.08</v>
      </c>
    </row>
    <row r="5" ht="65" customHeight="1">
      <c r="A5" s="7" t="inlineStr">
        <is>
          <t>Note: FY2025 RESTATED 2026-09-15 from SOLO to CONSOLIDATED basis (469.8 -&gt; 579.993), on the user's explicit instruction, so that the whole FY2025 column sits on one basis: its Leverage/LCR/NSFR rows were already consolidated, while the capital rows were still solo. Superseded solo value: 469.8 (itself calculated as RWA x Tier 1 ratio); the Pillar 3 Report 2025's own SOLO column gives a directly-disclosed 469.209. Now directly disclosed, not calculated - ABCIB CONSOLIDATED UK KM1 row 1, p.16. FY2022/FY2021 UPGRADED 2026-09-15 from calculated to DIRECTLY DISCLOSED (416.5 -&gt; 416.914, 418.8 -&gt; 419.517) using each year's own dedicated Pillar 3 report (solo column), located that day - see P3_2021_URL/P3_2022_URL. FY2016/FY2015/FY2014 remain calculated (RWA x Tier 1 ratio, solo basis) - no separate CET1/Tier 1 £m figure is disclosed for those years, only the ratio and total 'Capital base'. Assumes CET1 = Tier 1 (no AT1 instruments in issue), consistent with the pattern directly confirmed in every FY2017-FY2025 Pillar 3 report reviewed. FY2017-FY2020 are directly disclosed (Appendix 2 Own Funds / Table 3 Key Regulatory Metrics of each year's dedicated Pillar 3 report); FY2018/FY2019 use the 'IFRS9 Transitional arrangements applied' column for continuity with FY2020's single reported figure.</t>
        </is>
      </c>
    </row>
    <row r="7" ht="390" customHeight="1">
      <c r="A7" s="8" t="inlineStr">
        <is>
          <t>Sources - ABC International Bank plc:
FY2024 &amp; FY2023 (consolidated): ABC International Bank plc Pillar 3 Report 2024, Table "UK KM1 - Key metrics template", p.14 - https://www.bank-abc.com/en/CountrySites/Europe/London/Financial-Info/Basel%20Pillars/ABCIB%20Pillar%203%20final%20Board%202024%20.pdf
FY2023 (consolidated, as originally reported): ABC International Bank plc Pillar 3 Disclosures 2023, Table 3: Key Regulatory Metrics, p.13 - https://www.bank-abc.com/en/CountrySites/Europe/London/Financial-Info/Basel%20Pillars/BH2407109%20-%20Bank%20ABC%20Pillar%203%20Disclosures%202023%20-%20Final%20website%20version.pdf
FY2022 (solo): ABC International Bank plc Pillar 3 Disclosures 2022, Table 3 'Key Regulatory Metrics' (Solo column), Table 17 'LCR components (Average)' and Table 18 'NSFR components (Average)' - https://www.bank-abc.com/en/CountrySites/Europe/London/Financial-Info/Basel%20Pillars/ABCIB-Pillar3Disclosure-2022.pdf
FY2021 (solo): ABC International Bank plc Pillar 3 disclosures 2021, Table 3 'Key Regulatory Metrics' (Solo column), p.8, Table 6 'RWAs and Capital ratio', p.10, and Table 17 'LCR components (Average)', p.17 - https://www.bank-abc.com/en/CountrySites/Europe/London/Financial-Info/Basel%20Pillars/ABCIB-Pillar3Disclosure-2021.pdf
FY2022 &amp; FY2021 (solo, Total Capital/RWA cross-check only): ABC International Bank plc Annual Report 2022, Financial Highlights, p.31 - https://www.bank-abc.com/en/ShareholderRelations/Annual%20Reports/ABCIB%20Annual%20Report%202022.pdf
FY2025 (CONSOLIDATED - all capital, RWA, leverage, LCR and NSFR sheets): ABC International Bank plc Pillar 3 Report 2025, Table 3 'Key Regulatory Metrics', 'ABCIB CONSOLIDATED' UK KM1 table, p.16, and 'ABCIB CONSOLIDATED' UK OV1 table, p.17 - https://www.bank-abc.com/en/CountrySites/Europe/London/Financial-Info/Basel%20Pillars/Bank-ABC-IB-Pillar-Report-2025.pdf
FY2024 (consolidated): as the FY2025 report's own comparative column (validation gate - reproduces this workbook's existing FY2024 figures exactly) - https://www.bank-abc.com/en/CountrySites/Europe/London/Financial-Info/Basel%20Pillars/Bank-ABC-IB-Pillar-Report-2025.pdf
FY2025 (solo - superseded 2026-09-15, retained in the RWA Breakdown sheet's SOLO block and quoted in each capital sheet's note): ABC International Bank plc Pillar 3 Report 2025, 'ABCIB SOLO' UK KM1 table, p.15, and 'ABCIB SOLO' UK OV1 table, p.17 - https://www.bank-abc.com/en/CountrySites/Europe/London/Financial-Info/Basel%20Pillars/Bank-ABC-IB-Pillar-Report-2025.pdf; ABC International Bank plc Annual Report 2025, Financial Highlights, p.20 (scanned Companies House filing, visually transcribed) - https://find-and-update.company-information.service.gov.uk/company/02564490/filing-history
FY2020 (solo): ABC International Bank plc Pillar 3 Disclosures 2020, Table 3 "Key Regulatory Metrics", p.8 - https://www.bank-abc.com/en/CountrySites/Europe/London/Financial-Info/Basel%20Pillars/ABCIB-Pillar3Disclosure-2020.pdf
FY2019 (solo): ABC International Bank plc Pillar 3 Disclosures 2019, p.7-8 - https://www.bank-abc.com/en/CountrySites/Europe/London/Financial-Info/Basel%20Pillars/ABCIB-Pillar3Disclosure2019-postBRC.pdf
FY2018 (solo): ABC International Bank plc Pillar 3 Report 2018, p.8-9 (Table 3, 'IFRS9 Transitional arrangements applied' column used for continuity with FY2019/FY2020) - https://www.bank-abc.com/en/CountrySites/Europe/London/Financial-Info/Basel%20Pillars/Pillar-3-Disclosure_2018.pdf
FY2017 (solo): ABC International Bank plc Pillar 3 Report 2017, Table 4 'RWAs and Capital ratio' and Appendix 2 Own Funds disclosure, p.8/p.24 - https://www.bank-abc.com/en/CountrySites/Europe/London/Financial-Info/Basel%20Pillars/Pillar-3-Disclosure-2018.pdf
FY2016 (solo): ABC International Bank plc Annual Report 2016 (Companies House filing, scanned, visually transcribed), Financial Highlights, p.17 - https://find-and-update.company-information.service.gov.uk/company/02564490/filing-history/MzE3MDg4MzM5M2FkaXF6a2N4/document?format=pdf&amp;download=0
FY2015 (solo): as FY2016's own comparative column (no separate FY2015 filing opened) - https://find-and-update.company-information.service.gov.uk/company/02564490/filing-history/MzE3MDg4MzM5M2FkaXF6a2N4/document?format=pdf&amp;download=0
FY2014 (solo): ABC International Bank plc Annual Report 2014, Financial Highlights, p.13 - https://www.bank-abc.com/en/ShareholderRelations/Annual%20Reports/ABCIB%20Annual%20Report%202014.pdf
FY2023-FY2025 shown on a CONSOLIDATED basis (ABCIB Pillar 3 Disclosures, UK KM1 template); FY2014-FY2022 on a SOLO basis - FY2017-FY2022 from ABCIB's own dedicated Pillar 3 report for each year (which itself states its basis explicitly; the FY2020/FY2021/FY2022 reports carry a Consolidated column alongside Solo, and the Solo column is used throughout for continuity with the other years), FY2014-FY2016 from the Annual Report's own Financial Highlights table (no Pillar 3 report exists for those years). See the Cash Flow Statement sheet's entity note for detail.
FY2025 BASIS RESTATEMENT (2026-09-15): FY2025's capital sheets originally used the Annual Report's solo Financial Highlights table (Total RWA £3,132m, Capital base £517m, Tier 1 ratio 15.0%, Total ratio 16.5%), which left the FY2025 column internally mixed once the Pillar 3 Report 2025 supplied consolidated leverage/LCR/NSFR. On the user's explicit instruction the whole FY2025 column was moved onto the CONSOLIDATED basis (CET1/Tier 1 £579.993m, Total capital £628.255m, RWAs £3,880.104m, CET1/Tier 1 ratio 14.9%, total capital ratio 16.2%), giving a clean consolidated run FY2023-FY2025. The superseded solo figures are preserved: quoted in each capital sheet's note, and kept as a full risk-type split in the RWA Breakdown sheet's SOLO block. Note this removes a presentational artefact - the old mixed column made RWAs appear to FALL from FY2024 to FY2025, whereas like-for-like they rose.
FY2021/FY2022 SOURCE CORRECTION (2026-09-15): an earlier pass recorded these years as having no Pillar 3 document and sourced them from the Annual Report Financial Highlights table. That was wrong - ABCIB-Pillar3Disclosure-2021.pdf and -2022.pdf both exist on the disclosures index. Mining them added Leverage Ratio and LCR for both years and NSFR for FY2022, and upgraded CET1/Tier 1 capital from CALCULATED (RWA x Tier 1 ratio) to DIRECTLY DISCLOSED. Their ratio columns reproduce the previously-held Financial Highlights figures exactly, confirming the two sources share a basis. CET1/Tier 1 capital £m remain CALCULATED only for FY2014-FY2016, whose Financial Highlights tables do not split CET1 from Tier 1 - see the CET1 Capital sheet note.</t>
        </is>
      </c>
    </row>
    <row r="9" ht="150" customHeight="1">
      <c r="A9" s="8" t="inlineStr">
        <is>
          <t>(continued)
No Leverage Ratio or LCR figure is available for FY2014-FY2016 (no Pillar 3 report exists and the Financial Highlights table carries neither metric). NSFR is disclosed from FY2022 onward only; FY2021 and earlier are structurally absent because the UK had no NSFR requirement or disclosure template before 1 January 2022 (PRA PS17/21 / PS22/21) - see the NSFR sheet note. MREL is not disclosed in any year.
BASEL II/EARLY-CRD IV TERMINOLOGY CAVEAT: FY2014-FY2016's Financial Highlights tables report 'Risk asset ratio - Tier 1' and 'Risk asset ratio - Total' only - no separate CET1 concept is disclosed for those years (CET1 as a defined capital tier is a CRD IV/Basel III introduction phased in in the UK from 2014). Per this project's existing convention (assumes CET1 = Tier 1 where ABCIB has no AT1 instruments in issue - confirmed true in every FY2017-FY2024 Pillar 3 report reviewed), FY2014-FY2016's 'Risk asset ratio - Tier 1' is used for both the CET1 Ratio and Tier 1 Ratio sheets.</t>
        </is>
      </c>
    </row>
  </sheetData>
  <mergeCells count="3">
    <mergeCell ref="A9:M9"/>
    <mergeCell ref="A5:M5"/>
    <mergeCell ref="A7:M7"/>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ABC International Bank plc — CET1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Common Equity Tier 1 (CET1) ratio</t>
        </is>
      </c>
      <c r="B4" s="6" t="inlineStr">
        <is>
          <t>14.9%</t>
        </is>
      </c>
      <c r="C4" s="6" t="inlineStr">
        <is>
          <t>16.2%</t>
        </is>
      </c>
      <c r="D4" s="6" t="inlineStr">
        <is>
          <t>17.6%</t>
        </is>
      </c>
      <c r="E4" s="6" t="inlineStr">
        <is>
          <t>17.0%</t>
        </is>
      </c>
      <c r="F4" s="6" t="inlineStr">
        <is>
          <t>16.7%</t>
        </is>
      </c>
      <c r="G4" s="6" t="inlineStr">
        <is>
          <t>16.4%</t>
        </is>
      </c>
      <c r="H4" s="6" t="inlineStr">
        <is>
          <t>17.5%</t>
        </is>
      </c>
      <c r="I4" s="6" t="inlineStr">
        <is>
          <t>16.6%</t>
        </is>
      </c>
      <c r="J4" s="6" t="inlineStr">
        <is>
          <t>18.2%</t>
        </is>
      </c>
      <c r="K4" s="6" t="inlineStr">
        <is>
          <t>19.2%</t>
        </is>
      </c>
      <c r="L4" s="6" t="inlineStr">
        <is>
          <t>20.4%</t>
        </is>
      </c>
      <c r="M4" s="6" t="inlineStr">
        <is>
          <t>22.0%</t>
        </is>
      </c>
    </row>
    <row r="5" ht="52" customHeight="1">
      <c r="A5" s="7" t="inlineStr">
        <is>
          <t>Note: FY2025 RESTATED 2026-09-15 from SOLO to CONSOLIDATED basis (15.0% -&gt; 14.9%) - see the CET1 Capital sheet note for the reason. Superseded solo value: 15.0% (ABCIB SOLO UK KM1 row 5, p.15, and the Annual Report's Financial Highlights table). FY2025 now matches FY2023/FY2024's consolidated basis, giving a clean consolidated run FY2023-FY2025. FY2023 shown as originally reported (17.6%, consolidated); the FY2024 Pillar 3 Report's FY2023 comparative column restates this to 17.7% alongside a small RWA restatement (see Total RWAs sheet) - immaterial, but shown as originally reported per this project's convention. FY2022/FY2021 and FY2014-FY2020 all labelled 'Tier 1 Capital Ratio' (a.k.a. 'Risk asset ratio - Tier 1') in the source (solo basis) - assumed equal to CET1 ratio, see CET1 Capital sheet note. FY2025's consolidated figure is labelled 'Common Equity Tier 1 ratio' outright (UK KM1 row 5), so no such assumption is needed for that year. FY2014-FY2016 predate the CET1 concept entirely (Basel II/early-CRD IV terminology) - see BASIS_NOTE's caveat.</t>
        </is>
      </c>
    </row>
    <row r="7" ht="390" customHeight="1">
      <c r="A7" s="8" t="inlineStr">
        <is>
          <t>Sources - ABC International Bank plc:
FY2024 &amp; FY2023 (consolidated): ABC International Bank plc Pillar 3 Report 2024, Table "UK KM1 - Key metrics template", p.14 - https://www.bank-abc.com/en/CountrySites/Europe/London/Financial-Info/Basel%20Pillars/ABCIB%20Pillar%203%20final%20Board%202024%20.pdf
FY2023 (consolidated, as originally reported): ABC International Bank plc Pillar 3 Disclosures 2023, Table 3: Key Regulatory Metrics, p.13 - https://www.bank-abc.com/en/CountrySites/Europe/London/Financial-Info/Basel%20Pillars/BH2407109%20-%20Bank%20ABC%20Pillar%203%20Disclosures%202023%20-%20Final%20website%20version.pdf
FY2022 (solo): ABC International Bank plc Pillar 3 Disclosures 2022, Table 3 'Key Regulatory Metrics' (Solo column), Table 17 'LCR components (Average)' and Table 18 'NSFR components (Average)' - https://www.bank-abc.com/en/CountrySites/Europe/London/Financial-Info/Basel%20Pillars/ABCIB-Pillar3Disclosure-2022.pdf
FY2021 (solo): ABC International Bank plc Pillar 3 disclosures 2021, Table 3 'Key Regulatory Metrics' (Solo column), p.8, Table 6 'RWAs and Capital ratio', p.10, and Table 17 'LCR components (Average)', p.17 - https://www.bank-abc.com/en/CountrySites/Europe/London/Financial-Info/Basel%20Pillars/ABCIB-Pillar3Disclosure-2021.pdf
FY2022 &amp; FY2021 (solo, Total Capital/RWA cross-check only): ABC International Bank plc Annual Report 2022, Financial Highlights, p.31 - https://www.bank-abc.com/en/ShareholderRelations/Annual%20Reports/ABCIB%20Annual%20Report%202022.pdf
FY2025 (CONSOLIDATED - all capital, RWA, leverage, LCR and NSFR sheets): ABC International Bank plc Pillar 3 Report 2025, Table 3 'Key Regulatory Metrics', 'ABCIB CONSOLIDATED' UK KM1 table, p.16, and 'ABCIB CONSOLIDATED' UK OV1 table, p.17 - https://www.bank-abc.com/en/CountrySites/Europe/London/Financial-Info/Basel%20Pillars/Bank-ABC-IB-Pillar-Report-2025.pdf
FY2024 (consolidated): as the FY2025 report's own comparative column (validation gate - reproduces this workbook's existing FY2024 figures exactly) - https://www.bank-abc.com/en/CountrySites/Europe/London/Financial-Info/Basel%20Pillars/Bank-ABC-IB-Pillar-Report-2025.pdf
FY2025 (solo - superseded 2026-09-15, retained in the RWA Breakdown sheet's SOLO block and quoted in each capital sheet's note): ABC International Bank plc Pillar 3 Report 2025, 'ABCIB SOLO' UK KM1 table, p.15, and 'ABCIB SOLO' UK OV1 table, p.17 - https://www.bank-abc.com/en/CountrySites/Europe/London/Financial-Info/Basel%20Pillars/Bank-ABC-IB-Pillar-Report-2025.pdf; ABC International Bank plc Annual Report 2025, Financial Highlights, p.20 (scanned Companies House filing, visually transcribed) - https://find-and-update.company-information.service.gov.uk/company/02564490/filing-history
FY2020 (solo): ABC International Bank plc Pillar 3 Disclosures 2020, Table 3 "Key Regulatory Metrics", p.8 - https://www.bank-abc.com/en/CountrySites/Europe/London/Financial-Info/Basel%20Pillars/ABCIB-Pillar3Disclosure-2020.pdf
FY2019 (solo): ABC International Bank plc Pillar 3 Disclosures 2019, p.7-8 - https://www.bank-abc.com/en/CountrySites/Europe/London/Financial-Info/Basel%20Pillars/ABCIB-Pillar3Disclosure2019-postBRC.pdf
FY2018 (solo): ABC International Bank plc Pillar 3 Report 2018, p.8-9 (Table 3, 'IFRS9 Transitional arrangements applied' column used for continuity with FY2019/FY2020) - https://www.bank-abc.com/en/CountrySites/Europe/London/Financial-Info/Basel%20Pillars/Pillar-3-Disclosure_2018.pdf
FY2017 (solo): ABC International Bank plc Pillar 3 Report 2017, Table 4 'RWAs and Capital ratio' and Appendix 2 Own Funds disclosure, p.8/p.24 - https://www.bank-abc.com/en/CountrySites/Europe/London/Financial-Info/Basel%20Pillars/Pillar-3-Disclosure-2018.pdf
FY2016 (solo): ABC International Bank plc Annual Report 2016 (Companies House filing, scanned, visually transcribed), Financial Highlights, p.17 - https://find-and-update.company-information.service.gov.uk/company/02564490/filing-history/MzE3MDg4MzM5M2FkaXF6a2N4/document?format=pdf&amp;download=0
FY2015 (solo): as FY2016's own comparative column (no separate FY2015 filing opened) - https://find-and-update.company-information.service.gov.uk/company/02564490/filing-history/MzE3MDg4MzM5M2FkaXF6a2N4/document?format=pdf&amp;download=0
FY2014 (solo): ABC International Bank plc Annual Report 2014, Financial Highlights, p.13 - https://www.bank-abc.com/en/ShareholderRelations/Annual%20Reports/ABCIB%20Annual%20Report%202014.pdf
FY2023-FY2025 shown on a CONSOLIDATED basis (ABCIB Pillar 3 Disclosures, UK KM1 template); FY2014-FY2022 on a SOLO basis - FY2017-FY2022 from ABCIB's own dedicated Pillar 3 report for each year (which itself states its basis explicitly; the FY2020/FY2021/FY2022 reports carry a Consolidated column alongside Solo, and the Solo column is used throughout for continuity with the other years), FY2014-FY2016 from the Annual Report's own Financial Highlights table (no Pillar 3 report exists for those years). See the Cash Flow Statement sheet's entity note for detail.
FY2025 BASIS RESTATEMENT (2026-09-15): FY2025's capital sheets originally used the Annual Report's solo Financial Highlights table (Total RWA £3,132m, Capital base £517m, Tier 1 ratio 15.0%, Total ratio 16.5%), which left the FY2025 column internally mixed once the Pillar 3 Report 2025 supplied consolidated leverage/LCR/NSFR. On the user's explicit instruction the whole FY2025 column was moved onto the CONSOLIDATED basis (CET1/Tier 1 £579.993m, Total capital £628.255m, RWAs £3,880.104m, CET1/Tier 1 ratio 14.9%, total capital ratio 16.2%), giving a clean consolidated run FY2023-FY2025. The superseded solo figures are preserved: quoted in each capital sheet's note, and kept as a full risk-type split in the RWA Breakdown sheet's SOLO block. Note this removes a presentational artefact - the old mixed column made RWAs appear to FALL from FY2024 to FY2025, whereas like-for-like they rose.
FY2021/FY2022 SOURCE CORRECTION (2026-09-15): an earlier pass recorded these years as having no Pillar 3 document and sourced them from the Annual Report Financial Highlights table. That was wrong - ABCIB-Pillar3Disclosure-2021.pdf and -2022.pdf both exist on the disclosures index. Mining them added Leverage Ratio and LCR for both years and NSFR for FY2022, and upgraded CET1/Tier 1 capital from CALCULATED (RWA x Tier 1 ratio) to DIRECTLY DISCLOSED. Their ratio columns reproduce the previously-held Financial Highlights figures exactly, confirming the two sources share a basis. CET1/Tier 1 capital £m remain CALCULATED only for FY2014-FY2016, whose Financial Highlights tables do not split CET1 from Tier 1 - see the CET1 Capital sheet note.</t>
        </is>
      </c>
    </row>
    <row r="9" ht="150" customHeight="1">
      <c r="A9" s="8" t="inlineStr">
        <is>
          <t>(continued)
No Leverage Ratio or LCR figure is available for FY2014-FY2016 (no Pillar 3 report exists and the Financial Highlights table carries neither metric). NSFR is disclosed from FY2022 onward only; FY2021 and earlier are structurally absent because the UK had no NSFR requirement or disclosure template before 1 January 2022 (PRA PS17/21 / PS22/21) - see the NSFR sheet note. MREL is not disclosed in any year.
BASEL II/EARLY-CRD IV TERMINOLOGY CAVEAT: FY2014-FY2016's Financial Highlights tables report 'Risk asset ratio - Tier 1' and 'Risk asset ratio - Total' only - no separate CET1 concept is disclosed for those years (CET1 as a defined capital tier is a CRD IV/Basel III introduction phased in in the UK from 2014). Per this project's existing convention (assumes CET1 = Tier 1 where ABCIB has no AT1 instruments in issue - confirmed true in every FY2017-FY2024 Pillar 3 report reviewed), FY2014-FY2016's 'Risk asset ratio - Tier 1' is used for both the CET1 Ratio and Tier 1 Ratio sheets.</t>
        </is>
      </c>
    </row>
  </sheetData>
  <mergeCells count="3">
    <mergeCell ref="A9:M9"/>
    <mergeCell ref="A5:M5"/>
    <mergeCell ref="A7:M7"/>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ABC International Bank plc — Tier 1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capital</t>
        </is>
      </c>
      <c r="B4" s="6" t="n">
        <v>579.9930000000001</v>
      </c>
      <c r="C4" s="6" t="n">
        <v>564.579</v>
      </c>
      <c r="D4" s="6" t="n">
        <v>547.665</v>
      </c>
      <c r="E4" s="6" t="n">
        <v>416.914</v>
      </c>
      <c r="F4" s="6" t="n">
        <v>419.517</v>
      </c>
      <c r="G4" s="6" t="n">
        <v>393.198</v>
      </c>
      <c r="H4" s="6" t="n">
        <v>495.422</v>
      </c>
      <c r="I4" s="6" t="n">
        <v>487.265</v>
      </c>
      <c r="J4" s="6" t="n">
        <v>469.029</v>
      </c>
      <c r="K4" s="6" t="n">
        <v>449.664</v>
      </c>
      <c r="L4" s="6" t="n">
        <v>439.008</v>
      </c>
      <c r="M4" s="6" t="n">
        <v>421.08</v>
      </c>
    </row>
    <row r="5" ht="30" customHeight="1">
      <c r="A5" s="7" t="inlineStr">
        <is>
          <t>Note: Tier 1 = CET1 every year (no AT1 instruments in issue) - the FY2021/FY2022/FY2025 Pillar 3 reports each print identical CET1 and Tier 1 rows, confirming this directly rather than by assumption. FY2025 RESTATED 2026-09-15 from SOLO to CONSOLIDATED (469.8 -&gt; 579.993); FY2022/FY2021 upgraded from calculated to directly disclosed (416.5 -&gt; 416.914, 418.8 -&gt; 419.517) - see CET1 Capital sheet note for both. FY2016/FY2015/FY2014 remain calculated - see CET1 Capital sheet note.</t>
        </is>
      </c>
    </row>
    <row r="7" ht="390" customHeight="1">
      <c r="A7" s="8" t="inlineStr">
        <is>
          <t>Sources - ABC International Bank plc:
FY2024 &amp; FY2023 (consolidated): ABC International Bank plc Pillar 3 Report 2024, Table "UK KM1 - Key metrics template", p.14 - https://www.bank-abc.com/en/CountrySites/Europe/London/Financial-Info/Basel%20Pillars/ABCIB%20Pillar%203%20final%20Board%202024%20.pdf
FY2023 (consolidated, as originally reported): ABC International Bank plc Pillar 3 Disclosures 2023, Table 3: Key Regulatory Metrics, p.13 - https://www.bank-abc.com/en/CountrySites/Europe/London/Financial-Info/Basel%20Pillars/BH2407109%20-%20Bank%20ABC%20Pillar%203%20Disclosures%202023%20-%20Final%20website%20version.pdf
FY2022 (solo): ABC International Bank plc Pillar 3 Disclosures 2022, Table 3 'Key Regulatory Metrics' (Solo column), Table 17 'LCR components (Average)' and Table 18 'NSFR components (Average)' - https://www.bank-abc.com/en/CountrySites/Europe/London/Financial-Info/Basel%20Pillars/ABCIB-Pillar3Disclosure-2022.pdf
FY2021 (solo): ABC International Bank plc Pillar 3 disclosures 2021, Table 3 'Key Regulatory Metrics' (Solo column), p.8, Table 6 'RWAs and Capital ratio', p.10, and Table 17 'LCR components (Average)', p.17 - https://www.bank-abc.com/en/CountrySites/Europe/London/Financial-Info/Basel%20Pillars/ABCIB-Pillar3Disclosure-2021.pdf
FY2022 &amp; FY2021 (solo, Total Capital/RWA cross-check only): ABC International Bank plc Annual Report 2022, Financial Highlights, p.31 - https://www.bank-abc.com/en/ShareholderRelations/Annual%20Reports/ABCIB%20Annual%20Report%202022.pdf
FY2025 (CONSOLIDATED - all capital, RWA, leverage, LCR and NSFR sheets): ABC International Bank plc Pillar 3 Report 2025, Table 3 'Key Regulatory Metrics', 'ABCIB CONSOLIDATED' UK KM1 table, p.16, and 'ABCIB CONSOLIDATED' UK OV1 table, p.17 - https://www.bank-abc.com/en/CountrySites/Europe/London/Financial-Info/Basel%20Pillars/Bank-ABC-IB-Pillar-Report-2025.pdf
FY2024 (consolidated): as the FY2025 report's own comparative column (validation gate - reproduces this workbook's existing FY2024 figures exactly) - https://www.bank-abc.com/en/CountrySites/Europe/London/Financial-Info/Basel%20Pillars/Bank-ABC-IB-Pillar-Report-2025.pdf
FY2025 (solo - superseded 2026-09-15, retained in the RWA Breakdown sheet's SOLO block and quoted in each capital sheet's note): ABC International Bank plc Pillar 3 Report 2025, 'ABCIB SOLO' UK KM1 table, p.15, and 'ABCIB SOLO' UK OV1 table, p.17 - https://www.bank-abc.com/en/CountrySites/Europe/London/Financial-Info/Basel%20Pillars/Bank-ABC-IB-Pillar-Report-2025.pdf; ABC International Bank plc Annual Report 2025, Financial Highlights, p.20 (scanned Companies House filing, visually transcribed) - https://find-and-update.company-information.service.gov.uk/company/02564490/filing-history
FY2020 (solo): ABC International Bank plc Pillar 3 Disclosures 2020, Table 3 "Key Regulatory Metrics", p.8 - https://www.bank-abc.com/en/CountrySites/Europe/London/Financial-Info/Basel%20Pillars/ABCIB-Pillar3Disclosure-2020.pdf
FY2019 (solo): ABC International Bank plc Pillar 3 Disclosures 2019, p.7-8 - https://www.bank-abc.com/en/CountrySites/Europe/London/Financial-Info/Basel%20Pillars/ABCIB-Pillar3Disclosure2019-postBRC.pdf
FY2018 (solo): ABC International Bank plc Pillar 3 Report 2018, p.8-9 (Table 3, 'IFRS9 Transitional arrangements applied' column used for continuity with FY2019/FY2020) - https://www.bank-abc.com/en/CountrySites/Europe/London/Financial-Info/Basel%20Pillars/Pillar-3-Disclosure_2018.pdf
FY2017 (solo): ABC International Bank plc Pillar 3 Report 2017, Table 4 'RWAs and Capital ratio' and Appendix 2 Own Funds disclosure, p.8/p.24 - https://www.bank-abc.com/en/CountrySites/Europe/London/Financial-Info/Basel%20Pillars/Pillar-3-Disclosure-2018.pdf
FY2016 (solo): ABC International Bank plc Annual Report 2016 (Companies House filing, scanned, visually transcribed), Financial Highlights, p.17 - https://find-and-update.company-information.service.gov.uk/company/02564490/filing-history/MzE3MDg4MzM5M2FkaXF6a2N4/document?format=pdf&amp;download=0
FY2015 (solo): as FY2016's own comparative column (no separate FY2015 filing opened) - https://find-and-update.company-information.service.gov.uk/company/02564490/filing-history/MzE3MDg4MzM5M2FkaXF6a2N4/document?format=pdf&amp;download=0
FY2014 (solo): ABC International Bank plc Annual Report 2014, Financial Highlights, p.13 - https://www.bank-abc.com/en/ShareholderRelations/Annual%20Reports/ABCIB%20Annual%20Report%202014.pdf
FY2023-FY2025 shown on a CONSOLIDATED basis (ABCIB Pillar 3 Disclosures, UK KM1 template); FY2014-FY2022 on a SOLO basis - FY2017-FY2022 from ABCIB's own dedicated Pillar 3 report for each year (which itself states its basis explicitly; the FY2020/FY2021/FY2022 reports carry a Consolidated column alongside Solo, and the Solo column is used throughout for continuity with the other years), FY2014-FY2016 from the Annual Report's own Financial Highlights table (no Pillar 3 report exists for those years). See the Cash Flow Statement sheet's entity note for detail.
FY2025 BASIS RESTATEMENT (2026-09-15): FY2025's capital sheets originally used the Annual Report's solo Financial Highlights table (Total RWA £3,132m, Capital base £517m, Tier 1 ratio 15.0%, Total ratio 16.5%), which left the FY2025 column internally mixed once the Pillar 3 Report 2025 supplied consolidated leverage/LCR/NSFR. On the user's explicit instruction the whole FY2025 column was moved onto the CONSOLIDATED basis (CET1/Tier 1 £579.993m, Total capital £628.255m, RWAs £3,880.104m, CET1/Tier 1 ratio 14.9%, total capital ratio 16.2%), giving a clean consolidated run FY2023-FY2025. The superseded solo figures are preserved: quoted in each capital sheet's note, and kept as a full risk-type split in the RWA Breakdown sheet's SOLO block. Note this removes a presentational artefact - the old mixed column made RWAs appear to FALL from FY2024 to FY2025, whereas like-for-like they rose.
FY2021/FY2022 SOURCE CORRECTION (2026-09-15): an earlier pass recorded these years as having no Pillar 3 document and sourced them from the Annual Report Financial Highlights table. That was wrong - ABCIB-Pillar3Disclosure-2021.pdf and -2022.pdf both exist on the disclosures index. Mining them added Leverage Ratio and LCR for both years and NSFR for FY2022, and upgraded CET1/Tier 1 capital from CALCULATED (RWA x Tier 1 ratio) to DIRECTLY DISCLOSED. Their ratio columns reproduce the previously-held Financial Highlights figures exactly, confirming the two sources share a basis. CET1/Tier 1 capital £m remain CALCULATED only for FY2014-FY2016, whose Financial Highlights tables do not split CET1 from Tier 1 - see the CET1 Capital sheet note.</t>
        </is>
      </c>
    </row>
    <row r="9" ht="150" customHeight="1">
      <c r="A9" s="8" t="inlineStr">
        <is>
          <t>(continued)
No Leverage Ratio or LCR figure is available for FY2014-FY2016 (no Pillar 3 report exists and the Financial Highlights table carries neither metric). NSFR is disclosed from FY2022 onward only; FY2021 and earlier are structurally absent because the UK had no NSFR requirement or disclosure template before 1 January 2022 (PRA PS17/21 / PS22/21) - see the NSFR sheet note. MREL is not disclosed in any year.
BASEL II/EARLY-CRD IV TERMINOLOGY CAVEAT: FY2014-FY2016's Financial Highlights tables report 'Risk asset ratio - Tier 1' and 'Risk asset ratio - Total' only - no separate CET1 concept is disclosed for those years (CET1 as a defined capital tier is a CRD IV/Basel III introduction phased in in the UK from 2014). Per this project's existing convention (assumes CET1 = Tier 1 where ABCIB has no AT1 instruments in issue - confirmed true in every FY2017-FY2024 Pillar 3 report reviewed), FY2014-FY2016's 'Risk asset ratio - Tier 1' is used for both the CET1 Ratio and Tier 1 Ratio sheets.</t>
        </is>
      </c>
    </row>
  </sheetData>
  <mergeCells count="3">
    <mergeCell ref="A9:M9"/>
    <mergeCell ref="A5:M5"/>
    <mergeCell ref="A7:M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ABC International Bank plc — Tier 1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Tier 1 ratio</t>
        </is>
      </c>
      <c r="B4" s="6" t="inlineStr">
        <is>
          <t>14.9%</t>
        </is>
      </c>
      <c r="C4" s="6" t="inlineStr">
        <is>
          <t>16.2%</t>
        </is>
      </c>
      <c r="D4" s="6" t="inlineStr">
        <is>
          <t>17.6%</t>
        </is>
      </c>
      <c r="E4" s="6" t="inlineStr">
        <is>
          <t>17.0%</t>
        </is>
      </c>
      <c r="F4" s="6" t="inlineStr">
        <is>
          <t>16.7%</t>
        </is>
      </c>
      <c r="G4" s="6" t="inlineStr">
        <is>
          <t>16.4%</t>
        </is>
      </c>
      <c r="H4" s="6" t="inlineStr">
        <is>
          <t>17.5%</t>
        </is>
      </c>
      <c r="I4" s="6" t="inlineStr">
        <is>
          <t>16.6%</t>
        </is>
      </c>
      <c r="J4" s="6" t="inlineStr">
        <is>
          <t>18.2%</t>
        </is>
      </c>
      <c r="K4" s="6" t="inlineStr">
        <is>
          <t>19.2%</t>
        </is>
      </c>
      <c r="L4" s="6" t="inlineStr">
        <is>
          <t>20.4%</t>
        </is>
      </c>
      <c r="M4" s="6" t="inlineStr">
        <is>
          <t>22.0%</t>
        </is>
      </c>
    </row>
    <row r="5" ht="30" customHeight="1">
      <c r="A5" s="7" t="inlineStr">
        <is>
          <t>Note: FY2025 RESTATED 2026-09-15 from SOLO to CONSOLIDATED basis (15.0% -&gt; 14.9%); superseded solo value 15.0%. FY2023 shown as originally reported (consolidated) - see CET1 Ratio sheet note.</t>
        </is>
      </c>
    </row>
    <row r="7" ht="390" customHeight="1">
      <c r="A7" s="8" t="inlineStr">
        <is>
          <t>Sources - ABC International Bank plc:
FY2024 &amp; FY2023 (consolidated): ABC International Bank plc Pillar 3 Report 2024, Table "UK KM1 - Key metrics template", p.14 - https://www.bank-abc.com/en/CountrySites/Europe/London/Financial-Info/Basel%20Pillars/ABCIB%20Pillar%203%20final%20Board%202024%20.pdf
FY2023 (consolidated, as originally reported): ABC International Bank plc Pillar 3 Disclosures 2023, Table 3: Key Regulatory Metrics, p.13 - https://www.bank-abc.com/en/CountrySites/Europe/London/Financial-Info/Basel%20Pillars/BH2407109%20-%20Bank%20ABC%20Pillar%203%20Disclosures%202023%20-%20Final%20website%20version.pdf
FY2022 (solo): ABC International Bank plc Pillar 3 Disclosures 2022, Table 3 'Key Regulatory Metrics' (Solo column), Table 17 'LCR components (Average)' and Table 18 'NSFR components (Average)' - https://www.bank-abc.com/en/CountrySites/Europe/London/Financial-Info/Basel%20Pillars/ABCIB-Pillar3Disclosure-2022.pdf
FY2021 (solo): ABC International Bank plc Pillar 3 disclosures 2021, Table 3 'Key Regulatory Metrics' (Solo column), p.8, Table 6 'RWAs and Capital ratio', p.10, and Table 17 'LCR components (Average)', p.17 - https://www.bank-abc.com/en/CountrySites/Europe/London/Financial-Info/Basel%20Pillars/ABCIB-Pillar3Disclosure-2021.pdf
FY2022 &amp; FY2021 (solo, Total Capital/RWA cross-check only): ABC International Bank plc Annual Report 2022, Financial Highlights, p.31 - https://www.bank-abc.com/en/ShareholderRelations/Annual%20Reports/ABCIB%20Annual%20Report%202022.pdf
FY2025 (CONSOLIDATED - all capital, RWA, leverage, LCR and NSFR sheets): ABC International Bank plc Pillar 3 Report 2025, Table 3 'Key Regulatory Metrics', 'ABCIB CONSOLIDATED' UK KM1 table, p.16, and 'ABCIB CONSOLIDATED' UK OV1 table, p.17 - https://www.bank-abc.com/en/CountrySites/Europe/London/Financial-Info/Basel%20Pillars/Bank-ABC-IB-Pillar-Report-2025.pdf
FY2024 (consolidated): as the FY2025 report's own comparative column (validation gate - reproduces this workbook's existing FY2024 figures exactly) - https://www.bank-abc.com/en/CountrySites/Europe/London/Financial-Info/Basel%20Pillars/Bank-ABC-IB-Pillar-Report-2025.pdf
FY2025 (solo - superseded 2026-09-15, retained in the RWA Breakdown sheet's SOLO block and quoted in each capital sheet's note): ABC International Bank plc Pillar 3 Report 2025, 'ABCIB SOLO' UK KM1 table, p.15, and 'ABCIB SOLO' UK OV1 table, p.17 - https://www.bank-abc.com/en/CountrySites/Europe/London/Financial-Info/Basel%20Pillars/Bank-ABC-IB-Pillar-Report-2025.pdf; ABC International Bank plc Annual Report 2025, Financial Highlights, p.20 (scanned Companies House filing, visually transcribed) - https://find-and-update.company-information.service.gov.uk/company/02564490/filing-history
FY2020 (solo): ABC International Bank plc Pillar 3 Disclosures 2020, Table 3 "Key Regulatory Metrics", p.8 - https://www.bank-abc.com/en/CountrySites/Europe/London/Financial-Info/Basel%20Pillars/ABCIB-Pillar3Disclosure-2020.pdf
FY2019 (solo): ABC International Bank plc Pillar 3 Disclosures 2019, p.7-8 - https://www.bank-abc.com/en/CountrySites/Europe/London/Financial-Info/Basel%20Pillars/ABCIB-Pillar3Disclosure2019-postBRC.pdf
FY2018 (solo): ABC International Bank plc Pillar 3 Report 2018, p.8-9 (Table 3, 'IFRS9 Transitional arrangements applied' column used for continuity with FY2019/FY2020) - https://www.bank-abc.com/en/CountrySites/Europe/London/Financial-Info/Basel%20Pillars/Pillar-3-Disclosure_2018.pdf
FY2017 (solo): ABC International Bank plc Pillar 3 Report 2017, Table 4 'RWAs and Capital ratio' and Appendix 2 Own Funds disclosure, p.8/p.24 - https://www.bank-abc.com/en/CountrySites/Europe/London/Financial-Info/Basel%20Pillars/Pillar-3-Disclosure-2018.pdf
FY2016 (solo): ABC International Bank plc Annual Report 2016 (Companies House filing, scanned, visually transcribed), Financial Highlights, p.17 - https://find-and-update.company-information.service.gov.uk/company/02564490/filing-history/MzE3MDg4MzM5M2FkaXF6a2N4/document?format=pdf&amp;download=0
FY2015 (solo): as FY2016's own comparative column (no separate FY2015 filing opened) - https://find-and-update.company-information.service.gov.uk/company/02564490/filing-history/MzE3MDg4MzM5M2FkaXF6a2N4/document?format=pdf&amp;download=0
FY2014 (solo): ABC International Bank plc Annual Report 2014, Financial Highlights, p.13 - https://www.bank-abc.com/en/ShareholderRelations/Annual%20Reports/ABCIB%20Annual%20Report%202014.pdf
FY2023-FY2025 shown on a CONSOLIDATED basis (ABCIB Pillar 3 Disclosures, UK KM1 template); FY2014-FY2022 on a SOLO basis - FY2017-FY2022 from ABCIB's own dedicated Pillar 3 report for each year (which itself states its basis explicitly; the FY2020/FY2021/FY2022 reports carry a Consolidated column alongside Solo, and the Solo column is used throughout for continuity with the other years), FY2014-FY2016 from the Annual Report's own Financial Highlights table (no Pillar 3 report exists for those years). See the Cash Flow Statement sheet's entity note for detail.
FY2025 BASIS RESTATEMENT (2026-09-15): FY2025's capital sheets originally used the Annual Report's solo Financial Highlights table (Total RWA £3,132m, Capital base £517m, Tier 1 ratio 15.0%, Total ratio 16.5%), which left the FY2025 column internally mixed once the Pillar 3 Report 2025 supplied consolidated leverage/LCR/NSFR. On the user's explicit instruction the whole FY2025 column was moved onto the CONSOLIDATED basis (CET1/Tier 1 £579.993m, Total capital £628.255m, RWAs £3,880.104m, CET1/Tier 1 ratio 14.9%, total capital ratio 16.2%), giving a clean consolidated run FY2023-FY2025. The superseded solo figures are preserved: quoted in each capital sheet's note, and kept as a full risk-type split in the RWA Breakdown sheet's SOLO block. Note this removes a presentational artefact - the old mixed column made RWAs appear to FALL from FY2024 to FY2025, whereas like-for-like they rose.
FY2021/FY2022 SOURCE CORRECTION (2026-09-15): an earlier pass recorded these years as having no Pillar 3 document and sourced them from the Annual Report Financial Highlights table. That was wrong - ABCIB-Pillar3Disclosure-2021.pdf and -2022.pdf both exist on the disclosures index. Mining them added Leverage Ratio and LCR for both years and NSFR for FY2022, and upgraded CET1/Tier 1 capital from CALCULATED (RWA x Tier 1 ratio) to DIRECTLY DISCLOSED. Their ratio columns reproduce the previously-held Financial Highlights figures exactly, confirming the two sources share a basis. CET1/Tier 1 capital £m remain CALCULATED only for FY2014-FY2016, whose Financial Highlights tables do not split CET1 from Tier 1 - see the CET1 Capital sheet note.</t>
        </is>
      </c>
    </row>
    <row r="9" ht="150" customHeight="1">
      <c r="A9" s="8" t="inlineStr">
        <is>
          <t>(continued)
No Leverage Ratio or LCR figure is available for FY2014-FY2016 (no Pillar 3 report exists and the Financial Highlights table carries neither metric). NSFR is disclosed from FY2022 onward only; FY2021 and earlier are structurally absent because the UK had no NSFR requirement or disclosure template before 1 January 2022 (PRA PS17/21 / PS22/21) - see the NSFR sheet note. MREL is not disclosed in any year.
BASEL II/EARLY-CRD IV TERMINOLOGY CAVEAT: FY2014-FY2016's Financial Highlights tables report 'Risk asset ratio - Tier 1' and 'Risk asset ratio - Total' only - no separate CET1 concept is disclosed for those years (CET1 as a defined capital tier is a CRD IV/Basel III introduction phased in in the UK from 2014). Per this project's existing convention (assumes CET1 = Tier 1 where ABCIB has no AT1 instruments in issue - confirmed true in every FY2017-FY2024 Pillar 3 report reviewed), FY2014-FY2016's 'Risk asset ratio - Tier 1' is used for both the CET1 Ratio and Tier 1 Ratio sheets.</t>
        </is>
      </c>
    </row>
  </sheetData>
  <mergeCells count="3">
    <mergeCell ref="A9:M9"/>
    <mergeCell ref="A5:M5"/>
    <mergeCell ref="A7:M7"/>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ABC International Bank plc — Total Capital</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t>
        </is>
      </c>
      <c r="B4" s="6" t="n">
        <v>628.255</v>
      </c>
      <c r="C4" s="6" t="n">
        <v>616.448</v>
      </c>
      <c r="D4" s="6" t="n">
        <v>598.7859999999999</v>
      </c>
      <c r="E4" s="6" t="n">
        <v>446.942</v>
      </c>
      <c r="F4" s="6" t="n">
        <v>459.544</v>
      </c>
      <c r="G4" s="6" t="n">
        <v>443.198</v>
      </c>
      <c r="H4" s="6" t="n">
        <v>545.422</v>
      </c>
      <c r="I4" s="6" t="n">
        <v>537.265</v>
      </c>
      <c r="J4" s="6" t="n">
        <v>524.729</v>
      </c>
      <c r="K4" s="6" t="n">
        <v>506</v>
      </c>
      <c r="L4" s="6" t="n">
        <v>493</v>
      </c>
      <c r="M4" s="6" t="n">
        <v>423</v>
      </c>
    </row>
    <row r="5" ht="65" customHeight="1">
      <c r="A5" s="7" t="inlineStr">
        <is>
          <t>Note: FY2025 RESTATED 2026-09-15 from SOLO to CONSOLIDATED basis (517 -&gt; 628.255) - see the CET1 Capital sheet note for the reason. Superseded solo value: 517 (Annual Report 'Capital base'); the Pillar 3 Report 2025's own SOLO column gives a more precise 517.472. SOURCE TYPO, verified visually at 8x zoom on p.16: the FY2025 consolidated KM1 prints Total capital as '628.255' with a DECIMAL POINT where the thousands separator belongs (every other figure in the same column uses a comma). Read as 628,255 £'000: the printed digits are unchanged, only the separator is wrong, and 628,255 / 3,880,104 = 16.19% reproduces the same table's printed 16.2% total capital ratio, whereas a literal 628.255 (£628k) would be absurd against CET1 of £580m. Not a derived figure. FY2022/FY2021 UPGRADED 2026-09-15 to each year's own Pillar 3 report ('Total regulatory capital', solo column): 447 -&gt; 446.942 and 460 -&gt; 459.544. Same measure and same basis as the Annual Report 'Capital base' figures they replace - the AR simply rounds to £m - so this is a precision gain, not a restatement. FY2014-FY2016 ('Capital base', Financial Highlights table) and FY2023-FY2024/FY2017-FY2020 ('Total capital'/'Total regulatory capital') are directly disclosed, not calculated. FY2020's solo Total capital (443.198m) is genuinely lower than FY2019's (545.422m) - reflects the new investment in ABCSA (the Paris subsidiary) reducing solo-basis capital resources, per the FY2020 Pillar 3 report's own footnote ('The solo capital base reflect the new investment in ABSA') - a real basis effect, not a data error.</t>
        </is>
      </c>
    </row>
    <row r="7" ht="390" customHeight="1">
      <c r="A7" s="8" t="inlineStr">
        <is>
          <t>Sources - ABC International Bank plc:
FY2024 &amp; FY2023 (consolidated): ABC International Bank plc Pillar 3 Report 2024, Table "UK KM1 - Key metrics template", p.14 - https://www.bank-abc.com/en/CountrySites/Europe/London/Financial-Info/Basel%20Pillars/ABCIB%20Pillar%203%20final%20Board%202024%20.pdf
FY2023 (consolidated, as originally reported): ABC International Bank plc Pillar 3 Disclosures 2023, Table 3: Key Regulatory Metrics, p.13 - https://www.bank-abc.com/en/CountrySites/Europe/London/Financial-Info/Basel%20Pillars/BH2407109%20-%20Bank%20ABC%20Pillar%203%20Disclosures%202023%20-%20Final%20website%20version.pdf
FY2022 (solo): ABC International Bank plc Pillar 3 Disclosures 2022, Table 3 'Key Regulatory Metrics' (Solo column), Table 17 'LCR components (Average)' and Table 18 'NSFR components (Average)' - https://www.bank-abc.com/en/CountrySites/Europe/London/Financial-Info/Basel%20Pillars/ABCIB-Pillar3Disclosure-2022.pdf
FY2021 (solo): ABC International Bank plc Pillar 3 disclosures 2021, Table 3 'Key Regulatory Metrics' (Solo column), p.8, Table 6 'RWAs and Capital ratio', p.10, and Table 17 'LCR components (Average)', p.17 - https://www.bank-abc.com/en/CountrySites/Europe/London/Financial-Info/Basel%20Pillars/ABCIB-Pillar3Disclosure-2021.pdf
FY2022 &amp; FY2021 (solo, Total Capital/RWA cross-check only): ABC International Bank plc Annual Report 2022, Financial Highlights, p.31 - https://www.bank-abc.com/en/ShareholderRelations/Annual%20Reports/ABCIB%20Annual%20Report%202022.pdf
FY2025 (CONSOLIDATED - all capital, RWA, leverage, LCR and NSFR sheets): ABC International Bank plc Pillar 3 Report 2025, Table 3 'Key Regulatory Metrics', 'ABCIB CONSOLIDATED' UK KM1 table, p.16, and 'ABCIB CONSOLIDATED' UK OV1 table, p.17 - https://www.bank-abc.com/en/CountrySites/Europe/London/Financial-Info/Basel%20Pillars/Bank-ABC-IB-Pillar-Report-2025.pdf
FY2024 (consolidated): as the FY2025 report's own comparative column (validation gate - reproduces this workbook's existing FY2024 figures exactly) - https://www.bank-abc.com/en/CountrySites/Europe/London/Financial-Info/Basel%20Pillars/Bank-ABC-IB-Pillar-Report-2025.pdf
FY2025 (solo - superseded 2026-09-15, retained in the RWA Breakdown sheet's SOLO block and quoted in each capital sheet's note): ABC International Bank plc Pillar 3 Report 2025, 'ABCIB SOLO' UK KM1 table, p.15, and 'ABCIB SOLO' UK OV1 table, p.17 - https://www.bank-abc.com/en/CountrySites/Europe/London/Financial-Info/Basel%20Pillars/Bank-ABC-IB-Pillar-Report-2025.pdf; ABC International Bank plc Annual Report 2025, Financial Highlights, p.20 (scanned Companies House filing, visually transcribed) - https://find-and-update.company-information.service.gov.uk/company/02564490/filing-history
FY2020 (solo): ABC International Bank plc Pillar 3 Disclosures 2020, Table 3 "Key Regulatory Metrics", p.8 - https://www.bank-abc.com/en/CountrySites/Europe/London/Financial-Info/Basel%20Pillars/ABCIB-Pillar3Disclosure-2020.pdf
FY2019 (solo): ABC International Bank plc Pillar 3 Disclosures 2019, p.7-8 - https://www.bank-abc.com/en/CountrySites/Europe/London/Financial-Info/Basel%20Pillars/ABCIB-Pillar3Disclosure2019-postBRC.pdf
FY2018 (solo): ABC International Bank plc Pillar 3 Report 2018, p.8-9 (Table 3, 'IFRS9 Transitional arrangements applied' column used for continuity with FY2019/FY2020) - https://www.bank-abc.com/en/CountrySites/Europe/London/Financial-Info/Basel%20Pillars/Pillar-3-Disclosure_2018.pdf
FY2017 (solo): ABC International Bank plc Pillar 3 Report 2017, Table 4 'RWAs and Capital ratio' and Appendix 2 Own Funds disclosure, p.8/p.24 - https://www.bank-abc.com/en/CountrySites/Europe/London/Financial-Info/Basel%20Pillars/Pillar-3-Disclosure-2018.pdf
FY2016 (solo): ABC International Bank plc Annual Report 2016 (Companies House filing, scanned, visually transcribed), Financial Highlights, p.17 - https://find-and-update.company-information.service.gov.uk/company/02564490/filing-history/MzE3MDg4MzM5M2FkaXF6a2N4/document?format=pdf&amp;download=0
FY2015 (solo): as FY2016's own comparative column (no separate FY2015 filing opened) - https://find-and-update.company-information.service.gov.uk/company/02564490/filing-history/MzE3MDg4MzM5M2FkaXF6a2N4/document?format=pdf&amp;download=0
FY2014 (solo): ABC International Bank plc Annual Report 2014, Financial Highlights, p.13 - https://www.bank-abc.com/en/ShareholderRelations/Annual%20Reports/ABCIB%20Annual%20Report%202014.pdf
FY2023-FY2025 shown on a CONSOLIDATED basis (ABCIB Pillar 3 Disclosures, UK KM1 template); FY2014-FY2022 on a SOLO basis - FY2017-FY2022 from ABCIB's own dedicated Pillar 3 report for each year (which itself states its basis explicitly; the FY2020/FY2021/FY2022 reports carry a Consolidated column alongside Solo, and the Solo column is used throughout for continuity with the other years), FY2014-FY2016 from the Annual Report's own Financial Highlights table (no Pillar 3 report exists for those years). See the Cash Flow Statement sheet's entity note for detail.
FY2025 BASIS RESTATEMENT (2026-09-15): FY2025's capital sheets originally used the Annual Report's solo Financial Highlights table (Total RWA £3,132m, Capital base £517m, Tier 1 ratio 15.0%, Total ratio 16.5%), which left the FY2025 column internally mixed once the Pillar 3 Report 2025 supplied consolidated leverage/LCR/NSFR. On the user's explicit instruction the whole FY2025 column was moved onto the CONSOLIDATED basis (CET1/Tier 1 £579.993m, Total capital £628.255m, RWAs £3,880.104m, CET1/Tier 1 ratio 14.9%, total capital ratio 16.2%), giving a clean consolidated run FY2023-FY2025. The superseded solo figures are preserved: quoted in each capital sheet's note, and kept as a full risk-type split in the RWA Breakdown sheet's SOLO block. Note this removes a presentational artefact - the old mixed column made RWAs appear to FALL from FY2024 to FY2025, whereas like-for-like they rose.
FY2021/FY2022 SOURCE CORRECTION (2026-09-15): an earlier pass recorded these years as having no Pillar 3 document and sourced them from the Annual Report Financial Highlights table. That was wrong - ABCIB-Pillar3Disclosure-2021.pdf and -2022.pdf both exist on the disclosures index. Mining them added Leverage Ratio and LCR for both years and NSFR for FY2022, and upgraded CET1/Tier 1 capital from CALCULATED (RWA x Tier 1 ratio) to DIRECTLY DISCLOSED. Their ratio columns reproduce the previously-held Financial Highlights figures exactly, confirming the two sources share a basis. CET1/Tier 1 capital £m remain CALCULATED only for FY2014-FY2016, whose Financial Highlights tables do not split CET1 from Tier 1 - see the CET1 Capital sheet note.</t>
        </is>
      </c>
    </row>
    <row r="9" ht="150" customHeight="1">
      <c r="A9" s="8" t="inlineStr">
        <is>
          <t>(continued)
No Leverage Ratio or LCR figure is available for FY2014-FY2016 (no Pillar 3 report exists and the Financial Highlights table carries neither metric). NSFR is disclosed from FY2022 onward only; FY2021 and earlier are structurally absent because the UK had no NSFR requirement or disclosure template before 1 January 2022 (PRA PS17/21 / PS22/21) - see the NSFR sheet note. MREL is not disclosed in any year.
BASEL II/EARLY-CRD IV TERMINOLOGY CAVEAT: FY2014-FY2016's Financial Highlights tables report 'Risk asset ratio - Tier 1' and 'Risk asset ratio - Total' only - no separate CET1 concept is disclosed for those years (CET1 as a defined capital tier is a CRD IV/Basel III introduction phased in in the UK from 2014). Per this project's existing convention (assumes CET1 = Tier 1 where ABCIB has no AT1 instruments in issue - confirmed true in every FY2017-FY2024 Pillar 3 report reviewed), FY2014-FY2016's 'Risk asset ratio - Tier 1' is used for both the CET1 Ratio and Tier 1 Ratio sheets.</t>
        </is>
      </c>
    </row>
  </sheetData>
  <mergeCells count="3">
    <mergeCell ref="A9:M9"/>
    <mergeCell ref="A5:M5"/>
    <mergeCell ref="A7:M7"/>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ABC International Bank plc — Total Capital Ratio</t>
        </is>
      </c>
    </row>
    <row r="2">
      <c r="A2" s="2" t="inlineStr">
        <is>
          <t>% of RWA</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capital ratio</t>
        </is>
      </c>
      <c r="B4" s="6" t="inlineStr">
        <is>
          <t>16.2%</t>
        </is>
      </c>
      <c r="C4" s="6" t="inlineStr">
        <is>
          <t>17.7%</t>
        </is>
      </c>
      <c r="D4" s="6" t="inlineStr">
        <is>
          <t>19.3%</t>
        </is>
      </c>
      <c r="E4" s="6" t="inlineStr">
        <is>
          <t>18.2%</t>
        </is>
      </c>
      <c r="F4" s="6" t="inlineStr">
        <is>
          <t>18.3%</t>
        </is>
      </c>
      <c r="G4" s="6" t="inlineStr">
        <is>
          <t>18.5%</t>
        </is>
      </c>
      <c r="H4" s="6" t="inlineStr">
        <is>
          <t>19.3%</t>
        </is>
      </c>
      <c r="I4" s="6" t="inlineStr">
        <is>
          <t>18.3%</t>
        </is>
      </c>
      <c r="J4" s="6" t="inlineStr">
        <is>
          <t>20.4%</t>
        </is>
      </c>
      <c r="K4" s="6" t="inlineStr">
        <is>
          <t>21.5%</t>
        </is>
      </c>
      <c r="L4" s="6" t="inlineStr">
        <is>
          <t>22.9%</t>
        </is>
      </c>
      <c r="M4" s="6" t="inlineStr">
        <is>
          <t>22.1%</t>
        </is>
      </c>
    </row>
    <row r="5" ht="30" customHeight="1">
      <c r="A5" s="7" t="inlineStr">
        <is>
          <t>Note: FY2025 RESTATED 2026-09-15 from SOLO to CONSOLIDATED basis (16.5% -&gt; 16.2%) - see the CET1 Capital sheet note for the reason. Superseded solo value: 16.5% (ABCIB SOLO UK KM1 row 7, p.15, and the Annual Report's 'Risk asset ratio - Total'). FY2022/FY2021 are confirmed unchanged against each year's own Pillar 3 report ('Total Capital' ratio, solo column: 18.2% and 18.3%) - the validation gate for the FY2021/FY2022 documents located 2026-09-15. FY2014-FY2016 labelled 'Risk asset ratio - Total' in the Financial Highlights table.</t>
        </is>
      </c>
    </row>
    <row r="7" ht="390" customHeight="1">
      <c r="A7" s="8" t="inlineStr">
        <is>
          <t>Sources - ABC International Bank plc:
FY2024 &amp; FY2023 (consolidated): ABC International Bank plc Pillar 3 Report 2024, Table "UK KM1 - Key metrics template", p.14 - https://www.bank-abc.com/en/CountrySites/Europe/London/Financial-Info/Basel%20Pillars/ABCIB%20Pillar%203%20final%20Board%202024%20.pdf
FY2023 (consolidated, as originally reported): ABC International Bank plc Pillar 3 Disclosures 2023, Table 3: Key Regulatory Metrics, p.13 - https://www.bank-abc.com/en/CountrySites/Europe/London/Financial-Info/Basel%20Pillars/BH2407109%20-%20Bank%20ABC%20Pillar%203%20Disclosures%202023%20-%20Final%20website%20version.pdf
FY2022 (solo): ABC International Bank plc Pillar 3 Disclosures 2022, Table 3 'Key Regulatory Metrics' (Solo column), Table 17 'LCR components (Average)' and Table 18 'NSFR components (Average)' - https://www.bank-abc.com/en/CountrySites/Europe/London/Financial-Info/Basel%20Pillars/ABCIB-Pillar3Disclosure-2022.pdf
FY2021 (solo): ABC International Bank plc Pillar 3 disclosures 2021, Table 3 'Key Regulatory Metrics' (Solo column), p.8, Table 6 'RWAs and Capital ratio', p.10, and Table 17 'LCR components (Average)', p.17 - https://www.bank-abc.com/en/CountrySites/Europe/London/Financial-Info/Basel%20Pillars/ABCIB-Pillar3Disclosure-2021.pdf
FY2022 &amp; FY2021 (solo, Total Capital/RWA cross-check only): ABC International Bank plc Annual Report 2022, Financial Highlights, p.31 - https://www.bank-abc.com/en/ShareholderRelations/Annual%20Reports/ABCIB%20Annual%20Report%202022.pdf
FY2025 (CONSOLIDATED - all capital, RWA, leverage, LCR and NSFR sheets): ABC International Bank plc Pillar 3 Report 2025, Table 3 'Key Regulatory Metrics', 'ABCIB CONSOLIDATED' UK KM1 table, p.16, and 'ABCIB CONSOLIDATED' UK OV1 table, p.17 - https://www.bank-abc.com/en/CountrySites/Europe/London/Financial-Info/Basel%20Pillars/Bank-ABC-IB-Pillar-Report-2025.pdf
FY2024 (consolidated): as the FY2025 report's own comparative column (validation gate - reproduces this workbook's existing FY2024 figures exactly) - https://www.bank-abc.com/en/CountrySites/Europe/London/Financial-Info/Basel%20Pillars/Bank-ABC-IB-Pillar-Report-2025.pdf
FY2025 (solo - superseded 2026-09-15, retained in the RWA Breakdown sheet's SOLO block and quoted in each capital sheet's note): ABC International Bank plc Pillar 3 Report 2025, 'ABCIB SOLO' UK KM1 table, p.15, and 'ABCIB SOLO' UK OV1 table, p.17 - https://www.bank-abc.com/en/CountrySites/Europe/London/Financial-Info/Basel%20Pillars/Bank-ABC-IB-Pillar-Report-2025.pdf; ABC International Bank plc Annual Report 2025, Financial Highlights, p.20 (scanned Companies House filing, visually transcribed) - https://find-and-update.company-information.service.gov.uk/company/02564490/filing-history
FY2020 (solo): ABC International Bank plc Pillar 3 Disclosures 2020, Table 3 "Key Regulatory Metrics", p.8 - https://www.bank-abc.com/en/CountrySites/Europe/London/Financial-Info/Basel%20Pillars/ABCIB-Pillar3Disclosure-2020.pdf
FY2019 (solo): ABC International Bank plc Pillar 3 Disclosures 2019, p.7-8 - https://www.bank-abc.com/en/CountrySites/Europe/London/Financial-Info/Basel%20Pillars/ABCIB-Pillar3Disclosure2019-postBRC.pdf
FY2018 (solo): ABC International Bank plc Pillar 3 Report 2018, p.8-9 (Table 3, 'IFRS9 Transitional arrangements applied' column used for continuity with FY2019/FY2020) - https://www.bank-abc.com/en/CountrySites/Europe/London/Financial-Info/Basel%20Pillars/Pillar-3-Disclosure_2018.pdf
FY2017 (solo): ABC International Bank plc Pillar 3 Report 2017, Table 4 'RWAs and Capital ratio' and Appendix 2 Own Funds disclosure, p.8/p.24 - https://www.bank-abc.com/en/CountrySites/Europe/London/Financial-Info/Basel%20Pillars/Pillar-3-Disclosure-2018.pdf
FY2016 (solo): ABC International Bank plc Annual Report 2016 (Companies House filing, scanned, visually transcribed), Financial Highlights, p.17 - https://find-and-update.company-information.service.gov.uk/company/02564490/filing-history/MzE3MDg4MzM5M2FkaXF6a2N4/document?format=pdf&amp;download=0
FY2015 (solo): as FY2016's own comparative column (no separate FY2015 filing opened) - https://find-and-update.company-information.service.gov.uk/company/02564490/filing-history/MzE3MDg4MzM5M2FkaXF6a2N4/document?format=pdf&amp;download=0
FY2014 (solo): ABC International Bank plc Annual Report 2014, Financial Highlights, p.13 - https://www.bank-abc.com/en/ShareholderRelations/Annual%20Reports/ABCIB%20Annual%20Report%202014.pdf
FY2023-FY2025 shown on a CONSOLIDATED basis (ABCIB Pillar 3 Disclosures, UK KM1 template); FY2014-FY2022 on a SOLO basis - FY2017-FY2022 from ABCIB's own dedicated Pillar 3 report for each year (which itself states its basis explicitly; the FY2020/FY2021/FY2022 reports carry a Consolidated column alongside Solo, and the Solo column is used throughout for continuity with the other years), FY2014-FY2016 from the Annual Report's own Financial Highlights table (no Pillar 3 report exists for those years). See the Cash Flow Statement sheet's entity note for detail.
FY2025 BASIS RESTATEMENT (2026-09-15): FY2025's capital sheets originally used the Annual Report's solo Financial Highlights table (Total RWA £3,132m, Capital base £517m, Tier 1 ratio 15.0%, Total ratio 16.5%), which left the FY2025 column internally mixed once the Pillar 3 Report 2025 supplied consolidated leverage/LCR/NSFR. On the user's explicit instruction the whole FY2025 column was moved onto the CONSOLIDATED basis (CET1/Tier 1 £579.993m, Total capital £628.255m, RWAs £3,880.104m, CET1/Tier 1 ratio 14.9%, total capital ratio 16.2%), giving a clean consolidated run FY2023-FY2025. The superseded solo figures are preserved: quoted in each capital sheet's note, and kept as a full risk-type split in the RWA Breakdown sheet's SOLO block. Note this removes a presentational artefact - the old mixed column made RWAs appear to FALL from FY2024 to FY2025, whereas like-for-like they rose.
FY2021/FY2022 SOURCE CORRECTION (2026-09-15): an earlier pass recorded these years as having no Pillar 3 document and sourced them from the Annual Report Financial Highlights table. That was wrong - ABCIB-Pillar3Disclosure-2021.pdf and -2022.pdf both exist on the disclosures index. Mining them added Leverage Ratio and LCR for both years and NSFR for FY2022, and upgraded CET1/Tier 1 capital from CALCULATED (RWA x Tier 1 ratio) to DIRECTLY DISCLOSED. Their ratio columns reproduce the previously-held Financial Highlights figures exactly, confirming the two sources share a basis. CET1/Tier 1 capital £m remain CALCULATED only for FY2014-FY2016, whose Financial Highlights tables do not split CET1 from Tier 1 - see the CET1 Capital sheet note.</t>
        </is>
      </c>
    </row>
    <row r="9" ht="150" customHeight="1">
      <c r="A9" s="8" t="inlineStr">
        <is>
          <t>(continued)
No Leverage Ratio or LCR figure is available for FY2014-FY2016 (no Pillar 3 report exists and the Financial Highlights table carries neither metric). NSFR is disclosed from FY2022 onward only; FY2021 and earlier are structurally absent because the UK had no NSFR requirement or disclosure template before 1 January 2022 (PRA PS17/21 / PS22/21) - see the NSFR sheet note. MREL is not disclosed in any year.
BASEL II/EARLY-CRD IV TERMINOLOGY CAVEAT: FY2014-FY2016's Financial Highlights tables report 'Risk asset ratio - Tier 1' and 'Risk asset ratio - Total' only - no separate CET1 concept is disclosed for those years (CET1 as a defined capital tier is a CRD IV/Basel III introduction phased in in the UK from 2014). Per this project's existing convention (assumes CET1 = Tier 1 where ABCIB has no AT1 instruments in issue - confirmed true in every FY2017-FY2024 Pillar 3 report reviewed), FY2014-FY2016's 'Risk asset ratio - Tier 1' is used for both the CET1 Ratio and Tier 1 Ratio sheets.</t>
        </is>
      </c>
    </row>
  </sheetData>
  <mergeCells count="3">
    <mergeCell ref="A9:M9"/>
    <mergeCell ref="A5:M5"/>
    <mergeCell ref="A7:M7"/>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ABC International Bank plc — Total RWAs</t>
        </is>
      </c>
    </row>
    <row r="2">
      <c r="A2" s="2" t="inlineStr">
        <is>
          <t>£m</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Total risk-weighted exposure amount</t>
        </is>
      </c>
      <c r="B4" s="6" t="n">
        <v>3880.104</v>
      </c>
      <c r="C4" s="6" t="n">
        <v>3486.256</v>
      </c>
      <c r="D4" s="6" t="n">
        <v>3104.763</v>
      </c>
      <c r="E4" s="6" t="n">
        <v>2450.11</v>
      </c>
      <c r="F4" s="6" t="n">
        <v>2507.675</v>
      </c>
      <c r="G4" s="6" t="n">
        <v>2397.973</v>
      </c>
      <c r="H4" s="6" t="n">
        <v>2824.811</v>
      </c>
      <c r="I4" s="6" t="n">
        <v>2940.867</v>
      </c>
      <c r="J4" s="6" t="n">
        <v>2574.027</v>
      </c>
      <c r="K4" s="6" t="n">
        <v>2342</v>
      </c>
      <c r="L4" s="6" t="n">
        <v>2152</v>
      </c>
      <c r="M4" s="6" t="n">
        <v>1914</v>
      </c>
    </row>
    <row r="5" ht="52" customHeight="1">
      <c r="A5" s="7" t="inlineStr">
        <is>
          <t>Note: FY2025 RESTATED 2026-09-15 from SOLO to CONSOLIDATED basis (3,132m -&gt; 3,880.104m) - see the CET1 Capital sheet note for the reason. Superseded solo value: 3,132m (Annual Report Financial Highlights); the Pillar 3 Report 2025's own SOLO column gives a more precise 3,131.618m, which is retained in the RWA Breakdown sheet's SOLO block so the solo basis stays visible. This removes the apparent FY2024 -&gt; FY2025 fall that the old mixed presentation created: on a like-for-like consolidated basis RWAs ROSE from 3,486.256m to 3,880.104m. FY2022/FY2021 refined 2026-09-15 to each year's own Pillar 3 report (solo, Table 6 'RWAs and Capital ratio' / Key Regulatory Metrics): 2,450m -&gt; 2,450.110m and 2,508m -&gt; 2,507.675m - the same figures the Annual Report rounds to £m. FY2023 shown as originally reported (consolidated, 3,104.763m); the FY2024 Pillar 3 Report's FY2023 comparative column restates this to 3,101.197m - immaterial (~0.1%), shown as originally reported per this project's convention. FY2016 (2,342m, own-year Annual Report figure) differs immaterially (~0.2%) from the FY2018 Annual Report's restated FY2016 comparative (2,347m) - shown as originally reported, same convention as the FY2023 restatement above.</t>
        </is>
      </c>
    </row>
    <row r="7" ht="390" customHeight="1">
      <c r="A7" s="8" t="inlineStr">
        <is>
          <t>Sources - ABC International Bank plc:
FY2024 &amp; FY2023 (consolidated): ABC International Bank plc Pillar 3 Report 2024, Table "UK KM1 - Key metrics template", p.14 - https://www.bank-abc.com/en/CountrySites/Europe/London/Financial-Info/Basel%20Pillars/ABCIB%20Pillar%203%20final%20Board%202024%20.pdf
FY2023 (consolidated, as originally reported): ABC International Bank plc Pillar 3 Disclosures 2023, Table 3: Key Regulatory Metrics, p.13 - https://www.bank-abc.com/en/CountrySites/Europe/London/Financial-Info/Basel%20Pillars/BH2407109%20-%20Bank%20ABC%20Pillar%203%20Disclosures%202023%20-%20Final%20website%20version.pdf
FY2022 (solo): ABC International Bank plc Pillar 3 Disclosures 2022, Table 3 'Key Regulatory Metrics' (Solo column), Table 17 'LCR components (Average)' and Table 18 'NSFR components (Average)' - https://www.bank-abc.com/en/CountrySites/Europe/London/Financial-Info/Basel%20Pillars/ABCIB-Pillar3Disclosure-2022.pdf
FY2021 (solo): ABC International Bank plc Pillar 3 disclosures 2021, Table 3 'Key Regulatory Metrics' (Solo column), p.8, Table 6 'RWAs and Capital ratio', p.10, and Table 17 'LCR components (Average)', p.17 - https://www.bank-abc.com/en/CountrySites/Europe/London/Financial-Info/Basel%20Pillars/ABCIB-Pillar3Disclosure-2021.pdf
FY2022 &amp; FY2021 (solo, Total Capital/RWA cross-check only): ABC International Bank plc Annual Report 2022, Financial Highlights, p.31 - https://www.bank-abc.com/en/ShareholderRelations/Annual%20Reports/ABCIB%20Annual%20Report%202022.pdf
FY2025 (CONSOLIDATED - all capital, RWA, leverage, LCR and NSFR sheets): ABC International Bank plc Pillar 3 Report 2025, Table 3 'Key Regulatory Metrics', 'ABCIB CONSOLIDATED' UK KM1 table, p.16, and 'ABCIB CONSOLIDATED' UK OV1 table, p.17 - https://www.bank-abc.com/en/CountrySites/Europe/London/Financial-Info/Basel%20Pillars/Bank-ABC-IB-Pillar-Report-2025.pdf
FY2024 (consolidated): as the FY2025 report's own comparative column (validation gate - reproduces this workbook's existing FY2024 figures exactly) - https://www.bank-abc.com/en/CountrySites/Europe/London/Financial-Info/Basel%20Pillars/Bank-ABC-IB-Pillar-Report-2025.pdf
FY2025 (solo - superseded 2026-09-15, retained in the RWA Breakdown sheet's SOLO block and quoted in each capital sheet's note): ABC International Bank plc Pillar 3 Report 2025, 'ABCIB SOLO' UK KM1 table, p.15, and 'ABCIB SOLO' UK OV1 table, p.17 - https://www.bank-abc.com/en/CountrySites/Europe/London/Financial-Info/Basel%20Pillars/Bank-ABC-IB-Pillar-Report-2025.pdf; ABC International Bank plc Annual Report 2025, Financial Highlights, p.20 (scanned Companies House filing, visually transcribed) - https://find-and-update.company-information.service.gov.uk/company/02564490/filing-history
FY2020 (solo): ABC International Bank plc Pillar 3 Disclosures 2020, Table 3 "Key Regulatory Metrics", p.8 - https://www.bank-abc.com/en/CountrySites/Europe/London/Financial-Info/Basel%20Pillars/ABCIB-Pillar3Disclosure-2020.pdf
FY2019 (solo): ABC International Bank plc Pillar 3 Disclosures 2019, p.7-8 - https://www.bank-abc.com/en/CountrySites/Europe/London/Financial-Info/Basel%20Pillars/ABCIB-Pillar3Disclosure2019-postBRC.pdf
FY2018 (solo): ABC International Bank plc Pillar 3 Report 2018, p.8-9 (Table 3, 'IFRS9 Transitional arrangements applied' column used for continuity with FY2019/FY2020) - https://www.bank-abc.com/en/CountrySites/Europe/London/Financial-Info/Basel%20Pillars/Pillar-3-Disclosure_2018.pdf
FY2017 (solo): ABC International Bank plc Pillar 3 Report 2017, Table 4 'RWAs and Capital ratio' and Appendix 2 Own Funds disclosure, p.8/p.24 - https://www.bank-abc.com/en/CountrySites/Europe/London/Financial-Info/Basel%20Pillars/Pillar-3-Disclosure-2018.pdf
FY2016 (solo): ABC International Bank plc Annual Report 2016 (Companies House filing, scanned, visually transcribed), Financial Highlights, p.17 - https://find-and-update.company-information.service.gov.uk/company/02564490/filing-history/MzE3MDg4MzM5M2FkaXF6a2N4/document?format=pdf&amp;download=0
FY2015 (solo): as FY2016's own comparative column (no separate FY2015 filing opened) - https://find-and-update.company-information.service.gov.uk/company/02564490/filing-history/MzE3MDg4MzM5M2FkaXF6a2N4/document?format=pdf&amp;download=0
FY2014 (solo): ABC International Bank plc Annual Report 2014, Financial Highlights, p.13 - https://www.bank-abc.com/en/ShareholderRelations/Annual%20Reports/ABCIB%20Annual%20Report%202014.pdf
FY2023-FY2025 shown on a CONSOLIDATED basis (ABCIB Pillar 3 Disclosures, UK KM1 template); FY2014-FY2022 on a SOLO basis - FY2017-FY2022 from ABCIB's own dedicated Pillar 3 report for each year (which itself states its basis explicitly; the FY2020/FY2021/FY2022 reports carry a Consolidated column alongside Solo, and the Solo column is used throughout for continuity with the other years), FY2014-FY2016 from the Annual Report's own Financial Highlights table (no Pillar 3 report exists for those years). See the Cash Flow Statement sheet's entity note for detail.
FY2025 BASIS RESTATEMENT (2026-09-15): FY2025's capital sheets originally used the Annual Report's solo Financial Highlights table (Total RWA £3,132m, Capital base £517m, Tier 1 ratio 15.0%, Total ratio 16.5%), which left the FY2025 column internally mixed once the Pillar 3 Report 2025 supplied consolidated leverage/LCR/NSFR. On the user's explicit instruction the whole FY2025 column was moved onto the CONSOLIDATED basis (CET1/Tier 1 £579.993m, Total capital £628.255m, RWAs £3,880.104m, CET1/Tier 1 ratio 14.9%, total capital ratio 16.2%), giving a clean consolidated run FY2023-FY2025. The superseded solo figures are preserved: quoted in each capital sheet's note, and kept as a full risk-type split in the RWA Breakdown sheet's SOLO block. Note this removes a presentational artefact - the old mixed column made RWAs appear to FALL from FY2024 to FY2025, whereas like-for-like they rose.
FY2021/FY2022 SOURCE CORRECTION (2026-09-15): an earlier pass recorded these years as having no Pillar 3 document and sourced them from the Annual Report Financial Highlights table. That was wrong - ABCIB-Pillar3Disclosure-2021.pdf and -2022.pdf both exist on the disclosures index. Mining them added Leverage Ratio and LCR for both years and NSFR for FY2022, and upgraded CET1/Tier 1 capital from CALCULATED (RWA x Tier 1 ratio) to DIRECTLY DISCLOSED. Their ratio columns reproduce the previously-held Financial Highlights figures exactly, confirming the two sources share a basis. CET1/Tier 1 capital £m remain CALCULATED only for FY2014-FY2016, whose Financial Highlights tables do not split CET1 from Tier 1 - see the CET1 Capital sheet note.</t>
        </is>
      </c>
    </row>
    <row r="9" ht="150" customHeight="1">
      <c r="A9" s="8" t="inlineStr">
        <is>
          <t>(continued)
No Leverage Ratio or LCR figure is available for FY2014-FY2016 (no Pillar 3 report exists and the Financial Highlights table carries neither metric). NSFR is disclosed from FY2022 onward only; FY2021 and earlier are structurally absent because the UK had no NSFR requirement or disclosure template before 1 January 2022 (PRA PS17/21 / PS22/21) - see the NSFR sheet note. MREL is not disclosed in any year.
BASEL II/EARLY-CRD IV TERMINOLOGY CAVEAT: FY2014-FY2016's Financial Highlights tables report 'Risk asset ratio - Tier 1' and 'Risk asset ratio - Total' only - no separate CET1 concept is disclosed for those years (CET1 as a defined capital tier is a CRD IV/Basel III introduction phased in in the UK from 2014). Per this project's existing convention (assumes CET1 = Tier 1 where ABCIB has no AT1 instruments in issue - confirmed true in every FY2017-FY2024 Pillar 3 report reviewed), FY2014-FY2016's 'Risk asset ratio - Tier 1' is used for both the CET1 Ratio and Tier 1 Ratio sheets.</t>
        </is>
      </c>
    </row>
  </sheetData>
  <mergeCells count="3">
    <mergeCell ref="A9:M9"/>
    <mergeCell ref="A5:M5"/>
    <mergeCell ref="A7:M7"/>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3"/>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54"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ABC International Bank plc — RWA Breakdown</t>
        </is>
      </c>
    </row>
    <row r="2">
      <c r="A2" s="2" t="inlineStr">
        <is>
          <t>All figures in £'000. FY2025/FY2024/FY2023 CONSOLIDATED basis (UK OV1); FY2025 ALSO shown in the SOLO block below, since the Pillar 3 Report 2025 prints both tables in full and the solo basis is retained there for continuity after FY2025's restatement onto the consolidated basis (2026-09-15); FY2022/FY2021 SOLO basis, as disclosed; FY2020-FY2017 SOLO basis, derived from disclosed Pillar 1 capital requirement x 12.5 - see the three SECTION blocks below and the sources note. Each year's TOTAL matches (within rounding) the Total RWAs sheet's figure for that year, on that year's own basis - FY2025's Total RWAs figure is now the CONSOLIDATED 3,880,104. FY2016-FY2014: no risk-type breakdown available - see sources note.</t>
        </is>
      </c>
    </row>
    <row r="3">
      <c r="A3" s="4" t="inlineStr">
        <is>
          <t>Line item</t>
        </is>
      </c>
      <c r="B3" s="4" t="inlineStr">
        <is>
          <t>FY2025 (£'000)</t>
        </is>
      </c>
      <c r="C3" s="4" t="inlineStr">
        <is>
          <t>FY2024 (£'000)</t>
        </is>
      </c>
      <c r="D3" s="4" t="inlineStr">
        <is>
          <t>FY2023 (£'000)</t>
        </is>
      </c>
      <c r="E3" s="4" t="inlineStr">
        <is>
          <t>FY2022 (£'000)</t>
        </is>
      </c>
      <c r="F3" s="4" t="inlineStr">
        <is>
          <t>FY2021 (£'000)</t>
        </is>
      </c>
      <c r="G3" s="4" t="inlineStr">
        <is>
          <t>FY2020 (£'000)</t>
        </is>
      </c>
      <c r="H3" s="4" t="inlineStr">
        <is>
          <t>FY2019 (£'000)</t>
        </is>
      </c>
      <c r="I3" s="4" t="inlineStr">
        <is>
          <t>FY2018 (£'000)</t>
        </is>
      </c>
      <c r="J3" s="4" t="inlineStr">
        <is>
          <t>FY2017 (£'000)</t>
        </is>
      </c>
    </row>
    <row r="4">
      <c r="A4" s="5" t="inlineStr">
        <is>
          <t>UK OV1 — Overview of risk weighted exposure amounts (CONSOLIDATED)</t>
        </is>
      </c>
      <c r="B4" s="6" t="n"/>
      <c r="C4" s="6" t="n"/>
      <c r="D4" s="6" t="n"/>
      <c r="E4" s="6" t="n"/>
      <c r="F4" s="6" t="n"/>
      <c r="G4" s="6" t="n"/>
      <c r="H4" s="6" t="n"/>
      <c r="I4" s="6" t="n"/>
      <c r="J4" s="6" t="n"/>
    </row>
    <row r="5">
      <c r="A5" s="6" t="inlineStr">
        <is>
          <t>Credit risk (excluding CCR)</t>
        </is>
      </c>
      <c r="B5" s="6" t="n">
        <v>3554768</v>
      </c>
      <c r="C5" s="6" t="n">
        <v>3198514</v>
      </c>
      <c r="D5" s="6" t="n">
        <v>2842771</v>
      </c>
      <c r="E5" s="6" t="n"/>
      <c r="F5" s="6" t="n"/>
      <c r="G5" s="6" t="n"/>
      <c r="H5" s="6" t="n"/>
      <c r="I5" s="6" t="n"/>
      <c r="J5" s="6" t="n"/>
    </row>
    <row r="6">
      <c r="A6" s="6" t="inlineStr">
        <is>
          <t>Counterparty credit risk (CCR)</t>
        </is>
      </c>
      <c r="B6" s="6" t="n">
        <v>45144</v>
      </c>
      <c r="C6" s="6" t="n">
        <v>45144</v>
      </c>
      <c r="D6" s="6" t="n">
        <v>55407</v>
      </c>
      <c r="E6" s="6" t="n"/>
      <c r="F6" s="6" t="n"/>
      <c r="G6" s="6" t="n"/>
      <c r="H6" s="6" t="n"/>
      <c r="I6" s="6" t="n"/>
      <c r="J6" s="6" t="n"/>
    </row>
    <row r="7">
      <c r="A7" s="6" t="inlineStr">
        <is>
          <t>Of which: credit valuation adjustment (CVA)</t>
        </is>
      </c>
      <c r="B7" s="6" t="n">
        <v>13124</v>
      </c>
      <c r="C7" s="6" t="n">
        <v>10131</v>
      </c>
      <c r="D7" s="6" t="n">
        <v>11788</v>
      </c>
      <c r="E7" s="6" t="n"/>
      <c r="F7" s="6" t="n"/>
      <c r="G7" s="6" t="n"/>
      <c r="H7" s="6" t="n"/>
      <c r="I7" s="6" t="n"/>
      <c r="J7" s="6" t="n"/>
    </row>
    <row r="8">
      <c r="A8" s="6" t="inlineStr">
        <is>
          <t>Position, foreign exchange and commodities risks (Market risk)</t>
        </is>
      </c>
      <c r="B8" s="6" t="n">
        <v>23741</v>
      </c>
      <c r="C8" s="6" t="n">
        <v>14469</v>
      </c>
      <c r="D8" s="6" t="n">
        <v>5670</v>
      </c>
      <c r="E8" s="6" t="n"/>
      <c r="F8" s="6" t="n"/>
      <c r="G8" s="6" t="n"/>
      <c r="H8" s="6" t="n"/>
      <c r="I8" s="6" t="n"/>
      <c r="J8" s="6" t="n"/>
    </row>
    <row r="9">
      <c r="A9" s="6" t="inlineStr">
        <is>
          <t>Operational risk</t>
        </is>
      </c>
      <c r="B9" s="6" t="n">
        <v>243327</v>
      </c>
      <c r="C9" s="6" t="n">
        <v>217998</v>
      </c>
      <c r="D9" s="6" t="n">
        <v>185561</v>
      </c>
      <c r="E9" s="6" t="n"/>
      <c r="F9" s="6" t="n"/>
      <c r="G9" s="6" t="n"/>
      <c r="H9" s="6" t="n"/>
      <c r="I9" s="6" t="n"/>
      <c r="J9" s="6" t="n"/>
    </row>
    <row r="10">
      <c r="A10" s="5" t="inlineStr">
        <is>
          <t>Total risk weighted exposure amount</t>
        </is>
      </c>
      <c r="B10" s="5" t="n">
        <v>3880104</v>
      </c>
      <c r="C10" s="5" t="n">
        <v>3486256</v>
      </c>
      <c r="D10" s="5" t="n">
        <v>3101197</v>
      </c>
      <c r="E10" s="5" t="n"/>
      <c r="F10" s="5" t="n"/>
      <c r="G10" s="5" t="n"/>
      <c r="H10" s="5" t="n"/>
      <c r="I10" s="5" t="n"/>
      <c r="J10" s="5" t="n"/>
    </row>
    <row r="11">
      <c r="A11" s="5" t="inlineStr">
        <is>
          <t>Regulatory capital note — risk-weighted assets (SOLO, unaudited, as disclosed)</t>
        </is>
      </c>
      <c r="B11" s="6" t="n"/>
      <c r="C11" s="6" t="n"/>
      <c r="D11" s="6" t="n"/>
      <c r="E11" s="6" t="n"/>
      <c r="F11" s="6" t="n"/>
      <c r="G11" s="6" t="n"/>
      <c r="H11" s="6" t="n"/>
      <c r="I11" s="6" t="n"/>
      <c r="J11" s="6" t="n"/>
    </row>
    <row r="12">
      <c r="A12" s="6" t="inlineStr">
        <is>
          <t>Credit and counterparty credit risk</t>
        </is>
      </c>
      <c r="B12" s="6" t="n">
        <v>2923166</v>
      </c>
      <c r="C12" s="6" t="n"/>
      <c r="D12" s="6" t="n"/>
      <c r="E12" s="6" t="n">
        <v>2311968</v>
      </c>
      <c r="F12" s="6" t="n">
        <v>2362339</v>
      </c>
      <c r="G12" s="6" t="n"/>
      <c r="H12" s="6" t="n"/>
      <c r="I12" s="6" t="n"/>
      <c r="J12" s="6" t="n"/>
    </row>
    <row r="13">
      <c r="A13" s="6" t="inlineStr">
        <is>
          <t>Market risk</t>
        </is>
      </c>
      <c r="B13" s="6" t="n">
        <v>24739</v>
      </c>
      <c r="C13" s="6" t="n"/>
      <c r="D13" s="6" t="n"/>
      <c r="E13" s="6" t="n">
        <v>3197</v>
      </c>
      <c r="F13" s="6" t="n">
        <v>1121</v>
      </c>
      <c r="G13" s="6" t="n"/>
      <c r="H13" s="6" t="n"/>
      <c r="I13" s="6" t="n"/>
      <c r="J13" s="6" t="n"/>
    </row>
    <row r="14">
      <c r="A14" s="6" t="inlineStr">
        <is>
          <t>Operational risk</t>
        </is>
      </c>
      <c r="B14" s="6" t="n">
        <v>183713</v>
      </c>
      <c r="C14" s="6" t="n"/>
      <c r="D14" s="6" t="n"/>
      <c r="E14" s="6" t="n">
        <v>134945</v>
      </c>
      <c r="F14" s="6" t="n">
        <v>144216</v>
      </c>
      <c r="G14" s="6" t="n"/>
      <c r="H14" s="6" t="n"/>
      <c r="I14" s="6" t="n"/>
      <c r="J14" s="6" t="n"/>
    </row>
    <row r="15">
      <c r="A15" s="5" t="inlineStr">
        <is>
          <t>Total risk weighted exposure amount</t>
        </is>
      </c>
      <c r="B15" s="5" t="n">
        <v>3131618</v>
      </c>
      <c r="C15" s="5" t="n"/>
      <c r="D15" s="5" t="n"/>
      <c r="E15" s="5" t="n">
        <v>2450110</v>
      </c>
      <c r="F15" s="5" t="n">
        <v>2507676</v>
      </c>
      <c r="G15" s="5" t="n"/>
      <c r="H15" s="5" t="n"/>
      <c r="I15" s="5" t="n"/>
      <c r="J15" s="5" t="n"/>
    </row>
    <row r="16">
      <c r="A16" s="5" t="inlineStr">
        <is>
          <t>Pillar 1 capital requirement × 12.5 (SOLO, derived from disclosed capital requirement)</t>
        </is>
      </c>
      <c r="B16" s="6" t="n"/>
      <c r="C16" s="6" t="n"/>
      <c r="D16" s="6" t="n"/>
      <c r="E16" s="6" t="n"/>
      <c r="F16" s="6" t="n"/>
      <c r="G16" s="6" t="n"/>
      <c r="H16" s="6" t="n"/>
      <c r="I16" s="6" t="n"/>
      <c r="J16" s="6" t="n"/>
    </row>
    <row r="17">
      <c r="A17" s="6" t="inlineStr">
        <is>
          <t>Credit risk</t>
        </is>
      </c>
      <c r="B17" s="6" t="n"/>
      <c r="C17" s="6" t="n"/>
      <c r="D17" s="6" t="n"/>
      <c r="E17" s="6" t="n"/>
      <c r="F17" s="6" t="n"/>
      <c r="G17" s="6" t="n">
        <v>2245800</v>
      </c>
      <c r="H17" s="6" t="n">
        <v>2664138</v>
      </c>
      <c r="I17" s="6" t="n">
        <v>2794500</v>
      </c>
      <c r="J17" s="6" t="n">
        <v>2440150</v>
      </c>
    </row>
    <row r="18">
      <c r="A18" s="6" t="inlineStr">
        <is>
          <t>Market risk</t>
        </is>
      </c>
      <c r="B18" s="6" t="n"/>
      <c r="C18" s="6" t="n"/>
      <c r="D18" s="6" t="n"/>
      <c r="E18" s="6" t="n"/>
      <c r="F18" s="6" t="n"/>
      <c r="G18" s="6" t="n">
        <v>2100</v>
      </c>
      <c r="H18" s="6" t="n">
        <v>8988</v>
      </c>
      <c r="I18" s="6" t="n">
        <v>5250</v>
      </c>
      <c r="J18" s="6" t="n">
        <v>7425</v>
      </c>
    </row>
    <row r="19">
      <c r="A19" s="6" t="inlineStr">
        <is>
          <t>Credit valuation adjustment (CVA)</t>
        </is>
      </c>
      <c r="B19" s="6" t="n"/>
      <c r="C19" s="6" t="n"/>
      <c r="D19" s="6" t="n"/>
      <c r="E19" s="6" t="n"/>
      <c r="F19" s="6" t="n"/>
      <c r="G19" s="6" t="n">
        <v>613</v>
      </c>
      <c r="H19" s="6" t="n">
        <v>475</v>
      </c>
      <c r="I19" s="6" t="n">
        <v>513</v>
      </c>
      <c r="J19" s="6" t="n">
        <v>525</v>
      </c>
    </row>
    <row r="20">
      <c r="A20" s="6" t="inlineStr">
        <is>
          <t>Operational risk</t>
        </is>
      </c>
      <c r="B20" s="6" t="n"/>
      <c r="C20" s="6" t="n"/>
      <c r="D20" s="6" t="n"/>
      <c r="E20" s="6" t="n"/>
      <c r="F20" s="6" t="n"/>
      <c r="G20" s="6" t="n">
        <v>149463</v>
      </c>
      <c r="H20" s="6" t="n">
        <v>151213</v>
      </c>
      <c r="I20" s="6" t="n">
        <v>140613</v>
      </c>
      <c r="J20" s="6" t="n">
        <v>125925</v>
      </c>
    </row>
    <row r="21">
      <c r="A21" s="5" t="inlineStr">
        <is>
          <t>Total risk weighted exposure amount (derived)</t>
        </is>
      </c>
      <c r="B21" s="5" t="n"/>
      <c r="C21" s="5" t="n"/>
      <c r="D21" s="5" t="n"/>
      <c r="E21" s="5" t="n"/>
      <c r="F21" s="5" t="n"/>
      <c r="G21" s="5" t="n">
        <v>2397976</v>
      </c>
      <c r="H21" s="5" t="n">
        <v>2824814</v>
      </c>
      <c r="I21" s="5" t="n">
        <v>2940876</v>
      </c>
      <c r="J21" s="5" t="n">
        <v>2574025</v>
      </c>
    </row>
    <row r="23" ht="325" customHeight="1">
      <c r="A23" s="8" t="inlineStr">
        <is>
          <t>Sources - ABC International Bank plc:
FY2025 (CONSOLIDATED basis, matching the Total RWAs sheet's restated FY2025 figure of 3,880,104; added 2026-09-15): ABC International Bank plc Pillar 3 Report 2025, Table "UK OV1 - Overview of risk weighted exposure amounts", ABCIB CONSOLIDATED, p.17 - https://www.bank-abc.com/en/CountrySites/Europe/London/Financial-Info/Basel%20Pillars/Bank-ABC-IB-Pillar-Report-2025.pdf
FY2024 &amp; FY2023 (CONSOLIDATED basis, matching the Total RWAs sheet's FY2024/FY2023 figures; FY2023 as originally reported by the FY2024 report's own comparative column - no separate OV1 breakdown exists in ABCIB's own FY2023 Pillar 3 Disclosures document, which only carries Table 3's single Total RWA figure, not a category breakdown): ABC International Bank plc Pillar 3 Report 2024, Table "UK OV1 - Overview of risk weighted exposure amounts", ABCIB CONSOLIDATED, p.14 - https://www.bank-abc.com/en/CountrySites/Europe/London/Financial-Info/Basel%20Pillars/ABCIB%20Pillar%203%20final%20Board%202024%20.pdf
NOTE ON THE 'Of which: CVA' ROW: the UK OV1 template labels CVA as an 'of which' subset of counterparty credit risk, and this sheet copies that label verbatim, but in ABCIB's own tables the CVA figure is ADDITIVE, not a subset - FY2025 consolidated foots only as 3,554,768 + 45,144 + 13,124 + 23,741 + 243,327 = 3,880,104, and FY2024 likewise needs its 10,131 CVA added to reach 3,486,256. The source's label is therefore internally inconsistent with its own arithmetic; the figures are transcribed as printed and each block's TOTAL row is the document's own stated total, so no derived value is affected.
FY2025 (SOLO basis - SUPERSEDED as the Total RWAs sheet's basis on 2026-09-15 but retained here so the solo split stays legible), FY2022 &amp; FY2021 (SOLO basis, matching the Total RWAs sheet's own figures for those years - a coarser 3-category split than the OV1 template above, not a separate CCR/CVA breakout; DIRECTLY DISCLOSED as risk-weighted assets, not derived): ABC International Bank plc Annual Report 2025, Note 26 'Regulatory capital', 'Risk-weighted assets (unaudited)' table, p.66 (scanned Companies House filing, visually transcribed) - https://find-and-update.company-information.service.gov.uk/company/02564490/filing-history; ABC International Bank plc Annual Report 2022, Note 25 'Regulatory capital', 'Risk-weighted assets (unaudited)' table, p.66 - https://www.bank-abc.com/en/ShareholderRelations/Annual%20Reports/ABCIB%20Annual%20Report%202022.pdf. The FY2025 solo split also appears as a true UK OV1 table in the Pillar 3 Report 2025 ('ABCIB SOLO', p.17: credit 2,862,420 + CCR 47,494 + CVA 13,252 + market 24,739 + operational 183,713 = 3,131,618), which reconciles exactly to the Annual Report's coarser 3-category figures used here - https://www.bank-abc.com/en/CountrySites/Europe/London/Financial-Info/Basel%20Pillars/Bank-ABC-IB-Pillar-Report-2025.pdf
FY2020, FY2019, FY2018 &amp; FY2017 (SOLO basis, matching the Total RWAs sheet's own figures for those years - DERIVED, not directly disclosed as RWA: each dedicated Pillar 3 report only discloses the Pillar 1 MINIMUM CAPITAL REQUIREMENT by risk type, i.e. 8% of RWA per CRR Article 92 - so each category figure below is that report's own capital-requirement figure divided by 8% (multiplied by 12.5), the standard, exact Basel/CRR identity, not an estimate. Verified against each year's own Total RWA figure (already in the Total RWAs sheet) to within a few £'000 - the residual gap is the source table's own £'000 rounding of the capital-requirement figures before this multiplication, not a data-quality issue here. FY2020's report additionally discloses a Consolidated column alongside Solo - Solo is used throughout for continuity with every other year, per the Total RWAs sheet's own basis note): ABC International Bank plc Pillar 3 Disclosures 2020, Table 5 'Pillar 1 Capital Requirements', p.10 - https://www.bank-abc.com/en/CountrySites/Europe/London/Financial-Info/Basel%20Pillars/ABCIB-Pillar3Disclosure-2020.pdf; ABC International Bank plc Pillar 3 Disclosures 2019, Table 4 'Pillar 1 Capital Requirements', p.10 - https://www.bank-abc.com/en/CountrySites/Europe/London/Financial-Info/Basel%20Pillars/ABCIB-Pillar3Disclosure2019-postBRC.pdf; ABC International Bank plc Pillar 3 Report 2018, Table 4 'Pillar 1 Capital Requirements', p.10 - https://www.bank-abc.com/en/CountrySites/Europe/London/Financial-Info/Basel%20Pillars/Pillar-3-Disclosure_2018.pdf; ABC International Bank plc Pillar 3 Report 2017, Table 3 'Pillar 1 Capital Requirements', p.9 - https://www.bank-abc.com/en/CountrySites/Europe/London/Financial-Info/Basel%20Pillars/Pillar-3-Disclosure-2018.pdf
FY2014-FY2016: not available in the credit/market/operational risk-TYPE split used above. Their Annual Reports' own 'Regulatory capital'/'Called up share capital' notes DO carry a risk-weighted-assets breakdown (checked directly), but only by BOOK type (Banking book / Trading book) - a different, non-comparable dimension to the risk-type categories used in every other year on this sheet, so deliberately not added here rather than mixed in under misleading category labels. No FY2014-FY2016 ABCIB-entity Pillar 3 document could be located at all (see p3_sources note).</t>
        </is>
      </c>
    </row>
  </sheetData>
  <mergeCells count="1">
    <mergeCell ref="A23:J23"/>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10"/>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ABC International Bank plc — Leverage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Total exposure measure excluding claims on central banks (£m)</t>
        </is>
      </c>
      <c r="B4" s="6" t="n">
        <v>5990.509</v>
      </c>
      <c r="C4" s="6" t="n">
        <v>5540.164</v>
      </c>
      <c r="D4" s="6" t="n">
        <v>5155.039</v>
      </c>
      <c r="E4" s="6" t="n">
        <v>3393.925</v>
      </c>
      <c r="F4" s="6" t="n">
        <v>3047.344</v>
      </c>
      <c r="G4" s="6" t="n">
        <v>2937.195</v>
      </c>
      <c r="H4" s="6" t="n">
        <v>3683.204</v>
      </c>
      <c r="I4" s="6" t="n">
        <v>4738.858</v>
      </c>
      <c r="J4" s="6" t="n">
        <v>3726.262</v>
      </c>
    </row>
    <row r="5">
      <c r="A5" s="6" t="inlineStr">
        <is>
          <t>Leverage ratio excluding claims on central banks (%)</t>
        </is>
      </c>
      <c r="B5" s="6" t="inlineStr">
        <is>
          <t>9.7%</t>
        </is>
      </c>
      <c r="C5" s="6" t="inlineStr">
        <is>
          <t>10.2%</t>
        </is>
      </c>
      <c r="D5" s="6" t="inlineStr">
        <is>
          <t>10.62%</t>
        </is>
      </c>
      <c r="E5" s="6" t="inlineStr">
        <is>
          <t>12.28%</t>
        </is>
      </c>
      <c r="F5" s="6" t="inlineStr">
        <is>
          <t>13.77%</t>
        </is>
      </c>
      <c r="G5" s="6" t="inlineStr">
        <is>
          <t>13.39%</t>
        </is>
      </c>
      <c r="H5" s="6" t="inlineStr">
        <is>
          <t>13.45%</t>
        </is>
      </c>
      <c r="I5" s="6" t="inlineStr">
        <is>
          <t>10.28%</t>
        </is>
      </c>
      <c r="J5" s="6" t="inlineStr">
        <is>
          <t>12.59%</t>
        </is>
      </c>
    </row>
    <row r="6" ht="182" customHeight="1">
      <c r="A6" s="7" t="inlineStr">
        <is>
          <t xml:space="preserve">Note: FY2025 added 15 September 2026 from the ABCIB Pillar 3 Report 2025, which was located only via the bank's disclosures index (its filename abandons every prior naming convention - see the P3_2025_URL comment). CONSOLIDATED basis, matching FY2023/FY2024: that report prints separate 'ABCIB SOLO' and 'ABCIB CONSOLIDATED' UK KM1 tables, and its consolidated FY2024 comparative column reproduces this workbook's existing FY2024 figures exactly (exposure 5,540,164k; ratio 10.2%), which is what identifies the basis. The solo table gives a materially different FY2025 (exposure 4,352,399k; ratio 10.8%) and is deliberately NOT used here. FY2022/FY2021 ADDED 2026-09-15 from each year's own dedicated Pillar 3 report, located that day on the disclosures index - the 'live lead' this note previously flagged is now closed. Both are SOLO basis (each report's Key Regulatory Metrics table prints a 'Solo | Consolidated' pair for a single date; the solo column is used, matching FY2017-FY2020 and this workbook's basis for every FY2014-FY2022 year). Their consolidated columns, NOT used, give FY2021 exposure 3,843,784k / 13.56% and FY2022 exposure 4,509,683k / 11.69%. BASIS CAVEAT: FY2017-FY2022 are therefore solo and FY2023-FY2025 consolidated, so the two portions of this row are not strictly like-for-like - the step down from FY2022's 12.28% to FY2023's 10.62% is partly that basis change, not solely a real leverage increase. FY2014-FY2016 remain unavailable (the Annual Report Financial Highlights table carries no leverage metric and no dedicated Pillar 3 report exists for those years).
ONE LEVERAGE BASIS ONLY - CHECKED AND RECORDED 2026-10-09 (GA-026). Template UK LR2 (LRCom) asks for BOTH leverage measures - rows 24 and UK-25c on the including-claims-on-central-banks basis, UK-24b and 25 on the excluding basis, with the reconciling deduction at UK-24a - and 47 workbooks in this corpus carry both. This sheet carries the excluding side alone because that is all this bank publishes, not because the including side was missed.
HOW THAT WAS ESTABLISHED: all 10 source URLs cited on this sheet and its KM1 sheet were re-fetched on 2026-10-09 (9 returned a real PDF, %PDF magic bytes checked), and each document's full text was searched for an LR2/LRCom template and for the 'including claims on central banks' wording. No edition contained either. The bank files UK KM1, whose leverage block (rows 13 and 14) asks only for the excluding measure; a KM1 filer that publishes no LR2 therefore discloses one basis.
THIS IS A RECORDED FINDING, NOT AN UNCHECKED GAP. Do not reopen it on the sheet's shape alone. It should be reopened when a NEW edition appears, since a bank can begin printing LR2 at any time - Aldermore's FY2026 report is the first of its eight editions to do so. And note the method's own limit: the text search is defeated by a figure wrapping into the middle of a label (UBP's KM1 renders as '...excluding claims  4,407,957  on central banks'), so a hit was always read by hand and only a clean zero across every edition supports this finding. </t>
        </is>
      </c>
    </row>
    <row r="8" ht="364" customHeight="1">
      <c r="A8" s="8" t="inlineStr">
        <is>
          <t>Sources - ABC International Bank plc:
FY2024 &amp; FY2023 (consolidated): ABC International Bank plc Pillar 3 Report 2024, Table "UK KM1 - Key metrics template", p.14 - https://www.bank-abc.com/en/CountrySites/Europe/London/Financial-Info/Basel%20Pillars/ABCIB%20Pillar%203%20final%20Board%202024%20.pdf
FY2023 (consolidated, as originally reported): ABC International Bank plc Pillar 3 Disclosures 2023, Table 3: Key Regulatory Metrics, p.13 - https://www.bank-abc.com/en/CountrySites/Europe/London/Financial-Info/Basel%20Pillars/BH2407109%20-%20Bank%20ABC%20Pillar%203%20Disclosures%202023%20-%20Final%20website%20version.pdf
FY2022 (solo): ABC International Bank plc Pillar 3 Disclosures 2022, Table 3 'Key Regulatory Metrics' (Solo column), Table 17 'LCR components (Average)' and Table 18 'NSFR components (Average)' - https://www.bank-abc.com/en/CountrySites/Europe/London/Financial-Info/Basel%20Pillars/ABCIB-Pillar3Disclosure-2022.pdf
FY2021 (solo): ABC International Bank plc Pillar 3 disclosures 2021, Table 3 'Key Regulatory Metrics' (Solo column), p.8, Table 6 'RWAs and Capital ratio', p.10, and Table 17 'LCR components (Average)', p.17 - https://www.bank-abc.com/en/CountrySites/Europe/London/Financial-Info/Basel%20Pillars/ABCIB-Pillar3Disclosure-2021.pdf
FY2022 &amp; FY2021 (solo, Total Capital/RWA cross-check only): ABC International Bank plc Annual Report 2022, Financial Highlights, p.31 - https://www.bank-abc.com/en/ShareholderRelations/Annual%20Reports/ABCIB%20Annual%20Report%202022.pdf
FY2025 (CONSOLIDATED - all capital, RWA, leverage, LCR and NSFR sheets): ABC International Bank plc Pillar 3 Report 2025, Table 3 'Key Regulatory Metrics', 'ABCIB CONSOLIDATED' UK KM1 table, p.16, and 'ABCIB CONSOLIDATED' UK OV1 table, p.17 - https://www.bank-abc.com/en/CountrySites/Europe/London/Financial-Info/Basel%20Pillars/Bank-ABC-IB-Pillar-Report-2025.pdf
FY2024 (consolidated): as the FY2025 report's own comparative column (validation gate - reproduces this workbook's existing FY2024 figures exactly) - https://www.bank-abc.com/en/CountrySites/Europe/London/Financial-Info/Basel%20Pillars/Bank-ABC-IB-Pillar-Report-2025.pdf
FY2025 (solo - superseded 2026-09-15, retained in the RWA Breakdown sheet's SOLO block and quoted in each capital sheet's note): ABC International Bank plc Pillar 3 Report 2025, 'ABCIB SOLO' UK KM1 table, p.15, and 'ABCIB SOLO' UK OV1 table, p.17 - https://www.bank-abc.com/en/CountrySites/Europe/London/Financial-Info/Basel%20Pillars/Bank-ABC-IB-Pillar-Report-2025.pdf; ABC International Bank plc Annual Report 2025, Financial Highlights, p.20 (scanned Companies House filing, visually transcribed) - https://find-and-update.company-information.service.gov.uk/company/02564490/filing-history
FY2020 (solo): ABC International Bank plc Pillar 3 Disclosures 2020, Table 3 "Key Regulatory Metrics", p.8 - https://www.bank-abc.com/en/CountrySites/Europe/London/Financial-Info/Basel%20Pillars/ABCIB-Pillar3Disclosure-2020.pdf
FY2019 (solo): ABC International Bank plc Pillar 3 Disclosures 2019, p.7-8 - https://www.bank-abc.com/en/CountrySites/Europe/London/Financial-Info/Basel%20Pillars/ABCIB-Pillar3Disclosure2019-postBRC.pdf
FY2018 (solo): ABC International Bank plc Pillar 3 Report 2018, p.8-9 (Table 3, 'IFRS9 Transitional arrangements applied' column used for continuity with FY2019/FY2020) - https://www.bank-abc.com/en/CountrySites/Europe/London/Financial-Info/Basel%20Pillars/Pillar-3-Disclosure_2018.pdf
FY2017 (solo): ABC International Bank plc Pillar 3 Report 2017, Table 4 'RWAs and Capital ratio' and Appendix 2 Own Funds disclosure, p.8/p.24 - https://www.bank-abc.com/en/CountrySites/Europe/London/Financial-Info/Basel%20Pillars/Pillar-3-Disclosure-2018.pdf
FY2016 (solo): ABC International Bank plc Annual Report 2016 (Companies House filing, scanned, visually transcribed), Financial Highlights, p.17 - https://find-and-update.company-information.service.gov.uk/company/02564490/filing-history/MzE3MDg4MzM5M2FkaXF6a2N4/document?format=pdf&amp;download=0
FY2015 (solo): as FY2016's own comparative column (no separate FY2015 filing opened) - https://find-and-update.company-information.service.gov.uk/company/02564490/filing-history/MzE3MDg4MzM5M2FkaXF6a2N4/document?format=pdf&amp;download=0
FY2014 (solo): ABC International Bank plc Annual Report 2014, Financial Highlights, p.13 - https://www.bank-abc.com/en/ShareholderRelations/Annual%20Reports/ABCIB%20Annual%20Report%202014.pdf
FY2023-FY2025 shown on a CONSOLIDATED basis (ABCIB Pillar 3 Disclosures, UK KM1 template); FY2014-FY2022 on a SOLO basis - FY2017-FY2022 from ABCIB's own dedicated Pillar 3 report for each year (which itself states its basis explicitly; the FY2020/FY2021/FY2022 reports carry a Consolidated column alongside Solo, and the Solo column is used throughout for continuity with the other years), FY2014-FY2016 from the Annual Report's own Financial Highlights table (no Pillar 3 report exists for those years). See the Cash Flow Statement sheet's entity note for detail.</t>
        </is>
      </c>
    </row>
    <row r="10" ht="208" customHeight="1">
      <c r="A10" s="8" t="inlineStr">
        <is>
          <t>(continued)
FY2025 BASIS RESTATEMENT (2026-09-15): FY2025's capital sheets originally used the Annual Report's solo Financial Highlights table (Total RWA £3,132m, Capital base £517m, Tier 1 ratio 15.0%, Total ratio 16.5%), which left the FY2025 column internally mixed once the Pillar 3 Report 2025 supplied consolidated leverage/LCR/NSFR. On the user's explicit instruction the whole FY2025 column was moved onto the CONSOLIDATED basis (CET1/Tier 1 £579.993m, Total capital £628.255m, RWAs £3,880.104m, CET1/Tier 1 ratio 14.9%, total capital ratio 16.2%), giving a clean consolidated run FY2023-FY2025. The superseded solo figures are preserved: quoted in each capital sheet's note, and kept as a full risk-type split in the RWA Breakdown sheet's SOLO block. Note this removes a presentational artefact - the old mixed column made RWAs appear to FALL from FY2024 to FY2025, whereas like-for-like they rose.
FY2021/FY2022 SOURCE CORRECTION (2026-09-15): an earlier pass recorded these years as having no Pillar 3 document and sourced them from the Annual Report Financial Highlights table. That was wrong - ABCIB-Pillar3Disclosure-2021.pdf and -2022.pdf both exist on the disclosures index. Mining them added Leverage Ratio and LCR for both years and NSFR for FY2022, and upgraded CET1/Tier 1 capital from CALCULATED (RWA x Tier 1 ratio) to DIRECTLY DISCLOSED. Their ratio columns reproduce the previously-held Financial Highlights figures exactly, confirming the two sources share a basis. CET1/Tier 1 capital £m remain CALCULATED only for FY2014-FY2016, whose Financial Highlights tables do not split CET1 from Tier 1 - see the CET1 Capital sheet note.
No Leverage Ratio or LCR figure is available for FY2014-FY2016 (no Pillar 3 report exists and the Financial Highlights table carries neither metric). NSFR is disclosed from FY2022 onward only; FY2021 and earlier are structurally absent because the UK had no NSFR requirement or disclosure template before 1 January 2022 (PRA PS17/21 / PS22/21) - see the NSFR sheet note. MREL is not disclosed in any year.
BASEL II/EARLY-CRD IV TERMINOLOGY CAVEAT: FY2014-FY2016's Financial Highlights tables report 'Risk asset ratio - Tier 1' and 'Risk asset ratio - Total' only - no separate CET1 concept is disclosed for those years (CET1 as a defined capital tier is a CRD IV/Basel III introduction phased in in the UK from 2014). Per this project's existing convention (assumes CET1 = Tier 1 where ABCIB has no AT1 instruments in issue - confirmed true in every FY2017-FY2024 Pillar 3 report reviewed), FY2014-FY2016's 'Risk asset ratio - Tier 1' is used for both the CET1 Ratio and Tier 1 Ratio sheets.</t>
        </is>
      </c>
    </row>
  </sheetData>
  <mergeCells count="3">
    <mergeCell ref="A6:J6"/>
    <mergeCell ref="A10:J10"/>
    <mergeCell ref="A8:J8"/>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c r="A1" s="1" t="inlineStr">
        <is>
          <t>ABC International Bank plc — LCR</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row>
    <row r="4">
      <c r="A4" s="6" t="inlineStr">
        <is>
          <t>Total high-quality liquid assets (HQLA), weighted value - average (£m)</t>
        </is>
      </c>
      <c r="B4" s="6" t="n">
        <v>748.628</v>
      </c>
      <c r="C4" s="6" t="n">
        <v>854.893</v>
      </c>
      <c r="D4" s="6" t="n">
        <v>699.862</v>
      </c>
      <c r="E4" s="6" t="n">
        <v>427.736</v>
      </c>
      <c r="F4" s="6" t="n">
        <v>362.21</v>
      </c>
      <c r="G4" s="6" t="n">
        <v>362.315</v>
      </c>
      <c r="H4" s="6" t="n">
        <v>634.602</v>
      </c>
      <c r="I4" s="6" t="n">
        <v>566.611</v>
      </c>
      <c r="J4" s="6" t="n">
        <v>1002.101</v>
      </c>
    </row>
    <row r="5">
      <c r="A5" s="6" t="inlineStr">
        <is>
          <t>Total net cash outflows, adjusted value (£m)</t>
        </is>
      </c>
      <c r="B5" s="6" t="n">
        <v>299.37</v>
      </c>
      <c r="C5" s="6" t="n">
        <v>252.133</v>
      </c>
      <c r="D5" s="6" t="n">
        <v>189.675</v>
      </c>
      <c r="E5" s="6" t="n">
        <v>139.904</v>
      </c>
      <c r="F5" s="6" t="n">
        <v>133.186</v>
      </c>
      <c r="G5" s="6" t="n">
        <v>127.56</v>
      </c>
      <c r="H5" s="6" t="n">
        <v>168.941</v>
      </c>
      <c r="I5" s="6" t="n">
        <v>192.084</v>
      </c>
      <c r="J5" s="6" t="n">
        <v>405.144</v>
      </c>
    </row>
    <row r="6">
      <c r="A6" s="6" t="inlineStr">
        <is>
          <t>Liquidity Coverage Ratio (%)</t>
        </is>
      </c>
      <c r="B6" s="6" t="inlineStr">
        <is>
          <t>250.1%</t>
        </is>
      </c>
      <c r="C6" s="6" t="inlineStr">
        <is>
          <t>339.1%</t>
        </is>
      </c>
      <c r="D6" s="6" t="inlineStr">
        <is>
          <t>369.0%</t>
        </is>
      </c>
      <c r="E6" s="6" t="inlineStr">
        <is>
          <t>310%</t>
        </is>
      </c>
      <c r="F6" s="6" t="inlineStr">
        <is>
          <t>276%</t>
        </is>
      </c>
      <c r="G6" s="6" t="inlineStr">
        <is>
          <t>281%</t>
        </is>
      </c>
      <c r="H6" s="6" t="inlineStr">
        <is>
          <t>391%</t>
        </is>
      </c>
      <c r="I6" s="6" t="inlineStr">
        <is>
          <t>325%</t>
        </is>
      </c>
      <c r="J6" s="6" t="inlineStr">
        <is>
          <t>281%</t>
        </is>
      </c>
    </row>
    <row r="7" ht="91" customHeight="1">
      <c r="A7" s="7" t="inlineStr">
        <is>
          <t>Note: FY2025 added 15 September 2026 from the ABCIB Pillar 3 Report 2025, 'ABCIB CONSOLIDATED' UK KM1 table - same consolidated basis as FY2023/FY2024, confirmed by that table's FY2024 comparative column reproducing this workbook's existing HQLA 854,893k / outflows 252,133k / 339.1% exactly. Internal cross-check: 748,628 / 299,370 = 250.07%, consistent with the printed 250.1%. The report's separate solo table gives a different FY2025 LCR (231.0%) and is not used. FY2023 LCR is sourced from the FY2024 Pillar 3 Report's comparative column - ABCIB's own FY2023 Pillar 3 Disclosures document (Table 3) does not include LCR at all (only capital and leverage metrics). FY2022/FY2021 ADDED 2026-09-15 from each year's own dedicated Pillar 3 report (Table 17 'LCR components (Average)'), located that day - closing the 'live lead' this note previously flagged. SOLO column used, matching FY2017-FY2020; the consolidated columns, NOT used, give FY2021 327% and FY2022 330%. Both years' reports state the components are 'based on the average of the twelve monthly reported data items', i.e. the same 12-month-average basis as the UK KM1 years - NOT a point-in-time year-end ratio. NOTE the component rows do not divide to the printed ratio (FY2021 362,210/133,186 = 272.0% vs 276% printed; FY2022 427,736/139,904 = 305.7% vs 310% printed): the disclosed ratio is the average of the twelve monthly LCRs, whereas the components are averaged separately, so a ratio-of-averages does not reproduce an average-of-ratios. The printed ratio is carried as disclosed; nothing is derived. 'Liquidity Buffer' is that table's label for the HQLA row. FY2014-FY2016 not available. FY2017-FY2022 are all SOLO basis, so they are not strictly like-for-like with the consolidated FY2023-FY2025 figures.</t>
        </is>
      </c>
    </row>
    <row r="9" ht="364" customHeight="1">
      <c r="A9" s="8" t="inlineStr">
        <is>
          <t>Sources - ABC International Bank plc:
FY2024 &amp; FY2023 (consolidated): ABC International Bank plc Pillar 3 Report 2024, Table "UK KM1 - Key metrics template", p.14 - https://www.bank-abc.com/en/CountrySites/Europe/London/Financial-Info/Basel%20Pillars/ABCIB%20Pillar%203%20final%20Board%202024%20.pdf
FY2023 (consolidated, as originally reported): ABC International Bank plc Pillar 3 Disclosures 2023, Table 3: Key Regulatory Metrics, p.13 - https://www.bank-abc.com/en/CountrySites/Europe/London/Financial-Info/Basel%20Pillars/BH2407109%20-%20Bank%20ABC%20Pillar%203%20Disclosures%202023%20-%20Final%20website%20version.pdf
FY2022 (solo): ABC International Bank plc Pillar 3 Disclosures 2022, Table 3 'Key Regulatory Metrics' (Solo column), Table 17 'LCR components (Average)' and Table 18 'NSFR components (Average)' - https://www.bank-abc.com/en/CountrySites/Europe/London/Financial-Info/Basel%20Pillars/ABCIB-Pillar3Disclosure-2022.pdf
FY2021 (solo): ABC International Bank plc Pillar 3 disclosures 2021, Table 3 'Key Regulatory Metrics' (Solo column), p.8, Table 6 'RWAs and Capital ratio', p.10, and Table 17 'LCR components (Average)', p.17 - https://www.bank-abc.com/en/CountrySites/Europe/London/Financial-Info/Basel%20Pillars/ABCIB-Pillar3Disclosure-2021.pdf
FY2022 &amp; FY2021 (solo, Total Capital/RWA cross-check only): ABC International Bank plc Annual Report 2022, Financial Highlights, p.31 - https://www.bank-abc.com/en/ShareholderRelations/Annual%20Reports/ABCIB%20Annual%20Report%202022.pdf
FY2025 (CONSOLIDATED - all capital, RWA, leverage, LCR and NSFR sheets): ABC International Bank plc Pillar 3 Report 2025, Table 3 'Key Regulatory Metrics', 'ABCIB CONSOLIDATED' UK KM1 table, p.16, and 'ABCIB CONSOLIDATED' UK OV1 table, p.17 - https://www.bank-abc.com/en/CountrySites/Europe/London/Financial-Info/Basel%20Pillars/Bank-ABC-IB-Pillar-Report-2025.pdf
FY2024 (consolidated): as the FY2025 report's own comparative column (validation gate - reproduces this workbook's existing FY2024 figures exactly) - https://www.bank-abc.com/en/CountrySites/Europe/London/Financial-Info/Basel%20Pillars/Bank-ABC-IB-Pillar-Report-2025.pdf
FY2025 (solo - superseded 2026-09-15, retained in the RWA Breakdown sheet's SOLO block and quoted in each capital sheet's note): ABC International Bank plc Pillar 3 Report 2025, 'ABCIB SOLO' UK KM1 table, p.15, and 'ABCIB SOLO' UK OV1 table, p.17 - https://www.bank-abc.com/en/CountrySites/Europe/London/Financial-Info/Basel%20Pillars/Bank-ABC-IB-Pillar-Report-2025.pdf; ABC International Bank plc Annual Report 2025, Financial Highlights, p.20 (scanned Companies House filing, visually transcribed) - https://find-and-update.company-information.service.gov.uk/company/02564490/filing-history
FY2020 (solo): ABC International Bank plc Pillar 3 Disclosures 2020, Table 3 "Key Regulatory Metrics", p.8 - https://www.bank-abc.com/en/CountrySites/Europe/London/Financial-Info/Basel%20Pillars/ABCIB-Pillar3Disclosure-2020.pdf
FY2019 (solo): ABC International Bank plc Pillar 3 Disclosures 2019, p.7-8 - https://www.bank-abc.com/en/CountrySites/Europe/London/Financial-Info/Basel%20Pillars/ABCIB-Pillar3Disclosure2019-postBRC.pdf
FY2018 (solo): ABC International Bank plc Pillar 3 Report 2018, p.8-9 (Table 3, 'IFRS9 Transitional arrangements applied' column used for continuity with FY2019/FY2020) - https://www.bank-abc.com/en/CountrySites/Europe/London/Financial-Info/Basel%20Pillars/Pillar-3-Disclosure_2018.pdf
FY2017 (solo): ABC International Bank plc Pillar 3 Report 2017, Table 4 'RWAs and Capital ratio' and Appendix 2 Own Funds disclosure, p.8/p.24 - https://www.bank-abc.com/en/CountrySites/Europe/London/Financial-Info/Basel%20Pillars/Pillar-3-Disclosure-2018.pdf
FY2016 (solo): ABC International Bank plc Annual Report 2016 (Companies House filing, scanned, visually transcribed), Financial Highlights, p.17 - https://find-and-update.company-information.service.gov.uk/company/02564490/filing-history/MzE3MDg4MzM5M2FkaXF6a2N4/document?format=pdf&amp;download=0
FY2015 (solo): as FY2016's own comparative column (no separate FY2015 filing opened) - https://find-and-update.company-information.service.gov.uk/company/02564490/filing-history/MzE3MDg4MzM5M2FkaXF6a2N4/document?format=pdf&amp;download=0
FY2014 (solo): ABC International Bank plc Annual Report 2014, Financial Highlights, p.13 - https://www.bank-abc.com/en/ShareholderRelations/Annual%20Reports/ABCIB%20Annual%20Report%202014.pdf
FY2023-FY2025 shown on a CONSOLIDATED basis (ABCIB Pillar 3 Disclosures, UK KM1 template); FY2014-FY2022 on a SOLO basis - FY2017-FY2022 from ABCIB's own dedicated Pillar 3 report for each year (which itself states its basis explicitly; the FY2020/FY2021/FY2022 reports carry a Consolidated column alongside Solo, and the Solo column is used throughout for continuity with the other years), FY2014-FY2016 from the Annual Report's own Financial Highlights table (no Pillar 3 report exists for those years). See the Cash Flow Statement sheet's entity note for detail.</t>
        </is>
      </c>
    </row>
    <row r="11" ht="208" customHeight="1">
      <c r="A11" s="8" t="inlineStr">
        <is>
          <t>(continued)
FY2025 BASIS RESTATEMENT (2026-09-15): FY2025's capital sheets originally used the Annual Report's solo Financial Highlights table (Total RWA £3,132m, Capital base £517m, Tier 1 ratio 15.0%, Total ratio 16.5%), which left the FY2025 column internally mixed once the Pillar 3 Report 2025 supplied consolidated leverage/LCR/NSFR. On the user's explicit instruction the whole FY2025 column was moved onto the CONSOLIDATED basis (CET1/Tier 1 £579.993m, Total capital £628.255m, RWAs £3,880.104m, CET1/Tier 1 ratio 14.9%, total capital ratio 16.2%), giving a clean consolidated run FY2023-FY2025. The superseded solo figures are preserved: quoted in each capital sheet's note, and kept as a full risk-type split in the RWA Breakdown sheet's SOLO block. Note this removes a presentational artefact - the old mixed column made RWAs appear to FALL from FY2024 to FY2025, whereas like-for-like they rose.
FY2021/FY2022 SOURCE CORRECTION (2026-09-15): an earlier pass recorded these years as having no Pillar 3 document and sourced them from the Annual Report Financial Highlights table. That was wrong - ABCIB-Pillar3Disclosure-2021.pdf and -2022.pdf both exist on the disclosures index. Mining them added Leverage Ratio and LCR for both years and NSFR for FY2022, and upgraded CET1/Tier 1 capital from CALCULATED (RWA x Tier 1 ratio) to DIRECTLY DISCLOSED. Their ratio columns reproduce the previously-held Financial Highlights figures exactly, confirming the two sources share a basis. CET1/Tier 1 capital £m remain CALCULATED only for FY2014-FY2016, whose Financial Highlights tables do not split CET1 from Tier 1 - see the CET1 Capital sheet note.
No Leverage Ratio or LCR figure is available for FY2014-FY2016 (no Pillar 3 report exists and the Financial Highlights table carries neither metric). NSFR is disclosed from FY2022 onward only; FY2021 and earlier are structurally absent because the UK had no NSFR requirement or disclosure template before 1 January 2022 (PRA PS17/21 / PS22/21) - see the NSFR sheet note. MREL is not disclosed in any year.
BASEL II/EARLY-CRD IV TERMINOLOGY CAVEAT: FY2014-FY2016's Financial Highlights tables report 'Risk asset ratio - Tier 1' and 'Risk asset ratio - Total' only - no separate CET1 concept is disclosed for those years (CET1 as a defined capital tier is a CRD IV/Basel III introduction phased in in the UK from 2014). Per this project's existing convention (assumes CET1 = Tier 1 where ABCIB has no AT1 instruments in issue - confirmed true in every FY2017-FY2024 Pillar 3 report reviewed), FY2014-FY2016's 'Risk asset ratio - Tier 1' is used for both the CET1 Ratio and Tier 1 Ratio sheets.</t>
        </is>
      </c>
    </row>
  </sheetData>
  <mergeCells count="3">
    <mergeCell ref="A7:J7"/>
    <mergeCell ref="A9:J9"/>
    <mergeCell ref="A11:J1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s>
  <sheetData>
    <row r="1">
      <c r="A1" s="1" t="inlineStr">
        <is>
          <t>ABC International Bank plc — NSFR</t>
        </is>
      </c>
    </row>
    <row r="2">
      <c r="A2" s="2" t="inlineStr">
        <is>
          <t>£m / %</t>
        </is>
      </c>
    </row>
    <row r="3">
      <c r="A3" s="4" t="inlineStr">
        <is>
          <t>Metric</t>
        </is>
      </c>
      <c r="B3" s="4" t="inlineStr">
        <is>
          <t>FY2025</t>
        </is>
      </c>
      <c r="C3" s="4" t="inlineStr">
        <is>
          <t>FY2024</t>
        </is>
      </c>
      <c r="D3" s="4" t="inlineStr">
        <is>
          <t>FY2023</t>
        </is>
      </c>
      <c r="E3" s="4" t="inlineStr">
        <is>
          <t>FY2022</t>
        </is>
      </c>
    </row>
    <row r="4">
      <c r="A4" s="6" t="inlineStr">
        <is>
          <t>Total available stable funding (£m)</t>
        </is>
      </c>
      <c r="B4" s="6" t="n">
        <v>2391.315</v>
      </c>
      <c r="C4" s="6" t="n">
        <v>2339.367</v>
      </c>
      <c r="D4" s="6" t="n">
        <v>2053.004</v>
      </c>
      <c r="E4" s="6" t="n">
        <v>1660.479</v>
      </c>
    </row>
    <row r="5">
      <c r="A5" s="6" t="inlineStr">
        <is>
          <t>Total required stable funding (£m)</t>
        </is>
      </c>
      <c r="B5" s="6" t="n">
        <v>1902.311</v>
      </c>
      <c r="C5" s="6" t="n">
        <v>1802.627</v>
      </c>
      <c r="D5" s="6" t="n">
        <v>1504.583</v>
      </c>
      <c r="E5" s="6" t="n">
        <v>1325.875</v>
      </c>
    </row>
    <row r="6">
      <c r="A6" s="6" t="inlineStr">
        <is>
          <t>Net Stable Funding Ratio (%)</t>
        </is>
      </c>
      <c r="B6" s="6" t="inlineStr">
        <is>
          <t>125.7%</t>
        </is>
      </c>
      <c r="C6" s="6" t="inlineStr">
        <is>
          <t>129.8%</t>
        </is>
      </c>
      <c r="D6" s="6" t="inlineStr">
        <is>
          <t>136.4%</t>
        </is>
      </c>
      <c r="E6" s="6" t="inlineStr">
        <is>
          <t>125.24%</t>
        </is>
      </c>
    </row>
    <row r="7" ht="130" customHeight="1">
      <c r="A7" s="7" t="inlineStr">
        <is>
          <t>Note: FY2025 added 15 September 2026 from the ABCIB Pillar 3 Report 2025, 'ABCIB CONSOLIDATED' UK KM1 table - same consolidated basis as FY2023/FY2024, confirmed by that table's FY2024 comparative column reproducing this workbook's existing ASF 2,339,367k / RSF 1,802,627k / 129.8% exactly. Internal cross-check: 2,391,315 / 1,902,311 = 125.7%, matching the printed ratio. FY2023 NSFR is sourced from the FY2024 Pillar 3 Report's comparative column - same reason as the LCR sheet. FY2022 ADDED 2026-09-15 from the ABCIB Pillar 3 Disclosures 2022, Table 18 'NSFR components (Average)', located that day - SOLO basis ('Solo Avg 2022' column; the consolidated column, NOT used, gives 123.91%). Internal cross-check: 1,660,479 / 1,325,875 = 125.24%, matching the printed ratio exactly. This is ABCIB's FIRST disclosed NSFR and it correctly falls in the first year the UK requirement applied. FY2021 and earlier are STRUCTURALLY absent, not an oversight: the FY2021 Pillar 3 report was re-read in full on 2026-09-15 and contains zero occurrences of 'stable funding' anywhere, and NSFR is discussed only in qualitative/narrative terms (e.g. 'well on the way to becoming fully compliant') in ABCIB's FY2016-FY2020 reports, never as a figure. That is exactly what PRA PS17/21 / PS22/21 require: the UK had no NSFR requirement and no NSFR disclosure template before 1 January 2022, and firms were not required to disclose comparatives for periods before the rule bit. Blank rather than derived. FY2014-FY2016 likewise unavailable.</t>
        </is>
      </c>
    </row>
    <row r="9" ht="390" customHeight="1">
      <c r="A9" s="8" t="inlineStr">
        <is>
          <t>Sources - ABC International Bank plc:
FY2024 &amp; FY2023 (consolidated): ABC International Bank plc Pillar 3 Report 2024, Table "UK KM1 - Key metrics template", p.14 - https://www.bank-abc.com/en/CountrySites/Europe/London/Financial-Info/Basel%20Pillars/ABCIB%20Pillar%203%20final%20Board%202024%20.pdf
FY2023 (consolidated, as originally reported): ABC International Bank plc Pillar 3 Disclosures 2023, Table 3: Key Regulatory Metrics, p.13 - https://www.bank-abc.com/en/CountrySites/Europe/London/Financial-Info/Basel%20Pillars/BH2407109%20-%20Bank%20ABC%20Pillar%203%20Disclosures%202023%20-%20Final%20website%20version.pdf
FY2022 (solo): ABC International Bank plc Pillar 3 Disclosures 2022, Table 3 'Key Regulatory Metrics' (Solo column), Table 17 'LCR components (Average)' and Table 18 'NSFR components (Average)' - https://www.bank-abc.com/en/CountrySites/Europe/London/Financial-Info/Basel%20Pillars/ABCIB-Pillar3Disclosure-2022.pdf
FY2021 (solo): ABC International Bank plc Pillar 3 disclosures 2021, Table 3 'Key Regulatory Metrics' (Solo column), p.8, Table 6 'RWAs and Capital ratio', p.10, and Table 17 'LCR components (Average)', p.17 - https://www.bank-abc.com/en/CountrySites/Europe/London/Financial-Info/Basel%20Pillars/ABCIB-Pillar3Disclosure-2021.pdf
FY2022 &amp; FY2021 (solo, Total Capital/RWA cross-check only): ABC International Bank plc Annual Report 2022, Financial Highlights, p.31 - https://www.bank-abc.com/en/ShareholderRelations/Annual%20Reports/ABCIB%20Annual%20Report%202022.pdf
FY2025 (CONSOLIDATED - all capital, RWA, leverage, LCR and NSFR sheets): ABC International Bank plc Pillar 3 Report 2025, Table 3 'Key Regulatory Metrics', 'ABCIB CONSOLIDATED' UK KM1 table, p.16, and 'ABCIB CONSOLIDATED' UK OV1 table, p.17 - https://www.bank-abc.com/en/CountrySites/Europe/London/Financial-Info/Basel%20Pillars/Bank-ABC-IB-Pillar-Report-2025.pdf
FY2024 (consolidated): as the FY2025 report's own comparative column (validation gate - reproduces this workbook's existing FY2024 figures exactly) - https://www.bank-abc.com/en/CountrySites/Europe/London/Financial-Info/Basel%20Pillars/Bank-ABC-IB-Pillar-Report-2025.pdf
FY2025 (solo - superseded 2026-09-15, retained in the RWA Breakdown sheet's SOLO block and quoted in each capital sheet's note): ABC International Bank plc Pillar 3 Report 2025, 'ABCIB SOLO' UK KM1 table, p.15, and 'ABCIB SOLO' UK OV1 table, p.17 - https://www.bank-abc.com/en/CountrySites/Europe/London/Financial-Info/Basel%20Pillars/Bank-ABC-IB-Pillar-Report-2025.pdf; ABC International Bank plc Annual Report 2025, Financial Highlights, p.20 (scanned Companies House filing, visually transcribed) - https://find-and-update.company-information.service.gov.uk/company/02564490/filing-history
FY2020 (solo): ABC International Bank plc Pillar 3 Disclosures 2020, Table 3 "Key Regulatory Metrics", p.8 - https://www.bank-abc.com/en/CountrySites/Europe/London/Financial-Info/Basel%20Pillars/ABCIB-Pillar3Disclosure-2020.pdf
FY2019 (solo): ABC International Bank plc Pillar 3 Disclosures 2019, p.7-8 - https://www.bank-abc.com/en/CountrySites/Europe/London/Financial-Info/Basel%20Pillars/ABCIB-Pillar3Disclosure2019-postBRC.pdf
FY2018 (solo): ABC International Bank plc Pillar 3 Report 2018, p.8-9 (Table 3, 'IFRS9 Transitional arrangements applied' column used for continuity with FY2019/FY2020) - https://www.bank-abc.com/en/CountrySites/Europe/London/Financial-Info/Basel%20Pillars/Pillar-3-Disclosure_2018.pdf</t>
        </is>
      </c>
    </row>
    <row r="11" ht="390" customHeight="1">
      <c r="A11" s="8" t="inlineStr">
        <is>
          <t>(continued)
FY2017 (solo): ABC International Bank plc Pillar 3 Report 2017, Table 4 'RWAs and Capital ratio' and Appendix 2 Own Funds disclosure, p.8/p.24 - https://www.bank-abc.com/en/CountrySites/Europe/London/Financial-Info/Basel%20Pillars/Pillar-3-Disclosure-2018.pdf
FY2016 (solo): ABC International Bank plc Annual Report 2016 (Companies House filing, scanned, visually transcribed), Financial Highlights, p.17 - https://find-and-update.company-information.service.gov.uk/company/02564490/filing-history/MzE3MDg4MzM5M2FkaXF6a2N4/document?format=pdf&amp;download=0
FY2015 (solo): as FY2016's own comparative column (no separate FY2015 filing opened) - https://find-and-update.company-information.service.gov.uk/company/02564490/filing-history/MzE3MDg4MzM5M2FkaXF6a2N4/document?format=pdf&amp;download=0
FY2014 (solo): ABC International Bank plc Annual Report 2014, Financial Highlights, p.13 - https://www.bank-abc.com/en/ShareholderRelations/Annual%20Reports/ABCIB%20Annual%20Report%202014.pdf
FY2023-FY2025 shown on a CONSOLIDATED basis (ABCIB Pillar 3 Disclosures, UK KM1 template); FY2014-FY2022 on a SOLO basis - FY2017-FY2022 from ABCIB's own dedicated Pillar 3 report for each year (which itself states its basis explicitly; the FY2020/FY2021/FY2022 reports carry a Consolidated column alongside Solo, and the Solo column is used throughout for continuity with the other years), FY2014-FY2016 from the Annual Report's own Financial Highlights table (no Pillar 3 report exists for those years). See the Cash Flow Statement sheet's entity note for detail.
FY2025 BASIS RESTATEMENT (2026-09-15): FY2025's capital sheets originally used the Annual Report's solo Financial Highlights table (Total RWA £3,132m, Capital base £517m, Tier 1 ratio 15.0%, Total ratio 16.5%), which left the FY2025 column internally mixed once the Pillar 3 Report 2025 supplied consolidated leverage/LCR/NSFR. On the user's explicit instruction the whole FY2025 column was moved onto the CONSOLIDATED basis (CET1/Tier 1 £579.993m, Total capital £628.255m, RWAs £3,880.104m, CET1/Tier 1 ratio 14.9%, total capital ratio 16.2%), giving a clean consolidated run FY2023-FY2025. The superseded solo figures are preserved: quoted in each capital sheet's note, and kept as a full risk-type split in the RWA Breakdown sheet's SOLO block. Note this removes a presentational artefact - the old mixed column made RWAs appear to FALL from FY2024 to FY2025, whereas like-for-like they rose.
FY2021/FY2022 SOURCE CORRECTION (2026-09-15): an earlier pass recorded these years as having no Pillar 3 document and sourced them from the Annual Report Financial Highlights table. That was wrong - ABCIB-Pillar3Disclosure-2021.pdf and -2022.pdf both exist on the disclosures index. Mining them added Leverage Ratio and LCR for both years and NSFR for FY2022, and upgraded CET1/Tier 1 capital from CALCULATED (RWA x Tier 1 ratio) to DIRECTLY DISCLOSED. Their ratio columns reproduce the previously-held Financial Highlights figures exactly, confirming the two sources share a basis. CET1/Tier 1 capital £m remain CALCULATED only for FY2014-FY2016, whose Financial Highlights tables do not split CET1 from Tier 1 - see the CET1 Capital sheet note.
No Leverage Ratio or LCR figure is available for FY2014-FY2016 (no Pillar 3 report exists and the Financial Highlights table carries neither metric). NSFR is disclosed from FY2022 onward only; FY2021 and earlier are structurally absent because the UK had no NSFR requirement or disclosure template before 1 January 2022 (PRA PS17/21 / PS22/21) - see the NSFR sheet note. MREL is not disclosed in any year.</t>
        </is>
      </c>
    </row>
    <row r="13" ht="150" customHeight="1">
      <c r="A13" s="8" t="inlineStr">
        <is>
          <t>(continued)
BASEL II/EARLY-CRD IV TERMINOLOGY CAVEAT: FY2014-FY2016's Financial Highlights tables report 'Risk asset ratio - Tier 1' and 'Risk asset ratio - Total' only - no separate CET1 concept is disclosed for those years (CET1 as a defined capital tier is a CRD IV/Basel III introduction phased in in the UK from 2014). Per this project's existing convention (assumes CET1 = Tier 1 where ABCIB has no AT1 instruments in issue - confirmed true in every FY2017-FY2024 Pillar 3 report reviewed), FY2014-FY2016's 'Risk asset ratio - Tier 1' is used for both the CET1 Ratio and Tier 1 Ratio sheets.</t>
        </is>
      </c>
    </row>
  </sheetData>
  <mergeCells count="4">
    <mergeCell ref="A11:E11"/>
    <mergeCell ref="A7:E7"/>
    <mergeCell ref="A9:E9"/>
    <mergeCell ref="A13:E1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9"/>
  <sheetViews>
    <sheetView workbookViewId="0">
      <selection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15" customWidth="1" min="12" max="12"/>
    <col width="15" customWidth="1" min="13" max="13"/>
  </cols>
  <sheetData>
    <row r="1">
      <c r="A1" s="1" t="inlineStr">
        <is>
          <t>ABC International Bank plc — MREL Ratio</t>
        </is>
      </c>
    </row>
    <row r="2">
      <c r="A2" s="2" t="inlineStr">
        <is>
          <t>£m / %</t>
        </is>
      </c>
    </row>
    <row r="3">
      <c r="A3" s="4" t="inlineStr">
        <is>
          <t>Metric</t>
        </is>
      </c>
      <c r="B3" s="4" t="inlineStr">
        <is>
          <t>FY2025</t>
        </is>
      </c>
      <c r="C3" s="4" t="inlineStr">
        <is>
          <t>FY2024</t>
        </is>
      </c>
      <c r="D3" s="4" t="inlineStr">
        <is>
          <t>FY2023</t>
        </is>
      </c>
      <c r="E3" s="4" t="inlineStr">
        <is>
          <t>FY2022</t>
        </is>
      </c>
      <c r="F3" s="4" t="inlineStr">
        <is>
          <t>FY2021</t>
        </is>
      </c>
      <c r="G3" s="4" t="inlineStr">
        <is>
          <t>FY2020</t>
        </is>
      </c>
      <c r="H3" s="4" t="inlineStr">
        <is>
          <t>FY2019</t>
        </is>
      </c>
      <c r="I3" s="4" t="inlineStr">
        <is>
          <t>FY2018</t>
        </is>
      </c>
      <c r="J3" s="4" t="inlineStr">
        <is>
          <t>FY2017</t>
        </is>
      </c>
      <c r="K3" s="4" t="inlineStr">
        <is>
          <t>FY2016</t>
        </is>
      </c>
      <c r="L3" s="4" t="inlineStr">
        <is>
          <t>FY2015</t>
        </is>
      </c>
      <c r="M3" s="4" t="inlineStr">
        <is>
          <t>FY2014</t>
        </is>
      </c>
    </row>
    <row r="4">
      <c r="A4" s="6" t="inlineStr">
        <is>
          <t>MREL ratio</t>
        </is>
      </c>
      <c r="B4" s="6" t="inlineStr">
        <is>
          <t>Not published – no MREL figure or statement in Pillar 3 Report 2025 (text-searched 2026-09-19)</t>
        </is>
      </c>
      <c r="C4" s="6" t="inlineStr">
        <is>
          <t>Not published – no MREL figure or statement in Pillar 3 2024 or Annual Report 2024 (text-searched 2026-09-19)</t>
        </is>
      </c>
      <c r="D4" s="6" t="inlineStr">
        <is>
          <t>Not published – no MREL figure or statement in Pillar 3 Disclosures 2023 (text-searched 2026-09-19)</t>
        </is>
      </c>
      <c r="E4" s="6" t="inlineStr">
        <is>
          <t>Not published – no MREL figure or statement in Pillar 3 Disclosure 2022 or Annual Report 2022 (text-searched 2026-09-19)</t>
        </is>
      </c>
      <c r="F4" s="6" t="inlineStr">
        <is>
          <t>Not published – no MREL figure or statement in Pillar 3 Disclosure 2021 (text-searched 2026-09-19)</t>
        </is>
      </c>
      <c r="G4" s="6" t="inlineStr">
        <is>
          <t>Not published – no MREL figure or statement in Pillar 3 Disclosure 2020 or Annual Report 2020 (text-searched 2026-09-19)</t>
        </is>
      </c>
      <c r="H4" s="6" t="inlineStr">
        <is>
          <t>Not published – no MREL figure or statement in Pillar 3 Disclosure 2019 or Annual Report 2019 (text-searched 2026-09-19)</t>
        </is>
      </c>
      <c r="I4" s="6" t="inlineStr">
        <is>
          <t>Not published – no MREL figure or statement in Pillar 3 Disclosure 2018 or Annual Report 2018 (text-searched 2026-09-19)</t>
        </is>
      </c>
      <c r="J4" s="6" t="inlineStr">
        <is>
          <t>Not published – no MREL figure or statement in Pillar 3 Disclosure 2017 (text-searched 2026-09-19)</t>
        </is>
      </c>
      <c r="K4" s="6" t="inlineStr">
        <is>
          <t>Not published – no MREL figure or statement in FY2016 accounts (CH scan, OCR) (text-searched 2026-09-19)</t>
        </is>
      </c>
      <c r="L4" s="6" t="inlineStr">
        <is>
          <t>Not applicable – UK MREL framework (BoE Statement of Policy, Nov 2016) postdates this year-end</t>
        </is>
      </c>
      <c r="M4" s="6" t="inlineStr">
        <is>
          <t>Not applicable – UK MREL framework (BoE Statement of Policy, Nov 2016) postdates this year-end</t>
        </is>
      </c>
    </row>
    <row r="5" ht="30" customHeight="1">
      <c r="A5" s="7" t="inlineStr">
        <is>
          <t>Note: No MREL figure (numeric or qualitative) appears in any Pillar 3 Report reviewed for this entity across FY2014-FY2025 - no reason is stated. ABCIB's balance sheet size (~£2.7-4.3bn across this whole period) is well below the thresholds at which the Bank of England typically sets an independent MREL requirement, consistent with no disclosure existing.</t>
        </is>
      </c>
    </row>
    <row r="7" ht="390" customHeight="1">
      <c r="A7" s="8" t="inlineStr">
        <is>
          <t>Sources - ABC International Bank plc:
FY2024 &amp; FY2023 (consolidated): ABC International Bank plc Pillar 3 Report 2024, Table "UK KM1 - Key metrics template", p.14 - https://www.bank-abc.com/en/CountrySites/Europe/London/Financial-Info/Basel%20Pillars/ABCIB%20Pillar%203%20final%20Board%202024%20.pdf
FY2023 (consolidated, as originally reported): ABC International Bank plc Pillar 3 Disclosures 2023, Table 3: Key Regulatory Metrics, p.13 - https://www.bank-abc.com/en/CountrySites/Europe/London/Financial-Info/Basel%20Pillars/BH2407109%20-%20Bank%20ABC%20Pillar%203%20Disclosures%202023%20-%20Final%20website%20version.pdf
FY2022 (solo): ABC International Bank plc Pillar 3 Disclosures 2022, Table 3 'Key Regulatory Metrics' (Solo column), Table 17 'LCR components (Average)' and Table 18 'NSFR components (Average)' - https://www.bank-abc.com/en/CountrySites/Europe/London/Financial-Info/Basel%20Pillars/ABCIB-Pillar3Disclosure-2022.pdf
FY2021 (solo): ABC International Bank plc Pillar 3 disclosures 2021, Table 3 'Key Regulatory Metrics' (Solo column), p.8, Table 6 'RWAs and Capital ratio', p.10, and Table 17 'LCR components (Average)', p.17 - https://www.bank-abc.com/en/CountrySites/Europe/London/Financial-Info/Basel%20Pillars/ABCIB-Pillar3Disclosure-2021.pdf
FY2022 &amp; FY2021 (solo, Total Capital/RWA cross-check only): ABC International Bank plc Annual Report 2022, Financial Highlights, p.31 - https://www.bank-abc.com/en/ShareholderRelations/Annual%20Reports/ABCIB%20Annual%20Report%202022.pdf
FY2025 (CONSOLIDATED - all capital, RWA, leverage, LCR and NSFR sheets): ABC International Bank plc Pillar 3 Report 2025, Table 3 'Key Regulatory Metrics', 'ABCIB CONSOLIDATED' UK KM1 table, p.16, and 'ABCIB CONSOLIDATED' UK OV1 table, p.17 - https://www.bank-abc.com/en/CountrySites/Europe/London/Financial-Info/Basel%20Pillars/Bank-ABC-IB-Pillar-Report-2025.pdf
FY2024 (consolidated): as the FY2025 report's own comparative column (validation gate - reproduces this workbook's existing FY2024 figures exactly) - https://www.bank-abc.com/en/CountrySites/Europe/London/Financial-Info/Basel%20Pillars/Bank-ABC-IB-Pillar-Report-2025.pdf
FY2025 (solo - superseded 2026-09-15, retained in the RWA Breakdown sheet's SOLO block and quoted in each capital sheet's note): ABC International Bank plc Pillar 3 Report 2025, 'ABCIB SOLO' UK KM1 table, p.15, and 'ABCIB SOLO' UK OV1 table, p.17 - https://www.bank-abc.com/en/CountrySites/Europe/London/Financial-Info/Basel%20Pillars/Bank-ABC-IB-Pillar-Report-2025.pdf; ABC International Bank plc Annual Report 2025, Financial Highlights, p.20 (scanned Companies House filing, visually transcribed) - https://find-and-update.company-information.service.gov.uk/company/02564490/filing-history
FY2020 (solo): ABC International Bank plc Pillar 3 Disclosures 2020, Table 3 "Key Regulatory Metrics", p.8 - https://www.bank-abc.com/en/CountrySites/Europe/London/Financial-Info/Basel%20Pillars/ABCIB-Pillar3Disclosure-2020.pdf
FY2019 (solo): ABC International Bank plc Pillar 3 Disclosures 2019, p.7-8 - https://www.bank-abc.com/en/CountrySites/Europe/London/Financial-Info/Basel%20Pillars/ABCIB-Pillar3Disclosure2019-postBRC.pdf
FY2018 (solo): ABC International Bank plc Pillar 3 Report 2018, p.8-9 (Table 3, 'IFRS9 Transitional arrangements applied' column used for continuity with FY2019/FY2020) - https://www.bank-abc.com/en/CountrySites/Europe/London/Financial-Info/Basel%20Pillars/Pillar-3-Disclosure_2018.pdf
FY2017 (solo): ABC International Bank plc Pillar 3 Report 2017, Table 4 'RWAs and Capital ratio' and Appendix 2 Own Funds disclosure, p.8/p.24 - https://www.bank-abc.com/en/CountrySites/Europe/London/Financial-Info/Basel%20Pillars/Pillar-3-Disclosure-2018.pdf
FY2016 (solo): ABC International Bank plc Annual Report 2016 (Companies House filing, scanned, visually transcribed), Financial Highlights, p.17 - https://find-and-update.company-information.service.gov.uk/company/02564490/filing-history/MzE3MDg4MzM5M2FkaXF6a2N4/document?format=pdf&amp;download=0
FY2015 (solo): as FY2016's own comparative column (no separate FY2015 filing opened) - https://find-and-update.company-information.service.gov.uk/company/02564490/filing-history/MzE3MDg4MzM5M2FkaXF6a2N4/document?format=pdf&amp;download=0
FY2014 (solo): ABC International Bank plc Annual Report 2014, Financial Highlights, p.13 - https://www.bank-abc.com/en/ShareholderRelations/Annual%20Reports/ABCIB%20Annual%20Report%202014.pdf
FY2023-FY2025 shown on a CONSOLIDATED basis (ABCIB Pillar 3 Disclosures, UK KM1 template); FY2014-FY2022 on a SOLO basis - FY2017-FY2022 from ABCIB's own dedicated Pillar 3 report for each year (which itself states its basis explicitly; the FY2020/FY2021/FY2022 reports carry a Consolidated column alongside Solo, and the Solo column is used throughout for continuity with the other years), FY2014-FY2016 from the Annual Report's own Financial Highlights table (no Pillar 3 report exists for those years). See the Cash Flow Statement sheet's entity note for detail.
FY2025 BASIS RESTATEMENT (2026-09-15): FY2025's capital sheets originally used the Annual Report's solo Financial Highlights table (Total RWA £3,132m, Capital base £517m, Tier 1 ratio 15.0%, Total ratio 16.5%), which left the FY2025 column internally mixed once the Pillar 3 Report 2025 supplied consolidated leverage/LCR/NSFR. On the user's explicit instruction the whole FY2025 column was moved onto the CONSOLIDATED basis (CET1/Tier 1 £579.993m, Total capital £628.255m, RWAs £3,880.104m, CET1/Tier 1 ratio 14.9%, total capital ratio 16.2%), giving a clean consolidated run FY2023-FY2025. The superseded solo figures are preserved: quoted in each capital sheet's note, and kept as a full risk-type split in the RWA Breakdown sheet's SOLO block. Note this removes a presentational artefact - the old mixed column made RWAs appear to FALL from FY2024 to FY2025, whereas like-for-like they rose.
FY2021/FY2022 SOURCE CORRECTION (2026-09-15): an earlier pass recorded these years as having no Pillar 3 document and sourced them from the Annual Report Financial Highlights table. That was wrong - ABCIB-Pillar3Disclosure-2021.pdf and -2022.pdf both exist on the disclosures index. Mining them added Leverage Ratio and LCR for both years and NSFR for FY2022, and upgraded CET1/Tier 1 capital from CALCULATED (RWA x Tier 1 ratio) to DIRECTLY DISCLOSED. Their ratio columns reproduce the previously-held Financial Highlights figures exactly, confirming the two sources share a basis. CET1/Tier 1 capital £m remain CALCULATED only for FY2014-FY2016, whose Financial Highlights tables do not split CET1 from Tier 1 - see the CET1 Capital sheet note.</t>
        </is>
      </c>
    </row>
    <row r="9" ht="150" customHeight="1">
      <c r="A9" s="8" t="inlineStr">
        <is>
          <t>(continued)
No Leverage Ratio or LCR figure is available for FY2014-FY2016 (no Pillar 3 report exists and the Financial Highlights table carries neither metric). NSFR is disclosed from FY2022 onward only; FY2021 and earlier are structurally absent because the UK had no NSFR requirement or disclosure template before 1 January 2022 (PRA PS17/21 / PS22/21) - see the NSFR sheet note. MREL is not disclosed in any year.
BASEL II/EARLY-CRD IV TERMINOLOGY CAVEAT: FY2014-FY2016's Financial Highlights tables report 'Risk asset ratio - Tier 1' and 'Risk asset ratio - Total' only - no separate CET1 concept is disclosed for those years (CET1 as a defined capital tier is a CRD IV/Basel III introduction phased in in the UK from 2014). Per this project's existing convention (assumes CET1 = Tier 1 where ABCIB has no AT1 instruments in issue - confirmed true in every FY2017-FY2024 Pillar 3 report reviewed), FY2014-FY2016's 'Risk asset ratio - Tier 1' is used for both the CET1 Ratio and Tier 1 Ratio sheets.</t>
        </is>
      </c>
    </row>
  </sheetData>
  <mergeCells count="3">
    <mergeCell ref="A9:M9"/>
    <mergeCell ref="A5:M5"/>
    <mergeCell ref="A7:M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2026-10-26T09:35:52Z</dcterms:created>
  <dcterms:modified xmlns:dcterms="http://purl.org/dc/terms/" xmlns:xsi="http://www.w3.org/2001/XMLSchema-instance" xsi:type="dcterms:W3CDTF">2026-10-26T09:35:52Z</dcterms:modified>
</cp:coreProperties>
</file>