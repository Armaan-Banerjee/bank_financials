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'Overview'!AT18</f>
            </strRef>
          </tx>
          <spPr>
            <a:ln xmlns:a="http://schemas.openxmlformats.org/drawingml/2006/main">
              <a:prstDash val="solid"/>
            </a:ln>
          </spPr>
          <cat>
            <numRef>
              <f>'Overview'!$AU$17:$BF$17</f>
            </numRef>
          </cat>
          <val>
            <numRef>
              <f>'Overview'!$AU$18:$BF$18</f>
            </numRef>
          </val>
        </ser>
        <ser>
          <idx val="1"/>
          <order val="1"/>
          <tx>
            <strRef>
              <f>'Overview'!AT19</f>
            </strRef>
          </tx>
          <spPr>
            <a:ln xmlns:a="http://schemas.openxmlformats.org/drawingml/2006/main">
              <a:prstDash val="solid"/>
            </a:ln>
          </spPr>
          <cat>
            <numRef>
              <f>'Overview'!$AU$17:$BF$17</f>
            </numRef>
          </cat>
          <val>
            <numRef>
              <f>'Overview'!$AU$19:$BF$19</f>
            </numRef>
          </val>
        </ser>
        <ser>
          <idx val="2"/>
          <order val="2"/>
          <tx>
            <strRef>
              <f>'Overview'!AT20</f>
            </strRef>
          </tx>
          <spPr>
            <a:ln xmlns:a="http://schemas.openxmlformats.org/drawingml/2006/main">
              <a:prstDash val="solid"/>
            </a:ln>
          </spPr>
          <cat>
            <numRef>
              <f>'Overview'!$AU$17:$BF$17</f>
            </numRef>
          </cat>
          <val>
            <numRef>
              <f>'Overview'!$AU$20:$BF$20</f>
            </numRef>
          </val>
        </ser>
        <ser>
          <idx val="3"/>
          <order val="3"/>
          <tx>
            <strRef>
              <f>'Overview'!AT21</f>
            </strRef>
          </tx>
          <spPr>
            <a:ln xmlns:a="http://schemas.openxmlformats.org/drawingml/2006/main">
              <a:prstDash val="solid"/>
            </a:ln>
          </spPr>
          <cat>
            <numRef>
              <f>'Overview'!$AU$17:$BF$17</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3628416</v>
      </c>
      <c r="C6" s="5" t="n">
        <v>3487130</v>
      </c>
      <c r="D6" s="5" t="n">
        <v>3197291</v>
      </c>
      <c r="E6" s="5" t="n">
        <v>3150890</v>
      </c>
      <c r="F6" s="5" t="n">
        <v>2805879</v>
      </c>
      <c r="G6" s="5" t="n">
        <v>2731397</v>
      </c>
      <c r="H6" s="5" t="n">
        <v>3027686</v>
      </c>
      <c r="I6" s="5" t="n">
        <v>3696138</v>
      </c>
      <c r="J6" s="5" t="n">
        <v>2932134</v>
      </c>
      <c r="K6" s="5" t="n">
        <v>3689507</v>
      </c>
      <c r="L6" s="5" t="n">
        <v>2834515</v>
      </c>
      <c r="M6" s="5" t="n">
        <v>2696707</v>
      </c>
      <c r="P6" t="inlineStr">
        <is>
          <t>Total assets</t>
        </is>
      </c>
      <c r="Q6" t="n">
        <v>2696707</v>
      </c>
      <c r="R6" t="n">
        <v>2834515</v>
      </c>
      <c r="S6" t="n">
        <v>3689507</v>
      </c>
      <c r="T6" t="n">
        <v>2932134</v>
      </c>
      <c r="U6" t="n">
        <v>3696138</v>
      </c>
      <c r="V6" t="n">
        <v>3027686</v>
      </c>
      <c r="W6" t="n">
        <v>2731397</v>
      </c>
      <c r="X6" t="n">
        <v>2805879</v>
      </c>
      <c r="Y6" t="n">
        <v>3150890</v>
      </c>
      <c r="Z6" t="n">
        <v>3197291</v>
      </c>
      <c r="AA6" t="n">
        <v>3487130</v>
      </c>
      <c r="AB6" t="n">
        <v>3628416</v>
      </c>
      <c r="BI6" t="inlineStr">
        <is>
          <t>CET1 Ratio</t>
        </is>
      </c>
      <c r="BJ6" t="n">
        <v>22</v>
      </c>
      <c r="BK6" t="n">
        <v>20.4</v>
      </c>
      <c r="BL6" t="n">
        <v>19.2</v>
      </c>
      <c r="BM6" t="n">
        <v>18.2</v>
      </c>
      <c r="BN6" t="n">
        <v>16.6</v>
      </c>
      <c r="BO6" t="n">
        <v>17.5</v>
      </c>
      <c r="BP6" t="n">
        <v>16.4</v>
      </c>
      <c r="BQ6" t="n">
        <v>16.7</v>
      </c>
      <c r="BR6" t="n">
        <v>17</v>
      </c>
      <c r="BS6" t="n">
        <v>17.6</v>
      </c>
      <c r="BT6" t="n">
        <v>16.2</v>
      </c>
      <c r="BU6" t="n">
        <v>15</v>
      </c>
    </row>
    <row r="7">
      <c r="A7" s="5" t="inlineStr">
        <is>
          <t>Loans and advances to customers</t>
        </is>
      </c>
      <c r="B7" s="5" t="n">
        <v>1540521</v>
      </c>
      <c r="C7" s="5" t="n">
        <v>1368632</v>
      </c>
      <c r="D7" s="5" t="n">
        <v>1290334</v>
      </c>
      <c r="E7" s="5" t="n">
        <v>1101772</v>
      </c>
      <c r="F7" s="5" t="n">
        <v>1094131</v>
      </c>
      <c r="G7" s="5" t="n">
        <v>1105423</v>
      </c>
      <c r="H7" s="5" t="n">
        <v>1435262</v>
      </c>
      <c r="I7" s="5" t="n">
        <v>1414678</v>
      </c>
      <c r="J7" s="5" t="n">
        <v>1121735</v>
      </c>
      <c r="K7" s="5" t="n">
        <v>909592</v>
      </c>
      <c r="L7" s="5" t="n">
        <v>983414</v>
      </c>
      <c r="M7" s="5" t="n">
        <v>1170920</v>
      </c>
      <c r="P7" t="inlineStr">
        <is>
          <t>Loans and advances to customers</t>
        </is>
      </c>
      <c r="Q7" t="n">
        <v>1170920</v>
      </c>
      <c r="R7" t="n">
        <v>983414</v>
      </c>
      <c r="S7" t="n">
        <v>909592</v>
      </c>
      <c r="T7" t="n">
        <v>1121735</v>
      </c>
      <c r="U7" t="n">
        <v>1414678</v>
      </c>
      <c r="V7" t="n">
        <v>1435262</v>
      </c>
      <c r="W7" t="n">
        <v>1105423</v>
      </c>
      <c r="X7" t="n">
        <v>1094131</v>
      </c>
      <c r="Y7" t="n">
        <v>1101772</v>
      </c>
      <c r="Z7" t="n">
        <v>1290334</v>
      </c>
      <c r="AA7" t="n">
        <v>1368632</v>
      </c>
      <c r="AB7" t="n">
        <v>1540521</v>
      </c>
      <c r="BI7" t="inlineStr">
        <is>
          <t>Tier 1 Ratio</t>
        </is>
      </c>
      <c r="BJ7" t="n">
        <v>22</v>
      </c>
      <c r="BK7" t="n">
        <v>20.4</v>
      </c>
      <c r="BL7" t="n">
        <v>19.2</v>
      </c>
      <c r="BM7" t="n">
        <v>18.2</v>
      </c>
      <c r="BN7" t="n">
        <v>16.6</v>
      </c>
      <c r="BO7" t="n">
        <v>17.5</v>
      </c>
      <c r="BP7" t="n">
        <v>16.4</v>
      </c>
      <c r="BQ7" t="n">
        <v>16.7</v>
      </c>
      <c r="BR7" t="n">
        <v>17</v>
      </c>
      <c r="BS7" t="n">
        <v>17.6</v>
      </c>
      <c r="BT7" t="n">
        <v>16.2</v>
      </c>
      <c r="BU7" t="n">
        <v>15</v>
      </c>
    </row>
    <row r="8">
      <c r="A8" s="5" t="inlineStr">
        <is>
          <t>Customer deposits</t>
        </is>
      </c>
      <c r="B8" s="5" t="n">
        <v>796992</v>
      </c>
      <c r="C8" s="5" t="n">
        <v>588657</v>
      </c>
      <c r="D8" s="5" t="n">
        <v>460063</v>
      </c>
      <c r="E8" s="5" t="n">
        <v>517193</v>
      </c>
      <c r="F8" s="5" t="n">
        <v>238737</v>
      </c>
      <c r="G8" s="5" t="n">
        <v>224299</v>
      </c>
      <c r="H8" s="5" t="n">
        <v>243923</v>
      </c>
      <c r="I8" s="5" t="n">
        <v>432416</v>
      </c>
      <c r="J8" s="5" t="n">
        <v>399274</v>
      </c>
      <c r="K8" s="5" t="n">
        <v>267883</v>
      </c>
      <c r="L8" s="5" t="n">
        <v>235152</v>
      </c>
      <c r="M8" s="5" t="n">
        <v>196351</v>
      </c>
      <c r="P8" t="inlineStr">
        <is>
          <t>Customer deposits</t>
        </is>
      </c>
      <c r="Q8" t="n">
        <v>196351</v>
      </c>
      <c r="R8" t="n">
        <v>235152</v>
      </c>
      <c r="S8" t="n">
        <v>267883</v>
      </c>
      <c r="T8" t="n">
        <v>399274</v>
      </c>
      <c r="U8" t="n">
        <v>432416</v>
      </c>
      <c r="V8" t="n">
        <v>243923</v>
      </c>
      <c r="W8" t="n">
        <v>224299</v>
      </c>
      <c r="X8" t="n">
        <v>238737</v>
      </c>
      <c r="Y8" t="n">
        <v>517193</v>
      </c>
      <c r="Z8" t="n">
        <v>460063</v>
      </c>
      <c r="AA8" t="n">
        <v>588657</v>
      </c>
      <c r="AB8" t="n">
        <v>796992</v>
      </c>
      <c r="BI8" t="inlineStr">
        <is>
          <t>Total Capital Ratio</t>
        </is>
      </c>
      <c r="BJ8" t="n">
        <v>22.1</v>
      </c>
      <c r="BK8" t="n">
        <v>22.9</v>
      </c>
      <c r="BL8" t="n">
        <v>21.5</v>
      </c>
      <c r="BM8" t="n">
        <v>20.4</v>
      </c>
      <c r="BN8" t="n">
        <v>18.3</v>
      </c>
      <c r="BO8" t="n">
        <v>19.3</v>
      </c>
      <c r="BP8" t="n">
        <v>18.5</v>
      </c>
      <c r="BQ8" t="n">
        <v>18.3</v>
      </c>
      <c r="BR8" t="n">
        <v>18.2</v>
      </c>
      <c r="BS8" t="n">
        <v>19.3</v>
      </c>
      <c r="BT8" t="n">
        <v>17.7</v>
      </c>
      <c r="BU8" t="n">
        <v>16.5</v>
      </c>
    </row>
    <row r="9">
      <c r="A9" s="5" t="inlineStr">
        <is>
          <t>Total equity</t>
        </is>
      </c>
      <c r="B9" s="5" t="n">
        <v>601054</v>
      </c>
      <c r="C9" s="5" t="n">
        <v>586474</v>
      </c>
      <c r="D9" s="5" t="n">
        <v>568132</v>
      </c>
      <c r="E9" s="5" t="n">
        <v>543701</v>
      </c>
      <c r="F9" s="5" t="n">
        <v>534131</v>
      </c>
      <c r="G9" s="5" t="n">
        <v>501167</v>
      </c>
      <c r="H9" s="5" t="n">
        <v>496862</v>
      </c>
      <c r="I9" s="5" t="n">
        <v>487536</v>
      </c>
      <c r="J9" s="5" t="n">
        <v>469692</v>
      </c>
      <c r="K9" s="5" t="n">
        <v>449727</v>
      </c>
      <c r="L9" s="5" t="n">
        <v>441996</v>
      </c>
      <c r="M9" s="5" t="n">
        <v>427294</v>
      </c>
      <c r="P9" t="inlineStr">
        <is>
          <t>Total equity</t>
        </is>
      </c>
      <c r="Q9" t="n">
        <v>427294</v>
      </c>
      <c r="R9" t="n">
        <v>441996</v>
      </c>
      <c r="S9" t="n">
        <v>449727</v>
      </c>
      <c r="T9" t="n">
        <v>469692</v>
      </c>
      <c r="U9" t="n">
        <v>487536</v>
      </c>
      <c r="V9" t="n">
        <v>496862</v>
      </c>
      <c r="W9" t="n">
        <v>501167</v>
      </c>
      <c r="X9" t="n">
        <v>534131</v>
      </c>
      <c r="Y9" t="n">
        <v>543701</v>
      </c>
      <c r="Z9" t="n">
        <v>568132</v>
      </c>
      <c r="AA9" t="n">
        <v>586474</v>
      </c>
      <c r="AB9" t="n">
        <v>601054</v>
      </c>
      <c r="BI9" t="inlineStr">
        <is>
          <t>Leverage Ratio (excl. central bank claims)</t>
        </is>
      </c>
      <c r="BM9" t="n">
        <v>12.59</v>
      </c>
      <c r="BN9" t="n">
        <v>10.28</v>
      </c>
      <c r="BO9" t="n">
        <v>13.45</v>
      </c>
      <c r="BP9" t="n">
        <v>13.39</v>
      </c>
      <c r="BS9" t="n">
        <v>10.62</v>
      </c>
      <c r="BT9" t="n">
        <v>10.2</v>
      </c>
    </row>
    <row r="10">
      <c r="BI10" t="inlineStr">
        <is>
          <t>LCR</t>
        </is>
      </c>
      <c r="BM10" t="n">
        <v>281</v>
      </c>
      <c r="BN10" t="n">
        <v>325</v>
      </c>
      <c r="BO10" t="n">
        <v>391</v>
      </c>
      <c r="BP10" t="n">
        <v>281</v>
      </c>
      <c r="BS10" t="n">
        <v>369</v>
      </c>
      <c r="BT10" t="n">
        <v>339.1</v>
      </c>
    </row>
    <row r="11">
      <c r="A11" s="3" t="inlineStr">
        <is>
          <t>Profit &amp; Loss Summary (£'000)</t>
        </is>
      </c>
      <c r="BI11" t="inlineStr">
        <is>
          <t>NSFR</t>
        </is>
      </c>
      <c r="BS11" t="n">
        <v>136.4</v>
      </c>
      <c r="BT11" t="n">
        <v>129.8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Profit for the year attributable to owners</t>
        </is>
      </c>
      <c r="B13" s="5" t="n">
        <v>32616</v>
      </c>
      <c r="C13" s="5" t="n">
        <v>34113</v>
      </c>
      <c r="D13" s="5" t="n">
        <v>28022</v>
      </c>
      <c r="E13" s="5" t="n">
        <v>22069</v>
      </c>
      <c r="F13" s="5" t="n">
        <v>25344</v>
      </c>
      <c r="G13" s="5" t="n">
        <v>8001</v>
      </c>
      <c r="H13" s="5" t="n">
        <v>16031</v>
      </c>
      <c r="I13" s="5" t="n">
        <v>23085</v>
      </c>
      <c r="J13" s="5" t="n">
        <v>18521</v>
      </c>
      <c r="K13" s="5" t="n">
        <v>16227</v>
      </c>
      <c r="L13" s="5" t="n">
        <v>14025</v>
      </c>
      <c r="M13" s="5" t="n">
        <v>23684</v>
      </c>
      <c r="AE13" t="inlineStr">
        <is>
          <t>Profit for the year attributable to owners</t>
        </is>
      </c>
      <c r="AF13" t="n">
        <v>23684</v>
      </c>
      <c r="AG13" t="n">
        <v>14025</v>
      </c>
      <c r="AH13" t="n">
        <v>16227</v>
      </c>
      <c r="AI13" t="n">
        <v>18521</v>
      </c>
      <c r="AJ13" t="n">
        <v>23085</v>
      </c>
      <c r="AK13" t="n">
        <v>16031</v>
      </c>
      <c r="AL13" t="n">
        <v>8001</v>
      </c>
      <c r="AM13" t="n">
        <v>25344</v>
      </c>
      <c r="AN13" t="n">
        <v>22069</v>
      </c>
      <c r="AO13" t="n">
        <v>28022</v>
      </c>
      <c r="AP13" t="n">
        <v>34113</v>
      </c>
      <c r="AQ13" t="n">
        <v>32616</v>
      </c>
    </row>
    <row r="14">
      <c r="A14" s="5" t="inlineStr">
        <is>
          <t>Total comprehensive income for the year</t>
        </is>
      </c>
      <c r="B14" s="5" t="n">
        <v>31680</v>
      </c>
      <c r="C14" s="5" t="n">
        <v>34148</v>
      </c>
      <c r="D14" s="5" t="n">
        <v>31051</v>
      </c>
      <c r="E14" s="5" t="n">
        <v>16840</v>
      </c>
      <c r="F14" s="5" t="n">
        <v>30974</v>
      </c>
      <c r="G14" s="5" t="n">
        <v>4305</v>
      </c>
      <c r="H14" s="5" t="n">
        <v>15096</v>
      </c>
      <c r="I14" s="5" t="n">
        <v>24393</v>
      </c>
      <c r="J14" s="5" t="n">
        <v>19965</v>
      </c>
      <c r="K14" s="5" t="n">
        <v>7731</v>
      </c>
      <c r="L14" s="5" t="n">
        <v>14702</v>
      </c>
      <c r="M14" s="5" t="n">
        <v>20232</v>
      </c>
      <c r="AE14" t="inlineStr">
        <is>
          <t>Total comprehensive income for the year</t>
        </is>
      </c>
      <c r="AF14" t="n">
        <v>20232</v>
      </c>
      <c r="AG14" t="n">
        <v>14702</v>
      </c>
      <c r="AH14" t="n">
        <v>7731</v>
      </c>
      <c r="AI14" t="n">
        <v>19965</v>
      </c>
      <c r="AJ14" t="n">
        <v>24393</v>
      </c>
      <c r="AK14" t="n">
        <v>15096</v>
      </c>
      <c r="AL14" t="n">
        <v>4305</v>
      </c>
      <c r="AM14" t="n">
        <v>30974</v>
      </c>
      <c r="AN14" t="n">
        <v>16840</v>
      </c>
      <c r="AO14" t="n">
        <v>31051</v>
      </c>
      <c r="AP14" t="n">
        <v>34148</v>
      </c>
      <c r="AQ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K17" s="4" t="inlineStr">
        <is>
          <t>FY2016</t>
        </is>
      </c>
      <c r="L17" s="4" t="inlineStr">
        <is>
          <t>FY2015</t>
        </is>
      </c>
      <c r="M17" s="4" t="inlineStr">
        <is>
          <t>FY2014</t>
        </is>
      </c>
      <c r="AU17" t="inlineStr">
        <is>
          <t>FY2014</t>
        </is>
      </c>
      <c r="AV17" t="inlineStr">
        <is>
          <t>FY2015</t>
        </is>
      </c>
      <c r="AW17" t="inlineStr">
        <is>
          <t>FY2016</t>
        </is>
      </c>
      <c r="AX17" t="inlineStr">
        <is>
          <t>FY2017</t>
        </is>
      </c>
      <c r="AY17" t="inlineStr">
        <is>
          <t>FY2018</t>
        </is>
      </c>
      <c r="AZ17" t="inlineStr">
        <is>
          <t>FY2019</t>
        </is>
      </c>
      <c r="BA17" t="inlineStr">
        <is>
          <t>FY2020</t>
        </is>
      </c>
      <c r="BB17" t="inlineStr">
        <is>
          <t>FY2021</t>
        </is>
      </c>
      <c r="BC17" t="inlineStr">
        <is>
          <t>FY2022</t>
        </is>
      </c>
      <c r="BD17" t="inlineStr">
        <is>
          <t>FY2023</t>
        </is>
      </c>
      <c r="BE17" t="inlineStr">
        <is>
          <t>FY2024</t>
        </is>
      </c>
      <c r="BF17" t="inlineStr">
        <is>
          <t>FY2025</t>
        </is>
      </c>
    </row>
    <row r="18">
      <c r="A18" s="5" t="inlineStr">
        <is>
          <t>Opening equity</t>
        </is>
      </c>
      <c r="B18" s="5" t="n">
        <v>586474</v>
      </c>
      <c r="C18" s="5" t="n">
        <v>568132</v>
      </c>
      <c r="D18" s="5" t="n">
        <v>543701</v>
      </c>
      <c r="E18" s="5" t="n">
        <v>534131</v>
      </c>
      <c r="F18" s="5" t="n">
        <v>503157</v>
      </c>
      <c r="G18" s="5" t="n">
        <v>496862</v>
      </c>
      <c r="H18" s="5" t="n">
        <v>487536</v>
      </c>
      <c r="I18" s="5" t="n">
        <v>469692</v>
      </c>
      <c r="J18" s="5" t="n">
        <v>449727</v>
      </c>
      <c r="K18" s="5" t="n">
        <v>441996</v>
      </c>
      <c r="L18" s="5" t="n">
        <v>427294</v>
      </c>
      <c r="M18" s="5" t="n">
        <v>407062</v>
      </c>
      <c r="AT18" t="inlineStr">
        <is>
          <t>Opening equity</t>
        </is>
      </c>
      <c r="AU18" t="n">
        <v>407062</v>
      </c>
      <c r="AV18" t="n">
        <v>427294</v>
      </c>
      <c r="AW18" t="n">
        <v>441996</v>
      </c>
      <c r="AX18" t="n">
        <v>449727</v>
      </c>
      <c r="AY18" t="n">
        <v>469692</v>
      </c>
      <c r="AZ18" t="n">
        <v>487536</v>
      </c>
      <c r="BA18" t="n">
        <v>496862</v>
      </c>
      <c r="BB18" t="n">
        <v>503157</v>
      </c>
      <c r="BC18" t="n">
        <v>534131</v>
      </c>
      <c r="BD18" t="n">
        <v>543701</v>
      </c>
      <c r="BE18" t="n">
        <v>568132</v>
      </c>
      <c r="BF18" t="n">
        <v>586474</v>
      </c>
    </row>
    <row r="19">
      <c r="A19" s="5" t="inlineStr">
        <is>
          <t>Total comprehensive income for the year</t>
        </is>
      </c>
      <c r="B19" s="5" t="n">
        <v>31680</v>
      </c>
      <c r="C19" s="5" t="n">
        <v>34148</v>
      </c>
      <c r="D19" s="5" t="n">
        <v>31051</v>
      </c>
      <c r="E19" s="5" t="n">
        <v>16840</v>
      </c>
      <c r="F19" s="5" t="n">
        <v>30974</v>
      </c>
      <c r="G19" s="5" t="n">
        <v>4305</v>
      </c>
      <c r="H19" s="5" t="n">
        <v>15096</v>
      </c>
      <c r="I19" s="5" t="n">
        <v>24393</v>
      </c>
      <c r="J19" s="5" t="n">
        <v>19965</v>
      </c>
      <c r="K19" s="5" t="n">
        <v>7731</v>
      </c>
      <c r="L19" s="5" t="n">
        <v>14702</v>
      </c>
      <c r="M19" s="5" t="n">
        <v>20232</v>
      </c>
      <c r="AT19" t="inlineStr">
        <is>
          <t>Total comprehensive income for the year</t>
        </is>
      </c>
      <c r="AU19" t="n">
        <v>20232</v>
      </c>
      <c r="AV19" t="n">
        <v>14702</v>
      </c>
      <c r="AW19" t="n">
        <v>7731</v>
      </c>
      <c r="AX19" t="n">
        <v>19965</v>
      </c>
      <c r="AY19" t="n">
        <v>24393</v>
      </c>
      <c r="AZ19" t="n">
        <v>15096</v>
      </c>
      <c r="BA19" t="n">
        <v>4305</v>
      </c>
      <c r="BB19" t="n">
        <v>30974</v>
      </c>
      <c r="BC19" t="n">
        <v>16840</v>
      </c>
      <c r="BD19" t="n">
        <v>31051</v>
      </c>
      <c r="BE19" t="n">
        <v>34148</v>
      </c>
      <c r="BF19" t="n">
        <v>31680</v>
      </c>
    </row>
    <row r="20">
      <c r="A20" s="5" t="inlineStr">
        <is>
          <t>Other equity movements, net (dividends)</t>
        </is>
      </c>
      <c r="B20" s="5" t="n">
        <v>-17100</v>
      </c>
      <c r="C20" s="5" t="n">
        <v>-15806</v>
      </c>
      <c r="D20" s="5" t="n">
        <v>-6620</v>
      </c>
      <c r="E20" s="5" t="n">
        <v>-7270</v>
      </c>
      <c r="F20" s="5" t="n">
        <v>0</v>
      </c>
      <c r="G20" s="5" t="n">
        <v>0</v>
      </c>
      <c r="H20" s="5" t="n">
        <v>-5770</v>
      </c>
      <c r="I20" s="5" t="n">
        <v>-6549</v>
      </c>
      <c r="J20" s="5" t="n">
        <v>0</v>
      </c>
      <c r="K20" s="5" t="n">
        <v>0</v>
      </c>
      <c r="L20" s="5" t="n">
        <v>0</v>
      </c>
      <c r="M20" s="5" t="n">
        <v>0</v>
      </c>
      <c r="AT20" t="inlineStr">
        <is>
          <t>Other equity movements, net (dividends)</t>
        </is>
      </c>
      <c r="AU20" t="n">
        <v>0</v>
      </c>
      <c r="AV20" t="n">
        <v>0</v>
      </c>
      <c r="AW20" t="n">
        <v>0</v>
      </c>
      <c r="AX20" t="n">
        <v>0</v>
      </c>
      <c r="AY20" t="n">
        <v>-6549</v>
      </c>
      <c r="AZ20" t="n">
        <v>-5770</v>
      </c>
      <c r="BA20" t="n">
        <v>0</v>
      </c>
      <c r="BB20" t="n">
        <v>0</v>
      </c>
      <c r="BC20" t="n">
        <v>-7270</v>
      </c>
      <c r="BD20" t="n">
        <v>-6620</v>
      </c>
      <c r="BE20" t="n">
        <v>-15806</v>
      </c>
      <c r="BF20" t="n">
        <v>-17100</v>
      </c>
    </row>
    <row r="21">
      <c r="A21" s="5" t="inlineStr">
        <is>
          <t>Closing equity</t>
        </is>
      </c>
      <c r="B21" s="5" t="n">
        <v>601054</v>
      </c>
      <c r="C21" s="5" t="n">
        <v>586474</v>
      </c>
      <c r="D21" s="5" t="n">
        <v>568132</v>
      </c>
      <c r="E21" s="5" t="n">
        <v>543701</v>
      </c>
      <c r="F21" s="5" t="n">
        <v>534131</v>
      </c>
      <c r="G21" s="5" t="n">
        <v>501167</v>
      </c>
      <c r="H21" s="5" t="n">
        <v>496862</v>
      </c>
      <c r="I21" s="5" t="n">
        <v>487536</v>
      </c>
      <c r="J21" s="5" t="n">
        <v>469692</v>
      </c>
      <c r="K21" s="5" t="n">
        <v>449727</v>
      </c>
      <c r="L21" s="5" t="n">
        <v>441996</v>
      </c>
      <c r="M21" s="5" t="n">
        <v>427294</v>
      </c>
      <c r="AT21" t="inlineStr">
        <is>
          <t>Closing equity</t>
        </is>
      </c>
      <c r="AU21" t="n">
        <v>427294</v>
      </c>
      <c r="AV21" t="n">
        <v>441996</v>
      </c>
      <c r="AW21" t="n">
        <v>449727</v>
      </c>
      <c r="AX21" t="n">
        <v>469692</v>
      </c>
      <c r="AY21" t="n">
        <v>487536</v>
      </c>
      <c r="AZ21" t="n">
        <v>496862</v>
      </c>
      <c r="BA21" t="n">
        <v>501167</v>
      </c>
      <c r="BB21" t="n">
        <v>534131</v>
      </c>
      <c r="BC21" t="n">
        <v>543701</v>
      </c>
      <c r="BD21" t="n">
        <v>568132</v>
      </c>
      <c r="BE21" t="n">
        <v>586474</v>
      </c>
      <c r="BF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15.0%</t>
        </is>
      </c>
      <c r="C27" s="6" t="inlineStr">
        <is>
          <t>16.2%</t>
        </is>
      </c>
      <c r="D27" s="6" t="inlineStr">
        <is>
          <t>17.6%</t>
        </is>
      </c>
      <c r="E27" s="6" t="inlineStr">
        <is>
          <t>17.0%</t>
        </is>
      </c>
      <c r="F27" s="6" t="inlineStr">
        <is>
          <t>16.7%</t>
        </is>
      </c>
      <c r="G27" s="6" t="inlineStr">
        <is>
          <t>16.4%</t>
        </is>
      </c>
      <c r="H27" s="6" t="inlineStr">
        <is>
          <t>17.5%</t>
        </is>
      </c>
      <c r="I27" s="6" t="inlineStr">
        <is>
          <t>16.6%</t>
        </is>
      </c>
      <c r="J27" s="6" t="inlineStr">
        <is>
          <t>18.2%</t>
        </is>
      </c>
      <c r="K27" s="6" t="inlineStr">
        <is>
          <t>19.2%</t>
        </is>
      </c>
      <c r="L27" s="6" t="inlineStr">
        <is>
          <t>20.4%</t>
        </is>
      </c>
      <c r="M27" s="6" t="inlineStr">
        <is>
          <t>22.0%</t>
        </is>
      </c>
    </row>
    <row r="28">
      <c r="A28" s="6" t="inlineStr">
        <is>
          <t>Tier 1 Ratio</t>
        </is>
      </c>
      <c r="B28" s="6" t="inlineStr">
        <is>
          <t>15.0%</t>
        </is>
      </c>
      <c r="C28" s="6" t="inlineStr">
        <is>
          <t>16.2%</t>
        </is>
      </c>
      <c r="D28" s="6" t="inlineStr">
        <is>
          <t>17.6%</t>
        </is>
      </c>
      <c r="E28" s="6" t="inlineStr">
        <is>
          <t>17.0%</t>
        </is>
      </c>
      <c r="F28" s="6" t="inlineStr">
        <is>
          <t>16.7%</t>
        </is>
      </c>
      <c r="G28" s="6" t="inlineStr">
        <is>
          <t>16.4%</t>
        </is>
      </c>
      <c r="H28" s="6" t="inlineStr">
        <is>
          <t>17.5%</t>
        </is>
      </c>
      <c r="I28" s="6" t="inlineStr">
        <is>
          <t>16.6%</t>
        </is>
      </c>
      <c r="J28" s="6" t="inlineStr">
        <is>
          <t>18.2%</t>
        </is>
      </c>
      <c r="K28" s="6" t="inlineStr">
        <is>
          <t>19.2%</t>
        </is>
      </c>
      <c r="L28" s="6" t="inlineStr">
        <is>
          <t>20.4%</t>
        </is>
      </c>
      <c r="M28" s="6" t="inlineStr">
        <is>
          <t>22.0%</t>
        </is>
      </c>
    </row>
    <row r="29">
      <c r="A29" s="6" t="inlineStr">
        <is>
          <t>Total Capital Ratio</t>
        </is>
      </c>
      <c r="B29" s="6" t="inlineStr">
        <is>
          <t>16.5%</t>
        </is>
      </c>
      <c r="C29" s="6" t="inlineStr">
        <is>
          <t>17.7%</t>
        </is>
      </c>
      <c r="D29" s="6" t="inlineStr">
        <is>
          <t>19.3%</t>
        </is>
      </c>
      <c r="E29" s="6" t="inlineStr">
        <is>
          <t>18.2%</t>
        </is>
      </c>
      <c r="F29" s="6" t="inlineStr">
        <is>
          <t>18.3%</t>
        </is>
      </c>
      <c r="G29" s="6" t="inlineStr">
        <is>
          <t>18.5%</t>
        </is>
      </c>
      <c r="H29" s="6" t="inlineStr">
        <is>
          <t>19.3%</t>
        </is>
      </c>
      <c r="I29" s="6" t="inlineStr">
        <is>
          <t>18.3%</t>
        </is>
      </c>
      <c r="J29" s="6" t="inlineStr">
        <is>
          <t>20.4%</t>
        </is>
      </c>
      <c r="K29" s="6" t="inlineStr">
        <is>
          <t>21.5%</t>
        </is>
      </c>
      <c r="L29" s="6" t="inlineStr">
        <is>
          <t>22.9%</t>
        </is>
      </c>
      <c r="M29" s="6" t="inlineStr">
        <is>
          <t>22.1%</t>
        </is>
      </c>
    </row>
    <row r="30">
      <c r="A30" s="6" t="inlineStr">
        <is>
          <t>Leverage Ratio (excl. central bank claims)</t>
        </is>
      </c>
      <c r="B30" s="6" t="n"/>
      <c r="C30" s="6" t="inlineStr">
        <is>
          <t>10.2%</t>
        </is>
      </c>
      <c r="D30" s="6" t="inlineStr">
        <is>
          <t>10.62%</t>
        </is>
      </c>
      <c r="E30" s="6" t="n"/>
      <c r="F30" s="6" t="n"/>
      <c r="G30" s="6" t="inlineStr">
        <is>
          <t>13.39%</t>
        </is>
      </c>
      <c r="H30" s="6" t="inlineStr">
        <is>
          <t>13.45%</t>
        </is>
      </c>
      <c r="I30" s="6" t="inlineStr">
        <is>
          <t>10.28%</t>
        </is>
      </c>
      <c r="J30" s="6" t="inlineStr">
        <is>
          <t>12.59%</t>
        </is>
      </c>
      <c r="K30" s="6" t="n"/>
      <c r="L30" s="6" t="n"/>
      <c r="M30" s="6" t="n"/>
    </row>
    <row r="31">
      <c r="A31" s="6" t="inlineStr">
        <is>
          <t>LCR</t>
        </is>
      </c>
      <c r="B31" s="6" t="n"/>
      <c r="C31" s="6" t="inlineStr">
        <is>
          <t>339.1%</t>
        </is>
      </c>
      <c r="D31" s="6" t="inlineStr">
        <is>
          <t>369.0%</t>
        </is>
      </c>
      <c r="E31" s="6" t="n"/>
      <c r="F31" s="6" t="n"/>
      <c r="G31" s="6" t="inlineStr">
        <is>
          <t>281%</t>
        </is>
      </c>
      <c r="H31" s="6" t="inlineStr">
        <is>
          <t>391%</t>
        </is>
      </c>
      <c r="I31" s="6" t="inlineStr">
        <is>
          <t>325%</t>
        </is>
      </c>
      <c r="J31" s="6" t="inlineStr">
        <is>
          <t>281%</t>
        </is>
      </c>
      <c r="K31" s="6" t="n"/>
      <c r="L31" s="6" t="n"/>
      <c r="M31" s="6" t="n"/>
    </row>
    <row r="32">
      <c r="A32" s="6" t="inlineStr">
        <is>
          <t>NSFR</t>
        </is>
      </c>
      <c r="B32" s="6" t="n"/>
      <c r="C32" s="6" t="inlineStr">
        <is>
          <t>129.8%</t>
        </is>
      </c>
      <c r="D32" s="6" t="inlineStr">
        <is>
          <t>136.4%</t>
        </is>
      </c>
      <c r="E32" s="6" t="n"/>
      <c r="F32" s="6" t="n"/>
      <c r="G32" s="6" t="n"/>
      <c r="H32" s="6" t="n"/>
      <c r="I32" s="6" t="n"/>
      <c r="J32" s="6" t="n"/>
      <c r="K32" s="6" t="n"/>
      <c r="L32" s="6" t="n"/>
      <c r="M32" s="6" t="n"/>
    </row>
    <row r="34" ht="45"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FY2023-FY2024 and solo basis for every other year - a different basis to the statement blocks above, see the Cash Flow Statement sheet's entity note. FY2025's statement/asset-quality figures were transcribed from a scanned Companies House filing via visual reading (OCR-style); FY2025 Leverage Ratio/LCR/NSFR remain unavailable (not in the Annual Report's Financial Highlights table, and no separate FY2025 Pillar 3 report could be located) - see each sheet's own source citation. HD-018 extended this workbook's window from FY2021-FY2025 back to FY2014-FY2025 (2026-09-05); FY2018's 'Other equity movements' figure (-£6,549k) is the IFRS 9 transition adjustment recognised on 1 January 2018, not a dividend - see the Statement of Changes in Equity sheet.</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103934</v>
      </c>
      <c r="C5" s="6" t="n">
        <v>373606</v>
      </c>
      <c r="D5" s="6" t="n">
        <v>535241</v>
      </c>
      <c r="E5" s="6" t="n">
        <v>133298</v>
      </c>
      <c r="F5" s="6" t="n">
        <v>8395</v>
      </c>
      <c r="G5" s="6" t="n">
        <v>47646</v>
      </c>
      <c r="H5" s="6" t="n">
        <v>32683</v>
      </c>
      <c r="I5" s="6" t="n">
        <v>70763</v>
      </c>
      <c r="J5" s="6" t="n">
        <v>21379</v>
      </c>
      <c r="K5" s="6" t="n">
        <v>26269</v>
      </c>
      <c r="L5" s="6" t="n">
        <v>83226</v>
      </c>
      <c r="M5" s="6" t="n">
        <v>81076</v>
      </c>
    </row>
    <row r="6">
      <c r="A6" s="6" t="inlineStr">
        <is>
          <t>Debt investments - FVOCI</t>
        </is>
      </c>
      <c r="B6" s="6" t="n">
        <v>562145</v>
      </c>
      <c r="C6" s="6" t="n">
        <v>550345</v>
      </c>
      <c r="D6" s="6" t="n">
        <v>494318</v>
      </c>
      <c r="E6" s="6" t="n">
        <v>574839</v>
      </c>
      <c r="F6" s="6" t="n">
        <v>466103</v>
      </c>
      <c r="G6" s="6" t="n">
        <v>333872</v>
      </c>
      <c r="H6" s="6" t="n">
        <v>277909</v>
      </c>
      <c r="I6" s="6" t="n">
        <v>265129</v>
      </c>
      <c r="J6" s="6" t="n">
        <v>277687</v>
      </c>
      <c r="K6" s="6" t="n">
        <v>321055</v>
      </c>
      <c r="L6" s="6" t="n">
        <v>219030</v>
      </c>
      <c r="M6" s="6" t="n">
        <v>259769</v>
      </c>
    </row>
    <row r="7">
      <c r="A7" s="6" t="inlineStr">
        <is>
          <t>Loans and advances to banks</t>
        </is>
      </c>
      <c r="B7" s="6" t="n">
        <v>1164047</v>
      </c>
      <c r="C7" s="6" t="n">
        <v>896970</v>
      </c>
      <c r="D7" s="6" t="n">
        <v>604546</v>
      </c>
      <c r="E7" s="6" t="n">
        <v>1036596</v>
      </c>
      <c r="F7" s="6" t="n">
        <v>1002776</v>
      </c>
      <c r="G7" s="6" t="n">
        <v>975054</v>
      </c>
      <c r="H7" s="6" t="n">
        <v>1186006</v>
      </c>
      <c r="I7" s="6" t="n">
        <v>1855187</v>
      </c>
      <c r="J7" s="6" t="n">
        <v>1441263</v>
      </c>
      <c r="K7" s="6" t="n">
        <v>2350215</v>
      </c>
      <c r="L7" s="6" t="n">
        <v>1519663</v>
      </c>
      <c r="M7" s="6" t="n">
        <v>1086342</v>
      </c>
    </row>
    <row r="8">
      <c r="A8" s="6" t="inlineStr">
        <is>
          <t>Loans and advances to customers</t>
        </is>
      </c>
      <c r="B8" s="6" t="n">
        <v>1540521</v>
      </c>
      <c r="C8" s="6" t="n">
        <v>1368632</v>
      </c>
      <c r="D8" s="6" t="n">
        <v>1290334</v>
      </c>
      <c r="E8" s="6" t="n">
        <v>1101772</v>
      </c>
      <c r="F8" s="6" t="n">
        <v>1094131</v>
      </c>
      <c r="G8" s="6" t="n">
        <v>1105423</v>
      </c>
      <c r="H8" s="6" t="n">
        <v>1435262</v>
      </c>
      <c r="I8" s="6" t="n">
        <v>1414678</v>
      </c>
      <c r="J8" s="6" t="n">
        <v>1121735</v>
      </c>
      <c r="K8" s="6" t="n">
        <v>909592</v>
      </c>
      <c r="L8" s="6" t="n">
        <v>983414</v>
      </c>
      <c r="M8" s="6" t="n">
        <v>1170920</v>
      </c>
    </row>
    <row r="9">
      <c r="A9" s="6" t="inlineStr">
        <is>
          <t>Derivative financial assets</t>
        </is>
      </c>
      <c r="B9" s="6" t="n">
        <v>4859</v>
      </c>
      <c r="C9" s="6" t="n">
        <v>20825</v>
      </c>
      <c r="D9" s="6" t="n">
        <v>4038</v>
      </c>
      <c r="E9" s="6" t="n">
        <v>3704</v>
      </c>
      <c r="F9" s="6" t="n">
        <v>3606</v>
      </c>
      <c r="G9" s="6" t="n">
        <v>490</v>
      </c>
      <c r="H9" s="6" t="n">
        <v>336</v>
      </c>
      <c r="I9" s="6" t="n">
        <v>1905</v>
      </c>
      <c r="J9" s="6" t="n">
        <v>874</v>
      </c>
      <c r="K9" s="6" t="n">
        <v>16438</v>
      </c>
      <c r="L9" s="6" t="n">
        <v>1843</v>
      </c>
      <c r="M9" s="6" t="n">
        <v>39487</v>
      </c>
    </row>
    <row r="10">
      <c r="A10" s="6" t="inlineStr">
        <is>
          <t>Tangible fixed assets</t>
        </is>
      </c>
      <c r="B10" s="6" t="n">
        <v>29127</v>
      </c>
      <c r="C10" s="6" t="n">
        <v>35131</v>
      </c>
      <c r="D10" s="6" t="n">
        <v>35215</v>
      </c>
      <c r="E10" s="6" t="n">
        <v>35409</v>
      </c>
      <c r="F10" s="6" t="n">
        <v>36270</v>
      </c>
      <c r="G10" s="6" t="n">
        <v>37386</v>
      </c>
      <c r="H10" s="6" t="n">
        <v>39303</v>
      </c>
      <c r="I10" s="6" t="n">
        <v>39561</v>
      </c>
      <c r="J10" s="6" t="n">
        <v>39885</v>
      </c>
      <c r="K10" s="6" t="n">
        <v>40290</v>
      </c>
      <c r="L10" s="6" t="n">
        <v>2113</v>
      </c>
      <c r="M10" s="6" t="n">
        <v>1098</v>
      </c>
    </row>
    <row r="11">
      <c r="A11" s="6" t="inlineStr">
        <is>
          <t>Investment property</t>
        </is>
      </c>
      <c r="B11" s="6" t="n">
        <v>5973</v>
      </c>
      <c r="C11" s="6" t="n"/>
      <c r="D11" s="6" t="n"/>
      <c r="E11" s="6" t="n"/>
      <c r="F11" s="6" t="n"/>
      <c r="G11" s="6" t="n"/>
      <c r="H11" s="6" t="n"/>
      <c r="I11" s="6" t="n"/>
      <c r="J11" s="6" t="n"/>
      <c r="K11" s="6" t="n"/>
      <c r="L11" s="6" t="n"/>
      <c r="M11" s="6" t="n"/>
    </row>
    <row r="12">
      <c r="A12" s="6" t="inlineStr">
        <is>
          <t>Current tax asset</t>
        </is>
      </c>
      <c r="B12" s="6" t="n">
        <v>1104</v>
      </c>
      <c r="C12" s="6" t="n">
        <v>889</v>
      </c>
      <c r="D12" s="6" t="n"/>
      <c r="E12" s="6" t="n">
        <v>0</v>
      </c>
      <c r="F12" s="6" t="n">
        <v>127</v>
      </c>
      <c r="G12" s="6" t="n">
        <v>923</v>
      </c>
      <c r="H12" s="6" t="n">
        <v>730</v>
      </c>
      <c r="I12" s="6" t="n">
        <v>322</v>
      </c>
      <c r="J12" s="6" t="n">
        <v>0</v>
      </c>
      <c r="K12" s="6" t="n">
        <v>315</v>
      </c>
      <c r="L12" s="6" t="n">
        <v>1493</v>
      </c>
      <c r="M12" s="6" t="n">
        <v>67</v>
      </c>
    </row>
    <row r="13">
      <c r="A13" s="6" t="inlineStr">
        <is>
          <t>Deferred tax asset</t>
        </is>
      </c>
      <c r="B13" s="6" t="n"/>
      <c r="C13" s="6" t="n"/>
      <c r="D13" s="6" t="n"/>
      <c r="E13" s="6" t="n">
        <v>2149</v>
      </c>
      <c r="F13" s="6" t="n">
        <v>1574</v>
      </c>
      <c r="G13" s="6" t="n">
        <v>3159</v>
      </c>
      <c r="H13" s="6" t="n">
        <v>2041</v>
      </c>
      <c r="I13" s="6" t="n">
        <v>2314</v>
      </c>
      <c r="J13" s="6" t="n">
        <v>2915</v>
      </c>
      <c r="K13" s="6" t="n">
        <v>4119</v>
      </c>
      <c r="L13" s="6" t="n">
        <v>3154</v>
      </c>
      <c r="M13" s="6" t="n">
        <v>7245</v>
      </c>
    </row>
    <row r="14">
      <c r="A14" s="6" t="inlineStr">
        <is>
          <t>Prepayments, accrued income and other debtors</t>
        </is>
      </c>
      <c r="B14" s="6" t="n">
        <v>44993</v>
      </c>
      <c r="C14" s="6" t="n">
        <v>75609</v>
      </c>
      <c r="D14" s="6" t="n">
        <v>62556</v>
      </c>
      <c r="E14" s="6" t="n">
        <v>88821</v>
      </c>
      <c r="F14" s="6" t="n">
        <v>27093</v>
      </c>
      <c r="G14" s="6" t="n">
        <v>63630</v>
      </c>
      <c r="H14" s="6" t="n">
        <v>49163</v>
      </c>
      <c r="I14" s="6" t="n">
        <v>46246</v>
      </c>
      <c r="J14" s="6" t="n">
        <v>26396</v>
      </c>
      <c r="K14" s="6" t="n">
        <v>21214</v>
      </c>
      <c r="L14" s="6" t="n">
        <v>20579</v>
      </c>
      <c r="M14" s="6" t="n">
        <v>50703</v>
      </c>
    </row>
    <row r="15">
      <c r="A15" s="6" t="inlineStr">
        <is>
          <t>Pension scheme asset</t>
        </is>
      </c>
      <c r="B15" s="6" t="n">
        <v>0</v>
      </c>
      <c r="C15" s="6" t="n">
        <v>1347</v>
      </c>
      <c r="D15" s="6" t="n"/>
      <c r="E15" s="6" t="n"/>
      <c r="F15" s="6" t="n"/>
      <c r="G15" s="6" t="n"/>
      <c r="H15" s="6" t="n"/>
      <c r="I15" s="6" t="n"/>
      <c r="J15" s="6" t="n"/>
      <c r="K15" s="6" t="n"/>
      <c r="L15" s="6" t="n"/>
      <c r="M15" s="6" t="n"/>
    </row>
    <row r="16">
      <c r="A16" s="6" t="inlineStr">
        <is>
          <t>Investment in subsidiary</t>
        </is>
      </c>
      <c r="B16" s="6" t="n">
        <v>171713</v>
      </c>
      <c r="C16" s="6" t="n">
        <v>163776</v>
      </c>
      <c r="D16" s="6" t="n">
        <v>171043</v>
      </c>
      <c r="E16" s="6" t="n">
        <v>174302</v>
      </c>
      <c r="F16" s="6" t="n">
        <v>165804</v>
      </c>
      <c r="G16" s="6" t="n">
        <v>163814</v>
      </c>
      <c r="H16" s="6" t="n">
        <v>4253</v>
      </c>
      <c r="I16" s="6" t="n">
        <v>33</v>
      </c>
      <c r="J16" s="6" t="n"/>
      <c r="K16" s="6" t="n"/>
      <c r="L16" s="6" t="n"/>
      <c r="M16" s="6" t="n"/>
    </row>
    <row r="17">
      <c r="A17" s="5" t="inlineStr">
        <is>
          <t>Total assets</t>
        </is>
      </c>
      <c r="B17" s="5" t="n">
        <v>3628416</v>
      </c>
      <c r="C17" s="5" t="n">
        <v>3487130</v>
      </c>
      <c r="D17" s="5" t="n">
        <v>3197291</v>
      </c>
      <c r="E17" s="5" t="n">
        <v>3150890</v>
      </c>
      <c r="F17" s="5" t="n">
        <v>2805879</v>
      </c>
      <c r="G17" s="5" t="n">
        <v>2731397</v>
      </c>
      <c r="H17" s="5" t="n">
        <v>3027686</v>
      </c>
      <c r="I17" s="5" t="n">
        <v>3696138</v>
      </c>
      <c r="J17" s="5" t="n">
        <v>2932134</v>
      </c>
      <c r="K17" s="5" t="n">
        <v>3689507</v>
      </c>
      <c r="L17" s="5" t="n">
        <v>2834515</v>
      </c>
      <c r="M17" s="5" t="n">
        <v>2696707</v>
      </c>
    </row>
    <row r="18">
      <c r="A18" s="5" t="inlineStr">
        <is>
          <t>Liabilities</t>
        </is>
      </c>
      <c r="B18" s="6" t="n"/>
      <c r="C18" s="6" t="n"/>
      <c r="D18" s="6" t="n"/>
      <c r="E18" s="6" t="n"/>
      <c r="F18" s="6" t="n"/>
      <c r="G18" s="6" t="n"/>
      <c r="H18" s="6" t="n"/>
      <c r="I18" s="6" t="n"/>
      <c r="J18" s="6" t="n"/>
      <c r="K18" s="6" t="n"/>
      <c r="L18" s="6" t="n"/>
      <c r="M18" s="6" t="n"/>
    </row>
    <row r="19">
      <c r="A19" s="6" t="inlineStr">
        <is>
          <t>Deposits from banks</t>
        </is>
      </c>
      <c r="B19" s="6" t="n">
        <v>1801577</v>
      </c>
      <c r="C19" s="6" t="n">
        <v>1793118</v>
      </c>
      <c r="D19" s="6" t="n">
        <v>1719290</v>
      </c>
      <c r="E19" s="6" t="n">
        <v>1604268</v>
      </c>
      <c r="F19" s="6" t="n">
        <v>1711980</v>
      </c>
      <c r="G19" s="6" t="n">
        <v>1650452</v>
      </c>
      <c r="H19" s="6" t="n">
        <v>1875147</v>
      </c>
      <c r="I19" s="6" t="n">
        <v>2382938</v>
      </c>
      <c r="J19" s="6" t="n">
        <v>1725984</v>
      </c>
      <c r="K19" s="6" t="n">
        <v>2599892</v>
      </c>
      <c r="L19" s="6" t="n">
        <v>1824418</v>
      </c>
      <c r="M19" s="6" t="n">
        <v>1753585</v>
      </c>
    </row>
    <row r="20">
      <c r="A20" s="6" t="inlineStr">
        <is>
          <t>Customer deposits</t>
        </is>
      </c>
      <c r="B20" s="6" t="n">
        <v>796992</v>
      </c>
      <c r="C20" s="6" t="n">
        <v>588657</v>
      </c>
      <c r="D20" s="6" t="n">
        <v>460063</v>
      </c>
      <c r="E20" s="6" t="n">
        <v>517193</v>
      </c>
      <c r="F20" s="6" t="n">
        <v>238737</v>
      </c>
      <c r="G20" s="6" t="n">
        <v>224299</v>
      </c>
      <c r="H20" s="6" t="n">
        <v>243923</v>
      </c>
      <c r="I20" s="6" t="n">
        <v>432416</v>
      </c>
      <c r="J20" s="6" t="n">
        <v>399274</v>
      </c>
      <c r="K20" s="6" t="n">
        <v>267883</v>
      </c>
      <c r="L20" s="6" t="n">
        <v>235152</v>
      </c>
      <c r="M20" s="6" t="n">
        <v>196351</v>
      </c>
    </row>
    <row r="21">
      <c r="A21" s="6" t="inlineStr">
        <is>
          <t>Derivative financial liabilities</t>
        </is>
      </c>
      <c r="B21" s="6" t="n">
        <v>1644</v>
      </c>
      <c r="C21" s="6" t="n">
        <v>1190</v>
      </c>
      <c r="D21" s="6" t="n">
        <v>13647</v>
      </c>
      <c r="E21" s="6" t="n">
        <v>10516</v>
      </c>
      <c r="F21" s="6" t="n">
        <v>635</v>
      </c>
      <c r="G21" s="6" t="n">
        <v>5501</v>
      </c>
      <c r="H21" s="6" t="n">
        <v>3975</v>
      </c>
      <c r="I21" s="6" t="n">
        <v>2533</v>
      </c>
      <c r="J21" s="6" t="n">
        <v>2280</v>
      </c>
      <c r="K21" s="6" t="n">
        <v>1720</v>
      </c>
      <c r="L21" s="6" t="n">
        <v>5604</v>
      </c>
      <c r="M21" s="6" t="n">
        <v>2087</v>
      </c>
    </row>
    <row r="22">
      <c r="A22" s="6" t="inlineStr">
        <is>
          <t>Other liabilities, accruals and deferred income</t>
        </is>
      </c>
      <c r="B22" s="6" t="n">
        <v>61776</v>
      </c>
      <c r="C22" s="6" t="n">
        <v>208793</v>
      </c>
      <c r="D22" s="6" t="n">
        <v>168234</v>
      </c>
      <c r="E22" s="6" t="n">
        <v>195399</v>
      </c>
      <c r="F22" s="6" t="n">
        <v>102982</v>
      </c>
      <c r="G22" s="6" t="n">
        <v>56740</v>
      </c>
      <c r="H22" s="6" t="n">
        <v>56166</v>
      </c>
      <c r="I22" s="6" t="n">
        <v>51162</v>
      </c>
      <c r="J22" s="6" t="n">
        <v>21798</v>
      </c>
      <c r="K22" s="6" t="n">
        <v>22691</v>
      </c>
      <c r="L22" s="6" t="n">
        <v>22997</v>
      </c>
      <c r="M22" s="6" t="n">
        <v>55491</v>
      </c>
    </row>
    <row r="23">
      <c r="A23" s="6" t="inlineStr">
        <is>
          <t>Current tax liability</t>
        </is>
      </c>
      <c r="B23" s="6" t="n"/>
      <c r="C23" s="6" t="n"/>
      <c r="D23" s="6" t="n">
        <v>491</v>
      </c>
      <c r="E23" s="6" t="n">
        <v>2286</v>
      </c>
      <c r="F23" s="6" t="n"/>
      <c r="G23" s="6" t="n">
        <v>0</v>
      </c>
      <c r="H23" s="6" t="n">
        <v>1746</v>
      </c>
      <c r="I23" s="6" t="n">
        <v>2369</v>
      </c>
      <c r="J23" s="6" t="n">
        <v>2077</v>
      </c>
      <c r="K23" s="6" t="n">
        <v>1475</v>
      </c>
      <c r="L23" s="6" t="n">
        <v>185</v>
      </c>
      <c r="M23" s="6" t="n">
        <v>891</v>
      </c>
    </row>
    <row r="24">
      <c r="A24" s="6" t="inlineStr">
        <is>
          <t>Term borrowing</t>
        </is>
      </c>
      <c r="B24" s="6" t="n">
        <v>315538</v>
      </c>
      <c r="C24" s="6" t="n">
        <v>256013</v>
      </c>
      <c r="D24" s="6" t="n">
        <v>216093</v>
      </c>
      <c r="E24" s="6" t="n">
        <v>224794</v>
      </c>
      <c r="F24" s="6" t="n">
        <v>164793</v>
      </c>
      <c r="G24" s="6" t="n">
        <v>230665</v>
      </c>
      <c r="H24" s="6" t="n">
        <v>288149</v>
      </c>
      <c r="I24" s="6" t="n">
        <v>275634</v>
      </c>
      <c r="J24" s="6" t="n">
        <v>245827</v>
      </c>
      <c r="K24" s="6" t="n">
        <v>278033</v>
      </c>
      <c r="L24" s="6" t="n">
        <v>245582</v>
      </c>
      <c r="M24" s="6" t="n">
        <v>170463</v>
      </c>
    </row>
    <row r="25">
      <c r="A25" s="6" t="inlineStr">
        <is>
          <t>Pension scheme liability</t>
        </is>
      </c>
      <c r="B25" s="6" t="n">
        <v>163</v>
      </c>
      <c r="C25" s="6" t="n"/>
      <c r="D25" s="6" t="n">
        <v>209</v>
      </c>
      <c r="E25" s="6" t="n">
        <v>2733</v>
      </c>
      <c r="F25" s="6" t="n">
        <v>2621</v>
      </c>
      <c r="G25" s="6" t="n">
        <v>12573</v>
      </c>
      <c r="H25" s="6" t="n">
        <v>11718</v>
      </c>
      <c r="I25" s="6" t="n">
        <v>11550</v>
      </c>
      <c r="J25" s="6" t="n">
        <v>15202</v>
      </c>
      <c r="K25" s="6" t="n">
        <v>18086</v>
      </c>
      <c r="L25" s="6" t="n">
        <v>8581</v>
      </c>
      <c r="M25" s="6" t="n">
        <v>9732</v>
      </c>
    </row>
    <row r="26">
      <c r="A26" s="6" t="inlineStr">
        <is>
          <t>Subordinated liabilities</t>
        </is>
      </c>
      <c r="B26" s="6" t="n">
        <v>48263</v>
      </c>
      <c r="C26" s="6" t="n">
        <v>51869</v>
      </c>
      <c r="D26" s="6" t="n">
        <v>51121</v>
      </c>
      <c r="E26" s="6" t="n">
        <v>50000</v>
      </c>
      <c r="F26" s="6" t="n">
        <v>50000</v>
      </c>
      <c r="G26" s="6" t="n">
        <v>50000</v>
      </c>
      <c r="H26" s="6" t="n">
        <v>50000</v>
      </c>
      <c r="I26" s="6" t="n">
        <v>50000</v>
      </c>
      <c r="J26" s="6" t="n">
        <v>50000</v>
      </c>
      <c r="K26" s="6" t="n">
        <v>50000</v>
      </c>
      <c r="L26" s="6" t="n">
        <v>50000</v>
      </c>
      <c r="M26" s="6" t="n">
        <v>80813</v>
      </c>
    </row>
    <row r="27">
      <c r="A27" s="6" t="inlineStr">
        <is>
          <t>Deferred tax liability</t>
        </is>
      </c>
      <c r="B27" s="6" t="n">
        <v>1409</v>
      </c>
      <c r="C27" s="6" t="n">
        <v>1016</v>
      </c>
      <c r="D27" s="6" t="n">
        <v>11</v>
      </c>
      <c r="E27" s="6" t="n"/>
      <c r="F27" s="6" t="n"/>
      <c r="G27" s="6" t="n"/>
      <c r="H27" s="6" t="n"/>
      <c r="I27" s="6" t="n"/>
      <c r="J27" s="6" t="n"/>
      <c r="K27" s="6" t="n"/>
      <c r="L27" s="6" t="n"/>
      <c r="M27" s="6" t="n"/>
    </row>
    <row r="28">
      <c r="A28" s="5" t="inlineStr">
        <is>
          <t>Total liabilities</t>
        </is>
      </c>
      <c r="B28" s="5" t="n">
        <v>3027362</v>
      </c>
      <c r="C28" s="5" t="n">
        <v>2900656</v>
      </c>
      <c r="D28" s="5" t="n">
        <v>2629159</v>
      </c>
      <c r="E28" s="5" t="n">
        <v>2607189</v>
      </c>
      <c r="F28" s="5" t="n">
        <v>2271748</v>
      </c>
      <c r="G28" s="5" t="n">
        <v>2230230</v>
      </c>
      <c r="H28" s="5" t="n">
        <v>2530824</v>
      </c>
      <c r="I28" s="5" t="n">
        <v>3208602</v>
      </c>
      <c r="J28" s="5" t="n">
        <v>2462442</v>
      </c>
      <c r="K28" s="5" t="n">
        <v>3239780</v>
      </c>
      <c r="L28" s="5" t="n">
        <v>2392519</v>
      </c>
      <c r="M28" s="5" t="n">
        <v>2269413</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212296</v>
      </c>
      <c r="C30" s="6" t="n">
        <v>212296</v>
      </c>
      <c r="D30" s="6" t="n">
        <v>212296</v>
      </c>
      <c r="E30" s="6" t="n">
        <v>212296</v>
      </c>
      <c r="F30" s="6" t="n">
        <v>212296</v>
      </c>
      <c r="G30" s="6" t="n">
        <v>212296</v>
      </c>
      <c r="H30" s="6" t="n">
        <v>212296</v>
      </c>
      <c r="I30" s="6" t="n">
        <v>212296</v>
      </c>
      <c r="J30" s="6" t="n">
        <v>212296</v>
      </c>
      <c r="K30" s="6" t="n">
        <v>212296</v>
      </c>
      <c r="L30" s="6" t="n">
        <v>212296</v>
      </c>
      <c r="M30" s="6" t="n">
        <v>212296</v>
      </c>
    </row>
    <row r="31">
      <c r="A31" s="6" t="inlineStr">
        <is>
          <t>Retained earnings</t>
        </is>
      </c>
      <c r="B31" s="6" t="n">
        <v>385710</v>
      </c>
      <c r="C31" s="6" t="n">
        <v>372922</v>
      </c>
      <c r="D31" s="6" t="n">
        <v>355584</v>
      </c>
      <c r="E31" s="6" t="n">
        <v>334086</v>
      </c>
      <c r="F31" s="6" t="n">
        <v>321493</v>
      </c>
      <c r="G31" s="6" t="n">
        <v>287834</v>
      </c>
      <c r="H31" s="6" t="n">
        <v>284231</v>
      </c>
      <c r="I31" s="6" t="n">
        <v>275816</v>
      </c>
      <c r="J31" s="6" t="n">
        <v>257372</v>
      </c>
      <c r="K31" s="6" t="n">
        <v>237409</v>
      </c>
      <c r="L31" s="6" t="n">
        <v>229682</v>
      </c>
      <c r="M31" s="6" t="n">
        <v>215018</v>
      </c>
    </row>
    <row r="32">
      <c r="A32" s="6" t="inlineStr">
        <is>
          <t>Fair value reserve</t>
        </is>
      </c>
      <c r="B32" s="6" t="n">
        <v>3048</v>
      </c>
      <c r="C32" s="6" t="n">
        <v>1256</v>
      </c>
      <c r="D32" s="6" t="n">
        <v>252</v>
      </c>
      <c r="E32" s="6" t="n">
        <v>-2681</v>
      </c>
      <c r="F32" s="6" t="n">
        <v>342</v>
      </c>
      <c r="G32" s="6" t="n">
        <v>1037</v>
      </c>
      <c r="H32" s="6" t="n">
        <v>335</v>
      </c>
      <c r="I32" s="6" t="n">
        <v>-576</v>
      </c>
      <c r="J32" s="6" t="n">
        <v>24</v>
      </c>
      <c r="K32" s="6" t="n">
        <v>22</v>
      </c>
      <c r="L32" s="6" t="n">
        <v>18</v>
      </c>
      <c r="M32" s="6" t="n">
        <v>-20</v>
      </c>
    </row>
    <row r="33">
      <c r="A33" s="5" t="inlineStr">
        <is>
          <t>Total equity</t>
        </is>
      </c>
      <c r="B33" s="5" t="n">
        <v>601054</v>
      </c>
      <c r="C33" s="5" t="n">
        <v>586474</v>
      </c>
      <c r="D33" s="5" t="n">
        <v>568132</v>
      </c>
      <c r="E33" s="5" t="n">
        <v>543701</v>
      </c>
      <c r="F33" s="5" t="n">
        <v>534131</v>
      </c>
      <c r="G33" s="5" t="n">
        <v>501167</v>
      </c>
      <c r="H33" s="5" t="n">
        <v>496862</v>
      </c>
      <c r="I33" s="5" t="n">
        <v>487536</v>
      </c>
      <c r="J33" s="5" t="n">
        <v>469692</v>
      </c>
      <c r="K33" s="5" t="n">
        <v>449727</v>
      </c>
      <c r="L33" s="5" t="n">
        <v>441996</v>
      </c>
      <c r="M33" s="5" t="n">
        <v>427294</v>
      </c>
    </row>
    <row r="34">
      <c r="A34" s="5" t="inlineStr">
        <is>
          <t>Total equity and liabilities</t>
        </is>
      </c>
      <c r="B34" s="5" t="n">
        <v>3628416</v>
      </c>
      <c r="C34" s="5" t="n">
        <v>3487130</v>
      </c>
      <c r="D34" s="5" t="n">
        <v>3197291</v>
      </c>
      <c r="E34" s="5" t="n">
        <v>3150890</v>
      </c>
      <c r="F34" s="5" t="n">
        <v>2805879</v>
      </c>
      <c r="G34" s="5" t="n">
        <v>2731397</v>
      </c>
      <c r="H34" s="5" t="n">
        <v>3027686</v>
      </c>
      <c r="I34" s="5" t="n">
        <v>3696138</v>
      </c>
      <c r="J34" s="5" t="n">
        <v>2932134</v>
      </c>
      <c r="K34" s="5" t="n">
        <v>3689507</v>
      </c>
      <c r="L34" s="5" t="n">
        <v>2834515</v>
      </c>
      <c r="M34" s="5" t="n">
        <v>2696707</v>
      </c>
    </row>
    <row r="36" ht="150"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FY2020 &amp; FY2019: ABC International Bank plc Annual Report 2020, Statement of Financial Position, p.58 - https://www.bank-abc.com/en/ShareholderRelations/Annual%20Reports/ABCIB_Annual_Report_2020.pdf
FY2019 &amp; FY2018 (as originally reported): ABC International Bank plc Annual Report 2019, Statement of Financial Position, p.51 - https://www.bank-abc.com/en/ShareholderRelations/Annual%20Reports/ABCIB%20Annual%20Report%202019.pdf
FY2017 &amp; FY2016 (as originally reported): ABC International Bank plc Annual Report 2017 (Companies House filing, scanned, visually transcribed), Statement of Financial Position, p.40 - https://find-and-update.company-information.service.gov.uk/company/02564490/filing-history/MzE5OTA1ODc1MWFkaXF6a2N4/document?format=pdf&amp;download=0
FY2016 &amp; FY2015 (as originally reported): ABC International Bank plc Annual Report 2016 (Companies House filing, scanned, visually transcribed), Statement of Financial Position, p.33 - https://find-and-update.company-information.service.gov.uk/company/02564490/filing-history/MzE3MDg4MzM5M2FkaXF6a2N4/document?format=pdf&amp;download=0
FY2014: ABC International Bank plc Annual Report 2014, Statement of Financial Position, p.26 -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FY2025 introduces two lines not present in earlier years - 'Investment property' (£5,973k) and a 'Pension scheme liability' of £163k (FY2024 instead showed a net 'Pension scheme asset' of £1,347k, now nil) - both are new/changed, not omissions, and are shown as disclosed. 'Investment in subsidiary' is not disclosed at all for FY2014-FY2017 (blank, not zero) - see the entity note above.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Comprehensive income</t>
        </is>
      </c>
      <c r="B4" s="6" t="n"/>
      <c r="C4" s="6" t="n"/>
      <c r="D4" s="6" t="n"/>
      <c r="E4" s="6" t="n"/>
      <c r="F4" s="6" t="n"/>
      <c r="G4" s="6" t="n"/>
      <c r="H4" s="6" t="n"/>
      <c r="I4" s="6" t="n"/>
      <c r="J4" s="6" t="n"/>
      <c r="K4" s="6" t="n"/>
      <c r="L4" s="6" t="n"/>
      <c r="M4" s="6" t="n"/>
    </row>
    <row r="5">
      <c r="A5" s="5" t="inlineStr">
        <is>
          <t>Profit for the year attributable to owners</t>
        </is>
      </c>
      <c r="B5" s="5" t="n">
        <v>32616</v>
      </c>
      <c r="C5" s="5" t="n">
        <v>34113</v>
      </c>
      <c r="D5" s="5" t="n">
        <v>28022</v>
      </c>
      <c r="E5" s="5" t="n">
        <v>22069</v>
      </c>
      <c r="F5" s="5" t="n">
        <v>25344</v>
      </c>
      <c r="G5" s="5" t="n">
        <v>8001</v>
      </c>
      <c r="H5" s="5" t="n">
        <v>16031</v>
      </c>
      <c r="I5" s="5" t="n">
        <v>23085</v>
      </c>
      <c r="J5" s="5" t="n">
        <v>18521</v>
      </c>
      <c r="K5" s="5" t="n">
        <v>16227</v>
      </c>
      <c r="L5" s="5" t="n">
        <v>14025</v>
      </c>
      <c r="M5" s="5" t="n">
        <v>23684</v>
      </c>
    </row>
    <row r="6">
      <c r="A6" s="5" t="inlineStr">
        <is>
          <t>Items that cannot be reclassified to income statement</t>
        </is>
      </c>
      <c r="B6" s="6" t="n"/>
      <c r="C6" s="6" t="n"/>
      <c r="D6" s="6" t="n"/>
      <c r="E6" s="6" t="n"/>
      <c r="F6" s="6" t="n"/>
      <c r="G6" s="6" t="n"/>
      <c r="H6" s="6" t="n"/>
      <c r="I6" s="6" t="n"/>
      <c r="J6" s="6" t="n"/>
      <c r="K6" s="6" t="n"/>
      <c r="L6" s="6" t="n"/>
      <c r="M6" s="6" t="n"/>
    </row>
    <row r="7">
      <c r="A7" s="6" t="inlineStr">
        <is>
          <t>Foreign exchange movement</t>
        </is>
      </c>
      <c r="B7" s="6" t="n"/>
      <c r="C7" s="6" t="n">
        <v>155</v>
      </c>
      <c r="D7" s="6" t="n">
        <v>22</v>
      </c>
      <c r="E7" s="6" t="n">
        <v>-10</v>
      </c>
      <c r="F7" s="6" t="n"/>
      <c r="G7" s="6" t="n">
        <v>-47</v>
      </c>
      <c r="H7" s="6" t="n">
        <v>-119</v>
      </c>
      <c r="I7" s="6" t="n">
        <v>-14</v>
      </c>
      <c r="J7" s="6" t="n">
        <v>38</v>
      </c>
      <c r="K7" s="6" t="n">
        <v>28</v>
      </c>
      <c r="L7" s="6" t="n">
        <v>-67</v>
      </c>
      <c r="M7" s="6" t="n">
        <v>-142</v>
      </c>
    </row>
    <row r="8">
      <c r="A8" s="6" t="inlineStr">
        <is>
          <t>Actuarial gain / (loss) recognised on defined benefit pension scheme</t>
        </is>
      </c>
      <c r="B8" s="6" t="n">
        <v>-3431</v>
      </c>
      <c r="C8" s="6" t="n">
        <v>36</v>
      </c>
      <c r="D8" s="6" t="n">
        <v>-1055</v>
      </c>
      <c r="E8" s="6" t="n">
        <v>-2676</v>
      </c>
      <c r="F8" s="6" t="n">
        <v>7756</v>
      </c>
      <c r="G8" s="6" t="n">
        <v>-5366</v>
      </c>
      <c r="H8" s="6" t="n">
        <v>-2075</v>
      </c>
      <c r="I8" s="6" t="n">
        <v>2527</v>
      </c>
      <c r="J8" s="6" t="n">
        <v>1733</v>
      </c>
      <c r="K8" s="6" t="n">
        <v>-10529</v>
      </c>
      <c r="L8" s="6" t="n">
        <v>326</v>
      </c>
      <c r="M8" s="6" t="n">
        <v>-4350</v>
      </c>
    </row>
    <row r="9">
      <c r="A9" s="6" t="inlineStr">
        <is>
          <t>Current and Deferred tax (charge) / credit relating to defined benefit pension scheme</t>
        </is>
      </c>
      <c r="B9" s="6" t="n">
        <v>703</v>
      </c>
      <c r="C9" s="6" t="n">
        <v>-69</v>
      </c>
      <c r="D9" s="6" t="n">
        <v>-37</v>
      </c>
      <c r="E9" s="6" t="n">
        <v>480</v>
      </c>
      <c r="F9" s="6" t="n">
        <v>-1431</v>
      </c>
      <c r="G9" s="6" t="n">
        <v>1149</v>
      </c>
      <c r="H9" s="6" t="n">
        <v>391</v>
      </c>
      <c r="I9" s="6" t="n">
        <v>-605</v>
      </c>
      <c r="J9" s="6" t="n">
        <v>-329</v>
      </c>
      <c r="K9" s="6" t="n">
        <v>2001</v>
      </c>
      <c r="L9" s="6" t="n">
        <v>380</v>
      </c>
      <c r="M9" s="6" t="n">
        <v>599</v>
      </c>
    </row>
    <row r="10">
      <c r="A10" s="5" t="inlineStr">
        <is>
          <t>Items that can be reclassified to income statement</t>
        </is>
      </c>
      <c r="B10" s="6" t="n"/>
      <c r="C10" s="6" t="n"/>
      <c r="D10" s="6" t="n"/>
      <c r="E10" s="6" t="n"/>
      <c r="F10" s="6" t="n"/>
      <c r="G10" s="6" t="n"/>
      <c r="H10" s="6" t="n"/>
      <c r="I10" s="6" t="n"/>
      <c r="J10" s="6" t="n"/>
      <c r="K10" s="6" t="n"/>
      <c r="L10" s="6" t="n"/>
      <c r="M10" s="6" t="n"/>
    </row>
    <row r="11">
      <c r="A11" s="6" t="inlineStr">
        <is>
          <t>Deferred tax (charge) / credit relating to change in fair value of debt investments at FVOCI</t>
        </is>
      </c>
      <c r="B11" s="6" t="n">
        <v>-420</v>
      </c>
      <c r="C11" s="6" t="n">
        <v>-333</v>
      </c>
      <c r="D11" s="6" t="n">
        <v>-988</v>
      </c>
      <c r="E11" s="6" t="n">
        <v>964</v>
      </c>
      <c r="F11" s="6" t="n">
        <v>205</v>
      </c>
      <c r="G11" s="6" t="n">
        <v>-134</v>
      </c>
      <c r="H11" s="6" t="n">
        <v>-43</v>
      </c>
      <c r="I11" s="6" t="n">
        <v>0</v>
      </c>
      <c r="J11" s="6" t="n"/>
      <c r="K11" s="6" t="n"/>
      <c r="L11" s="6" t="n"/>
      <c r="M11" s="6" t="n">
        <v>-70</v>
      </c>
    </row>
    <row r="12">
      <c r="A12" s="6" t="inlineStr">
        <is>
          <t>Change in fair value of debt investments at FVOCI</t>
        </is>
      </c>
      <c r="B12" s="6" t="n">
        <v>4060</v>
      </c>
      <c r="C12" s="6" t="n">
        <v>-1044</v>
      </c>
      <c r="D12" s="6" t="n">
        <v>2406</v>
      </c>
      <c r="E12" s="6" t="n">
        <v>-6637</v>
      </c>
      <c r="F12" s="6" t="n">
        <v>-765</v>
      </c>
      <c r="G12" s="6" t="n">
        <v>929</v>
      </c>
      <c r="H12" s="6" t="n">
        <v>831</v>
      </c>
      <c r="I12" s="6" t="n">
        <v>-600</v>
      </c>
      <c r="J12" s="6" t="n">
        <v>2</v>
      </c>
      <c r="K12" s="6" t="n">
        <v>4</v>
      </c>
      <c r="L12" s="6" t="n">
        <v>38</v>
      </c>
      <c r="M12" s="6" t="n">
        <v>511</v>
      </c>
    </row>
    <row r="13">
      <c r="A13" s="6" t="inlineStr">
        <is>
          <t>Reclassification to income statement: debt investments at FVOCI</t>
        </is>
      </c>
      <c r="B13" s="6" t="n">
        <v>549</v>
      </c>
      <c r="C13" s="6" t="n">
        <v>1954</v>
      </c>
      <c r="D13" s="6" t="n">
        <v>3421</v>
      </c>
      <c r="E13" s="6" t="n">
        <v>-85</v>
      </c>
      <c r="F13" s="6" t="n">
        <v>-282</v>
      </c>
      <c r="G13" s="6" t="n">
        <v>-248</v>
      </c>
      <c r="H13" s="6" t="n"/>
      <c r="I13" s="6" t="n"/>
      <c r="J13" s="6" t="n"/>
      <c r="K13" s="6" t="n"/>
      <c r="L13" s="6" t="n"/>
      <c r="M13" s="6" t="n"/>
    </row>
    <row r="14">
      <c r="A14" s="6" t="inlineStr">
        <is>
          <t>Change in ECL allowance for debt investments at FVOCI</t>
        </is>
      </c>
      <c r="B14" s="6" t="n">
        <v>6</v>
      </c>
      <c r="C14" s="6" t="n">
        <v>4</v>
      </c>
      <c r="D14" s="6" t="n">
        <v>-33</v>
      </c>
      <c r="E14" s="6" t="n">
        <v>12</v>
      </c>
      <c r="F14" s="6" t="n">
        <v>2</v>
      </c>
      <c r="G14" s="6" t="n">
        <v>21</v>
      </c>
      <c r="H14" s="6" t="n">
        <v>80</v>
      </c>
      <c r="I14" s="6" t="n">
        <v>0</v>
      </c>
      <c r="J14" s="6" t="n"/>
      <c r="K14" s="6" t="n"/>
      <c r="L14" s="6" t="n"/>
      <c r="M14" s="6" t="n"/>
    </row>
    <row r="15">
      <c r="A15" s="6" t="inlineStr">
        <is>
          <t>Net gain / (loss) due to fair value hedging</t>
        </is>
      </c>
      <c r="B15" s="6" t="n">
        <v>-2403</v>
      </c>
      <c r="C15" s="6" t="n">
        <v>423</v>
      </c>
      <c r="D15" s="6" t="n">
        <v>-1873</v>
      </c>
      <c r="E15" s="6" t="n">
        <v>2723</v>
      </c>
      <c r="F15" s="6" t="n">
        <v>145</v>
      </c>
      <c r="G15" s="6" t="n"/>
      <c r="H15" s="6" t="n"/>
      <c r="I15" s="6" t="n"/>
      <c r="J15" s="6" t="n"/>
      <c r="K15" s="6" t="n"/>
      <c r="L15" s="6" t="n"/>
      <c r="M15" s="6" t="n"/>
    </row>
    <row r="16">
      <c r="A16" s="5" t="inlineStr">
        <is>
          <t>Total comprehensive income for the year attributable to owners</t>
        </is>
      </c>
      <c r="B16" s="5" t="n">
        <v>31680</v>
      </c>
      <c r="C16" s="5" t="n">
        <v>34148</v>
      </c>
      <c r="D16" s="5" t="n">
        <v>31051</v>
      </c>
      <c r="E16" s="5" t="n">
        <v>16840</v>
      </c>
      <c r="F16" s="5" t="n">
        <v>30974</v>
      </c>
      <c r="G16" s="5" t="n">
        <v>4305</v>
      </c>
      <c r="H16" s="5" t="n">
        <v>15096</v>
      </c>
      <c r="I16" s="5" t="n">
        <v>24393</v>
      </c>
      <c r="J16" s="5" t="n">
        <v>19965</v>
      </c>
      <c r="K16" s="5" t="n">
        <v>7731</v>
      </c>
      <c r="L16" s="5" t="n">
        <v>14702</v>
      </c>
      <c r="M16" s="5" t="n">
        <v>20232</v>
      </c>
    </row>
    <row r="18" ht="150"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FY2020 &amp; FY2019: ABC International Bank plc Annual Report 2020, Statement of Comprehensive Income, p.57 - https://www.bank-abc.com/en/ShareholderRelations/Annual%20Reports/ABCIB_Annual_Report_2020.pdf
FY2019 &amp; FY2018 (as originally reported): ABC International Bank plc Annual Report 2019, Statement of Comprehensive Income, p.51 - https://www.bank-abc.com/en/ShareholderRelations/Annual%20Reports/ABCIB%20Annual%20Report%202019.pdf
FY2017 &amp; FY2016 (as originally reported): ABC International Bank plc Annual Report 2017 (Companies House filing, scanned, visually transcribed), Statement of Comprehensive Income, p.39 - https://find-and-update.company-information.service.gov.uk/company/02564490/filing-history/MzE5OTA1ODc1MWFkaXF6a2N4/document?format=pdf&amp;download=0
FY2016 &amp; FY2015 (as originally reported): ABC International Bank plc Annual Report 2016 (Companies House filing, scanned, visually transcribed), Income Statement + Statement of Comprehensive Income, p.31-32 - https://find-and-update.company-information.service.gov.uk/company/02564490/filing-history/MzE3MDg4MzM5M2FkaXF6a2N4/document?format=pdf&amp;download=0
FY2014: ABC International Bank plc Annual Report 2014, Statement of Comprehensive Income, p.25 -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12 years. FY2014-FY2020's own primary statements actually DO disclose a full Income Statement above this point (net interest income, fees, G&amp;A expenses, impairment, profit before tax) - not reproduced here, to keep this sheet's row set identical across all 12 years matching the FY2021-FY2025 disclosure shape already established; the full income statement for those years is available in the cited primary sources for a human who wants it.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M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2014</t>
        </is>
      </c>
      <c r="B4" s="5" t="n">
        <v>212296</v>
      </c>
      <c r="C4" s="5" t="n">
        <v>195227</v>
      </c>
      <c r="D4" s="5" t="n">
        <v>-461</v>
      </c>
      <c r="E4" s="5" t="n">
        <v>407062</v>
      </c>
    </row>
    <row r="5">
      <c r="A5" s="6" t="inlineStr">
        <is>
          <t>Profit for the year</t>
        </is>
      </c>
      <c r="B5" s="6" t="n"/>
      <c r="C5" s="6" t="n">
        <v>23684</v>
      </c>
      <c r="D5" s="6" t="n"/>
      <c r="E5" s="6" t="n">
        <v>23684</v>
      </c>
    </row>
    <row r="6">
      <c r="A6" s="6" t="inlineStr">
        <is>
          <t>Other comprehensive income / (loss)</t>
        </is>
      </c>
      <c r="B6" s="6" t="n"/>
      <c r="C6" s="6" t="n">
        <v>-3893</v>
      </c>
      <c r="D6" s="6" t="n">
        <v>441</v>
      </c>
      <c r="E6" s="6" t="n">
        <v>-3452</v>
      </c>
    </row>
    <row r="7">
      <c r="A7" s="5" t="inlineStr">
        <is>
          <t>Balance at 31 December 2014</t>
        </is>
      </c>
      <c r="B7" s="5" t="n">
        <v>212296</v>
      </c>
      <c r="C7" s="5" t="n">
        <v>215018</v>
      </c>
      <c r="D7" s="5" t="n">
        <v>-20</v>
      </c>
      <c r="E7" s="5" t="n">
        <v>427294</v>
      </c>
    </row>
    <row r="8">
      <c r="A8" s="6" t="inlineStr">
        <is>
          <t>Profit for the year</t>
        </is>
      </c>
      <c r="B8" s="6" t="n"/>
      <c r="C8" s="6" t="n">
        <v>14025</v>
      </c>
      <c r="D8" s="6" t="n"/>
      <c r="E8" s="6" t="n">
        <v>14025</v>
      </c>
    </row>
    <row r="9">
      <c r="A9" s="6" t="inlineStr">
        <is>
          <t>Other comprehensive income / (loss)</t>
        </is>
      </c>
      <c r="B9" s="6" t="n"/>
      <c r="C9" s="6" t="n">
        <v>639</v>
      </c>
      <c r="D9" s="6" t="n">
        <v>38</v>
      </c>
      <c r="E9" s="6" t="n">
        <v>677</v>
      </c>
    </row>
    <row r="10">
      <c r="A10" s="5" t="inlineStr">
        <is>
          <t>Balance at 31 December 2015</t>
        </is>
      </c>
      <c r="B10" s="5" t="n">
        <v>212296</v>
      </c>
      <c r="C10" s="5" t="n">
        <v>229682</v>
      </c>
      <c r="D10" s="5" t="n">
        <v>18</v>
      </c>
      <c r="E10" s="5" t="n">
        <v>441996</v>
      </c>
    </row>
    <row r="11">
      <c r="A11" s="6" t="inlineStr">
        <is>
          <t>Profit for the year</t>
        </is>
      </c>
      <c r="B11" s="6" t="n"/>
      <c r="C11" s="6" t="n">
        <v>16227</v>
      </c>
      <c r="D11" s="6" t="n"/>
      <c r="E11" s="6" t="n">
        <v>16227</v>
      </c>
    </row>
    <row r="12">
      <c r="A12" s="6" t="inlineStr">
        <is>
          <t>Other comprehensive income / (loss)</t>
        </is>
      </c>
      <c r="B12" s="6" t="n"/>
      <c r="C12" s="6" t="n">
        <v>-8500</v>
      </c>
      <c r="D12" s="6" t="n">
        <v>4</v>
      </c>
      <c r="E12" s="6" t="n">
        <v>-8496</v>
      </c>
    </row>
    <row r="13">
      <c r="A13" s="5" t="inlineStr">
        <is>
          <t>Balance at 31 December 2016</t>
        </is>
      </c>
      <c r="B13" s="5" t="n">
        <v>212296</v>
      </c>
      <c r="C13" s="5" t="n">
        <v>237409</v>
      </c>
      <c r="D13" s="5" t="n">
        <v>22</v>
      </c>
      <c r="E13" s="5" t="n">
        <v>449727</v>
      </c>
    </row>
    <row r="14">
      <c r="A14" s="6" t="inlineStr">
        <is>
          <t>Profit for the year</t>
        </is>
      </c>
      <c r="B14" s="6" t="n"/>
      <c r="C14" s="6" t="n">
        <v>18521</v>
      </c>
      <c r="D14" s="6" t="n"/>
      <c r="E14" s="6" t="n">
        <v>18521</v>
      </c>
    </row>
    <row r="15">
      <c r="A15" s="6" t="inlineStr">
        <is>
          <t>Other comprehensive income / (loss)</t>
        </is>
      </c>
      <c r="B15" s="6" t="n"/>
      <c r="C15" s="6" t="n">
        <v>1442</v>
      </c>
      <c r="D15" s="6" t="n">
        <v>2</v>
      </c>
      <c r="E15" s="6" t="n">
        <v>1444</v>
      </c>
    </row>
    <row r="16">
      <c r="A16" s="5" t="inlineStr">
        <is>
          <t>Balance at 31 December 2017</t>
        </is>
      </c>
      <c r="B16" s="5" t="n">
        <v>212296</v>
      </c>
      <c r="C16" s="5" t="n">
        <v>257372</v>
      </c>
      <c r="D16" s="5" t="n">
        <v>24</v>
      </c>
      <c r="E16" s="5" t="n">
        <v>469692</v>
      </c>
    </row>
    <row r="17">
      <c r="A17" s="6" t="inlineStr">
        <is>
          <t>Impact of adopting IFRS 9, net of tax (1 January 2018)</t>
        </is>
      </c>
      <c r="B17" s="6" t="n"/>
      <c r="C17" s="6" t="n">
        <v>-6549</v>
      </c>
      <c r="D17" s="6" t="n"/>
      <c r="E17" s="6" t="n">
        <v>-6549</v>
      </c>
    </row>
    <row r="18">
      <c r="A18" s="6" t="inlineStr">
        <is>
          <t>Profit for the year</t>
        </is>
      </c>
      <c r="B18" s="6" t="n"/>
      <c r="C18" s="6" t="n">
        <v>23085</v>
      </c>
      <c r="D18" s="6" t="n"/>
      <c r="E18" s="6" t="n">
        <v>23085</v>
      </c>
    </row>
    <row r="19">
      <c r="A19" s="6" t="inlineStr">
        <is>
          <t>Other comprehensive income / (loss)</t>
        </is>
      </c>
      <c r="B19" s="6" t="n"/>
      <c r="C19" s="6" t="n">
        <v>1908</v>
      </c>
      <c r="D19" s="6" t="n">
        <v>-600</v>
      </c>
      <c r="E19" s="6" t="n">
        <v>1308</v>
      </c>
    </row>
    <row r="20">
      <c r="A20" s="5" t="inlineStr">
        <is>
          <t>Balance at 31 December 2018</t>
        </is>
      </c>
      <c r="B20" s="5" t="n">
        <v>212296</v>
      </c>
      <c r="C20" s="5" t="n">
        <v>275816</v>
      </c>
      <c r="D20" s="5" t="n">
        <v>-576</v>
      </c>
      <c r="E20" s="5" t="n">
        <v>487536</v>
      </c>
    </row>
    <row r="21">
      <c r="A21" s="6" t="inlineStr">
        <is>
          <t>Dividend paid</t>
        </is>
      </c>
      <c r="B21" s="6" t="n"/>
      <c r="C21" s="6" t="n">
        <v>-5770</v>
      </c>
      <c r="D21" s="6" t="n"/>
      <c r="E21" s="6" t="n">
        <v>-5770</v>
      </c>
    </row>
    <row r="22">
      <c r="A22" s="6" t="inlineStr">
        <is>
          <t>Profit for the year</t>
        </is>
      </c>
      <c r="B22" s="6" t="n"/>
      <c r="C22" s="6" t="n">
        <v>16031</v>
      </c>
      <c r="D22" s="6" t="n"/>
      <c r="E22" s="6" t="n">
        <v>16031</v>
      </c>
    </row>
    <row r="23">
      <c r="A23" s="6" t="inlineStr">
        <is>
          <t>Other comprehensive income / (loss)</t>
        </is>
      </c>
      <c r="B23" s="6" t="n"/>
      <c r="C23" s="6" t="n">
        <v>-1846</v>
      </c>
      <c r="D23" s="6" t="n">
        <v>911</v>
      </c>
      <c r="E23" s="6" t="n">
        <v>-935</v>
      </c>
    </row>
    <row r="24">
      <c r="A24" s="5" t="inlineStr">
        <is>
          <t>Balance at 31 December 2019</t>
        </is>
      </c>
      <c r="B24" s="5" t="n">
        <v>212296</v>
      </c>
      <c r="C24" s="5" t="n">
        <v>284231</v>
      </c>
      <c r="D24" s="5" t="n">
        <v>335</v>
      </c>
      <c r="E24" s="5" t="n">
        <v>496862</v>
      </c>
    </row>
    <row r="25">
      <c r="A25" s="6" t="inlineStr">
        <is>
          <t>Dividend paid</t>
        </is>
      </c>
      <c r="B25" s="6" t="n"/>
      <c r="C25" s="6" t="n">
        <v>0</v>
      </c>
      <c r="D25" s="6" t="n"/>
      <c r="E25" s="6" t="n">
        <v>0</v>
      </c>
    </row>
    <row r="26">
      <c r="A26" s="6" t="inlineStr">
        <is>
          <t>Profit for the year</t>
        </is>
      </c>
      <c r="B26" s="6" t="n"/>
      <c r="C26" s="6" t="n">
        <v>8001</v>
      </c>
      <c r="D26" s="6" t="n"/>
      <c r="E26" s="6" t="n">
        <v>8001</v>
      </c>
    </row>
    <row r="27">
      <c r="A27" s="6" t="inlineStr">
        <is>
          <t>Other comprehensive income / (loss)</t>
        </is>
      </c>
      <c r="B27" s="6" t="n"/>
      <c r="C27" s="6" t="n">
        <v>-4398</v>
      </c>
      <c r="D27" s="6" t="n">
        <v>702</v>
      </c>
      <c r="E27" s="6" t="n">
        <v>-3696</v>
      </c>
    </row>
    <row r="28">
      <c r="A28" s="5" t="inlineStr">
        <is>
          <t>Balance at 31 December 2020</t>
        </is>
      </c>
      <c r="B28" s="5" t="n">
        <v>212296</v>
      </c>
      <c r="C28" s="5" t="n">
        <v>287834</v>
      </c>
      <c r="D28" s="5" t="n">
        <v>1037</v>
      </c>
      <c r="E28" s="5" t="n">
        <v>501167</v>
      </c>
    </row>
    <row r="29">
      <c r="A29" s="5" t="inlineStr">
        <is>
          <t>Balance at 1 January 2021</t>
        </is>
      </c>
      <c r="B29" s="5" t="n">
        <v>212296</v>
      </c>
      <c r="C29" s="5" t="n">
        <v>289824</v>
      </c>
      <c r="D29" s="5" t="n">
        <v>1037</v>
      </c>
      <c r="E29" s="5" t="n">
        <v>503157</v>
      </c>
    </row>
    <row r="30">
      <c r="A30" s="6" t="inlineStr">
        <is>
          <t>Profit for the year</t>
        </is>
      </c>
      <c r="B30" s="6" t="n"/>
      <c r="C30" s="6" t="n">
        <v>25344</v>
      </c>
      <c r="D30" s="6" t="n"/>
      <c r="E30" s="6" t="n">
        <v>25344</v>
      </c>
    </row>
    <row r="31">
      <c r="A31" s="6" t="inlineStr">
        <is>
          <t>Other comprehensive income / (loss)</t>
        </is>
      </c>
      <c r="B31" s="6" t="n"/>
      <c r="C31" s="6" t="n">
        <v>6325</v>
      </c>
      <c r="D31" s="6" t="n">
        <v>-695</v>
      </c>
      <c r="E31" s="6" t="n">
        <v>5630</v>
      </c>
    </row>
    <row r="32">
      <c r="A32" s="5" t="inlineStr">
        <is>
          <t>Balance at 31 December 2021</t>
        </is>
      </c>
      <c r="B32" s="5" t="n">
        <v>212296</v>
      </c>
      <c r="C32" s="5" t="n">
        <v>321493</v>
      </c>
      <c r="D32" s="5" t="n">
        <v>342</v>
      </c>
      <c r="E32" s="5" t="n">
        <v>534131</v>
      </c>
    </row>
    <row r="33">
      <c r="A33" s="6" t="inlineStr">
        <is>
          <t>Dividend paid</t>
        </is>
      </c>
      <c r="B33" s="6" t="n"/>
      <c r="C33" s="6" t="n">
        <v>-7270</v>
      </c>
      <c r="D33" s="6" t="n"/>
      <c r="E33" s="6" t="n">
        <v>-7270</v>
      </c>
    </row>
    <row r="34">
      <c r="A34" s="6" t="inlineStr">
        <is>
          <t>Profit for the year</t>
        </is>
      </c>
      <c r="B34" s="6" t="n"/>
      <c r="C34" s="6" t="n">
        <v>22069</v>
      </c>
      <c r="D34" s="6" t="n"/>
      <c r="E34" s="6" t="n">
        <v>22069</v>
      </c>
    </row>
    <row r="35">
      <c r="A35" s="6" t="inlineStr">
        <is>
          <t>Other comprehensive income / (loss)</t>
        </is>
      </c>
      <c r="B35" s="6" t="n"/>
      <c r="C35" s="6" t="n">
        <v>-2206</v>
      </c>
      <c r="D35" s="6" t="n">
        <v>-3023</v>
      </c>
      <c r="E35" s="6" t="n">
        <v>-5229</v>
      </c>
    </row>
    <row r="36">
      <c r="A36" s="5" t="inlineStr">
        <is>
          <t>Balance at 31 December 2022</t>
        </is>
      </c>
      <c r="B36" s="5" t="n">
        <v>212296</v>
      </c>
      <c r="C36" s="5" t="n">
        <v>334086</v>
      </c>
      <c r="D36" s="5" t="n">
        <v>-2681</v>
      </c>
      <c r="E36" s="5" t="n">
        <v>543701</v>
      </c>
    </row>
    <row r="37">
      <c r="A37" s="6" t="inlineStr">
        <is>
          <t>Dividend paid</t>
        </is>
      </c>
      <c r="B37" s="6" t="n"/>
      <c r="C37" s="6" t="n">
        <v>-6620</v>
      </c>
      <c r="D37" s="6" t="n"/>
      <c r="E37" s="6" t="n">
        <v>-6620</v>
      </c>
    </row>
    <row r="38">
      <c r="A38" s="6" t="inlineStr">
        <is>
          <t>Profit for the year</t>
        </is>
      </c>
      <c r="B38" s="6" t="n"/>
      <c r="C38" s="6" t="n">
        <v>28022</v>
      </c>
      <c r="D38" s="6" t="n"/>
      <c r="E38" s="6" t="n">
        <v>28022</v>
      </c>
    </row>
    <row r="39">
      <c r="A39" s="6" t="inlineStr">
        <is>
          <t>Other comprehensive income / (loss)</t>
        </is>
      </c>
      <c r="B39" s="6" t="n"/>
      <c r="C39" s="6" t="n">
        <v>96</v>
      </c>
      <c r="D39" s="6" t="n">
        <v>2933</v>
      </c>
      <c r="E39" s="6" t="n">
        <v>3029</v>
      </c>
    </row>
    <row r="40">
      <c r="A40" s="5" t="inlineStr">
        <is>
          <t>Balance at 31 December 2023</t>
        </is>
      </c>
      <c r="B40" s="5" t="n">
        <v>212296</v>
      </c>
      <c r="C40" s="5" t="n">
        <v>355584</v>
      </c>
      <c r="D40" s="5" t="n">
        <v>252</v>
      </c>
      <c r="E40" s="5" t="n">
        <v>568132</v>
      </c>
    </row>
    <row r="41">
      <c r="A41" s="6" t="inlineStr">
        <is>
          <t>Dividend paid</t>
        </is>
      </c>
      <c r="B41" s="6" t="n"/>
      <c r="C41" s="6" t="n">
        <v>-15806</v>
      </c>
      <c r="D41" s="6" t="n"/>
      <c r="E41" s="6" t="n">
        <v>-15806</v>
      </c>
    </row>
    <row r="42">
      <c r="A42" s="6" t="inlineStr">
        <is>
          <t>Profit for the year</t>
        </is>
      </c>
      <c r="B42" s="6" t="n"/>
      <c r="C42" s="6" t="n">
        <v>34113</v>
      </c>
      <c r="D42" s="6" t="n"/>
      <c r="E42" s="6" t="n">
        <v>34113</v>
      </c>
    </row>
    <row r="43">
      <c r="A43" s="6" t="inlineStr">
        <is>
          <t>Other comprehensive income / (loss)</t>
        </is>
      </c>
      <c r="B43" s="6" t="n"/>
      <c r="C43" s="6" t="n">
        <v>-969</v>
      </c>
      <c r="D43" s="6" t="n">
        <v>1004</v>
      </c>
      <c r="E43" s="6" t="n">
        <v>35</v>
      </c>
    </row>
    <row r="44">
      <c r="A44" s="5" t="inlineStr">
        <is>
          <t>Balance at 31 December 2024</t>
        </is>
      </c>
      <c r="B44" s="5" t="n">
        <v>212296</v>
      </c>
      <c r="C44" s="5" t="n">
        <v>372922</v>
      </c>
      <c r="D44" s="5" t="n">
        <v>1256</v>
      </c>
      <c r="E44" s="5" t="n">
        <v>586474</v>
      </c>
    </row>
    <row r="45">
      <c r="A45" s="6" t="inlineStr">
        <is>
          <t>Dividend paid</t>
        </is>
      </c>
      <c r="B45" s="6" t="n"/>
      <c r="C45" s="6" t="n">
        <v>-17100</v>
      </c>
      <c r="D45" s="6" t="n"/>
      <c r="E45" s="6" t="n">
        <v>-17100</v>
      </c>
    </row>
    <row r="46">
      <c r="A46" s="6" t="inlineStr">
        <is>
          <t>Profit for the year</t>
        </is>
      </c>
      <c r="B46" s="6" t="n"/>
      <c r="C46" s="6" t="n">
        <v>32616</v>
      </c>
      <c r="D46" s="6" t="n"/>
      <c r="E46" s="6" t="n">
        <v>32616</v>
      </c>
    </row>
    <row r="47">
      <c r="A47" s="6" t="inlineStr">
        <is>
          <t>Other comprehensive income / (loss)</t>
        </is>
      </c>
      <c r="B47" s="6" t="n"/>
      <c r="C47" s="6" t="n">
        <v>-2728</v>
      </c>
      <c r="D47" s="6" t="n">
        <v>1792</v>
      </c>
      <c r="E47" s="6" t="n">
        <v>-936</v>
      </c>
    </row>
    <row r="48">
      <c r="A48" s="5" t="inlineStr">
        <is>
          <t>Balance at 31 December 2025</t>
        </is>
      </c>
      <c r="B48" s="5" t="n">
        <v>212296</v>
      </c>
      <c r="C48" s="5" t="n">
        <v>385710</v>
      </c>
      <c r="D48" s="5" t="n">
        <v>3048</v>
      </c>
      <c r="E48" s="5" t="n">
        <v>601054</v>
      </c>
    </row>
    <row r="50" ht="150" customHeight="1">
      <c r="A50"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FY2019-FY2020 roll-forward: ABC International Bank plc Annual Report 2020, Statement of Changes in Equity, p.59 - https://www.bank-abc.com/en/ShareholderRelations/Annual%20Reports/ABCIB_Annual_Report_2020.pdf
FY2018-FY2019 roll-forward (incl. the IFRS 9 transition adjustment at 1 Jan 2018): ABC International Bank plc Annual Report 2019, Statement of Changes in Equity, p.52 - https://www.bank-abc.com/en/ShareholderRelations/Annual%20Reports/ABCIB%20Annual%20Report%202019.pdf
FY2016-FY2017 roll-forward: ABC International Bank plc Annual Report 2017 (Companies House filing, scanned, visually transcribed), Statement of Changes in Equity, p.41 - https://find-and-update.company-information.service.gov.uk/company/02564490/filing-history/MzE5OTA1ODc1MWFkaXF6a2N4/document?format=pdf&amp;download=0
FY2014-FY2016 roll-forward: ABC International Bank plc Annual Report 2016 (Companies House filing, scanned, visually transcribed), Statement of Changes in Equity, p.34 - https://find-and-update.company-information.service.gov.uk/company/02564490/filing-history/MzE3MDg4MzM5M2FkaXF6a2N4/document?format=pdf&amp;download=0; FY2014 opening/closing balances cross-checked against ABC International Bank plc Annual Report 2014, Statement of Changes in Equity, p.27 -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RECONCILIATION GAP FLAGGED (found while sourcing this extension, not fixed - out of scope for this pass): ABCIB's own FY2020 Annual Report discloses a 31 December 2020 closing 'Total equity' of £501,167k (Share capital 212,296 / Retained earnings 287,834 / Fair value reserve 1,037), but the already-shipped FY2021-2025 columns on this sheet (sourced from AR2022) open FY2021 at £503,157k (Retained earnings 289,824) - a £1,990k gap in the opening balance that neither AR2020 nor AR2022 explains (no restatement note found in AR2022 for the FY2021 opening position). Left as originally sourced in each affected year per this project's convention; flagged here for a human to judge.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280" customHeight="1">
      <c r="A7" s="8" t="inlineStr">
        <is>
          <t>ENTITY NOTE: ABC International Bank plc (company 02564490, FRN 149025, incorporated 3 December 1990) is a wholly-owned subsidiary within the Bank ABC (Arab Banking Corporation B.S.C., Bahrain) group. FY2023 and FY2024 figures are on a CONSOLIDATED basis (ABCIB's own subsidiaries, e.g. Alphabet Nominees Limited - a nominee company, not a trading entity), taken from ABCIB's own UK KM1 Pillar 3 template. FY2021 and FY2022 figures are on a SOLO (entity-only) basis, taken from the Annual Report's 'Financial Highlights' table - no consolidated Pillar 3 KM1-format disclosure could be located for those two years (only the modern KM1 template, introduced for the FY2023 report onward, publishes a full metrics breakdown; earlier years' Pillar 3 documents could not be located on the bank's website or via Wayback Machine). This is a genuine basis break within the series, not a data-entry choice - flagged on every affected sheet.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 confirmed as far back as FY2014 (same FRS 101 exemption language, ABC International Bank plc Annual Report 2014, note 1.2). Per the project's established policy for this exemption (see The Bank of New York Mellon (International) Limited), this workbook is built as a PILLAR-3-ONLY variant: all 11 Pillar 3 metric sheets are populated below (all 12 years for the capital/RWA total and ratio sheets; only FY2017-FY2020 and FY2023-FY2024 for Leverage Ratio/LCR, which aren't in the Financial Highlights table used for every other year; NSFR and MREL are not disclosed in any year),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 gross carrying amount by IFRS 9 stage</t>
        </is>
      </c>
      <c r="B4" s="6" t="n"/>
      <c r="C4" s="6" t="n"/>
      <c r="D4" s="6" t="n"/>
      <c r="E4" s="6" t="n"/>
      <c r="F4" s="6" t="n"/>
      <c r="G4" s="6" t="n"/>
      <c r="H4" s="6" t="n"/>
      <c r="I4" s="6" t="n"/>
      <c r="J4" s="6" t="n"/>
      <c r="K4" s="6" t="n"/>
      <c r="L4" s="6" t="n"/>
      <c r="M4" s="6" t="n"/>
    </row>
    <row r="5">
      <c r="A5" s="6" t="inlineStr">
        <is>
          <t>Stage 1 (performing)</t>
        </is>
      </c>
      <c r="B5" s="6" t="n">
        <v>1508403</v>
      </c>
      <c r="C5" s="6" t="n">
        <v>1332380</v>
      </c>
      <c r="D5" s="6" t="n">
        <v>1225745</v>
      </c>
      <c r="E5" s="6" t="n">
        <v>979678</v>
      </c>
      <c r="F5" s="6" t="n">
        <v>944168</v>
      </c>
      <c r="G5" s="6" t="n">
        <v>941585</v>
      </c>
      <c r="H5" s="6" t="n">
        <v>1312947</v>
      </c>
      <c r="I5" s="6" t="n">
        <v>1292777</v>
      </c>
      <c r="J5" s="6" t="n">
        <v>1127006</v>
      </c>
      <c r="K5" s="6" t="n">
        <v>914584</v>
      </c>
      <c r="L5" s="6" t="n">
        <v>984581</v>
      </c>
      <c r="M5" s="6" t="n">
        <v>1169552</v>
      </c>
    </row>
    <row r="6">
      <c r="A6" s="6" t="inlineStr">
        <is>
          <t>Stage 2 (underperforming / SICR)</t>
        </is>
      </c>
      <c r="B6" s="6" t="n">
        <v>5752</v>
      </c>
      <c r="C6" s="6" t="n">
        <v>6075</v>
      </c>
      <c r="D6" s="6" t="n">
        <v>41723</v>
      </c>
      <c r="E6" s="6" t="n">
        <v>108221</v>
      </c>
      <c r="F6" s="6" t="n">
        <v>160564</v>
      </c>
      <c r="G6" s="6" t="n">
        <v>174184</v>
      </c>
      <c r="H6" s="6" t="n">
        <v>128434</v>
      </c>
      <c r="I6" s="6" t="n">
        <v>126344</v>
      </c>
      <c r="J6" s="6" t="n"/>
      <c r="K6" s="6" t="n"/>
      <c r="L6" s="6" t="n"/>
      <c r="M6" s="6" t="n"/>
    </row>
    <row r="7">
      <c r="A7" s="6" t="inlineStr">
        <is>
          <t>Stage 3 (credit-impaired / non-performing)</t>
        </is>
      </c>
      <c r="B7" s="6" t="n">
        <v>45704</v>
      </c>
      <c r="C7" s="6" t="n">
        <v>46882</v>
      </c>
      <c r="D7" s="6" t="n">
        <v>39868</v>
      </c>
      <c r="E7" s="6" t="n">
        <v>25547</v>
      </c>
      <c r="F7" s="6" t="n">
        <v>1311</v>
      </c>
      <c r="G7" s="6" t="n">
        <v>2247</v>
      </c>
      <c r="H7" s="6" t="n">
        <v>2729</v>
      </c>
      <c r="I7" s="6" t="n">
        <v>14626</v>
      </c>
      <c r="J7" s="6" t="n">
        <v>17713</v>
      </c>
      <c r="K7" s="6" t="n">
        <v>21433</v>
      </c>
      <c r="L7" s="6" t="n">
        <v>19133</v>
      </c>
      <c r="M7" s="6" t="n">
        <v>20260</v>
      </c>
    </row>
    <row r="8">
      <c r="A8" s="5" t="inlineStr">
        <is>
          <t>Total gross carrying amount</t>
        </is>
      </c>
      <c r="B8" s="5" t="n">
        <v>1559859</v>
      </c>
      <c r="C8" s="5" t="n">
        <v>1385337</v>
      </c>
      <c r="D8" s="5" t="n">
        <v>1307336</v>
      </c>
      <c r="E8" s="5" t="n">
        <v>1113446</v>
      </c>
      <c r="F8" s="5" t="n">
        <v>1106043</v>
      </c>
      <c r="G8" s="5" t="n">
        <v>1118016</v>
      </c>
      <c r="H8" s="5" t="n">
        <v>1444109</v>
      </c>
      <c r="I8" s="5" t="n">
        <v>1433747</v>
      </c>
      <c r="J8" s="5" t="n">
        <v>1144719</v>
      </c>
      <c r="K8" s="5" t="n">
        <v>936017</v>
      </c>
      <c r="L8" s="5" t="n">
        <v>1003714</v>
      </c>
      <c r="M8" s="5" t="n">
        <v>1189812</v>
      </c>
    </row>
    <row r="9">
      <c r="A9" s="5" t="inlineStr">
        <is>
          <t>Loans and advances to customers - ECL allowance by IFRS 9 stage</t>
        </is>
      </c>
      <c r="B9" s="6" t="n"/>
      <c r="C9" s="6" t="n"/>
      <c r="D9" s="6" t="n"/>
      <c r="E9" s="6" t="n"/>
      <c r="F9" s="6" t="n"/>
      <c r="G9" s="6" t="n"/>
      <c r="H9" s="6" t="n"/>
      <c r="I9" s="6" t="n"/>
      <c r="J9" s="6" t="n"/>
      <c r="K9" s="6" t="n"/>
      <c r="L9" s="6" t="n"/>
      <c r="M9" s="6" t="n"/>
    </row>
    <row r="10">
      <c r="A10" s="6" t="inlineStr">
        <is>
          <t>Stage 1 ECL allowance</t>
        </is>
      </c>
      <c r="B10" s="6" t="n">
        <v>1164</v>
      </c>
      <c r="C10" s="6" t="n">
        <v>1524</v>
      </c>
      <c r="D10" s="6" t="n">
        <v>1096</v>
      </c>
      <c r="E10" s="6" t="n">
        <v>1569</v>
      </c>
      <c r="F10" s="6" t="n">
        <v>464</v>
      </c>
      <c r="G10" s="6" t="n">
        <v>914</v>
      </c>
      <c r="H10" s="6" t="n">
        <v>1750</v>
      </c>
      <c r="I10" s="6" t="n">
        <v>1932</v>
      </c>
      <c r="J10" s="6" t="n">
        <v>5700</v>
      </c>
      <c r="K10" s="6" t="n">
        <v>5900</v>
      </c>
      <c r="L10" s="6" t="n">
        <v>3135</v>
      </c>
      <c r="M10" s="6" t="n">
        <v>2200</v>
      </c>
    </row>
    <row r="11">
      <c r="A11" s="6" t="inlineStr">
        <is>
          <t>Stage 2 ECL allowance</t>
        </is>
      </c>
      <c r="B11" s="6" t="n">
        <v>33</v>
      </c>
      <c r="C11" s="6" t="n">
        <v>9</v>
      </c>
      <c r="D11" s="6" t="n">
        <v>31</v>
      </c>
      <c r="E11" s="6" t="n">
        <v>3636</v>
      </c>
      <c r="F11" s="6" t="n">
        <v>10137</v>
      </c>
      <c r="G11" s="6" t="n">
        <v>9520</v>
      </c>
      <c r="H11" s="6" t="n">
        <v>4897</v>
      </c>
      <c r="I11" s="6" t="n">
        <v>3131</v>
      </c>
      <c r="J11" s="6" t="n"/>
      <c r="K11" s="6" t="n"/>
      <c r="L11" s="6" t="n"/>
      <c r="M11" s="6" t="n"/>
    </row>
    <row r="12">
      <c r="A12" s="6" t="inlineStr">
        <is>
          <t>Stage 3 ECL allowance</t>
        </is>
      </c>
      <c r="B12" s="6" t="n">
        <v>18141</v>
      </c>
      <c r="C12" s="6" t="n">
        <v>15172</v>
      </c>
      <c r="D12" s="6" t="n">
        <v>15875</v>
      </c>
      <c r="E12" s="6" t="n">
        <v>6469</v>
      </c>
      <c r="F12" s="6" t="n">
        <v>1311</v>
      </c>
      <c r="G12" s="6" t="n">
        <v>2159</v>
      </c>
      <c r="H12" s="6" t="n">
        <v>2201</v>
      </c>
      <c r="I12" s="6" t="n">
        <v>14006</v>
      </c>
      <c r="J12" s="6" t="n">
        <v>17284</v>
      </c>
      <c r="K12" s="6" t="n">
        <v>20525</v>
      </c>
      <c r="L12" s="6" t="n">
        <v>17165</v>
      </c>
      <c r="M12" s="6" t="n">
        <v>16692</v>
      </c>
    </row>
    <row r="13">
      <c r="A13" s="5" t="inlineStr">
        <is>
          <t>Total ECL allowance</t>
        </is>
      </c>
      <c r="B13" s="5" t="n">
        <v>19338</v>
      </c>
      <c r="C13" s="5" t="n">
        <v>16705</v>
      </c>
      <c r="D13" s="5" t="n">
        <v>17002</v>
      </c>
      <c r="E13" s="5" t="n">
        <v>11674</v>
      </c>
      <c r="F13" s="5" t="n">
        <v>11912</v>
      </c>
      <c r="G13" s="5" t="n">
        <v>12593</v>
      </c>
      <c r="H13" s="5" t="n">
        <v>8847</v>
      </c>
      <c r="I13" s="5" t="n">
        <v>19069</v>
      </c>
      <c r="J13" s="5" t="n">
        <v>22984</v>
      </c>
      <c r="K13" s="5" t="n">
        <v>26425</v>
      </c>
      <c r="L13" s="5" t="n">
        <v>20300</v>
      </c>
      <c r="M13" s="5" t="n">
        <v>18892</v>
      </c>
    </row>
    <row r="14">
      <c r="A14" s="5" t="inlineStr">
        <is>
          <t>Loans and advances to customers - net carrying amount</t>
        </is>
      </c>
      <c r="B14" s="6" t="n"/>
      <c r="C14" s="6" t="n"/>
      <c r="D14" s="6" t="n"/>
      <c r="E14" s="6" t="n"/>
      <c r="F14" s="6" t="n"/>
      <c r="G14" s="6" t="n"/>
      <c r="H14" s="6" t="n"/>
      <c r="I14" s="6" t="n"/>
      <c r="J14" s="6" t="n"/>
      <c r="K14" s="6" t="n"/>
      <c r="L14" s="6" t="n"/>
      <c r="M14" s="6" t="n"/>
    </row>
    <row r="15">
      <c r="A15" s="5" t="inlineStr">
        <is>
          <t>Net carrying amount</t>
        </is>
      </c>
      <c r="B15" s="5" t="n">
        <v>1540521</v>
      </c>
      <c r="C15" s="5" t="n">
        <v>1368632</v>
      </c>
      <c r="D15" s="5" t="n">
        <v>1290334</v>
      </c>
      <c r="E15" s="5" t="n">
        <v>1101772</v>
      </c>
      <c r="F15" s="5" t="n">
        <v>1094131</v>
      </c>
      <c r="G15" s="5" t="n">
        <v>1105423</v>
      </c>
      <c r="H15" s="5" t="n">
        <v>1435262</v>
      </c>
      <c r="I15" s="5" t="n">
        <v>1414678</v>
      </c>
      <c r="J15" s="5" t="n">
        <v>1121735</v>
      </c>
      <c r="K15" s="5" t="n">
        <v>909592</v>
      </c>
      <c r="L15" s="5" t="n">
        <v>983414</v>
      </c>
      <c r="M15" s="5" t="n">
        <v>1170920</v>
      </c>
    </row>
    <row r="16">
      <c r="A16" s="5" t="inlineStr">
        <is>
          <t>Derived ratios</t>
        </is>
      </c>
      <c r="B16" s="6" t="n"/>
      <c r="C16" s="6" t="n"/>
      <c r="D16" s="6" t="n"/>
      <c r="E16" s="6" t="n"/>
      <c r="F16" s="6" t="n"/>
      <c r="G16" s="6" t="n"/>
      <c r="H16" s="6" t="n"/>
      <c r="I16" s="6" t="n"/>
      <c r="J16" s="6" t="n"/>
      <c r="K16" s="6" t="n"/>
      <c r="L16" s="6" t="n"/>
      <c r="M16" s="6" t="n"/>
    </row>
    <row r="17">
      <c r="A17" s="6" t="inlineStr">
        <is>
          <t>Stage 3 / NPL ratio (Stage 3 gross / total gross)</t>
        </is>
      </c>
      <c r="B17" s="6" t="inlineStr">
        <is>
          <t>2.93%</t>
        </is>
      </c>
      <c r="C17" s="6" t="inlineStr">
        <is>
          <t>3.38%</t>
        </is>
      </c>
      <c r="D17" s="6" t="inlineStr">
        <is>
          <t>3.05%</t>
        </is>
      </c>
      <c r="E17" s="6" t="inlineStr">
        <is>
          <t>2.29%</t>
        </is>
      </c>
      <c r="F17" s="6" t="inlineStr">
        <is>
          <t>0.12%</t>
        </is>
      </c>
      <c r="G17" s="6" t="inlineStr">
        <is>
          <t>0.20%</t>
        </is>
      </c>
      <c r="H17" s="6" t="inlineStr">
        <is>
          <t>0.19%</t>
        </is>
      </c>
      <c r="I17" s="6" t="inlineStr">
        <is>
          <t>1.02%</t>
        </is>
      </c>
      <c r="J17" s="6" t="inlineStr">
        <is>
          <t>1.55%</t>
        </is>
      </c>
      <c r="K17" s="6" t="inlineStr">
        <is>
          <t>2.29%</t>
        </is>
      </c>
      <c r="L17" s="6" t="inlineStr">
        <is>
          <t>1.91%</t>
        </is>
      </c>
      <c r="M17" s="6" t="inlineStr">
        <is>
          <t>1.70%</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c r="G18" s="6" t="inlineStr">
        <is>
          <t>96.08%</t>
        </is>
      </c>
      <c r="H18" s="6" t="inlineStr">
        <is>
          <t>80.65%</t>
        </is>
      </c>
      <c r="I18" s="6" t="inlineStr">
        <is>
          <t>95.76%</t>
        </is>
      </c>
      <c r="J18" s="6" t="inlineStr">
        <is>
          <t>97.58%</t>
        </is>
      </c>
      <c r="K18" s="6" t="inlineStr">
        <is>
          <t>95.76%</t>
        </is>
      </c>
      <c r="L18" s="6" t="inlineStr">
        <is>
          <t>89.71%</t>
        </is>
      </c>
      <c r="M18" s="6" t="inlineStr">
        <is>
          <t>82.39%</t>
        </is>
      </c>
    </row>
    <row r="19">
      <c r="A19" s="6" t="inlineStr">
        <is>
          <t>Overall ECL coverage ratio (Total ECL / Total gross)</t>
        </is>
      </c>
      <c r="B19" s="6" t="inlineStr">
        <is>
          <t>1.24%</t>
        </is>
      </c>
      <c r="C19" s="6" t="inlineStr">
        <is>
          <t>1.21%</t>
        </is>
      </c>
      <c r="D19" s="6" t="inlineStr">
        <is>
          <t>1.30%</t>
        </is>
      </c>
      <c r="E19" s="6" t="inlineStr">
        <is>
          <t>1.05%</t>
        </is>
      </c>
      <c r="F19" s="6" t="inlineStr">
        <is>
          <t>1.08%</t>
        </is>
      </c>
      <c r="G19" s="6" t="inlineStr">
        <is>
          <t>1.13%</t>
        </is>
      </c>
      <c r="H19" s="6" t="inlineStr">
        <is>
          <t>0.61%</t>
        </is>
      </c>
      <c r="I19" s="6" t="inlineStr">
        <is>
          <t>1.33%</t>
        </is>
      </c>
      <c r="J19" s="6" t="inlineStr">
        <is>
          <t>2.01%</t>
        </is>
      </c>
      <c r="K19" s="6" t="inlineStr">
        <is>
          <t>2.82%</t>
        </is>
      </c>
      <c r="L19" s="6" t="inlineStr">
        <is>
          <t>2.02%</t>
        </is>
      </c>
      <c r="M19" s="6" t="inlineStr">
        <is>
          <t>1.59%</t>
        </is>
      </c>
    </row>
    <row r="21" ht="150"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FY2020 IFRS 9 stage roll-forward: ABC International Bank plc Annual Report 2020, Note 11, p.84-85 - https://www.bank-abc.com/en/ShareholderRelations/Annual%20Reports/ABCIB_Annual_Report_2020.pdf
FY2019 &amp; FY2018 IFRS 9 stage roll-forward (as originally reported): ABC International Bank plc Annual Report 2019, Note 11, p.76-77 - https://www.bank-abc.com/en/ShareholderRelations/Annual%20Reports/ABCIB%20Annual%20Report%202019.pdf
FY2017 &amp; FY2016 (as originally reported): ABC International Bank plc Annual Report 2017 (Companies House filing, scanned, visually transcribed), Notes 11-13, p.52-53 - https://find-and-update.company-information.service.gov.uk/company/02564490/filing-history/MzE5OTA1ODc1MWFkaXF6a2N4/document?format=pdf&amp;download=0
FY2016 &amp; FY2015 (as originally reported): ABC International Bank plc Annual Report 2016 (Companies House filing, scanned, visually transcribed), Notes 11-13, p.47 - https://find-and-update.company-information.service.gov.uk/company/02564490/filing-history/MzE3MDg4MzM5M2FkaXF6a2N4/document?format=pdf&amp;download=0
FY2014: ABC International Bank plc Annual Report 2014, Notes 14-15 (Loans and advances by credit quality; Movements in allowance for impairment losses), p.44 -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
IAS 39 / PRE-IFRS 9 CAVEAT: FY2014-FY2017 report loans and advances to customers on an IAS 39 two-category 'impaired' / 'neither past due nor impaired' basis, not the three-stage IFRS 9 expected-credit-loss model (adopted 1 January 2018 - see the entity note above) - the IFRS 9 'Stage 2' concept (a meaningful rise in credit risk without the loan yet being credit-impaired) simply does not exist pre-2018. For continuity of this sheet's row layout across all 12 years, FY2014-FY2017's 'neither past due nor impaired' balance is shown under 'Stage 1', 'Stage 2' is left blank (not zero - a concept that did not exist, not a disclosed nil), and 'impaired' is shown under 'Stage 3'. Likewise the ECL allowance split shown under 'Stage 1 ECL allowance' / 'Stage 3 ECL allowance' for FY2014-FY2017 is actually ABCIB's own 'collectively assessed' / 'individually assessed' provision split (IAS 39 terminology) - a reasonable but approximate analogy (collective provisions broadly correspond to the performing/under-performing book, individual provisions to the impaired book), not an exact IFRS 9 equivalence. The NPL and coverage ratios below are calculated on the CUSTOMER loan book only throughout, in every year - this is a narrower denominator than the combined banks+customers ratios ABCIB's own Financial Highlights table reports (e.g. FY2016: this sheet's 2.29% vs the Financial Highlights table's 0.7%, which divides by the combined loans-to-banks-and-customers book), so the two should not be compared directly.</t>
        </is>
      </c>
    </row>
  </sheetData>
  <mergeCells count="1">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469.8</v>
      </c>
      <c r="C4" s="6" t="n">
        <v>564.579</v>
      </c>
      <c r="D4" s="6" t="n">
        <v>547.665</v>
      </c>
      <c r="E4" s="6" t="n">
        <v>416.5</v>
      </c>
      <c r="F4" s="6" t="n">
        <v>418.8</v>
      </c>
      <c r="G4" s="6" t="n">
        <v>393.198</v>
      </c>
      <c r="H4" s="6" t="n">
        <v>495.422</v>
      </c>
      <c r="I4" s="6" t="n">
        <v>487.265</v>
      </c>
      <c r="J4" s="6" t="n">
        <v>469.029</v>
      </c>
      <c r="K4" s="6" t="n">
        <v>449.664</v>
      </c>
      <c r="L4" s="6" t="n">
        <v>439.008</v>
      </c>
      <c r="M4" s="6" t="n">
        <v>421.08</v>
      </c>
    </row>
    <row r="5" ht="60" customHeight="1">
      <c r="A5" s="7" t="inlineStr">
        <is>
          <t>Note: FY2025/FY2022/FY2021/FY2016/FY2015/FY2014 are calculated (RWA x Tier 1 ratio, all solo basis) - no separate CET1/Tier 1 £m figure is disclosed for those years, only the ratio and total 'Capital base'. Assumes CET1 = Tier 1 (no AT1 instruments in issue), consistent with the pattern directly confirmed in every FY2017-FY2024 Pillar 3 report reviewed. FY2017-FY2020 are directly disclosed (Appendix 2 Own Funds / Table 3 Key Regulatory Metrics of each year's dedicated Pillar 3 report); FY2018/FY2019 use the 'IFRS9 Transitional arrangements applied' column for continuity with FY2020's single reported figure.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15.0%</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FY2023 shown as originally reported (17.6%, consolidated); the FY2024 Pillar 3 Report's FY2023 comparative column restates this to 17.7% alongside a small RWA restatement (see Total RWAs sheet) - immaterial, but shown as originally reported per this project's convention. FY2022/FY2021/FY2025 and FY2014-FY2020 all labelled 'Tier 1 Capital Ratio' (a.k.a. 'Risk asset ratio - Tier 1') in the source (solo basis) - assumed equal to CET1 ratio, see CET1 Capital sheet note. FY2014-FY2016 predate the CET1 concept entirely (Basel II/early-CRD IV terminology) - see BASIS_NOTE's caveat.</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469.8</v>
      </c>
      <c r="C4" s="6" t="n">
        <v>564.579</v>
      </c>
      <c r="D4" s="6" t="n">
        <v>547.665</v>
      </c>
      <c r="E4" s="6" t="n">
        <v>416.5</v>
      </c>
      <c r="F4" s="6" t="n">
        <v>418.8</v>
      </c>
      <c r="G4" s="6" t="n">
        <v>393.198</v>
      </c>
      <c r="H4" s="6" t="n">
        <v>495.422</v>
      </c>
      <c r="I4" s="6" t="n">
        <v>487.265</v>
      </c>
      <c r="J4" s="6" t="n">
        <v>469.029</v>
      </c>
      <c r="K4" s="6" t="n">
        <v>449.664</v>
      </c>
      <c r="L4" s="6" t="n">
        <v>439.008</v>
      </c>
      <c r="M4" s="6" t="n">
        <v>421.08</v>
      </c>
    </row>
    <row r="5" ht="60" customHeight="1">
      <c r="A5" s="7" t="inlineStr">
        <is>
          <t>Note: Tier 1 = CET1 every year (no AT1 instruments in issue). FY2025/FY2022/FY2021/FY2016/FY2015/FY2014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15.0%</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517</v>
      </c>
      <c r="C4" s="6" t="n">
        <v>616.448</v>
      </c>
      <c r="D4" s="6" t="n">
        <v>598.7859999999999</v>
      </c>
      <c r="E4" s="6" t="n">
        <v>447</v>
      </c>
      <c r="F4" s="6" t="n">
        <v>460</v>
      </c>
      <c r="G4" s="6" t="n">
        <v>443.198</v>
      </c>
      <c r="H4" s="6" t="n">
        <v>545.422</v>
      </c>
      <c r="I4" s="6" t="n">
        <v>537.265</v>
      </c>
      <c r="J4" s="6" t="n">
        <v>524.729</v>
      </c>
      <c r="K4" s="6" t="n">
        <v>506</v>
      </c>
      <c r="L4" s="6" t="n">
        <v>493</v>
      </c>
      <c r="M4" s="6" t="n">
        <v>423</v>
      </c>
    </row>
    <row r="5" ht="60" customHeight="1">
      <c r="A5" s="7" t="inlineStr">
        <is>
          <t>Note: FY2022/FY2021/FY2025 ('Capital base'), FY2014-FY2016 ('Capital base', Financial Highlights table) and FY2023-FY2024/FY2017-FY2020 ('Total capital'/'Total regulatory capital') are directly disclosed, not calculated. FY2020's solo Total capital (443.198m) is genuinely lower than FY2019's (545.422m) - reflects the new investment in ABCSA (the Paris subsidiary) reducing solo-basis capital resources, per the FY2020 Pillar 3 report's own footnote ('The solo capital base reflect the new investment in ABSA') - a real basis effect, not a data error.</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16.5%</t>
        </is>
      </c>
      <c r="C4" s="6" t="inlineStr">
        <is>
          <t>17.7%</t>
        </is>
      </c>
      <c r="D4" s="6" t="inlineStr">
        <is>
          <t>19.3%</t>
        </is>
      </c>
      <c r="E4" s="6" t="inlineStr">
        <is>
          <t>18.2%</t>
        </is>
      </c>
      <c r="F4" s="6" t="inlineStr">
        <is>
          <t>18.3%</t>
        </is>
      </c>
      <c r="G4" s="6" t="inlineStr">
        <is>
          <t>18.5%</t>
        </is>
      </c>
      <c r="H4" s="6" t="inlineStr">
        <is>
          <t>19.3%</t>
        </is>
      </c>
      <c r="I4" s="6" t="inlineStr">
        <is>
          <t>18.3%</t>
        </is>
      </c>
      <c r="J4" s="6" t="inlineStr">
        <is>
          <t>20.4%</t>
        </is>
      </c>
      <c r="K4" s="6" t="inlineStr">
        <is>
          <t>21.5%</t>
        </is>
      </c>
      <c r="L4" s="6" t="inlineStr">
        <is>
          <t>22.9%</t>
        </is>
      </c>
      <c r="M4" s="6" t="inlineStr">
        <is>
          <t>22.1%</t>
        </is>
      </c>
    </row>
    <row r="5" ht="60" customHeight="1">
      <c r="A5" s="7" t="inlineStr">
        <is>
          <t>Note: FY2025 labelled 'Risk asset ratio - Total' in the Financial Highlights table; same for FY2014-FY2016.</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3132</v>
      </c>
      <c r="C4" s="6" t="n">
        <v>3486.256</v>
      </c>
      <c r="D4" s="6" t="n">
        <v>3104.763</v>
      </c>
      <c r="E4" s="6" t="n">
        <v>2450</v>
      </c>
      <c r="F4" s="6" t="n">
        <v>2508</v>
      </c>
      <c r="G4" s="6" t="n">
        <v>2397.973</v>
      </c>
      <c r="H4" s="6" t="n">
        <v>2824.811</v>
      </c>
      <c r="I4" s="6" t="n">
        <v>2940.867</v>
      </c>
      <c r="J4" s="6" t="n">
        <v>2574.027</v>
      </c>
      <c r="K4" s="6" t="n">
        <v>2342</v>
      </c>
      <c r="L4" s="6" t="n">
        <v>2152</v>
      </c>
      <c r="M4" s="6" t="n">
        <v>1914</v>
      </c>
    </row>
    <row r="5" ht="60" customHeight="1">
      <c r="A5" s="7" t="inlineStr">
        <is>
          <t>Note: FY2023 shown as originally reported (consolidated, 3,104.763m); the FY2024 Pillar 3 Report's FY2023 comparative column restates this to 3,101.197m - immaterial (~0.1%), shown as originally reported per this project's convention. FY2025 (3,132m, solo basis, Financial Highlights table 'Risk weighted assets') is genuinely lower than FY2024's consolidated 3,486.256m - a basis effect (solo excludes Alphabet Nominees Limited), not a real risk reduction; see BASIS_NOTE. FY2016 (2,342m, own-year Annual Report figure) differs immaterially (~0.2%) from the FY2018 Annual Report's restated FY2016 comparative (2,347m) - shown as originally reported, same convention as the FY2023 restatement above.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RWA Breakdown</t>
        </is>
      </c>
    </row>
    <row r="2">
      <c r="A2" s="2" t="inlineStr">
        <is>
          <t>CONSOLIDATED basis, all figures in £'000. Matches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 Overview of risk weighted exposure amounts (CONSOLIDATED)</t>
        </is>
      </c>
      <c r="B4" s="6" t="n"/>
      <c r="C4" s="6" t="n"/>
      <c r="D4" s="6" t="n"/>
      <c r="E4" s="6" t="n"/>
      <c r="F4" s="6" t="n"/>
      <c r="G4" s="6" t="n"/>
      <c r="H4" s="6" t="n"/>
      <c r="I4" s="6" t="n"/>
      <c r="J4" s="6" t="n"/>
      <c r="K4" s="6" t="n"/>
      <c r="L4" s="6" t="n"/>
      <c r="M4" s="6" t="n"/>
    </row>
    <row r="5">
      <c r="A5" s="6" t="inlineStr">
        <is>
          <t>Credit risk (excluding CCR)</t>
        </is>
      </c>
      <c r="B5" s="6" t="n"/>
      <c r="C5" s="6" t="n">
        <v>3198514</v>
      </c>
      <c r="D5" s="6" t="n">
        <v>2842771</v>
      </c>
      <c r="E5" s="6" t="n"/>
      <c r="F5" s="6" t="n"/>
      <c r="G5" s="6" t="n"/>
      <c r="H5" s="6" t="n"/>
      <c r="I5" s="6" t="n"/>
      <c r="J5" s="6" t="n"/>
      <c r="K5" s="6" t="n"/>
      <c r="L5" s="6" t="n"/>
      <c r="M5" s="6" t="n"/>
    </row>
    <row r="6">
      <c r="A6" s="6" t="inlineStr">
        <is>
          <t>Counterparty credit risk (CCR)</t>
        </is>
      </c>
      <c r="B6" s="6" t="n"/>
      <c r="C6" s="6" t="n">
        <v>45144</v>
      </c>
      <c r="D6" s="6" t="n">
        <v>55407</v>
      </c>
      <c r="E6" s="6" t="n"/>
      <c r="F6" s="6" t="n"/>
      <c r="G6" s="6" t="n"/>
      <c r="H6" s="6" t="n"/>
      <c r="I6" s="6" t="n"/>
      <c r="J6" s="6" t="n"/>
      <c r="K6" s="6" t="n"/>
      <c r="L6" s="6" t="n"/>
      <c r="M6" s="6" t="n"/>
    </row>
    <row r="7">
      <c r="A7" s="6" t="inlineStr">
        <is>
          <t>Of which: credit valuation adjustment (CVA)</t>
        </is>
      </c>
      <c r="B7" s="6" t="n"/>
      <c r="C7" s="6" t="n">
        <v>10131</v>
      </c>
      <c r="D7" s="6" t="n">
        <v>11788</v>
      </c>
      <c r="E7" s="6" t="n"/>
      <c r="F7" s="6" t="n"/>
      <c r="G7" s="6" t="n"/>
      <c r="H7" s="6" t="n"/>
      <c r="I7" s="6" t="n"/>
      <c r="J7" s="6" t="n"/>
      <c r="K7" s="6" t="n"/>
      <c r="L7" s="6" t="n"/>
      <c r="M7" s="6" t="n"/>
    </row>
    <row r="8">
      <c r="A8" s="6" t="inlineStr">
        <is>
          <t>Position, foreign exchange and commodities risks (Market risk)</t>
        </is>
      </c>
      <c r="B8" s="6" t="n"/>
      <c r="C8" s="6" t="n">
        <v>14469</v>
      </c>
      <c r="D8" s="6" t="n">
        <v>5670</v>
      </c>
      <c r="E8" s="6" t="n"/>
      <c r="F8" s="6" t="n"/>
      <c r="G8" s="6" t="n"/>
      <c r="H8" s="6" t="n"/>
      <c r="I8" s="6" t="n"/>
      <c r="J8" s="6" t="n"/>
      <c r="K8" s="6" t="n"/>
      <c r="L8" s="6" t="n"/>
      <c r="M8" s="6" t="n"/>
    </row>
    <row r="9">
      <c r="A9" s="6" t="inlineStr">
        <is>
          <t>Operational risk</t>
        </is>
      </c>
      <c r="B9" s="6" t="n"/>
      <c r="C9" s="6" t="n">
        <v>217998</v>
      </c>
      <c r="D9" s="6" t="n">
        <v>185561</v>
      </c>
      <c r="E9" s="6" t="n"/>
      <c r="F9" s="6" t="n"/>
      <c r="G9" s="6" t="n"/>
      <c r="H9" s="6" t="n"/>
      <c r="I9" s="6" t="n"/>
      <c r="J9" s="6" t="n"/>
      <c r="K9" s="6" t="n"/>
      <c r="L9" s="6" t="n"/>
      <c r="M9" s="6" t="n"/>
    </row>
    <row r="10">
      <c r="A10" s="5" t="inlineStr">
        <is>
          <t>Total risk weighted exposure amount</t>
        </is>
      </c>
      <c r="B10" s="5" t="n"/>
      <c r="C10" s="5" t="n">
        <v>3486256</v>
      </c>
      <c r="D10" s="5" t="n">
        <v>3101197</v>
      </c>
      <c r="E10" s="5" t="n"/>
      <c r="F10" s="5" t="n"/>
      <c r="G10" s="5" t="n"/>
      <c r="H10" s="5" t="n"/>
      <c r="I10" s="5" t="n"/>
      <c r="J10" s="5" t="n"/>
      <c r="K10" s="5" t="n"/>
      <c r="L10" s="5" t="n"/>
      <c r="M10" s="5" t="n"/>
    </row>
    <row r="12" ht="150" customHeight="1">
      <c r="A12" s="8" t="inlineStr">
        <is>
          <t>Sources - ABC International Bank plc (CONSOLIDATED basis, matching the Total RWAs sheet):
FY2024 &amp; FY2023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Every other year (FY2014-FY2022, FY2025): not available - no OV1-format RWA category breakdown exists for these years, only the single Total RWA figure (either the Annual Report's Financial Highlights table, or - for FY2017-FY2020 - the dedicated Pillar 3 report's Table 3/Table 4, neither of which carries a category breakdown; see the Total RWAs sheet). No separate FY2025 Pillar 3 report could be located on ABCIB's website, and no FY2014-FY2016 ABCIB-entity Pillar 3 document could be located at all (see p3_sources note).</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 (£m)</t>
        </is>
      </c>
      <c r="B4" s="6" t="n"/>
      <c r="C4" s="6" t="n">
        <v>5540.164</v>
      </c>
      <c r="D4" s="6" t="n">
        <v>5155.039</v>
      </c>
      <c r="E4" s="6" t="n"/>
      <c r="F4" s="6" t="n"/>
      <c r="G4" s="6" t="n">
        <v>2937.195</v>
      </c>
      <c r="H4" s="6" t="n">
        <v>3683.204</v>
      </c>
      <c r="I4" s="6" t="n">
        <v>4738.858</v>
      </c>
      <c r="J4" s="6" t="n">
        <v>3726.262</v>
      </c>
      <c r="K4" s="6" t="n"/>
      <c r="L4" s="6" t="n"/>
      <c r="M4" s="6" t="n"/>
    </row>
    <row r="5">
      <c r="A5" s="6" t="inlineStr">
        <is>
          <t>Leverage ratio excluding claims on central banks (%)</t>
        </is>
      </c>
      <c r="B5" s="6" t="n"/>
      <c r="C5" s="6" t="inlineStr">
        <is>
          <t>10.2%</t>
        </is>
      </c>
      <c r="D5" s="6" t="inlineStr">
        <is>
          <t>10.62%</t>
        </is>
      </c>
      <c r="E5" s="6" t="n"/>
      <c r="F5" s="6" t="n"/>
      <c r="G5" s="6" t="inlineStr">
        <is>
          <t>13.39%</t>
        </is>
      </c>
      <c r="H5" s="6" t="inlineStr">
        <is>
          <t>13.45%</t>
        </is>
      </c>
      <c r="I5" s="6" t="inlineStr">
        <is>
          <t>10.28%</t>
        </is>
      </c>
      <c r="J5" s="6" t="inlineStr">
        <is>
          <t>12.59%</t>
        </is>
      </c>
      <c r="K5" s="6" t="n"/>
      <c r="L5" s="6" t="n"/>
      <c r="M5" s="6" t="n"/>
    </row>
    <row r="6" ht="60" customHeight="1">
      <c r="A6" s="7" t="inlineStr">
        <is>
          <t>Note: FY2022/FY2021/FY2025/FY2014-FY2016 not available - the Annual Report Financial Highlights table (the only source located for those years) does not include a leverage ratio. FY2017-FY2020 are from each year's dedicated Pillar 3 report (solo basis; FY2018/FY2019 use the 'IFRS9 Transitional arrangements applied' column, same convention as the CET1 Capital sheet).</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 (£m)</t>
        </is>
      </c>
      <c r="B4" s="6" t="n"/>
      <c r="C4" s="6" t="n">
        <v>854.893</v>
      </c>
      <c r="D4" s="6" t="n">
        <v>699.862</v>
      </c>
      <c r="E4" s="6" t="n"/>
      <c r="F4" s="6" t="n"/>
      <c r="G4" s="6" t="n">
        <v>362.315</v>
      </c>
      <c r="H4" s="6" t="n">
        <v>634.602</v>
      </c>
      <c r="I4" s="6" t="n">
        <v>566.611</v>
      </c>
      <c r="J4" s="6" t="n">
        <v>1002.101</v>
      </c>
      <c r="K4" s="6" t="n"/>
      <c r="L4" s="6" t="n"/>
      <c r="M4" s="6" t="n"/>
    </row>
    <row r="5">
      <c r="A5" s="6" t="inlineStr">
        <is>
          <t>Total net cash outflows, adjusted value (£m)</t>
        </is>
      </c>
      <c r="B5" s="6" t="n"/>
      <c r="C5" s="6" t="n">
        <v>252.133</v>
      </c>
      <c r="D5" s="6" t="n">
        <v>189.675</v>
      </c>
      <c r="E5" s="6" t="n"/>
      <c r="F5" s="6" t="n"/>
      <c r="G5" s="6" t="n">
        <v>127.56</v>
      </c>
      <c r="H5" s="6" t="n">
        <v>168.941</v>
      </c>
      <c r="I5" s="6" t="n">
        <v>192.084</v>
      </c>
      <c r="J5" s="6" t="n">
        <v>405.144</v>
      </c>
      <c r="K5" s="6" t="n"/>
      <c r="L5" s="6" t="n"/>
      <c r="M5" s="6" t="n"/>
    </row>
    <row r="6">
      <c r="A6" s="6" t="inlineStr">
        <is>
          <t>Liquidity Coverage Ratio (%)</t>
        </is>
      </c>
      <c r="B6" s="6" t="n"/>
      <c r="C6" s="6" t="inlineStr">
        <is>
          <t>339.1%</t>
        </is>
      </c>
      <c r="D6" s="6" t="inlineStr">
        <is>
          <t>369.0%</t>
        </is>
      </c>
      <c r="E6" s="6" t="n"/>
      <c r="F6" s="6" t="n"/>
      <c r="G6" s="6" t="inlineStr">
        <is>
          <t>281%</t>
        </is>
      </c>
      <c r="H6" s="6" t="inlineStr">
        <is>
          <t>391%</t>
        </is>
      </c>
      <c r="I6" s="6" t="inlineStr">
        <is>
          <t>325%</t>
        </is>
      </c>
      <c r="J6" s="6" t="inlineStr">
        <is>
          <t>281%</t>
        </is>
      </c>
      <c r="K6" s="6" t="n"/>
      <c r="L6" s="6" t="n"/>
      <c r="M6" s="6" t="n"/>
    </row>
    <row r="7" ht="60" customHeight="1">
      <c r="A7" s="7" t="inlineStr">
        <is>
          <t>Note: FY2023 LCR is sourced from the FY2024 Pillar 3 Report's comparative column - ABCIB's own FY2023 Pillar 3 Disclosures document (Table 3) does not include LCR at all (only capital and leverage metrics). FY2022/FY2021/FY2025/FY2014-FY2016 not available. FY2017-FY2020 are from each year's dedicated Pillar 3 report (solo basis).</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(£m)</t>
        </is>
      </c>
      <c r="B4" s="6" t="n"/>
      <c r="C4" s="6" t="n">
        <v>2339.367</v>
      </c>
      <c r="D4" s="6" t="n">
        <v>2053.004</v>
      </c>
      <c r="E4" s="6" t="n"/>
      <c r="F4" s="6" t="n"/>
      <c r="G4" s="6" t="n"/>
      <c r="H4" s="6" t="n"/>
      <c r="I4" s="6" t="n"/>
      <c r="J4" s="6" t="n"/>
      <c r="K4" s="6" t="n"/>
      <c r="L4" s="6" t="n"/>
      <c r="M4" s="6" t="n"/>
    </row>
    <row r="5">
      <c r="A5" s="6" t="inlineStr">
        <is>
          <t>Total required stable funding (£m)</t>
        </is>
      </c>
      <c r="B5" s="6" t="n"/>
      <c r="C5" s="6" t="n">
        <v>1802.627</v>
      </c>
      <c r="D5" s="6" t="n">
        <v>1504.583</v>
      </c>
      <c r="E5" s="6" t="n"/>
      <c r="F5" s="6" t="n"/>
      <c r="G5" s="6" t="n"/>
      <c r="H5" s="6" t="n"/>
      <c r="I5" s="6" t="n"/>
      <c r="J5" s="6" t="n"/>
      <c r="K5" s="6" t="n"/>
      <c r="L5" s="6" t="n"/>
      <c r="M5" s="6" t="n"/>
    </row>
    <row r="6">
      <c r="A6" s="6" t="inlineStr">
        <is>
          <t>Net Stable Funding Ratio (%)</t>
        </is>
      </c>
      <c r="B6" s="6" t="n"/>
      <c r="C6" s="6" t="inlineStr">
        <is>
          <t>129.8%</t>
        </is>
      </c>
      <c r="D6" s="6" t="inlineStr">
        <is>
          <t>136.4%</t>
        </is>
      </c>
      <c r="E6" s="6" t="n"/>
      <c r="F6" s="6" t="n"/>
      <c r="G6" s="6" t="n"/>
      <c r="H6" s="6" t="n"/>
      <c r="I6" s="6" t="n"/>
      <c r="J6" s="6" t="n"/>
      <c r="K6" s="6" t="n"/>
      <c r="L6" s="6" t="n"/>
      <c r="M6" s="6" t="n"/>
    </row>
    <row r="7" ht="60" customHeight="1">
      <c r="A7" s="7" t="inlineStr">
        <is>
          <t>Note: FY2023 NSFR is sourced from the FY2024 Pillar 3 Report's comparative column - same reason as the LCR sheet. Every other year (FY2014-FY2022, FY2025) not available - NSFR is discussed only in qualitative/narrative terms (e.g. 'well on the way to becoming fully compliant') in ABCIB's FY2016-FY2020 Pillar 3 reports, never disclosed as a figure.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figure (numeric or qualitative) appears in any Pillar 3 Report reviewed for this entity across FY2014-FY2025 - no reason is stated. ABCIB's balance sheet size (~£2.7-4.3bn across this whole period)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FY2023-FY2024 shown on a CONSOLIDATED basis (ABCIB Pillar 3 Disclosures, UK KM1 template); every other year (FY2014-FY2022, FY2025) is shown on a SOLO basis - FY2017-FY2020 from ABCIB's own dedicated Pillar 3 report (which itself states its basis explicitly - only FY2020/FY2021's reports carry a Consolidated column alongside Solo, and the Solo column is used throughout for continuity with the other years - see below), FY2014-FY2016 and FY2021/FY2022/FY2025 from the Annual Report's own Financial Highlights table (no consolidated Pillar 3 KM1-format disclosure exists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FY2014-FY2016/FY2021/FY2022 - see the CET1 Capital sheet note. No Leverage Ratio, LCR or NSFR figure appears in any Financial-Highlights-sourced year (FY2014-FY2016, FY2021/FY2022, FY2025) - those metrics are only available for FY2017-FY2020 (dedicated Pillar 3 reports) and FY2023-FY2024. NSFR and MREL are not disclosed in ANY year 2014-2025, including the dedicated FY2017-FY2020 Pillar 3 reports (which discuss NSFR only in qualitative/narrative terms, never as a figure).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2026-09-05T18:06:47Z</dcterms:created>
  <dcterms:modified xmlns:dcterms="http://purl.org/dc/terms/" xmlns:xsi="http://www.w3.org/2001/XMLSchema-instance" xsi:type="dcterms:W3CDTF">2026-09-05T18:06:47Z</dcterms:modified>
</cp:coreProperties>
</file>