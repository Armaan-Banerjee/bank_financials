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D7377"/>
        <bgColor rgb="000D737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ABC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ABC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'Overview'!Y18</f>
            </strRef>
          </tx>
          <spPr>
            <a:ln xmlns:a="http://schemas.openxmlformats.org/drawingml/2006/main">
              <a:prstDash val="solid"/>
            </a:ln>
          </spPr>
          <cat>
            <numRef>
              <f>'Overview'!$Z$17:$AD$17</f>
            </numRef>
          </cat>
          <val>
            <numRef>
              <f>'Overview'!$Z$18:$AD$18</f>
            </numRef>
          </val>
        </ser>
        <ser>
          <idx val="1"/>
          <order val="1"/>
          <tx>
            <strRef>
              <f>'Overview'!Y19</f>
            </strRef>
          </tx>
          <spPr>
            <a:ln xmlns:a="http://schemas.openxmlformats.org/drawingml/2006/main">
              <a:prstDash val="solid"/>
            </a:ln>
          </spPr>
          <cat>
            <numRef>
              <f>'Overview'!$Z$17:$AD$17</f>
            </numRef>
          </cat>
          <val>
            <numRef>
              <f>'Overview'!$Z$19:$AD$19</f>
            </numRef>
          </val>
        </ser>
        <ser>
          <idx val="2"/>
          <order val="2"/>
          <tx>
            <strRef>
              <f>'Overview'!Y20</f>
            </strRef>
          </tx>
          <spPr>
            <a:ln xmlns:a="http://schemas.openxmlformats.org/drawingml/2006/main">
              <a:prstDash val="solid"/>
            </a:ln>
          </spPr>
          <cat>
            <numRef>
              <f>'Overview'!$Z$17:$AD$17</f>
            </numRef>
          </cat>
          <val>
            <numRef>
              <f>'Overview'!$Z$20:$AD$20</f>
            </numRef>
          </val>
        </ser>
        <ser>
          <idx val="3"/>
          <order val="3"/>
          <tx>
            <strRef>
              <f>'Overview'!Y21</f>
            </strRef>
          </tx>
          <spPr>
            <a:ln xmlns:a="http://schemas.openxmlformats.org/drawingml/2006/main">
              <a:prstDash val="solid"/>
            </a:ln>
          </spPr>
          <cat>
            <numRef>
              <f>'Overview'!$Z$17:$AD$17</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ABC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3628416</v>
      </c>
      <c r="C6" s="5" t="n">
        <v>3487130</v>
      </c>
      <c r="D6" s="5" t="n">
        <v>3197291</v>
      </c>
      <c r="E6" s="5" t="n">
        <v>3150890</v>
      </c>
      <c r="F6" s="5" t="n">
        <v>2805879</v>
      </c>
      <c r="I6" t="inlineStr">
        <is>
          <t>Total assets</t>
        </is>
      </c>
      <c r="J6" t="n">
        <v>2805879</v>
      </c>
      <c r="K6" t="n">
        <v>3150890</v>
      </c>
      <c r="L6" t="n">
        <v>3197291</v>
      </c>
      <c r="M6" t="n">
        <v>3487130</v>
      </c>
      <c r="N6" t="n">
        <v>3628416</v>
      </c>
      <c r="AG6" t="inlineStr">
        <is>
          <t>CET1 Ratio</t>
        </is>
      </c>
      <c r="AH6" t="n">
        <v>16.7</v>
      </c>
      <c r="AI6" t="n">
        <v>17</v>
      </c>
      <c r="AJ6" t="n">
        <v>17.6</v>
      </c>
      <c r="AK6" t="n">
        <v>16.2</v>
      </c>
      <c r="AL6" t="n">
        <v>15</v>
      </c>
    </row>
    <row r="7">
      <c r="A7" s="5" t="inlineStr">
        <is>
          <t>Loans and advances to customers</t>
        </is>
      </c>
      <c r="B7" s="5" t="n">
        <v>1540521</v>
      </c>
      <c r="C7" s="5" t="n">
        <v>1368632</v>
      </c>
      <c r="D7" s="5" t="n">
        <v>1290334</v>
      </c>
      <c r="E7" s="5" t="n">
        <v>1101772</v>
      </c>
      <c r="F7" s="5" t="n">
        <v>1094131</v>
      </c>
      <c r="I7" t="inlineStr">
        <is>
          <t>Loans and advances to customers</t>
        </is>
      </c>
      <c r="J7" t="n">
        <v>1094131</v>
      </c>
      <c r="K7" t="n">
        <v>1101772</v>
      </c>
      <c r="L7" t="n">
        <v>1290334</v>
      </c>
      <c r="M7" t="n">
        <v>1368632</v>
      </c>
      <c r="N7" t="n">
        <v>1540521</v>
      </c>
      <c r="AG7" t="inlineStr">
        <is>
          <t>Tier 1 Ratio</t>
        </is>
      </c>
      <c r="AH7" t="n">
        <v>16.7</v>
      </c>
      <c r="AI7" t="n">
        <v>17</v>
      </c>
      <c r="AJ7" t="n">
        <v>17.6</v>
      </c>
      <c r="AK7" t="n">
        <v>16.2</v>
      </c>
      <c r="AL7" t="n">
        <v>15</v>
      </c>
    </row>
    <row r="8">
      <c r="A8" s="5" t="inlineStr">
        <is>
          <t>Customer deposits</t>
        </is>
      </c>
      <c r="B8" s="5" t="n">
        <v>796992</v>
      </c>
      <c r="C8" s="5" t="n">
        <v>588657</v>
      </c>
      <c r="D8" s="5" t="n">
        <v>460063</v>
      </c>
      <c r="E8" s="5" t="n">
        <v>517193</v>
      </c>
      <c r="F8" s="5" t="n">
        <v>238737</v>
      </c>
      <c r="I8" t="inlineStr">
        <is>
          <t>Customer deposits</t>
        </is>
      </c>
      <c r="J8" t="n">
        <v>238737</v>
      </c>
      <c r="K8" t="n">
        <v>517193</v>
      </c>
      <c r="L8" t="n">
        <v>460063</v>
      </c>
      <c r="M8" t="n">
        <v>588657</v>
      </c>
      <c r="N8" t="n">
        <v>796992</v>
      </c>
      <c r="AG8" t="inlineStr">
        <is>
          <t>Total Capital Ratio</t>
        </is>
      </c>
      <c r="AH8" t="n">
        <v>18.3</v>
      </c>
      <c r="AI8" t="n">
        <v>18.2</v>
      </c>
      <c r="AJ8" t="n">
        <v>19.3</v>
      </c>
      <c r="AK8" t="n">
        <v>17.7</v>
      </c>
      <c r="AL8" t="n">
        <v>16.5</v>
      </c>
    </row>
    <row r="9">
      <c r="A9" s="5" t="inlineStr">
        <is>
          <t>Total equity</t>
        </is>
      </c>
      <c r="B9" s="5" t="n">
        <v>601054</v>
      </c>
      <c r="C9" s="5" t="n">
        <v>586474</v>
      </c>
      <c r="D9" s="5" t="n">
        <v>568132</v>
      </c>
      <c r="E9" s="5" t="n">
        <v>543701</v>
      </c>
      <c r="F9" s="5" t="n">
        <v>534131</v>
      </c>
      <c r="I9" t="inlineStr">
        <is>
          <t>Total equity</t>
        </is>
      </c>
      <c r="J9" t="n">
        <v>534131</v>
      </c>
      <c r="K9" t="n">
        <v>543701</v>
      </c>
      <c r="L9" t="n">
        <v>568132</v>
      </c>
      <c r="M9" t="n">
        <v>586474</v>
      </c>
      <c r="N9" t="n">
        <v>601054</v>
      </c>
      <c r="AG9" t="inlineStr">
        <is>
          <t>Leverage Ratio (excl. central bank claims)</t>
        </is>
      </c>
      <c r="AJ9" t="n">
        <v>10.62</v>
      </c>
      <c r="AK9" t="n">
        <v>10.2</v>
      </c>
    </row>
    <row r="10">
      <c r="AG10" t="inlineStr">
        <is>
          <t>LCR</t>
        </is>
      </c>
      <c r="AJ10" t="n">
        <v>369</v>
      </c>
      <c r="AK10" t="n">
        <v>339.1</v>
      </c>
    </row>
    <row r="11">
      <c r="A11" s="3" t="inlineStr">
        <is>
          <t>Profit &amp; Loss Summary (£'000)</t>
        </is>
      </c>
      <c r="AG11" t="inlineStr">
        <is>
          <t>NSFR</t>
        </is>
      </c>
      <c r="AJ11" t="n">
        <v>136.4</v>
      </c>
      <c r="AK11" t="n">
        <v>129.8</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Profit for the year attributable to owners</t>
        </is>
      </c>
      <c r="B13" s="5" t="n">
        <v>32616</v>
      </c>
      <c r="C13" s="5" t="n">
        <v>34113</v>
      </c>
      <c r="D13" s="5" t="n">
        <v>28022</v>
      </c>
      <c r="E13" s="5" t="n">
        <v>22069</v>
      </c>
      <c r="F13" s="5" t="n">
        <v>25344</v>
      </c>
      <c r="Q13" t="inlineStr">
        <is>
          <t>Profit for the year attributable to owners</t>
        </is>
      </c>
      <c r="R13" t="n">
        <v>25344</v>
      </c>
      <c r="S13" t="n">
        <v>22069</v>
      </c>
      <c r="T13" t="n">
        <v>28022</v>
      </c>
      <c r="U13" t="n">
        <v>34113</v>
      </c>
      <c r="V13" t="n">
        <v>32616</v>
      </c>
    </row>
    <row r="14">
      <c r="A14" s="5" t="inlineStr">
        <is>
          <t>Total comprehensive income for the year</t>
        </is>
      </c>
      <c r="B14" s="5" t="n">
        <v>31680</v>
      </c>
      <c r="C14" s="5" t="n">
        <v>34148</v>
      </c>
      <c r="D14" s="5" t="n">
        <v>31051</v>
      </c>
      <c r="E14" s="5" t="n">
        <v>16840</v>
      </c>
      <c r="F14" s="5" t="n">
        <v>30974</v>
      </c>
      <c r="Q14" t="inlineStr">
        <is>
          <t>Total comprehensive income for the year</t>
        </is>
      </c>
      <c r="R14" t="n">
        <v>30974</v>
      </c>
      <c r="S14" t="n">
        <v>16840</v>
      </c>
      <c r="T14" t="n">
        <v>31051</v>
      </c>
      <c r="U14" t="n">
        <v>34148</v>
      </c>
      <c r="V14" t="n">
        <v>31680</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Z17" t="inlineStr">
        <is>
          <t>FY2021</t>
        </is>
      </c>
      <c r="AA17" t="inlineStr">
        <is>
          <t>FY2022</t>
        </is>
      </c>
      <c r="AB17" t="inlineStr">
        <is>
          <t>FY2023</t>
        </is>
      </c>
      <c r="AC17" t="inlineStr">
        <is>
          <t>FY2024</t>
        </is>
      </c>
      <c r="AD17" t="inlineStr">
        <is>
          <t>FY2025</t>
        </is>
      </c>
    </row>
    <row r="18">
      <c r="A18" s="5" t="inlineStr">
        <is>
          <t>Opening equity</t>
        </is>
      </c>
      <c r="B18" s="5" t="n">
        <v>586474</v>
      </c>
      <c r="C18" s="5" t="n">
        <v>568132</v>
      </c>
      <c r="D18" s="5" t="n">
        <v>543701</v>
      </c>
      <c r="E18" s="5" t="n">
        <v>534131</v>
      </c>
      <c r="F18" s="5" t="n">
        <v>503157</v>
      </c>
      <c r="Y18" t="inlineStr">
        <is>
          <t>Opening equity</t>
        </is>
      </c>
      <c r="Z18" t="n">
        <v>503157</v>
      </c>
      <c r="AA18" t="n">
        <v>534131</v>
      </c>
      <c r="AB18" t="n">
        <v>543701</v>
      </c>
      <c r="AC18" t="n">
        <v>568132</v>
      </c>
      <c r="AD18" t="n">
        <v>586474</v>
      </c>
    </row>
    <row r="19">
      <c r="A19" s="5" t="inlineStr">
        <is>
          <t>Total comprehensive income for the year</t>
        </is>
      </c>
      <c r="B19" s="5" t="n">
        <v>31680</v>
      </c>
      <c r="C19" s="5" t="n">
        <v>34148</v>
      </c>
      <c r="D19" s="5" t="n">
        <v>31051</v>
      </c>
      <c r="E19" s="5" t="n">
        <v>16840</v>
      </c>
      <c r="F19" s="5" t="n">
        <v>30974</v>
      </c>
      <c r="Y19" t="inlineStr">
        <is>
          <t>Total comprehensive income for the year</t>
        </is>
      </c>
      <c r="Z19" t="n">
        <v>30974</v>
      </c>
      <c r="AA19" t="n">
        <v>16840</v>
      </c>
      <c r="AB19" t="n">
        <v>31051</v>
      </c>
      <c r="AC19" t="n">
        <v>34148</v>
      </c>
      <c r="AD19" t="n">
        <v>31680</v>
      </c>
    </row>
    <row r="20">
      <c r="A20" s="5" t="inlineStr">
        <is>
          <t>Other equity movements, net (dividends)</t>
        </is>
      </c>
      <c r="B20" s="5" t="n">
        <v>-17100</v>
      </c>
      <c r="C20" s="5" t="n">
        <v>-15806</v>
      </c>
      <c r="D20" s="5" t="n">
        <v>-6620</v>
      </c>
      <c r="E20" s="5" t="n">
        <v>-7270</v>
      </c>
      <c r="F20" s="5" t="n">
        <v>0</v>
      </c>
      <c r="Y20" t="inlineStr">
        <is>
          <t>Other equity movements, net (dividends)</t>
        </is>
      </c>
      <c r="Z20" t="n">
        <v>0</v>
      </c>
      <c r="AA20" t="n">
        <v>-7270</v>
      </c>
      <c r="AB20" t="n">
        <v>-6620</v>
      </c>
      <c r="AC20" t="n">
        <v>-15806</v>
      </c>
      <c r="AD20" t="n">
        <v>-17100</v>
      </c>
    </row>
    <row r="21">
      <c r="A21" s="5" t="inlineStr">
        <is>
          <t>Closing equity</t>
        </is>
      </c>
      <c r="B21" s="5" t="n">
        <v>601054</v>
      </c>
      <c r="C21" s="5" t="n">
        <v>586474</v>
      </c>
      <c r="D21" s="5" t="n">
        <v>568132</v>
      </c>
      <c r="E21" s="5" t="n">
        <v>543701</v>
      </c>
      <c r="F21" s="5" t="n">
        <v>534131</v>
      </c>
      <c r="Y21" t="inlineStr">
        <is>
          <t>Closing equity</t>
        </is>
      </c>
      <c r="Z21" t="n">
        <v>534131</v>
      </c>
      <c r="AA21" t="n">
        <v>543701</v>
      </c>
      <c r="AB21" t="n">
        <v>568132</v>
      </c>
      <c r="AC21" t="n">
        <v>586474</v>
      </c>
      <c r="AD21" t="n">
        <v>601054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15.0%</t>
        </is>
      </c>
      <c r="C27" s="6" t="inlineStr">
        <is>
          <t>16.2%</t>
        </is>
      </c>
      <c r="D27" s="6" t="inlineStr">
        <is>
          <t>17.6%</t>
        </is>
      </c>
      <c r="E27" s="6" t="inlineStr">
        <is>
          <t>17.0%</t>
        </is>
      </c>
      <c r="F27" s="6" t="inlineStr">
        <is>
          <t>16.7%</t>
        </is>
      </c>
    </row>
    <row r="28">
      <c r="A28" s="6" t="inlineStr">
        <is>
          <t>Tier 1 Ratio</t>
        </is>
      </c>
      <c r="B28" s="6" t="inlineStr">
        <is>
          <t>15.0%</t>
        </is>
      </c>
      <c r="C28" s="6" t="inlineStr">
        <is>
          <t>16.2%</t>
        </is>
      </c>
      <c r="D28" s="6" t="inlineStr">
        <is>
          <t>17.6%</t>
        </is>
      </c>
      <c r="E28" s="6" t="inlineStr">
        <is>
          <t>17.0%</t>
        </is>
      </c>
      <c r="F28" s="6" t="inlineStr">
        <is>
          <t>16.7%</t>
        </is>
      </c>
    </row>
    <row r="29">
      <c r="A29" s="6" t="inlineStr">
        <is>
          <t>Total Capital Ratio</t>
        </is>
      </c>
      <c r="B29" s="6" t="inlineStr">
        <is>
          <t>16.5%</t>
        </is>
      </c>
      <c r="C29" s="6" t="inlineStr">
        <is>
          <t>17.7%</t>
        </is>
      </c>
      <c r="D29" s="6" t="inlineStr">
        <is>
          <t>19.3%</t>
        </is>
      </c>
      <c r="E29" s="6" t="inlineStr">
        <is>
          <t>18.2%</t>
        </is>
      </c>
      <c r="F29" s="6" t="inlineStr">
        <is>
          <t>18.3%</t>
        </is>
      </c>
    </row>
    <row r="30">
      <c r="A30" s="6" t="inlineStr">
        <is>
          <t>Leverage Ratio (excl. central bank claims)</t>
        </is>
      </c>
      <c r="B30" s="6" t="n"/>
      <c r="C30" s="6" t="inlineStr">
        <is>
          <t>10.2%</t>
        </is>
      </c>
      <c r="D30" s="6" t="inlineStr">
        <is>
          <t>10.62%</t>
        </is>
      </c>
      <c r="E30" s="6" t="n"/>
      <c r="F30" s="6" t="n"/>
    </row>
    <row r="31">
      <c r="A31" s="6" t="inlineStr">
        <is>
          <t>LCR</t>
        </is>
      </c>
      <c r="B31" s="6" t="n"/>
      <c r="C31" s="6" t="inlineStr">
        <is>
          <t>339.1%</t>
        </is>
      </c>
      <c r="D31" s="6" t="inlineStr">
        <is>
          <t>369.0%</t>
        </is>
      </c>
      <c r="E31" s="6" t="n"/>
      <c r="F31" s="6" t="n"/>
    </row>
    <row r="32">
      <c r="A32" s="6" t="inlineStr">
        <is>
          <t>NSFR</t>
        </is>
      </c>
      <c r="B32" s="6" t="n"/>
      <c r="C32" s="6" t="inlineStr">
        <is>
          <t>129.8%</t>
        </is>
      </c>
      <c r="D32" s="6" t="inlineStr">
        <is>
          <t>136.4%</t>
        </is>
      </c>
      <c r="E32" s="6" t="n"/>
      <c r="F32" s="6" t="n"/>
    </row>
    <row r="34" ht="45" customHeight="1">
      <c r="A34" s="7" t="inlineStr">
        <is>
          <t>Note: ABC International Bank plc takes the FRS 101 cash-flow-statement exemption every year (see the Cash Flow Statement sheet), so no cash flow summary or chart is shown here - only the Balance Sheet / P&amp;L / Equity blocks (all entity/solo basis) and the Pillar 3 Key Metrics trend chart below. Pillar 3 ratios are consolidated basis for FY2023-FY2024 and solo basis for FY2021-FY2022/FY2025 - a different basis to the statement blocks above, see the Cash Flow Statement sheet's entity note. FY2025's statement/asset-quality figures were transcribed from a scanned Companies House filing via visual reading (OCR-style); FY2025 Leverage Ratio/LCR/NSFR remain unavailable (not in the Annual Report's Financial Highlights table, and no separate FY2025 Pillar 3 report could be located) - see each sheet's own source citation.</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ABC International Bank plc — Statement of Financial Position</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103934</v>
      </c>
      <c r="C5" s="6" t="n">
        <v>373606</v>
      </c>
      <c r="D5" s="6" t="n">
        <v>535241</v>
      </c>
      <c r="E5" s="6" t="n">
        <v>133298</v>
      </c>
      <c r="F5" s="6" t="n">
        <v>8395</v>
      </c>
    </row>
    <row r="6">
      <c r="A6" s="6" t="inlineStr">
        <is>
          <t>Debt investments - FVOCI</t>
        </is>
      </c>
      <c r="B6" s="6" t="n">
        <v>562145</v>
      </c>
      <c r="C6" s="6" t="n">
        <v>550345</v>
      </c>
      <c r="D6" s="6" t="n">
        <v>494318</v>
      </c>
      <c r="E6" s="6" t="n">
        <v>574839</v>
      </c>
      <c r="F6" s="6" t="n">
        <v>466103</v>
      </c>
    </row>
    <row r="7">
      <c r="A7" s="6" t="inlineStr">
        <is>
          <t>Loans and advances to banks</t>
        </is>
      </c>
      <c r="B7" s="6" t="n">
        <v>1164047</v>
      </c>
      <c r="C7" s="6" t="n">
        <v>896970</v>
      </c>
      <c r="D7" s="6" t="n">
        <v>604546</v>
      </c>
      <c r="E7" s="6" t="n">
        <v>1036596</v>
      </c>
      <c r="F7" s="6" t="n">
        <v>1002776</v>
      </c>
    </row>
    <row r="8">
      <c r="A8" s="6" t="inlineStr">
        <is>
          <t>Loans and advances to customers</t>
        </is>
      </c>
      <c r="B8" s="6" t="n">
        <v>1540521</v>
      </c>
      <c r="C8" s="6" t="n">
        <v>1368632</v>
      </c>
      <c r="D8" s="6" t="n">
        <v>1290334</v>
      </c>
      <c r="E8" s="6" t="n">
        <v>1101772</v>
      </c>
      <c r="F8" s="6" t="n">
        <v>1094131</v>
      </c>
    </row>
    <row r="9">
      <c r="A9" s="6" t="inlineStr">
        <is>
          <t>Derivative financial assets</t>
        </is>
      </c>
      <c r="B9" s="6" t="n">
        <v>4859</v>
      </c>
      <c r="C9" s="6" t="n">
        <v>20825</v>
      </c>
      <c r="D9" s="6" t="n">
        <v>4038</v>
      </c>
      <c r="E9" s="6" t="n">
        <v>3704</v>
      </c>
      <c r="F9" s="6" t="n">
        <v>3606</v>
      </c>
    </row>
    <row r="10">
      <c r="A10" s="6" t="inlineStr">
        <is>
          <t>Tangible fixed assets</t>
        </is>
      </c>
      <c r="B10" s="6" t="n">
        <v>29127</v>
      </c>
      <c r="C10" s="6" t="n">
        <v>35131</v>
      </c>
      <c r="D10" s="6" t="n">
        <v>35215</v>
      </c>
      <c r="E10" s="6" t="n">
        <v>35409</v>
      </c>
      <c r="F10" s="6" t="n">
        <v>36270</v>
      </c>
    </row>
    <row r="11">
      <c r="A11" s="6" t="inlineStr">
        <is>
          <t>Investment property</t>
        </is>
      </c>
      <c r="B11" s="6" t="n">
        <v>5973</v>
      </c>
      <c r="C11" s="6" t="n"/>
      <c r="D11" s="6" t="n"/>
      <c r="E11" s="6" t="n"/>
      <c r="F11" s="6" t="n"/>
    </row>
    <row r="12">
      <c r="A12" s="6" t="inlineStr">
        <is>
          <t>Current tax asset</t>
        </is>
      </c>
      <c r="B12" s="6" t="n">
        <v>1104</v>
      </c>
      <c r="C12" s="6" t="n">
        <v>889</v>
      </c>
      <c r="D12" s="6" t="n"/>
      <c r="E12" s="6" t="n">
        <v>0</v>
      </c>
      <c r="F12" s="6" t="n">
        <v>127</v>
      </c>
    </row>
    <row r="13">
      <c r="A13" s="6" t="inlineStr">
        <is>
          <t>Deferred tax asset</t>
        </is>
      </c>
      <c r="B13" s="6" t="n"/>
      <c r="C13" s="6" t="n"/>
      <c r="D13" s="6" t="n"/>
      <c r="E13" s="6" t="n">
        <v>2149</v>
      </c>
      <c r="F13" s="6" t="n">
        <v>1574</v>
      </c>
    </row>
    <row r="14">
      <c r="A14" s="6" t="inlineStr">
        <is>
          <t>Prepayments, accrued income and other debtors</t>
        </is>
      </c>
      <c r="B14" s="6" t="n">
        <v>44993</v>
      </c>
      <c r="C14" s="6" t="n">
        <v>75609</v>
      </c>
      <c r="D14" s="6" t="n">
        <v>62556</v>
      </c>
      <c r="E14" s="6" t="n">
        <v>88821</v>
      </c>
      <c r="F14" s="6" t="n">
        <v>27093</v>
      </c>
    </row>
    <row r="15">
      <c r="A15" s="6" t="inlineStr">
        <is>
          <t>Pension scheme asset</t>
        </is>
      </c>
      <c r="B15" s="6" t="n">
        <v>0</v>
      </c>
      <c r="C15" s="6" t="n">
        <v>1347</v>
      </c>
      <c r="D15" s="6" t="n"/>
      <c r="E15" s="6" t="n"/>
      <c r="F15" s="6" t="n"/>
    </row>
    <row r="16">
      <c r="A16" s="6" t="inlineStr">
        <is>
          <t>Investment in subsidiary</t>
        </is>
      </c>
      <c r="B16" s="6" t="n">
        <v>171713</v>
      </c>
      <c r="C16" s="6" t="n">
        <v>163776</v>
      </c>
      <c r="D16" s="6" t="n">
        <v>171043</v>
      </c>
      <c r="E16" s="6" t="n">
        <v>174302</v>
      </c>
      <c r="F16" s="6" t="n">
        <v>165804</v>
      </c>
    </row>
    <row r="17">
      <c r="A17" s="5" t="inlineStr">
        <is>
          <t>Total assets</t>
        </is>
      </c>
      <c r="B17" s="5" t="n">
        <v>3628416</v>
      </c>
      <c r="C17" s="5" t="n">
        <v>3487130</v>
      </c>
      <c r="D17" s="5" t="n">
        <v>3197291</v>
      </c>
      <c r="E17" s="5" t="n">
        <v>3150890</v>
      </c>
      <c r="F17" s="5" t="n">
        <v>2805879</v>
      </c>
    </row>
    <row r="18">
      <c r="A18" s="5" t="inlineStr">
        <is>
          <t>Liabilities</t>
        </is>
      </c>
      <c r="B18" s="6" t="n"/>
      <c r="C18" s="6" t="n"/>
      <c r="D18" s="6" t="n"/>
      <c r="E18" s="6" t="n"/>
      <c r="F18" s="6" t="n"/>
    </row>
    <row r="19">
      <c r="A19" s="6" t="inlineStr">
        <is>
          <t>Deposits from banks</t>
        </is>
      </c>
      <c r="B19" s="6" t="n">
        <v>1801577</v>
      </c>
      <c r="C19" s="6" t="n">
        <v>1793118</v>
      </c>
      <c r="D19" s="6" t="n">
        <v>1719290</v>
      </c>
      <c r="E19" s="6" t="n">
        <v>1604268</v>
      </c>
      <c r="F19" s="6" t="n">
        <v>1711980</v>
      </c>
    </row>
    <row r="20">
      <c r="A20" s="6" t="inlineStr">
        <is>
          <t>Customer deposits</t>
        </is>
      </c>
      <c r="B20" s="6" t="n">
        <v>796992</v>
      </c>
      <c r="C20" s="6" t="n">
        <v>588657</v>
      </c>
      <c r="D20" s="6" t="n">
        <v>460063</v>
      </c>
      <c r="E20" s="6" t="n">
        <v>517193</v>
      </c>
      <c r="F20" s="6" t="n">
        <v>238737</v>
      </c>
    </row>
    <row r="21">
      <c r="A21" s="6" t="inlineStr">
        <is>
          <t>Derivative financial liabilities</t>
        </is>
      </c>
      <c r="B21" s="6" t="n">
        <v>1644</v>
      </c>
      <c r="C21" s="6" t="n">
        <v>1190</v>
      </c>
      <c r="D21" s="6" t="n">
        <v>13647</v>
      </c>
      <c r="E21" s="6" t="n">
        <v>10516</v>
      </c>
      <c r="F21" s="6" t="n">
        <v>635</v>
      </c>
    </row>
    <row r="22">
      <c r="A22" s="6" t="inlineStr">
        <is>
          <t>Other liabilities, accruals and deferred income</t>
        </is>
      </c>
      <c r="B22" s="6" t="n">
        <v>61776</v>
      </c>
      <c r="C22" s="6" t="n">
        <v>208793</v>
      </c>
      <c r="D22" s="6" t="n">
        <v>168234</v>
      </c>
      <c r="E22" s="6" t="n">
        <v>195399</v>
      </c>
      <c r="F22" s="6" t="n">
        <v>102982</v>
      </c>
    </row>
    <row r="23">
      <c r="A23" s="6" t="inlineStr">
        <is>
          <t>Current tax liability</t>
        </is>
      </c>
      <c r="B23" s="6" t="n"/>
      <c r="C23" s="6" t="n"/>
      <c r="D23" s="6" t="n">
        <v>491</v>
      </c>
      <c r="E23" s="6" t="n">
        <v>2286</v>
      </c>
      <c r="F23" s="6" t="n"/>
    </row>
    <row r="24">
      <c r="A24" s="6" t="inlineStr">
        <is>
          <t>Term borrowing</t>
        </is>
      </c>
      <c r="B24" s="6" t="n">
        <v>315538</v>
      </c>
      <c r="C24" s="6" t="n">
        <v>256013</v>
      </c>
      <c r="D24" s="6" t="n">
        <v>216093</v>
      </c>
      <c r="E24" s="6" t="n">
        <v>224794</v>
      </c>
      <c r="F24" s="6" t="n">
        <v>164793</v>
      </c>
    </row>
    <row r="25">
      <c r="A25" s="6" t="inlineStr">
        <is>
          <t>Pension scheme liability</t>
        </is>
      </c>
      <c r="B25" s="6" t="n">
        <v>163</v>
      </c>
      <c r="C25" s="6" t="n"/>
      <c r="D25" s="6" t="n">
        <v>209</v>
      </c>
      <c r="E25" s="6" t="n">
        <v>2733</v>
      </c>
      <c r="F25" s="6" t="n">
        <v>2621</v>
      </c>
    </row>
    <row r="26">
      <c r="A26" s="6" t="inlineStr">
        <is>
          <t>Subordinated liabilities</t>
        </is>
      </c>
      <c r="B26" s="6" t="n">
        <v>48263</v>
      </c>
      <c r="C26" s="6" t="n">
        <v>51869</v>
      </c>
      <c r="D26" s="6" t="n">
        <v>51121</v>
      </c>
      <c r="E26" s="6" t="n">
        <v>50000</v>
      </c>
      <c r="F26" s="6" t="n">
        <v>50000</v>
      </c>
    </row>
    <row r="27">
      <c r="A27" s="6" t="inlineStr">
        <is>
          <t>Deferred tax liability</t>
        </is>
      </c>
      <c r="B27" s="6" t="n">
        <v>1409</v>
      </c>
      <c r="C27" s="6" t="n">
        <v>1016</v>
      </c>
      <c r="D27" s="6" t="n">
        <v>11</v>
      </c>
      <c r="E27" s="6" t="n"/>
      <c r="F27" s="6" t="n"/>
    </row>
    <row r="28">
      <c r="A28" s="5" t="inlineStr">
        <is>
          <t>Total liabilities</t>
        </is>
      </c>
      <c r="B28" s="5" t="n">
        <v>3027362</v>
      </c>
      <c r="C28" s="5" t="n">
        <v>2900656</v>
      </c>
      <c r="D28" s="5" t="n">
        <v>2629159</v>
      </c>
      <c r="E28" s="5" t="n">
        <v>2607189</v>
      </c>
      <c r="F28" s="5" t="n">
        <v>2271748</v>
      </c>
    </row>
    <row r="29">
      <c r="A29" s="5" t="inlineStr">
        <is>
          <t>Equity</t>
        </is>
      </c>
      <c r="B29" s="6" t="n"/>
      <c r="C29" s="6" t="n"/>
      <c r="D29" s="6" t="n"/>
      <c r="E29" s="6" t="n"/>
      <c r="F29" s="6" t="n"/>
    </row>
    <row r="30">
      <c r="A30" s="6" t="inlineStr">
        <is>
          <t>Share capital</t>
        </is>
      </c>
      <c r="B30" s="6" t="n">
        <v>212296</v>
      </c>
      <c r="C30" s="6" t="n">
        <v>212296</v>
      </c>
      <c r="D30" s="6" t="n">
        <v>212296</v>
      </c>
      <c r="E30" s="6" t="n">
        <v>212296</v>
      </c>
      <c r="F30" s="6" t="n">
        <v>212296</v>
      </c>
    </row>
    <row r="31">
      <c r="A31" s="6" t="inlineStr">
        <is>
          <t>Retained earnings</t>
        </is>
      </c>
      <c r="B31" s="6" t="n">
        <v>385710</v>
      </c>
      <c r="C31" s="6" t="n">
        <v>372922</v>
      </c>
      <c r="D31" s="6" t="n">
        <v>355584</v>
      </c>
      <c r="E31" s="6" t="n">
        <v>334086</v>
      </c>
      <c r="F31" s="6" t="n">
        <v>321493</v>
      </c>
    </row>
    <row r="32">
      <c r="A32" s="6" t="inlineStr">
        <is>
          <t>Fair value reserve</t>
        </is>
      </c>
      <c r="B32" s="6" t="n">
        <v>3048</v>
      </c>
      <c r="C32" s="6" t="n">
        <v>1256</v>
      </c>
      <c r="D32" s="6" t="n">
        <v>252</v>
      </c>
      <c r="E32" s="6" t="n">
        <v>-2681</v>
      </c>
      <c r="F32" s="6" t="n">
        <v>342</v>
      </c>
    </row>
    <row r="33">
      <c r="A33" s="5" t="inlineStr">
        <is>
          <t>Total equity</t>
        </is>
      </c>
      <c r="B33" s="5" t="n">
        <v>601054</v>
      </c>
      <c r="C33" s="5" t="n">
        <v>586474</v>
      </c>
      <c r="D33" s="5" t="n">
        <v>568132</v>
      </c>
      <c r="E33" s="5" t="n">
        <v>543701</v>
      </c>
      <c r="F33" s="5" t="n">
        <v>534131</v>
      </c>
    </row>
    <row r="34">
      <c r="A34" s="5" t="inlineStr">
        <is>
          <t>Total equity and liabilities</t>
        </is>
      </c>
      <c r="B34" s="5" t="n">
        <v>3628416</v>
      </c>
      <c r="C34" s="5" t="n">
        <v>3487130</v>
      </c>
      <c r="D34" s="5" t="n">
        <v>3197291</v>
      </c>
      <c r="E34" s="5" t="n">
        <v>3150890</v>
      </c>
      <c r="F34" s="5" t="n">
        <v>2805879</v>
      </c>
    </row>
    <row r="36" ht="150" customHeight="1">
      <c r="A36" s="8" t="inlineStr">
        <is>
          <t>Sources - ABC International Bank plc:
FY2025: ABC International Bank plc Annual Report 2025, Statement of Financial Position, p.46 (scanned filing, visually transcribed) - https://find-and-update.company-information.service.gov.uk/company/02564490/filing-history
FY2024 &amp; FY2023: ABC International Bank plc Annual Report 2024, Statement of Financial Position, p.53 (FY2023 restated - see Note 37) - https://www.bank-abc.com/en/ShareholderRelations/Annual%20Reports/ABC%20IB%20Annual%20Report%202024%20_%20Spreads%20for%20web.pdf
FY2022 &amp; FY2021: ABC International Bank plc Annual Report 2022, Statement of Financial Position, p.62 - https://www.bank-abc.com/en/ShareholderRelations/Annual%20Reports/ABCIB%20Annual%20Report%202022.pdf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is the only trace of the wholly-owned subsidiary Alphabet Nominees Limited on these statements). This is a different basis to the Pillar 3 sheets, which are CONSOLIDATED for FY2023-FY2024 and SOLO for FY2021-FY2022/FY2025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PRESENTATION NOTE: FY2025 introduces two lines not present in earlier years - 'Investment property' (£5,973k) and a 'Pension scheme liability' of £163k (FY2024 instead showed a net 'Pension scheme asset' of £1,347k, now nil) - both are new/changed, not omissions, and are shown as disclosed.</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ABC International Bank plc — Statement of Comprehensive Income</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Comprehensive income</t>
        </is>
      </c>
      <c r="B4" s="6" t="n"/>
      <c r="C4" s="6" t="n"/>
      <c r="D4" s="6" t="n"/>
      <c r="E4" s="6" t="n"/>
      <c r="F4" s="6" t="n"/>
    </row>
    <row r="5">
      <c r="A5" s="5" t="inlineStr">
        <is>
          <t>Profit for the year attributable to owners</t>
        </is>
      </c>
      <c r="B5" s="5" t="n">
        <v>32616</v>
      </c>
      <c r="C5" s="5" t="n">
        <v>34113</v>
      </c>
      <c r="D5" s="5" t="n">
        <v>28022</v>
      </c>
      <c r="E5" s="5" t="n">
        <v>22069</v>
      </c>
      <c r="F5" s="5" t="n">
        <v>25344</v>
      </c>
    </row>
    <row r="6">
      <c r="A6" s="5" t="inlineStr">
        <is>
          <t>Items that cannot be reclassified to income statement</t>
        </is>
      </c>
      <c r="B6" s="6" t="n"/>
      <c r="C6" s="6" t="n"/>
      <c r="D6" s="6" t="n"/>
      <c r="E6" s="6" t="n"/>
      <c r="F6" s="6" t="n"/>
    </row>
    <row r="7">
      <c r="A7" s="6" t="inlineStr">
        <is>
          <t>Foreign exchange movement</t>
        </is>
      </c>
      <c r="B7" s="6" t="n"/>
      <c r="C7" s="6" t="n">
        <v>155</v>
      </c>
      <c r="D7" s="6" t="n">
        <v>22</v>
      </c>
      <c r="E7" s="6" t="n">
        <v>-10</v>
      </c>
      <c r="F7" s="6" t="n"/>
    </row>
    <row r="8">
      <c r="A8" s="6" t="inlineStr">
        <is>
          <t>Actuarial gain / (loss) recognised on defined benefit pension scheme</t>
        </is>
      </c>
      <c r="B8" s="6" t="n">
        <v>-3431</v>
      </c>
      <c r="C8" s="6" t="n">
        <v>36</v>
      </c>
      <c r="D8" s="6" t="n">
        <v>-1055</v>
      </c>
      <c r="E8" s="6" t="n">
        <v>-2676</v>
      </c>
      <c r="F8" s="6" t="n">
        <v>7756</v>
      </c>
    </row>
    <row r="9">
      <c r="A9" s="6" t="inlineStr">
        <is>
          <t>Current and Deferred tax (charge) / credit relating to defined benefit pension scheme</t>
        </is>
      </c>
      <c r="B9" s="6" t="n">
        <v>703</v>
      </c>
      <c r="C9" s="6" t="n">
        <v>-69</v>
      </c>
      <c r="D9" s="6" t="n">
        <v>-37</v>
      </c>
      <c r="E9" s="6" t="n">
        <v>480</v>
      </c>
      <c r="F9" s="6" t="n">
        <v>-1431</v>
      </c>
    </row>
    <row r="10">
      <c r="A10" s="5" t="inlineStr">
        <is>
          <t>Items that can be reclassified to income statement</t>
        </is>
      </c>
      <c r="B10" s="6" t="n"/>
      <c r="C10" s="6" t="n"/>
      <c r="D10" s="6" t="n"/>
      <c r="E10" s="6" t="n"/>
      <c r="F10" s="6" t="n"/>
    </row>
    <row r="11">
      <c r="A11" s="6" t="inlineStr">
        <is>
          <t>Deferred tax (charge) / credit relating to change in fair value of debt investments at FVOCI</t>
        </is>
      </c>
      <c r="B11" s="6" t="n">
        <v>-420</v>
      </c>
      <c r="C11" s="6" t="n">
        <v>-333</v>
      </c>
      <c r="D11" s="6" t="n">
        <v>-988</v>
      </c>
      <c r="E11" s="6" t="n">
        <v>964</v>
      </c>
      <c r="F11" s="6" t="n">
        <v>205</v>
      </c>
    </row>
    <row r="12">
      <c r="A12" s="6" t="inlineStr">
        <is>
          <t>Change in fair value of debt investments at FVOCI</t>
        </is>
      </c>
      <c r="B12" s="6" t="n">
        <v>4060</v>
      </c>
      <c r="C12" s="6" t="n">
        <v>-1044</v>
      </c>
      <c r="D12" s="6" t="n">
        <v>2406</v>
      </c>
      <c r="E12" s="6" t="n">
        <v>-6637</v>
      </c>
      <c r="F12" s="6" t="n">
        <v>-765</v>
      </c>
    </row>
    <row r="13">
      <c r="A13" s="6" t="inlineStr">
        <is>
          <t>Reclassification to income statement: debt investments at FVOCI</t>
        </is>
      </c>
      <c r="B13" s="6" t="n">
        <v>549</v>
      </c>
      <c r="C13" s="6" t="n">
        <v>1954</v>
      </c>
      <c r="D13" s="6" t="n">
        <v>3421</v>
      </c>
      <c r="E13" s="6" t="n">
        <v>-85</v>
      </c>
      <c r="F13" s="6" t="n">
        <v>-282</v>
      </c>
    </row>
    <row r="14">
      <c r="A14" s="6" t="inlineStr">
        <is>
          <t>Change in ECL allowance for debt investments at FVOCI</t>
        </is>
      </c>
      <c r="B14" s="6" t="n">
        <v>6</v>
      </c>
      <c r="C14" s="6" t="n">
        <v>4</v>
      </c>
      <c r="D14" s="6" t="n">
        <v>-33</v>
      </c>
      <c r="E14" s="6" t="n">
        <v>12</v>
      </c>
      <c r="F14" s="6" t="n">
        <v>2</v>
      </c>
    </row>
    <row r="15">
      <c r="A15" s="6" t="inlineStr">
        <is>
          <t>Net gain / (loss) due to fair value hedging</t>
        </is>
      </c>
      <c r="B15" s="6" t="n">
        <v>-2403</v>
      </c>
      <c r="C15" s="6" t="n">
        <v>423</v>
      </c>
      <c r="D15" s="6" t="n">
        <v>-1873</v>
      </c>
      <c r="E15" s="6" t="n">
        <v>2723</v>
      </c>
      <c r="F15" s="6" t="n">
        <v>145</v>
      </c>
    </row>
    <row r="16">
      <c r="A16" s="5" t="inlineStr">
        <is>
          <t>Total comprehensive income for the year attributable to owners</t>
        </is>
      </c>
      <c r="B16" s="5" t="n">
        <v>31680</v>
      </c>
      <c r="C16" s="5" t="n">
        <v>34148</v>
      </c>
      <c r="D16" s="5" t="n">
        <v>31051</v>
      </c>
      <c r="E16" s="5" t="n">
        <v>16840</v>
      </c>
      <c r="F16" s="5" t="n">
        <v>30974</v>
      </c>
    </row>
    <row r="18" ht="150" customHeight="1">
      <c r="A18" s="8" t="inlineStr">
        <is>
          <t>Sources - ABC International Bank plc:
FY2025: ABC International Bank plc Annual Report 2025, Statement of Comprehensive Income, p.45 (scanned filing, visually transcribed) - https://find-and-update.company-information.service.gov.uk/company/02564490/filing-history
FY2024 &amp; FY2023: ABC International Bank plc Annual Report 2024, Statement of Comprehensive Income, p.52 (FY2023 restated - see Note 37) - https://www.bank-abc.com/en/ShareholderRelations/Annual%20Reports/ABC%20IB%20Annual%20Report%202024%20_%20Spreads%20for%20web.pdf
FY2022 &amp; FY2021: ABC International Bank plc Annual Report 2022, Statement of Comprehensive Income, p.61 - https://www.bank-abc.com/en/ShareholderRelations/Annual%20Reports/ABCIB%20Annual%20Report%202022.pdf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is the only trace of the wholly-owned subsidiary Alphabet Nominees Limited on these statements). This is a different basis to the Pillar 3 sheets, which are CONSOLIDATED for FY2023-FY2024 and SOLO for FY2021-FY2022/FY2025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PRESENTATION NOTE: ABCIB's statement of comprehensive income is presented net of interest/fee income and expense from the top ("Profit for the year attributable to owners" is the first disclosed line, with expense items not broken out above it) - there is no Revenue/Net operating income subtotal structure disclosed for any year, unlike Monzo's workbook. "Total comprehensive income for the year" is the one row comparable and populated across all 5 years.
DISCREPANCY FLAGGED (found while sourcing FY2025, not fixed - out of scope for this pass): AR2024's own OCI line items for FY2024 (as directly re-verified against the source PDF: Foreign exchange movement 155, Actuarial gain 36, tax (69), FVOCI tax (333), FVOCI change (1,044), reclassification 1,954, ECL 4, fair value hedging 423) sum to +1,126, but AR2024's own disclosed 'Total comprehensive income' row implies a total OCI of only +35 (34,148 - 34,113 profit) - the components do not reconcile to AR2024's own total, which is a defect in the primary source, not a transcription error (both re-verified directly against the PDF text). AR2025's FY2024 comparative column uses a different item set (no separate FX line; Actuarial (1,055) not 36; fair value hedging 578 not 423) that DOES reconcile to 35 exactly. The FY2024 figures below are left as originally sourced from AR2024 (each year sourced from its own primary report, per this project's convention) rather than silently swapped to AR2025's restated figures - a genuine unresolved reconciliation gap in ABCIB's own disclosures, flagged here for a human to judge. FY2021-FY2023 were not re-checked for the same issue (out of scope for this pass).</t>
        </is>
      </c>
    </row>
  </sheetData>
  <mergeCells count="1">
    <mergeCell ref="A18:F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ABC International Bank plc — Statement of Changes in Equity</t>
        </is>
      </c>
    </row>
    <row r="2">
      <c r="A2" s="2" t="inlineStr">
        <is>
          <t>Entity (solo) basis, chronological, all figures in £'000.</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at 1 January 2021</t>
        </is>
      </c>
      <c r="B4" s="5" t="n">
        <v>212296</v>
      </c>
      <c r="C4" s="5" t="n">
        <v>289824</v>
      </c>
      <c r="D4" s="5" t="n">
        <v>1037</v>
      </c>
      <c r="E4" s="5" t="n">
        <v>503157</v>
      </c>
    </row>
    <row r="5">
      <c r="A5" s="6" t="inlineStr">
        <is>
          <t>Profit for the year</t>
        </is>
      </c>
      <c r="B5" s="6" t="n"/>
      <c r="C5" s="6" t="n">
        <v>25344</v>
      </c>
      <c r="D5" s="6" t="n"/>
      <c r="E5" s="6" t="n">
        <v>25344</v>
      </c>
    </row>
    <row r="6">
      <c r="A6" s="6" t="inlineStr">
        <is>
          <t>Other comprehensive income / (loss)</t>
        </is>
      </c>
      <c r="B6" s="6" t="n"/>
      <c r="C6" s="6" t="n">
        <v>6325</v>
      </c>
      <c r="D6" s="6" t="n">
        <v>-695</v>
      </c>
      <c r="E6" s="6" t="n">
        <v>5630</v>
      </c>
    </row>
    <row r="7">
      <c r="A7" s="5" t="inlineStr">
        <is>
          <t>Balance at 31 December 2021</t>
        </is>
      </c>
      <c r="B7" s="5" t="n">
        <v>212296</v>
      </c>
      <c r="C7" s="5" t="n">
        <v>321493</v>
      </c>
      <c r="D7" s="5" t="n">
        <v>342</v>
      </c>
      <c r="E7" s="5" t="n">
        <v>534131</v>
      </c>
    </row>
    <row r="8">
      <c r="A8" s="6" t="inlineStr">
        <is>
          <t>Dividend paid</t>
        </is>
      </c>
      <c r="B8" s="6" t="n"/>
      <c r="C8" s="6" t="n">
        <v>-7270</v>
      </c>
      <c r="D8" s="6" t="n"/>
      <c r="E8" s="6" t="n">
        <v>-7270</v>
      </c>
    </row>
    <row r="9">
      <c r="A9" s="6" t="inlineStr">
        <is>
          <t>Profit for the year</t>
        </is>
      </c>
      <c r="B9" s="6" t="n"/>
      <c r="C9" s="6" t="n">
        <v>22069</v>
      </c>
      <c r="D9" s="6" t="n"/>
      <c r="E9" s="6" t="n">
        <v>22069</v>
      </c>
    </row>
    <row r="10">
      <c r="A10" s="6" t="inlineStr">
        <is>
          <t>Other comprehensive income / (loss)</t>
        </is>
      </c>
      <c r="B10" s="6" t="n"/>
      <c r="C10" s="6" t="n">
        <v>-2206</v>
      </c>
      <c r="D10" s="6" t="n">
        <v>-3023</v>
      </c>
      <c r="E10" s="6" t="n">
        <v>-5229</v>
      </c>
    </row>
    <row r="11">
      <c r="A11" s="5" t="inlineStr">
        <is>
          <t>Balance at 31 December 2022</t>
        </is>
      </c>
      <c r="B11" s="5" t="n">
        <v>212296</v>
      </c>
      <c r="C11" s="5" t="n">
        <v>334086</v>
      </c>
      <c r="D11" s="5" t="n">
        <v>-2681</v>
      </c>
      <c r="E11" s="5" t="n">
        <v>543701</v>
      </c>
    </row>
    <row r="12">
      <c r="A12" s="6" t="inlineStr">
        <is>
          <t>Dividend paid</t>
        </is>
      </c>
      <c r="B12" s="6" t="n"/>
      <c r="C12" s="6" t="n">
        <v>-6620</v>
      </c>
      <c r="D12" s="6" t="n"/>
      <c r="E12" s="6" t="n">
        <v>-6620</v>
      </c>
    </row>
    <row r="13">
      <c r="A13" s="6" t="inlineStr">
        <is>
          <t>Profit for the year</t>
        </is>
      </c>
      <c r="B13" s="6" t="n"/>
      <c r="C13" s="6" t="n">
        <v>28022</v>
      </c>
      <c r="D13" s="6" t="n"/>
      <c r="E13" s="6" t="n">
        <v>28022</v>
      </c>
    </row>
    <row r="14">
      <c r="A14" s="6" t="inlineStr">
        <is>
          <t>Other comprehensive income / (loss)</t>
        </is>
      </c>
      <c r="B14" s="6" t="n"/>
      <c r="C14" s="6" t="n">
        <v>96</v>
      </c>
      <c r="D14" s="6" t="n">
        <v>2933</v>
      </c>
      <c r="E14" s="6" t="n">
        <v>3029</v>
      </c>
    </row>
    <row r="15">
      <c r="A15" s="5" t="inlineStr">
        <is>
          <t>Balance at 31 December 2023</t>
        </is>
      </c>
      <c r="B15" s="5" t="n">
        <v>212296</v>
      </c>
      <c r="C15" s="5" t="n">
        <v>355584</v>
      </c>
      <c r="D15" s="5" t="n">
        <v>252</v>
      </c>
      <c r="E15" s="5" t="n">
        <v>568132</v>
      </c>
    </row>
    <row r="16">
      <c r="A16" s="6" t="inlineStr">
        <is>
          <t>Dividend paid</t>
        </is>
      </c>
      <c r="B16" s="6" t="n"/>
      <c r="C16" s="6" t="n">
        <v>-15806</v>
      </c>
      <c r="D16" s="6" t="n"/>
      <c r="E16" s="6" t="n">
        <v>-15806</v>
      </c>
    </row>
    <row r="17">
      <c r="A17" s="6" t="inlineStr">
        <is>
          <t>Profit for the year</t>
        </is>
      </c>
      <c r="B17" s="6" t="n"/>
      <c r="C17" s="6" t="n">
        <v>34113</v>
      </c>
      <c r="D17" s="6" t="n"/>
      <c r="E17" s="6" t="n">
        <v>34113</v>
      </c>
    </row>
    <row r="18">
      <c r="A18" s="6" t="inlineStr">
        <is>
          <t>Other comprehensive income / (loss)</t>
        </is>
      </c>
      <c r="B18" s="6" t="n"/>
      <c r="C18" s="6" t="n">
        <v>-969</v>
      </c>
      <c r="D18" s="6" t="n">
        <v>1004</v>
      </c>
      <c r="E18" s="6" t="n">
        <v>35</v>
      </c>
    </row>
    <row r="19">
      <c r="A19" s="5" t="inlineStr">
        <is>
          <t>Balance at 31 December 2024</t>
        </is>
      </c>
      <c r="B19" s="5" t="n">
        <v>212296</v>
      </c>
      <c r="C19" s="5" t="n">
        <v>372922</v>
      </c>
      <c r="D19" s="5" t="n">
        <v>1256</v>
      </c>
      <c r="E19" s="5" t="n">
        <v>586474</v>
      </c>
    </row>
    <row r="20">
      <c r="A20" s="6" t="inlineStr">
        <is>
          <t>Dividend paid</t>
        </is>
      </c>
      <c r="B20" s="6" t="n"/>
      <c r="C20" s="6" t="n">
        <v>-17100</v>
      </c>
      <c r="D20" s="6" t="n"/>
      <c r="E20" s="6" t="n">
        <v>-17100</v>
      </c>
    </row>
    <row r="21">
      <c r="A21" s="6" t="inlineStr">
        <is>
          <t>Profit for the year</t>
        </is>
      </c>
      <c r="B21" s="6" t="n"/>
      <c r="C21" s="6" t="n">
        <v>32616</v>
      </c>
      <c r="D21" s="6" t="n"/>
      <c r="E21" s="6" t="n">
        <v>32616</v>
      </c>
    </row>
    <row r="22">
      <c r="A22" s="6" t="inlineStr">
        <is>
          <t>Other comprehensive income / (loss)</t>
        </is>
      </c>
      <c r="B22" s="6" t="n"/>
      <c r="C22" s="6" t="n">
        <v>-2728</v>
      </c>
      <c r="D22" s="6" t="n">
        <v>1792</v>
      </c>
      <c r="E22" s="6" t="n">
        <v>-936</v>
      </c>
    </row>
    <row r="23">
      <c r="A23" s="5" t="inlineStr">
        <is>
          <t>Balance at 31 December 2025</t>
        </is>
      </c>
      <c r="B23" s="5" t="n">
        <v>212296</v>
      </c>
      <c r="C23" s="5" t="n">
        <v>385710</v>
      </c>
      <c r="D23" s="5" t="n">
        <v>3048</v>
      </c>
      <c r="E23" s="5" t="n">
        <v>601054</v>
      </c>
    </row>
    <row r="25" ht="150" customHeight="1">
      <c r="A25" s="8" t="inlineStr">
        <is>
          <t>Sources - ABC International Bank plc:
FY2021-FY2022 roll-forward: ABC International Bank plc Annual Report 2022, Statement of Changes in Equity, p.62 - https://www.bank-abc.com/en/ShareholderRelations/Annual%20Reports/ABCIB%20Annual%20Report%202022.pdf
FY2023-FY2024 roll-forward: ABC International Bank plc Annual Report 2024, Statement of Changes in Equity, p.54 (FY2023 restated - see Note 37; opening 1 Jan 2023 balance not materially affected) - https://www.bank-abc.com/en/ShareholderRelations/Annual%20Reports/ABC%20IB%20Annual%20Report%202024%20_%20Spreads%20for%20web.pdf
FY2025 roll-forward: ABC International Bank plc Annual Report 2025, Statement of Changes in Equity, p.47 (scanned filing, visually transcribed) - https://find-and-update.company-information.service.gov.uk/company/02564490/filing-history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is the only trace of the wholly-owned subsidiary Alphabet Nominees Limited on these statements). This is a different basis to the Pillar 3 sheets, which are CONSOLIDATED for FY2023-FY2024 and SOLO for FY2021-FY2022/FY2025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t>
        </is>
      </c>
    </row>
  </sheetData>
  <mergeCells count="1">
    <mergeCell ref="A25:E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ABC International Bank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See the note below for the FRS 101 exemption this entity relies on every year, and why this workbook is built as a Pillar-3-only variant.</t>
        </is>
      </c>
      <c r="B5" s="6" t="n"/>
      <c r="C5" s="6" t="n"/>
      <c r="D5" s="6" t="n"/>
      <c r="E5" s="6" t="n"/>
      <c r="F5" s="6" t="n"/>
    </row>
    <row r="7" ht="280" customHeight="1">
      <c r="A7" s="8" t="inlineStr">
        <is>
          <t>ENTITY NOTE: ABC International Bank plc (company 02564490, FRN 149025, incorporated 3 December 1990) is a wholly-owned subsidiary within the Bank ABC (Arab Banking Corporation B.S.C., Bahrain) group. FY2023 and FY2024 figures are on a CONSOLIDATED basis (ABCIB's own subsidiaries, e.g. Alphabet Nominees Limited - a nominee company, not a trading entity), taken from ABCIB's own UK KM1 Pillar 3 template. FY2021 and FY2022 figures are on a SOLO (entity-only) basis, taken from the Annual Report's 'Financial Highlights' table - no consolidated Pillar 3 KM1-format disclosure could be located for those two years (only the modern KM1 template, introduced for the FY2023 report onward, publishes a full metrics breakdown; earlier years' Pillar 3 documents could not be located on the bank's website or via Wayback Machine). This is a genuine basis break within the series, not a data-entry choice - flagged on every affected sheet.
FRS 101 CASH-FLOW EXEMPTION: ABCIB's FY2024 Annual Report states (Note 1.2, Basis of preparation): "ABCIB is not required to prepare group accounts since it qualifies for the exemptions available under Section 401 of the Companies Act 2006. In addition, there is no requirement to prepare a statement of cash flows in accordance with Financial Reporting Standard 101," and lists among the FRS 101 exemptions taken: "The requirements of IAS 7 Statement of Cash Flows." - ABC International Bank plc Annual Report 2024, p.55 - https://www.bank-abc.com/en/ShareholderRelations/Annual%20Reports/ABC%20IB%20Annual%20Report%202024%20_%20Spreads%20for%20web.pdf. No Statement of Cash Flows exists in any of the entity's published accounts for any year - this is a standing structural feature of the entity, not a one-off or a data gap. Per the project's established policy for this exemption (see The Bank of New York Mellon (International) Limited), this workbook is built as a PILLAR-3-ONLY variant: all 11 Pillar 3 metric sheets are populated below (5 years for the capital/RWA total and ratio sheets - FY2025 figures come from the FY2025 Annual Report's own Financial Highlights table, visually transcribed from a scanned filing, same as FY2021/FY2022; 4 of 5 years for Leverage Ratio/LCR/NSFR, which aren't in that table and have no separate FY2025 Pillar 3 report to draw from), but no cash flow figures exist to show. See the Overview sheet for the equivalent treatment there.</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ABC International Bank plc — Asset Quality / Credit Risk Disclosures</t>
        </is>
      </c>
    </row>
    <row r="2">
      <c r="A2" s="2" t="inlineStr">
        <is>
          <t>Loans and advances to customers only, entity (solo) basis, all figures in £'000. IFRS 9 stage breakdown; no by-product split disclosed.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 gross carrying amount by IFRS 9 stage</t>
        </is>
      </c>
      <c r="B4" s="6" t="n"/>
      <c r="C4" s="6" t="n"/>
      <c r="D4" s="6" t="n"/>
      <c r="E4" s="6" t="n"/>
      <c r="F4" s="6" t="n"/>
    </row>
    <row r="5">
      <c r="A5" s="6" t="inlineStr">
        <is>
          <t>Stage 1 (performing)</t>
        </is>
      </c>
      <c r="B5" s="6" t="n">
        <v>1508403</v>
      </c>
      <c r="C5" s="6" t="n">
        <v>1332380</v>
      </c>
      <c r="D5" s="6" t="n">
        <v>1225745</v>
      </c>
      <c r="E5" s="6" t="n">
        <v>979678</v>
      </c>
      <c r="F5" s="6" t="n">
        <v>944168</v>
      </c>
    </row>
    <row r="6">
      <c r="A6" s="6" t="inlineStr">
        <is>
          <t>Stage 2 (underperforming / SICR)</t>
        </is>
      </c>
      <c r="B6" s="6" t="n">
        <v>5752</v>
      </c>
      <c r="C6" s="6" t="n">
        <v>6075</v>
      </c>
      <c r="D6" s="6" t="n">
        <v>41723</v>
      </c>
      <c r="E6" s="6" t="n">
        <v>108221</v>
      </c>
      <c r="F6" s="6" t="n">
        <v>160564</v>
      </c>
    </row>
    <row r="7">
      <c r="A7" s="6" t="inlineStr">
        <is>
          <t>Stage 3 (credit-impaired / non-performing)</t>
        </is>
      </c>
      <c r="B7" s="6" t="n">
        <v>45704</v>
      </c>
      <c r="C7" s="6" t="n">
        <v>46882</v>
      </c>
      <c r="D7" s="6" t="n">
        <v>39868</v>
      </c>
      <c r="E7" s="6" t="n">
        <v>25547</v>
      </c>
      <c r="F7" s="6" t="n">
        <v>1311</v>
      </c>
    </row>
    <row r="8">
      <c r="A8" s="5" t="inlineStr">
        <is>
          <t>Total gross carrying amount</t>
        </is>
      </c>
      <c r="B8" s="5" t="n">
        <v>1559859</v>
      </c>
      <c r="C8" s="5" t="n">
        <v>1385337</v>
      </c>
      <c r="D8" s="5" t="n">
        <v>1307336</v>
      </c>
      <c r="E8" s="5" t="n">
        <v>1113446</v>
      </c>
      <c r="F8" s="5" t="n">
        <v>1106043</v>
      </c>
    </row>
    <row r="9">
      <c r="A9" s="5" t="inlineStr">
        <is>
          <t>Loans and advances to customers - ECL allowance by IFRS 9 stage</t>
        </is>
      </c>
      <c r="B9" s="6" t="n"/>
      <c r="C9" s="6" t="n"/>
      <c r="D9" s="6" t="n"/>
      <c r="E9" s="6" t="n"/>
      <c r="F9" s="6" t="n"/>
    </row>
    <row r="10">
      <c r="A10" s="6" t="inlineStr">
        <is>
          <t>Stage 1 ECL allowance</t>
        </is>
      </c>
      <c r="B10" s="6" t="n">
        <v>1164</v>
      </c>
      <c r="C10" s="6" t="n">
        <v>1524</v>
      </c>
      <c r="D10" s="6" t="n">
        <v>1096</v>
      </c>
      <c r="E10" s="6" t="n">
        <v>1569</v>
      </c>
      <c r="F10" s="6" t="n">
        <v>464</v>
      </c>
    </row>
    <row r="11">
      <c r="A11" s="6" t="inlineStr">
        <is>
          <t>Stage 2 ECL allowance</t>
        </is>
      </c>
      <c r="B11" s="6" t="n">
        <v>33</v>
      </c>
      <c r="C11" s="6" t="n">
        <v>9</v>
      </c>
      <c r="D11" s="6" t="n">
        <v>31</v>
      </c>
      <c r="E11" s="6" t="n">
        <v>3636</v>
      </c>
      <c r="F11" s="6" t="n">
        <v>10137</v>
      </c>
    </row>
    <row r="12">
      <c r="A12" s="6" t="inlineStr">
        <is>
          <t>Stage 3 ECL allowance</t>
        </is>
      </c>
      <c r="B12" s="6" t="n">
        <v>18141</v>
      </c>
      <c r="C12" s="6" t="n">
        <v>15172</v>
      </c>
      <c r="D12" s="6" t="n">
        <v>15875</v>
      </c>
      <c r="E12" s="6" t="n">
        <v>6469</v>
      </c>
      <c r="F12" s="6" t="n">
        <v>1311</v>
      </c>
    </row>
    <row r="13">
      <c r="A13" s="5" t="inlineStr">
        <is>
          <t>Total ECL allowance</t>
        </is>
      </c>
      <c r="B13" s="5" t="n">
        <v>19338</v>
      </c>
      <c r="C13" s="5" t="n">
        <v>16705</v>
      </c>
      <c r="D13" s="5" t="n">
        <v>17002</v>
      </c>
      <c r="E13" s="5" t="n">
        <v>11674</v>
      </c>
      <c r="F13" s="5" t="n">
        <v>11912</v>
      </c>
    </row>
    <row r="14">
      <c r="A14" s="5" t="inlineStr">
        <is>
          <t>Loans and advances to customers - net carrying amount</t>
        </is>
      </c>
      <c r="B14" s="6" t="n"/>
      <c r="C14" s="6" t="n"/>
      <c r="D14" s="6" t="n"/>
      <c r="E14" s="6" t="n"/>
      <c r="F14" s="6" t="n"/>
    </row>
    <row r="15">
      <c r="A15" s="5" t="inlineStr">
        <is>
          <t>Net carrying amount</t>
        </is>
      </c>
      <c r="B15" s="5" t="n">
        <v>1540521</v>
      </c>
      <c r="C15" s="5" t="n">
        <v>1368632</v>
      </c>
      <c r="D15" s="5" t="n">
        <v>1290334</v>
      </c>
      <c r="E15" s="5" t="n">
        <v>1101772</v>
      </c>
      <c r="F15" s="5" t="n">
        <v>1094131</v>
      </c>
    </row>
    <row r="16">
      <c r="A16" s="5" t="inlineStr">
        <is>
          <t>Derived ratios</t>
        </is>
      </c>
      <c r="B16" s="6" t="n"/>
      <c r="C16" s="6" t="n"/>
      <c r="D16" s="6" t="n"/>
      <c r="E16" s="6" t="n"/>
      <c r="F16" s="6" t="n"/>
    </row>
    <row r="17">
      <c r="A17" s="6" t="inlineStr">
        <is>
          <t>Stage 3 / NPL ratio (Stage 3 gross / total gross)</t>
        </is>
      </c>
      <c r="B17" s="6" t="inlineStr">
        <is>
          <t>2.93%</t>
        </is>
      </c>
      <c r="C17" s="6" t="inlineStr">
        <is>
          <t>3.38%</t>
        </is>
      </c>
      <c r="D17" s="6" t="inlineStr">
        <is>
          <t>3.05%</t>
        </is>
      </c>
      <c r="E17" s="6" t="inlineStr">
        <is>
          <t>2.29%</t>
        </is>
      </c>
      <c r="F17" s="6" t="inlineStr">
        <is>
          <t>0.12%</t>
        </is>
      </c>
    </row>
    <row r="18">
      <c r="A18" s="6" t="inlineStr">
        <is>
          <t>Stage 3 coverage ratio (Stage 3 ECL / Stage 3 gross)</t>
        </is>
      </c>
      <c r="B18" s="6" t="inlineStr">
        <is>
          <t>39.69%</t>
        </is>
      </c>
      <c r="C18" s="6" t="inlineStr">
        <is>
          <t>32.36%</t>
        </is>
      </c>
      <c r="D18" s="6" t="inlineStr">
        <is>
          <t>39.82%</t>
        </is>
      </c>
      <c r="E18" s="6" t="inlineStr">
        <is>
          <t>25.32%</t>
        </is>
      </c>
      <c r="F18" s="6" t="inlineStr">
        <is>
          <t>100.00%</t>
        </is>
      </c>
    </row>
    <row r="19">
      <c r="A19" s="6" t="inlineStr">
        <is>
          <t>Overall ECL coverage ratio (Total ECL / Total gross)</t>
        </is>
      </c>
      <c r="B19" s="6" t="inlineStr">
        <is>
          <t>1.24%</t>
        </is>
      </c>
      <c r="C19" s="6" t="inlineStr">
        <is>
          <t>1.21%</t>
        </is>
      </c>
      <c r="D19" s="6" t="inlineStr">
        <is>
          <t>1.30%</t>
        </is>
      </c>
      <c r="E19" s="6" t="inlineStr">
        <is>
          <t>1.05%</t>
        </is>
      </c>
      <c r="F19" s="6" t="inlineStr">
        <is>
          <t>1.08%</t>
        </is>
      </c>
    </row>
    <row r="21" ht="150" customHeight="1">
      <c r="A21" s="8" t="inlineStr">
        <is>
          <t>Sources - ABC International Bank plc:
FY2025 IFRS 9 stage roll-forward: ABC International Bank plc Annual Report 2025, Note 11 (Loans and advances to customers), p.62 (scanned filing, visually transcribed) - https://find-and-update.company-information.service.gov.uk/company/02564490/filing-history
FY2023-FY2024 IFRS 9 stage roll-forward: ABC International Bank plc Annual Report 2024, Note 11 (Loans and advances to customers), p.76-77 - https://www.bank-abc.com/en/ShareholderRelations/Annual%20Reports/ABC%20IB%20Annual%20Report%202024%20_%20Spreads%20for%20web.pdf
FY2021-FY2022 IFRS 9 stage roll-forward: ABC International Bank plc Annual Report 2022, Note 11, p.87-89 - https://www.bank-abc.com/en/ShareholderRelations/Annual%20Reports/ABCIB%20Annual%20Report%202022.pdf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is the only trace of the wholly-owned subsidiary Alphabet Nominees Limited on these statements). This is a different basis to the Pillar 3 sheets, which are CONSOLIDATED for FY2023-FY2024 and SOLO for FY2021-FY2022/FY2025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PRESENTATION NOTE: No by-product breakdown of the loan book is disclosed (a single 'Loans and advances to customers' line only) - only the IFRS 9 stage 1/2/3 breakdown, shown here. Ratios are calculated from the disclosed gross carrying amount and ECL allowance figures. FY2025's Stage 1/Stage 3 gross figures include £60.5m/£1.5m of credit enhancements via export credit agency guarantee respectively (per the Annual Report's own footnote) - shown gross, as disclosed, not netted down.</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469.8</v>
      </c>
      <c r="C4" s="6" t="n">
        <v>564.579</v>
      </c>
      <c r="D4" s="6" t="n">
        <v>547.665</v>
      </c>
      <c r="E4" s="6" t="n">
        <v>416.5</v>
      </c>
      <c r="F4" s="6" t="n">
        <v>418.8</v>
      </c>
    </row>
    <row r="5" ht="60" customHeight="1">
      <c r="A5" s="7" t="inlineStr">
        <is>
          <t>Note: FY2025/FY2022/FY2021 are calculated (RWA x Tier 1 ratio, all solo basis) - no separate CET1/Tier 1 £m figure is disclosed for those years, only the ratio and total 'Capital base'. Assumes CET1 = Tier 1 (no AT1 instruments in issue), consistent with the pattern directly confirmed in FY2023-FY2024.</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FY2023-FY2024 shown on a CONSOLIDATED basis (ABCIB Pillar 3 Disclosures, UK KM1 template); FY2021-FY2022 and FY2025 shown on a SOLO basis (Annual Report Financial Highlights table - no consolidated Pillar 3 disclosure located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FY2021/FY2022 - see the CET1 Capital sheet note. No Leverage Ratio, LCR or NSFR figure appears in the FY2025 Financial Highlights table (same gap as FY2021/FY2022), and no separate FY2025 Pillar 3 report could be located, so those 3 sheets remain FY2021-blank/FY2024-only as before.</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15.0%</t>
        </is>
      </c>
      <c r="C4" s="6" t="inlineStr">
        <is>
          <t>16.2%</t>
        </is>
      </c>
      <c r="D4" s="6" t="inlineStr">
        <is>
          <t>17.6%</t>
        </is>
      </c>
      <c r="E4" s="6" t="inlineStr">
        <is>
          <t>17.0%</t>
        </is>
      </c>
      <c r="F4" s="6" t="inlineStr">
        <is>
          <t>16.7%</t>
        </is>
      </c>
    </row>
    <row r="5" ht="60" customHeight="1">
      <c r="A5" s="7" t="inlineStr">
        <is>
          <t>Note: FY2023 shown as originally reported (17.6%, consolidated); the FY2024 Pillar 3 Report's FY2023 comparative column restates this to 17.7% alongside a small RWA restatement (see Total RWAs sheet) - immaterial, but shown as originally reported per this project's convention. FY2022/FY2021/FY2025 labelled 'Tier 1 Capital Ratio' (a.k.a. 'Risk asset ratio - Tier 1') in the source (solo basis) - assumed equal to CET1 ratio, see CET1 Capital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FY2023-FY2024 shown on a CONSOLIDATED basis (ABCIB Pillar 3 Disclosures, UK KM1 template); FY2021-FY2022 and FY2025 shown on a SOLO basis (Annual Report Financial Highlights table - no consolidated Pillar 3 disclosure located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FY2021/FY2022 - see the CET1 Capital sheet note. No Leverage Ratio, LCR or NSFR figure appears in the FY2025 Financial Highlights table (same gap as FY2021/FY2022), and no separate FY2025 Pillar 3 report could be located, so those 3 sheets remain FY2021-blank/FY2024-only as before.</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469.8</v>
      </c>
      <c r="C4" s="6" t="n">
        <v>564.579</v>
      </c>
      <c r="D4" s="6" t="n">
        <v>547.665</v>
      </c>
      <c r="E4" s="6" t="n">
        <v>416.5</v>
      </c>
      <c r="F4" s="6" t="n">
        <v>418.8</v>
      </c>
    </row>
    <row r="5" ht="60" customHeight="1">
      <c r="A5" s="7" t="inlineStr">
        <is>
          <t>Note: Tier 1 = CET1 every year (no AT1 instruments in issue). FY2025/FY2022/FY2021 calculated - see CET1 Capital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FY2023-FY2024 shown on a CONSOLIDATED basis (ABCIB Pillar 3 Disclosures, UK KM1 template); FY2021-FY2022 and FY2025 shown on a SOLO basis (Annual Report Financial Highlights table - no consolidated Pillar 3 disclosure located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FY2021/FY2022 - see the CET1 Capital sheet note. No Leverage Ratio, LCR or NSFR figure appears in the FY2025 Financial Highlights table (same gap as FY2021/FY2022), and no separate FY2025 Pillar 3 report could be located, so those 3 sheets remain FY2021-blank/FY2024-only as before.</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15.0%</t>
        </is>
      </c>
      <c r="C4" s="6" t="inlineStr">
        <is>
          <t>16.2%</t>
        </is>
      </c>
      <c r="D4" s="6" t="inlineStr">
        <is>
          <t>17.6%</t>
        </is>
      </c>
      <c r="E4" s="6" t="inlineStr">
        <is>
          <t>17.0%</t>
        </is>
      </c>
      <c r="F4" s="6" t="inlineStr">
        <is>
          <t>16.7%</t>
        </is>
      </c>
    </row>
    <row r="5" ht="60" customHeight="1">
      <c r="A5" s="7" t="inlineStr">
        <is>
          <t>Note: FY2023 shown as originally reported (consolidated) - see CET1 Ratio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FY2023-FY2024 shown on a CONSOLIDATED basis (ABCIB Pillar 3 Disclosures, UK KM1 template); FY2021-FY2022 and FY2025 shown on a SOLO basis (Annual Report Financial Highlights table - no consolidated Pillar 3 disclosure located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FY2021/FY2022 - see the CET1 Capital sheet note. No Leverage Ratio, LCR or NSFR figure appears in the FY2025 Financial Highlights table (same gap as FY2021/FY2022), and no separate FY2025 Pillar 3 report could be located, so those 3 sheets remain FY2021-blank/FY2024-only as before.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517</v>
      </c>
      <c r="C4" s="6" t="n">
        <v>616.448</v>
      </c>
      <c r="D4" s="6" t="n">
        <v>598.7859999999999</v>
      </c>
      <c r="E4" s="6" t="n">
        <v>447</v>
      </c>
      <c r="F4" s="6" t="n">
        <v>460</v>
      </c>
    </row>
    <row r="5" ht="60" customHeight="1">
      <c r="A5" s="7" t="inlineStr">
        <is>
          <t>Note: FY2022/FY2021/FY2025 ('Capital base') and FY2023-FY2024 ('Total capital') are directly disclosed, not calculated.</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FY2023-FY2024 shown on a CONSOLIDATED basis (ABCIB Pillar 3 Disclosures, UK KM1 template); FY2021-FY2022 and FY2025 shown on a SOLO basis (Annual Report Financial Highlights table - no consolidated Pillar 3 disclosure located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FY2021/FY2022 - see the CET1 Capital sheet note. No Leverage Ratio, LCR or NSFR figure appears in the FY2025 Financial Highlights table (same gap as FY2021/FY2022), and no separate FY2025 Pillar 3 report could be located, so those 3 sheets remain FY2021-blank/FY2024-only as before.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16.5%</t>
        </is>
      </c>
      <c r="C4" s="6" t="inlineStr">
        <is>
          <t>17.7%</t>
        </is>
      </c>
      <c r="D4" s="6" t="inlineStr">
        <is>
          <t>19.3%</t>
        </is>
      </c>
      <c r="E4" s="6" t="inlineStr">
        <is>
          <t>18.2%</t>
        </is>
      </c>
      <c r="F4" s="6" t="inlineStr">
        <is>
          <t>18.3%</t>
        </is>
      </c>
    </row>
    <row r="5" ht="60" customHeight="1">
      <c r="A5" s="7" t="inlineStr">
        <is>
          <t>Note: FY2025 labelled 'Risk asset ratio - Total' in the Financial Highlights table.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FY2023-FY2024 shown on a CONSOLIDATED basis (ABCIB Pillar 3 Disclosures, UK KM1 template); FY2021-FY2022 and FY2025 shown on a SOLO basis (Annual Report Financial Highlights table - no consolidated Pillar 3 disclosure located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FY2021/FY2022 - see the CET1 Capital sheet note. No Leverage Ratio, LCR or NSFR figure appears in the FY2025 Financial Highlights table (same gap as FY2021/FY2022), and no separate FY2025 Pillar 3 report could be located, so those 3 sheets remain FY2021-blank/FY2024-only as before.</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3132</v>
      </c>
      <c r="C4" s="6" t="n">
        <v>3486.256</v>
      </c>
      <c r="D4" s="6" t="n">
        <v>3104.763</v>
      </c>
      <c r="E4" s="6" t="n">
        <v>2450</v>
      </c>
      <c r="F4" s="6" t="n">
        <v>2508</v>
      </c>
    </row>
    <row r="5" ht="60" customHeight="1">
      <c r="A5" s="7" t="inlineStr">
        <is>
          <t>Note: FY2023 shown as originally reported (consolidated, 3,104.763m); the FY2024 Pillar 3 Report's FY2023 comparative column restates this to 3,101.197m - immaterial (~0.1%), shown as originally reported per this project's convention. FY2025 (3,132m, solo basis, Financial Highlights table 'Risk weighted assets') is genuinely lower than FY2024's consolidated 3,486.256m - a basis effect (solo excludes Alphabet Nominees Limited), not a real risk reduction; see BASIS_NOTE.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FY2023-FY2024 shown on a CONSOLIDATED basis (ABCIB Pillar 3 Disclosures, UK KM1 template); FY2021-FY2022 and FY2025 shown on a SOLO basis (Annual Report Financial Highlights table - no consolidated Pillar 3 disclosure located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FY2021/FY2022 - see the CET1 Capital sheet note. No Leverage Ratio, LCR or NSFR figure appears in the FY2025 Financial Highlights table (same gap as FY2021/FY2022), and no separate FY2025 Pillar 3 report could be located, so those 3 sheets remain FY2021-blank/FY2024-only as before.</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ABC International Bank plc — RWA Breakdown</t>
        </is>
      </c>
    </row>
    <row r="2">
      <c r="A2" s="2" t="inlineStr">
        <is>
          <t>CONSOLIDATED basis, all figures in £'000. Matches the Total RWAs sheet.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 (CONSOLIDATED)</t>
        </is>
      </c>
      <c r="B4" s="6" t="n"/>
      <c r="C4" s="6" t="n"/>
      <c r="D4" s="6" t="n"/>
      <c r="E4" s="6" t="n"/>
      <c r="F4" s="6" t="n"/>
    </row>
    <row r="5">
      <c r="A5" s="6" t="inlineStr">
        <is>
          <t>Credit risk (excluding CCR)</t>
        </is>
      </c>
      <c r="B5" s="6" t="n"/>
      <c r="C5" s="6" t="n">
        <v>3198514</v>
      </c>
      <c r="D5" s="6" t="n">
        <v>2842771</v>
      </c>
      <c r="E5" s="6" t="n"/>
      <c r="F5" s="6" t="n"/>
    </row>
    <row r="6">
      <c r="A6" s="6" t="inlineStr">
        <is>
          <t>Counterparty credit risk (CCR)</t>
        </is>
      </c>
      <c r="B6" s="6" t="n"/>
      <c r="C6" s="6" t="n">
        <v>45144</v>
      </c>
      <c r="D6" s="6" t="n">
        <v>55407</v>
      </c>
      <c r="E6" s="6" t="n"/>
      <c r="F6" s="6" t="n"/>
    </row>
    <row r="7">
      <c r="A7" s="6" t="inlineStr">
        <is>
          <t>Of which: credit valuation adjustment (CVA)</t>
        </is>
      </c>
      <c r="B7" s="6" t="n"/>
      <c r="C7" s="6" t="n">
        <v>10131</v>
      </c>
      <c r="D7" s="6" t="n">
        <v>11788</v>
      </c>
      <c r="E7" s="6" t="n"/>
      <c r="F7" s="6" t="n"/>
    </row>
    <row r="8">
      <c r="A8" s="6" t="inlineStr">
        <is>
          <t>Position, foreign exchange and commodities risks (Market risk)</t>
        </is>
      </c>
      <c r="B8" s="6" t="n"/>
      <c r="C8" s="6" t="n">
        <v>14469</v>
      </c>
      <c r="D8" s="6" t="n">
        <v>5670</v>
      </c>
      <c r="E8" s="6" t="n"/>
      <c r="F8" s="6" t="n"/>
    </row>
    <row r="9">
      <c r="A9" s="6" t="inlineStr">
        <is>
          <t>Operational risk</t>
        </is>
      </c>
      <c r="B9" s="6" t="n"/>
      <c r="C9" s="6" t="n">
        <v>217998</v>
      </c>
      <c r="D9" s="6" t="n">
        <v>185561</v>
      </c>
      <c r="E9" s="6" t="n"/>
      <c r="F9" s="6" t="n"/>
    </row>
    <row r="10">
      <c r="A10" s="5" t="inlineStr">
        <is>
          <t>Total risk weighted exposure amount</t>
        </is>
      </c>
      <c r="B10" s="5" t="n"/>
      <c r="C10" s="5" t="n">
        <v>3486256</v>
      </c>
      <c r="D10" s="5" t="n">
        <v>3101197</v>
      </c>
      <c r="E10" s="5" t="n"/>
      <c r="F10" s="5" t="n"/>
    </row>
    <row r="12" ht="150" customHeight="1">
      <c r="A12" s="8" t="inlineStr">
        <is>
          <t>Sources - ABC International Bank plc (CONSOLIDATED basis, matching the Total RWAs sheet):
FY2024 &amp; FY2023 (FY2023 as originally reported by the FY2024 report's own comparative column - no separate OV1 breakdown exists in ABCIB's own FY2023 Pillar 3 Disclosures document, which only carries Table 3's single Total RWA figure, not a category breakdown): ABC International Bank plc Pillar 3 Report 2024, Table "UK OV1 - Overview of risk weighted exposure amounts", ABCIB CONSOLIDATED, p.14 - https://www.bank-abc.com/en/CountrySites/Europe/London/Financial-Info/Basel%20Pillars/ABCIB%20Pillar%203%20final%20Board%202024%20.pdf
FY2022, FY2021 &amp; FY2025: not available - no OV1-format RWA category breakdown exists for these years, only the single Total RWA figure in the Annual Report's Financial Highlights table (see Total RWAs sheet). No separate FY2025 Pillar 3 report could be located on ABCIB's website.</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(£m)</t>
        </is>
      </c>
      <c r="B4" s="6" t="n"/>
      <c r="C4" s="6" t="n">
        <v>5540.164</v>
      </c>
      <c r="D4" s="6" t="n">
        <v>5155.039</v>
      </c>
      <c r="E4" s="6" t="n"/>
      <c r="F4" s="6" t="n"/>
    </row>
    <row r="5">
      <c r="A5" s="6" t="inlineStr">
        <is>
          <t>Leverage ratio excluding claims on central banks (%)</t>
        </is>
      </c>
      <c r="B5" s="6" t="n"/>
      <c r="C5" s="6" t="inlineStr">
        <is>
          <t>10.2%</t>
        </is>
      </c>
      <c r="D5" s="6" t="inlineStr">
        <is>
          <t>10.62%</t>
        </is>
      </c>
      <c r="E5" s="6" t="n"/>
      <c r="F5" s="6" t="n"/>
    </row>
    <row r="6" ht="60" customHeight="1">
      <c r="A6" s="7" t="inlineStr">
        <is>
          <t>Note: FY2022/FY2021/FY2025 not available - the Annual Report Financial Highlights table (the only source located for those years) does not include a leverage ratio.</t>
        </is>
      </c>
    </row>
    <row r="8" ht="150" customHeight="1">
      <c r="A8"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FY2023-FY2024 shown on a CONSOLIDATED basis (ABCIB Pillar 3 Disclosures, UK KM1 template); FY2021-FY2022 and FY2025 shown on a SOLO basis (Annual Report Financial Highlights table - no consolidated Pillar 3 disclosure located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FY2021/FY2022 - see the CET1 Capital sheet note. No Leverage Ratio, LCR or NSFR figure appears in the FY2025 Financial Highlights table (same gap as FY2021/FY2022), and no separate FY2025 Pillar 3 report could be located, so those 3 sheets remain FY2021-blank/FY2024-only as before.</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 (£m)</t>
        </is>
      </c>
      <c r="B4" s="6" t="n"/>
      <c r="C4" s="6" t="n">
        <v>854.893</v>
      </c>
      <c r="D4" s="6" t="n">
        <v>699.862</v>
      </c>
      <c r="E4" s="6" t="n"/>
      <c r="F4" s="6" t="n"/>
    </row>
    <row r="5">
      <c r="A5" s="6" t="inlineStr">
        <is>
          <t>Total net cash outflows, adjusted value (£m)</t>
        </is>
      </c>
      <c r="B5" s="6" t="n"/>
      <c r="C5" s="6" t="n">
        <v>252.133</v>
      </c>
      <c r="D5" s="6" t="n">
        <v>189.675</v>
      </c>
      <c r="E5" s="6" t="n"/>
      <c r="F5" s="6" t="n"/>
    </row>
    <row r="6">
      <c r="A6" s="6" t="inlineStr">
        <is>
          <t>Liquidity Coverage Ratio (%)</t>
        </is>
      </c>
      <c r="B6" s="6" t="n"/>
      <c r="C6" s="6" t="inlineStr">
        <is>
          <t>339.1%</t>
        </is>
      </c>
      <c r="D6" s="6" t="inlineStr">
        <is>
          <t>369.0%</t>
        </is>
      </c>
      <c r="E6" s="6" t="n"/>
      <c r="F6" s="6" t="n"/>
    </row>
    <row r="7" ht="60" customHeight="1">
      <c r="A7" s="7" t="inlineStr">
        <is>
          <t>Note: FY2023 LCR is sourced from the FY2024 Pillar 3 Report's comparative column - ABCIB's own FY2023 Pillar 3 Disclosures document (Table 3) does not include LCR at all (only capital and leverage metrics). FY2022/FY2021/FY2025 not available.</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FY2023-FY2024 shown on a CONSOLIDATED basis (ABCIB Pillar 3 Disclosures, UK KM1 template); FY2021-FY2022 and FY2025 shown on a SOLO basis (Annual Report Financial Highlights table - no consolidated Pillar 3 disclosure located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FY2021/FY2022 - see the CET1 Capital sheet note. No Leverage Ratio, LCR or NSFR figure appears in the FY2025 Financial Highlights table (same gap as FY2021/FY2022), and no separate FY2025 Pillar 3 report could be located, so those 3 sheets remain FY2021-blank/FY2024-only as before.</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(£m)</t>
        </is>
      </c>
      <c r="B4" s="6" t="n"/>
      <c r="C4" s="6" t="n">
        <v>2339.367</v>
      </c>
      <c r="D4" s="6" t="n">
        <v>2053.004</v>
      </c>
      <c r="E4" s="6" t="n"/>
      <c r="F4" s="6" t="n"/>
    </row>
    <row r="5">
      <c r="A5" s="6" t="inlineStr">
        <is>
          <t>Total required stable funding (£m)</t>
        </is>
      </c>
      <c r="B5" s="6" t="n"/>
      <c r="C5" s="6" t="n">
        <v>1802.627</v>
      </c>
      <c r="D5" s="6" t="n">
        <v>1504.583</v>
      </c>
      <c r="E5" s="6" t="n"/>
      <c r="F5" s="6" t="n"/>
    </row>
    <row r="6">
      <c r="A6" s="6" t="inlineStr">
        <is>
          <t>Net Stable Funding Ratio (%)</t>
        </is>
      </c>
      <c r="B6" s="6" t="n"/>
      <c r="C6" s="6" t="inlineStr">
        <is>
          <t>129.8%</t>
        </is>
      </c>
      <c r="D6" s="6" t="inlineStr">
        <is>
          <t>136.4%</t>
        </is>
      </c>
      <c r="E6" s="6" t="n"/>
      <c r="F6" s="6" t="n"/>
    </row>
    <row r="7" ht="60" customHeight="1">
      <c r="A7" s="7" t="inlineStr">
        <is>
          <t>Note: FY2023 NSFR is sourced from the FY2024 Pillar 3 Report's comparative column - same reason as the LCR sheet. FY2022/FY2021/FY2025 not available.</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FY2023-FY2024 shown on a CONSOLIDATED basis (ABCIB Pillar 3 Disclosures, UK KM1 template); FY2021-FY2022 and FY2025 shown on a SOLO basis (Annual Report Financial Highlights table - no consolidated Pillar 3 disclosure located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FY2021/FY2022 - see the CET1 Capital sheet note. No Leverage Ratio, LCR or NSFR figure appears in the FY2025 Financial Highlights table (same gap as FY2021/FY2022), and no separate FY2025 Pillar 3 report could be located, so those 3 sheets remain FY2021-blank/FY2024-only as before.</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figure (numeric or qualitative) appears in either Pillar 3 Report reviewed for this entity - no reason is stated. ABCIB's balance sheet size (~£3.5-4.3bn) is well below the thresholds at which the Bank of England typically sets an independent MREL requirement, consistent with no disclosure existing.</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FY2025 (solo): ABC International Bank plc Annual Report 2025, Financial Highlights, p.20 (scanned Companies House filing, visually transcribed) - https://find-and-update.company-information.service.gov.uk/company/02564490/filing-history
FY2023-FY2024 shown on a CONSOLIDATED basis (ABCIB Pillar 3 Disclosures, UK KM1 template); FY2021-FY2022 and FY2025 shown on a SOLO basis (Annual Report Financial Highlights table - no consolidated Pillar 3 disclosure located for those years). See the Cash Flow Statement sheet's entity note for detail. FY2025's Financial Highlights table (Total RWA £3,132m, Capital base £517m, Tier 1 ratio 15.0%, Total ratio 16.5%) does not split CET1 from Tier 1, so CET1/Tier 1 capital £m figures for FY2025 are CALCULATED (RWA x Tier 1 ratio), same convention as FY2021/FY2022 - see the CET1 Capital sheet note. No Leverage Ratio, LCR or NSFR figure appears in the FY2025 Financial Highlights table (same gap as FY2021/FY2022), and no separate FY2025 Pillar 3 report could be located, so those 3 sheets remain FY2021-blank/FY2024-only as before.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2026-09-02T16:12:25Z</dcterms:created>
  <dcterms:modified xmlns:dcterms="http://purl.org/dc/terms/" xmlns:xsi="http://www.w3.org/2001/XMLSchema-instance" xsi:type="dcterms:W3CDTF">2026-09-02T16:12:25Z</dcterms:modified>
</cp:coreProperties>
</file>