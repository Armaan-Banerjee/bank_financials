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90062"/>
        <bgColor rgb="0039006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Cambridge &amp; Counties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1898633</v>
      </c>
      <c r="C6" s="5" t="n">
        <v>1581735</v>
      </c>
      <c r="D6" s="5" t="n">
        <v>1450722</v>
      </c>
      <c r="E6" s="5" t="n">
        <v>1376545</v>
      </c>
      <c r="F6" s="5" t="n">
        <v>1274871</v>
      </c>
      <c r="I6" t="inlineStr">
        <is>
          <t>Total assets</t>
        </is>
      </c>
      <c r="J6" t="n">
        <v>1274871</v>
      </c>
      <c r="K6" t="n">
        <v>1376545</v>
      </c>
      <c r="L6" t="n">
        <v>1450722</v>
      </c>
      <c r="M6" t="n">
        <v>1581735</v>
      </c>
      <c r="N6" t="n">
        <v>1898633</v>
      </c>
      <c r="AO6" t="inlineStr">
        <is>
          <t>CET1 Ratio</t>
        </is>
      </c>
      <c r="AP6" t="n">
        <v>19.86</v>
      </c>
      <c r="AQ6" t="n">
        <v>20.7</v>
      </c>
      <c r="AR6" t="n">
        <v>22.67</v>
      </c>
      <c r="AS6" t="n">
        <v>21.75</v>
      </c>
      <c r="AT6" t="n">
        <v>19.2</v>
      </c>
    </row>
    <row r="7">
      <c r="A7" s="5" t="inlineStr">
        <is>
          <t>Loans and advances to customers</t>
        </is>
      </c>
      <c r="B7" s="5" t="n">
        <v>1446075</v>
      </c>
      <c r="C7" s="5" t="n">
        <v>1204444</v>
      </c>
      <c r="D7" s="5" t="n">
        <v>1083278</v>
      </c>
      <c r="E7" s="5" t="n">
        <v>1037710</v>
      </c>
      <c r="F7" s="5" t="n">
        <v>977834</v>
      </c>
      <c r="I7" t="inlineStr">
        <is>
          <t>Loans and advances to customers</t>
        </is>
      </c>
      <c r="J7" t="n">
        <v>977834</v>
      </c>
      <c r="K7" t="n">
        <v>1037710</v>
      </c>
      <c r="L7" t="n">
        <v>1083278</v>
      </c>
      <c r="M7" t="n">
        <v>1204444</v>
      </c>
      <c r="N7" t="n">
        <v>1446075</v>
      </c>
      <c r="AO7" t="inlineStr">
        <is>
          <t>Tier 1 Ratio</t>
        </is>
      </c>
      <c r="AP7" t="n">
        <v>23</v>
      </c>
      <c r="AQ7" t="n">
        <v>23.61</v>
      </c>
      <c r="AR7" t="n">
        <v>25.4</v>
      </c>
      <c r="AS7" t="n">
        <v>24.09</v>
      </c>
      <c r="AT7" t="n">
        <v>21.3</v>
      </c>
    </row>
    <row r="8">
      <c r="A8" s="5" t="inlineStr">
        <is>
          <t>Customers' accounts</t>
        </is>
      </c>
      <c r="B8" s="5" t="n">
        <v>1633601</v>
      </c>
      <c r="C8" s="5" t="n">
        <v>1271824</v>
      </c>
      <c r="D8" s="5" t="n">
        <v>1155224</v>
      </c>
      <c r="E8" s="5" t="n">
        <v>1103256</v>
      </c>
      <c r="F8" s="5" t="n">
        <v>1025520</v>
      </c>
      <c r="I8" t="inlineStr">
        <is>
          <t>Customers' accounts</t>
        </is>
      </c>
      <c r="J8" t="n">
        <v>1025520</v>
      </c>
      <c r="K8" t="n">
        <v>1103256</v>
      </c>
      <c r="L8" t="n">
        <v>1155224</v>
      </c>
      <c r="M8" t="n">
        <v>1271824</v>
      </c>
      <c r="N8" t="n">
        <v>1633601</v>
      </c>
      <c r="AO8" t="inlineStr">
        <is>
          <t>Total Capital Ratio</t>
        </is>
      </c>
      <c r="AP8" t="n">
        <v>23</v>
      </c>
      <c r="AQ8" t="n">
        <v>23.61</v>
      </c>
      <c r="AR8" t="n">
        <v>25.99</v>
      </c>
      <c r="AS8" t="n">
        <v>24.6</v>
      </c>
      <c r="AT8" t="n">
        <v>21.7</v>
      </c>
    </row>
    <row r="9">
      <c r="A9" s="5" t="inlineStr">
        <is>
          <t>Total equity</t>
        </is>
      </c>
      <c r="B9" s="5" t="n">
        <v>248643</v>
      </c>
      <c r="C9" s="5" t="n">
        <v>240084</v>
      </c>
      <c r="D9" s="5" t="n">
        <v>214778</v>
      </c>
      <c r="E9" s="5" t="n">
        <v>184846</v>
      </c>
      <c r="F9" s="5" t="n">
        <v>163817</v>
      </c>
      <c r="I9" t="inlineStr">
        <is>
          <t>Total equity</t>
        </is>
      </c>
      <c r="J9" t="n">
        <v>163817</v>
      </c>
      <c r="K9" t="n">
        <v>184846</v>
      </c>
      <c r="L9" t="n">
        <v>214778</v>
      </c>
      <c r="M9" t="n">
        <v>240084</v>
      </c>
      <c r="N9" t="n">
        <v>248643</v>
      </c>
      <c r="AO9" t="inlineStr">
        <is>
          <t>Leverage Ratio</t>
        </is>
      </c>
      <c r="AP9" t="n">
        <v>12.9</v>
      </c>
      <c r="AQ9" t="n">
        <v>13.92</v>
      </c>
      <c r="AR9" t="n">
        <v>14.88</v>
      </c>
      <c r="AS9" t="n">
        <v>14.71</v>
      </c>
    </row>
    <row r="10">
      <c r="AO10" t="inlineStr">
        <is>
          <t>LCR</t>
        </is>
      </c>
      <c r="AP10" t="n">
        <v>287</v>
      </c>
      <c r="AQ10" t="n">
        <v>315</v>
      </c>
      <c r="AR10" t="n">
        <v>519</v>
      </c>
      <c r="AS10" t="n">
        <v>605</v>
      </c>
      <c r="AT10" t="n">
        <v>587</v>
      </c>
    </row>
    <row r="11">
      <c r="A11" s="3" t="inlineStr">
        <is>
          <t>Profit &amp; Loss Summary (£'000)</t>
        </is>
      </c>
      <c r="AO11" t="inlineStr">
        <is>
          <t>NSFR</t>
        </is>
      </c>
      <c r="AQ11" t="n">
        <v>131</v>
      </c>
      <c r="AR11" t="n">
        <v>136</v>
      </c>
      <c r="AS11" t="n">
        <v>136</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71216</v>
      </c>
      <c r="C13" s="5" t="n">
        <v>73601</v>
      </c>
      <c r="D13" s="5" t="n">
        <v>76404</v>
      </c>
      <c r="E13" s="5" t="n">
        <v>59252</v>
      </c>
      <c r="F13" s="5" t="n">
        <v>44950</v>
      </c>
      <c r="Q13" t="inlineStr">
        <is>
          <t>Total operating income</t>
        </is>
      </c>
      <c r="R13" t="n">
        <v>44950</v>
      </c>
      <c r="S13" t="n">
        <v>59252</v>
      </c>
      <c r="T13" t="n">
        <v>76404</v>
      </c>
      <c r="U13" t="n">
        <v>73601</v>
      </c>
      <c r="V13" t="n">
        <v>71216</v>
      </c>
    </row>
    <row r="14">
      <c r="A14" s="5" t="inlineStr">
        <is>
          <t>Administrative expenses</t>
        </is>
      </c>
      <c r="B14" s="5" t="n">
        <v>-32390</v>
      </c>
      <c r="C14" s="5" t="n">
        <v>-31772</v>
      </c>
      <c r="D14" s="5" t="n">
        <v>-27287</v>
      </c>
      <c r="E14" s="5" t="n">
        <v>-25034</v>
      </c>
      <c r="F14" s="5" t="n">
        <v>-21965</v>
      </c>
      <c r="Q14" t="inlineStr">
        <is>
          <t>Administrative expenses</t>
        </is>
      </c>
      <c r="R14" t="n">
        <v>-21965</v>
      </c>
      <c r="S14" t="n">
        <v>-25034</v>
      </c>
      <c r="T14" t="n">
        <v>-27287</v>
      </c>
      <c r="U14" t="n">
        <v>-31772</v>
      </c>
      <c r="V14" t="n">
        <v>-32390</v>
      </c>
    </row>
    <row r="15">
      <c r="A15" s="5" t="inlineStr">
        <is>
          <t>Profit after tax</t>
        </is>
      </c>
      <c r="B15" s="5" t="n">
        <v>30492</v>
      </c>
      <c r="C15" s="5" t="n">
        <v>27663</v>
      </c>
      <c r="D15" s="5" t="n">
        <v>31290</v>
      </c>
      <c r="E15" s="5" t="n">
        <v>23202</v>
      </c>
      <c r="F15" s="5" t="n">
        <v>15466</v>
      </c>
      <c r="Q15" t="inlineStr">
        <is>
          <t>Profit after tax</t>
        </is>
      </c>
      <c r="R15" t="n">
        <v>15466</v>
      </c>
      <c r="S15" t="n">
        <v>23202</v>
      </c>
      <c r="T15" t="n">
        <v>31290</v>
      </c>
      <c r="U15" t="n">
        <v>27663</v>
      </c>
      <c r="V15" t="n">
        <v>30492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240084</v>
      </c>
      <c r="C19" s="5" t="n">
        <v>214778</v>
      </c>
      <c r="D19" s="5" t="n">
        <v>184846</v>
      </c>
      <c r="E19" s="5" t="n">
        <v>163817</v>
      </c>
      <c r="F19" s="5" t="n"/>
      <c r="Y19" t="inlineStr">
        <is>
          <t>Opening equity</t>
        </is>
      </c>
      <c r="AA19" t="n">
        <v>163817</v>
      </c>
      <c r="AB19" t="n">
        <v>184846</v>
      </c>
      <c r="AC19" t="n">
        <v>214778</v>
      </c>
      <c r="AD19" t="n">
        <v>240084</v>
      </c>
    </row>
    <row r="20">
      <c r="A20" s="5" t="inlineStr">
        <is>
          <t>Total comprehensive income for the year</t>
        </is>
      </c>
      <c r="B20" s="5" t="n">
        <v>30843</v>
      </c>
      <c r="C20" s="5" t="n">
        <v>27765</v>
      </c>
      <c r="D20" s="5" t="n">
        <v>32123</v>
      </c>
      <c r="E20" s="5" t="n">
        <v>22468</v>
      </c>
      <c r="F20" s="5" t="n">
        <v>14965</v>
      </c>
      <c r="Y20" t="inlineStr">
        <is>
          <t>Total comprehensive income for the year</t>
        </is>
      </c>
      <c r="Z20" t="n">
        <v>14965</v>
      </c>
      <c r="AA20" t="n">
        <v>22468</v>
      </c>
      <c r="AB20" t="n">
        <v>32123</v>
      </c>
      <c r="AC20" t="n">
        <v>27765</v>
      </c>
      <c r="AD20" t="n">
        <v>30843</v>
      </c>
    </row>
    <row r="21">
      <c r="A21" s="5" t="inlineStr">
        <is>
          <t>Other equity movements, net</t>
        </is>
      </c>
      <c r="B21" s="5" t="n">
        <v>-22284</v>
      </c>
      <c r="C21" s="5" t="n">
        <v>-2459</v>
      </c>
      <c r="D21" s="5" t="n">
        <v>-2191</v>
      </c>
      <c r="E21" s="5" t="n">
        <v>-1439</v>
      </c>
      <c r="F21" s="5" t="n">
        <v>-1283</v>
      </c>
      <c r="Y21" t="inlineStr">
        <is>
          <t>Other equity movements, net</t>
        </is>
      </c>
      <c r="Z21" t="n">
        <v>-1283</v>
      </c>
      <c r="AA21" t="n">
        <v>-1439</v>
      </c>
      <c r="AB21" t="n">
        <v>-2191</v>
      </c>
      <c r="AC21" t="n">
        <v>-2459</v>
      </c>
      <c r="AD21" t="n">
        <v>-22284</v>
      </c>
    </row>
    <row r="22">
      <c r="A22" s="5" t="inlineStr">
        <is>
          <t>Closing equity</t>
        </is>
      </c>
      <c r="B22" s="5" t="n">
        <v>248643</v>
      </c>
      <c r="C22" s="5" t="n">
        <v>240084</v>
      </c>
      <c r="D22" s="5" t="n">
        <v>214778</v>
      </c>
      <c r="E22" s="5" t="n">
        <v>184846</v>
      </c>
      <c r="F22" s="5" t="n">
        <v>163817</v>
      </c>
      <c r="Y22" t="inlineStr">
        <is>
          <t>Closing equity</t>
        </is>
      </c>
      <c r="Z22" t="n">
        <v>163817</v>
      </c>
      <c r="AA22" t="n">
        <v>184846</v>
      </c>
      <c r="AB22" t="n">
        <v>214778</v>
      </c>
      <c r="AC22" t="n">
        <v>240084</v>
      </c>
      <c r="AD22" t="n">
        <v>248643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98255</v>
      </c>
      <c r="C26" s="5" t="n">
        <v>13542</v>
      </c>
      <c r="D26" s="5" t="n">
        <v>26342</v>
      </c>
      <c r="E26" s="5" t="n">
        <v>45314</v>
      </c>
      <c r="F26" s="5" t="n">
        <v>53825</v>
      </c>
      <c r="AG26" t="inlineStr">
        <is>
          <t>Net cash generated from operating activities</t>
        </is>
      </c>
      <c r="AH26" t="n">
        <v>53825</v>
      </c>
      <c r="AI26" t="n">
        <v>45314</v>
      </c>
      <c r="AJ26" t="n">
        <v>26342</v>
      </c>
      <c r="AK26" t="n">
        <v>13542</v>
      </c>
      <c r="AL26" t="n">
        <v>98255</v>
      </c>
    </row>
    <row r="27">
      <c r="A27" s="5" t="inlineStr">
        <is>
          <t>Net cash (used in)/generated from investing activities</t>
        </is>
      </c>
      <c r="B27" s="5" t="n">
        <v>-87372</v>
      </c>
      <c r="C27" s="5" t="n">
        <v>-18987</v>
      </c>
      <c r="D27" s="5" t="n">
        <v>-16474</v>
      </c>
      <c r="E27" s="5" t="n">
        <v>4285</v>
      </c>
      <c r="F27" s="5" t="n">
        <v>-740</v>
      </c>
      <c r="AG27" t="inlineStr">
        <is>
          <t>Net cash (used in)/generated from investing activities</t>
        </is>
      </c>
      <c r="AH27" t="n">
        <v>-740</v>
      </c>
      <c r="AI27" t="n">
        <v>4285</v>
      </c>
      <c r="AJ27" t="n">
        <v>-16474</v>
      </c>
      <c r="AK27" t="n">
        <v>-18987</v>
      </c>
      <c r="AL27" t="n">
        <v>-87372</v>
      </c>
    </row>
    <row r="28">
      <c r="A28" s="5" t="inlineStr">
        <is>
          <t>Net cash (used in)/generated from financing activities</t>
        </is>
      </c>
      <c r="B28" s="5" t="n">
        <v>-22284</v>
      </c>
      <c r="C28" s="5" t="n">
        <v>-2459</v>
      </c>
      <c r="D28" s="5" t="n">
        <v>2413</v>
      </c>
      <c r="E28" s="5" t="n">
        <v>-1439</v>
      </c>
      <c r="F28" s="5" t="n">
        <v>-1283</v>
      </c>
      <c r="AG28" t="inlineStr">
        <is>
          <t>Net cash (used in)/generated from financing activities</t>
        </is>
      </c>
      <c r="AH28" t="n">
        <v>-1283</v>
      </c>
      <c r="AI28" t="n">
        <v>-1439</v>
      </c>
      <c r="AJ28" t="n">
        <v>2413</v>
      </c>
      <c r="AK28" t="n">
        <v>-2459</v>
      </c>
      <c r="AL28" t="n">
        <v>-22284</v>
      </c>
    </row>
    <row r="29">
      <c r="A29" s="5" t="inlineStr">
        <is>
          <t>Cash and cash equivalents at 31 December</t>
        </is>
      </c>
      <c r="B29" s="5" t="n">
        <v>293588</v>
      </c>
      <c r="C29" s="5" t="n">
        <v>304989</v>
      </c>
      <c r="D29" s="5" t="n">
        <v>312893</v>
      </c>
      <c r="E29" s="5" t="n">
        <v>300611</v>
      </c>
      <c r="F29" s="5" t="n">
        <v>252451</v>
      </c>
      <c r="AG29" t="inlineStr">
        <is>
          <t>Cash and cash equivalents at 31 December</t>
        </is>
      </c>
      <c r="AH29" t="n">
        <v>252451</v>
      </c>
      <c r="AI29" t="n">
        <v>300611</v>
      </c>
      <c r="AJ29" t="n">
        <v>312893</v>
      </c>
      <c r="AK29" t="n">
        <v>304989</v>
      </c>
      <c r="AL29" t="n">
        <v>293588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19.2%</t>
        </is>
      </c>
      <c r="C33" s="6" t="inlineStr">
        <is>
          <t>21.75%</t>
        </is>
      </c>
      <c r="D33" s="6" t="inlineStr">
        <is>
          <t>22.67%</t>
        </is>
      </c>
      <c r="E33" s="6" t="inlineStr">
        <is>
          <t>20.70%</t>
        </is>
      </c>
      <c r="F33" s="6" t="inlineStr">
        <is>
          <t>19.86%</t>
        </is>
      </c>
    </row>
    <row r="34">
      <c r="A34" s="6" t="inlineStr">
        <is>
          <t>Tier 1 Ratio</t>
        </is>
      </c>
      <c r="B34" s="6" t="inlineStr">
        <is>
          <t>21.3%</t>
        </is>
      </c>
      <c r="C34" s="6" t="inlineStr">
        <is>
          <t>24.09%</t>
        </is>
      </c>
      <c r="D34" s="6" t="inlineStr">
        <is>
          <t>25.40%</t>
        </is>
      </c>
      <c r="E34" s="6" t="inlineStr">
        <is>
          <t>23.61%</t>
        </is>
      </c>
      <c r="F34" s="6" t="inlineStr">
        <is>
          <t>23.00%</t>
        </is>
      </c>
    </row>
    <row r="35">
      <c r="A35" s="6" t="inlineStr">
        <is>
          <t>Total Capital Ratio</t>
        </is>
      </c>
      <c r="B35" s="6" t="inlineStr">
        <is>
          <t>21.7%</t>
        </is>
      </c>
      <c r="C35" s="6" t="inlineStr">
        <is>
          <t>24.60%</t>
        </is>
      </c>
      <c r="D35" s="6" t="inlineStr">
        <is>
          <t>25.99%</t>
        </is>
      </c>
      <c r="E35" s="6" t="inlineStr">
        <is>
          <t>23.61%</t>
        </is>
      </c>
      <c r="F35" s="6" t="inlineStr">
        <is>
          <t>23.00%</t>
        </is>
      </c>
    </row>
    <row r="36">
      <c r="A36" s="6" t="inlineStr">
        <is>
          <t>Leverage Ratio</t>
        </is>
      </c>
      <c r="B36" s="6" t="n"/>
      <c r="C36" s="6" t="inlineStr">
        <is>
          <t>14.71%</t>
        </is>
      </c>
      <c r="D36" s="6" t="inlineStr">
        <is>
          <t>14.88%</t>
        </is>
      </c>
      <c r="E36" s="6" t="inlineStr">
        <is>
          <t>13.92%</t>
        </is>
      </c>
      <c r="F36" s="6" t="inlineStr">
        <is>
          <t>12.90%</t>
        </is>
      </c>
    </row>
    <row r="37">
      <c r="A37" s="6" t="inlineStr">
        <is>
          <t>LCR</t>
        </is>
      </c>
      <c r="B37" s="6" t="inlineStr">
        <is>
          <t>587%</t>
        </is>
      </c>
      <c r="C37" s="6" t="inlineStr">
        <is>
          <t>605%</t>
        </is>
      </c>
      <c r="D37" s="6" t="inlineStr">
        <is>
          <t>519%</t>
        </is>
      </c>
      <c r="E37" s="6" t="inlineStr">
        <is>
          <t>315%</t>
        </is>
      </c>
      <c r="F37" s="6" t="inlineStr">
        <is>
          <t>287%</t>
        </is>
      </c>
    </row>
    <row r="38">
      <c r="A38" s="6" t="inlineStr">
        <is>
          <t>NSFR</t>
        </is>
      </c>
      <c r="B38" s="6" t="n"/>
      <c r="C38" s="6" t="inlineStr">
        <is>
          <t>136%</t>
        </is>
      </c>
      <c r="D38" s="6" t="inlineStr">
        <is>
          <t>136%</t>
        </is>
      </c>
      <c r="E38" s="6" t="inlineStr">
        <is>
          <t>131%</t>
        </is>
      </c>
      <c r="F38" s="6" t="n"/>
    </row>
    <row r="40" ht="45" customHeight="1">
      <c r="A40" s="7" t="inlineStr">
        <is>
          <t>Note: Figures are duplicated from the detail sheets for at-a-glance trend viewing; see each sheet's own source citation for the underlying document/page. See the RWA and Leverage caveats on the Total RWAs and Leverage Ratio sheets before treating year-on-year moves in those two series as fully comparable.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Balance Sheet</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282554</v>
      </c>
      <c r="C5" s="6" t="n">
        <v>292850</v>
      </c>
      <c r="D5" s="6" t="n">
        <v>302473</v>
      </c>
      <c r="E5" s="6" t="n">
        <v>286680</v>
      </c>
      <c r="F5" s="6" t="n">
        <v>240158</v>
      </c>
    </row>
    <row r="6">
      <c r="A6" s="6" t="inlineStr">
        <is>
          <t>Loans and advances to banks</t>
        </is>
      </c>
      <c r="B6" s="6" t="n">
        <v>11034</v>
      </c>
      <c r="C6" s="6" t="n">
        <v>12139</v>
      </c>
      <c r="D6" s="6" t="n">
        <v>10420</v>
      </c>
      <c r="E6" s="6" t="n">
        <v>13931</v>
      </c>
      <c r="F6" s="6" t="n">
        <v>12293</v>
      </c>
    </row>
    <row r="7">
      <c r="A7" s="6" t="inlineStr">
        <is>
          <t>Debt securities</t>
        </is>
      </c>
      <c r="B7" s="6" t="n">
        <v>151065</v>
      </c>
      <c r="C7" s="6" t="n">
        <v>65137</v>
      </c>
      <c r="D7" s="6" t="n">
        <v>47409</v>
      </c>
      <c r="E7" s="6" t="n">
        <v>30412</v>
      </c>
      <c r="F7" s="6" t="n">
        <v>37137</v>
      </c>
    </row>
    <row r="8">
      <c r="A8" s="6" t="inlineStr">
        <is>
          <t>Loans and advances to customers</t>
        </is>
      </c>
      <c r="B8" s="6" t="n">
        <v>1446075</v>
      </c>
      <c r="C8" s="6" t="n">
        <v>1204444</v>
      </c>
      <c r="D8" s="6" t="n">
        <v>1083278</v>
      </c>
      <c r="E8" s="6" t="n">
        <v>1037710</v>
      </c>
      <c r="F8" s="6" t="n">
        <v>977834</v>
      </c>
    </row>
    <row r="9">
      <c r="A9" s="6" t="inlineStr">
        <is>
          <t>Derivative financial assets</t>
        </is>
      </c>
      <c r="B9" s="6" t="n">
        <v>0</v>
      </c>
      <c r="C9" s="6" t="n">
        <v>149</v>
      </c>
      <c r="D9" s="6" t="n">
        <v>0</v>
      </c>
      <c r="E9" s="6" t="n"/>
      <c r="F9" s="6" t="n"/>
    </row>
    <row r="10">
      <c r="A10" s="6" t="inlineStr">
        <is>
          <t>Other assets and prepayments</t>
        </is>
      </c>
      <c r="B10" s="6" t="n">
        <v>1534</v>
      </c>
      <c r="C10" s="6" t="n">
        <v>1443</v>
      </c>
      <c r="D10" s="6" t="n">
        <v>2526</v>
      </c>
      <c r="E10" s="6" t="n">
        <v>2573</v>
      </c>
      <c r="F10" s="6" t="n">
        <v>2091</v>
      </c>
    </row>
    <row r="11">
      <c r="A11" s="6" t="inlineStr">
        <is>
          <t>Property, plant and equipment</t>
        </is>
      </c>
      <c r="B11" s="6" t="n">
        <v>1398</v>
      </c>
      <c r="C11" s="6" t="n">
        <v>1700</v>
      </c>
      <c r="D11" s="6" t="n">
        <v>2026</v>
      </c>
      <c r="E11" s="6" t="n">
        <v>2366</v>
      </c>
      <c r="F11" s="6" t="n">
        <v>2587</v>
      </c>
    </row>
    <row r="12">
      <c r="A12" s="6" t="inlineStr">
        <is>
          <t>Intangible assets</t>
        </is>
      </c>
      <c r="B12" s="6" t="n">
        <v>3089</v>
      </c>
      <c r="C12" s="6" t="n">
        <v>2277</v>
      </c>
      <c r="D12" s="6" t="n">
        <v>1869</v>
      </c>
      <c r="E12" s="6" t="n">
        <v>1774</v>
      </c>
      <c r="F12" s="6" t="n">
        <v>1589</v>
      </c>
    </row>
    <row r="13">
      <c r="A13" s="6" t="inlineStr">
        <is>
          <t>Current tax asset</t>
        </is>
      </c>
      <c r="B13" s="6" t="n">
        <v>1276</v>
      </c>
      <c r="C13" s="6" t="n">
        <v>689</v>
      </c>
      <c r="D13" s="6" t="n">
        <v>0</v>
      </c>
      <c r="E13" s="6" t="n">
        <v>0</v>
      </c>
      <c r="F13" s="6" t="n">
        <v>407</v>
      </c>
    </row>
    <row r="14">
      <c r="A14" s="6" t="inlineStr">
        <is>
          <t>Deferred tax asset</t>
        </is>
      </c>
      <c r="B14" s="6" t="n">
        <v>608</v>
      </c>
      <c r="C14" s="6" t="n">
        <v>907</v>
      </c>
      <c r="D14" s="6" t="n">
        <v>721</v>
      </c>
      <c r="E14" s="6" t="n">
        <v>1099</v>
      </c>
      <c r="F14" s="6" t="n">
        <v>775</v>
      </c>
    </row>
    <row r="15">
      <c r="A15" s="5" t="inlineStr">
        <is>
          <t>Total assets</t>
        </is>
      </c>
      <c r="B15" s="5" t="n">
        <v>1898633</v>
      </c>
      <c r="C15" s="5" t="n">
        <v>1581735</v>
      </c>
      <c r="D15" s="5" t="n">
        <v>1450722</v>
      </c>
      <c r="E15" s="5" t="n">
        <v>1376545</v>
      </c>
      <c r="F15" s="5" t="n">
        <v>1274871</v>
      </c>
    </row>
    <row r="16">
      <c r="A16" s="5" t="inlineStr">
        <is>
          <t>Liabilities</t>
        </is>
      </c>
      <c r="B16" s="6" t="n"/>
      <c r="C16" s="6" t="n"/>
      <c r="D16" s="6" t="n"/>
      <c r="E16" s="6" t="n"/>
      <c r="F16" s="6" t="n"/>
    </row>
    <row r="17">
      <c r="A17" s="6" t="inlineStr">
        <is>
          <t>Customers' accounts</t>
        </is>
      </c>
      <c r="B17" s="6" t="n">
        <v>1633601</v>
      </c>
      <c r="C17" s="6" t="n">
        <v>1271824</v>
      </c>
      <c r="D17" s="6" t="n">
        <v>1155224</v>
      </c>
      <c r="E17" s="6" t="n">
        <v>1103256</v>
      </c>
      <c r="F17" s="6" t="n">
        <v>1025520</v>
      </c>
    </row>
    <row r="18">
      <c r="A18" s="6" t="inlineStr">
        <is>
          <t>Central Bank facilities</t>
        </is>
      </c>
      <c r="B18" s="6" t="n">
        <v>0</v>
      </c>
      <c r="C18" s="6" t="n">
        <v>55000</v>
      </c>
      <c r="D18" s="6" t="n">
        <v>65000</v>
      </c>
      <c r="E18" s="6" t="n">
        <v>78000</v>
      </c>
      <c r="F18" s="6" t="n">
        <v>78000</v>
      </c>
    </row>
    <row r="19">
      <c r="A19" s="6" t="inlineStr">
        <is>
          <t>Subordinated debt liability</t>
        </is>
      </c>
      <c r="B19" s="6" t="n">
        <v>4840</v>
      </c>
      <c r="C19" s="6" t="n">
        <v>4800</v>
      </c>
      <c r="D19" s="6" t="n">
        <v>4751</v>
      </c>
      <c r="E19" s="6" t="n"/>
      <c r="F19" s="6" t="n"/>
    </row>
    <row r="20">
      <c r="A20" s="6" t="inlineStr">
        <is>
          <t>Derivative financial liabilities</t>
        </is>
      </c>
      <c r="B20" s="6" t="n">
        <v>3087</v>
      </c>
      <c r="C20" s="6" t="n">
        <v>0</v>
      </c>
      <c r="D20" s="6" t="n">
        <v>652</v>
      </c>
      <c r="E20" s="6" t="n">
        <v>1010</v>
      </c>
      <c r="F20" s="6" t="n">
        <v>254</v>
      </c>
    </row>
    <row r="21">
      <c r="A21" s="6" t="inlineStr">
        <is>
          <t>Provisions</t>
        </is>
      </c>
      <c r="B21" s="6" t="n">
        <v>0</v>
      </c>
      <c r="C21" s="6" t="n">
        <v>750</v>
      </c>
      <c r="D21" s="6" t="n"/>
      <c r="E21" s="6" t="n"/>
      <c r="F21" s="6" t="n"/>
    </row>
    <row r="22">
      <c r="A22" s="6" t="inlineStr">
        <is>
          <t>Other liabilities and accruals</t>
        </is>
      </c>
      <c r="B22" s="6" t="n">
        <v>8462</v>
      </c>
      <c r="C22" s="6" t="n">
        <v>9277</v>
      </c>
      <c r="D22" s="6" t="n">
        <v>9628</v>
      </c>
      <c r="E22" s="6" t="n">
        <v>9107</v>
      </c>
      <c r="F22" s="6" t="n">
        <v>7280</v>
      </c>
    </row>
    <row r="23">
      <c r="A23" s="6" t="inlineStr">
        <is>
          <t>Current tax liability</t>
        </is>
      </c>
      <c r="B23" s="6" t="n">
        <v>0</v>
      </c>
      <c r="C23" s="6" t="n">
        <v>0</v>
      </c>
      <c r="D23" s="6" t="n">
        <v>689</v>
      </c>
      <c r="E23" s="6" t="n">
        <v>326</v>
      </c>
      <c r="F23" s="6" t="n">
        <v>0</v>
      </c>
    </row>
    <row r="24">
      <c r="A24" s="5" t="inlineStr">
        <is>
          <t>Total liabilities</t>
        </is>
      </c>
      <c r="B24" s="5" t="n">
        <v>1649990</v>
      </c>
      <c r="C24" s="5" t="n">
        <v>1341651</v>
      </c>
      <c r="D24" s="5" t="n">
        <v>1235944</v>
      </c>
      <c r="E24" s="5" t="n">
        <v>1191699</v>
      </c>
      <c r="F24" s="5" t="n">
        <v>1111054</v>
      </c>
    </row>
    <row r="25">
      <c r="A25" s="5" t="inlineStr">
        <is>
          <t>Equity</t>
        </is>
      </c>
      <c r="B25" s="6" t="n"/>
      <c r="C25" s="6" t="n"/>
      <c r="D25" s="6" t="n"/>
      <c r="E25" s="6" t="n"/>
      <c r="F25" s="6" t="n"/>
    </row>
    <row r="26">
      <c r="A26" s="6" t="inlineStr">
        <is>
          <t>Share capital</t>
        </is>
      </c>
      <c r="B26" s="6" t="n">
        <v>44955</v>
      </c>
      <c r="C26" s="6" t="n">
        <v>44955</v>
      </c>
      <c r="D26" s="6" t="n">
        <v>44955</v>
      </c>
      <c r="E26" s="6" t="n">
        <v>44955</v>
      </c>
      <c r="F26" s="6" t="n">
        <v>44955</v>
      </c>
    </row>
    <row r="27">
      <c r="A27" s="6" t="inlineStr">
        <is>
          <t>Contingent convertible loan notes</t>
        </is>
      </c>
      <c r="B27" s="6" t="n">
        <v>22900</v>
      </c>
      <c r="C27" s="6" t="n">
        <v>22900</v>
      </c>
      <c r="D27" s="6" t="n">
        <v>22900</v>
      </c>
      <c r="E27" s="6" t="n">
        <v>22900</v>
      </c>
      <c r="F27" s="6" t="n">
        <v>22900</v>
      </c>
    </row>
    <row r="28">
      <c r="A28" s="6" t="inlineStr">
        <is>
          <t>Fair value through other comprehensive income reserve</t>
        </is>
      </c>
      <c r="B28" s="6" t="n">
        <v>77</v>
      </c>
      <c r="C28" s="6" t="n">
        <v>-274</v>
      </c>
      <c r="D28" s="6" t="n">
        <v>-376</v>
      </c>
      <c r="E28" s="6" t="n">
        <v>-1209</v>
      </c>
      <c r="F28" s="6" t="n">
        <v>-475</v>
      </c>
    </row>
    <row r="29">
      <c r="A29" s="6" t="inlineStr">
        <is>
          <t>Retained earnings</t>
        </is>
      </c>
      <c r="B29" s="6" t="n">
        <v>180711</v>
      </c>
      <c r="C29" s="6" t="n">
        <v>172503</v>
      </c>
      <c r="D29" s="6" t="n">
        <v>147299</v>
      </c>
      <c r="E29" s="6" t="n">
        <v>118200</v>
      </c>
      <c r="F29" s="6" t="n">
        <v>96437</v>
      </c>
    </row>
    <row r="30">
      <c r="A30" s="5" t="inlineStr">
        <is>
          <t>Total equity</t>
        </is>
      </c>
      <c r="B30" s="5" t="n">
        <v>248643</v>
      </c>
      <c r="C30" s="5" t="n">
        <v>240084</v>
      </c>
      <c r="D30" s="5" t="n">
        <v>214778</v>
      </c>
      <c r="E30" s="5" t="n">
        <v>184846</v>
      </c>
      <c r="F30" s="5" t="n">
        <v>163817</v>
      </c>
    </row>
    <row r="31">
      <c r="A31" s="5" t="inlineStr">
        <is>
          <t>Total liabilities and equity</t>
        </is>
      </c>
      <c r="B31" s="5" t="n">
        <v>1898633</v>
      </c>
      <c r="C31" s="5" t="n">
        <v>1581735</v>
      </c>
      <c r="D31" s="5" t="n">
        <v>1450722</v>
      </c>
      <c r="E31" s="5" t="n">
        <v>1376545</v>
      </c>
      <c r="F31" s="5" t="n">
        <v>1274871</v>
      </c>
    </row>
    <row r="33" ht="260" customHeight="1">
      <c r="A33"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Profit &amp; Loss</t>
        </is>
      </c>
    </row>
    <row r="2">
      <c r="A2" s="2" t="inlineStr">
        <is>
          <t>Bank-only basis (no subsidiaries), £'000. All profit for the year arises from continuing operations.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 calculated using the effective interest rate</t>
        </is>
      </c>
      <c r="B5" s="6" t="n">
        <v>130181</v>
      </c>
      <c r="C5" s="6" t="n">
        <v>128313</v>
      </c>
      <c r="D5" s="6" t="n">
        <v>116023</v>
      </c>
      <c r="E5" s="6" t="n">
        <v>75977</v>
      </c>
      <c r="F5" s="6" t="n">
        <v>55335</v>
      </c>
    </row>
    <row r="6">
      <c r="A6" s="6" t="inlineStr">
        <is>
          <t>Interest expense</t>
        </is>
      </c>
      <c r="B6" s="6" t="n">
        <v>-59341</v>
      </c>
      <c r="C6" s="6" t="n">
        <v>-54838</v>
      </c>
      <c r="D6" s="6" t="n">
        <v>-40172</v>
      </c>
      <c r="E6" s="6" t="n">
        <v>-16753</v>
      </c>
      <c r="F6" s="6" t="n">
        <v>-10408</v>
      </c>
    </row>
    <row r="7">
      <c r="A7" s="5" t="inlineStr">
        <is>
          <t>Net interest income</t>
        </is>
      </c>
      <c r="B7" s="5" t="n">
        <v>70840</v>
      </c>
      <c r="C7" s="5" t="n">
        <v>73475</v>
      </c>
      <c r="D7" s="5" t="n">
        <v>75851</v>
      </c>
      <c r="E7" s="5" t="n">
        <v>59224</v>
      </c>
      <c r="F7" s="5" t="n">
        <v>44927</v>
      </c>
    </row>
    <row r="8">
      <c r="A8" s="6" t="inlineStr">
        <is>
          <t>Other income</t>
        </is>
      </c>
      <c r="B8" s="6" t="n">
        <v>376</v>
      </c>
      <c r="C8" s="6" t="n">
        <v>126</v>
      </c>
      <c r="D8" s="6" t="n">
        <v>553</v>
      </c>
      <c r="E8" s="6" t="n">
        <v>28</v>
      </c>
      <c r="F8" s="6" t="n">
        <v>23</v>
      </c>
    </row>
    <row r="9">
      <c r="A9" s="5" t="inlineStr">
        <is>
          <t>Total operating income</t>
        </is>
      </c>
      <c r="B9" s="5" t="n">
        <v>71216</v>
      </c>
      <c r="C9" s="5" t="n">
        <v>73601</v>
      </c>
      <c r="D9" s="5" t="n">
        <v>76404</v>
      </c>
      <c r="E9" s="5" t="n">
        <v>59252</v>
      </c>
      <c r="F9" s="5" t="n">
        <v>44950</v>
      </c>
    </row>
    <row r="10">
      <c r="A10" s="5" t="inlineStr">
        <is>
          <t>Expenses</t>
        </is>
      </c>
      <c r="B10" s="6" t="n"/>
      <c r="C10" s="6" t="n"/>
      <c r="D10" s="6" t="n"/>
      <c r="E10" s="6" t="n"/>
      <c r="F10" s="6" t="n"/>
    </row>
    <row r="11">
      <c r="A11" s="6" t="inlineStr">
        <is>
          <t>Administrative expenses</t>
        </is>
      </c>
      <c r="B11" s="6" t="n">
        <v>-32390</v>
      </c>
      <c r="C11" s="6" t="n">
        <v>-31772</v>
      </c>
      <c r="D11" s="6" t="n">
        <v>-27287</v>
      </c>
      <c r="E11" s="6" t="n">
        <v>-25034</v>
      </c>
      <c r="F11" s="6" t="n">
        <v>-21965</v>
      </c>
    </row>
    <row r="12">
      <c r="A12" s="6" t="inlineStr">
        <is>
          <t>Depreciation and amortisation</t>
        </is>
      </c>
      <c r="B12" s="6" t="n">
        <v>-1122</v>
      </c>
      <c r="C12" s="6" t="n">
        <v>-1077</v>
      </c>
      <c r="D12" s="6" t="n">
        <v>-944</v>
      </c>
      <c r="E12" s="6" t="n">
        <v>-906</v>
      </c>
      <c r="F12" s="6" t="n">
        <v>-971</v>
      </c>
    </row>
    <row r="13">
      <c r="A13" s="5" t="inlineStr">
        <is>
          <t>Operating profit before impairment losses</t>
        </is>
      </c>
      <c r="B13" s="5" t="n">
        <v>37704</v>
      </c>
      <c r="C13" s="5" t="n">
        <v>40752</v>
      </c>
      <c r="D13" s="5" t="n">
        <v>48173</v>
      </c>
      <c r="E13" s="5" t="n">
        <v>33312</v>
      </c>
      <c r="F13" s="5" t="n">
        <v>22014</v>
      </c>
    </row>
    <row r="14">
      <c r="A14" s="6" t="inlineStr">
        <is>
          <t>Impairment release/(losses) on loans and advances to customers</t>
        </is>
      </c>
      <c r="B14" s="6" t="n">
        <v>1967</v>
      </c>
      <c r="C14" s="6" t="n">
        <v>-4932</v>
      </c>
      <c r="D14" s="6" t="n">
        <v>-7263</v>
      </c>
      <c r="E14" s="6" t="n">
        <v>-4773</v>
      </c>
      <c r="F14" s="6" t="n">
        <v>-3524</v>
      </c>
    </row>
    <row r="15">
      <c r="A15" s="5" t="inlineStr">
        <is>
          <t>Profit before tax</t>
        </is>
      </c>
      <c r="B15" s="5" t="n">
        <v>39671</v>
      </c>
      <c r="C15" s="5" t="n">
        <v>35820</v>
      </c>
      <c r="D15" s="5" t="n">
        <v>40910</v>
      </c>
      <c r="E15" s="5" t="n">
        <v>28539</v>
      </c>
      <c r="F15" s="5" t="n">
        <v>18490</v>
      </c>
    </row>
    <row r="16">
      <c r="A16" s="6" t="inlineStr">
        <is>
          <t>Taxation charge</t>
        </is>
      </c>
      <c r="B16" s="6" t="n">
        <v>-9179</v>
      </c>
      <c r="C16" s="6" t="n">
        <v>-8157</v>
      </c>
      <c r="D16" s="6" t="n">
        <v>-9620</v>
      </c>
      <c r="E16" s="6" t="n">
        <v>-5337</v>
      </c>
      <c r="F16" s="6" t="n">
        <v>-3024</v>
      </c>
    </row>
    <row r="17">
      <c r="A17" s="5" t="inlineStr">
        <is>
          <t>Profit after tax</t>
        </is>
      </c>
      <c r="B17" s="5" t="n">
        <v>30492</v>
      </c>
      <c r="C17" s="5" t="n">
        <v>27663</v>
      </c>
      <c r="D17" s="5" t="n">
        <v>31290</v>
      </c>
      <c r="E17" s="5" t="n">
        <v>23202</v>
      </c>
      <c r="F17" s="5" t="n">
        <v>15466</v>
      </c>
    </row>
    <row r="18">
      <c r="A18" s="5" t="inlineStr">
        <is>
          <t>Other comprehensive income</t>
        </is>
      </c>
      <c r="B18" s="6" t="n"/>
      <c r="C18" s="6" t="n"/>
      <c r="D18" s="6" t="n"/>
      <c r="E18" s="6" t="n"/>
      <c r="F18" s="6" t="n"/>
    </row>
    <row r="19">
      <c r="A19" s="6" t="inlineStr">
        <is>
          <t>Fair value movements taken to reserves</t>
        </is>
      </c>
      <c r="B19" s="6" t="n">
        <v>455</v>
      </c>
      <c r="C19" s="6" t="n">
        <v>150</v>
      </c>
      <c r="D19" s="6" t="n">
        <v>1111</v>
      </c>
      <c r="E19" s="6" t="n">
        <v>-1233</v>
      </c>
      <c r="F19" s="6" t="n">
        <v>-411</v>
      </c>
    </row>
    <row r="20">
      <c r="A20" s="6" t="inlineStr">
        <is>
          <t>Taxation</t>
        </is>
      </c>
      <c r="B20" s="6" t="n">
        <v>-104</v>
      </c>
      <c r="C20" s="6" t="n">
        <v>-48</v>
      </c>
      <c r="D20" s="6" t="n">
        <v>-278</v>
      </c>
      <c r="E20" s="6" t="n">
        <v>499</v>
      </c>
      <c r="F20" s="6" t="n">
        <v>-90</v>
      </c>
    </row>
    <row r="21">
      <c r="A21" s="5" t="inlineStr">
        <is>
          <t>Total other comprehensive income/(expense), net of tax</t>
        </is>
      </c>
      <c r="B21" s="5" t="n">
        <v>351</v>
      </c>
      <c r="C21" s="5" t="n">
        <v>102</v>
      </c>
      <c r="D21" s="5" t="n">
        <v>833</v>
      </c>
      <c r="E21" s="5" t="n">
        <v>-734</v>
      </c>
      <c r="F21" s="5" t="n">
        <v>-501</v>
      </c>
    </row>
    <row r="22">
      <c r="A22" s="5" t="inlineStr">
        <is>
          <t>Total comprehensive income attributable to owners of the Bank</t>
        </is>
      </c>
      <c r="B22" s="5" t="n">
        <v>30843</v>
      </c>
      <c r="C22" s="5" t="n">
        <v>27765</v>
      </c>
      <c r="D22" s="5" t="n">
        <v>32123</v>
      </c>
      <c r="E22" s="5" t="n">
        <v>22468</v>
      </c>
      <c r="F22" s="5" t="n">
        <v>14965</v>
      </c>
    </row>
    <row r="24" ht="260" customHeight="1">
      <c r="A24"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24:F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Statement of Changes in Equity</t>
        </is>
      </c>
    </row>
    <row r="2">
      <c r="A2" s="2" t="inlineStr">
        <is>
          <t>Bank-only basis (no subsidiaries), £'000, chronological (oldest to newest). All totals reconcile exactly, no plug rows needed (real audited data). See source note at bottom.</t>
        </is>
      </c>
    </row>
    <row r="3">
      <c r="A3" s="4" t="inlineStr">
        <is>
          <t>Movement</t>
        </is>
      </c>
      <c r="B3" s="4" t="inlineStr">
        <is>
          <t>Share capital</t>
        </is>
      </c>
      <c r="C3" s="4" t="inlineStr">
        <is>
          <t>Contingent convertible loan notes</t>
        </is>
      </c>
      <c r="D3" s="4" t="inlineStr">
        <is>
          <t>FVOCI reserve</t>
        </is>
      </c>
      <c r="E3" s="4" t="inlineStr">
        <is>
          <t>Retained earnings</t>
        </is>
      </c>
      <c r="F3" s="4" t="inlineStr">
        <is>
          <t>Total</t>
        </is>
      </c>
    </row>
    <row r="4">
      <c r="A4" s="5" t="inlineStr">
        <is>
          <t>At 1 January 2021</t>
        </is>
      </c>
      <c r="B4" s="5" t="n">
        <v>44955</v>
      </c>
      <c r="C4" s="5" t="n">
        <v>22900</v>
      </c>
      <c r="D4" s="5" t="n">
        <v>26</v>
      </c>
      <c r="E4" s="5" t="n">
        <v>82254</v>
      </c>
      <c r="F4" s="5" t="n">
        <v>150135</v>
      </c>
    </row>
    <row r="5">
      <c r="A5" s="6" t="inlineStr">
        <is>
          <t>Profit for the year</t>
        </is>
      </c>
      <c r="B5" s="6" t="n"/>
      <c r="C5" s="6" t="n"/>
      <c r="D5" s="6" t="n"/>
      <c r="E5" s="6" t="n">
        <v>15466</v>
      </c>
      <c r="F5" s="6" t="n">
        <v>15466</v>
      </c>
    </row>
    <row r="6">
      <c r="A6" s="6" t="inlineStr">
        <is>
          <t>Other comprehensive expense</t>
        </is>
      </c>
      <c r="B6" s="6" t="n"/>
      <c r="C6" s="6" t="n"/>
      <c r="D6" s="6" t="n">
        <v>-501</v>
      </c>
      <c r="E6" s="6" t="n"/>
      <c r="F6" s="6" t="n">
        <v>-501</v>
      </c>
    </row>
    <row r="7">
      <c r="A7" s="6" t="inlineStr">
        <is>
          <t>Total comprehensive income for the period (FY2021)</t>
        </is>
      </c>
      <c r="B7" s="6" t="n"/>
      <c r="C7" s="6" t="n"/>
      <c r="D7" s="6" t="n">
        <v>-501</v>
      </c>
      <c r="E7" s="6" t="n">
        <v>15466</v>
      </c>
      <c r="F7" s="6" t="n">
        <v>14965</v>
      </c>
    </row>
    <row r="8">
      <c r="A8" s="6" t="inlineStr">
        <is>
          <t>Convertible loan note interest</t>
        </is>
      </c>
      <c r="B8" s="6" t="n"/>
      <c r="C8" s="6" t="n"/>
      <c r="D8" s="6" t="n"/>
      <c r="E8" s="6" t="n">
        <v>-1283</v>
      </c>
      <c r="F8" s="6" t="n">
        <v>-1283</v>
      </c>
    </row>
    <row r="9">
      <c r="A9" s="5" t="inlineStr">
        <is>
          <t>At 31 December 2021</t>
        </is>
      </c>
      <c r="B9" s="5" t="n">
        <v>44955</v>
      </c>
      <c r="C9" s="5" t="n">
        <v>22900</v>
      </c>
      <c r="D9" s="5" t="n">
        <v>-475</v>
      </c>
      <c r="E9" s="5" t="n">
        <v>96437</v>
      </c>
      <c r="F9" s="5" t="n">
        <v>163817</v>
      </c>
    </row>
    <row r="10">
      <c r="A10" s="6" t="inlineStr">
        <is>
          <t>Total comprehensive income for the period (FY2022)</t>
        </is>
      </c>
      <c r="B10" s="6" t="n"/>
      <c r="C10" s="6" t="n"/>
      <c r="D10" s="6" t="n">
        <v>-734</v>
      </c>
      <c r="E10" s="6" t="n">
        <v>23202</v>
      </c>
      <c r="F10" s="6" t="n">
        <v>22468</v>
      </c>
    </row>
    <row r="11">
      <c r="A11" s="6" t="inlineStr">
        <is>
          <t>Convertible loan note interest</t>
        </is>
      </c>
      <c r="B11" s="6" t="n"/>
      <c r="C11" s="6" t="n"/>
      <c r="D11" s="6" t="n"/>
      <c r="E11" s="6" t="n">
        <v>-1439</v>
      </c>
      <c r="F11" s="6" t="n">
        <v>-1439</v>
      </c>
    </row>
    <row r="12">
      <c r="A12" s="5" t="inlineStr">
        <is>
          <t>At 31 December 2022</t>
        </is>
      </c>
      <c r="B12" s="5" t="n">
        <v>44955</v>
      </c>
      <c r="C12" s="5" t="n">
        <v>22900</v>
      </c>
      <c r="D12" s="5" t="n">
        <v>-1209</v>
      </c>
      <c r="E12" s="5" t="n">
        <v>118200</v>
      </c>
      <c r="F12" s="5" t="n">
        <v>184846</v>
      </c>
    </row>
    <row r="13">
      <c r="A13" s="6" t="inlineStr">
        <is>
          <t>Total comprehensive income for the period (FY2023)</t>
        </is>
      </c>
      <c r="B13" s="6" t="n"/>
      <c r="C13" s="6" t="n"/>
      <c r="D13" s="6" t="n">
        <v>833</v>
      </c>
      <c r="E13" s="6" t="n">
        <v>31290</v>
      </c>
      <c r="F13" s="6" t="n">
        <v>32123</v>
      </c>
    </row>
    <row r="14">
      <c r="A14" s="6" t="inlineStr">
        <is>
          <t>Convertible loan note interest</t>
        </is>
      </c>
      <c r="B14" s="6" t="n"/>
      <c r="C14" s="6" t="n"/>
      <c r="D14" s="6" t="n"/>
      <c r="E14" s="6" t="n">
        <v>-2191</v>
      </c>
      <c r="F14" s="6" t="n">
        <v>-2191</v>
      </c>
    </row>
    <row r="15">
      <c r="A15" s="5" t="inlineStr">
        <is>
          <t>At 31 December 2023</t>
        </is>
      </c>
      <c r="B15" s="5" t="n">
        <v>44955</v>
      </c>
      <c r="C15" s="5" t="n">
        <v>22900</v>
      </c>
      <c r="D15" s="5" t="n">
        <v>-376</v>
      </c>
      <c r="E15" s="5" t="n">
        <v>147299</v>
      </c>
      <c r="F15" s="5" t="n">
        <v>214778</v>
      </c>
    </row>
    <row r="16">
      <c r="A16" s="6" t="inlineStr">
        <is>
          <t>Total comprehensive income for the period (FY2024)</t>
        </is>
      </c>
      <c r="B16" s="6" t="n"/>
      <c r="C16" s="6" t="n"/>
      <c r="D16" s="6" t="n">
        <v>102</v>
      </c>
      <c r="E16" s="6" t="n">
        <v>27663</v>
      </c>
      <c r="F16" s="6" t="n">
        <v>27765</v>
      </c>
    </row>
    <row r="17">
      <c r="A17" s="6" t="inlineStr">
        <is>
          <t>Convertible loan note interest</t>
        </is>
      </c>
      <c r="B17" s="6" t="n"/>
      <c r="C17" s="6" t="n"/>
      <c r="D17" s="6" t="n"/>
      <c r="E17" s="6" t="n">
        <v>-2459</v>
      </c>
      <c r="F17" s="6" t="n">
        <v>-2459</v>
      </c>
    </row>
    <row r="18">
      <c r="A18" s="5" t="inlineStr">
        <is>
          <t>At 31 December 2024</t>
        </is>
      </c>
      <c r="B18" s="5" t="n">
        <v>44955</v>
      </c>
      <c r="C18" s="5" t="n">
        <v>22900</v>
      </c>
      <c r="D18" s="5" t="n">
        <v>-274</v>
      </c>
      <c r="E18" s="5" t="n">
        <v>172503</v>
      </c>
      <c r="F18" s="5" t="n">
        <v>240084</v>
      </c>
    </row>
    <row r="19">
      <c r="A19" s="6" t="inlineStr">
        <is>
          <t>Total comprehensive income for the period (FY2025)</t>
        </is>
      </c>
      <c r="B19" s="6" t="n"/>
      <c r="C19" s="6" t="n"/>
      <c r="D19" s="6" t="n">
        <v>351</v>
      </c>
      <c r="E19" s="6" t="n">
        <v>30492</v>
      </c>
      <c r="F19" s="6" t="n">
        <v>30843</v>
      </c>
    </row>
    <row r="20">
      <c r="A20" s="6" t="inlineStr">
        <is>
          <t>Dividend paid</t>
        </is>
      </c>
      <c r="B20" s="6" t="n"/>
      <c r="C20" s="6" t="n"/>
      <c r="D20" s="6" t="n"/>
      <c r="E20" s="6" t="n">
        <v>-20000</v>
      </c>
      <c r="F20" s="6" t="n">
        <v>-20000</v>
      </c>
    </row>
    <row r="21">
      <c r="A21" s="6" t="inlineStr">
        <is>
          <t>Convertible loan note interest</t>
        </is>
      </c>
      <c r="B21" s="6" t="n"/>
      <c r="C21" s="6" t="n"/>
      <c r="D21" s="6" t="n"/>
      <c r="E21" s="6" t="n">
        <v>-2284</v>
      </c>
      <c r="F21" s="6" t="n">
        <v>-2284</v>
      </c>
    </row>
    <row r="22">
      <c r="A22" s="5" t="inlineStr">
        <is>
          <t>At 31 December 2025</t>
        </is>
      </c>
      <c r="B22" s="5" t="n">
        <v>44955</v>
      </c>
      <c r="C22" s="5" t="n">
        <v>22900</v>
      </c>
      <c r="D22" s="5" t="n">
        <v>77</v>
      </c>
      <c r="E22" s="5" t="n">
        <v>180711</v>
      </c>
      <c r="F22" s="5" t="n">
        <v>248643</v>
      </c>
    </row>
    <row r="24" ht="260" customHeight="1">
      <c r="A24"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24:F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Statement of Cash Flows</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after tax</t>
        </is>
      </c>
      <c r="B5" s="6" t="n">
        <v>30492</v>
      </c>
      <c r="C5" s="6" t="n">
        <v>27663</v>
      </c>
      <c r="D5" s="6" t="n">
        <v>31290</v>
      </c>
      <c r="E5" s="6" t="n">
        <v>23202</v>
      </c>
      <c r="F5" s="6" t="n">
        <v>15466</v>
      </c>
    </row>
    <row r="6">
      <c r="A6" s="6" t="inlineStr">
        <is>
          <t>Subordinated debt liability interest and fee accrual</t>
        </is>
      </c>
      <c r="B6" s="6" t="n">
        <v>40</v>
      </c>
      <c r="C6" s="6" t="n">
        <v>196</v>
      </c>
      <c r="D6" s="6" t="n">
        <v>147</v>
      </c>
      <c r="E6" s="6" t="n"/>
      <c r="F6" s="6" t="n"/>
    </row>
    <row r="7">
      <c r="A7" s="6" t="inlineStr">
        <is>
          <t>Depreciation, amortisation and (loss)/gain on disposals</t>
        </is>
      </c>
      <c r="B7" s="6" t="n">
        <v>1122</v>
      </c>
      <c r="C7" s="6" t="n">
        <v>1077</v>
      </c>
      <c r="D7" s="6" t="n">
        <v>944</v>
      </c>
      <c r="E7" s="6" t="n">
        <v>906</v>
      </c>
      <c r="F7" s="6" t="n">
        <v>971</v>
      </c>
    </row>
    <row r="8">
      <c r="A8" s="6" t="inlineStr">
        <is>
          <t>(Decrease)/increase in allowance for impairment losses</t>
        </is>
      </c>
      <c r="B8" s="6" t="n">
        <v>-9644</v>
      </c>
      <c r="C8" s="6" t="n">
        <v>-1654</v>
      </c>
      <c r="D8" s="6" t="n">
        <v>5849</v>
      </c>
      <c r="E8" s="6" t="n"/>
      <c r="F8" s="6" t="n"/>
    </row>
    <row r="9">
      <c r="A9" s="6" t="inlineStr">
        <is>
          <t>Taxation charge</t>
        </is>
      </c>
      <c r="B9" s="6" t="n">
        <v>9179</v>
      </c>
      <c r="C9" s="6" t="n">
        <v>8157</v>
      </c>
      <c r="D9" s="6" t="n">
        <v>9620</v>
      </c>
      <c r="E9" s="6" t="n">
        <v>5337</v>
      </c>
      <c r="F9" s="6" t="n">
        <v>3024</v>
      </c>
    </row>
    <row r="10">
      <c r="A10" s="6" t="inlineStr">
        <is>
          <t>Other non-cash items</t>
        </is>
      </c>
      <c r="B10" s="6" t="n">
        <v>597</v>
      </c>
      <c r="C10" s="6" t="n">
        <v>243</v>
      </c>
      <c r="D10" s="6" t="n">
        <v>-112</v>
      </c>
      <c r="E10" s="6" t="n"/>
      <c r="F10" s="6" t="n"/>
    </row>
    <row r="11">
      <c r="A11" s="5" t="inlineStr">
        <is>
          <t>Cash flows from operating activities before changes in working capital</t>
        </is>
      </c>
      <c r="B11" s="5" t="n"/>
      <c r="C11" s="5" t="n">
        <v>35682</v>
      </c>
      <c r="D11" s="5" t="n">
        <v>47738</v>
      </c>
      <c r="E11" s="5" t="n">
        <v>29445</v>
      </c>
      <c r="F11" s="5" t="n">
        <v>19461</v>
      </c>
    </row>
    <row r="12">
      <c r="A12" s="5" t="inlineStr">
        <is>
          <t>Net increase/(decrease) in other assets/liabilities</t>
        </is>
      </c>
      <c r="B12" s="6" t="n"/>
      <c r="C12" s="6" t="n"/>
      <c r="D12" s="6" t="n"/>
      <c r="E12" s="6" t="n"/>
      <c r="F12" s="6" t="n"/>
    </row>
    <row r="13">
      <c r="A13" s="6" t="inlineStr">
        <is>
          <t>Net (increase)/decrease in loans and advances to customers</t>
        </is>
      </c>
      <c r="B13" s="6" t="n">
        <v>-228708</v>
      </c>
      <c r="C13" s="6" t="n">
        <v>-119661</v>
      </c>
      <c r="D13" s="6" t="n">
        <v>-51418</v>
      </c>
      <c r="E13" s="6" t="n">
        <v>-59876</v>
      </c>
      <c r="F13" s="6" t="n">
        <v>-149454</v>
      </c>
    </row>
    <row r="14">
      <c r="A14" s="6" t="inlineStr">
        <is>
          <t>Net increase/(decrease) in customers' accounts</t>
        </is>
      </c>
      <c r="B14" s="6" t="n">
        <v>361462</v>
      </c>
      <c r="C14" s="6" t="n">
        <v>116329</v>
      </c>
      <c r="D14" s="6" t="n">
        <v>51968</v>
      </c>
      <c r="E14" s="6" t="n">
        <v>77736</v>
      </c>
      <c r="F14" s="6" t="n">
        <v>108305</v>
      </c>
    </row>
    <row r="15">
      <c r="A15" s="6" t="inlineStr">
        <is>
          <t>Net (decrease)/increase in central bank facilities</t>
        </is>
      </c>
      <c r="B15" s="6" t="n">
        <v>-55000</v>
      </c>
      <c r="C15" s="6" t="n">
        <v>-10000</v>
      </c>
      <c r="D15" s="6" t="n">
        <v>-13000</v>
      </c>
      <c r="E15" s="6" t="n">
        <v>0</v>
      </c>
      <c r="F15" s="6" t="n">
        <v>78000</v>
      </c>
    </row>
    <row r="16">
      <c r="A16" s="6" t="inlineStr">
        <is>
          <t>Net (increase)/decrease in derivatives</t>
        </is>
      </c>
      <c r="B16" s="6" t="n">
        <v>-57</v>
      </c>
      <c r="C16" s="6" t="n">
        <v>-475</v>
      </c>
      <c r="D16" s="6" t="n">
        <v>-358</v>
      </c>
      <c r="E16" s="6" t="n">
        <v>756</v>
      </c>
      <c r="F16" s="6" t="n">
        <v>262</v>
      </c>
    </row>
    <row r="17">
      <c r="A17" s="6" t="inlineStr">
        <is>
          <t>Net (decrease)/increase in value of debt securities</t>
        </is>
      </c>
      <c r="B17" s="6" t="n"/>
      <c r="C17" s="6" t="n"/>
      <c r="D17" s="6" t="n"/>
      <c r="E17" s="6" t="n">
        <v>336</v>
      </c>
      <c r="F17" s="6" t="n">
        <v>591</v>
      </c>
    </row>
    <row r="18">
      <c r="A18" s="6" t="inlineStr">
        <is>
          <t>Net (decrease)/increase in other liabilities and provisions</t>
        </is>
      </c>
      <c r="B18" s="6" t="n">
        <v>-1565</v>
      </c>
      <c r="C18" s="6" t="n">
        <v>399</v>
      </c>
      <c r="D18" s="6" t="n">
        <v>520</v>
      </c>
      <c r="E18" s="6" t="n">
        <v>1827</v>
      </c>
      <c r="F18" s="6" t="n">
        <v>371</v>
      </c>
    </row>
    <row r="19">
      <c r="A19" s="6" t="inlineStr">
        <is>
          <t>Net (increase)/decrease in other assets and prepayments</t>
        </is>
      </c>
      <c r="B19" s="6" t="n">
        <v>-91</v>
      </c>
      <c r="C19" s="6" t="n">
        <v>1083</v>
      </c>
      <c r="D19" s="6" t="n">
        <v>46</v>
      </c>
      <c r="E19" s="6" t="n">
        <v>-482</v>
      </c>
      <c r="F19" s="6" t="n">
        <v>-661</v>
      </c>
    </row>
    <row r="20">
      <c r="A20" s="6" t="inlineStr">
        <is>
          <t>Income tax paid</t>
        </is>
      </c>
      <c r="B20" s="6" t="n">
        <v>-9572</v>
      </c>
      <c r="C20" s="6" t="n">
        <v>-9815</v>
      </c>
      <c r="D20" s="6" t="n">
        <v>-9154</v>
      </c>
      <c r="E20" s="6" t="n">
        <v>-4428</v>
      </c>
      <c r="F20" s="6" t="n">
        <v>-3050</v>
      </c>
    </row>
    <row r="21">
      <c r="A21" s="5" t="inlineStr">
        <is>
          <t>Net increase/(decrease) in operating assets and liabilities</t>
        </is>
      </c>
      <c r="B21" s="5" t="n"/>
      <c r="C21" s="5" t="n">
        <v>-22140</v>
      </c>
      <c r="D21" s="5" t="n">
        <v>-21396</v>
      </c>
      <c r="E21" s="5" t="n">
        <v>15869</v>
      </c>
      <c r="F21" s="5" t="n">
        <v>34364</v>
      </c>
    </row>
    <row r="22">
      <c r="A22" s="5" t="inlineStr">
        <is>
          <t>Net cash generated from operating activities</t>
        </is>
      </c>
      <c r="B22" s="5" t="n">
        <v>98255</v>
      </c>
      <c r="C22" s="5" t="n">
        <v>13542</v>
      </c>
      <c r="D22" s="5" t="n">
        <v>26342</v>
      </c>
      <c r="E22" s="5" t="n">
        <v>45314</v>
      </c>
      <c r="F22" s="5" t="n">
        <v>53825</v>
      </c>
    </row>
    <row r="23">
      <c r="A23" s="5" t="inlineStr">
        <is>
          <t>Investing activities</t>
        </is>
      </c>
      <c r="B23" s="6" t="n"/>
      <c r="C23" s="6" t="n"/>
      <c r="D23" s="6" t="n"/>
      <c r="E23" s="6" t="n"/>
      <c r="F23" s="6" t="n"/>
    </row>
    <row r="24">
      <c r="A24" s="6" t="inlineStr">
        <is>
          <t>Proceeds from debt securities sales/maturity</t>
        </is>
      </c>
      <c r="B24" s="6" t="n">
        <v>21594</v>
      </c>
      <c r="C24" s="6" t="n">
        <v>6609</v>
      </c>
      <c r="D24" s="6" t="n">
        <v>20000</v>
      </c>
      <c r="E24" s="6" t="n">
        <v>10000</v>
      </c>
      <c r="F24" s="6" t="n">
        <v>7000</v>
      </c>
    </row>
    <row r="25">
      <c r="A25" s="6" t="inlineStr">
        <is>
          <t>Acquisition of debt securities</t>
        </is>
      </c>
      <c r="B25" s="6" t="n">
        <v>-107335</v>
      </c>
      <c r="C25" s="6" t="n">
        <v>-24437</v>
      </c>
      <c r="D25" s="6" t="n">
        <v>-35774</v>
      </c>
      <c r="E25" s="6" t="n">
        <v>-4845</v>
      </c>
      <c r="F25" s="6" t="n">
        <v>-7094</v>
      </c>
    </row>
    <row r="26">
      <c r="A26" s="6" t="inlineStr">
        <is>
          <t>Acquisition of property, plant &amp; equipment and intangible assets</t>
        </is>
      </c>
      <c r="B26" s="6" t="n">
        <v>-1631</v>
      </c>
      <c r="C26" s="6" t="n">
        <v>-1159</v>
      </c>
      <c r="D26" s="6" t="n">
        <v>-700</v>
      </c>
      <c r="E26" s="6" t="n">
        <v>-870</v>
      </c>
      <c r="F26" s="6" t="n">
        <v>-646</v>
      </c>
    </row>
    <row r="27">
      <c r="A27" s="5" t="inlineStr">
        <is>
          <t>Net cash (used in)/generated from investing activities</t>
        </is>
      </c>
      <c r="B27" s="5" t="n">
        <v>-87372</v>
      </c>
      <c r="C27" s="5" t="n">
        <v>-18987</v>
      </c>
      <c r="D27" s="5" t="n">
        <v>-16474</v>
      </c>
      <c r="E27" s="5" t="n">
        <v>4285</v>
      </c>
      <c r="F27" s="5" t="n">
        <v>-740</v>
      </c>
    </row>
    <row r="28">
      <c r="A28" s="5" t="inlineStr">
        <is>
          <t>Financing activities</t>
        </is>
      </c>
      <c r="B28" s="6" t="n"/>
      <c r="C28" s="6" t="n"/>
      <c r="D28" s="6" t="n"/>
      <c r="E28" s="6" t="n"/>
      <c r="F28" s="6" t="n"/>
    </row>
    <row r="29">
      <c r="A29" s="6" t="inlineStr">
        <is>
          <t>Dividend paid</t>
        </is>
      </c>
      <c r="B29" s="6" t="n">
        <v>-20000</v>
      </c>
      <c r="C29" s="6" t="n"/>
      <c r="D29" s="6" t="n"/>
      <c r="E29" s="6" t="n"/>
      <c r="F29" s="6" t="n"/>
    </row>
    <row r="30">
      <c r="A30" s="6" t="inlineStr">
        <is>
          <t>Issue of subordinated debt liability</t>
        </is>
      </c>
      <c r="B30" s="6" t="n"/>
      <c r="C30" s="6" t="n">
        <v>0</v>
      </c>
      <c r="D30" s="6" t="n">
        <v>4604</v>
      </c>
      <c r="E30" s="6" t="n"/>
      <c r="F30" s="6" t="n"/>
    </row>
    <row r="31">
      <c r="A31" s="6" t="inlineStr">
        <is>
          <t>Convertible loan note interest paid</t>
        </is>
      </c>
      <c r="B31" s="6" t="n">
        <v>-2284</v>
      </c>
      <c r="C31" s="6" t="n">
        <v>-2459</v>
      </c>
      <c r="D31" s="6" t="n">
        <v>-2191</v>
      </c>
      <c r="E31" s="6" t="n">
        <v>-1439</v>
      </c>
      <c r="F31" s="6" t="n">
        <v>-1283</v>
      </c>
    </row>
    <row r="32">
      <c r="A32" s="5" t="inlineStr">
        <is>
          <t>Net cash (used in)/generated from financing activities</t>
        </is>
      </c>
      <c r="B32" s="5" t="n">
        <v>-22284</v>
      </c>
      <c r="C32" s="5" t="n">
        <v>-2459</v>
      </c>
      <c r="D32" s="5" t="n">
        <v>2413</v>
      </c>
      <c r="E32" s="5" t="n">
        <v>-1439</v>
      </c>
      <c r="F32" s="5" t="n">
        <v>-1283</v>
      </c>
    </row>
    <row r="33">
      <c r="A33" s="5" t="inlineStr">
        <is>
          <t>Net (decrease)/increase in cash and cash equivalents</t>
        </is>
      </c>
      <c r="B33" s="5" t="n">
        <v>-11401</v>
      </c>
      <c r="C33" s="5" t="n">
        <v>-7904</v>
      </c>
      <c r="D33" s="5" t="n">
        <v>12282</v>
      </c>
      <c r="E33" s="5" t="n">
        <v>48160</v>
      </c>
      <c r="F33" s="5" t="n">
        <v>51802</v>
      </c>
    </row>
    <row r="34">
      <c r="A34" s="6" t="inlineStr">
        <is>
          <t>Cash and cash equivalents at 1 January</t>
        </is>
      </c>
      <c r="B34" s="6" t="n">
        <v>304989</v>
      </c>
      <c r="C34" s="6" t="n">
        <v>312893</v>
      </c>
      <c r="D34" s="6" t="n">
        <v>300611</v>
      </c>
      <c r="E34" s="6" t="n">
        <v>252451</v>
      </c>
      <c r="F34" s="6" t="n">
        <v>200649</v>
      </c>
    </row>
    <row r="35">
      <c r="A35" s="5" t="inlineStr">
        <is>
          <t>Cash and cash equivalents at 31 December</t>
        </is>
      </c>
      <c r="B35" s="5" t="n">
        <v>293588</v>
      </c>
      <c r="C35" s="5" t="n">
        <v>304989</v>
      </c>
      <c r="D35" s="5" t="n">
        <v>312893</v>
      </c>
      <c r="E35" s="5" t="n">
        <v>300611</v>
      </c>
      <c r="F35" s="5" t="n">
        <v>252451</v>
      </c>
    </row>
    <row r="37" ht="260" customHeight="1">
      <c r="A37" s="8" t="inlineStr">
        <is>
          <t>Sources - Cambridge &amp; Counties Bank Limited's own Statement of Cash Flows (Bank-only basis, no subsidiaries):
FY2025: Annual Report 2025, p.58 (own year) - https://ccbank.co.uk/wp-content/uploads/2026/04/Cambridge__Counties-Bank_Annual-Report_2025.pdf
FY2024: Annual Report 2024, p.82 (own year); cross-checked against Annual Report 2025's FY2024 comparative column, p.58 (exact match) - https://ccbank.co.uk/wp-content/uploads/2025/05/86395_CCB-2024-Annual-Report-web.pdf
FY2023: Annual Report 2024, p.82 (FY2023 comparative column) - https://ccbank.co.uk/wp-content/uploads/2025/05/86395_CCB-2024-Annual-Report-web.pdf
FY2022: Annual Report 2022 (accounts to 31 Dec 2022), p.86 (own year) - https://ccbank.co.uk/wp-content/uploads/2023/06/CCB_Annual-Report_2022.pdf
FY2021: Annual Report 2022, p.86 (FY2021 comparative column) - https://ccbank.co.uk/wp-content/uploads/2023/06/CCB_Annual-Report_2022.pdf
LABEL NOTE: both the FY2024 and FY2025 Annual Reports mislabel the financing-activities subtotal row as 'Net cash (used in) investing activities' (should read 'financing') - a recurring caption typo in the Bank's own template across at least two years; the figure is correctly placed under the Financing Activities section here regardless of the source's mislabelled caption.
PRESENTATION NOTE: FY2021-FY2024 show two running subtotals within operating activities (adjustments-for subtotal, then a working-capital-changes subtotal) before the final operating total; FY2025's presentation drops both intermediate subtotals and lists all line items in one unbroken block - both years' totals reconcile exactly against their own line items either way; FY2025's missing subtotal cells are a genuine presentation change, not a gap.
DATA QUALITY NOTE: Annual Report 2024's own printed working-capital-changes subtotal for FY2024 reads £(21,140)k, but this does not match the sum of its own seven component line items, which total £(22,140)k - a £1,000k discrepancy. £(22,140)k is used here instead, since it is the figure that reconciles exactly to the report's own final 'Net cash generated from operating activities' total of £13,542k (£35,682k + £(22,140)k = £13,542k, matching exactly; £35,682k + £(21,140)k = £14,542k, which does not match the printed final total). The FY2023 comparative column in the same table is internally consistent and required no correction.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37:F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Asset Quality</t>
        </is>
      </c>
    </row>
    <row r="2">
      <c r="A2" s="2" t="inlineStr">
        <is>
          <t>Bank-only basis (no subsidiaries), £'000. Full IFRS 9 stage split disclosed every year, including FY2023's gross loan figure (found on a follow-up pass; ties exactly to net + provision).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t>
        </is>
      </c>
      <c r="B4" s="6" t="n"/>
      <c r="C4" s="6" t="n"/>
      <c r="D4" s="6" t="n"/>
      <c r="E4" s="6" t="n"/>
      <c r="F4" s="6" t="n"/>
    </row>
    <row r="5">
      <c r="A5" s="6" t="inlineStr">
        <is>
          <t>Gross loans and advances</t>
        </is>
      </c>
      <c r="B5" s="6" t="n">
        <v>1454424</v>
      </c>
      <c r="C5" s="6" t="n">
        <v>1225716</v>
      </c>
      <c r="D5" s="6" t="n">
        <v>1106055</v>
      </c>
      <c r="E5" s="6" t="n">
        <v>1054638</v>
      </c>
      <c r="F5" s="6" t="n">
        <v>992600</v>
      </c>
    </row>
    <row r="6">
      <c r="A6" s="6" t="inlineStr">
        <is>
          <t>Loans and advances to customers, net</t>
        </is>
      </c>
      <c r="B6" s="6" t="n">
        <v>1446075</v>
      </c>
      <c r="C6" s="6" t="n">
        <v>1204444</v>
      </c>
      <c r="D6" s="6" t="n">
        <v>1083278</v>
      </c>
      <c r="E6" s="6" t="n">
        <v>1037710</v>
      </c>
      <c r="F6" s="6" t="n">
        <v>977834</v>
      </c>
    </row>
    <row r="7">
      <c r="A7" s="5" t="inlineStr">
        <is>
          <t>Loan loss provision, by IFRS 9 stage</t>
        </is>
      </c>
      <c r="B7" s="6" t="n"/>
      <c r="C7" s="6" t="n"/>
      <c r="D7" s="6" t="n"/>
      <c r="E7" s="6" t="n"/>
      <c r="F7" s="6" t="n"/>
    </row>
    <row r="8">
      <c r="A8" s="6" t="inlineStr">
        <is>
          <t>Stage 1: subject to 12-month ECL</t>
        </is>
      </c>
      <c r="B8" s="6" t="n">
        <v>-3559</v>
      </c>
      <c r="C8" s="6" t="n">
        <v>-2645</v>
      </c>
      <c r="D8" s="6" t="n">
        <v>-3288</v>
      </c>
      <c r="E8" s="6" t="n">
        <v>-3082</v>
      </c>
      <c r="F8" s="6" t="n">
        <v>-2836</v>
      </c>
    </row>
    <row r="9">
      <c r="A9" s="6" t="inlineStr">
        <is>
          <t>Stage 2: subject to lifetime ECL</t>
        </is>
      </c>
      <c r="B9" s="6" t="n">
        <v>-3366</v>
      </c>
      <c r="C9" s="6" t="n">
        <v>-8208</v>
      </c>
      <c r="D9" s="6" t="n">
        <v>-8907</v>
      </c>
      <c r="E9" s="6" t="n">
        <v>-8283</v>
      </c>
      <c r="F9" s="6" t="n">
        <v>-5954</v>
      </c>
    </row>
    <row r="10">
      <c r="A10" s="6" t="inlineStr">
        <is>
          <t>Stage 3: subject to lifetime ECL</t>
        </is>
      </c>
      <c r="B10" s="6" t="n">
        <v>-4554</v>
      </c>
      <c r="C10" s="6" t="n">
        <v>-10270</v>
      </c>
      <c r="D10" s="6" t="n">
        <v>-10582</v>
      </c>
      <c r="E10" s="6" t="n">
        <v>-5563</v>
      </c>
      <c r="F10" s="6" t="n">
        <v>-5976</v>
      </c>
    </row>
    <row r="11">
      <c r="A11" s="5" t="inlineStr">
        <is>
          <t>Total loan loss provision</t>
        </is>
      </c>
      <c r="B11" s="5" t="n">
        <v>-11479</v>
      </c>
      <c r="C11" s="5" t="n">
        <v>-21123</v>
      </c>
      <c r="D11" s="5" t="n">
        <v>-22777</v>
      </c>
      <c r="E11" s="5" t="n">
        <v>-16928</v>
      </c>
      <c r="F11" s="5" t="n">
        <v>-14766</v>
      </c>
    </row>
    <row r="12">
      <c r="A12" s="6" t="inlineStr">
        <is>
          <t>Loan loss provision credit/(charge) for the year</t>
        </is>
      </c>
      <c r="B12" s="6" t="n">
        <v>1967</v>
      </c>
      <c r="C12" s="6" t="n">
        <v>-4932</v>
      </c>
      <c r="D12" s="6" t="n">
        <v>-7263</v>
      </c>
      <c r="E12" s="6" t="n">
        <v>-4773</v>
      </c>
      <c r="F12" s="6" t="n">
        <v>-3524</v>
      </c>
    </row>
    <row r="14" ht="260" customHeight="1">
      <c r="A14" s="8" t="inlineStr">
        <is>
          <t>Sources - Cambridge &amp; Counties Bank Limited's own Note 15 (Loans and advances to customers) and Note 16 (Allowance for impairment losses):
FY2025/FY2024: Annual Report 2025, p.66-67 - https://ccbank.co.uk/wp-content/uploads/2026/04/Cambridge__Counties-Bank_Annual-Report_2025.pdf
FY2023: Annual Report 2024, Note 16 (Allowance for impairment losses), p.47's 'Gross loan balances by Stage 2023' table, 'Closing Balance at 31 December 2023' row - https://ccbank.co.uk/wp-content/uploads/2025/05/86395_CCB-2024-Annual-Report-web.pdf
FY2022/FY2021: Annual Report 2022, pp.48-49 - https://ccbank.co.uk/wp-content/uploads/2023/06/CCB_Annual-Report_2022.pdf
Gross/net loan figures per the Balance Sheet above; the loan loss provision is disclosed by full IFRS 9 stage (Stage 1/2/3) in every year's own Note 16 - shown as negative (a deduction from gross loans). The loan loss provision credit/(charge) for the year is the P&amp;L's own 'Impairment release/(losses) on loans and advances to customers' line.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218496</v>
      </c>
      <c r="C4" s="6" t="n">
        <v>213247</v>
      </c>
      <c r="D4" s="6" t="n">
        <v>190817</v>
      </c>
      <c r="E4" s="6" t="n">
        <v>163071</v>
      </c>
      <c r="F4" s="6" t="n">
        <v>144655</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19.2%</t>
        </is>
      </c>
      <c r="C4" s="6" t="inlineStr">
        <is>
          <t>21.75%</t>
        </is>
      </c>
      <c r="D4" s="6" t="inlineStr">
        <is>
          <t>22.67%</t>
        </is>
      </c>
      <c r="E4" s="6" t="inlineStr">
        <is>
          <t>20.70%</t>
        </is>
      </c>
      <c r="F4" s="6" t="inlineStr">
        <is>
          <t>19.86%</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242394</v>
      </c>
      <c r="C4" s="6" t="n">
        <v>236147</v>
      </c>
      <c r="D4" s="6" t="n">
        <v>213717</v>
      </c>
      <c r="E4" s="6" t="n">
        <v>185972</v>
      </c>
      <c r="F4" s="6" t="n">
        <v>167555</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21.3%</t>
        </is>
      </c>
      <c r="C4" s="6" t="inlineStr">
        <is>
          <t>24.09%</t>
        </is>
      </c>
      <c r="D4" s="6" t="inlineStr">
        <is>
          <t>25.40%</t>
        </is>
      </c>
      <c r="E4" s="6" t="inlineStr">
        <is>
          <t>23.61%</t>
        </is>
      </c>
      <c r="F4" s="6" t="inlineStr">
        <is>
          <t>23.00%</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246946</v>
      </c>
      <c r="C4" s="6" t="n">
        <v>241147</v>
      </c>
      <c r="D4" s="6" t="n">
        <v>218717</v>
      </c>
      <c r="E4" s="6" t="n">
        <v>185972</v>
      </c>
      <c r="F4" s="6" t="n">
        <v>167555</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 Total Capital = Tier 1 capital alone for FY2021/FY2022 (no Tier 2 instruments held); Tier 2 capital (£5m subordinated debt from British Business Bank Investments) was first issued during FY2023, explaining the step-up between Tier 1 and Total Capital from that year onward.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21.7%</t>
        </is>
      </c>
      <c r="C4" s="6" t="inlineStr">
        <is>
          <t>24.60%</t>
        </is>
      </c>
      <c r="D4" s="6" t="inlineStr">
        <is>
          <t>25.99%</t>
        </is>
      </c>
      <c r="E4" s="6" t="inlineStr">
        <is>
          <t>23.61%</t>
        </is>
      </c>
      <c r="F4" s="6" t="inlineStr">
        <is>
          <t>23.00%</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1138000</v>
      </c>
      <c r="C4" s="6" t="n">
        <v>980319</v>
      </c>
      <c r="D4" s="6" t="n">
        <v>841556</v>
      </c>
      <c r="E4" s="6" t="n">
        <v>787621</v>
      </c>
      <c r="F4" s="6" t="n">
        <v>728379</v>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RWA CAVEAT: FY2022's own Pillar 3 report states Total RWA of £787,621k. FY2023's Pillar 3 report's own '31-Dec-22' comparative column instead shows £728,379k for the same date - a figure that exactly matches what FY2022's own report separately states as FY2021's RWA, suggesting the FY2023 report's comparative column was populated in error (a copy of the prior-prior year) rather than reflecting a genuine restatement. FY2022's own originally-published figure (£787,621k) is used here, per this project's standing convention of using each year's own originally-published figures - flagged prominently since the coincidence is unusual enough to be worth checking against the primary source again if precision matters.
</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RWA Breakdown</t>
        </is>
      </c>
    </row>
    <row r="2">
      <c r="A2" s="2" t="inlineStr">
        <is>
          <t>Bank-only basis (no subsidiaries), £'000. FY2025 not publicly disclosed (no standalone Pillar 3 document published yet).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t>
        </is>
      </c>
      <c r="B5" s="6" t="n"/>
      <c r="C5" s="6" t="n">
        <v>846780</v>
      </c>
      <c r="D5" s="6" t="n">
        <v>728547</v>
      </c>
      <c r="E5" s="6" t="n">
        <v>690434</v>
      </c>
      <c r="F5" s="6" t="n">
        <v>640391</v>
      </c>
    </row>
    <row r="6">
      <c r="A6" s="6" t="inlineStr">
        <is>
          <t>Counterparty credit risk (CCR)</t>
        </is>
      </c>
      <c r="B6" s="6" t="n"/>
      <c r="C6" s="6" t="n">
        <v>2753</v>
      </c>
      <c r="D6" s="6" t="n">
        <v>130</v>
      </c>
      <c r="E6" s="6" t="n">
        <v>232</v>
      </c>
      <c r="F6" s="6" t="n">
        <v>46</v>
      </c>
    </row>
    <row r="7">
      <c r="A7" s="6" t="inlineStr">
        <is>
          <t>Securitisation exposures in the non-trading book</t>
        </is>
      </c>
      <c r="B7" s="6" t="n"/>
      <c r="C7" s="6" t="n">
        <v>0</v>
      </c>
      <c r="D7" s="6" t="n">
        <v>0</v>
      </c>
      <c r="E7" s="6" t="n">
        <v>7991</v>
      </c>
      <c r="F7" s="6" t="n">
        <v>9158</v>
      </c>
    </row>
    <row r="8">
      <c r="A8" s="6" t="inlineStr">
        <is>
          <t>Operational risk</t>
        </is>
      </c>
      <c r="B8" s="6" t="n"/>
      <c r="C8" s="6" t="n">
        <v>130786</v>
      </c>
      <c r="D8" s="6" t="n">
        <v>112879</v>
      </c>
      <c r="E8" s="6" t="n">
        <v>88964</v>
      </c>
      <c r="F8" s="6" t="n">
        <v>78784</v>
      </c>
    </row>
    <row r="9">
      <c r="A9" s="6" t="inlineStr">
        <is>
          <t>Amounts below the thresholds for deduction</t>
        </is>
      </c>
      <c r="B9" s="6" t="n"/>
      <c r="C9" s="6" t="n">
        <v>2267</v>
      </c>
      <c r="D9" s="6" t="n">
        <v>1801</v>
      </c>
      <c r="E9" s="6" t="n">
        <v>2749</v>
      </c>
      <c r="F9" s="6" t="n">
        <v>1984</v>
      </c>
    </row>
    <row r="10">
      <c r="A10" s="5" t="inlineStr">
        <is>
          <t>Total RWAs</t>
        </is>
      </c>
      <c r="B10" s="5" t="n"/>
      <c r="C10" s="5" t="n">
        <v>980319</v>
      </c>
      <c r="D10" s="5" t="n">
        <v>841556</v>
      </c>
      <c r="E10" s="5" t="n">
        <v>787621</v>
      </c>
      <c r="F10" s="5" t="n">
        <v>728379</v>
      </c>
    </row>
    <row r="12" ht="280" customHeight="1">
      <c r="A12" s="8" t="inlineStr">
        <is>
          <t>Sources - Cambridge &amp; Counties Bank Limited's own Pillar 3 Disclosures, Table 2 ('Overview of risk weighted exposure amounts'):
FY2024: Pillar 3 Disclosures 2024 (own year, 31-Dec-24 column) - https://ccbank.co.uk/wp-content/uploads/2025/05/Pillar-3-report-CCB-2024.docx
FY2023: Pillar 3 Disclosures 2023 (own year, 31-Dec-23 column) - https://ccbank.co.uk/wp-content/uploads/2024/05/Pillar-3-report-2023-Cambridge-Counties-Bank.docx
FY2022: Pillar 3 Disclosures 2022, p.19 (own year, 31-Dec-22 column) - https://ccbank.co.uk/wp-content/uploads/2023/05/Pillar-3-Disclosure2022.pdf
FY2021: Pillar 3 Disclosures 2022, p.19 (31-Dec-21 comparative column) - https://ccbank.co.uk/wp-content/uploads/2023/05/Pillar-3-Disclosure2022.pdf
FY2025: not publicly disclosed - no standalone Pillar 3 document has been published yet for FY2025 (same gap as the other Pillar 3 metric sheets this year).
Table 2 in the 2023/2024 Pillar 3 Disclosures is a .docx-embedded image (not text/a real table) - extracted by rendering the embedded image. All 4 years' Total row ties exactly to the Total RWAs sheet's own figure for that year.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Leverage Ratio</t>
        </is>
      </c>
    </row>
    <row r="2">
      <c r="A2" s="2" t="inlineStr">
        <is>
          <t>£'000 exposure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c r="C4" s="6" t="n">
        <v>1605041</v>
      </c>
      <c r="D4" s="6" t="n">
        <v>1435897</v>
      </c>
      <c r="E4" s="6" t="n">
        <v>1335869</v>
      </c>
      <c r="F4" s="6" t="n">
        <v>1298463</v>
      </c>
    </row>
    <row r="5">
      <c r="A5" s="6" t="inlineStr">
        <is>
          <t>Leverage ratio (%)</t>
        </is>
      </c>
      <c r="B5" s="6" t="n"/>
      <c r="C5" s="6" t="inlineStr">
        <is>
          <t>14.71%</t>
        </is>
      </c>
      <c r="D5" s="6" t="inlineStr">
        <is>
          <t>14.88%</t>
        </is>
      </c>
      <c r="E5" s="6" t="inlineStr">
        <is>
          <t>13.92%</t>
        </is>
      </c>
      <c r="F5" s="6" t="inlineStr">
        <is>
          <t>12.90%</t>
        </is>
      </c>
    </row>
    <row r="6" ht="60" customHeight="1">
      <c r="A6" s="7" t="inlineStr">
        <is>
          <t>Note: FY2025 not publicly disclosed (no standalone Pillar 3 document published yet for FY2025, and the Annual Report's own Strategic Report narrative does not state a leverage ratio figure).</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LEVERAGE CAVEAT: FY2021's own Pillar 3 report states a leverage ratio total exposure measure of £1,298,463k (ratio 12.90%). FY2022's report's FY2021 comparative instead shows £1,298,284k (ratio 12.83%) - a small (£179k / 0.07pp) discrepancy, plausibly a minor restatement or rounding difference rather than an error. FY2021's own originally-published figures are used here, per project convention.
</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n"/>
      <c r="C4" s="6" t="n">
        <v>345604</v>
      </c>
      <c r="D4" s="6" t="n">
        <v>296975</v>
      </c>
      <c r="E4" s="6" t="n">
        <v>265556</v>
      </c>
      <c r="F4" s="6" t="n">
        <v>275200</v>
      </c>
    </row>
    <row r="5">
      <c r="A5" s="6" t="inlineStr">
        <is>
          <t>Total net cash outflows</t>
        </is>
      </c>
      <c r="B5" s="6" t="n"/>
      <c r="C5" s="6" t="n">
        <v>57137</v>
      </c>
      <c r="D5" s="6" t="n">
        <v>47570</v>
      </c>
      <c r="E5" s="6" t="n">
        <v>84394</v>
      </c>
      <c r="F5" s="6" t="n">
        <v>95900</v>
      </c>
    </row>
    <row r="6">
      <c r="A6" s="6" t="inlineStr">
        <is>
          <t>Liquidity Coverage Ratio (%)</t>
        </is>
      </c>
      <c r="B6" s="6" t="inlineStr">
        <is>
          <t>587%</t>
        </is>
      </c>
      <c r="C6" s="6" t="inlineStr">
        <is>
          <t>605%</t>
        </is>
      </c>
      <c r="D6" s="6" t="inlineStr">
        <is>
          <t>519%</t>
        </is>
      </c>
      <c r="E6" s="6" t="inlineStr">
        <is>
          <t>315%</t>
        </is>
      </c>
      <c r="F6" s="6" t="inlineStr">
        <is>
          <t>287%</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LCR CAVEAT: the formal Pillar 3/KM1 template figures (used for FY2021-FY2024 below) are themselves labelled 'Average of 12 months'. The FY2025 Annual Report's own narrative separately states the Bank's FY2024 LCR as 521%, materially different from the FY2024 Pillar 3 KM1 table's 605% for the same year - two different figures for what should be the same average-basis metric, not reconciled anywhere in the source documents. The formal Pillar 3 KM1 figures are used throughout FY2021-FY2024 for internal consistency across this workbook series; FY2025 (no standalone Pillar 3 document published yet) falls back to the Annual Report's own narrative figure of 587%, on a basis that may not be directly comparable to the KM1 years - flagged.
</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1303092</v>
      </c>
      <c r="D4" s="6" t="n">
        <v>1190919</v>
      </c>
      <c r="E4" s="6" t="n">
        <v>1104235</v>
      </c>
      <c r="F4" s="6" t="n"/>
    </row>
    <row r="5">
      <c r="A5" s="6" t="inlineStr">
        <is>
          <t>Total required stable funding</t>
        </is>
      </c>
      <c r="B5" s="6" t="n"/>
      <c r="C5" s="6" t="n">
        <v>960390</v>
      </c>
      <c r="D5" s="6" t="n">
        <v>873031</v>
      </c>
      <c r="E5" s="6" t="n">
        <v>842391</v>
      </c>
      <c r="F5" s="6" t="n"/>
    </row>
    <row r="6">
      <c r="A6" s="6" t="inlineStr">
        <is>
          <t>Net Stable Funding Ratio (%)</t>
        </is>
      </c>
      <c r="B6" s="6" t="n"/>
      <c r="C6" s="6" t="inlineStr">
        <is>
          <t>136%</t>
        </is>
      </c>
      <c r="D6" s="6" t="inlineStr">
        <is>
          <t>136%</t>
        </is>
      </c>
      <c r="E6" s="6" t="inlineStr">
        <is>
          <t>131%</t>
        </is>
      </c>
      <c r="F6" s="6" t="n"/>
    </row>
    <row r="7" ht="60" customHeight="1">
      <c r="A7" s="7" t="inlineStr">
        <is>
          <t>Note: FY2021 and FY2025 not publicly disclosed - the UK NSFR requirement only took effect for periods starting after 1 Jan 2022 (FY2021's Pillar 3 report has no NSFR section at all), and no standalone Pillar 3 document has been published yet for FY2025.</t>
        </is>
      </c>
    </row>
    <row r="9" ht="180" customHeight="1">
      <c r="A9"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any of the 5 years' Annual Reports or Pillar 3 disclosures reviewed - no numeric ratio, and no explicit exemption statement either; the Bank's balance sheet scale is consistent with sitting below the threshold at which MREL applies.</t>
        </is>
      </c>
    </row>
    <row r="7" ht="15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2026-09-04T07:08:37Z</dcterms:created>
  <dcterms:modified xmlns:dcterms="http://purl.org/dc/terms/" xmlns:xsi="http://www.w3.org/2001/XMLSchema-instance" xsi:type="dcterms:W3CDTF">2026-09-04T07:08:37Z</dcterms:modified>
</cp:coreProperties>
</file>