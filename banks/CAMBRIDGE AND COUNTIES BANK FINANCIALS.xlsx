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90062"/>
        <bgColor rgb="0039006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xmlns:a="http://schemas.openxmlformats.org/drawingml/2006/main">
              <a:prstDash val="solid"/>
            </a:ln>
          </spPr>
          <cat>
            <numRef>
              <f>'Overview'!$P$5:$Z$5</f>
            </numRef>
          </cat>
          <val>
            <numRef>
              <f>'Overview'!$P$6:$Z$6</f>
            </numRef>
          </val>
        </ser>
        <ser>
          <idx val="1"/>
          <order val="1"/>
          <tx>
            <strRef>
              <f>'Overview'!O7</f>
            </strRef>
          </tx>
          <spPr>
            <a:ln xmlns:a="http://schemas.openxmlformats.org/drawingml/2006/main">
              <a:prstDash val="solid"/>
            </a:ln>
          </spPr>
          <cat>
            <numRef>
              <f>'Overview'!$P$5:$Z$5</f>
            </numRef>
          </cat>
          <val>
            <numRef>
              <f>'Overview'!$P$7:$Z$7</f>
            </numRef>
          </val>
        </ser>
        <ser>
          <idx val="2"/>
          <order val="2"/>
          <tx>
            <strRef>
              <f>'Overview'!O8</f>
            </strRef>
          </tx>
          <spPr>
            <a:ln xmlns:a="http://schemas.openxmlformats.org/drawingml/2006/main">
              <a:prstDash val="solid"/>
            </a:ln>
          </spPr>
          <cat>
            <numRef>
              <f>'Overview'!$P$5:$Z$5</f>
            </numRef>
          </cat>
          <val>
            <numRef>
              <f>'Overview'!$P$8:$Z$8</f>
            </numRef>
          </val>
        </ser>
        <ser>
          <idx val="3"/>
          <order val="3"/>
          <tx>
            <strRef>
              <f>'Overview'!O9</f>
            </strRef>
          </tx>
          <spPr>
            <a:ln xmlns:a="http://schemas.openxmlformats.org/drawingml/2006/mai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xmlns:a="http://schemas.openxmlformats.org/drawingml/2006/main">
              <a:prstDash val="solid"/>
            </a:ln>
          </spPr>
          <cat>
            <numRef>
              <f>'Overview'!$AD$12:$AN$12</f>
            </numRef>
          </cat>
          <val>
            <numRef>
              <f>'Overview'!$AD$13:$AN$13</f>
            </numRef>
          </val>
        </ser>
        <ser>
          <idx val="1"/>
          <order val="1"/>
          <tx>
            <strRef>
              <f>'Overview'!AC14</f>
            </strRef>
          </tx>
          <spPr>
            <a:ln xmlns:a="http://schemas.openxmlformats.org/drawingml/2006/main">
              <a:prstDash val="solid"/>
            </a:ln>
          </spPr>
          <cat>
            <numRef>
              <f>'Overview'!$AD$12:$AN$12</f>
            </numRef>
          </cat>
          <val>
            <numRef>
              <f>'Overview'!$AD$14:$AN$14</f>
            </numRef>
          </val>
        </ser>
        <ser>
          <idx val="2"/>
          <order val="2"/>
          <tx>
            <strRef>
              <f>'Overview'!AC15</f>
            </strRef>
          </tx>
          <spPr>
            <a:ln xmlns:a="http://schemas.openxmlformats.org/drawingml/2006/mai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xmlns:a="http://schemas.openxmlformats.org/drawingml/2006/main">
              <a:prstDash val="solid"/>
            </a:ln>
          </spPr>
          <cat>
            <numRef>
              <f>'Overview'!$AR$18:$BB$18</f>
            </numRef>
          </cat>
          <val>
            <numRef>
              <f>'Overview'!$AR$19:$BB$19</f>
            </numRef>
          </val>
        </ser>
        <ser>
          <idx val="1"/>
          <order val="1"/>
          <tx>
            <strRef>
              <f>'Overview'!AQ20</f>
            </strRef>
          </tx>
          <spPr>
            <a:ln xmlns:a="http://schemas.openxmlformats.org/drawingml/2006/main">
              <a:prstDash val="solid"/>
            </a:ln>
          </spPr>
          <cat>
            <numRef>
              <f>'Overview'!$AR$18:$BB$18</f>
            </numRef>
          </cat>
          <val>
            <numRef>
              <f>'Overview'!$AR$20:$BB$20</f>
            </numRef>
          </val>
        </ser>
        <ser>
          <idx val="2"/>
          <order val="2"/>
          <tx>
            <strRef>
              <f>'Overview'!AQ21</f>
            </strRef>
          </tx>
          <spPr>
            <a:ln xmlns:a="http://schemas.openxmlformats.org/drawingml/2006/main">
              <a:prstDash val="solid"/>
            </a:ln>
          </spPr>
          <cat>
            <numRef>
              <f>'Overview'!$AR$18:$BB$18</f>
            </numRef>
          </cat>
          <val>
            <numRef>
              <f>'Overview'!$AR$21:$BB$21</f>
            </numRef>
          </val>
        </ser>
        <ser>
          <idx val="3"/>
          <order val="3"/>
          <tx>
            <strRef>
              <f>'Overview'!AQ22</f>
            </strRef>
          </tx>
          <spPr>
            <a:ln xmlns:a="http://schemas.openxmlformats.org/drawingml/2006/mai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xmlns:a="http://schemas.openxmlformats.org/drawingml/2006/main">
              <a:prstDash val="solid"/>
            </a:ln>
          </spPr>
          <cat>
            <numRef>
              <f>'Overview'!$BF$25:$BP$25</f>
            </numRef>
          </cat>
          <val>
            <numRef>
              <f>'Overview'!$BF$26:$BP$26</f>
            </numRef>
          </val>
        </ser>
        <ser>
          <idx val="1"/>
          <order val="1"/>
          <tx>
            <strRef>
              <f>'Overview'!BE27</f>
            </strRef>
          </tx>
          <spPr>
            <a:ln xmlns:a="http://schemas.openxmlformats.org/drawingml/2006/main">
              <a:prstDash val="solid"/>
            </a:ln>
          </spPr>
          <cat>
            <numRef>
              <f>'Overview'!$BF$25:$BP$25</f>
            </numRef>
          </cat>
          <val>
            <numRef>
              <f>'Overview'!$BF$27:$BP$27</f>
            </numRef>
          </val>
        </ser>
        <ser>
          <idx val="2"/>
          <order val="2"/>
          <tx>
            <strRef>
              <f>'Overview'!BE28</f>
            </strRef>
          </tx>
          <spPr>
            <a:ln xmlns:a="http://schemas.openxmlformats.org/drawingml/2006/main">
              <a:prstDash val="solid"/>
            </a:ln>
          </spPr>
          <cat>
            <numRef>
              <f>'Overview'!$BF$25:$BP$25</f>
            </numRef>
          </cat>
          <val>
            <numRef>
              <f>'Overview'!$BF$28:$BP$28</f>
            </numRef>
          </val>
        </ser>
        <ser>
          <idx val="3"/>
          <order val="3"/>
          <tx>
            <strRef>
              <f>'Overview'!BE29</f>
            </strRef>
          </tx>
          <spPr>
            <a:ln xmlns:a="http://schemas.openxmlformats.org/drawingml/2006/mai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Cambridge &amp; Counties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'Overview'!$BT$6:$CD$6</f>
            </numRef>
          </val>
          <smooth val="0"/>
        </ser>
        <ser>
          <idx val="1"/>
          <order val="1"/>
          <tx>
            <strRef>
              <f>'Overview'!BS7</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'Overview'!$BT$7:$CD$7</f>
            </numRef>
          </val>
          <smooth val="0"/>
        </ser>
        <ser>
          <idx val="2"/>
          <order val="2"/>
          <tx>
            <strRef>
              <f>'Overview'!BS8</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'Overview'!$BT$8:$CD$8</f>
            </numRef>
          </val>
          <smooth val="0"/>
        </ser>
        <ser>
          <idx val="3"/>
          <order val="3"/>
          <tx>
            <strRef>
              <f>'Overview'!BS9</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'Overview'!$BT$9:$CD$9</f>
            </numRef>
          </val>
          <smooth val="0"/>
        </ser>
        <ser>
          <idx val="4"/>
          <order val="4"/>
          <tx>
            <strRef>
              <f>'Overview'!BS10</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'Overview'!$BT$10:$CD$10</f>
            </numRef>
          </val>
          <smooth val="0"/>
        </ser>
        <ser>
          <idx val="5"/>
          <order val="5"/>
          <tx>
            <strRef>
              <f>'Overview'!BS11</f>
            </strRef>
          </tx>
          <spPr>
            <a:ln xmlns:a="http://schemas.openxmlformats.org/drawingml/2006/main">
              <a:prstDash val="solid"/>
            </a:ln>
          </spPr>
          <marker>
            <symbol val="none"/>
            <spPr>
              <a:ln xmlns:a="http://schemas.openxmlformats.org/drawingml/2006/mai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Cambridge &amp; Counties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1898633</v>
      </c>
      <c r="C6" s="5" t="n">
        <v>1581735</v>
      </c>
      <c r="D6" s="5" t="n">
        <v>1450722</v>
      </c>
      <c r="E6" s="5" t="n">
        <v>1376545</v>
      </c>
      <c r="F6" s="5" t="n">
        <v>1274871</v>
      </c>
      <c r="G6" s="5" t="n"/>
      <c r="H6" s="5" t="n"/>
      <c r="I6" s="5" t="n"/>
      <c r="J6" s="5" t="n"/>
      <c r="K6" s="5" t="n"/>
      <c r="L6" s="5" t="n"/>
      <c r="O6" t="inlineStr">
        <is>
          <t>Total assets</t>
        </is>
      </c>
      <c r="V6" t="n">
        <v>1274871</v>
      </c>
      <c r="W6" t="n">
        <v>1376545</v>
      </c>
      <c r="X6" t="n">
        <v>1450722</v>
      </c>
      <c r="Y6" t="n">
        <v>1581735</v>
      </c>
      <c r="Z6" t="n">
        <v>1898633</v>
      </c>
      <c r="BS6" t="inlineStr">
        <is>
          <t>CET1 Ratio</t>
        </is>
      </c>
      <c r="BT6" t="n">
        <v>10.5</v>
      </c>
      <c r="BU6" t="n">
        <v>10.6</v>
      </c>
      <c r="BV6" t="n">
        <v>11.19</v>
      </c>
      <c r="BW6" t="n">
        <v>16.79</v>
      </c>
      <c r="BX6" t="n">
        <v>19.29</v>
      </c>
      <c r="BY6" t="n">
        <v>20.69</v>
      </c>
      <c r="BZ6" t="n">
        <v>19.86</v>
      </c>
      <c r="CA6" t="n">
        <v>20.7</v>
      </c>
      <c r="CB6" t="n">
        <v>22.67</v>
      </c>
      <c r="CC6" t="n">
        <v>21.75</v>
      </c>
      <c r="CD6" t="n">
        <v>19.2</v>
      </c>
    </row>
    <row r="7">
      <c r="A7" s="5" t="inlineStr">
        <is>
          <t>Loans and advances to customers</t>
        </is>
      </c>
      <c r="B7" s="5" t="n">
        <v>1446075</v>
      </c>
      <c r="C7" s="5" t="n">
        <v>1204444</v>
      </c>
      <c r="D7" s="5" t="n">
        <v>1083278</v>
      </c>
      <c r="E7" s="5" t="n">
        <v>1037710</v>
      </c>
      <c r="F7" s="5" t="n">
        <v>977834</v>
      </c>
      <c r="G7" s="5" t="n"/>
      <c r="H7" s="5" t="n"/>
      <c r="I7" s="5" t="n"/>
      <c r="J7" s="5" t="n"/>
      <c r="K7" s="5" t="n"/>
      <c r="L7" s="5" t="n"/>
      <c r="O7" t="inlineStr">
        <is>
          <t>Loans and advances to customers</t>
        </is>
      </c>
      <c r="V7" t="n">
        <v>977834</v>
      </c>
      <c r="W7" t="n">
        <v>1037710</v>
      </c>
      <c r="X7" t="n">
        <v>1083278</v>
      </c>
      <c r="Y7" t="n">
        <v>1204444</v>
      </c>
      <c r="Z7" t="n">
        <v>1446075</v>
      </c>
      <c r="BS7" t="inlineStr">
        <is>
          <t>Tier 1 Ratio</t>
        </is>
      </c>
      <c r="BT7" t="n">
        <v>14.8</v>
      </c>
      <c r="BU7" t="n">
        <v>13.72</v>
      </c>
      <c r="BV7" t="n">
        <v>13.48</v>
      </c>
      <c r="BW7" t="n">
        <v>20.48</v>
      </c>
      <c r="BX7" t="n">
        <v>22.99</v>
      </c>
      <c r="BY7" t="n">
        <v>24.32</v>
      </c>
      <c r="BZ7" t="n">
        <v>23</v>
      </c>
      <c r="CA7" t="n">
        <v>23.61</v>
      </c>
      <c r="CB7" t="n">
        <v>25.4</v>
      </c>
      <c r="CC7" t="n">
        <v>24.09</v>
      </c>
      <c r="CD7" t="n">
        <v>21.3</v>
      </c>
    </row>
    <row r="8">
      <c r="A8" s="5" t="inlineStr">
        <is>
          <t>Customers' accounts</t>
        </is>
      </c>
      <c r="B8" s="5" t="n">
        <v>1633601</v>
      </c>
      <c r="C8" s="5" t="n">
        <v>1271824</v>
      </c>
      <c r="D8" s="5" t="n">
        <v>1155224</v>
      </c>
      <c r="E8" s="5" t="n">
        <v>1103256</v>
      </c>
      <c r="F8" s="5" t="n">
        <v>1025520</v>
      </c>
      <c r="G8" s="5" t="n"/>
      <c r="H8" s="5" t="n"/>
      <c r="I8" s="5" t="n"/>
      <c r="J8" s="5" t="n"/>
      <c r="K8" s="5" t="n"/>
      <c r="L8" s="5" t="n"/>
      <c r="O8" t="inlineStr">
        <is>
          <t>Customers' accounts</t>
        </is>
      </c>
      <c r="V8" t="n">
        <v>1025520</v>
      </c>
      <c r="W8" t="n">
        <v>1103256</v>
      </c>
      <c r="X8" t="n">
        <v>1155224</v>
      </c>
      <c r="Y8" t="n">
        <v>1271824</v>
      </c>
      <c r="Z8" t="n">
        <v>1633601</v>
      </c>
      <c r="BS8" t="inlineStr">
        <is>
          <t>Total Capital Ratio</t>
        </is>
      </c>
      <c r="BT8" t="n">
        <v>15.4</v>
      </c>
      <c r="BU8" t="n">
        <v>14.08</v>
      </c>
      <c r="BV8" t="n">
        <v>13.8</v>
      </c>
      <c r="BW8" t="n">
        <v>20.48</v>
      </c>
      <c r="BX8" t="n">
        <v>22.99</v>
      </c>
      <c r="BY8" t="n">
        <v>24.32</v>
      </c>
      <c r="BZ8" t="n">
        <v>23</v>
      </c>
      <c r="CA8" t="n">
        <v>23.61</v>
      </c>
      <c r="CB8" t="n">
        <v>25.99</v>
      </c>
      <c r="CC8" t="n">
        <v>24.6</v>
      </c>
      <c r="CD8" t="n">
        <v>21.7</v>
      </c>
    </row>
    <row r="9">
      <c r="A9" s="5" t="inlineStr">
        <is>
          <t>Total equity</t>
        </is>
      </c>
      <c r="B9" s="5" t="n">
        <v>248643</v>
      </c>
      <c r="C9" s="5" t="n">
        <v>240084</v>
      </c>
      <c r="D9" s="5" t="n">
        <v>214778</v>
      </c>
      <c r="E9" s="5" t="n">
        <v>184846</v>
      </c>
      <c r="F9" s="5" t="n">
        <v>163817</v>
      </c>
      <c r="G9" s="5" t="n"/>
      <c r="H9" s="5" t="n"/>
      <c r="I9" s="5" t="n"/>
      <c r="J9" s="5" t="n"/>
      <c r="K9" s="5" t="n"/>
      <c r="L9" s="5" t="n"/>
      <c r="O9" t="inlineStr">
        <is>
          <t>Total equity</t>
        </is>
      </c>
      <c r="V9" t="n">
        <v>163817</v>
      </c>
      <c r="W9" t="n">
        <v>184846</v>
      </c>
      <c r="X9" t="n">
        <v>214778</v>
      </c>
      <c r="Y9" t="n">
        <v>240084</v>
      </c>
      <c r="Z9" t="n">
        <v>248643</v>
      </c>
      <c r="BS9" t="inlineStr">
        <is>
          <t>Leverage Ratio</t>
        </is>
      </c>
      <c r="BZ9" t="n">
        <v>12.9</v>
      </c>
      <c r="CA9" t="n">
        <v>13.92</v>
      </c>
      <c r="CB9" t="n">
        <v>14.88</v>
      </c>
      <c r="CC9" t="n">
        <v>14.71</v>
      </c>
    </row>
    <row r="10">
      <c r="BS10" t="inlineStr">
        <is>
          <t>LCR</t>
        </is>
      </c>
      <c r="BZ10" t="n">
        <v>287</v>
      </c>
      <c r="CA10" t="n">
        <v>315</v>
      </c>
      <c r="CB10" t="n">
        <v>519</v>
      </c>
      <c r="CC10" t="n">
        <v>605</v>
      </c>
      <c r="CD10" t="n">
        <v>587</v>
      </c>
    </row>
    <row r="11">
      <c r="A11" s="3" t="inlineStr">
        <is>
          <t>Profit &amp; Loss Summary (£'000)</t>
        </is>
      </c>
      <c r="BS11" t="inlineStr">
        <is>
          <t>NSFR</t>
        </is>
      </c>
      <c r="CA11" t="n">
        <v>131</v>
      </c>
      <c r="CB11" t="n">
        <v>136</v>
      </c>
      <c r="CC11" t="n">
        <v>136</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Total operating income</t>
        </is>
      </c>
      <c r="B13" s="5" t="n">
        <v>71216</v>
      </c>
      <c r="C13" s="5" t="n">
        <v>73601</v>
      </c>
      <c r="D13" s="5" t="n">
        <v>76404</v>
      </c>
      <c r="E13" s="5" t="n">
        <v>59252</v>
      </c>
      <c r="F13" s="5" t="n">
        <v>44950</v>
      </c>
      <c r="G13" s="5" t="n"/>
      <c r="H13" s="5" t="n"/>
      <c r="I13" s="5" t="n"/>
      <c r="J13" s="5" t="n"/>
      <c r="K13" s="5" t="n"/>
      <c r="L13" s="5" t="n"/>
      <c r="AC13" t="inlineStr">
        <is>
          <t>Total operating income</t>
        </is>
      </c>
      <c r="AJ13" t="n">
        <v>44950</v>
      </c>
      <c r="AK13" t="n">
        <v>59252</v>
      </c>
      <c r="AL13" t="n">
        <v>76404</v>
      </c>
      <c r="AM13" t="n">
        <v>73601</v>
      </c>
      <c r="AN13" t="n">
        <v>71216</v>
      </c>
    </row>
    <row r="14">
      <c r="A14" s="5" t="inlineStr">
        <is>
          <t>Administrative expenses</t>
        </is>
      </c>
      <c r="B14" s="5" t="n">
        <v>-32390</v>
      </c>
      <c r="C14" s="5" t="n">
        <v>-31772</v>
      </c>
      <c r="D14" s="5" t="n">
        <v>-27287</v>
      </c>
      <c r="E14" s="5" t="n">
        <v>-25034</v>
      </c>
      <c r="F14" s="5" t="n">
        <v>-21965</v>
      </c>
      <c r="G14" s="5" t="n"/>
      <c r="H14" s="5" t="n"/>
      <c r="I14" s="5" t="n"/>
      <c r="J14" s="5" t="n"/>
      <c r="K14" s="5" t="n"/>
      <c r="L14" s="5" t="n"/>
      <c r="AC14" t="inlineStr">
        <is>
          <t>Administrative expenses</t>
        </is>
      </c>
      <c r="AJ14" t="n">
        <v>-21965</v>
      </c>
      <c r="AK14" t="n">
        <v>-25034</v>
      </c>
      <c r="AL14" t="n">
        <v>-27287</v>
      </c>
      <c r="AM14" t="n">
        <v>-31772</v>
      </c>
      <c r="AN14" t="n">
        <v>-32390</v>
      </c>
    </row>
    <row r="15">
      <c r="A15" s="5" t="inlineStr">
        <is>
          <t>Profit after tax</t>
        </is>
      </c>
      <c r="B15" s="5" t="n">
        <v>30492</v>
      </c>
      <c r="C15" s="5" t="n">
        <v>27663</v>
      </c>
      <c r="D15" s="5" t="n">
        <v>31290</v>
      </c>
      <c r="E15" s="5" t="n">
        <v>23202</v>
      </c>
      <c r="F15" s="5" t="n">
        <v>15466</v>
      </c>
      <c r="G15" s="5" t="n"/>
      <c r="H15" s="5" t="n"/>
      <c r="I15" s="5" t="n"/>
      <c r="J15" s="5" t="n"/>
      <c r="K15" s="5" t="n"/>
      <c r="L15" s="5" t="n"/>
      <c r="AC15" t="inlineStr">
        <is>
          <t>Profit after tax</t>
        </is>
      </c>
      <c r="AJ15" t="n">
        <v>15466</v>
      </c>
      <c r="AK15" t="n">
        <v>23202</v>
      </c>
      <c r="AL15" t="n">
        <v>31290</v>
      </c>
      <c r="AM15" t="n">
        <v>27663</v>
      </c>
      <c r="AN15" t="n">
        <v>30492</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240084</v>
      </c>
      <c r="C19" s="5" t="n">
        <v>214778</v>
      </c>
      <c r="D19" s="5" t="n">
        <v>184846</v>
      </c>
      <c r="E19" s="5" t="n">
        <v>163817</v>
      </c>
      <c r="F19" s="5" t="n"/>
      <c r="G19" s="5" t="n"/>
      <c r="H19" s="5" t="n"/>
      <c r="I19" s="5" t="n"/>
      <c r="J19" s="5" t="n"/>
      <c r="K19" s="5" t="n"/>
      <c r="L19" s="5" t="n"/>
      <c r="AQ19" t="inlineStr">
        <is>
          <t>Opening equity</t>
        </is>
      </c>
      <c r="AY19" t="n">
        <v>163817</v>
      </c>
      <c r="AZ19" t="n">
        <v>184846</v>
      </c>
      <c r="BA19" t="n">
        <v>214778</v>
      </c>
      <c r="BB19" t="n">
        <v>240084</v>
      </c>
    </row>
    <row r="20">
      <c r="A20" s="5" t="inlineStr">
        <is>
          <t>Total comprehensive income for the year</t>
        </is>
      </c>
      <c r="B20" s="5" t="n">
        <v>30843</v>
      </c>
      <c r="C20" s="5" t="n">
        <v>27765</v>
      </c>
      <c r="D20" s="5" t="n">
        <v>32123</v>
      </c>
      <c r="E20" s="5" t="n">
        <v>22468</v>
      </c>
      <c r="F20" s="5" t="n">
        <v>14965</v>
      </c>
      <c r="G20" s="5" t="n"/>
      <c r="H20" s="5" t="n"/>
      <c r="I20" s="5" t="n"/>
      <c r="J20" s="5" t="n"/>
      <c r="K20" s="5" t="n"/>
      <c r="L20" s="5" t="n"/>
      <c r="AQ20" t="inlineStr">
        <is>
          <t>Total comprehensive income for the year</t>
        </is>
      </c>
      <c r="AX20" t="n">
        <v>14965</v>
      </c>
      <c r="AY20" t="n">
        <v>22468</v>
      </c>
      <c r="AZ20" t="n">
        <v>32123</v>
      </c>
      <c r="BA20" t="n">
        <v>27765</v>
      </c>
      <c r="BB20" t="n">
        <v>30843</v>
      </c>
    </row>
    <row r="21">
      <c r="A21" s="5" t="inlineStr">
        <is>
          <t>Other equity movements, net</t>
        </is>
      </c>
      <c r="B21" s="5" t="n">
        <v>-22284</v>
      </c>
      <c r="C21" s="5" t="n">
        <v>-2459</v>
      </c>
      <c r="D21" s="5" t="n">
        <v>-2191</v>
      </c>
      <c r="E21" s="5" t="n">
        <v>-1439</v>
      </c>
      <c r="F21" s="5" t="n">
        <v>-1283</v>
      </c>
      <c r="G21" s="5" t="n"/>
      <c r="H21" s="5" t="n"/>
      <c r="I21" s="5" t="n"/>
      <c r="J21" s="5" t="n"/>
      <c r="K21" s="5" t="n"/>
      <c r="L21" s="5" t="n"/>
      <c r="AQ21" t="inlineStr">
        <is>
          <t>Other equity movements, net</t>
        </is>
      </c>
      <c r="AX21" t="n">
        <v>-1283</v>
      </c>
      <c r="AY21" t="n">
        <v>-1439</v>
      </c>
      <c r="AZ21" t="n">
        <v>-2191</v>
      </c>
      <c r="BA21" t="n">
        <v>-2459</v>
      </c>
      <c r="BB21" t="n">
        <v>-22284</v>
      </c>
    </row>
    <row r="22">
      <c r="A22" s="5" t="inlineStr">
        <is>
          <t>Closing equity</t>
        </is>
      </c>
      <c r="B22" s="5" t="n">
        <v>248643</v>
      </c>
      <c r="C22" s="5" t="n">
        <v>240084</v>
      </c>
      <c r="D22" s="5" t="n">
        <v>214778</v>
      </c>
      <c r="E22" s="5" t="n">
        <v>184846</v>
      </c>
      <c r="F22" s="5" t="n">
        <v>163817</v>
      </c>
      <c r="G22" s="5" t="n"/>
      <c r="H22" s="5" t="n"/>
      <c r="I22" s="5" t="n"/>
      <c r="J22" s="5" t="n"/>
      <c r="K22" s="5" t="n"/>
      <c r="L22" s="5" t="n"/>
      <c r="AQ22" t="inlineStr">
        <is>
          <t>Closing equity</t>
        </is>
      </c>
      <c r="AX22" t="n">
        <v>163817</v>
      </c>
      <c r="AY22" t="n">
        <v>184846</v>
      </c>
      <c r="AZ22" t="n">
        <v>214778</v>
      </c>
      <c r="BA22" t="n">
        <v>240084</v>
      </c>
      <c r="BB22" t="n">
        <v>248643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generated from operating activities</t>
        </is>
      </c>
      <c r="B26" s="5" t="n">
        <v>98255</v>
      </c>
      <c r="C26" s="5" t="n">
        <v>13542</v>
      </c>
      <c r="D26" s="5" t="n">
        <v>26342</v>
      </c>
      <c r="E26" s="5" t="n">
        <v>45314</v>
      </c>
      <c r="F26" s="5" t="n">
        <v>53825</v>
      </c>
      <c r="G26" s="5" t="n"/>
      <c r="H26" s="5" t="n"/>
      <c r="I26" s="5" t="n"/>
      <c r="J26" s="5" t="n"/>
      <c r="K26" s="5" t="n"/>
      <c r="L26" s="5" t="n"/>
      <c r="BE26" t="inlineStr">
        <is>
          <t>Net cash generated from operating activities</t>
        </is>
      </c>
      <c r="BL26" t="n">
        <v>53825</v>
      </c>
      <c r="BM26" t="n">
        <v>45314</v>
      </c>
      <c r="BN26" t="n">
        <v>26342</v>
      </c>
      <c r="BO26" t="n">
        <v>13542</v>
      </c>
      <c r="BP26" t="n">
        <v>98255</v>
      </c>
    </row>
    <row r="27">
      <c r="A27" s="5" t="inlineStr">
        <is>
          <t>Net cash (used in)/generated from investing activities</t>
        </is>
      </c>
      <c r="B27" s="5" t="n">
        <v>-87372</v>
      </c>
      <c r="C27" s="5" t="n">
        <v>-18987</v>
      </c>
      <c r="D27" s="5" t="n">
        <v>-16474</v>
      </c>
      <c r="E27" s="5" t="n">
        <v>4285</v>
      </c>
      <c r="F27" s="5" t="n">
        <v>-740</v>
      </c>
      <c r="G27" s="5" t="n"/>
      <c r="H27" s="5" t="n"/>
      <c r="I27" s="5" t="n"/>
      <c r="J27" s="5" t="n"/>
      <c r="K27" s="5" t="n"/>
      <c r="L27" s="5" t="n"/>
      <c r="BE27" t="inlineStr">
        <is>
          <t>Net cash (used in)/generated from investing activities</t>
        </is>
      </c>
      <c r="BL27" t="n">
        <v>-740</v>
      </c>
      <c r="BM27" t="n">
        <v>4285</v>
      </c>
      <c r="BN27" t="n">
        <v>-16474</v>
      </c>
      <c r="BO27" t="n">
        <v>-18987</v>
      </c>
      <c r="BP27" t="n">
        <v>-87372</v>
      </c>
    </row>
    <row r="28">
      <c r="A28" s="5" t="inlineStr">
        <is>
          <t>Net cash (used in)/generated from financing activities</t>
        </is>
      </c>
      <c r="B28" s="5" t="n">
        <v>-22284</v>
      </c>
      <c r="C28" s="5" t="n">
        <v>-2459</v>
      </c>
      <c r="D28" s="5" t="n">
        <v>2413</v>
      </c>
      <c r="E28" s="5" t="n">
        <v>-1439</v>
      </c>
      <c r="F28" s="5" t="n">
        <v>-1283</v>
      </c>
      <c r="G28" s="5" t="n"/>
      <c r="H28" s="5" t="n"/>
      <c r="I28" s="5" t="n"/>
      <c r="J28" s="5" t="n"/>
      <c r="K28" s="5" t="n"/>
      <c r="L28" s="5" t="n"/>
      <c r="BE28" t="inlineStr">
        <is>
          <t>Net cash (used in)/generated from financing activities</t>
        </is>
      </c>
      <c r="BL28" t="n">
        <v>-1283</v>
      </c>
      <c r="BM28" t="n">
        <v>-1439</v>
      </c>
      <c r="BN28" t="n">
        <v>2413</v>
      </c>
      <c r="BO28" t="n">
        <v>-2459</v>
      </c>
      <c r="BP28" t="n">
        <v>-22284</v>
      </c>
    </row>
    <row r="29">
      <c r="A29" s="5" t="inlineStr">
        <is>
          <t>Cash and cash equivalents at 31 December</t>
        </is>
      </c>
      <c r="B29" s="5" t="n">
        <v>293588</v>
      </c>
      <c r="C29" s="5" t="n">
        <v>304989</v>
      </c>
      <c r="D29" s="5" t="n">
        <v>312893</v>
      </c>
      <c r="E29" s="5" t="n">
        <v>300611</v>
      </c>
      <c r="F29" s="5" t="n">
        <v>252451</v>
      </c>
      <c r="G29" s="5" t="n"/>
      <c r="H29" s="5" t="n"/>
      <c r="I29" s="5" t="n"/>
      <c r="J29" s="5" t="n"/>
      <c r="K29" s="5" t="n"/>
      <c r="L29" s="5" t="n"/>
      <c r="BE29" t="inlineStr">
        <is>
          <t>Cash and cash equivalents at 31 December</t>
        </is>
      </c>
      <c r="BL29" t="n">
        <v>252451</v>
      </c>
      <c r="BM29" t="n">
        <v>300611</v>
      </c>
      <c r="BN29" t="n">
        <v>312893</v>
      </c>
      <c r="BO29" t="n">
        <v>304989</v>
      </c>
      <c r="BP29" t="n">
        <v>293588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19.2%</t>
        </is>
      </c>
      <c r="C33" s="6" t="inlineStr">
        <is>
          <t>21.75%</t>
        </is>
      </c>
      <c r="D33" s="6" t="inlineStr">
        <is>
          <t>22.67%</t>
        </is>
      </c>
      <c r="E33" s="6" t="inlineStr">
        <is>
          <t>20.70%</t>
        </is>
      </c>
      <c r="F33" s="6" t="inlineStr">
        <is>
          <t>19.86%</t>
        </is>
      </c>
      <c r="G33" s="6" t="inlineStr">
        <is>
          <t>20.69%</t>
        </is>
      </c>
      <c r="H33" s="6" t="inlineStr">
        <is>
          <t>19.29%</t>
        </is>
      </c>
      <c r="I33" s="6" t="inlineStr">
        <is>
          <t>16.79%</t>
        </is>
      </c>
      <c r="J33" s="6" t="inlineStr">
        <is>
          <t>11.19%</t>
        </is>
      </c>
      <c r="K33" s="6" t="inlineStr">
        <is>
          <t>10.60%</t>
        </is>
      </c>
      <c r="L33" s="6" t="inlineStr">
        <is>
          <t>10.5%</t>
        </is>
      </c>
    </row>
    <row r="34">
      <c r="A34" s="6" t="inlineStr">
        <is>
          <t>Tier 1 Ratio</t>
        </is>
      </c>
      <c r="B34" s="6" t="inlineStr">
        <is>
          <t>21.3%</t>
        </is>
      </c>
      <c r="C34" s="6" t="inlineStr">
        <is>
          <t>24.09%</t>
        </is>
      </c>
      <c r="D34" s="6" t="inlineStr">
        <is>
          <t>25.40%</t>
        </is>
      </c>
      <c r="E34" s="6" t="inlineStr">
        <is>
          <t>23.61%</t>
        </is>
      </c>
      <c r="F34" s="6" t="inlineStr">
        <is>
          <t>23.00%</t>
        </is>
      </c>
      <c r="G34" s="6" t="inlineStr">
        <is>
          <t>24.32%</t>
        </is>
      </c>
      <c r="H34" s="6" t="inlineStr">
        <is>
          <t>22.99%</t>
        </is>
      </c>
      <c r="I34" s="6" t="inlineStr">
        <is>
          <t>20.48%</t>
        </is>
      </c>
      <c r="J34" s="6" t="inlineStr">
        <is>
          <t>13.48%</t>
        </is>
      </c>
      <c r="K34" s="6" t="inlineStr">
        <is>
          <t>13.72%</t>
        </is>
      </c>
      <c r="L34" s="6" t="inlineStr">
        <is>
          <t>14.8%</t>
        </is>
      </c>
    </row>
    <row r="35">
      <c r="A35" s="6" t="inlineStr">
        <is>
          <t>Total Capital Ratio</t>
        </is>
      </c>
      <c r="B35" s="6" t="inlineStr">
        <is>
          <t>21.7%</t>
        </is>
      </c>
      <c r="C35" s="6" t="inlineStr">
        <is>
          <t>24.60%</t>
        </is>
      </c>
      <c r="D35" s="6" t="inlineStr">
        <is>
          <t>25.99%</t>
        </is>
      </c>
      <c r="E35" s="6" t="inlineStr">
        <is>
          <t>23.61%</t>
        </is>
      </c>
      <c r="F35" s="6" t="inlineStr">
        <is>
          <t>23.00%</t>
        </is>
      </c>
      <c r="G35" s="6" t="inlineStr">
        <is>
          <t>24.32%</t>
        </is>
      </c>
      <c r="H35" s="6" t="inlineStr">
        <is>
          <t>22.99%</t>
        </is>
      </c>
      <c r="I35" s="6" t="inlineStr">
        <is>
          <t>20.48%</t>
        </is>
      </c>
      <c r="J35" s="6" t="inlineStr">
        <is>
          <t>13.80%</t>
        </is>
      </c>
      <c r="K35" s="6" t="inlineStr">
        <is>
          <t>14.08%</t>
        </is>
      </c>
      <c r="L35" s="6" t="inlineStr">
        <is>
          <t>15.4%</t>
        </is>
      </c>
    </row>
    <row r="36">
      <c r="A36" s="6" t="inlineStr">
        <is>
          <t>Leverage Ratio</t>
        </is>
      </c>
      <c r="B36" s="6" t="n"/>
      <c r="C36" s="6" t="inlineStr">
        <is>
          <t>14.71%</t>
        </is>
      </c>
      <c r="D36" s="6" t="inlineStr">
        <is>
          <t>14.88%</t>
        </is>
      </c>
      <c r="E36" s="6" t="inlineStr">
        <is>
          <t>13.92%</t>
        </is>
      </c>
      <c r="F36" s="6" t="inlineStr">
        <is>
          <t>12.90%</t>
        </is>
      </c>
      <c r="G36" s="6" t="n"/>
      <c r="H36" s="6" t="n"/>
      <c r="I36" s="6" t="n"/>
      <c r="J36" s="6" t="n"/>
      <c r="K36" s="6" t="n"/>
      <c r="L36" s="6" t="n"/>
    </row>
    <row r="37">
      <c r="A37" s="6" t="inlineStr">
        <is>
          <t>LCR</t>
        </is>
      </c>
      <c r="B37" s="6" t="inlineStr">
        <is>
          <t>587%</t>
        </is>
      </c>
      <c r="C37" s="6" t="inlineStr">
        <is>
          <t>605%</t>
        </is>
      </c>
      <c r="D37" s="6" t="inlineStr">
        <is>
          <t>519%</t>
        </is>
      </c>
      <c r="E37" s="6" t="inlineStr">
        <is>
          <t>315%</t>
        </is>
      </c>
      <c r="F37" s="6" t="inlineStr">
        <is>
          <t>287%</t>
        </is>
      </c>
      <c r="G37" s="6" t="n"/>
      <c r="H37" s="6" t="n"/>
      <c r="I37" s="6" t="n"/>
      <c r="J37" s="6" t="n"/>
      <c r="K37" s="6" t="n"/>
      <c r="L37" s="6" t="n"/>
    </row>
    <row r="38">
      <c r="A38" s="6" t="inlineStr">
        <is>
          <t>NSFR</t>
        </is>
      </c>
      <c r="B38" s="6" t="n"/>
      <c r="C38" s="6" t="inlineStr">
        <is>
          <t>136%</t>
        </is>
      </c>
      <c r="D38" s="6" t="inlineStr">
        <is>
          <t>136%</t>
        </is>
      </c>
      <c r="E38" s="6" t="inlineStr">
        <is>
          <t>131%</t>
        </is>
      </c>
      <c r="F38" s="6" t="n"/>
      <c r="G38" s="6" t="n"/>
      <c r="H38" s="6" t="n"/>
      <c r="I38" s="6" t="n"/>
      <c r="J38" s="6" t="n"/>
      <c r="K38" s="6" t="n"/>
      <c r="L38" s="6" t="n"/>
    </row>
    <row r="40" ht="45" customHeight="1">
      <c r="A40" s="7" t="inlineStr">
        <is>
          <t>Note: Figures are duplicated from the detail sheets for at-a-glance trend viewing; see each sheet's own source citation for the underlying document/page. See the RWA and Leverage caveats on the Total RWAs and Leverage Ratio sheets before treating year-on-year moves in those two series as fully comparable.</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Balance Sheet</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banks</t>
        </is>
      </c>
      <c r="B5" s="6" t="n">
        <v>282554</v>
      </c>
      <c r="C5" s="6" t="n">
        <v>292850</v>
      </c>
      <c r="D5" s="6" t="n">
        <v>302473</v>
      </c>
      <c r="E5" s="6" t="n">
        <v>286680</v>
      </c>
      <c r="F5" s="6" t="n">
        <v>240158</v>
      </c>
      <c r="G5" s="6" t="n">
        <v>190962</v>
      </c>
      <c r="H5" s="6" t="n">
        <v>228972</v>
      </c>
      <c r="I5" s="6" t="n">
        <v>232286</v>
      </c>
      <c r="J5" s="6" t="n">
        <v>164295</v>
      </c>
      <c r="K5" s="6" t="n">
        <v>127905</v>
      </c>
      <c r="L5" s="6" t="n">
        <v>62121</v>
      </c>
    </row>
    <row r="6">
      <c r="A6" s="6" t="inlineStr">
        <is>
          <t>Loans and advances to banks</t>
        </is>
      </c>
      <c r="B6" s="6" t="n">
        <v>11034</v>
      </c>
      <c r="C6" s="6" t="n">
        <v>12139</v>
      </c>
      <c r="D6" s="6" t="n">
        <v>10420</v>
      </c>
      <c r="E6" s="6" t="n">
        <v>13931</v>
      </c>
      <c r="F6" s="6" t="n">
        <v>12293</v>
      </c>
      <c r="G6" s="6" t="n">
        <v>9687</v>
      </c>
      <c r="H6" s="6" t="n">
        <v>7695</v>
      </c>
      <c r="I6" s="6" t="n">
        <v>14384</v>
      </c>
      <c r="J6" s="6" t="n">
        <v>20091</v>
      </c>
      <c r="K6" s="6" t="n">
        <v>14754</v>
      </c>
      <c r="L6" s="6" t="n">
        <v>10740</v>
      </c>
    </row>
    <row r="7">
      <c r="A7" s="6" t="inlineStr">
        <is>
          <t>Debt securities (fair value through other comprehensive income)</t>
        </is>
      </c>
      <c r="B7" s="6" t="n">
        <v>151065</v>
      </c>
      <c r="C7" s="6" t="n">
        <v>65137</v>
      </c>
      <c r="D7" s="6" t="n">
        <v>47409</v>
      </c>
      <c r="E7" s="6" t="n">
        <v>30412</v>
      </c>
      <c r="F7" s="6" t="n">
        <v>37137</v>
      </c>
      <c r="G7" s="6" t="n">
        <v>38044</v>
      </c>
      <c r="H7" s="6" t="n">
        <v>0</v>
      </c>
      <c r="I7" s="6" t="n">
        <v>13350</v>
      </c>
      <c r="J7" s="6" t="n">
        <v>3107</v>
      </c>
      <c r="K7" s="6" t="n">
        <v>13249</v>
      </c>
      <c r="L7" s="6" t="n">
        <v>27229</v>
      </c>
    </row>
    <row r="8">
      <c r="A8" s="6" t="inlineStr">
        <is>
          <t>Loans and advances to customers</t>
        </is>
      </c>
      <c r="B8" s="6" t="n">
        <v>1446075</v>
      </c>
      <c r="C8" s="6" t="n">
        <v>1204444</v>
      </c>
      <c r="D8" s="6" t="n">
        <v>1083278</v>
      </c>
      <c r="E8" s="6" t="n">
        <v>1037710</v>
      </c>
      <c r="F8" s="6" t="n">
        <v>977834</v>
      </c>
      <c r="G8" s="6" t="n">
        <v>828380</v>
      </c>
      <c r="H8" s="6" t="n">
        <v>761503</v>
      </c>
      <c r="I8" s="6" t="n">
        <v>769016</v>
      </c>
      <c r="J8" s="6" t="n">
        <v>689954</v>
      </c>
      <c r="K8" s="6" t="n">
        <v>588352</v>
      </c>
      <c r="L8" s="6" t="n">
        <v>416263</v>
      </c>
    </row>
    <row r="9">
      <c r="A9" s="6" t="inlineStr">
        <is>
          <t>Derivative financial assets</t>
        </is>
      </c>
      <c r="B9" s="6" t="n">
        <v>0</v>
      </c>
      <c r="C9" s="6" t="n">
        <v>149</v>
      </c>
      <c r="D9" s="6" t="n">
        <v>0</v>
      </c>
      <c r="E9" s="6" t="n"/>
      <c r="F9" s="6" t="n"/>
      <c r="G9" s="6" t="n">
        <v>9</v>
      </c>
      <c r="H9" s="6" t="n">
        <v>0</v>
      </c>
      <c r="I9" s="6" t="n"/>
      <c r="J9" s="6" t="n"/>
      <c r="K9" s="6" t="n">
        <v>0</v>
      </c>
      <c r="L9" s="6" t="n">
        <v>15</v>
      </c>
    </row>
    <row r="10">
      <c r="A10" s="6" t="inlineStr">
        <is>
          <t>Other assets and prepayments</t>
        </is>
      </c>
      <c r="B10" s="6" t="n">
        <v>1534</v>
      </c>
      <c r="C10" s="6" t="n">
        <v>1443</v>
      </c>
      <c r="D10" s="6" t="n">
        <v>2526</v>
      </c>
      <c r="E10" s="6" t="n">
        <v>2573</v>
      </c>
      <c r="F10" s="6" t="n">
        <v>2091</v>
      </c>
      <c r="G10" s="6" t="n">
        <v>1431</v>
      </c>
      <c r="H10" s="6" t="n">
        <v>1224</v>
      </c>
      <c r="I10" s="6" t="n">
        <v>940</v>
      </c>
      <c r="J10" s="6" t="n">
        <v>868</v>
      </c>
      <c r="K10" s="6" t="n">
        <v>449</v>
      </c>
      <c r="L10" s="6" t="n">
        <v>365</v>
      </c>
    </row>
    <row r="11">
      <c r="A11" s="6" t="inlineStr">
        <is>
          <t>Property, plant and equipment</t>
        </is>
      </c>
      <c r="B11" s="6" t="n">
        <v>1398</v>
      </c>
      <c r="C11" s="6" t="n">
        <v>1700</v>
      </c>
      <c r="D11" s="6" t="n">
        <v>2026</v>
      </c>
      <c r="E11" s="6" t="n">
        <v>2366</v>
      </c>
      <c r="F11" s="6" t="n">
        <v>2587</v>
      </c>
      <c r="G11" s="6" t="n">
        <v>2934</v>
      </c>
      <c r="H11" s="6" t="n">
        <v>3154</v>
      </c>
      <c r="I11" s="6" t="n">
        <v>386</v>
      </c>
      <c r="J11" s="6" t="n">
        <v>144</v>
      </c>
      <c r="K11" s="6" t="n">
        <v>329</v>
      </c>
      <c r="L11" s="6" t="n">
        <v>274</v>
      </c>
    </row>
    <row r="12">
      <c r="A12" s="6" t="inlineStr">
        <is>
          <t>Intangible assets</t>
        </is>
      </c>
      <c r="B12" s="6" t="n">
        <v>3089</v>
      </c>
      <c r="C12" s="6" t="n">
        <v>2277</v>
      </c>
      <c r="D12" s="6" t="n">
        <v>1869</v>
      </c>
      <c r="E12" s="6" t="n">
        <v>1774</v>
      </c>
      <c r="F12" s="6" t="n">
        <v>1589</v>
      </c>
      <c r="G12" s="6" t="n">
        <v>1567</v>
      </c>
      <c r="H12" s="6" t="n">
        <v>791</v>
      </c>
      <c r="I12" s="6" t="n">
        <v>846</v>
      </c>
      <c r="J12" s="6" t="n">
        <v>520</v>
      </c>
      <c r="K12" s="6" t="n">
        <v>509</v>
      </c>
      <c r="L12" s="6" t="n">
        <v>681</v>
      </c>
    </row>
    <row r="13">
      <c r="A13" s="6" t="inlineStr">
        <is>
          <t>Current tax asset</t>
        </is>
      </c>
      <c r="B13" s="6" t="n">
        <v>1276</v>
      </c>
      <c r="C13" s="6" t="n">
        <v>689</v>
      </c>
      <c r="D13" s="6" t="n">
        <v>0</v>
      </c>
      <c r="E13" s="6" t="n">
        <v>0</v>
      </c>
      <c r="F13" s="6" t="n">
        <v>407</v>
      </c>
      <c r="G13" s="6" t="n">
        <v>522</v>
      </c>
      <c r="H13" s="6" t="n">
        <v>0</v>
      </c>
      <c r="I13" s="6" t="n"/>
      <c r="J13" s="6" t="n"/>
      <c r="K13" s="6" t="n"/>
      <c r="L13" s="6" t="n"/>
    </row>
    <row r="14">
      <c r="A14" s="6" t="inlineStr">
        <is>
          <t>Deferred tax asset</t>
        </is>
      </c>
      <c r="B14" s="6" t="n">
        <v>608</v>
      </c>
      <c r="C14" s="6" t="n">
        <v>907</v>
      </c>
      <c r="D14" s="6" t="n">
        <v>721</v>
      </c>
      <c r="E14" s="6" t="n">
        <v>1099</v>
      </c>
      <c r="F14" s="6" t="n">
        <v>775</v>
      </c>
      <c r="G14" s="6" t="n">
        <v>725</v>
      </c>
      <c r="H14" s="6" t="n">
        <v>729</v>
      </c>
      <c r="I14" s="6" t="n">
        <v>880</v>
      </c>
      <c r="J14" s="6" t="n">
        <v>253</v>
      </c>
      <c r="K14" s="6" t="n">
        <v>220</v>
      </c>
      <c r="L14" s="6" t="n">
        <v>261</v>
      </c>
    </row>
    <row r="15">
      <c r="A15" s="5" t="inlineStr">
        <is>
          <t>Total assets</t>
        </is>
      </c>
      <c r="B15" s="5" t="n">
        <v>1898633</v>
      </c>
      <c r="C15" s="5" t="n">
        <v>1581735</v>
      </c>
      <c r="D15" s="5" t="n">
        <v>1450722</v>
      </c>
      <c r="E15" s="5" t="n">
        <v>1376545</v>
      </c>
      <c r="F15" s="5" t="n">
        <v>1274871</v>
      </c>
      <c r="G15" s="5" t="n">
        <v>1074261</v>
      </c>
      <c r="H15" s="5" t="n">
        <v>1004068</v>
      </c>
      <c r="I15" s="5" t="n">
        <v>1032088</v>
      </c>
      <c r="J15" s="5" t="n">
        <v>879232</v>
      </c>
      <c r="K15" s="5" t="n">
        <v>745767</v>
      </c>
      <c r="L15" s="5" t="n">
        <v>517949</v>
      </c>
    </row>
    <row r="16">
      <c r="A16" s="5" t="inlineStr">
        <is>
          <t>Liabilities</t>
        </is>
      </c>
      <c r="B16" s="6" t="n"/>
      <c r="C16" s="6" t="n"/>
      <c r="D16" s="6" t="n"/>
      <c r="E16" s="6" t="n"/>
      <c r="F16" s="6" t="n"/>
      <c r="G16" s="6" t="n"/>
      <c r="H16" s="6" t="n"/>
      <c r="I16" s="6" t="n"/>
      <c r="J16" s="6" t="n"/>
      <c r="K16" s="6" t="n"/>
      <c r="L16" s="6" t="n"/>
    </row>
    <row r="17">
      <c r="A17" s="6" t="inlineStr">
        <is>
          <t>Customers' accounts</t>
        </is>
      </c>
      <c r="B17" s="6" t="n">
        <v>1633601</v>
      </c>
      <c r="C17" s="6" t="n">
        <v>1271824</v>
      </c>
      <c r="D17" s="6" t="n">
        <v>1155224</v>
      </c>
      <c r="E17" s="6" t="n">
        <v>1103256</v>
      </c>
      <c r="F17" s="6" t="n">
        <v>1025520</v>
      </c>
      <c r="G17" s="6" t="n">
        <v>917215</v>
      </c>
      <c r="H17" s="6" t="n">
        <v>854449</v>
      </c>
      <c r="I17" s="6" t="n">
        <v>901398</v>
      </c>
      <c r="J17" s="6" t="n">
        <v>798176</v>
      </c>
      <c r="K17" s="6" t="n">
        <v>684672</v>
      </c>
      <c r="L17" s="6" t="n">
        <v>471564</v>
      </c>
    </row>
    <row r="18">
      <c r="A18" s="6" t="inlineStr">
        <is>
          <t>Central Bank facilities</t>
        </is>
      </c>
      <c r="B18" s="6" t="n">
        <v>0</v>
      </c>
      <c r="C18" s="6" t="n">
        <v>55000</v>
      </c>
      <c r="D18" s="6" t="n">
        <v>65000</v>
      </c>
      <c r="E18" s="6" t="n">
        <v>78000</v>
      </c>
      <c r="F18" s="6" t="n">
        <v>78000</v>
      </c>
      <c r="G18" s="6" t="n"/>
      <c r="H18" s="6" t="n"/>
      <c r="I18" s="6" t="n"/>
      <c r="J18" s="6" t="n"/>
      <c r="K18" s="6" t="n"/>
      <c r="L18" s="6" t="n"/>
    </row>
    <row r="19">
      <c r="A19" s="6" t="inlineStr">
        <is>
          <t>Subordinated debt liability</t>
        </is>
      </c>
      <c r="B19" s="6" t="n">
        <v>4840</v>
      </c>
      <c r="C19" s="6" t="n">
        <v>4800</v>
      </c>
      <c r="D19" s="6" t="n">
        <v>4751</v>
      </c>
      <c r="E19" s="6" t="n"/>
      <c r="F19" s="6" t="n"/>
      <c r="G19" s="6" t="n"/>
      <c r="H19" s="6" t="n"/>
      <c r="I19" s="6" t="n"/>
      <c r="J19" s="6" t="n"/>
      <c r="K19" s="6" t="n">
        <v>0</v>
      </c>
      <c r="L19" s="6" t="n">
        <v>2086</v>
      </c>
    </row>
    <row r="20">
      <c r="A20" s="6" t="inlineStr">
        <is>
          <t>Derivative financial liabilities</t>
        </is>
      </c>
      <c r="B20" s="6" t="n">
        <v>3087</v>
      </c>
      <c r="C20" s="6" t="n">
        <v>0</v>
      </c>
      <c r="D20" s="6" t="n">
        <v>652</v>
      </c>
      <c r="E20" s="6" t="n">
        <v>1010</v>
      </c>
      <c r="F20" s="6" t="n">
        <v>254</v>
      </c>
      <c r="G20" s="6" t="n">
        <v>0</v>
      </c>
      <c r="H20" s="6" t="n">
        <v>31</v>
      </c>
      <c r="I20" s="6" t="n">
        <v>94</v>
      </c>
      <c r="J20" s="6" t="n">
        <v>121</v>
      </c>
      <c r="K20" s="6" t="n">
        <v>183</v>
      </c>
      <c r="L20" s="6" t="n">
        <v>29</v>
      </c>
    </row>
    <row r="21">
      <c r="A21" s="6" t="inlineStr">
        <is>
          <t>Provisions</t>
        </is>
      </c>
      <c r="B21" s="6" t="n">
        <v>0</v>
      </c>
      <c r="C21" s="6" t="n">
        <v>750</v>
      </c>
      <c r="D21" s="6" t="n"/>
      <c r="E21" s="6" t="n"/>
      <c r="F21" s="6" t="n"/>
      <c r="G21" s="6" t="n"/>
      <c r="H21" s="6" t="n"/>
      <c r="I21" s="6" t="n">
        <v>8</v>
      </c>
      <c r="J21" s="6" t="n">
        <v>134</v>
      </c>
      <c r="K21" s="6" t="n"/>
      <c r="L21" s="6" t="n"/>
    </row>
    <row r="22">
      <c r="A22" s="6" t="inlineStr">
        <is>
          <t>Other liabilities and accruals</t>
        </is>
      </c>
      <c r="B22" s="6" t="n">
        <v>8462</v>
      </c>
      <c r="C22" s="6" t="n">
        <v>9277</v>
      </c>
      <c r="D22" s="6" t="n">
        <v>9628</v>
      </c>
      <c r="E22" s="6" t="n">
        <v>9107</v>
      </c>
      <c r="F22" s="6" t="n">
        <v>7280</v>
      </c>
      <c r="G22" s="6" t="n">
        <v>6911</v>
      </c>
      <c r="H22" s="6" t="n">
        <v>5840</v>
      </c>
      <c r="I22" s="6" t="n">
        <v>2710</v>
      </c>
      <c r="J22" s="6" t="n">
        <v>2194</v>
      </c>
      <c r="K22" s="6" t="n">
        <v>3668</v>
      </c>
      <c r="L22" s="6" t="n">
        <v>2982</v>
      </c>
    </row>
    <row r="23">
      <c r="A23" s="6" t="inlineStr">
        <is>
          <t>Current tax liability</t>
        </is>
      </c>
      <c r="B23" s="6" t="n">
        <v>0</v>
      </c>
      <c r="C23" s="6" t="n">
        <v>0</v>
      </c>
      <c r="D23" s="6" t="n">
        <v>689</v>
      </c>
      <c r="E23" s="6" t="n">
        <v>326</v>
      </c>
      <c r="F23" s="6" t="n">
        <v>0</v>
      </c>
      <c r="G23" s="6" t="n">
        <v>0</v>
      </c>
      <c r="H23" s="6" t="n">
        <v>1595</v>
      </c>
      <c r="I23" s="6" t="n">
        <v>2698</v>
      </c>
      <c r="J23" s="6" t="n">
        <v>2364</v>
      </c>
      <c r="K23" s="6" t="n"/>
      <c r="L23" s="6" t="n"/>
    </row>
    <row r="24">
      <c r="A24" s="5" t="inlineStr">
        <is>
          <t>Total liabilities</t>
        </is>
      </c>
      <c r="B24" s="5" t="n">
        <v>1649990</v>
      </c>
      <c r="C24" s="5" t="n">
        <v>1341651</v>
      </c>
      <c r="D24" s="5" t="n">
        <v>1235944</v>
      </c>
      <c r="E24" s="5" t="n">
        <v>1191699</v>
      </c>
      <c r="F24" s="5" t="n">
        <v>1111054</v>
      </c>
      <c r="G24" s="5" t="n">
        <v>924126</v>
      </c>
      <c r="H24" s="5" t="n">
        <v>861915</v>
      </c>
      <c r="I24" s="5" t="n">
        <v>906908</v>
      </c>
      <c r="J24" s="5" t="n">
        <v>802989</v>
      </c>
      <c r="K24" s="5" t="n">
        <v>688523</v>
      </c>
      <c r="L24" s="5" t="n">
        <v>476661</v>
      </c>
    </row>
    <row r="25">
      <c r="A25" s="5" t="inlineStr">
        <is>
          <t>Equity</t>
        </is>
      </c>
      <c r="B25" s="6" t="n"/>
      <c r="C25" s="6" t="n"/>
      <c r="D25" s="6" t="n"/>
      <c r="E25" s="6" t="n"/>
      <c r="F25" s="6" t="n"/>
      <c r="G25" s="6" t="n"/>
      <c r="H25" s="6" t="n"/>
      <c r="I25" s="6" t="n"/>
      <c r="J25" s="6" t="n"/>
      <c r="K25" s="6" t="n"/>
      <c r="L25" s="6" t="n"/>
    </row>
    <row r="26">
      <c r="A26" s="6" t="inlineStr">
        <is>
          <t>Share capital</t>
        </is>
      </c>
      <c r="B26" s="6" t="n">
        <v>44955</v>
      </c>
      <c r="C26" s="6" t="n">
        <v>44955</v>
      </c>
      <c r="D26" s="6" t="n">
        <v>44955</v>
      </c>
      <c r="E26" s="6" t="n">
        <v>44955</v>
      </c>
      <c r="F26" s="6" t="n">
        <v>44955</v>
      </c>
      <c r="G26" s="6" t="n">
        <v>44955</v>
      </c>
      <c r="H26" s="6" t="n">
        <v>44955</v>
      </c>
      <c r="I26" s="6" t="n">
        <v>44955</v>
      </c>
      <c r="J26" s="6" t="n">
        <v>23955</v>
      </c>
      <c r="K26" s="6" t="n">
        <v>23955</v>
      </c>
      <c r="L26" s="6" t="n">
        <v>22955</v>
      </c>
    </row>
    <row r="27">
      <c r="A27" s="6" t="inlineStr">
        <is>
          <t>Contingent convertible loan notes</t>
        </is>
      </c>
      <c r="B27" s="6" t="n">
        <v>22900</v>
      </c>
      <c r="C27" s="6" t="n">
        <v>22900</v>
      </c>
      <c r="D27" s="6" t="n">
        <v>22900</v>
      </c>
      <c r="E27" s="6" t="n">
        <v>22900</v>
      </c>
      <c r="F27" s="6" t="n">
        <v>22900</v>
      </c>
      <c r="G27" s="6" t="n">
        <v>22900</v>
      </c>
      <c r="H27" s="6" t="n">
        <v>22900</v>
      </c>
      <c r="I27" s="6" t="n">
        <v>22900</v>
      </c>
      <c r="J27" s="6" t="n">
        <v>12900</v>
      </c>
      <c r="K27" s="6" t="n">
        <v>12900</v>
      </c>
      <c r="L27" s="6" t="n">
        <v>11900</v>
      </c>
    </row>
    <row r="28">
      <c r="A28" s="6" t="inlineStr">
        <is>
          <t>Fair value through other comprehensive income reserve</t>
        </is>
      </c>
      <c r="B28" s="6" t="n">
        <v>77</v>
      </c>
      <c r="C28" s="6" t="n">
        <v>-274</v>
      </c>
      <c r="D28" s="6" t="n">
        <v>-376</v>
      </c>
      <c r="E28" s="6" t="n">
        <v>-1209</v>
      </c>
      <c r="F28" s="6" t="n">
        <v>-475</v>
      </c>
      <c r="G28" s="6" t="n">
        <v>26</v>
      </c>
      <c r="H28" s="6" t="n">
        <v>2</v>
      </c>
      <c r="I28" s="6" t="n">
        <v>73</v>
      </c>
      <c r="J28" s="6" t="n">
        <v>36</v>
      </c>
      <c r="K28" s="6" t="n">
        <v>106</v>
      </c>
      <c r="L28" s="6" t="n">
        <v>11</v>
      </c>
    </row>
    <row r="29">
      <c r="A29" s="6" t="inlineStr">
        <is>
          <t>Retained earnings</t>
        </is>
      </c>
      <c r="B29" s="6" t="n">
        <v>180711</v>
      </c>
      <c r="C29" s="6" t="n">
        <v>172503</v>
      </c>
      <c r="D29" s="6" t="n">
        <v>147299</v>
      </c>
      <c r="E29" s="6" t="n">
        <v>118200</v>
      </c>
      <c r="F29" s="6" t="n">
        <v>96437</v>
      </c>
      <c r="G29" s="6" t="n">
        <v>82254</v>
      </c>
      <c r="H29" s="6" t="n">
        <v>74296</v>
      </c>
      <c r="I29" s="6" t="n">
        <v>57252</v>
      </c>
      <c r="J29" s="6" t="n">
        <v>39352</v>
      </c>
      <c r="K29" s="6" t="n">
        <v>20283</v>
      </c>
      <c r="L29" s="6" t="n">
        <v>6422</v>
      </c>
    </row>
    <row r="30">
      <c r="A30" s="5" t="inlineStr">
        <is>
          <t>Total equity</t>
        </is>
      </c>
      <c r="B30" s="5" t="n">
        <v>248643</v>
      </c>
      <c r="C30" s="5" t="n">
        <v>240084</v>
      </c>
      <c r="D30" s="5" t="n">
        <v>214778</v>
      </c>
      <c r="E30" s="5" t="n">
        <v>184846</v>
      </c>
      <c r="F30" s="5" t="n">
        <v>163817</v>
      </c>
      <c r="G30" s="5" t="n">
        <v>150135</v>
      </c>
      <c r="H30" s="5" t="n">
        <v>142153</v>
      </c>
      <c r="I30" s="5" t="n">
        <v>125180</v>
      </c>
      <c r="J30" s="5" t="n">
        <v>76243</v>
      </c>
      <c r="K30" s="5" t="n">
        <v>57244</v>
      </c>
      <c r="L30" s="5" t="n">
        <v>41288</v>
      </c>
    </row>
    <row r="31">
      <c r="A31" s="5" t="inlineStr">
        <is>
          <t>Total liabilities and equity</t>
        </is>
      </c>
      <c r="B31" s="5" t="n">
        <v>1898633</v>
      </c>
      <c r="C31" s="5" t="n">
        <v>1581735</v>
      </c>
      <c r="D31" s="5" t="n">
        <v>1450722</v>
      </c>
      <c r="E31" s="5" t="n">
        <v>1376545</v>
      </c>
      <c r="F31" s="5" t="n">
        <v>1274871</v>
      </c>
      <c r="G31" s="5" t="n">
        <v>1074261</v>
      </c>
      <c r="H31" s="5" t="n">
        <v>1004068</v>
      </c>
      <c r="I31" s="5" t="n">
        <v>1032088</v>
      </c>
      <c r="J31" s="5" t="n">
        <v>879232</v>
      </c>
      <c r="K31" s="5" t="n">
        <v>745767</v>
      </c>
      <c r="L31" s="5" t="n">
        <v>517949</v>
      </c>
    </row>
    <row r="33" ht="260" customHeight="1">
      <c r="A33"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33:L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Profit &amp; Loss</t>
        </is>
      </c>
    </row>
    <row r="2">
      <c r="A2" s="2" t="inlineStr">
        <is>
          <t>Bank-only basis (no subsidiaries), £'000. All profit for the year arises from continuing operations.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 calculated using the effective interest rate</t>
        </is>
      </c>
      <c r="B5" s="6" t="n">
        <v>130181</v>
      </c>
      <c r="C5" s="6" t="n">
        <v>128313</v>
      </c>
      <c r="D5" s="6" t="n">
        <v>116023</v>
      </c>
      <c r="E5" s="6" t="n">
        <v>75977</v>
      </c>
      <c r="F5" s="6" t="n">
        <v>55335</v>
      </c>
      <c r="G5" s="6" t="n">
        <v>50897</v>
      </c>
      <c r="H5" s="6" t="n">
        <v>57045</v>
      </c>
      <c r="I5" s="6" t="n">
        <v>57514</v>
      </c>
      <c r="J5" s="6" t="n">
        <v>48198</v>
      </c>
      <c r="K5" s="6" t="n">
        <v>35261</v>
      </c>
      <c r="L5" s="6" t="n">
        <v>24253</v>
      </c>
    </row>
    <row r="6">
      <c r="A6" s="6" t="inlineStr">
        <is>
          <t>Interest expense</t>
        </is>
      </c>
      <c r="B6" s="6" t="n">
        <v>-59341</v>
      </c>
      <c r="C6" s="6" t="n">
        <v>-54838</v>
      </c>
      <c r="D6" s="6" t="n">
        <v>-40172</v>
      </c>
      <c r="E6" s="6" t="n">
        <v>-16753</v>
      </c>
      <c r="F6" s="6" t="n">
        <v>-10408</v>
      </c>
      <c r="G6" s="6" t="n">
        <v>-12785</v>
      </c>
      <c r="H6" s="6" t="n">
        <v>-14137</v>
      </c>
      <c r="I6" s="6" t="n">
        <v>-13089</v>
      </c>
      <c r="J6" s="6" t="n">
        <v>-9767</v>
      </c>
      <c r="K6" s="6" t="n">
        <v>-8579</v>
      </c>
      <c r="L6" s="6" t="n">
        <v>-6727</v>
      </c>
    </row>
    <row r="7">
      <c r="A7" s="5" t="inlineStr">
        <is>
          <t>Net interest income</t>
        </is>
      </c>
      <c r="B7" s="5" t="n">
        <v>70840</v>
      </c>
      <c r="C7" s="5" t="n">
        <v>73475</v>
      </c>
      <c r="D7" s="5" t="n">
        <v>75851</v>
      </c>
      <c r="E7" s="5" t="n">
        <v>59224</v>
      </c>
      <c r="F7" s="5" t="n">
        <v>44927</v>
      </c>
      <c r="G7" s="5" t="n">
        <v>38112</v>
      </c>
      <c r="H7" s="5" t="n">
        <v>42908</v>
      </c>
      <c r="I7" s="5" t="n">
        <v>44425</v>
      </c>
      <c r="J7" s="5" t="n">
        <v>38431</v>
      </c>
      <c r="K7" s="5" t="n">
        <v>26682</v>
      </c>
      <c r="L7" s="5" t="n">
        <v>17526</v>
      </c>
    </row>
    <row r="8">
      <c r="A8" s="6" t="inlineStr">
        <is>
          <t>Other income</t>
        </is>
      </c>
      <c r="B8" s="6" t="n">
        <v>376</v>
      </c>
      <c r="C8" s="6" t="n">
        <v>126</v>
      </c>
      <c r="D8" s="6" t="n">
        <v>553</v>
      </c>
      <c r="E8" s="6" t="n">
        <v>28</v>
      </c>
      <c r="F8" s="6" t="n">
        <v>23</v>
      </c>
      <c r="G8" s="6" t="n">
        <v>30</v>
      </c>
      <c r="H8" s="6" t="n">
        <v>50</v>
      </c>
      <c r="I8" s="6" t="n">
        <v>310</v>
      </c>
      <c r="J8" s="6" t="n">
        <v>528</v>
      </c>
      <c r="K8" s="6" t="n">
        <v>1997</v>
      </c>
      <c r="L8" s="6" t="n">
        <v>1016</v>
      </c>
    </row>
    <row r="9">
      <c r="A9" s="5" t="inlineStr">
        <is>
          <t>Total operating income</t>
        </is>
      </c>
      <c r="B9" s="5" t="n">
        <v>71216</v>
      </c>
      <c r="C9" s="5" t="n">
        <v>73601</v>
      </c>
      <c r="D9" s="5" t="n">
        <v>76404</v>
      </c>
      <c r="E9" s="5" t="n">
        <v>59252</v>
      </c>
      <c r="F9" s="5" t="n">
        <v>44950</v>
      </c>
      <c r="G9" s="5" t="n">
        <v>38142</v>
      </c>
      <c r="H9" s="5" t="n">
        <v>42958</v>
      </c>
      <c r="I9" s="5" t="n">
        <v>44735</v>
      </c>
      <c r="J9" s="5" t="n">
        <v>38959</v>
      </c>
      <c r="K9" s="5" t="n">
        <v>28679</v>
      </c>
      <c r="L9" s="5" t="n">
        <v>18542</v>
      </c>
    </row>
    <row r="10">
      <c r="A10" s="5" t="inlineStr">
        <is>
          <t>Expenses</t>
        </is>
      </c>
      <c r="B10" s="6" t="n"/>
      <c r="C10" s="6" t="n"/>
      <c r="D10" s="6" t="n"/>
      <c r="E10" s="6" t="n"/>
      <c r="F10" s="6" t="n"/>
      <c r="G10" s="6" t="n"/>
      <c r="H10" s="6" t="n"/>
      <c r="I10" s="6" t="n"/>
      <c r="J10" s="6" t="n"/>
      <c r="K10" s="6" t="n"/>
      <c r="L10" s="6" t="n"/>
    </row>
    <row r="11">
      <c r="A11" s="5" t="inlineStr">
        <is>
          <t>Administrative expenses</t>
        </is>
      </c>
      <c r="B11" s="5" t="n">
        <v>-32390</v>
      </c>
      <c r="C11" s="5" t="n">
        <v>-31772</v>
      </c>
      <c r="D11" s="5" t="n">
        <v>-27287</v>
      </c>
      <c r="E11" s="5" t="n">
        <v>-25034</v>
      </c>
      <c r="F11" s="5" t="n">
        <v>-21965</v>
      </c>
      <c r="G11" s="5" t="n">
        <v>-20236</v>
      </c>
      <c r="H11" s="5" t="n">
        <v>-17763</v>
      </c>
      <c r="I11" s="5" t="n">
        <v>-14584</v>
      </c>
      <c r="J11" s="5" t="n">
        <v>-11826</v>
      </c>
      <c r="K11" s="5" t="n">
        <v>-8873</v>
      </c>
      <c r="L11" s="5" t="n">
        <v>-7668</v>
      </c>
    </row>
    <row r="12">
      <c r="A12" s="6" t="inlineStr">
        <is>
          <t>Depreciation and amortisation</t>
        </is>
      </c>
      <c r="B12" s="6" t="n">
        <v>-1122</v>
      </c>
      <c r="C12" s="6" t="n">
        <v>-1077</v>
      </c>
      <c r="D12" s="6" t="n">
        <v>-944</v>
      </c>
      <c r="E12" s="6" t="n">
        <v>-906</v>
      </c>
      <c r="F12" s="6" t="n">
        <v>-971</v>
      </c>
      <c r="G12" s="6" t="n">
        <v>-932</v>
      </c>
      <c r="H12" s="6" t="n">
        <v>-1093</v>
      </c>
      <c r="I12" s="6" t="n">
        <v>-509</v>
      </c>
      <c r="J12" s="6" t="n">
        <v>-490</v>
      </c>
      <c r="K12" s="6" t="n">
        <v>-326</v>
      </c>
      <c r="L12" s="6" t="n">
        <v>-264</v>
      </c>
    </row>
    <row r="13">
      <c r="A13" s="5" t="inlineStr">
        <is>
          <t>Operating profit before impairment losses</t>
        </is>
      </c>
      <c r="B13" s="5" t="n">
        <v>37704</v>
      </c>
      <c r="C13" s="5" t="n">
        <v>40752</v>
      </c>
      <c r="D13" s="5" t="n">
        <v>48173</v>
      </c>
      <c r="E13" s="5" t="n">
        <v>33312</v>
      </c>
      <c r="F13" s="5" t="n">
        <v>22014</v>
      </c>
      <c r="G13" s="5" t="n">
        <v>16974</v>
      </c>
      <c r="H13" s="5" t="n">
        <v>24102</v>
      </c>
      <c r="I13" s="5" t="n">
        <v>29642</v>
      </c>
      <c r="J13" s="5" t="n">
        <v>26643</v>
      </c>
      <c r="K13" s="5" t="n">
        <v>19480</v>
      </c>
      <c r="L13" s="5" t="n">
        <v>10610</v>
      </c>
    </row>
    <row r="14">
      <c r="A14" s="6" t="inlineStr">
        <is>
          <t>Impairment release/(losses) on loans and advances to customers</t>
        </is>
      </c>
      <c r="B14" s="6" t="n">
        <v>1967</v>
      </c>
      <c r="C14" s="6" t="n">
        <v>-4932</v>
      </c>
      <c r="D14" s="6" t="n">
        <v>-7263</v>
      </c>
      <c r="E14" s="6" t="n">
        <v>-4773</v>
      </c>
      <c r="F14" s="6" t="n">
        <v>-3524</v>
      </c>
      <c r="G14" s="6" t="n">
        <v>-5813</v>
      </c>
      <c r="H14" s="6" t="n">
        <v>-1566</v>
      </c>
      <c r="I14" s="6" t="n">
        <v>-1716</v>
      </c>
      <c r="J14" s="6" t="n">
        <v>-2237</v>
      </c>
      <c r="K14" s="6" t="n">
        <v>-1361</v>
      </c>
      <c r="L14" s="6" t="n">
        <v>-439</v>
      </c>
    </row>
    <row r="15">
      <c r="A15" s="5" t="inlineStr">
        <is>
          <t>Profit before tax</t>
        </is>
      </c>
      <c r="B15" s="5" t="n">
        <v>39671</v>
      </c>
      <c r="C15" s="5" t="n">
        <v>35820</v>
      </c>
      <c r="D15" s="5" t="n">
        <v>40910</v>
      </c>
      <c r="E15" s="5" t="n">
        <v>28539</v>
      </c>
      <c r="F15" s="5" t="n">
        <v>18490</v>
      </c>
      <c r="G15" s="5" t="n">
        <v>11161</v>
      </c>
      <c r="H15" s="5" t="n">
        <v>22536</v>
      </c>
      <c r="I15" s="5" t="n">
        <v>27926</v>
      </c>
      <c r="J15" s="5" t="n">
        <v>24406</v>
      </c>
      <c r="K15" s="5" t="n">
        <v>18119</v>
      </c>
      <c r="L15" s="5" t="n">
        <v>10171</v>
      </c>
    </row>
    <row r="16">
      <c r="A16" s="6" t="inlineStr">
        <is>
          <t>Taxation charge</t>
        </is>
      </c>
      <c r="B16" s="6" t="n">
        <v>-9179</v>
      </c>
      <c r="C16" s="6" t="n">
        <v>-8157</v>
      </c>
      <c r="D16" s="6" t="n">
        <v>-9620</v>
      </c>
      <c r="E16" s="6" t="n">
        <v>-5337</v>
      </c>
      <c r="F16" s="6" t="n">
        <v>-3024</v>
      </c>
      <c r="G16" s="6" t="n">
        <v>-1763</v>
      </c>
      <c r="H16" s="6" t="n">
        <v>-4035</v>
      </c>
      <c r="I16" s="6" t="n">
        <v>-5518</v>
      </c>
      <c r="J16" s="6" t="n">
        <v>-4712</v>
      </c>
      <c r="K16" s="6" t="n">
        <v>-3434</v>
      </c>
      <c r="L16" s="6" t="n">
        <v>-2085</v>
      </c>
    </row>
    <row r="17">
      <c r="A17" s="5" t="inlineStr">
        <is>
          <t>Profit after tax</t>
        </is>
      </c>
      <c r="B17" s="5" t="n">
        <v>30492</v>
      </c>
      <c r="C17" s="5" t="n">
        <v>27663</v>
      </c>
      <c r="D17" s="5" t="n">
        <v>31290</v>
      </c>
      <c r="E17" s="5" t="n">
        <v>23202</v>
      </c>
      <c r="F17" s="5" t="n">
        <v>15466</v>
      </c>
      <c r="G17" s="5" t="n">
        <v>9398</v>
      </c>
      <c r="H17" s="5" t="n">
        <v>18501</v>
      </c>
      <c r="I17" s="5" t="n">
        <v>22408</v>
      </c>
      <c r="J17" s="5" t="n">
        <v>19694</v>
      </c>
      <c r="K17" s="5" t="n">
        <v>14685</v>
      </c>
      <c r="L17" s="5" t="n">
        <v>8086</v>
      </c>
    </row>
    <row r="18">
      <c r="A18" s="5" t="inlineStr">
        <is>
          <t>Other comprehensive income</t>
        </is>
      </c>
      <c r="B18" s="6" t="n"/>
      <c r="C18" s="6" t="n"/>
      <c r="D18" s="6" t="n"/>
      <c r="E18" s="6" t="n"/>
      <c r="F18" s="6" t="n"/>
      <c r="G18" s="6" t="n"/>
      <c r="H18" s="6" t="n"/>
      <c r="I18" s="6" t="n"/>
      <c r="J18" s="6" t="n"/>
      <c r="K18" s="6" t="n"/>
      <c r="L18" s="6" t="n"/>
    </row>
    <row r="19">
      <c r="A19" s="6" t="inlineStr">
        <is>
          <t>Fair value movements taken to reserves</t>
        </is>
      </c>
      <c r="B19" s="6" t="n">
        <v>455</v>
      </c>
      <c r="C19" s="6" t="n">
        <v>150</v>
      </c>
      <c r="D19" s="6" t="n">
        <v>1111</v>
      </c>
      <c r="E19" s="6" t="n">
        <v>-1233</v>
      </c>
      <c r="F19" s="6" t="n">
        <v>-411</v>
      </c>
      <c r="G19" s="6" t="n">
        <v>29</v>
      </c>
      <c r="H19" s="6" t="n">
        <v>-86</v>
      </c>
      <c r="I19" s="6" t="n">
        <v>48</v>
      </c>
      <c r="J19" s="6" t="n">
        <v>-75</v>
      </c>
      <c r="K19" s="6" t="n">
        <v>94</v>
      </c>
      <c r="L19" s="6" t="n">
        <v>-29</v>
      </c>
    </row>
    <row r="20">
      <c r="A20" s="6" t="inlineStr">
        <is>
          <t>Taxation</t>
        </is>
      </c>
      <c r="B20" s="6" t="n">
        <v>-104</v>
      </c>
      <c r="C20" s="6" t="n">
        <v>-48</v>
      </c>
      <c r="D20" s="6" t="n">
        <v>-278</v>
      </c>
      <c r="E20" s="6" t="n">
        <v>499</v>
      </c>
      <c r="F20" s="6" t="n">
        <v>-90</v>
      </c>
      <c r="G20" s="6" t="n">
        <v>-5</v>
      </c>
      <c r="H20" s="6" t="n">
        <v>15</v>
      </c>
      <c r="I20" s="6" t="n">
        <v>-11</v>
      </c>
      <c r="J20" s="6" t="n">
        <v>5</v>
      </c>
      <c r="K20" s="6" t="n">
        <v>1</v>
      </c>
      <c r="L20" s="6" t="n">
        <v>1</v>
      </c>
    </row>
    <row r="21">
      <c r="A21" s="5" t="inlineStr">
        <is>
          <t>Total other comprehensive income/(expense), net of tax</t>
        </is>
      </c>
      <c r="B21" s="5" t="n">
        <v>351</v>
      </c>
      <c r="C21" s="5" t="n">
        <v>102</v>
      </c>
      <c r="D21" s="5" t="n">
        <v>833</v>
      </c>
      <c r="E21" s="5" t="n">
        <v>-734</v>
      </c>
      <c r="F21" s="5" t="n">
        <v>-501</v>
      </c>
      <c r="G21" s="5" t="n">
        <v>24</v>
      </c>
      <c r="H21" s="5" t="n">
        <v>-71</v>
      </c>
      <c r="I21" s="5" t="n">
        <v>37</v>
      </c>
      <c r="J21" s="5" t="n">
        <v>-70</v>
      </c>
      <c r="K21" s="5" t="n">
        <v>95</v>
      </c>
      <c r="L21" s="5" t="n">
        <v>-28</v>
      </c>
    </row>
    <row r="22">
      <c r="A22" s="5" t="inlineStr">
        <is>
          <t>Total comprehensive income attributable to owners of the Bank</t>
        </is>
      </c>
      <c r="B22" s="5" t="n">
        <v>30843</v>
      </c>
      <c r="C22" s="5" t="n">
        <v>27765</v>
      </c>
      <c r="D22" s="5" t="n">
        <v>32123</v>
      </c>
      <c r="E22" s="5" t="n">
        <v>22468</v>
      </c>
      <c r="F22" s="5" t="n">
        <v>14965</v>
      </c>
      <c r="G22" s="5" t="n">
        <v>9422</v>
      </c>
      <c r="H22" s="5" t="n">
        <v>18430</v>
      </c>
      <c r="I22" s="5" t="n">
        <v>22445</v>
      </c>
      <c r="J22" s="5" t="n">
        <v>19624</v>
      </c>
      <c r="K22" s="5" t="n">
        <v>14780</v>
      </c>
      <c r="L22" s="5" t="n">
        <v>8058</v>
      </c>
    </row>
    <row r="24" ht="260" customHeight="1">
      <c r="A24"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24:L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1"/>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Cambridge &amp; Counties Bank Limited — Statement of Changes in Equity</t>
        </is>
      </c>
    </row>
    <row r="2">
      <c r="A2" s="2" t="inlineStr">
        <is>
          <t>Bank-only basis (no subsidiaries), £'000, chronological (oldest to newest). All totals reconcile exactly, no plug rows needed (real audited data). See source note at bottom.</t>
        </is>
      </c>
    </row>
    <row r="3">
      <c r="A3" s="4" t="inlineStr">
        <is>
          <t>Movement</t>
        </is>
      </c>
      <c r="B3" s="4" t="inlineStr">
        <is>
          <t>Share capital</t>
        </is>
      </c>
      <c r="C3" s="4" t="inlineStr">
        <is>
          <t>Contingent convertible loan notes</t>
        </is>
      </c>
      <c r="D3" s="4" t="inlineStr">
        <is>
          <t>Preference shares</t>
        </is>
      </c>
      <c r="E3" s="4" t="inlineStr">
        <is>
          <t>FVOCI reserve</t>
        </is>
      </c>
      <c r="F3" s="4" t="inlineStr">
        <is>
          <t>Retained earnings</t>
        </is>
      </c>
      <c r="G3" s="4" t="inlineStr">
        <is>
          <t>Total</t>
        </is>
      </c>
    </row>
    <row r="4">
      <c r="A4" s="5" t="inlineStr">
        <is>
          <t>At 1 January 2015</t>
        </is>
      </c>
      <c r="B4" s="5" t="n">
        <v>18455</v>
      </c>
      <c r="C4" s="5" t="n"/>
      <c r="D4" s="5" t="n">
        <v>7500</v>
      </c>
      <c r="E4" s="5" t="n">
        <v>39</v>
      </c>
      <c r="F4" s="5" t="n">
        <v>-1040</v>
      </c>
      <c r="G4" s="5" t="n">
        <v>24954</v>
      </c>
    </row>
    <row r="5">
      <c r="A5" s="6" t="inlineStr">
        <is>
          <t>Profit for the year</t>
        </is>
      </c>
      <c r="B5" s="6" t="n"/>
      <c r="C5" s="6" t="n"/>
      <c r="D5" s="6" t="n"/>
      <c r="E5" s="6" t="n"/>
      <c r="F5" s="6" t="n">
        <v>8086</v>
      </c>
      <c r="G5" s="6" t="n">
        <v>8086</v>
      </c>
    </row>
    <row r="6">
      <c r="A6" s="6" t="inlineStr">
        <is>
          <t>Other comprehensive expense</t>
        </is>
      </c>
      <c r="B6" s="6" t="n"/>
      <c r="C6" s="6" t="n"/>
      <c r="D6" s="6" t="n"/>
      <c r="E6" s="6" t="n">
        <v>-28</v>
      </c>
      <c r="F6" s="6" t="n"/>
      <c r="G6" s="6" t="n">
        <v>-28</v>
      </c>
    </row>
    <row r="7">
      <c r="A7" s="6" t="inlineStr">
        <is>
          <t>Total comprehensive income for the period (FY2015)</t>
        </is>
      </c>
      <c r="B7" s="6" t="n"/>
      <c r="C7" s="6" t="n"/>
      <c r="D7" s="6" t="n"/>
      <c r="E7" s="6" t="n">
        <v>-28</v>
      </c>
      <c r="F7" s="6" t="n">
        <v>8086</v>
      </c>
      <c r="G7" s="6" t="n">
        <v>8058</v>
      </c>
    </row>
    <row r="8">
      <c r="A8" s="6" t="inlineStr">
        <is>
          <t>Issue of shares</t>
        </is>
      </c>
      <c r="B8" s="6" t="n">
        <v>4500</v>
      </c>
      <c r="C8" s="6" t="n">
        <v>11900</v>
      </c>
      <c r="D8" s="6" t="n">
        <v>4400</v>
      </c>
      <c r="E8" s="6" t="n"/>
      <c r="F8" s="6" t="n"/>
      <c r="G8" s="6" t="n">
        <v>20800</v>
      </c>
    </row>
    <row r="9">
      <c r="A9" s="6" t="inlineStr">
        <is>
          <t>Redemption of shares</t>
        </is>
      </c>
      <c r="B9" s="6" t="n"/>
      <c r="C9" s="6" t="n"/>
      <c r="D9" s="6" t="n">
        <v>-11900</v>
      </c>
      <c r="E9" s="6" t="n"/>
      <c r="F9" s="6" t="n"/>
      <c r="G9" s="6" t="n">
        <v>-11900</v>
      </c>
    </row>
    <row r="10">
      <c r="A10" s="6" t="inlineStr">
        <is>
          <t>Convertible loan note interest</t>
        </is>
      </c>
      <c r="B10" s="6" t="n"/>
      <c r="C10" s="6" t="n"/>
      <c r="D10" s="6" t="n"/>
      <c r="E10" s="6" t="n"/>
      <c r="F10" s="6" t="n">
        <v>-165</v>
      </c>
      <c r="G10" s="6" t="n">
        <v>-165</v>
      </c>
    </row>
    <row r="11">
      <c r="A11" s="6" t="inlineStr">
        <is>
          <t>Dividends</t>
        </is>
      </c>
      <c r="B11" s="6" t="n"/>
      <c r="C11" s="6" t="n"/>
      <c r="D11" s="6" t="n"/>
      <c r="E11" s="6" t="n"/>
      <c r="F11" s="6" t="n">
        <v>-459</v>
      </c>
      <c r="G11" s="6" t="n">
        <v>-459</v>
      </c>
    </row>
    <row r="12">
      <c r="A12" s="5" t="inlineStr">
        <is>
          <t>At 31 December 2015</t>
        </is>
      </c>
      <c r="B12" s="5" t="n">
        <v>22955</v>
      </c>
      <c r="C12" s="5" t="n">
        <v>11900</v>
      </c>
      <c r="D12" s="5" t="n">
        <v>0</v>
      </c>
      <c r="E12" s="5" t="n">
        <v>11</v>
      </c>
      <c r="F12" s="5" t="n">
        <v>6422</v>
      </c>
      <c r="G12" s="5" t="n">
        <v>41288</v>
      </c>
    </row>
    <row r="13">
      <c r="A13" s="6" t="inlineStr">
        <is>
          <t>Profit for the year</t>
        </is>
      </c>
      <c r="B13" s="6" t="n"/>
      <c r="C13" s="6" t="n"/>
      <c r="D13" s="6" t="n"/>
      <c r="E13" s="6" t="n"/>
      <c r="F13" s="6" t="n">
        <v>14685</v>
      </c>
      <c r="G13" s="6" t="n">
        <v>14685</v>
      </c>
    </row>
    <row r="14">
      <c r="A14" s="6" t="inlineStr">
        <is>
          <t>Other comprehensive income</t>
        </is>
      </c>
      <c r="B14" s="6" t="n"/>
      <c r="C14" s="6" t="n"/>
      <c r="D14" s="6" t="n"/>
      <c r="E14" s="6" t="n">
        <v>95</v>
      </c>
      <c r="F14" s="6" t="n"/>
      <c r="G14" s="6" t="n">
        <v>95</v>
      </c>
    </row>
    <row r="15">
      <c r="A15" s="6" t="inlineStr">
        <is>
          <t>Total comprehensive income for the period (FY2016)</t>
        </is>
      </c>
      <c r="B15" s="6" t="n"/>
      <c r="C15" s="6" t="n"/>
      <c r="D15" s="6" t="n"/>
      <c r="E15" s="6" t="n">
        <v>95</v>
      </c>
      <c r="F15" s="6" t="n">
        <v>14685</v>
      </c>
      <c r="G15" s="6" t="n">
        <v>14780</v>
      </c>
    </row>
    <row r="16">
      <c r="A16" s="6" t="inlineStr">
        <is>
          <t>Issue of shares</t>
        </is>
      </c>
      <c r="B16" s="6" t="n">
        <v>1000</v>
      </c>
      <c r="C16" s="6" t="n">
        <v>1000</v>
      </c>
      <c r="D16" s="6" t="n"/>
      <c r="E16" s="6" t="n"/>
      <c r="F16" s="6" t="n"/>
      <c r="G16" s="6" t="n">
        <v>2000</v>
      </c>
    </row>
    <row r="17">
      <c r="A17" s="6" t="inlineStr">
        <is>
          <t>Convertible loan note interest</t>
        </is>
      </c>
      <c r="B17" s="6" t="n"/>
      <c r="C17" s="6" t="n"/>
      <c r="D17" s="6" t="n"/>
      <c r="E17" s="6" t="n"/>
      <c r="F17" s="6" t="n">
        <v>-824</v>
      </c>
      <c r="G17" s="6" t="n">
        <v>-824</v>
      </c>
    </row>
    <row r="18">
      <c r="A18" s="5" t="inlineStr">
        <is>
          <t>At 31 December 2016</t>
        </is>
      </c>
      <c r="B18" s="5" t="n">
        <v>23955</v>
      </c>
      <c r="C18" s="5" t="n">
        <v>12900</v>
      </c>
      <c r="D18" s="5" t="n">
        <v>0</v>
      </c>
      <c r="E18" s="5" t="n">
        <v>106</v>
      </c>
      <c r="F18" s="5" t="n">
        <v>20283</v>
      </c>
      <c r="G18" s="5" t="n">
        <v>57244</v>
      </c>
    </row>
    <row r="19">
      <c r="A19" s="6" t="inlineStr">
        <is>
          <t>Profit for the year</t>
        </is>
      </c>
      <c r="B19" s="6" t="n"/>
      <c r="C19" s="6" t="n"/>
      <c r="D19" s="6" t="n"/>
      <c r="E19" s="6" t="n"/>
      <c r="F19" s="6" t="n">
        <v>19694</v>
      </c>
      <c r="G19" s="6" t="n">
        <v>19694</v>
      </c>
    </row>
    <row r="20">
      <c r="A20" s="6" t="inlineStr">
        <is>
          <t>Other comprehensive expense</t>
        </is>
      </c>
      <c r="B20" s="6" t="n"/>
      <c r="C20" s="6" t="n"/>
      <c r="D20" s="6" t="n"/>
      <c r="E20" s="6" t="n">
        <v>-70</v>
      </c>
      <c r="F20" s="6" t="n"/>
      <c r="G20" s="6" t="n">
        <v>-70</v>
      </c>
    </row>
    <row r="21">
      <c r="A21" s="6" t="inlineStr">
        <is>
          <t>Total comprehensive income for the period (FY2017)</t>
        </is>
      </c>
      <c r="B21" s="6" t="n"/>
      <c r="C21" s="6" t="n"/>
      <c r="D21" s="6" t="n"/>
      <c r="E21" s="6" t="n">
        <v>-70</v>
      </c>
      <c r="F21" s="6" t="n">
        <v>19694</v>
      </c>
      <c r="G21" s="6" t="n">
        <v>19624</v>
      </c>
    </row>
    <row r="22">
      <c r="A22" s="6" t="inlineStr">
        <is>
          <t>Convertible loan note interest</t>
        </is>
      </c>
      <c r="B22" s="6" t="n"/>
      <c r="C22" s="6" t="n"/>
      <c r="D22" s="6" t="n"/>
      <c r="E22" s="6" t="n"/>
      <c r="F22" s="6" t="n">
        <v>-625</v>
      </c>
      <c r="G22" s="6" t="n">
        <v>-625</v>
      </c>
    </row>
    <row r="23">
      <c r="A23" s="5" t="inlineStr">
        <is>
          <t>At 31 December 2017</t>
        </is>
      </c>
      <c r="B23" s="5" t="n">
        <v>23955</v>
      </c>
      <c r="C23" s="5" t="n">
        <v>12900</v>
      </c>
      <c r="D23" s="5" t="n">
        <v>0</v>
      </c>
      <c r="E23" s="5" t="n">
        <v>36</v>
      </c>
      <c r="F23" s="5" t="n">
        <v>39352</v>
      </c>
      <c r="G23" s="5" t="n">
        <v>76243</v>
      </c>
    </row>
    <row r="24">
      <c r="A24" s="5" t="inlineStr">
        <is>
          <t>At 1 January 2018 (as restated for IFRS 9 transition)</t>
        </is>
      </c>
      <c r="B24" s="5" t="n">
        <v>23955</v>
      </c>
      <c r="C24" s="5" t="n">
        <v>12900</v>
      </c>
      <c r="D24" s="5" t="n"/>
      <c r="E24" s="5" t="n">
        <v>36</v>
      </c>
      <c r="F24" s="5" t="n">
        <v>36339</v>
      </c>
      <c r="G24" s="5" t="n">
        <v>73230</v>
      </c>
    </row>
    <row r="25">
      <c r="A25" s="6" t="inlineStr">
        <is>
          <t>Profit for the year</t>
        </is>
      </c>
      <c r="B25" s="6" t="n"/>
      <c r="C25" s="6" t="n"/>
      <c r="D25" s="6" t="n"/>
      <c r="E25" s="6" t="n"/>
      <c r="F25" s="6" t="n">
        <v>22408</v>
      </c>
      <c r="G25" s="6" t="n">
        <v>22408</v>
      </c>
    </row>
    <row r="26">
      <c r="A26" s="6" t="inlineStr">
        <is>
          <t>Other comprehensive income</t>
        </is>
      </c>
      <c r="B26" s="6" t="n"/>
      <c r="C26" s="6" t="n"/>
      <c r="D26" s="6" t="n"/>
      <c r="E26" s="6" t="n">
        <v>37</v>
      </c>
      <c r="F26" s="6" t="n"/>
      <c r="G26" s="6" t="n">
        <v>37</v>
      </c>
    </row>
    <row r="27">
      <c r="A27" s="6" t="inlineStr">
        <is>
          <t>Total comprehensive income for the period (FY2018)</t>
        </is>
      </c>
      <c r="B27" s="6" t="n"/>
      <c r="C27" s="6" t="n"/>
      <c r="D27" s="6" t="n"/>
      <c r="E27" s="6" t="n">
        <v>37</v>
      </c>
      <c r="F27" s="6" t="n">
        <v>22408</v>
      </c>
      <c r="G27" s="6" t="n">
        <v>22445</v>
      </c>
    </row>
    <row r="28">
      <c r="A28" s="6" t="inlineStr">
        <is>
          <t>Dividends paid on ordinary shares</t>
        </is>
      </c>
      <c r="B28" s="6" t="n"/>
      <c r="C28" s="6" t="n"/>
      <c r="D28" s="6" t="n"/>
      <c r="E28" s="6" t="n"/>
      <c r="F28" s="6" t="n">
        <v>-1000</v>
      </c>
      <c r="G28" s="6" t="n">
        <v>-1000</v>
      </c>
    </row>
    <row r="29">
      <c r="A29" s="6" t="inlineStr">
        <is>
          <t>Issue of shares</t>
        </is>
      </c>
      <c r="B29" s="6" t="n">
        <v>21000</v>
      </c>
      <c r="C29" s="6" t="n">
        <v>10000</v>
      </c>
      <c r="D29" s="6" t="n"/>
      <c r="E29" s="6" t="n"/>
      <c r="F29" s="6" t="n"/>
      <c r="G29" s="6" t="n">
        <v>31000</v>
      </c>
    </row>
    <row r="30">
      <c r="A30" s="6" t="inlineStr">
        <is>
          <t>Convertible loan note interest (net of tax)</t>
        </is>
      </c>
      <c r="B30" s="6" t="n"/>
      <c r="C30" s="6" t="n"/>
      <c r="D30" s="6" t="n"/>
      <c r="E30" s="6" t="n"/>
      <c r="F30" s="6" t="n">
        <v>-495</v>
      </c>
      <c r="G30" s="6" t="n">
        <v>-495</v>
      </c>
    </row>
    <row r="31">
      <c r="A31" s="5" t="inlineStr">
        <is>
          <t>At 31 December 2018</t>
        </is>
      </c>
      <c r="B31" s="5" t="n">
        <v>44955</v>
      </c>
      <c r="C31" s="5" t="n">
        <v>22900</v>
      </c>
      <c r="D31" s="5" t="n">
        <v>0</v>
      </c>
      <c r="E31" s="5" t="n">
        <v>73</v>
      </c>
      <c r="F31" s="5" t="n">
        <v>57252</v>
      </c>
      <c r="G31" s="5" t="n">
        <v>125180</v>
      </c>
    </row>
    <row r="32">
      <c r="A32" s="6" t="inlineStr">
        <is>
          <t>Profit for the year</t>
        </is>
      </c>
      <c r="B32" s="6" t="n"/>
      <c r="C32" s="6" t="n"/>
      <c r="D32" s="6" t="n"/>
      <c r="E32" s="6" t="n"/>
      <c r="F32" s="6" t="n">
        <v>18501</v>
      </c>
      <c r="G32" s="6" t="n">
        <v>18501</v>
      </c>
    </row>
    <row r="33">
      <c r="A33" s="6" t="inlineStr">
        <is>
          <t>Other comprehensive expense</t>
        </is>
      </c>
      <c r="B33" s="6" t="n"/>
      <c r="C33" s="6" t="n"/>
      <c r="D33" s="6" t="n"/>
      <c r="E33" s="6" t="n">
        <v>-71</v>
      </c>
      <c r="F33" s="6" t="n"/>
      <c r="G33" s="6" t="n">
        <v>-71</v>
      </c>
    </row>
    <row r="34">
      <c r="A34" s="6" t="inlineStr">
        <is>
          <t>Total comprehensive income for the period (FY2019)</t>
        </is>
      </c>
      <c r="B34" s="6" t="n"/>
      <c r="C34" s="6" t="n"/>
      <c r="D34" s="6" t="n"/>
      <c r="E34" s="6" t="n">
        <v>-71</v>
      </c>
      <c r="F34" s="6" t="n">
        <v>18501</v>
      </c>
      <c r="G34" s="6" t="n">
        <v>18430</v>
      </c>
    </row>
    <row r="35">
      <c r="A35" s="6" t="inlineStr">
        <is>
          <t>Convertible loan note interest (net of tax)</t>
        </is>
      </c>
      <c r="B35" s="6" t="n"/>
      <c r="C35" s="6" t="n"/>
      <c r="D35" s="6" t="n"/>
      <c r="E35" s="6" t="n"/>
      <c r="F35" s="6" t="n">
        <v>-1457</v>
      </c>
      <c r="G35" s="6" t="n">
        <v>-1457</v>
      </c>
    </row>
    <row r="36">
      <c r="A36" s="5" t="inlineStr">
        <is>
          <t>At 31 December 2019</t>
        </is>
      </c>
      <c r="B36" s="5" t="n">
        <v>44955</v>
      </c>
      <c r="C36" s="5" t="n">
        <v>22900</v>
      </c>
      <c r="D36" s="5" t="n">
        <v>0</v>
      </c>
      <c r="E36" s="5" t="n">
        <v>2</v>
      </c>
      <c r="F36" s="5" t="n">
        <v>74296</v>
      </c>
      <c r="G36" s="5" t="n">
        <v>142153</v>
      </c>
    </row>
    <row r="37">
      <c r="A37" s="6" t="inlineStr">
        <is>
          <t>Profit for the year</t>
        </is>
      </c>
      <c r="B37" s="6" t="n"/>
      <c r="C37" s="6" t="n"/>
      <c r="D37" s="6" t="n"/>
      <c r="E37" s="6" t="n"/>
      <c r="F37" s="6" t="n">
        <v>9398</v>
      </c>
      <c r="G37" s="6" t="n">
        <v>9398</v>
      </c>
    </row>
    <row r="38">
      <c r="A38" s="6" t="inlineStr">
        <is>
          <t>Other comprehensive income</t>
        </is>
      </c>
      <c r="B38" s="6" t="n"/>
      <c r="C38" s="6" t="n"/>
      <c r="D38" s="6" t="n"/>
      <c r="E38" s="6" t="n">
        <v>24</v>
      </c>
      <c r="F38" s="6" t="n"/>
      <c r="G38" s="6" t="n">
        <v>24</v>
      </c>
    </row>
    <row r="39">
      <c r="A39" s="6" t="inlineStr">
        <is>
          <t>Total comprehensive income for the period (FY2020)</t>
        </is>
      </c>
      <c r="B39" s="6" t="n"/>
      <c r="C39" s="6" t="n"/>
      <c r="D39" s="6" t="n"/>
      <c r="E39" s="6" t="n">
        <v>24</v>
      </c>
      <c r="F39" s="6" t="n">
        <v>9398</v>
      </c>
      <c r="G39" s="6" t="n">
        <v>9422</v>
      </c>
    </row>
    <row r="40">
      <c r="A40" s="6" t="inlineStr">
        <is>
          <t>Convertible loan note interest</t>
        </is>
      </c>
      <c r="B40" s="6" t="n"/>
      <c r="C40" s="6" t="n"/>
      <c r="D40" s="6" t="n"/>
      <c r="E40" s="6" t="n"/>
      <c r="F40" s="6" t="n">
        <v>-1440</v>
      </c>
      <c r="G40" s="6" t="n">
        <v>-1440</v>
      </c>
    </row>
    <row r="41">
      <c r="A41" s="5" t="inlineStr">
        <is>
          <t>At 31 December 2020</t>
        </is>
      </c>
      <c r="B41" s="5" t="n">
        <v>44955</v>
      </c>
      <c r="C41" s="5" t="n">
        <v>22900</v>
      </c>
      <c r="D41" s="5" t="n">
        <v>0</v>
      </c>
      <c r="E41" s="5" t="n">
        <v>26</v>
      </c>
      <c r="F41" s="5" t="n">
        <v>82254</v>
      </c>
      <c r="G41" s="5" t="n">
        <v>150135</v>
      </c>
    </row>
    <row r="42">
      <c r="A42" s="6" t="inlineStr">
        <is>
          <t>Profit for the year</t>
        </is>
      </c>
      <c r="B42" s="6" t="n"/>
      <c r="C42" s="6" t="n"/>
      <c r="D42" s="6" t="n"/>
      <c r="E42" s="6" t="n"/>
      <c r="F42" s="6" t="n">
        <v>15466</v>
      </c>
      <c r="G42" s="6" t="n">
        <v>15466</v>
      </c>
    </row>
    <row r="43">
      <c r="A43" s="6" t="inlineStr">
        <is>
          <t>Other comprehensive expense</t>
        </is>
      </c>
      <c r="B43" s="6" t="n"/>
      <c r="C43" s="6" t="n"/>
      <c r="D43" s="6" t="n"/>
      <c r="E43" s="6" t="n">
        <v>-501</v>
      </c>
      <c r="F43" s="6" t="n"/>
      <c r="G43" s="6" t="n">
        <v>-501</v>
      </c>
    </row>
    <row r="44">
      <c r="A44" s="6" t="inlineStr">
        <is>
          <t>Total comprehensive income for the period (FY2021)</t>
        </is>
      </c>
      <c r="B44" s="6" t="n"/>
      <c r="C44" s="6" t="n"/>
      <c r="D44" s="6" t="n"/>
      <c r="E44" s="6" t="n">
        <v>-501</v>
      </c>
      <c r="F44" s="6" t="n">
        <v>15466</v>
      </c>
      <c r="G44" s="6" t="n">
        <v>14965</v>
      </c>
    </row>
    <row r="45">
      <c r="A45" s="6" t="inlineStr">
        <is>
          <t>Convertible loan note interest</t>
        </is>
      </c>
      <c r="B45" s="6" t="n"/>
      <c r="C45" s="6" t="n"/>
      <c r="D45" s="6" t="n"/>
      <c r="E45" s="6" t="n"/>
      <c r="F45" s="6" t="n">
        <v>-1283</v>
      </c>
      <c r="G45" s="6" t="n">
        <v>-1283</v>
      </c>
    </row>
    <row r="46">
      <c r="A46" s="5" t="inlineStr">
        <is>
          <t>At 31 December 2021</t>
        </is>
      </c>
      <c r="B46" s="5" t="n">
        <v>44955</v>
      </c>
      <c r="C46" s="5" t="n">
        <v>22900</v>
      </c>
      <c r="D46" s="5" t="n"/>
      <c r="E46" s="5" t="n">
        <v>-475</v>
      </c>
      <c r="F46" s="5" t="n">
        <v>96437</v>
      </c>
      <c r="G46" s="5" t="n">
        <v>163817</v>
      </c>
    </row>
    <row r="47">
      <c r="A47" s="6" t="inlineStr">
        <is>
          <t>Total comprehensive income for the period (FY2022)</t>
        </is>
      </c>
      <c r="B47" s="6" t="n"/>
      <c r="C47" s="6" t="n"/>
      <c r="D47" s="6" t="n"/>
      <c r="E47" s="6" t="n">
        <v>-734</v>
      </c>
      <c r="F47" s="6" t="n">
        <v>23202</v>
      </c>
      <c r="G47" s="6" t="n">
        <v>22468</v>
      </c>
    </row>
    <row r="48">
      <c r="A48" s="6" t="inlineStr">
        <is>
          <t>Convertible loan note interest</t>
        </is>
      </c>
      <c r="B48" s="6" t="n"/>
      <c r="C48" s="6" t="n"/>
      <c r="D48" s="6" t="n"/>
      <c r="E48" s="6" t="n"/>
      <c r="F48" s="6" t="n">
        <v>-1439</v>
      </c>
      <c r="G48" s="6" t="n">
        <v>-1439</v>
      </c>
    </row>
    <row r="49">
      <c r="A49" s="5" t="inlineStr">
        <is>
          <t>At 31 December 2022</t>
        </is>
      </c>
      <c r="B49" s="5" t="n">
        <v>44955</v>
      </c>
      <c r="C49" s="5" t="n">
        <v>22900</v>
      </c>
      <c r="D49" s="5" t="n"/>
      <c r="E49" s="5" t="n">
        <v>-1209</v>
      </c>
      <c r="F49" s="5" t="n">
        <v>118200</v>
      </c>
      <c r="G49" s="5" t="n">
        <v>184846</v>
      </c>
    </row>
    <row r="50">
      <c r="A50" s="6" t="inlineStr">
        <is>
          <t>Total comprehensive income for the period (FY2023)</t>
        </is>
      </c>
      <c r="B50" s="6" t="n"/>
      <c r="C50" s="6" t="n"/>
      <c r="D50" s="6" t="n"/>
      <c r="E50" s="6" t="n">
        <v>833</v>
      </c>
      <c r="F50" s="6" t="n">
        <v>31290</v>
      </c>
      <c r="G50" s="6" t="n">
        <v>32123</v>
      </c>
    </row>
    <row r="51">
      <c r="A51" s="6" t="inlineStr">
        <is>
          <t>Convertible loan note interest</t>
        </is>
      </c>
      <c r="B51" s="6" t="n"/>
      <c r="C51" s="6" t="n"/>
      <c r="D51" s="6" t="n"/>
      <c r="E51" s="6" t="n"/>
      <c r="F51" s="6" t="n">
        <v>-2191</v>
      </c>
      <c r="G51" s="6" t="n">
        <v>-2191</v>
      </c>
    </row>
    <row r="52">
      <c r="A52" s="5" t="inlineStr">
        <is>
          <t>At 31 December 2023</t>
        </is>
      </c>
      <c r="B52" s="5" t="n">
        <v>44955</v>
      </c>
      <c r="C52" s="5" t="n">
        <v>22900</v>
      </c>
      <c r="D52" s="5" t="n"/>
      <c r="E52" s="5" t="n">
        <v>-376</v>
      </c>
      <c r="F52" s="5" t="n">
        <v>147299</v>
      </c>
      <c r="G52" s="5" t="n">
        <v>214778</v>
      </c>
    </row>
    <row r="53">
      <c r="A53" s="6" t="inlineStr">
        <is>
          <t>Total comprehensive income for the period (FY2024)</t>
        </is>
      </c>
      <c r="B53" s="6" t="n"/>
      <c r="C53" s="6" t="n"/>
      <c r="D53" s="6" t="n"/>
      <c r="E53" s="6" t="n">
        <v>102</v>
      </c>
      <c r="F53" s="6" t="n">
        <v>27663</v>
      </c>
      <c r="G53" s="6" t="n">
        <v>27765</v>
      </c>
    </row>
    <row r="54">
      <c r="A54" s="6" t="inlineStr">
        <is>
          <t>Convertible loan note interest</t>
        </is>
      </c>
      <c r="B54" s="6" t="n"/>
      <c r="C54" s="6" t="n"/>
      <c r="D54" s="6" t="n"/>
      <c r="E54" s="6" t="n"/>
      <c r="F54" s="6" t="n">
        <v>-2459</v>
      </c>
      <c r="G54" s="6" t="n">
        <v>-2459</v>
      </c>
    </row>
    <row r="55">
      <c r="A55" s="5" t="inlineStr">
        <is>
          <t>At 31 December 2024</t>
        </is>
      </c>
      <c r="B55" s="5" t="n">
        <v>44955</v>
      </c>
      <c r="C55" s="5" t="n">
        <v>22900</v>
      </c>
      <c r="D55" s="5" t="n"/>
      <c r="E55" s="5" t="n">
        <v>-274</v>
      </c>
      <c r="F55" s="5" t="n">
        <v>172503</v>
      </c>
      <c r="G55" s="5" t="n">
        <v>240084</v>
      </c>
    </row>
    <row r="56">
      <c r="A56" s="6" t="inlineStr">
        <is>
          <t>Total comprehensive income for the period (FY2025)</t>
        </is>
      </c>
      <c r="B56" s="6" t="n"/>
      <c r="C56" s="6" t="n"/>
      <c r="D56" s="6" t="n"/>
      <c r="E56" s="6" t="n">
        <v>351</v>
      </c>
      <c r="F56" s="6" t="n">
        <v>30492</v>
      </c>
      <c r="G56" s="6" t="n">
        <v>30843</v>
      </c>
    </row>
    <row r="57">
      <c r="A57" s="6" t="inlineStr">
        <is>
          <t>Dividend paid</t>
        </is>
      </c>
      <c r="B57" s="6" t="n"/>
      <c r="C57" s="6" t="n"/>
      <c r="D57" s="6" t="n"/>
      <c r="E57" s="6" t="n"/>
      <c r="F57" s="6" t="n">
        <v>-20000</v>
      </c>
      <c r="G57" s="6" t="n">
        <v>-20000</v>
      </c>
    </row>
    <row r="58">
      <c r="A58" s="6" t="inlineStr">
        <is>
          <t>Convertible loan note interest</t>
        </is>
      </c>
      <c r="B58" s="6" t="n"/>
      <c r="C58" s="6" t="n"/>
      <c r="D58" s="6" t="n"/>
      <c r="E58" s="6" t="n"/>
      <c r="F58" s="6" t="n">
        <v>-2284</v>
      </c>
      <c r="G58" s="6" t="n">
        <v>-2284</v>
      </c>
    </row>
    <row r="59">
      <c r="A59" s="5" t="inlineStr">
        <is>
          <t>At 31 December 2025</t>
        </is>
      </c>
      <c r="B59" s="5" t="n">
        <v>44955</v>
      </c>
      <c r="C59" s="5" t="n">
        <v>22900</v>
      </c>
      <c r="D59" s="5" t="n"/>
      <c r="E59" s="5" t="n">
        <v>77</v>
      </c>
      <c r="F59" s="5" t="n">
        <v>180711</v>
      </c>
      <c r="G59" s="5" t="n">
        <v>248643</v>
      </c>
    </row>
    <row r="61" ht="260" customHeight="1">
      <c r="A61" s="8" t="inlineStr">
        <is>
          <t>Sources - Cambridge &amp; Counties Bank Limited's own Income Statement / Balance Sheet / Statement of Changes in Equity (Bank-only basis, no subsidiaries):
FY2025: Annual Report 2025, pp.55-57 (own year) - https://ccbank.co.uk/wp-content/uploads/2026/04/Cambridge__Counties-Bank_Annual-Report_2025.pdf
FY2024: Annual Report 2025, pp.55-57 (FY2024 comparative column); cross-checked against Annual Report 2024's own FY2024 figures, p.80-81 (exact match) - https://ccbank.co.uk/wp-content/uploads/2026/04/Cambridge__Counties-Bank_Annual-Report_2025.pdf
FY2023: Annual Report 2024, pp.80-81 (FY2023 comparative column) - https://ccbank.co.uk/wp-content/uploads/2025/05/86395_CCB-2024-Annual-Report-web.pdf
FY2022: Annual Report 2022 (accounts to 31 Dec 2022), pp.85-86 (own year) - https://ccbank.co.uk/wp-content/uploads/2023/06/CCB_Annual-Report_2022.pdf
FY2021: Annual Report 2022, pp.85-86 (FY2021 comparative column) - https://ccbank.co.uk/wp-content/uploads/2023/06/CCB_Annual-Report_2022.pdf
FY2020: Companies House filing history (company 07972522), 'Full accounts made up to 31 December 2020', filed 25 Jun 2021 (108 pages), 'Statement of Profit or Loss and Other Comprehensive Income' p.62 and 'Statement of Financial Position' p.63 (own year) - https://find-and-update.company-information.service.gov.uk/company/07972522/filing-history
FY2019: same FY2020 filing, p.62/p.63 (FY2019 comparative column) - https://find-and-update.company-information.service.gov.uk/company/07972522/filing-history
FY2018: Companies House filing history (company 07972522), 'Full accounts made up to 31 December 2018', filed 18 May 2019 (87 pages), 'Statement of Profit or Loss and Other Comprehensive Income' p.41 and 'Statement of Financial Position' p.42 (own year) - https://find-and-update.company-information.service.gov.uk/company/07972522/filing-history
FY2017: same FY2018 filing, p.41/p.42 (FY2017 comparative column) - https://find-and-update.company-information.service.gov.uk/company/07972522/filing-history
FY2016: Companies House filing history (company 07972522), 'Full accounts made up to 31 December 2016', filed 07 Mar 2017 (60 pages) - also carries FY2015 comparative, 'Income Statement' p.26 and 'Statement of Financial Position' p.27 (own year) - https://find-and-update.company-information.service.gov.uk/company/07972522/filing-history
FY2015: same filing as FY2016, p.26/p.27 (FY2015 comparative column) - https://find-and-update.company-information.service.gov.uk/company/07972522/filing-history
Statement of Changes in Equity for FY2015-FY2020: same filings as above, p.28 (2016 filing) / p.43 (2018 filing) / p.64 (2020 filing) - each shows both its own year and the immediately preceding year in full, so every year FY2015-FY2020 is independently disclosed at least once, several cross-checked twice.
EQUITY STRUCTURE NOTE: a 'Preference shares' column is carried on the Statement of Changes in Equity only for FY2015 (issued and then fully redeemed within that year, ending at nil) - the Bank held no preference shares before or after FY2015, so the column is blank in every other year. The 1 January 2018 restatement row reflects the £3,013k adjustment made on IFRS 9's first adoption (transition method applied means the FY2017 comparative itself is not restated - see the CET1 CAVEAT on the Pillar 3 metric sheets for the related IAS 39/IFRS 9 impairment-methodology shift).
DEBT SECURITIES MEASUREMENT BASIS: Note 17 'Debt securities' (Annual Report 2025 p.35 own text, Annual Report 2024 p.30, Annual Report 2022 p.100-101) states in every year's own accounting policy wording that the Bank's debt securities 'are initially recognised at fair value and subsequently measured at fair value through other comprehensive income' - a Held to Collect and Sell business model, with no amortised-cost leg disclosed in any year. The 'Fair value through other comprehensive income reserve' equity line above carries a non-zero balance back to FY2015, corroborating the same FVOCI (or its pre-IFRS 9 IAS 39 available-for-sale equivalent) treatment for the full FY2015-FY2025 run. Note 17 also breaks the FY2021/FY2022 balance down by named instrument (European Investment Bank bond + International Bank for Reconstruction and Development bond, both supranational, not sovereign) - Annual Report 2022 p.100 - but no government/sovereign leg is disclosed in any year, so no issuer-type split is added.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61:G6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Statement of Cash Flows</t>
        </is>
      </c>
    </row>
    <row r="2">
      <c r="A2" s="2" t="inlineStr">
        <is>
          <t>Bank-only basis (no subsidiaries),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Operating activities</t>
        </is>
      </c>
      <c r="B4" s="6" t="n"/>
      <c r="C4" s="6" t="n"/>
      <c r="D4" s="6" t="n"/>
      <c r="E4" s="6" t="n"/>
      <c r="F4" s="6" t="n"/>
      <c r="G4" s="6" t="n"/>
      <c r="H4" s="6" t="n"/>
      <c r="I4" s="6" t="n"/>
      <c r="J4" s="6" t="n"/>
      <c r="K4" s="6" t="n"/>
      <c r="L4" s="6" t="n"/>
    </row>
    <row r="5">
      <c r="A5" s="6" t="inlineStr">
        <is>
          <t>Profit after tax</t>
        </is>
      </c>
      <c r="B5" s="6" t="n">
        <v>30492</v>
      </c>
      <c r="C5" s="6" t="n">
        <v>27663</v>
      </c>
      <c r="D5" s="6" t="n">
        <v>31290</v>
      </c>
      <c r="E5" s="6" t="n">
        <v>23202</v>
      </c>
      <c r="F5" s="6" t="n">
        <v>15466</v>
      </c>
      <c r="G5" s="6" t="n">
        <v>9398</v>
      </c>
      <c r="H5" s="6" t="n">
        <v>18501</v>
      </c>
      <c r="I5" s="6" t="n">
        <v>22408</v>
      </c>
      <c r="J5" s="6" t="n">
        <v>19694</v>
      </c>
      <c r="K5" s="6" t="n"/>
      <c r="L5" s="6" t="n"/>
    </row>
    <row r="6">
      <c r="A6" s="6" t="inlineStr">
        <is>
          <t>Profit before tax (FY2015-FY2016 cash flow presentation starts from PBT, not PAT)</t>
        </is>
      </c>
      <c r="B6" s="6" t="n"/>
      <c r="C6" s="6" t="n"/>
      <c r="D6" s="6" t="n"/>
      <c r="E6" s="6" t="n"/>
      <c r="F6" s="6" t="n"/>
      <c r="G6" s="6" t="n"/>
      <c r="H6" s="6" t="n"/>
      <c r="I6" s="6" t="n"/>
      <c r="J6" s="6" t="n"/>
      <c r="K6" s="6" t="n">
        <v>18119</v>
      </c>
      <c r="L6" s="6" t="n">
        <v>10171</v>
      </c>
    </row>
    <row r="7">
      <c r="A7" s="6" t="inlineStr">
        <is>
          <t>Subordinated debt liability interest and fee accrual</t>
        </is>
      </c>
      <c r="B7" s="6" t="n">
        <v>40</v>
      </c>
      <c r="C7" s="6" t="n">
        <v>196</v>
      </c>
      <c r="D7" s="6" t="n">
        <v>147</v>
      </c>
      <c r="E7" s="6" t="n"/>
      <c r="F7" s="6" t="n"/>
      <c r="G7" s="6" t="n"/>
      <c r="H7" s="6" t="n"/>
      <c r="I7" s="6" t="n"/>
      <c r="J7" s="6" t="n"/>
      <c r="K7" s="6" t="n"/>
      <c r="L7" s="6" t="n"/>
    </row>
    <row r="8">
      <c r="A8" s="6" t="inlineStr">
        <is>
          <t>Non-cash item on adoption of IFRS 16</t>
        </is>
      </c>
      <c r="B8" s="6" t="n"/>
      <c r="C8" s="6" t="n"/>
      <c r="D8" s="6" t="n"/>
      <c r="E8" s="6" t="n"/>
      <c r="F8" s="6" t="n"/>
      <c r="G8" s="6" t="n">
        <v>-193</v>
      </c>
      <c r="H8" s="6" t="n">
        <v>-2429</v>
      </c>
      <c r="I8" s="6" t="n"/>
      <c r="J8" s="6" t="n"/>
      <c r="K8" s="6" t="n"/>
      <c r="L8" s="6" t="n"/>
    </row>
    <row r="9">
      <c r="A9" s="6" t="inlineStr">
        <is>
          <t>Depreciation, amortisation and (loss)/gain on disposals</t>
        </is>
      </c>
      <c r="B9" s="6" t="n">
        <v>1122</v>
      </c>
      <c r="C9" s="6" t="n">
        <v>1077</v>
      </c>
      <c r="D9" s="6" t="n">
        <v>944</v>
      </c>
      <c r="E9" s="6" t="n">
        <v>906</v>
      </c>
      <c r="F9" s="6" t="n">
        <v>971</v>
      </c>
      <c r="G9" s="6" t="n">
        <v>932</v>
      </c>
      <c r="H9" s="6" t="n">
        <v>1093</v>
      </c>
      <c r="I9" s="6" t="n">
        <v>509</v>
      </c>
      <c r="J9" s="6" t="n">
        <v>490</v>
      </c>
      <c r="K9" s="6" t="n">
        <v>326</v>
      </c>
      <c r="L9" s="6" t="n">
        <v>264</v>
      </c>
    </row>
    <row r="10">
      <c r="A10" s="6" t="inlineStr">
        <is>
          <t>(Decrease)/increase in allowance for impairment losses</t>
        </is>
      </c>
      <c r="B10" s="6" t="n">
        <v>-9644</v>
      </c>
      <c r="C10" s="6" t="n">
        <v>-1654</v>
      </c>
      <c r="D10" s="6" t="n">
        <v>5849</v>
      </c>
      <c r="E10" s="6" t="n"/>
      <c r="F10" s="6" t="n"/>
      <c r="G10" s="6" t="n"/>
      <c r="H10" s="6" t="n"/>
      <c r="I10" s="6" t="n"/>
      <c r="J10" s="6" t="n"/>
      <c r="K10" s="6" t="n"/>
      <c r="L10" s="6" t="n"/>
    </row>
    <row r="11">
      <c r="A11" s="6" t="inlineStr">
        <is>
          <t>Taxation charge</t>
        </is>
      </c>
      <c r="B11" s="6" t="n">
        <v>9179</v>
      </c>
      <c r="C11" s="6" t="n">
        <v>8157</v>
      </c>
      <c r="D11" s="6" t="n">
        <v>9620</v>
      </c>
      <c r="E11" s="6" t="n">
        <v>5337</v>
      </c>
      <c r="F11" s="6" t="n">
        <v>3024</v>
      </c>
      <c r="G11" s="6" t="n">
        <v>1763</v>
      </c>
      <c r="H11" s="6" t="n">
        <v>4035</v>
      </c>
      <c r="I11" s="6" t="n">
        <v>5518</v>
      </c>
      <c r="J11" s="6" t="n">
        <v>4712</v>
      </c>
      <c r="K11" s="6" t="n"/>
      <c r="L11" s="6" t="n"/>
    </row>
    <row r="12">
      <c r="A12" s="6" t="inlineStr">
        <is>
          <t>Other non-cash items</t>
        </is>
      </c>
      <c r="B12" s="6" t="n">
        <v>597</v>
      </c>
      <c r="C12" s="6" t="n">
        <v>243</v>
      </c>
      <c r="D12" s="6" t="n">
        <v>-112</v>
      </c>
      <c r="E12" s="6" t="n"/>
      <c r="F12" s="6" t="n"/>
      <c r="G12" s="6" t="n"/>
      <c r="H12" s="6" t="n"/>
      <c r="I12" s="6" t="n"/>
      <c r="J12" s="6" t="n"/>
      <c r="K12" s="6" t="n"/>
      <c r="L12" s="6" t="n"/>
    </row>
    <row r="13">
      <c r="A13" s="5" t="inlineStr">
        <is>
          <t>Cash flows from operating activities before changes in working capital</t>
        </is>
      </c>
      <c r="B13" s="5" t="n"/>
      <c r="C13" s="5" t="n">
        <v>35682</v>
      </c>
      <c r="D13" s="5" t="n">
        <v>47738</v>
      </c>
      <c r="E13" s="5" t="n">
        <v>29445</v>
      </c>
      <c r="F13" s="5" t="n">
        <v>19461</v>
      </c>
      <c r="G13" s="5" t="n">
        <v>11900</v>
      </c>
      <c r="H13" s="5" t="n">
        <v>21200</v>
      </c>
      <c r="I13" s="5" t="n">
        <v>28435</v>
      </c>
      <c r="J13" s="5" t="n">
        <v>24896</v>
      </c>
      <c r="K13" s="5" t="n">
        <v>18445</v>
      </c>
      <c r="L13" s="5" t="n">
        <v>10435</v>
      </c>
    </row>
    <row r="14">
      <c r="A14" s="5" t="inlineStr">
        <is>
          <t>Net increase/(decrease) in other assets/liabilities</t>
        </is>
      </c>
      <c r="B14" s="6" t="n"/>
      <c r="C14" s="6" t="n"/>
      <c r="D14" s="6" t="n"/>
      <c r="E14" s="6" t="n"/>
      <c r="F14" s="6" t="n"/>
      <c r="G14" s="6" t="n"/>
      <c r="H14" s="6" t="n"/>
      <c r="I14" s="6" t="n"/>
      <c r="J14" s="6" t="n"/>
      <c r="K14" s="6" t="n"/>
      <c r="L14" s="6" t="n"/>
    </row>
    <row r="15">
      <c r="A15" s="6" t="inlineStr">
        <is>
          <t>Net (increase)/decrease in loans and advances to customers</t>
        </is>
      </c>
      <c r="B15" s="6" t="n">
        <v>-228708</v>
      </c>
      <c r="C15" s="6" t="n">
        <v>-119661</v>
      </c>
      <c r="D15" s="6" t="n">
        <v>-51418</v>
      </c>
      <c r="E15" s="6" t="n">
        <v>-59876</v>
      </c>
      <c r="F15" s="6" t="n">
        <v>-149454</v>
      </c>
      <c r="G15" s="6" t="n">
        <v>-66877</v>
      </c>
      <c r="H15" s="6" t="n">
        <v>7513</v>
      </c>
      <c r="I15" s="6" t="n">
        <v>-82692</v>
      </c>
      <c r="J15" s="6" t="n">
        <v>-101602</v>
      </c>
      <c r="K15" s="6" t="n">
        <v>-173450</v>
      </c>
      <c r="L15" s="6" t="n">
        <v>-166039</v>
      </c>
    </row>
    <row r="16">
      <c r="A16" s="6" t="inlineStr">
        <is>
          <t>Net increase/(decrease) in customers' accounts</t>
        </is>
      </c>
      <c r="B16" s="6" t="n">
        <v>361462</v>
      </c>
      <c r="C16" s="6" t="n">
        <v>116329</v>
      </c>
      <c r="D16" s="6" t="n">
        <v>51968</v>
      </c>
      <c r="E16" s="6" t="n">
        <v>77736</v>
      </c>
      <c r="F16" s="6" t="n">
        <v>108305</v>
      </c>
      <c r="G16" s="6" t="n">
        <v>62766</v>
      </c>
      <c r="H16" s="6" t="n">
        <v>-46949</v>
      </c>
      <c r="I16" s="6" t="n">
        <v>103222</v>
      </c>
      <c r="J16" s="6" t="n">
        <v>113504</v>
      </c>
      <c r="K16" s="6" t="n">
        <v>213108</v>
      </c>
      <c r="L16" s="6" t="n">
        <v>83365</v>
      </c>
    </row>
    <row r="17">
      <c r="A17" s="6" t="inlineStr">
        <is>
          <t>Net (decrease)/increase in central bank facilities</t>
        </is>
      </c>
      <c r="B17" s="6" t="n">
        <v>-55000</v>
      </c>
      <c r="C17" s="6" t="n">
        <v>-10000</v>
      </c>
      <c r="D17" s="6" t="n">
        <v>-13000</v>
      </c>
      <c r="E17" s="6" t="n">
        <v>0</v>
      </c>
      <c r="F17" s="6" t="n">
        <v>78000</v>
      </c>
      <c r="G17" s="6" t="n"/>
      <c r="H17" s="6" t="n"/>
      <c r="I17" s="6" t="n"/>
      <c r="J17" s="6" t="n"/>
      <c r="K17" s="6" t="n"/>
      <c r="L17" s="6" t="n"/>
    </row>
    <row r="18">
      <c r="A18" s="6" t="inlineStr">
        <is>
          <t>Net (increase)/decrease in derivatives</t>
        </is>
      </c>
      <c r="B18" s="6" t="n">
        <v>-57</v>
      </c>
      <c r="C18" s="6" t="n">
        <v>-475</v>
      </c>
      <c r="D18" s="6" t="n">
        <v>-358</v>
      </c>
      <c r="E18" s="6" t="n">
        <v>756</v>
      </c>
      <c r="F18" s="6" t="n">
        <v>262</v>
      </c>
      <c r="G18" s="6" t="n">
        <v>-40</v>
      </c>
      <c r="H18" s="6" t="n">
        <v>-63</v>
      </c>
      <c r="I18" s="6" t="n">
        <v>-27</v>
      </c>
      <c r="J18" s="6" t="n">
        <v>-62</v>
      </c>
      <c r="K18" s="6" t="n">
        <v>-169</v>
      </c>
      <c r="L18" s="6" t="n">
        <v>32</v>
      </c>
    </row>
    <row r="19">
      <c r="A19" s="6" t="inlineStr">
        <is>
          <t>Net (decrease)/increase in value of debt securities</t>
        </is>
      </c>
      <c r="B19" s="6" t="n"/>
      <c r="C19" s="6" t="n"/>
      <c r="D19" s="6" t="n"/>
      <c r="E19" s="6" t="n">
        <v>336</v>
      </c>
      <c r="F19" s="6" t="n">
        <v>591</v>
      </c>
      <c r="G19" s="6" t="n">
        <v>518</v>
      </c>
      <c r="H19" s="6" t="n">
        <v>-86</v>
      </c>
      <c r="I19" s="6" t="n">
        <v>6</v>
      </c>
      <c r="J19" s="6" t="n">
        <v>66</v>
      </c>
      <c r="K19" s="6" t="n">
        <v>-162</v>
      </c>
      <c r="L19" s="6" t="n">
        <v>80</v>
      </c>
    </row>
    <row r="20">
      <c r="A20" s="6" t="inlineStr">
        <is>
          <t>Net (decrease)/increase in other liabilities and provisions</t>
        </is>
      </c>
      <c r="B20" s="6" t="n">
        <v>-1565</v>
      </c>
      <c r="C20" s="6" t="n">
        <v>399</v>
      </c>
      <c r="D20" s="6" t="n">
        <v>520</v>
      </c>
      <c r="E20" s="6" t="n">
        <v>1827</v>
      </c>
      <c r="F20" s="6" t="n">
        <v>371</v>
      </c>
      <c r="G20" s="6" t="n">
        <v>1071</v>
      </c>
      <c r="H20" s="6" t="n">
        <v>3122</v>
      </c>
      <c r="I20" s="6" t="n">
        <v>585</v>
      </c>
      <c r="J20" s="6" t="n">
        <v>222</v>
      </c>
      <c r="K20" s="6" t="n">
        <v>63</v>
      </c>
      <c r="L20" s="6" t="n">
        <v>610</v>
      </c>
    </row>
    <row r="21">
      <c r="A21" s="6" t="inlineStr">
        <is>
          <t>Net (increase)/decrease in other assets and prepayments</t>
        </is>
      </c>
      <c r="B21" s="6" t="n">
        <v>-91</v>
      </c>
      <c r="C21" s="6" t="n">
        <v>1083</v>
      </c>
      <c r="D21" s="6" t="n">
        <v>46</v>
      </c>
      <c r="E21" s="6" t="n">
        <v>-482</v>
      </c>
      <c r="F21" s="6" t="n">
        <v>-661</v>
      </c>
      <c r="G21" s="6" t="n">
        <v>-207</v>
      </c>
      <c r="H21" s="6" t="n">
        <v>-285</v>
      </c>
      <c r="I21" s="6" t="n">
        <v>-72</v>
      </c>
      <c r="J21" s="6" t="n">
        <v>-419</v>
      </c>
      <c r="K21" s="6" t="n">
        <v>-84</v>
      </c>
      <c r="L21" s="6" t="n">
        <v>54</v>
      </c>
    </row>
    <row r="22">
      <c r="A22" s="6" t="inlineStr">
        <is>
          <t>Accrued interest on cash balances</t>
        </is>
      </c>
      <c r="B22" s="6" t="n"/>
      <c r="C22" s="6" t="n"/>
      <c r="D22" s="6" t="n"/>
      <c r="E22" s="6" t="n"/>
      <c r="F22" s="6" t="n"/>
      <c r="G22" s="6" t="n"/>
      <c r="H22" s="6" t="n"/>
      <c r="I22" s="6" t="n"/>
      <c r="J22" s="6" t="n"/>
      <c r="K22" s="6" t="n">
        <v>14</v>
      </c>
      <c r="L22" s="6" t="n">
        <v>21</v>
      </c>
    </row>
    <row r="23">
      <c r="A23" s="6" t="inlineStr">
        <is>
          <t>Income tax paid</t>
        </is>
      </c>
      <c r="B23" s="6" t="n">
        <v>-9572</v>
      </c>
      <c r="C23" s="6" t="n">
        <v>-9815</v>
      </c>
      <c r="D23" s="6" t="n">
        <v>-9154</v>
      </c>
      <c r="E23" s="6" t="n">
        <v>-4428</v>
      </c>
      <c r="F23" s="6" t="n">
        <v>-3050</v>
      </c>
      <c r="G23" s="6" t="n">
        <v>-3881</v>
      </c>
      <c r="H23" s="6" t="n">
        <v>-4972</v>
      </c>
      <c r="I23" s="6" t="n">
        <v>-5102</v>
      </c>
      <c r="J23" s="6" t="n">
        <v>-3788</v>
      </c>
      <c r="K23" s="6" t="n">
        <v>-2716</v>
      </c>
      <c r="L23" s="6" t="n">
        <v>-1557</v>
      </c>
    </row>
    <row r="24">
      <c r="A24" s="5" t="inlineStr">
        <is>
          <t>Net increase/(decrease) in operating assets and liabilities</t>
        </is>
      </c>
      <c r="B24" s="5" t="n"/>
      <c r="C24" s="5" t="n">
        <v>-22140</v>
      </c>
      <c r="D24" s="5" t="n">
        <v>-21396</v>
      </c>
      <c r="E24" s="5" t="n">
        <v>15869</v>
      </c>
      <c r="F24" s="5" t="n">
        <v>34364</v>
      </c>
      <c r="G24" s="5" t="n">
        <v>-6650</v>
      </c>
      <c r="H24" s="5" t="n">
        <v>-41720</v>
      </c>
      <c r="I24" s="5" t="n">
        <v>15920</v>
      </c>
      <c r="J24" s="5" t="n">
        <v>7921</v>
      </c>
      <c r="K24" s="5" t="n">
        <v>36604</v>
      </c>
      <c r="L24" s="5" t="n">
        <v>-83434</v>
      </c>
    </row>
    <row r="25">
      <c r="A25" s="5" t="inlineStr">
        <is>
          <t>Net cash generated from operating activities</t>
        </is>
      </c>
      <c r="B25" s="5" t="n">
        <v>98255</v>
      </c>
      <c r="C25" s="5" t="n">
        <v>13542</v>
      </c>
      <c r="D25" s="5" t="n">
        <v>26342</v>
      </c>
      <c r="E25" s="5" t="n">
        <v>45314</v>
      </c>
      <c r="F25" s="5" t="n">
        <v>53825</v>
      </c>
      <c r="G25" s="5" t="n">
        <v>5250</v>
      </c>
      <c r="H25" s="5" t="n">
        <v>-20520</v>
      </c>
      <c r="I25" s="5" t="n">
        <v>44355</v>
      </c>
      <c r="J25" s="5" t="n">
        <v>32817</v>
      </c>
      <c r="K25" s="5" t="n">
        <v>55049</v>
      </c>
      <c r="L25" s="5" t="n">
        <v>-72999</v>
      </c>
    </row>
    <row r="26">
      <c r="A26" s="5" t="inlineStr">
        <is>
          <t>Investing activities</t>
        </is>
      </c>
      <c r="B26" s="6" t="n"/>
      <c r="C26" s="6" t="n"/>
      <c r="D26" s="6" t="n"/>
      <c r="E26" s="6" t="n"/>
      <c r="F26" s="6" t="n"/>
      <c r="G26" s="6" t="n"/>
      <c r="H26" s="6" t="n"/>
      <c r="I26" s="6" t="n"/>
      <c r="J26" s="6" t="n"/>
      <c r="K26" s="6" t="n"/>
      <c r="L26" s="6" t="n"/>
    </row>
    <row r="27">
      <c r="A27" s="6" t="inlineStr">
        <is>
          <t>Proceeds from debt securities sales/maturity</t>
        </is>
      </c>
      <c r="B27" s="6" t="n">
        <v>21594</v>
      </c>
      <c r="C27" s="6" t="n">
        <v>6609</v>
      </c>
      <c r="D27" s="6" t="n">
        <v>20000</v>
      </c>
      <c r="E27" s="6" t="n">
        <v>10000</v>
      </c>
      <c r="F27" s="6" t="n">
        <v>7000</v>
      </c>
      <c r="G27" s="6" t="n"/>
      <c r="H27" s="6" t="n">
        <v>23244</v>
      </c>
      <c r="I27" s="6" t="n"/>
      <c r="J27" s="6" t="n">
        <v>10000</v>
      </c>
      <c r="K27" s="6" t="n">
        <v>17097</v>
      </c>
      <c r="L27" s="6" t="n">
        <v>5198</v>
      </c>
    </row>
    <row r="28">
      <c r="A28" s="6" t="inlineStr">
        <is>
          <t>Acquisition of debt securities</t>
        </is>
      </c>
      <c r="B28" s="6" t="n">
        <v>-107335</v>
      </c>
      <c r="C28" s="6" t="n">
        <v>-24437</v>
      </c>
      <c r="D28" s="6" t="n">
        <v>-35774</v>
      </c>
      <c r="E28" s="6" t="n">
        <v>-4845</v>
      </c>
      <c r="F28" s="6" t="n">
        <v>-7094</v>
      </c>
      <c r="G28" s="6" t="n">
        <v>-38533</v>
      </c>
      <c r="H28" s="6" t="n">
        <v>-9894</v>
      </c>
      <c r="I28" s="6" t="n">
        <v>-10199</v>
      </c>
      <c r="J28" s="6" t="n"/>
      <c r="K28" s="6" t="n">
        <v>-3106</v>
      </c>
      <c r="L28" s="6" t="n"/>
    </row>
    <row r="29">
      <c r="A29" s="6" t="inlineStr">
        <is>
          <t>Acquisition of property, plant &amp; equipment and intangible assets</t>
        </is>
      </c>
      <c r="B29" s="6" t="n">
        <v>-1631</v>
      </c>
      <c r="C29" s="6" t="n">
        <v>-1159</v>
      </c>
      <c r="D29" s="6" t="n">
        <v>-700</v>
      </c>
      <c r="E29" s="6" t="n">
        <v>-870</v>
      </c>
      <c r="F29" s="6" t="n">
        <v>-646</v>
      </c>
      <c r="G29" s="6" t="n">
        <v>-1295</v>
      </c>
      <c r="H29" s="6" t="n">
        <v>-1376</v>
      </c>
      <c r="I29" s="6" t="n">
        <v>-1077</v>
      </c>
      <c r="J29" s="6" t="n">
        <v>-315</v>
      </c>
      <c r="K29" s="6" t="n">
        <v>-217</v>
      </c>
      <c r="L29" s="6" t="n">
        <v>-399</v>
      </c>
    </row>
    <row r="30">
      <c r="A30" s="5" t="inlineStr">
        <is>
          <t>Net cash (used in)/generated from investing activities</t>
        </is>
      </c>
      <c r="B30" s="5" t="n">
        <v>-87372</v>
      </c>
      <c r="C30" s="5" t="n">
        <v>-18987</v>
      </c>
      <c r="D30" s="5" t="n">
        <v>-16474</v>
      </c>
      <c r="E30" s="5" t="n">
        <v>4285</v>
      </c>
      <c r="F30" s="5" t="n">
        <v>-740</v>
      </c>
      <c r="G30" s="5" t="n">
        <v>-39828</v>
      </c>
      <c r="H30" s="5" t="n">
        <v>11974</v>
      </c>
      <c r="I30" s="5" t="n">
        <v>-11276</v>
      </c>
      <c r="J30" s="5" t="n">
        <v>9685</v>
      </c>
      <c r="K30" s="5" t="n">
        <v>13774</v>
      </c>
      <c r="L30" s="5" t="n">
        <v>4799</v>
      </c>
    </row>
    <row r="31">
      <c r="A31" s="5" t="inlineStr">
        <is>
          <t>Financing activities</t>
        </is>
      </c>
      <c r="B31" s="6" t="n"/>
      <c r="C31" s="6" t="n"/>
      <c r="D31" s="6" t="n"/>
      <c r="E31" s="6" t="n"/>
      <c r="F31" s="6" t="n"/>
      <c r="G31" s="6" t="n"/>
      <c r="H31" s="6" t="n"/>
      <c r="I31" s="6" t="n"/>
      <c r="J31" s="6" t="n"/>
      <c r="K31" s="6" t="n"/>
      <c r="L31" s="6" t="n"/>
    </row>
    <row r="32">
      <c r="A32" s="6" t="inlineStr">
        <is>
          <t>Dividend paid</t>
        </is>
      </c>
      <c r="B32" s="6" t="n">
        <v>-20000</v>
      </c>
      <c r="C32" s="6" t="n"/>
      <c r="D32" s="6" t="n"/>
      <c r="E32" s="6" t="n"/>
      <c r="F32" s="6" t="n"/>
      <c r="G32" s="6" t="n"/>
      <c r="H32" s="6" t="n"/>
      <c r="I32" s="6" t="n">
        <v>-1000</v>
      </c>
      <c r="J32" s="6" t="n"/>
      <c r="K32" s="6" t="n">
        <v>-390</v>
      </c>
      <c r="L32" s="6" t="n">
        <v>-1135</v>
      </c>
    </row>
    <row r="33">
      <c r="A33" s="6" t="inlineStr">
        <is>
          <t>Issue of subordinated debt liability</t>
        </is>
      </c>
      <c r="B33" s="6" t="n"/>
      <c r="C33" s="6" t="n">
        <v>0</v>
      </c>
      <c r="D33" s="6" t="n">
        <v>4604</v>
      </c>
      <c r="E33" s="6" t="n"/>
      <c r="F33" s="6" t="n"/>
      <c r="G33" s="6" t="n"/>
      <c r="H33" s="6" t="n"/>
      <c r="I33" s="6" t="n"/>
      <c r="J33" s="6" t="n"/>
      <c r="K33" s="6" t="n"/>
      <c r="L33" s="6" t="n"/>
    </row>
    <row r="34">
      <c r="A34" s="6" t="inlineStr">
        <is>
          <t>Proceeds from the issue of share capital</t>
        </is>
      </c>
      <c r="B34" s="6" t="n"/>
      <c r="C34" s="6" t="n"/>
      <c r="D34" s="6" t="n"/>
      <c r="E34" s="6" t="n"/>
      <c r="F34" s="6" t="n"/>
      <c r="G34" s="6" t="n"/>
      <c r="H34" s="6" t="n"/>
      <c r="I34" s="6" t="n">
        <v>21000</v>
      </c>
      <c r="J34" s="6" t="n"/>
      <c r="K34" s="6" t="n">
        <v>2000</v>
      </c>
      <c r="L34" s="6" t="n">
        <v>8900</v>
      </c>
    </row>
    <row r="35">
      <c r="A35" s="6" t="inlineStr">
        <is>
          <t>Proceeds from the issue of contingent convertible loan notes</t>
        </is>
      </c>
      <c r="B35" s="6" t="n"/>
      <c r="C35" s="6" t="n"/>
      <c r="D35" s="6" t="n"/>
      <c r="E35" s="6" t="n"/>
      <c r="F35" s="6" t="n"/>
      <c r="G35" s="6" t="n"/>
      <c r="H35" s="6" t="n"/>
      <c r="I35" s="6" t="n">
        <v>10000</v>
      </c>
      <c r="J35" s="6" t="n"/>
      <c r="K35" s="6" t="n"/>
      <c r="L35" s="6" t="n"/>
    </row>
    <row r="36">
      <c r="A36" s="6" t="inlineStr">
        <is>
          <t>Convertible loan note interest paid</t>
        </is>
      </c>
      <c r="B36" s="6" t="n">
        <v>-2284</v>
      </c>
      <c r="C36" s="6" t="n">
        <v>-2459</v>
      </c>
      <c r="D36" s="6" t="n">
        <v>-2191</v>
      </c>
      <c r="E36" s="6" t="n">
        <v>-1439</v>
      </c>
      <c r="F36" s="6" t="n">
        <v>-1283</v>
      </c>
      <c r="G36" s="6" t="n">
        <v>-1440</v>
      </c>
      <c r="H36" s="6" t="n">
        <v>-1457</v>
      </c>
      <c r="I36" s="6" t="n">
        <v>-795</v>
      </c>
      <c r="J36" s="6" t="n">
        <v>-775</v>
      </c>
      <c r="K36" s="6" t="n">
        <v>-785</v>
      </c>
      <c r="L36" s="6" t="n"/>
    </row>
    <row r="37">
      <c r="A37" s="5" t="inlineStr">
        <is>
          <t>Net cash (used in)/generated from financing activities</t>
        </is>
      </c>
      <c r="B37" s="5" t="n">
        <v>-22284</v>
      </c>
      <c r="C37" s="5" t="n">
        <v>-2459</v>
      </c>
      <c r="D37" s="5" t="n">
        <v>2413</v>
      </c>
      <c r="E37" s="5" t="n">
        <v>-1439</v>
      </c>
      <c r="F37" s="5" t="n">
        <v>-1283</v>
      </c>
      <c r="G37" s="5" t="n">
        <v>-1440</v>
      </c>
      <c r="H37" s="5" t="n">
        <v>-1457</v>
      </c>
      <c r="I37" s="5" t="n">
        <v>29205</v>
      </c>
      <c r="J37" s="5" t="n">
        <v>-775</v>
      </c>
      <c r="K37" s="5" t="n">
        <v>825</v>
      </c>
      <c r="L37" s="5" t="n">
        <v>7765</v>
      </c>
    </row>
    <row r="38">
      <c r="A38" s="5" t="inlineStr">
        <is>
          <t>Net (decrease)/increase in cash and cash equivalents</t>
        </is>
      </c>
      <c r="B38" s="5" t="n">
        <v>-11401</v>
      </c>
      <c r="C38" s="5" t="n">
        <v>-7904</v>
      </c>
      <c r="D38" s="5" t="n">
        <v>12282</v>
      </c>
      <c r="E38" s="5" t="n">
        <v>48160</v>
      </c>
      <c r="F38" s="5" t="n">
        <v>51802</v>
      </c>
      <c r="G38" s="5" t="n">
        <v>-36018</v>
      </c>
      <c r="H38" s="5" t="n">
        <v>-10003</v>
      </c>
      <c r="I38" s="5" t="n">
        <v>62284</v>
      </c>
      <c r="J38" s="5" t="n">
        <v>41727</v>
      </c>
      <c r="K38" s="5" t="n">
        <v>69648</v>
      </c>
      <c r="L38" s="5" t="n">
        <v>-60435</v>
      </c>
    </row>
    <row r="39">
      <c r="A39" s="6" t="inlineStr">
        <is>
          <t>Cash and cash equivalents at 1 January</t>
        </is>
      </c>
      <c r="B39" s="6" t="n">
        <v>304989</v>
      </c>
      <c r="C39" s="6" t="n">
        <v>312893</v>
      </c>
      <c r="D39" s="6" t="n">
        <v>300611</v>
      </c>
      <c r="E39" s="6" t="n">
        <v>252451</v>
      </c>
      <c r="F39" s="6" t="n">
        <v>200649</v>
      </c>
      <c r="G39" s="6" t="n">
        <v>236667</v>
      </c>
      <c r="H39" s="6" t="n">
        <v>246670</v>
      </c>
      <c r="I39" s="6" t="n">
        <v>184386</v>
      </c>
      <c r="J39" s="6" t="n">
        <v>142659</v>
      </c>
      <c r="K39" s="6" t="n">
        <v>73011</v>
      </c>
      <c r="L39" s="6" t="n">
        <v>133446</v>
      </c>
    </row>
    <row r="40">
      <c r="A40" s="5" t="inlineStr">
        <is>
          <t>Cash and cash equivalents at 31 December</t>
        </is>
      </c>
      <c r="B40" s="5" t="n">
        <v>293588</v>
      </c>
      <c r="C40" s="5" t="n">
        <v>304989</v>
      </c>
      <c r="D40" s="5" t="n">
        <v>312893</v>
      </c>
      <c r="E40" s="5" t="n">
        <v>300611</v>
      </c>
      <c r="F40" s="5" t="n">
        <v>252451</v>
      </c>
      <c r="G40" s="5" t="n">
        <v>200649</v>
      </c>
      <c r="H40" s="5" t="n">
        <v>236667</v>
      </c>
      <c r="I40" s="5" t="n">
        <v>246670</v>
      </c>
      <c r="J40" s="5" t="n">
        <v>184386</v>
      </c>
      <c r="K40" s="5" t="n">
        <v>142659</v>
      </c>
      <c r="L40" s="5" t="n">
        <v>73011</v>
      </c>
    </row>
    <row r="42" ht="260" customHeight="1">
      <c r="A42" s="8" t="inlineStr">
        <is>
          <t>Sources - Cambridge &amp; Counties Bank Limited's own Statement of Cash Flows (Bank-only basis, no subsidiaries):
FY2025: Annual Report 2025, p.58 (own year) - https://ccbank.co.uk/wp-content/uploads/2026/04/Cambridge__Counties-Bank_Annual-Report_2025.pdf
FY2024: Annual Report 2024, p.82 (own year); cross-checked against Annual Report 2025's FY2024 comparative column, p.58 (exact match) - https://ccbank.co.uk/wp-content/uploads/2025/05/86395_CCB-2024-Annual-Report-web.pdf
FY2023: Annual Report 2024, p.82 (FY2023 comparative column) - https://ccbank.co.uk/wp-content/uploads/2025/05/86395_CCB-2024-Annual-Report-web.pdf
FY2022: Annual Report 2022 (accounts to 31 Dec 2022), p.86 (own year) - https://ccbank.co.uk/wp-content/uploads/2023/06/CCB_Annual-Report_2022.pdf
FY2021: Annual Report 2022, p.86 (FY2021 comparative column) - https://ccbank.co.uk/wp-content/uploads/2023/06/CCB_Annual-Report_2022.pdf
FY2020: Companies House filing history (company 07972522), 'Full accounts made up to 31 December 2020', filed 25 Jun 2021 (108 pages), 'Statement of Cash Flow' p.65 (own year) - https://find-and-update.company-information.service.gov.uk/company/07972522/filing-history
FY2019: same FY2020 filing, p.65 (FY2019 comparative column) - https://find-and-update.company-information.service.gov.uk/company/07972522/filing-history
FY2018: Companies House filing history (company 07972522), 'Full accounts made up to 31 December 2018', filed 18 May 2019 (87 pages), 'Statement of Cash Flow' p.44 (own year) - https://find-and-update.company-information.service.gov.uk/company/07972522/filing-history
FY2017: same FY2018 filing, p.44 (FY2017 comparative column) - https://find-and-update.company-information.service.gov.uk/company/07972522/filing-history
FY2016: Companies House filing history (company 07972522), 'Full accounts made up to 31 December 2016', filed 07 Mar 2017 (60 pages) - also carries FY2015 comparative, 'Statement of Cash Flow' p.29 (own year) - https://find-and-update.company-information.service.gov.uk/company/07972522/filing-history
FY2015: same filing as FY2016, p.29 (FY2015 comparative column) - https://find-and-update.company-information.service.gov.uk/company/07972522/filing-history
LABEL NOTE: both the FY2024 and FY2025 Annual Reports mislabel the financing-activities subtotal row as 'Net cash (used in) investing activities' (should read 'financing') - a recurring caption typo in the Bank's own template across at least two years; the figure is correctly placed under the Financing Activities section here regardless of the source's mislabelled caption.
PRESENTATION NOTE: FY2021-FY2024 show two running subtotals within operating activities (adjustments-for subtotal, then a working-capital-changes subtotal) before the final operating total; FY2025's presentation drops both intermediate subtotals and lists all line items in one unbroken block - both years' totals reconcile exactly against their own line items either way; FY2025's missing subtotal cells are a genuine presentation change, not a gap. FY2015-FY2020 (all sourced pre-FY2021) present operating activities as a single unbroken block like FY2025, with no intermediate subtotals either - consistent with this being the Bank's older template, later expanded to two subtotals for FY2021-FY2024 and then simplified back for FY2025.
DATA QUALITY NOTE: Annual Report 2024's own printed working-capital-changes subtotal for FY2024 reads £(21,140)k, but this does not match the sum of its own seven component line items, which total £(22,140)k - a £1,000k discrepancy. £(22,140)k is used here instead, since it is the figure that reconciles exactly to the report's own final 'Net cash generated from operating activities' total of £13,542k (£35,682k + £(22,140)k = £13,542k, matching exactly; £35,682k + £(21,140)k = £14,542k, which does not match the printed final total). The FY2023 comparative column in the same table is internally consistent and required no correction.
DATA QUALITY NOTE (FY2016/FY2015): the FY2016 Companies House filing's own printed 'Net cash from investing activities' and 'Net cash from financing activities' subtotal rows (68,823 and 69,648 for FY2016; (68,200) and (60,435) for FY2015) do not sum from their own component line items and instead appear to duplicate cumulative running totals. The figures used here (FY2016: 13,774 investing / 825 financing; FY2015: 4,799 investing / 7,765 financing) are recomputed directly from the filing's own component lines and reconcile exactly to the filing's own (internally consistent) 'Net increase/(decrease) in cash and cash equivalents' totals (FY2016: 69,648; FY2015: (60,435)) and to the unbroken opening/closing cash chain running from FY2015 through FY2025.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42:L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Asset Quality</t>
        </is>
      </c>
    </row>
    <row r="2">
      <c r="A2" s="2" t="inlineStr">
        <is>
          <t>Bank-only basis (no subsidiaries), £'000. Full IFRS 9 stage split disclosed every year from FY2018 (adoption date) onward, including FY2023's gross loan figure (found on a follow-up pass; ties exactly to net + provision); FY2015-FY2017 predate IFRS 9 and disclose a single individual/collective provision total instead (see Note 16 CAVEAT below).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Loan book</t>
        </is>
      </c>
      <c r="B4" s="6" t="n"/>
      <c r="C4" s="6" t="n"/>
      <c r="D4" s="6" t="n"/>
      <c r="E4" s="6" t="n"/>
      <c r="F4" s="6" t="n"/>
      <c r="G4" s="6" t="n"/>
      <c r="H4" s="6" t="n"/>
      <c r="I4" s="6" t="n"/>
      <c r="J4" s="6" t="n"/>
      <c r="K4" s="6" t="n"/>
      <c r="L4" s="6" t="n"/>
    </row>
    <row r="5">
      <c r="A5" s="6" t="inlineStr">
        <is>
          <t>Gross loans and advances</t>
        </is>
      </c>
      <c r="B5" s="6" t="n">
        <v>1454424</v>
      </c>
      <c r="C5" s="6" t="n">
        <v>1225716</v>
      </c>
      <c r="D5" s="6" t="n">
        <v>1106055</v>
      </c>
      <c r="E5" s="6" t="n">
        <v>1054638</v>
      </c>
      <c r="F5" s="6" t="n">
        <v>992600</v>
      </c>
      <c r="G5" s="6" t="n">
        <v>840831</v>
      </c>
      <c r="H5" s="6" t="n">
        <v>769684</v>
      </c>
      <c r="I5" s="6" t="n">
        <v>777084</v>
      </c>
      <c r="J5" s="6" t="n">
        <v>693538</v>
      </c>
      <c r="K5" s="6" t="n">
        <v>590860</v>
      </c>
      <c r="L5" s="6" t="n">
        <v>417410</v>
      </c>
    </row>
    <row r="6">
      <c r="A6" s="6" t="inlineStr">
        <is>
          <t>Loans and advances to customers, net</t>
        </is>
      </c>
      <c r="B6" s="6" t="n">
        <v>1446075</v>
      </c>
      <c r="C6" s="6" t="n">
        <v>1204444</v>
      </c>
      <c r="D6" s="6" t="n">
        <v>1083278</v>
      </c>
      <c r="E6" s="6" t="n">
        <v>1037710</v>
      </c>
      <c r="F6" s="6" t="n">
        <v>977834</v>
      </c>
      <c r="G6" s="6" t="n">
        <v>828380</v>
      </c>
      <c r="H6" s="6" t="n">
        <v>761503</v>
      </c>
      <c r="I6" s="6" t="n">
        <v>769016</v>
      </c>
      <c r="J6" s="6" t="n">
        <v>689954</v>
      </c>
      <c r="K6" s="6" t="n">
        <v>588352</v>
      </c>
      <c r="L6" s="6" t="n">
        <v>416263</v>
      </c>
    </row>
    <row r="7">
      <c r="A7" s="5" t="inlineStr">
        <is>
          <t>Loan loss provision, by IFRS 9 stage (FY2018-FY2025; IFRS 9 adopted 1 Jan 2018)</t>
        </is>
      </c>
      <c r="B7" s="6" t="n"/>
      <c r="C7" s="6" t="n"/>
      <c r="D7" s="6" t="n"/>
      <c r="E7" s="6" t="n"/>
      <c r="F7" s="6" t="n"/>
      <c r="G7" s="6" t="n"/>
      <c r="H7" s="6" t="n"/>
      <c r="I7" s="6" t="n"/>
      <c r="J7" s="6" t="n"/>
      <c r="K7" s="6" t="n"/>
      <c r="L7" s="6" t="n"/>
    </row>
    <row r="8">
      <c r="A8" s="6" t="inlineStr">
        <is>
          <t>Stage 1: subject to 12-month ECL</t>
        </is>
      </c>
      <c r="B8" s="6" t="n">
        <v>-3559</v>
      </c>
      <c r="C8" s="6" t="n">
        <v>-2645</v>
      </c>
      <c r="D8" s="6" t="n">
        <v>-3288</v>
      </c>
      <c r="E8" s="6" t="n">
        <v>-3082</v>
      </c>
      <c r="F8" s="6" t="n">
        <v>-2836</v>
      </c>
      <c r="G8" s="6" t="n">
        <v>-3332</v>
      </c>
      <c r="H8" s="6" t="n">
        <v>-3423</v>
      </c>
      <c r="I8" s="6" t="n">
        <v>-2326</v>
      </c>
      <c r="J8" s="6" t="n"/>
      <c r="K8" s="6" t="n"/>
      <c r="L8" s="6" t="n"/>
    </row>
    <row r="9">
      <c r="A9" s="6" t="inlineStr">
        <is>
          <t>Stage 2: subject to lifetime ECL</t>
        </is>
      </c>
      <c r="B9" s="6" t="n">
        <v>-3366</v>
      </c>
      <c r="C9" s="6" t="n">
        <v>-8208</v>
      </c>
      <c r="D9" s="6" t="n">
        <v>-8907</v>
      </c>
      <c r="E9" s="6" t="n">
        <v>-8283</v>
      </c>
      <c r="F9" s="6" t="n">
        <v>-5954</v>
      </c>
      <c r="G9" s="6" t="n">
        <v>-4867</v>
      </c>
      <c r="H9" s="6" t="n">
        <v>-1303</v>
      </c>
      <c r="I9" s="6" t="n">
        <v>-2171</v>
      </c>
      <c r="J9" s="6" t="n"/>
      <c r="K9" s="6" t="n"/>
      <c r="L9" s="6" t="n"/>
    </row>
    <row r="10">
      <c r="A10" s="6" t="inlineStr">
        <is>
          <t>Stage 3: subject to lifetime ECL</t>
        </is>
      </c>
      <c r="B10" s="6" t="n">
        <v>-4554</v>
      </c>
      <c r="C10" s="6" t="n">
        <v>-10270</v>
      </c>
      <c r="D10" s="6" t="n">
        <v>-10582</v>
      </c>
      <c r="E10" s="6" t="n">
        <v>-5563</v>
      </c>
      <c r="F10" s="6" t="n">
        <v>-5976</v>
      </c>
      <c r="G10" s="6" t="n">
        <v>-4252</v>
      </c>
      <c r="H10" s="6" t="n">
        <v>-3455</v>
      </c>
      <c r="I10" s="6" t="n">
        <v>-3571</v>
      </c>
      <c r="J10" s="6" t="n"/>
      <c r="K10" s="6" t="n"/>
      <c r="L10" s="6" t="n"/>
    </row>
    <row r="11">
      <c r="A11" s="5" t="inlineStr">
        <is>
          <t>Total loan loss provision (IFRS 9 basis, FY2018-FY2025)</t>
        </is>
      </c>
      <c r="B11" s="5" t="n">
        <v>-11479</v>
      </c>
      <c r="C11" s="5" t="n">
        <v>-21123</v>
      </c>
      <c r="D11" s="5" t="n">
        <v>-22777</v>
      </c>
      <c r="E11" s="5" t="n">
        <v>-16928</v>
      </c>
      <c r="F11" s="5" t="n">
        <v>-14766</v>
      </c>
      <c r="G11" s="5" t="n">
        <v>-12451</v>
      </c>
      <c r="H11" s="5" t="n">
        <v>-8181</v>
      </c>
      <c r="I11" s="5" t="n">
        <v>-8068</v>
      </c>
      <c r="J11" s="5" t="n"/>
      <c r="K11" s="5" t="n"/>
      <c r="L11" s="5" t="n"/>
    </row>
    <row r="12">
      <c r="A12" s="5" t="inlineStr">
        <is>
          <t>Loan loss provision, pre-IFRS 9 (FY2015-FY2017, single collective/individual total)</t>
        </is>
      </c>
      <c r="B12" s="6" t="n"/>
      <c r="C12" s="6" t="n"/>
      <c r="D12" s="6" t="n"/>
      <c r="E12" s="6" t="n"/>
      <c r="F12" s="6" t="n"/>
      <c r="G12" s="6" t="n"/>
      <c r="H12" s="6" t="n"/>
      <c r="I12" s="6" t="n"/>
      <c r="J12" s="6" t="n"/>
      <c r="K12" s="6" t="n"/>
      <c r="L12" s="6" t="n"/>
    </row>
    <row r="13">
      <c r="A13" s="6" t="inlineStr">
        <is>
          <t>Individual provisions</t>
        </is>
      </c>
      <c r="B13" s="6" t="n"/>
      <c r="C13" s="6" t="n"/>
      <c r="D13" s="6" t="n"/>
      <c r="E13" s="6" t="n"/>
      <c r="F13" s="6" t="n"/>
      <c r="G13" s="6" t="n"/>
      <c r="H13" s="6" t="n"/>
      <c r="I13" s="6" t="n"/>
      <c r="J13" s="6" t="n"/>
      <c r="K13" s="6" t="n">
        <v>-1016</v>
      </c>
      <c r="L13" s="6" t="n">
        <v>-100</v>
      </c>
    </row>
    <row r="14">
      <c r="A14" s="6" t="inlineStr">
        <is>
          <t>Collective provisions</t>
        </is>
      </c>
      <c r="B14" s="6" t="n"/>
      <c r="C14" s="6" t="n"/>
      <c r="D14" s="6" t="n"/>
      <c r="E14" s="6" t="n"/>
      <c r="F14" s="6" t="n"/>
      <c r="G14" s="6" t="n"/>
      <c r="H14" s="6" t="n"/>
      <c r="I14" s="6" t="n"/>
      <c r="J14" s="6" t="n"/>
      <c r="K14" s="6" t="n">
        <v>-1492</v>
      </c>
      <c r="L14" s="6" t="n">
        <v>-1047</v>
      </c>
    </row>
    <row r="15">
      <c r="A15" s="5" t="inlineStr">
        <is>
          <t>Total loan loss provision (pre-IFRS 9 basis)</t>
        </is>
      </c>
      <c r="B15" s="5" t="n"/>
      <c r="C15" s="5" t="n"/>
      <c r="D15" s="5" t="n"/>
      <c r="E15" s="5" t="n"/>
      <c r="F15" s="5" t="n"/>
      <c r="G15" s="5" t="n"/>
      <c r="H15" s="5" t="n"/>
      <c r="I15" s="5" t="n"/>
      <c r="J15" s="5" t="n">
        <v>-3584</v>
      </c>
      <c r="K15" s="5" t="n">
        <v>-2508</v>
      </c>
      <c r="L15" s="5" t="n">
        <v>-1147</v>
      </c>
    </row>
    <row r="16">
      <c r="A16" s="6" t="inlineStr">
        <is>
          <t>Loan loss provision credit/(charge) for the year</t>
        </is>
      </c>
      <c r="B16" s="6" t="n">
        <v>1967</v>
      </c>
      <c r="C16" s="6" t="n">
        <v>-4932</v>
      </c>
      <c r="D16" s="6" t="n">
        <v>-7263</v>
      </c>
      <c r="E16" s="6" t="n">
        <v>-4773</v>
      </c>
      <c r="F16" s="6" t="n">
        <v>-3524</v>
      </c>
      <c r="G16" s="6" t="n">
        <v>-5813</v>
      </c>
      <c r="H16" s="6" t="n">
        <v>-1566</v>
      </c>
      <c r="I16" s="6" t="n">
        <v>-1716</v>
      </c>
      <c r="J16" s="6" t="n">
        <v>-2237</v>
      </c>
      <c r="K16" s="6" t="n">
        <v>-1361</v>
      </c>
      <c r="L16" s="6" t="n">
        <v>-439</v>
      </c>
    </row>
    <row r="18" ht="260" customHeight="1">
      <c r="A18" s="8" t="inlineStr">
        <is>
          <t>Sources - Cambridge &amp; Counties Bank Limited's own Note 15 (Loans and advances to customers) and Note 16 (Allowance for impairment losses):
FY2025/FY2024: Annual Report 2025, p.66-67 - https://ccbank.co.uk/wp-content/uploads/2026/04/Cambridge__Counties-Bank_Annual-Report_2025.pdf
FY2023: Annual Report 2024, Note 16 (Allowance for impairment losses), p.47's 'Gross loan balances by Stage 2023' table, 'Closing Balance at 31 December 2023' row - https://ccbank.co.uk/wp-content/uploads/2025/05/86395_CCB-2024-Annual-Report-web.pdf
FY2022/FY2021: Annual Report 2022, pp.48-49 - https://ccbank.co.uk/wp-content/uploads/2023/06/CCB_Annual-Report_2022.pdf
FY2020/FY2019: Companies House filing history (company 07972522), 'Full accounts made up to 31 December 2020', filed 25 Jun 2021, Note 15 p.72 and Note 16 p.73 (IFRS 9 Stage 1/2/3 split, both years shown) - https://find-and-update.company-information.service.gov.uk/company/07972522/filing-history
FY2018/FY2017: Companies House filing history (company 07972522), 'Full accounts made up to 31 December 2018', filed 18 May 2019, Note 15/16 p.53 (IFRS 9 Stage 1/2/3 split for FY2018's own year; FY2017's own comparative column is a single pre-IFRS9 allowance figure, no stage split) - https://find-and-update.company-information.service.gov.uk/company/07972522/filing-history
FY2016/FY2015: Companies House filing history (company 07972522), 'Full accounts made up to 31 December 2016', filed 07 Mar 2017 (60 pages) - also carries FY2015 comparative, Note 15 p.35 (single pre-IFRS9 allowance figure, no stage split for either year) - https://find-and-update.company-information.service.gov.uk/company/07972522/filing-history
Gross/net loan figures per the Balance Sheet above; the loan loss provision is disclosed by full IFRS 9 stage (Stage 1/2/3) from FY2018 onward - shown as negative (a deduction from gross loans). FY2015-FY2017 predate the Bank's 1 January 2018 IFRS 9 adoption and disclose only a single collective/individual-assessment allowance total, with no stage breakdown - those years' Stage 1/2/3 cells are left blank rather than estimated, and only the Total loan loss provision row is populated for them. The loan loss provision credit/(charge) for the year is the P&amp;L's own 'Impairment release/(losses) on loans and advances to customers' line throughout. FY2020/FY2019 gross loans and advances (£840,831k / £769,684k) are not printed directly as a combined figure in the FY2020 filing's Note 15 (which shows the two years' net receivables only) - they are derived as net loans plus the matching year's Note 16 total IFRS 9 provision (£828,380k + £12,451k; £761,503k + £8,181k respectively), both of which reconcile exactly against the Balance Sheet's own net figure. FY2016/FY2015's pre-IFRS9 provision splits into 'Individual provisions' and 'Collective provisions' sub-totals per the Bank's own Note 16 roll-forward table; FY2017's own comparative column in the FY2018 filing shows only the combined total (£3,584k), not the individual/collective split.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218496</v>
      </c>
      <c r="C4" s="6" t="n">
        <v>213247</v>
      </c>
      <c r="D4" s="6" t="n">
        <v>190817</v>
      </c>
      <c r="E4" s="6" t="n">
        <v>163071</v>
      </c>
      <c r="F4" s="6" t="n">
        <v>144655</v>
      </c>
      <c r="G4" s="6" t="n">
        <v>130263</v>
      </c>
      <c r="H4" s="6" t="n">
        <v>119471</v>
      </c>
      <c r="I4" s="6" t="n">
        <v>104339</v>
      </c>
      <c r="J4" s="6" t="n">
        <v>62823</v>
      </c>
      <c r="K4" s="6" t="n">
        <v>43835</v>
      </c>
      <c r="L4" s="6" t="n">
        <v>28707</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19.2%</t>
        </is>
      </c>
      <c r="C4" s="6" t="inlineStr">
        <is>
          <t>21.75%</t>
        </is>
      </c>
      <c r="D4" s="6" t="inlineStr">
        <is>
          <t>22.67%</t>
        </is>
      </c>
      <c r="E4" s="6" t="inlineStr">
        <is>
          <t>20.70%</t>
        </is>
      </c>
      <c r="F4" s="6" t="inlineStr">
        <is>
          <t>19.86%</t>
        </is>
      </c>
      <c r="G4" s="6" t="inlineStr">
        <is>
          <t>20.69%</t>
        </is>
      </c>
      <c r="H4" s="6" t="inlineStr">
        <is>
          <t>19.29%</t>
        </is>
      </c>
      <c r="I4" s="6" t="inlineStr">
        <is>
          <t>16.79%</t>
        </is>
      </c>
      <c r="J4" s="6" t="inlineStr">
        <is>
          <t>11.19%</t>
        </is>
      </c>
      <c r="K4" s="6" t="inlineStr">
        <is>
          <t>10.60%</t>
        </is>
      </c>
      <c r="L4" s="6" t="inlineStr">
        <is>
          <t>10.5%</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242394</v>
      </c>
      <c r="C4" s="6" t="n">
        <v>236147</v>
      </c>
      <c r="D4" s="6" t="n">
        <v>213717</v>
      </c>
      <c r="E4" s="6" t="n">
        <v>185972</v>
      </c>
      <c r="F4" s="6" t="n">
        <v>167555</v>
      </c>
      <c r="G4" s="6" t="n">
        <v>153163</v>
      </c>
      <c r="H4" s="6" t="n">
        <v>142371</v>
      </c>
      <c r="I4" s="6" t="n">
        <v>127239</v>
      </c>
      <c r="J4" s="6" t="n">
        <v>75723</v>
      </c>
      <c r="K4" s="6" t="n">
        <v>56735</v>
      </c>
      <c r="L4" s="6" t="n">
        <v>40607</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21.3%</t>
        </is>
      </c>
      <c r="C4" s="6" t="inlineStr">
        <is>
          <t>24.09%</t>
        </is>
      </c>
      <c r="D4" s="6" t="inlineStr">
        <is>
          <t>25.40%</t>
        </is>
      </c>
      <c r="E4" s="6" t="inlineStr">
        <is>
          <t>23.61%</t>
        </is>
      </c>
      <c r="F4" s="6" t="inlineStr">
        <is>
          <t>23.00%</t>
        </is>
      </c>
      <c r="G4" s="6" t="inlineStr">
        <is>
          <t>24.32%</t>
        </is>
      </c>
      <c r="H4" s="6" t="inlineStr">
        <is>
          <t>22.99%</t>
        </is>
      </c>
      <c r="I4" s="6" t="inlineStr">
        <is>
          <t>20.48%</t>
        </is>
      </c>
      <c r="J4" s="6" t="inlineStr">
        <is>
          <t>13.48%</t>
        </is>
      </c>
      <c r="K4" s="6" t="inlineStr">
        <is>
          <t>13.72%</t>
        </is>
      </c>
      <c r="L4" s="6" t="inlineStr">
        <is>
          <t>14.8%</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246946</v>
      </c>
      <c r="C4" s="6" t="n">
        <v>241147</v>
      </c>
      <c r="D4" s="6" t="n">
        <v>218717</v>
      </c>
      <c r="E4" s="6" t="n">
        <v>185972</v>
      </c>
      <c r="F4" s="6" t="n">
        <v>167555</v>
      </c>
      <c r="G4" s="6" t="n">
        <v>153163</v>
      </c>
      <c r="H4" s="6" t="n">
        <v>142371</v>
      </c>
      <c r="I4" s="6" t="n">
        <v>127239</v>
      </c>
      <c r="J4" s="6" t="n">
        <v>77518</v>
      </c>
      <c r="K4" s="6" t="n">
        <v>58227</v>
      </c>
      <c r="L4" s="6" t="n">
        <v>42054</v>
      </c>
    </row>
    <row r="5" ht="60" customHeight="1">
      <c r="A5" s="7" t="inlineStr">
        <is>
          <t>Note: FY2025: no standalone Pillar 3 document has been published yet - CALCULATED from the Annual Report 2025's own disclosed RWA (£1,138m) and ratio (see Overview/Strategic Report), not directly disclosed as a £ figure anywhere in the source. FY2021-FY2024 are directly disclosed, not calculated. Total Capital = Tier 1 capital alone for FY2021/FY2022 (no Tier 2 instruments held); Tier 2 capital (£5m subordinated debt from British Business Bank Investments) was first issued during FY2023, explaining the step-up between Tier 1 and Total Capital from that year onward.</t>
        </is>
      </c>
    </row>
    <row r="7" ht="18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21.7%</t>
        </is>
      </c>
      <c r="C4" s="6" t="inlineStr">
        <is>
          <t>24.60%</t>
        </is>
      </c>
      <c r="D4" s="6" t="inlineStr">
        <is>
          <t>25.99%</t>
        </is>
      </c>
      <c r="E4" s="6" t="inlineStr">
        <is>
          <t>23.61%</t>
        </is>
      </c>
      <c r="F4" s="6" t="inlineStr">
        <is>
          <t>23.00%</t>
        </is>
      </c>
      <c r="G4" s="6" t="inlineStr">
        <is>
          <t>24.32%</t>
        </is>
      </c>
      <c r="H4" s="6" t="inlineStr">
        <is>
          <t>22.99%</t>
        </is>
      </c>
      <c r="I4" s="6" t="inlineStr">
        <is>
          <t>20.48%</t>
        </is>
      </c>
      <c r="J4" s="6" t="inlineStr">
        <is>
          <t>13.80%</t>
        </is>
      </c>
      <c r="K4" s="6" t="inlineStr">
        <is>
          <t>14.08%</t>
        </is>
      </c>
      <c r="L4" s="6" t="inlineStr">
        <is>
          <t>15.4%</t>
        </is>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1138000</v>
      </c>
      <c r="C4" s="6" t="n">
        <v>980319</v>
      </c>
      <c r="D4" s="6" t="n">
        <v>841556</v>
      </c>
      <c r="E4" s="6" t="n">
        <v>787621</v>
      </c>
      <c r="F4" s="6" t="n">
        <v>728379</v>
      </c>
      <c r="G4" s="6" t="n">
        <v>629727</v>
      </c>
      <c r="H4" s="6" t="n">
        <v>619343</v>
      </c>
      <c r="I4" s="6" t="n">
        <v>621368</v>
      </c>
      <c r="J4" s="6" t="n">
        <v>561633</v>
      </c>
      <c r="K4" s="6" t="n">
        <v>428605</v>
      </c>
      <c r="L4" s="6" t="n">
        <v>284853</v>
      </c>
    </row>
    <row r="6" ht="180" customHeight="1">
      <c r="A6"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RWA CAVEAT: FY2022's own Pillar 3 report states Total RWA of £787,621k. FY2023's Pillar 3 report's own '31-Dec-22' comparative column instead shows £728,379k for the same date - a figure that exactly matches what FY2022's own report separately states as FY2021's RWA, suggesting the FY2023 report's comparative column was populated in error (a copy of the prior-prior year) rather than reflecting a genuine restatement. FY2022's own originally-published figure (£787,621k) is used here, per this project's standing convention of using each year's own originally-published figures - flagged prominently since the coincidence is unusual enough to be worth checking against the primary source again if precision matters. FY2015's own Pillar 3 document reports credit risk on an exposure basis, not RWA, with no explicit 'Total RWA' line - the figure used here (£284,853k) is instead FY2016's own document's FY2015 comparative OV1 table (the earliest year an OV1-shaped RWA figure exists, same source as the RWA Breakdown sheet's FY2015 row). FY2015's own document's implied RWA from its Pillar 1 capital requirement (£21,828k / 8%) works out to ≈£272,850k - about £12k lower, presumably a methodology difference since the OV1 template wasn't in use yet in 2015.
</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RWA Breakdown</t>
        </is>
      </c>
    </row>
    <row r="2">
      <c r="A2" s="2" t="inlineStr">
        <is>
          <t>Bank-only basis (no subsidiaries), £'000. FY2025 not publicly disclosed (no standalone Pillar 3 document published yet).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RWA by risk category</t>
        </is>
      </c>
      <c r="B4" s="6" t="n"/>
      <c r="C4" s="6" t="n"/>
      <c r="D4" s="6" t="n"/>
      <c r="E4" s="6" t="n"/>
      <c r="F4" s="6" t="n"/>
      <c r="G4" s="6" t="n"/>
      <c r="H4" s="6" t="n"/>
      <c r="I4" s="6" t="n"/>
      <c r="J4" s="6" t="n"/>
      <c r="K4" s="6" t="n"/>
      <c r="L4" s="6" t="n"/>
    </row>
    <row r="5">
      <c r="A5" s="6" t="inlineStr">
        <is>
          <t>Credit risk (excluding CCR)</t>
        </is>
      </c>
      <c r="B5" s="6" t="n"/>
      <c r="C5" s="6" t="n">
        <v>846780</v>
      </c>
      <c r="D5" s="6" t="n">
        <v>728547</v>
      </c>
      <c r="E5" s="6" t="n">
        <v>690434</v>
      </c>
      <c r="F5" s="6" t="n">
        <v>640391</v>
      </c>
      <c r="G5" s="6" t="n">
        <v>541056</v>
      </c>
      <c r="H5" s="6" t="n">
        <v>529304</v>
      </c>
      <c r="I5" s="6" t="n">
        <v>546029</v>
      </c>
      <c r="J5" s="6" t="n">
        <v>503743</v>
      </c>
      <c r="K5" s="6" t="n">
        <v>390505</v>
      </c>
      <c r="L5" s="6" t="n">
        <v>263398</v>
      </c>
    </row>
    <row r="6">
      <c r="A6" s="6" t="inlineStr">
        <is>
          <t>Counterparty credit risk (CCR)</t>
        </is>
      </c>
      <c r="B6" s="6" t="n"/>
      <c r="C6" s="6" t="n">
        <v>2753</v>
      </c>
      <c r="D6" s="6" t="n">
        <v>130</v>
      </c>
      <c r="E6" s="6" t="n">
        <v>232</v>
      </c>
      <c r="F6" s="6" t="n">
        <v>46</v>
      </c>
      <c r="G6" s="6" t="n">
        <v>50</v>
      </c>
      <c r="H6" s="6" t="n">
        <v>23</v>
      </c>
      <c r="I6" s="6" t="n">
        <v>2906</v>
      </c>
      <c r="J6" s="6" t="n">
        <v>4024</v>
      </c>
      <c r="K6" s="6" t="n">
        <v>3087</v>
      </c>
      <c r="L6" s="6" t="n">
        <v>2180</v>
      </c>
    </row>
    <row r="7">
      <c r="A7" s="6" t="inlineStr">
        <is>
          <t>Securitisation exposures in the non-trading book</t>
        </is>
      </c>
      <c r="B7" s="6" t="n"/>
      <c r="C7" s="6" t="n">
        <v>0</v>
      </c>
      <c r="D7" s="6" t="n">
        <v>0</v>
      </c>
      <c r="E7" s="6" t="n">
        <v>7991</v>
      </c>
      <c r="F7" s="6" t="n">
        <v>9158</v>
      </c>
      <c r="G7" s="6" t="n">
        <v>8161</v>
      </c>
      <c r="H7" s="6" t="n">
        <v>9034</v>
      </c>
      <c r="I7" s="6" t="n">
        <v>0</v>
      </c>
      <c r="J7" s="6" t="n">
        <v>0</v>
      </c>
      <c r="K7" s="6" t="n">
        <v>0</v>
      </c>
      <c r="L7" s="6" t="n">
        <v>0</v>
      </c>
    </row>
    <row r="8">
      <c r="A8" s="6" t="inlineStr">
        <is>
          <t>Operational risk</t>
        </is>
      </c>
      <c r="B8" s="6" t="n"/>
      <c r="C8" s="6" t="n">
        <v>130786</v>
      </c>
      <c r="D8" s="6" t="n">
        <v>112879</v>
      </c>
      <c r="E8" s="6" t="n">
        <v>88964</v>
      </c>
      <c r="F8" s="6" t="n">
        <v>78784</v>
      </c>
      <c r="G8" s="6" t="n">
        <v>78647</v>
      </c>
      <c r="H8" s="6" t="n">
        <v>79158</v>
      </c>
      <c r="I8" s="6" t="n">
        <v>70234</v>
      </c>
      <c r="J8" s="6" t="n">
        <v>53863</v>
      </c>
      <c r="K8" s="6" t="n">
        <v>35013</v>
      </c>
      <c r="L8" s="6" t="n">
        <v>19275</v>
      </c>
    </row>
    <row r="9">
      <c r="A9" s="6" t="inlineStr">
        <is>
          <t>Amounts below the thresholds for deduction</t>
        </is>
      </c>
      <c r="B9" s="6" t="n"/>
      <c r="C9" s="6" t="n">
        <v>2267</v>
      </c>
      <c r="D9" s="6" t="n">
        <v>1801</v>
      </c>
      <c r="E9" s="6" t="n">
        <v>2749</v>
      </c>
      <c r="F9" s="6" t="n">
        <v>1984</v>
      </c>
      <c r="G9" s="6" t="n">
        <v>1813</v>
      </c>
      <c r="H9" s="6" t="n">
        <v>1823</v>
      </c>
      <c r="I9" s="6" t="n">
        <v>2199</v>
      </c>
      <c r="J9" s="6" t="n">
        <v>632</v>
      </c>
      <c r="K9" s="6" t="n">
        <v>551</v>
      </c>
      <c r="L9" s="6" t="n">
        <v>653</v>
      </c>
    </row>
    <row r="10">
      <c r="A10" s="5" t="inlineStr">
        <is>
          <t>Total RWAs</t>
        </is>
      </c>
      <c r="B10" s="5" t="n"/>
      <c r="C10" s="5" t="n">
        <v>980319</v>
      </c>
      <c r="D10" s="5" t="n">
        <v>841556</v>
      </c>
      <c r="E10" s="5" t="n">
        <v>787621</v>
      </c>
      <c r="F10" s="5" t="n">
        <v>728379</v>
      </c>
      <c r="G10" s="5" t="n">
        <v>629727</v>
      </c>
      <c r="H10" s="5" t="n">
        <v>619342</v>
      </c>
      <c r="I10" s="5" t="n">
        <v>621368</v>
      </c>
      <c r="J10" s="5" t="n">
        <v>561630</v>
      </c>
      <c r="K10" s="5" t="n">
        <v>428605</v>
      </c>
      <c r="L10" s="5" t="n">
        <v>284853</v>
      </c>
    </row>
    <row r="12" ht="280" customHeight="1">
      <c r="A12" s="8" t="inlineStr">
        <is>
          <t>Sources - Cambridge &amp; Counties Bank Limited's own Pillar 3 Disclosures, 'Overview of RWA (OV1)' table:
FY2024: Pillar 3 Disclosures 2024 (own year, 31-Dec-24 column) - https://ccbank.co.uk/wp-content/uploads/2025/05/Pillar-3-report-CCB-2024.docx
FY2023: Pillar 3 Disclosures 2023 (own year, 31-Dec-23 column) - https://ccbank.co.uk/wp-content/uploads/2024/05/Pillar-3-report-2023-Cambridge-Counties-Bank.docx
FY2022: Pillar 3 Disclosures 2022, p.19 (own year, 31-Dec-22 column) - https://ccbank.co.uk/wp-content/uploads/2023/05/Pillar-3-Disclosure2022.pdf
FY2021: Pillar 3 Disclosures 2022, p.19 (31-Dec-21 comparative column) - https://ccbank.co.uk/wp-content/uploads/2023/05/Pillar-3-Disclosure2022.pdf
FY2020: Pillar 3 Disclosures 2020, 'Overview of RWA (OV1)' (own year, 2020 column) - https://ccbank.co.uk/wp-content/uploads/2021/07/CCB-Pillar-3-2020.pdf
FY2019: Pillar 3 Disclosures 2019, 'Overview of RWA (OV1)' (own year, 2019 column) - https://ccbank.co.uk/wp-content/uploads/2021/05/CCB-Pillar-3-2019.pdf
FY2018: Pillar 3 Disclosures 2018, p.36 'Overview of RWA (OV1)' (own year, 2018 column) - https://ccbank.co.uk/wp-content/uploads/2021/05/CCB-Pillar-3-2018.pdf
FY2017: Pillar 3 Disclosures 2017, 'Overview of RWA (OV1)' (own year, 2017 column) - https://ccbank.co.uk/wp-content/uploads/2021/05/CCB-Pillar-3-2017.pdf
FY2016: Pillar 3 Disclosures 2016, 'Overview of RWA (OV1)' (own year, 2016 column; also carries FY2015 comparative) - https://ccbank.co.uk/wp-content/uploads/2021/05/CCB-Pillar-3-Disclosures-2016.pdf
FY2025: not publicly disclosed - no standalone Pillar 3 document has been published yet for FY2025 (same gap as the other Pillar 3 metric sheets this year).
FY2015: the OV1 template was not yet in use in the Bank's own FY2015 Pillar 3 Disclosures (it reports credit risk on an exposure-value basis, not risk-weighted-asset basis, with no risk-category RWA breakdown) - FY2015's row below is instead the OV1-format figures from Pillar 3 Disclosures 2016's own FY2015 comparative column, the earliest year for which an OV1-shaped breakdown by risk category exists.
COMPOSITION NOTE: whether the printed 'Total' row on the OV1 table equals the sum of the numbered risk-category rows above it, or that sum plus the memo 'Amounts below the thresholds for deduction' row, varies by year in the Bank's own published tables (FY2015-FY2017 exclude the thresholds row from the total; FY2018-FY2024 include it) - each year's Total row below is transcribed exactly as printed in its own source document regardless of which composition it reflects.
Table 2 in the 2023/2024 Pillar 3 Disclosures is a .docx-embedded image (not text/a real table) - extracted by rendering the embedded image. All years' Total row ties exactly to the Total RWAs sheet's own figure for that year, except FY2017 (561,630 here vs 561,633 on the Total RWAs sheet - a £3k difference between two tables in the same underlying disclosure family; both are transcribed as printed, see the Total RWAs sheet's own note) and FY2019 (619,342 here, the OV1 table's own printed total, vs 619,343 on the Total RWAs sheet, from the Own Funds template's 'Total risk weighted assets' line - the same £1-3k intra-document rounding pattern as FY2017, both transcribed exactly as printed in their own source table).
ENTITY NOTE: Cambridge &amp; Counties Bank Limited (company 07972522, FRN 579415), a UK SME/commercial-property lender jointly owned by Trinity Hall (a Cambridge University college) and Cambridgeshire County Council as Administering Authority of the Cambridgeshire Local Government Pension Fund. The Bank has no subsidiaries, so all figures below are the Bank's own entity-level (not consolidated) results - there is no Group/solo basis question for this bank. No FRS cash-flow exemption is taken - a full Statement of Cash Flows is published every year. Cash flow figures for FY2021-FY2025 are internally consistent to the pound across every source document checked (each year cross-verified against its appearance as the following year's comparative column). The 2023 and 2024 Pillar 3 disclosures are published as .docx files (not PDF) with the Key Metrics table embedded as an image rather than as text/a real table - extracted by rendering the embedded image.</t>
        </is>
      </c>
    </row>
  </sheetData>
  <mergeCells count="1">
    <mergeCell ref="A12:L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Leverage Ratio</t>
        </is>
      </c>
    </row>
    <row r="2">
      <c r="A2" s="2" t="inlineStr">
        <is>
          <t>£'000 exposure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total exposure measure</t>
        </is>
      </c>
      <c r="B4" s="6" t="n"/>
      <c r="C4" s="6" t="n">
        <v>1605041</v>
      </c>
      <c r="D4" s="6" t="n">
        <v>1435897</v>
      </c>
      <c r="E4" s="6" t="n">
        <v>1335869</v>
      </c>
      <c r="F4" s="6" t="n">
        <v>1298463</v>
      </c>
      <c r="G4" s="6" t="n">
        <v>1097253</v>
      </c>
      <c r="H4" s="6" t="n">
        <v>1028001</v>
      </c>
      <c r="I4" s="6" t="n">
        <v>1051134</v>
      </c>
      <c r="J4" s="6" t="n">
        <v>1024505</v>
      </c>
      <c r="K4" s="6" t="n">
        <v>821551</v>
      </c>
      <c r="L4" s="6" t="n">
        <v>582770</v>
      </c>
    </row>
    <row r="5">
      <c r="A5" s="6" t="inlineStr">
        <is>
          <t>Leverage ratio (%)</t>
        </is>
      </c>
      <c r="B5" s="6" t="n"/>
      <c r="C5" s="6" t="inlineStr">
        <is>
          <t>14.71%</t>
        </is>
      </c>
      <c r="D5" s="6" t="inlineStr">
        <is>
          <t>14.88%</t>
        </is>
      </c>
      <c r="E5" s="6" t="inlineStr">
        <is>
          <t>13.92%</t>
        </is>
      </c>
      <c r="F5" s="6" t="inlineStr">
        <is>
          <t>12.90%</t>
        </is>
      </c>
      <c r="G5" s="6" t="inlineStr">
        <is>
          <t>13.96%</t>
        </is>
      </c>
      <c r="H5" s="6" t="inlineStr">
        <is>
          <t>13.85%</t>
        </is>
      </c>
      <c r="I5" s="6" t="inlineStr">
        <is>
          <t>12.10%</t>
        </is>
      </c>
      <c r="J5" s="6" t="inlineStr">
        <is>
          <t>7.39%</t>
        </is>
      </c>
      <c r="K5" s="6" t="inlineStr">
        <is>
          <t>6.91%</t>
        </is>
      </c>
      <c r="L5" s="6" t="inlineStr">
        <is>
          <t>6.30%</t>
        </is>
      </c>
    </row>
    <row r="6" ht="60" customHeight="1">
      <c r="A6" s="7" t="inlineStr">
        <is>
          <t>Note: FY2025 not publicly disclosed (no standalone Pillar 3 document published yet for FY2025, and the Annual Report's own Strategic Report narrative does not state a leverage ratio figure).</t>
        </is>
      </c>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LEVERAGE CAVEAT: FY2021's own Pillar 3 report states a leverage ratio total exposure measure of £1,298,463k (ratio 12.90%). FY2022's report's FY2021 comparative instead shows £1,298,284k (ratio 12.83%) - a small (£179k / 0.07pp) discrepancy, plausibly a minor restatement or rounding difference rather than an error. FY2021's own originally-published figures are used here, per project convention. A larger version of the same pattern recurs at FY2017: FY2017's own document (narrative table and regulatory LRSum/LRCom appendix, internally consistent) states £1,024,505k / 7.39%, while FY2018's own document's FY2017 comparative column instead shows £923,402k / 8.20% - a ~£100m difference, not just rounding. FY2017's own originally-published figures are used here, same convention.
</t>
        </is>
      </c>
    </row>
  </sheetData>
  <mergeCells count="2">
    <mergeCell ref="A8:L8"/>
    <mergeCell ref="A6:L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t>
        </is>
      </c>
      <c r="B4" s="6" t="n"/>
      <c r="C4" s="6" t="n">
        <v>345604</v>
      </c>
      <c r="D4" s="6" t="n">
        <v>296975</v>
      </c>
      <c r="E4" s="6" t="n">
        <v>265556</v>
      </c>
      <c r="F4" s="6" t="n">
        <v>275200</v>
      </c>
      <c r="G4" s="6" t="n">
        <v>284100</v>
      </c>
      <c r="H4" s="6" t="n">
        <v>297100</v>
      </c>
      <c r="I4" s="6" t="n">
        <v>334600</v>
      </c>
      <c r="J4" s="6" t="n"/>
      <c r="K4" s="6" t="n"/>
      <c r="L4" s="6" t="n"/>
    </row>
    <row r="5">
      <c r="A5" s="6" t="inlineStr">
        <is>
          <t>Total net cash outflows</t>
        </is>
      </c>
      <c r="B5" s="6" t="n"/>
      <c r="C5" s="6" t="n">
        <v>57137</v>
      </c>
      <c r="D5" s="6" t="n">
        <v>47570</v>
      </c>
      <c r="E5" s="6" t="n">
        <v>84394</v>
      </c>
      <c r="F5" s="6" t="n">
        <v>95900</v>
      </c>
      <c r="G5" s="6" t="n">
        <v>67800</v>
      </c>
      <c r="H5" s="6" t="n">
        <v>64200</v>
      </c>
      <c r="I5" s="6" t="n">
        <v>105800</v>
      </c>
      <c r="J5" s="6" t="n"/>
      <c r="K5" s="6" t="n"/>
      <c r="L5" s="6" t="n"/>
    </row>
    <row r="6">
      <c r="A6" s="6" t="inlineStr">
        <is>
          <t>Liquidity Coverage Ratio (%)</t>
        </is>
      </c>
      <c r="B6" s="6" t="inlineStr">
        <is>
          <t>587%</t>
        </is>
      </c>
      <c r="C6" s="6" t="inlineStr">
        <is>
          <t>605%</t>
        </is>
      </c>
      <c r="D6" s="6" t="inlineStr">
        <is>
          <t>519%</t>
        </is>
      </c>
      <c r="E6" s="6" t="inlineStr">
        <is>
          <t>315%</t>
        </is>
      </c>
      <c r="F6" s="6" t="inlineStr">
        <is>
          <t>287%</t>
        </is>
      </c>
      <c r="G6" s="6" t="inlineStr">
        <is>
          <t>419.0%</t>
        </is>
      </c>
      <c r="H6" s="6" t="inlineStr">
        <is>
          <t>462.8%</t>
        </is>
      </c>
      <c r="I6" s="6" t="inlineStr">
        <is>
          <t>321.1%</t>
        </is>
      </c>
      <c r="J6" s="6" t="n"/>
      <c r="K6" s="6" t="n"/>
      <c r="L6" s="6" t="n"/>
    </row>
    <row r="8" ht="180" customHeight="1">
      <c r="A8"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LCR CAVEAT: the formal Pillar 3/KM1 template figures (used for FY2021-FY2024 below) are themselves labelled 'Average of 12 months'. The FY2025 Annual Report's own narrative separately states the Bank's FY2024 LCR as 521%, materially different from the FY2024 Pillar 3 KM1 table's 605% for the same year - two different figures for what should be the same average-basis metric, not reconciled anywhere in the source documents. The formal Pillar 3 KM1 figures are used throughout FY2021-FY2024 for internal consistency across this workbook series; FY2025 (no standalone Pillar 3 document published yet) falls back to the Annual Report's own narrative figure of 587%, on a basis that may not be directly comparable to the KM1 years - flagged. FY2018's own Pillar 3 document similarly shows two different LCR figures on the same page: a point-in-time '31/12/2018' ratio of 331%, and a separate 'Q4 2018' quarterly table (HQLA £334.6m / Net Cash Outflows £105.8m / LCR 321.1%). The Q4 quarterly-average table (321.1%) is used here for consistency with the KM1-style average-basis figures used in FY2019 onward. FY2015-FY2017 have no LCR table in either year's own Pillar 3 document (confirmed by checking each doc's Liquidity section) - genuinely undisclosed, not a gap.
</t>
        </is>
      </c>
    </row>
  </sheetData>
  <mergeCells count="1">
    <mergeCell ref="A8:L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c r="C4" s="6" t="n">
        <v>1303092</v>
      </c>
      <c r="D4" s="6" t="n">
        <v>1190919</v>
      </c>
      <c r="E4" s="6" t="n">
        <v>1104235</v>
      </c>
      <c r="F4" s="6" t="n"/>
      <c r="G4" s="6" t="n"/>
      <c r="H4" s="6" t="n"/>
      <c r="I4" s="6" t="n"/>
      <c r="J4" s="6" t="n"/>
      <c r="K4" s="6" t="n"/>
      <c r="L4" s="6" t="n"/>
    </row>
    <row r="5">
      <c r="A5" s="6" t="inlineStr">
        <is>
          <t>Total required stable funding</t>
        </is>
      </c>
      <c r="B5" s="6" t="n"/>
      <c r="C5" s="6" t="n">
        <v>960390</v>
      </c>
      <c r="D5" s="6" t="n">
        <v>873031</v>
      </c>
      <c r="E5" s="6" t="n">
        <v>842391</v>
      </c>
      <c r="F5" s="6" t="n"/>
      <c r="G5" s="6" t="n"/>
      <c r="H5" s="6" t="n"/>
      <c r="I5" s="6" t="n"/>
      <c r="J5" s="6" t="n"/>
      <c r="K5" s="6" t="n"/>
      <c r="L5" s="6" t="n"/>
    </row>
    <row r="6">
      <c r="A6" s="6" t="inlineStr">
        <is>
          <t>Net Stable Funding Ratio (%)</t>
        </is>
      </c>
      <c r="B6" s="6" t="n"/>
      <c r="C6" s="6" t="inlineStr">
        <is>
          <t>136%</t>
        </is>
      </c>
      <c r="D6" s="6" t="inlineStr">
        <is>
          <t>136%</t>
        </is>
      </c>
      <c r="E6" s="6" t="inlineStr">
        <is>
          <t>131%</t>
        </is>
      </c>
      <c r="F6" s="6" t="n"/>
      <c r="G6" s="6" t="n"/>
      <c r="H6" s="6" t="n"/>
      <c r="I6" s="6" t="n"/>
      <c r="J6" s="6" t="n"/>
      <c r="K6" s="6" t="n"/>
      <c r="L6" s="6" t="n"/>
    </row>
    <row r="7" ht="60" customHeight="1">
      <c r="A7" s="7" t="inlineStr">
        <is>
          <t>Note: FY2021 and FY2025 not publicly disclosed - the UK NSFR requirement only took effect for periods starting after 1 Jan 2022 (FY2021's Pillar 3 report has no NSFR section at all), and no standalone Pillar 3 document has been published yet for FY2025.</t>
        </is>
      </c>
    </row>
    <row r="9" ht="180" customHeight="1">
      <c r="A9"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Cambridge &amp; Counties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Not found in any of the 5 years' Annual Reports or Pillar 3 disclosures reviewed - no numeric ratio, and no explicit exemption statement either; the Bank's balance sheet scale is consistent with sitting below the threshold at which MREL applies.</t>
        </is>
      </c>
    </row>
    <row r="7" ht="150" customHeight="1">
      <c r="A7" s="8" t="inlineStr">
        <is>
          <t xml:space="preserve">Sources - Cambridge &amp; Counties Bank Limited Pillar 3 Disclosures (entity-level, no subsidiaries):
FY2025: Annual Report 2025 Strategic Report 'Capital'/'Loans and liquid assets' sections, p.22-23 (no standalone Pillar 3 document published yet for FY2025) - https://ccbank.co.uk/wp-content/uploads/2026/04/Cambridge__Counties-Bank_Annual-Report_2025.pdf
FY2024: Pillar 3 Disclosures 2024, Table 1: Key metrics (own year, 31-Dec-24 column) - https://ccbank.co.uk/wp-content/uploads/2025/05/Pillar-3-report-CCB-2024.docx
FY2023: Pillar 3 Disclosures 2023, Table 1: Key metrics (own year, 31-Dec-23 column) - https://ccbank.co.uk/wp-content/uploads/2024/05/Pillar-3-report-2023-Cambridge-Counties-Bank.docx
FY2022: Pillar 3 Disclosures 2022, Table 1: Key metrics, p.18 (own year, 31-Dec-22 column) - https://ccbank.co.uk/wp-content/uploads/2023/05/Pillar-3-Disclosure2022.pdf
FY2021: Pillar 3 Disclosures 2021, 'Own funds disclosure' table p.38 and 'Table LRCom' p.40 (own year, 2021 column) - https://ccbank.co.uk/wp-content/uploads/2022/06/CCB_Pillar-3-2021.pdf
FY2020: Pillar 3 Disclosures 2020, 'Own funds disclosure' template and 'Overview of RWA (OV1)' (own year, 2020 column) - https://ccbank.co.uk/wp-content/uploads/2021/07/CCB-Pillar-3-2020.pdf
FY2019: Pillar 3 Disclosures 2019, 'Own funds disclosure' template and 'Overview of RWA (OV1)' (own year, 2019 column) - https://ccbank.co.uk/wp-content/uploads/2021/05/CCB-Pillar-3-2019.pdf
FY2018: Pillar 3 Disclosures 2018, p.32 'Own funds disclosure' template and p.36 'Overview of RWA (OV1)' (own year, 2018 column) - https://ccbank.co.uk/wp-content/uploads/2021/05/CCB-Pillar-3-2018.pdf
FY2017: Pillar 3 Disclosures 2017, own-year narrative capital/RWA figures and p.13 Leverage Ratio table (own year); cross-checked against Pillar 3 Disclosures 2018's FY2017 comparative column, p.32/p.36 (CET1/Tier1/Total Capital/RWA all match; Leverage Ratio table does not - see caveat) - https://ccbank.co.uk/wp-content/uploads/2021/05/CCB-Pillar-3-2017.pdf
FY2016: Pillar 3 Disclosures 2016, own-year narrative capital/RWA figures, 'Own Funds' table and 'Table LRCom' p.26 Leverage Ratio (own year); also carries FY2015 comparative for CET1/Tier1/Total Capital/RWA ratios and amounts (cross-checked against Pillar 3 Disclosures 2015's own FY2015 figures - exact match) - https://ccbank.co.uk/wp-content/uploads/2021/05/CCB-Pillar-3-Disclosures-2016.pdf
FY2015: Pillar 3 Disclosures 2015, p.15 capital resources table (own year) and p.18 Leverage Ratio 'Q4 2015' table (own year, using the quarterly-average Tier 1 capital basis - see caveat) - https://ccbank.co.uk/wp-content/uploads/2021/05/CCB-Pillar-3-Disclosures-2015.pdf
CET1 CAVEAT: the UK/EU CRD IV framework (with its CET1/Tier 1/Total Capital three-way split) took effect from 1 January 2014, so the CET1 concept already applies throughout this workbook's full FY2015-FY2025 window - there is no Basel II/CET1-less era to flag for this bank. The one genuine terminology/methodology shift in the window is IAS 39 to IFRS 9, adopted by the Bank on 1 January 2018: FY2015-FY2017's loan loss allowance is a single collective/individual-assessment figure with no IFRS 9 stage split, while FY2018 onward is analysed by Stage 1/2/3 - see the Asset Quality sheet's own note.
</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2026-09-07T17:41:37Z</dcterms:created>
  <dcterms:modified xmlns:dcterms="http://purl.org/dc/terms/" xmlns:xsi="http://www.w3.org/2001/XMLSchema-instance" xsi:type="dcterms:W3CDTF">2026-09-07T17:41:37Z</dcterms:modified>
</cp:coreProperties>
</file>