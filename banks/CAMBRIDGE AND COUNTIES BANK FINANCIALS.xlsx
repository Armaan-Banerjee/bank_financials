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'Overview'!$AR$18:$AV$18</f>
            </numRef>
          </cat>
          <val>
            <numRef>
              <f>'Overview'!$AR$19:$AV$19</f>
            </numRef>
          </val>
        </ser>
        <ser>
          <idx val="1"/>
          <order val="1"/>
          <tx>
            <strRef>
              <f>'Overview'!AQ20</f>
            </strRef>
          </tx>
          <spPr>
            <a:ln xmlns:a="http://schemas.openxmlformats.org/drawingml/2006/main">
              <a:prstDash val="solid"/>
            </a:ln>
          </spPr>
          <cat>
            <numRef>
              <f>'Overview'!$AR$18:$AV$18</f>
            </numRef>
          </cat>
          <val>
            <numRef>
              <f>'Overview'!$AR$20:$AV$20</f>
            </numRef>
          </val>
        </ser>
        <ser>
          <idx val="2"/>
          <order val="2"/>
          <tx>
            <strRef>
              <f>'Overview'!AQ21</f>
            </strRef>
          </tx>
          <spPr>
            <a:ln xmlns:a="http://schemas.openxmlformats.org/drawingml/2006/main">
              <a:prstDash val="solid"/>
            </a:ln>
          </spPr>
          <cat>
            <numRef>
              <f>'Overview'!$AR$18:$AV$18</f>
            </numRef>
          </cat>
          <val>
            <numRef>
              <f>'Overview'!$AR$21:$AV$21</f>
            </numRef>
          </val>
        </ser>
        <ser>
          <idx val="3"/>
          <order val="3"/>
          <tx>
            <strRef>
              <f>'Overview'!AQ22</f>
            </strRef>
          </tx>
          <spPr>
            <a:ln xmlns:a="http://schemas.openxmlformats.org/drawingml/2006/main">
              <a:prstDash val="solid"/>
            </a:ln>
          </spPr>
          <cat>
            <numRef>
              <f>'Overview'!$AR$18:$AV$18</f>
            </numRef>
          </cat>
          <val>
            <numRef>
              <f>'Overview'!$AR$22:$AV$22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'Overview'!AY26</f>
            </strRef>
          </tx>
          <spPr>
            <a:ln xmlns:a="http://schemas.openxmlformats.org/drawingml/2006/main">
              <a:prstDash val="solid"/>
            </a:ln>
          </spPr>
          <cat>
            <numRef>
              <f>'Overview'!$AZ$25:$BJ$25</f>
            </numRef>
          </cat>
          <val>
            <numRef>
              <f>'Overview'!$AZ$26:$BJ$26</f>
            </numRef>
          </val>
        </ser>
        <ser>
          <idx val="1"/>
          <order val="1"/>
          <tx>
            <strRef>
              <f>'Overview'!AY27</f>
            </strRef>
          </tx>
          <spPr>
            <a:ln xmlns:a="http://schemas.openxmlformats.org/drawingml/2006/main">
              <a:prstDash val="solid"/>
            </a:ln>
          </spPr>
          <cat>
            <numRef>
              <f>'Overview'!$AZ$25:$BJ$25</f>
            </numRef>
          </cat>
          <val>
            <numRef>
              <f>'Overview'!$AZ$27:$BJ$27</f>
            </numRef>
          </val>
        </ser>
        <ser>
          <idx val="2"/>
          <order val="2"/>
          <tx>
            <strRef>
              <f>'Overview'!AY28</f>
            </strRef>
          </tx>
          <spPr>
            <a:ln xmlns:a="http://schemas.openxmlformats.org/drawingml/2006/main">
              <a:prstDash val="solid"/>
            </a:ln>
          </spPr>
          <cat>
            <numRef>
              <f>'Overview'!$AZ$25:$BJ$25</f>
            </numRef>
          </cat>
          <val>
            <numRef>
              <f>'Overview'!$AZ$28:$BJ$28</f>
            </numRef>
          </val>
        </ser>
        <ser>
          <idx val="3"/>
          <order val="3"/>
          <tx>
            <strRef>
              <f>'Overview'!AY29</f>
            </strRef>
          </tx>
          <spPr>
            <a:ln xmlns:a="http://schemas.openxmlformats.org/drawingml/2006/main">
              <a:prstDash val="solid"/>
            </a:ln>
          </spPr>
          <cat>
            <numRef>
              <f>'Overview'!$AZ$25:$BJ$25</f>
            </numRef>
          </cat>
          <val>
            <numRef>
              <f>'Overview'!$AZ$29:$BJ$29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'Overview'!$BN$6:$BX$6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'Overview'!$BN$7:$BX$7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'Overview'!$BN$8:$BX$8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'Overview'!$BN$9:$BX$9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'Overview'!$BN$10:$BX$10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N5" t="inlineStr">
        <is>
          <t>FY2015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1898633</v>
      </c>
      <c r="C6" s="5" t="n">
        <v>1581735</v>
      </c>
      <c r="D6" s="5" t="n">
        <v>1450722</v>
      </c>
      <c r="E6" s="5" t="n">
        <v>1376545</v>
      </c>
      <c r="F6" s="5" t="n">
        <v>1274871</v>
      </c>
      <c r="G6" s="5" t="n">
        <v>1074261</v>
      </c>
      <c r="H6" s="5" t="n">
        <v>1004068</v>
      </c>
      <c r="I6" s="5" t="n">
        <v>1032088</v>
      </c>
      <c r="J6" s="5" t="n">
        <v>879232</v>
      </c>
      <c r="K6" s="5" t="n">
        <v>745767</v>
      </c>
      <c r="L6" s="5" t="n">
        <v>517949</v>
      </c>
      <c r="O6" t="inlineStr">
        <is>
          <t>Total assets</t>
        </is>
      </c>
      <c r="P6" t="n">
        <v>517949</v>
      </c>
      <c r="Q6" t="n">
        <v>745767</v>
      </c>
      <c r="R6" t="n">
        <v>879232</v>
      </c>
      <c r="S6" t="n">
        <v>1032088</v>
      </c>
      <c r="T6" t="n">
        <v>1004068</v>
      </c>
      <c r="U6" t="n">
        <v>1074261</v>
      </c>
      <c r="V6" t="n">
        <v>1274871</v>
      </c>
      <c r="W6" t="n">
        <v>1376545</v>
      </c>
      <c r="X6" t="n">
        <v>1450722</v>
      </c>
      <c r="Y6" t="n">
        <v>1581735</v>
      </c>
      <c r="Z6" t="n">
        <v>1898633</v>
      </c>
      <c r="BM6" t="inlineStr">
        <is>
          <t>CET1 Ratio</t>
        </is>
      </c>
      <c r="BN6" t="n">
        <v>10.5</v>
      </c>
      <c r="BO6" t="n">
        <v>10.6</v>
      </c>
      <c r="BP6" t="n">
        <v>11.19</v>
      </c>
      <c r="BQ6" t="n">
        <v>16.79</v>
      </c>
      <c r="BR6" t="n">
        <v>19.29</v>
      </c>
      <c r="BS6" t="n">
        <v>20.69</v>
      </c>
      <c r="BT6" t="n">
        <v>19.86</v>
      </c>
      <c r="BU6" t="n">
        <v>20.7</v>
      </c>
      <c r="BV6" t="n">
        <v>22.67</v>
      </c>
      <c r="BW6" t="n">
        <v>21.75</v>
      </c>
      <c r="BX6" t="n">
        <v>19.2</v>
      </c>
    </row>
    <row r="7">
      <c r="A7" s="5" t="inlineStr">
        <is>
          <t>Loans and advances to customers</t>
        </is>
      </c>
      <c r="B7" s="5" t="n">
        <v>1446075</v>
      </c>
      <c r="C7" s="5" t="n">
        <v>1204444</v>
      </c>
      <c r="D7" s="5" t="n">
        <v>1083278</v>
      </c>
      <c r="E7" s="5" t="n">
        <v>1037710</v>
      </c>
      <c r="F7" s="5" t="n">
        <v>977834</v>
      </c>
      <c r="G7" s="5" t="n">
        <v>828380</v>
      </c>
      <c r="H7" s="5" t="n">
        <v>761503</v>
      </c>
      <c r="I7" s="5" t="n">
        <v>769016</v>
      </c>
      <c r="J7" s="5" t="n">
        <v>689954</v>
      </c>
      <c r="K7" s="5" t="n">
        <v>588352</v>
      </c>
      <c r="L7" s="5" t="n">
        <v>416263</v>
      </c>
      <c r="O7" t="inlineStr">
        <is>
          <t>Loans and advances to customers</t>
        </is>
      </c>
      <c r="P7" t="n">
        <v>416263</v>
      </c>
      <c r="Q7" t="n">
        <v>588352</v>
      </c>
      <c r="R7" t="n">
        <v>689954</v>
      </c>
      <c r="S7" t="n">
        <v>769016</v>
      </c>
      <c r="T7" t="n">
        <v>761503</v>
      </c>
      <c r="U7" t="n">
        <v>828380</v>
      </c>
      <c r="V7" t="n">
        <v>977834</v>
      </c>
      <c r="W7" t="n">
        <v>1037710</v>
      </c>
      <c r="X7" t="n">
        <v>1083278</v>
      </c>
      <c r="Y7" t="n">
        <v>1204444</v>
      </c>
      <c r="Z7" t="n">
        <v>1446075</v>
      </c>
      <c r="BM7" t="inlineStr">
        <is>
          <t>Tier 1 Ratio</t>
        </is>
      </c>
      <c r="BN7" t="n">
        <v>14.8</v>
      </c>
      <c r="BO7" t="n">
        <v>13.72</v>
      </c>
      <c r="BP7" t="n">
        <v>13.48</v>
      </c>
      <c r="BQ7" t="n">
        <v>20.48</v>
      </c>
      <c r="BR7" t="n">
        <v>22.99</v>
      </c>
      <c r="BS7" t="n">
        <v>24.32</v>
      </c>
      <c r="BT7" t="n">
        <v>23</v>
      </c>
      <c r="BU7" t="n">
        <v>23.61</v>
      </c>
      <c r="BV7" t="n">
        <v>25.4</v>
      </c>
      <c r="BW7" t="n">
        <v>24.09</v>
      </c>
      <c r="BX7" t="n">
        <v>21.3</v>
      </c>
    </row>
    <row r="8">
      <c r="A8" s="5" t="inlineStr">
        <is>
          <t>Customers' accounts</t>
        </is>
      </c>
      <c r="B8" s="5" t="n">
        <v>1633601</v>
      </c>
      <c r="C8" s="5" t="n">
        <v>1271824</v>
      </c>
      <c r="D8" s="5" t="n">
        <v>1155224</v>
      </c>
      <c r="E8" s="5" t="n">
        <v>1103256</v>
      </c>
      <c r="F8" s="5" t="n">
        <v>1025520</v>
      </c>
      <c r="G8" s="5" t="n">
        <v>917215</v>
      </c>
      <c r="H8" s="5" t="n">
        <v>854449</v>
      </c>
      <c r="I8" s="5" t="n">
        <v>901398</v>
      </c>
      <c r="J8" s="5" t="n">
        <v>798176</v>
      </c>
      <c r="K8" s="5" t="n">
        <v>684672</v>
      </c>
      <c r="L8" s="5" t="n">
        <v>471564</v>
      </c>
      <c r="O8" t="inlineStr">
        <is>
          <t>Customers' accounts</t>
        </is>
      </c>
      <c r="P8" t="n">
        <v>471564</v>
      </c>
      <c r="Q8" t="n">
        <v>684672</v>
      </c>
      <c r="R8" t="n">
        <v>798176</v>
      </c>
      <c r="S8" t="n">
        <v>901398</v>
      </c>
      <c r="T8" t="n">
        <v>854449</v>
      </c>
      <c r="U8" t="n">
        <v>917215</v>
      </c>
      <c r="V8" t="n">
        <v>1025520</v>
      </c>
      <c r="W8" t="n">
        <v>1103256</v>
      </c>
      <c r="X8" t="n">
        <v>1155224</v>
      </c>
      <c r="Y8" t="n">
        <v>1271824</v>
      </c>
      <c r="Z8" t="n">
        <v>1633601</v>
      </c>
      <c r="BM8" t="inlineStr">
        <is>
          <t>Total Capital Ratio</t>
        </is>
      </c>
      <c r="BN8" t="n">
        <v>15.4</v>
      </c>
      <c r="BO8" t="n">
        <v>14.08</v>
      </c>
      <c r="BP8" t="n">
        <v>13.8</v>
      </c>
      <c r="BQ8" t="n">
        <v>20.48</v>
      </c>
      <c r="BR8" t="n">
        <v>22.99</v>
      </c>
      <c r="BS8" t="n">
        <v>24.32</v>
      </c>
      <c r="BT8" t="n">
        <v>23</v>
      </c>
      <c r="BU8" t="n">
        <v>23.61</v>
      </c>
      <c r="BV8" t="n">
        <v>25.99</v>
      </c>
      <c r="BW8" t="n">
        <v>24.6</v>
      </c>
      <c r="BX8" t="n">
        <v>21.7</v>
      </c>
    </row>
    <row r="9">
      <c r="A9" s="5" t="inlineStr">
        <is>
          <t>Total equity</t>
        </is>
      </c>
      <c r="B9" s="5" t="n">
        <v>248643</v>
      </c>
      <c r="C9" s="5" t="n">
        <v>240084</v>
      </c>
      <c r="D9" s="5" t="n">
        <v>214778</v>
      </c>
      <c r="E9" s="5" t="n">
        <v>184846</v>
      </c>
      <c r="F9" s="5" t="n">
        <v>163817</v>
      </c>
      <c r="G9" s="5" t="n">
        <v>150135</v>
      </c>
      <c r="H9" s="5" t="n">
        <v>142153</v>
      </c>
      <c r="I9" s="5" t="n">
        <v>125180</v>
      </c>
      <c r="J9" s="5" t="n">
        <v>76243</v>
      </c>
      <c r="K9" s="5" t="n">
        <v>57244</v>
      </c>
      <c r="L9" s="5" t="n">
        <v>41288</v>
      </c>
      <c r="O9" t="inlineStr">
        <is>
          <t>Total equity</t>
        </is>
      </c>
      <c r="P9" t="n">
        <v>41288</v>
      </c>
      <c r="Q9" t="n">
        <v>57244</v>
      </c>
      <c r="R9" t="n">
        <v>76243</v>
      </c>
      <c r="S9" t="n">
        <v>125180</v>
      </c>
      <c r="T9" t="n">
        <v>142153</v>
      </c>
      <c r="U9" t="n">
        <v>150135</v>
      </c>
      <c r="V9" t="n">
        <v>163817</v>
      </c>
      <c r="W9" t="n">
        <v>184846</v>
      </c>
      <c r="X9" t="n">
        <v>214778</v>
      </c>
      <c r="Y9" t="n">
        <v>240084</v>
      </c>
      <c r="Z9" t="n">
        <v>248643</v>
      </c>
      <c r="BM9" t="inlineStr">
        <is>
          <t>Leverage Ratio</t>
        </is>
      </c>
      <c r="BN9" t="n">
        <v>6.3</v>
      </c>
      <c r="BO9" t="n">
        <v>6.91</v>
      </c>
      <c r="BP9" t="n">
        <v>7.39</v>
      </c>
      <c r="BQ9" t="n">
        <v>12.1</v>
      </c>
      <c r="BR9" t="n">
        <v>13.85</v>
      </c>
      <c r="BS9" t="n">
        <v>13.96</v>
      </c>
      <c r="BT9" t="n">
        <v>12.9</v>
      </c>
      <c r="BU9" t="n">
        <v>13.92</v>
      </c>
      <c r="BV9" t="n">
        <v>14.88</v>
      </c>
      <c r="BW9" t="n">
        <v>14.71</v>
      </c>
    </row>
    <row r="10">
      <c r="BM10" t="inlineStr">
        <is>
          <t>LCR</t>
        </is>
      </c>
      <c r="BQ10" t="n">
        <v>321.1</v>
      </c>
      <c r="BR10" t="n">
        <v>462.8</v>
      </c>
      <c r="BS10" t="n">
        <v>419</v>
      </c>
      <c r="BT10" t="n">
        <v>287</v>
      </c>
      <c r="BU10" t="n">
        <v>315</v>
      </c>
      <c r="BV10" t="n">
        <v>519</v>
      </c>
      <c r="BW10" t="n">
        <v>605</v>
      </c>
      <c r="BX10" t="n">
        <v>587</v>
      </c>
    </row>
    <row r="11">
      <c r="A11" s="3" t="inlineStr">
        <is>
          <t>Profit &amp; Loss Summary (£'000)</t>
        </is>
      </c>
      <c r="BM11" t="inlineStr">
        <is>
          <t>NSFR</t>
        </is>
      </c>
      <c r="BU11" t="n">
        <v>131</v>
      </c>
      <c r="BV11" t="n">
        <v>136</v>
      </c>
      <c r="BW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v>38142</v>
      </c>
      <c r="H13" s="5" t="n">
        <v>42958</v>
      </c>
      <c r="I13" s="5" t="n">
        <v>44735</v>
      </c>
      <c r="J13" s="5" t="n">
        <v>38959</v>
      </c>
      <c r="K13" s="5" t="n">
        <v>28679</v>
      </c>
      <c r="L13" s="5" t="n">
        <v>18542</v>
      </c>
      <c r="AC13" t="inlineStr">
        <is>
          <t>Total operating income</t>
        </is>
      </c>
      <c r="AD13" t="n">
        <v>18542</v>
      </c>
      <c r="AE13" t="n">
        <v>28679</v>
      </c>
      <c r="AF13" t="n">
        <v>38959</v>
      </c>
      <c r="AG13" t="n">
        <v>44735</v>
      </c>
      <c r="AH13" t="n">
        <v>42958</v>
      </c>
      <c r="AI13" t="n">
        <v>38142</v>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v>-20236</v>
      </c>
      <c r="H14" s="5" t="n">
        <v>-17763</v>
      </c>
      <c r="I14" s="5" t="n">
        <v>-14584</v>
      </c>
      <c r="J14" s="5" t="n">
        <v>-11826</v>
      </c>
      <c r="K14" s="5" t="n">
        <v>-8873</v>
      </c>
      <c r="L14" s="5" t="n">
        <v>-7668</v>
      </c>
      <c r="AC14" t="inlineStr">
        <is>
          <t>Administrative expenses</t>
        </is>
      </c>
      <c r="AD14" t="n">
        <v>-7668</v>
      </c>
      <c r="AE14" t="n">
        <v>-8873</v>
      </c>
      <c r="AF14" t="n">
        <v>-11826</v>
      </c>
      <c r="AG14" t="n">
        <v>-14584</v>
      </c>
      <c r="AH14" t="n">
        <v>-17763</v>
      </c>
      <c r="AI14" t="n">
        <v>-20236</v>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v>9398</v>
      </c>
      <c r="H15" s="5" t="n">
        <v>18501</v>
      </c>
      <c r="I15" s="5" t="n">
        <v>22408</v>
      </c>
      <c r="J15" s="5" t="n">
        <v>19694</v>
      </c>
      <c r="K15" s="5" t="n">
        <v>14685</v>
      </c>
      <c r="L15" s="5" t="n">
        <v>8086</v>
      </c>
      <c r="AC15" t="inlineStr">
        <is>
          <t>Profit after tax</t>
        </is>
      </c>
      <c r="AD15" t="n">
        <v>8086</v>
      </c>
      <c r="AE15" t="n">
        <v>14685</v>
      </c>
      <c r="AF15" t="n">
        <v>19694</v>
      </c>
      <c r="AG15" t="n">
        <v>22408</v>
      </c>
      <c r="AH15" t="n">
        <v>18501</v>
      </c>
      <c r="AI15" t="n">
        <v>9398</v>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R18" t="inlineStr">
        <is>
          <t>FY2021</t>
        </is>
      </c>
      <c r="AS18" t="inlineStr">
        <is>
          <t>FY2022</t>
        </is>
      </c>
      <c r="AT18" t="inlineStr">
        <is>
          <t>FY2023</t>
        </is>
      </c>
      <c r="AU18" t="inlineStr">
        <is>
          <t>FY2024</t>
        </is>
      </c>
      <c r="AV18" t="inlineStr">
        <is>
          <t>FY2025</t>
        </is>
      </c>
    </row>
    <row r="19">
      <c r="A19" s="5" t="inlineStr">
        <is>
          <t>Opening equity</t>
        </is>
      </c>
      <c r="B19" s="5" t="n">
        <v>240084</v>
      </c>
      <c r="C19" s="5" t="n">
        <v>214778</v>
      </c>
      <c r="D19" s="5" t="n">
        <v>184846</v>
      </c>
      <c r="E19" s="5" t="n">
        <v>163817</v>
      </c>
      <c r="F19" s="5" t="n"/>
      <c r="AQ19" t="inlineStr">
        <is>
          <t>Opening equity</t>
        </is>
      </c>
      <c r="AS19" t="n">
        <v>163817</v>
      </c>
      <c r="AT19" t="n">
        <v>184846</v>
      </c>
      <c r="AU19" t="n">
        <v>214778</v>
      </c>
      <c r="AV19" t="n">
        <v>240084</v>
      </c>
    </row>
    <row r="20">
      <c r="A20" s="5" t="inlineStr">
        <is>
          <t>Total comprehensive income for the year</t>
        </is>
      </c>
      <c r="B20" s="5" t="n">
        <v>30843</v>
      </c>
      <c r="C20" s="5" t="n">
        <v>27765</v>
      </c>
      <c r="D20" s="5" t="n">
        <v>32123</v>
      </c>
      <c r="E20" s="5" t="n">
        <v>22468</v>
      </c>
      <c r="F20" s="5" t="n">
        <v>14965</v>
      </c>
      <c r="AQ20" t="inlineStr">
        <is>
          <t>Total comprehensive income for the year</t>
        </is>
      </c>
      <c r="AR20" t="n">
        <v>14965</v>
      </c>
      <c r="AS20" t="n">
        <v>22468</v>
      </c>
      <c r="AT20" t="n">
        <v>32123</v>
      </c>
      <c r="AU20" t="n">
        <v>27765</v>
      </c>
      <c r="AV20" t="n">
        <v>30843</v>
      </c>
    </row>
    <row r="21">
      <c r="A21" s="5" t="inlineStr">
        <is>
          <t>Other equity movements, net</t>
        </is>
      </c>
      <c r="B21" s="5" t="n">
        <v>-22284</v>
      </c>
      <c r="C21" s="5" t="n">
        <v>-2459</v>
      </c>
      <c r="D21" s="5" t="n">
        <v>-2191</v>
      </c>
      <c r="E21" s="5" t="n">
        <v>-1439</v>
      </c>
      <c r="F21" s="5" t="n">
        <v>-1283</v>
      </c>
      <c r="AQ21" t="inlineStr">
        <is>
          <t>Other equity movements, net</t>
        </is>
      </c>
      <c r="AR21" t="n">
        <v>-1283</v>
      </c>
      <c r="AS21" t="n">
        <v>-1439</v>
      </c>
      <c r="AT21" t="n">
        <v>-2191</v>
      </c>
      <c r="AU21" t="n">
        <v>-2459</v>
      </c>
      <c r="AV21" t="n">
        <v>-22284</v>
      </c>
    </row>
    <row r="22">
      <c r="A22" s="5" t="inlineStr">
        <is>
          <t>Closing equity</t>
        </is>
      </c>
      <c r="B22" s="5" t="n">
        <v>248643</v>
      </c>
      <c r="C22" s="5" t="n">
        <v>240084</v>
      </c>
      <c r="D22" s="5" t="n">
        <v>214778</v>
      </c>
      <c r="E22" s="5" t="n">
        <v>184846</v>
      </c>
      <c r="F22" s="5" t="n">
        <v>163817</v>
      </c>
      <c r="AQ22" t="inlineStr">
        <is>
          <t>Closing equity</t>
        </is>
      </c>
      <c r="AR22" t="n">
        <v>163817</v>
      </c>
      <c r="AS22" t="n">
        <v>184846</v>
      </c>
      <c r="AT22" t="n">
        <v>214778</v>
      </c>
      <c r="AU22" t="n">
        <v>240084</v>
      </c>
      <c r="AV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AZ25" t="inlineStr">
        <is>
          <t>FY2015</t>
        </is>
      </c>
      <c r="BA25" t="inlineStr">
        <is>
          <t>FY2016</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row>
    <row r="26">
      <c r="A26" s="5" t="inlineStr">
        <is>
          <t>Net cash generated from operating activities</t>
        </is>
      </c>
      <c r="B26" s="5" t="n">
        <v>98255</v>
      </c>
      <c r="C26" s="5" t="n">
        <v>13542</v>
      </c>
      <c r="D26" s="5" t="n">
        <v>26342</v>
      </c>
      <c r="E26" s="5" t="n">
        <v>45314</v>
      </c>
      <c r="F26" s="5" t="n">
        <v>53825</v>
      </c>
      <c r="G26" s="5" t="n">
        <v>5250</v>
      </c>
      <c r="H26" s="5" t="n">
        <v>-20520</v>
      </c>
      <c r="I26" s="5" t="n">
        <v>44355</v>
      </c>
      <c r="J26" s="5" t="n">
        <v>32817</v>
      </c>
      <c r="K26" s="5" t="n">
        <v>55049</v>
      </c>
      <c r="L26" s="5" t="n">
        <v>-72999</v>
      </c>
      <c r="AY26" t="inlineStr">
        <is>
          <t>Net cash generated from operating activities</t>
        </is>
      </c>
      <c r="AZ26" t="n">
        <v>-72999</v>
      </c>
      <c r="BA26" t="n">
        <v>55049</v>
      </c>
      <c r="BB26" t="n">
        <v>32817</v>
      </c>
      <c r="BC26" t="n">
        <v>44355</v>
      </c>
      <c r="BD26" t="n">
        <v>-20520</v>
      </c>
      <c r="BE26" t="n">
        <v>5250</v>
      </c>
      <c r="BF26" t="n">
        <v>53825</v>
      </c>
      <c r="BG26" t="n">
        <v>45314</v>
      </c>
      <c r="BH26" t="n">
        <v>26342</v>
      </c>
      <c r="BI26" t="n">
        <v>13542</v>
      </c>
      <c r="BJ26" t="n">
        <v>98255</v>
      </c>
    </row>
    <row r="27">
      <c r="A27" s="5" t="inlineStr">
        <is>
          <t>Net cash (used in)/generated from investing activities</t>
        </is>
      </c>
      <c r="B27" s="5" t="n">
        <v>-87372</v>
      </c>
      <c r="C27" s="5" t="n">
        <v>-18987</v>
      </c>
      <c r="D27" s="5" t="n">
        <v>-16474</v>
      </c>
      <c r="E27" s="5" t="n">
        <v>4285</v>
      </c>
      <c r="F27" s="5" t="n">
        <v>-740</v>
      </c>
      <c r="G27" s="5" t="n">
        <v>-39828</v>
      </c>
      <c r="H27" s="5" t="n">
        <v>11974</v>
      </c>
      <c r="I27" s="5" t="n">
        <v>-11276</v>
      </c>
      <c r="J27" s="5" t="n">
        <v>9685</v>
      </c>
      <c r="K27" s="5" t="n">
        <v>13774</v>
      </c>
      <c r="L27" s="5" t="n">
        <v>4799</v>
      </c>
      <c r="AY27" t="inlineStr">
        <is>
          <t>Net cash (used in)/generated from investing activities</t>
        </is>
      </c>
      <c r="AZ27" t="n">
        <v>4799</v>
      </c>
      <c r="BA27" t="n">
        <v>13774</v>
      </c>
      <c r="BB27" t="n">
        <v>9685</v>
      </c>
      <c r="BC27" t="n">
        <v>-11276</v>
      </c>
      <c r="BD27" t="n">
        <v>11974</v>
      </c>
      <c r="BE27" t="n">
        <v>-39828</v>
      </c>
      <c r="BF27" t="n">
        <v>-740</v>
      </c>
      <c r="BG27" t="n">
        <v>4285</v>
      </c>
      <c r="BH27" t="n">
        <v>-16474</v>
      </c>
      <c r="BI27" t="n">
        <v>-18987</v>
      </c>
      <c r="BJ27" t="n">
        <v>-87372</v>
      </c>
    </row>
    <row r="28">
      <c r="A28" s="5" t="inlineStr">
        <is>
          <t>Net cash (used in)/generated from financing activities</t>
        </is>
      </c>
      <c r="B28" s="5" t="n">
        <v>-22284</v>
      </c>
      <c r="C28" s="5" t="n">
        <v>-2459</v>
      </c>
      <c r="D28" s="5" t="n">
        <v>2413</v>
      </c>
      <c r="E28" s="5" t="n">
        <v>-1439</v>
      </c>
      <c r="F28" s="5" t="n">
        <v>-1283</v>
      </c>
      <c r="G28" s="5" t="n">
        <v>-1440</v>
      </c>
      <c r="H28" s="5" t="n">
        <v>-1457</v>
      </c>
      <c r="I28" s="5" t="n">
        <v>29205</v>
      </c>
      <c r="J28" s="5" t="n">
        <v>-775</v>
      </c>
      <c r="K28" s="5" t="n">
        <v>825</v>
      </c>
      <c r="L28" s="5" t="n">
        <v>7765</v>
      </c>
      <c r="AY28" t="inlineStr">
        <is>
          <t>Net cash (used in)/generated from financing activities</t>
        </is>
      </c>
      <c r="AZ28" t="n">
        <v>7765</v>
      </c>
      <c r="BA28" t="n">
        <v>825</v>
      </c>
      <c r="BB28" t="n">
        <v>-775</v>
      </c>
      <c r="BC28" t="n">
        <v>29205</v>
      </c>
      <c r="BD28" t="n">
        <v>-1457</v>
      </c>
      <c r="BE28" t="n">
        <v>-1440</v>
      </c>
      <c r="BF28" t="n">
        <v>-1283</v>
      </c>
      <c r="BG28" t="n">
        <v>-1439</v>
      </c>
      <c r="BH28" t="n">
        <v>2413</v>
      </c>
      <c r="BI28" t="n">
        <v>-2459</v>
      </c>
      <c r="BJ28" t="n">
        <v>-22284</v>
      </c>
    </row>
    <row r="29">
      <c r="A29" s="5" t="inlineStr">
        <is>
          <t>Cash and cash equivalents at 31 December</t>
        </is>
      </c>
      <c r="B29" s="5" t="n">
        <v>293588</v>
      </c>
      <c r="C29" s="5" t="n">
        <v>304989</v>
      </c>
      <c r="D29" s="5" t="n">
        <v>312893</v>
      </c>
      <c r="E29" s="5" t="n">
        <v>300611</v>
      </c>
      <c r="F29" s="5" t="n">
        <v>252451</v>
      </c>
      <c r="G29" s="5" t="n">
        <v>200649</v>
      </c>
      <c r="H29" s="5" t="n">
        <v>236667</v>
      </c>
      <c r="I29" s="5" t="n">
        <v>246670</v>
      </c>
      <c r="J29" s="5" t="n">
        <v>184386</v>
      </c>
      <c r="K29" s="5" t="n">
        <v>142659</v>
      </c>
      <c r="L29" s="5" t="n">
        <v>73011</v>
      </c>
      <c r="AY29" t="inlineStr">
        <is>
          <t>Cash and cash equivalents at 31 December</t>
        </is>
      </c>
      <c r="AZ29" t="n">
        <v>73011</v>
      </c>
      <c r="BA29" t="n">
        <v>142659</v>
      </c>
      <c r="BB29" t="n">
        <v>184386</v>
      </c>
      <c r="BC29" t="n">
        <v>246670</v>
      </c>
      <c r="BD29" t="n">
        <v>236667</v>
      </c>
      <c r="BE29" t="n">
        <v>200649</v>
      </c>
      <c r="BF29" t="n">
        <v>252451</v>
      </c>
      <c r="BG29" t="n">
        <v>300611</v>
      </c>
      <c r="BH29" t="n">
        <v>312893</v>
      </c>
      <c r="BI29" t="n">
        <v>304989</v>
      </c>
      <c r="BJ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inlineStr">
        <is>
          <t>13.96%</t>
        </is>
      </c>
      <c r="H36" s="6" t="inlineStr">
        <is>
          <t>13.85%</t>
        </is>
      </c>
      <c r="I36" s="6" t="inlineStr">
        <is>
          <t>12.10%</t>
        </is>
      </c>
      <c r="J36" s="6" t="inlineStr">
        <is>
          <t>7.39%</t>
        </is>
      </c>
      <c r="K36" s="6" t="inlineStr">
        <is>
          <t>6.91%</t>
        </is>
      </c>
      <c r="L36" s="6" t="inlineStr">
        <is>
          <t>6.30%</t>
        </is>
      </c>
    </row>
    <row r="37">
      <c r="A37" s="6" t="inlineStr">
        <is>
          <t>LCR</t>
        </is>
      </c>
      <c r="B37" s="6" t="inlineStr">
        <is>
          <t>587%</t>
        </is>
      </c>
      <c r="C37" s="6" t="inlineStr">
        <is>
          <t>605%</t>
        </is>
      </c>
      <c r="D37" s="6" t="inlineStr">
        <is>
          <t>519%</t>
        </is>
      </c>
      <c r="E37" s="6" t="inlineStr">
        <is>
          <t>315%</t>
        </is>
      </c>
      <c r="F37" s="6" t="inlineStr">
        <is>
          <t>287%</t>
        </is>
      </c>
      <c r="G37" s="6" t="inlineStr">
        <is>
          <t>419.0%</t>
        </is>
      </c>
      <c r="H37" s="6" t="inlineStr">
        <is>
          <t>462.8%</t>
        </is>
      </c>
      <c r="I37" s="6" t="inlineStr">
        <is>
          <t>321.1%</t>
        </is>
      </c>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30"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377"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t>
        </is>
      </c>
    </row>
    <row r="35" ht="260" customHeight="1">
      <c r="A35" s="8" t="inlineStr">
        <is>
          <t>(continued)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2">
    <mergeCell ref="A33:L33"/>
    <mergeCell ref="A35:L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377"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t>
        </is>
      </c>
    </row>
    <row r="26" ht="260" customHeight="1">
      <c r="A26" s="8" t="inlineStr">
        <is>
          <t>(continued)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2">
    <mergeCell ref="A26:L26"/>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351"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t>
        </is>
      </c>
    </row>
    <row r="63" ht="364" customHeight="1">
      <c r="A63" s="8" t="inlineStr">
        <is>
          <t>(continued)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row r="65" ht="260" customHeight="1">
      <c r="A65" s="8" t="inlineStr">
        <is>
          <t>(continued)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3">
    <mergeCell ref="A61:G61"/>
    <mergeCell ref="A63:G63"/>
    <mergeCell ref="A65:G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325"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row r="44" ht="338" customHeight="1">
      <c r="A44" s="8" t="inlineStr">
        <is>
          <t>(continued)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2">
    <mergeCell ref="A44:L44"/>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39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row r="20" ht="260" customHeight="1">
      <c r="A20" s="8" t="inlineStr">
        <is>
          <t>(continued)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2">
    <mergeCell ref="A20:L20"/>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s>
  <sheetData>
    <row r="1">
      <c r="A1" s="1" t="inlineStr">
        <is>
          <t>Cambridge &amp; Counties Bank Limited - KM1 Key Metrics</t>
        </is>
      </c>
    </row>
    <row r="2">
      <c r="A2" s="2" t="inlineStr">
        <is>
          <t>'Table 1: Key metrics' as published (the UK KM1 template), Bank-only basis, GBP'000. FY2022-FY2024 are own-edition years; FY2021 is the FY2022 edition's 31-Dec-21 comparative column (map rule 28). FY2020 and earlier predate the template entirely (those editions use the EU LR/LIQ set) and no comparative reaches them; no FY2025 Pillar 3 exists (SDDT, PRA Rule 3.1 from 20/02/2025) - see source note</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(£'000)</t>
        </is>
      </c>
      <c r="B5" s="6" t="n">
        <v>213247</v>
      </c>
      <c r="C5" s="6" t="n">
        <v>190817</v>
      </c>
      <c r="D5" s="6" t="n">
        <v>163071</v>
      </c>
      <c r="E5" s="6" t="n">
        <v>144655</v>
      </c>
    </row>
    <row r="6">
      <c r="A6" s="6" t="inlineStr">
        <is>
          <t>2  Tier 1 capital (£'000)</t>
        </is>
      </c>
      <c r="B6" s="6" t="n">
        <v>236147</v>
      </c>
      <c r="C6" s="6" t="n">
        <v>213717</v>
      </c>
      <c r="D6" s="6" t="n">
        <v>185972</v>
      </c>
      <c r="E6" s="6" t="n">
        <v>167555</v>
      </c>
    </row>
    <row r="7">
      <c r="A7" s="6" t="inlineStr">
        <is>
          <t>3  Total capital (£'000)</t>
        </is>
      </c>
      <c r="B7" s="6" t="n">
        <v>241147</v>
      </c>
      <c r="C7" s="6" t="n">
        <v>218717</v>
      </c>
      <c r="D7" s="6" t="n">
        <v>185972</v>
      </c>
      <c r="E7" s="6" t="n">
        <v>167555</v>
      </c>
    </row>
    <row r="8">
      <c r="A8" s="5" t="inlineStr">
        <is>
          <t>Risk-weighted exposure amounts</t>
        </is>
      </c>
      <c r="B8" s="6" t="n"/>
      <c r="C8" s="6" t="n"/>
      <c r="D8" s="6" t="n"/>
      <c r="E8" s="6" t="n"/>
    </row>
    <row r="9">
      <c r="A9" s="6" t="inlineStr">
        <is>
          <t>4  Total risk-weighted exposure amount (£'000)</t>
        </is>
      </c>
      <c r="B9" s="6" t="n">
        <v>980319</v>
      </c>
      <c r="C9" s="6" t="n">
        <v>841556</v>
      </c>
      <c r="D9" s="6" t="n">
        <v>787621</v>
      </c>
      <c r="E9" s="6" t="n">
        <v>728379</v>
      </c>
    </row>
    <row r="10">
      <c r="A10" s="5" t="inlineStr">
        <is>
          <t>Capital ratios (as a percentage of risk-weighted exposure amount)</t>
        </is>
      </c>
      <c r="B10" s="6" t="n"/>
      <c r="C10" s="6" t="n"/>
      <c r="D10" s="6" t="n"/>
      <c r="E10" s="6" t="n"/>
    </row>
    <row r="11">
      <c r="A11" s="6" t="inlineStr">
        <is>
          <t>5  Common Equity Tier 1 ratio (%)</t>
        </is>
      </c>
      <c r="B11" s="6" t="inlineStr">
        <is>
          <t>21.75%</t>
        </is>
      </c>
      <c r="C11" s="6" t="inlineStr">
        <is>
          <t>22.67%</t>
        </is>
      </c>
      <c r="D11" s="6" t="inlineStr">
        <is>
          <t>20.70%</t>
        </is>
      </c>
      <c r="E11" s="6" t="inlineStr">
        <is>
          <t>19.86%</t>
        </is>
      </c>
    </row>
    <row r="12">
      <c r="A12" s="6" t="inlineStr">
        <is>
          <t>6  Tier 1 ratio (%)</t>
        </is>
      </c>
      <c r="B12" s="6" t="inlineStr">
        <is>
          <t>24.09%</t>
        </is>
      </c>
      <c r="C12" s="6" t="inlineStr">
        <is>
          <t>25.40%</t>
        </is>
      </c>
      <c r="D12" s="6" t="inlineStr">
        <is>
          <t>23.61%</t>
        </is>
      </c>
      <c r="E12" s="6" t="inlineStr">
        <is>
          <t>23.00%</t>
        </is>
      </c>
    </row>
    <row r="13">
      <c r="A13" s="6" t="inlineStr">
        <is>
          <t>7  Total capital ratio (%)</t>
        </is>
      </c>
      <c r="B13" s="6" t="inlineStr">
        <is>
          <t>24.60%</t>
        </is>
      </c>
      <c r="C13" s="6" t="inlineStr">
        <is>
          <t>25.99%</t>
        </is>
      </c>
      <c r="D13" s="6" t="inlineStr">
        <is>
          <t>23.61%</t>
        </is>
      </c>
      <c r="E13" s="6" t="inlineStr">
        <is>
          <t>23.00%</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5.19%</t>
        </is>
      </c>
      <c r="C15" s="6" t="inlineStr">
        <is>
          <t>5.19%</t>
        </is>
      </c>
      <c r="D15" s="6" t="inlineStr">
        <is>
          <t>5.19%</t>
        </is>
      </c>
      <c r="E15" s="6" t="inlineStr">
        <is>
          <t>3.10%</t>
        </is>
      </c>
    </row>
    <row r="16">
      <c r="A16" s="6" t="inlineStr">
        <is>
          <t>UK 7d  Total SREP own funds requirements (%)</t>
        </is>
      </c>
      <c r="B16" s="6" t="inlineStr">
        <is>
          <t>13.19%</t>
        </is>
      </c>
      <c r="C16" s="6" t="inlineStr">
        <is>
          <t>13.19%</t>
        </is>
      </c>
      <c r="D16" s="6" t="inlineStr">
        <is>
          <t>13.19%</t>
        </is>
      </c>
      <c r="E16" s="6" t="inlineStr">
        <is>
          <t>11.10%</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2.00%</t>
        </is>
      </c>
      <c r="C19" s="6" t="inlineStr">
        <is>
          <t>2.00%</t>
        </is>
      </c>
      <c r="D19" s="6" t="inlineStr">
        <is>
          <t>1.00%</t>
        </is>
      </c>
      <c r="E19" s="6" t="inlineStr">
        <is>
          <t>0.00%</t>
        </is>
      </c>
    </row>
    <row r="20">
      <c r="A20" s="6" t="inlineStr">
        <is>
          <t>11  Combined buffer requirement (%)</t>
        </is>
      </c>
      <c r="B20" s="6" t="inlineStr">
        <is>
          <t>4.50%</t>
        </is>
      </c>
      <c r="C20" s="6" t="inlineStr">
        <is>
          <t>4.50%</t>
        </is>
      </c>
      <c r="D20" s="6" t="inlineStr">
        <is>
          <t>3.50%</t>
        </is>
      </c>
      <c r="E20" s="6" t="inlineStr">
        <is>
          <t>2.50%</t>
        </is>
      </c>
    </row>
    <row r="21">
      <c r="A21" s="6" t="inlineStr">
        <is>
          <t>UK 11a  Overall capital requirements (%)</t>
        </is>
      </c>
      <c r="B21" s="6" t="inlineStr">
        <is>
          <t>17.69%</t>
        </is>
      </c>
      <c r="C21" s="6" t="inlineStr">
        <is>
          <t>17.69%</t>
        </is>
      </c>
      <c r="D21" s="6" t="inlineStr">
        <is>
          <t>16.69%</t>
        </is>
      </c>
      <c r="E21" s="6" t="inlineStr">
        <is>
          <t>13.60%</t>
        </is>
      </c>
    </row>
    <row r="22">
      <c r="A22" s="6" t="inlineStr">
        <is>
          <t>12  CET1 available after meeting the total SREP own funds requirements (%)</t>
        </is>
      </c>
      <c r="B22" s="6" t="inlineStr">
        <is>
          <t>8.56%</t>
        </is>
      </c>
      <c r="C22" s="6" t="inlineStr">
        <is>
          <t>9.48%</t>
        </is>
      </c>
      <c r="D22" s="6" t="inlineStr">
        <is>
          <t>7.51%</t>
        </is>
      </c>
      <c r="E22" s="6" t="inlineStr">
        <is>
          <t>7.41%</t>
        </is>
      </c>
    </row>
    <row r="23">
      <c r="A23" s="5" t="inlineStr">
        <is>
          <t>Leverage ratio</t>
        </is>
      </c>
      <c r="B23" s="6" t="n"/>
      <c r="C23" s="6" t="n"/>
      <c r="D23" s="6" t="n"/>
      <c r="E23" s="6" t="n"/>
    </row>
    <row r="24">
      <c r="A24" s="6" t="inlineStr">
        <is>
          <t>13  Leverage ratio total exposure measure (£'000)</t>
        </is>
      </c>
      <c r="B24" s="6" t="n">
        <v>1605041</v>
      </c>
      <c r="C24" s="6" t="n">
        <v>1435897</v>
      </c>
      <c r="D24" s="6" t="n">
        <v>1335869</v>
      </c>
      <c r="E24" s="6" t="n">
        <v>1298284</v>
      </c>
    </row>
    <row r="25">
      <c r="A25" s="6" t="inlineStr">
        <is>
          <t>14  Leverage ratio (%)</t>
        </is>
      </c>
      <c r="B25" s="6" t="inlineStr">
        <is>
          <t>14.71%</t>
        </is>
      </c>
      <c r="C25" s="6" t="inlineStr">
        <is>
          <t>14.88%</t>
        </is>
      </c>
      <c r="D25" s="6" t="inlineStr">
        <is>
          <t>13.92%</t>
        </is>
      </c>
      <c r="E25" s="6" t="inlineStr">
        <is>
          <t>12.83%</t>
        </is>
      </c>
    </row>
    <row r="26">
      <c r="A26" s="5" t="inlineStr">
        <is>
          <t>Liquidity Coverage Ratio (average of 12 months, per the Bank's own footnote)</t>
        </is>
      </c>
      <c r="B26" s="6" t="n"/>
      <c r="C26" s="6" t="n"/>
      <c r="D26" s="6" t="n"/>
      <c r="E26" s="6" t="n"/>
    </row>
    <row r="27">
      <c r="A27" s="6" t="inlineStr">
        <is>
          <t>15  Total high-quality liquid assets (HQLA) (Total Weighted value) (£'000)</t>
        </is>
      </c>
      <c r="B27" s="6" t="n">
        <v>345604</v>
      </c>
      <c r="C27" s="6" t="n">
        <v>296975</v>
      </c>
      <c r="D27" s="6" t="n">
        <v>265556</v>
      </c>
      <c r="E27" s="6" t="n">
        <v>255526</v>
      </c>
    </row>
    <row r="28">
      <c r="A28" s="6" t="inlineStr">
        <is>
          <t>UK 16a  Cash outflows - Total weighted value (£'000)</t>
        </is>
      </c>
      <c r="B28" s="6" t="n">
        <v>78028</v>
      </c>
      <c r="C28" s="6" t="n">
        <v>81724</v>
      </c>
      <c r="D28" s="6" t="n">
        <v>97431</v>
      </c>
      <c r="E28" s="6" t="n">
        <v>99787</v>
      </c>
    </row>
    <row r="29">
      <c r="A29" s="6" t="inlineStr">
        <is>
          <t>UK 16b  Cash inflows - Total weighted value (£'000)</t>
        </is>
      </c>
      <c r="B29" s="6" t="n">
        <v>20891</v>
      </c>
      <c r="C29" s="6" t="n">
        <v>21215</v>
      </c>
      <c r="D29" s="6" t="n">
        <v>13037</v>
      </c>
      <c r="E29" s="6" t="n">
        <v>9625</v>
      </c>
    </row>
    <row r="30">
      <c r="A30" s="6" t="inlineStr">
        <is>
          <t>16  Total net cash outflows (£'000)</t>
        </is>
      </c>
      <c r="B30" s="6" t="n">
        <v>57137</v>
      </c>
      <c r="C30" s="6" t="n">
        <v>47570</v>
      </c>
      <c r="D30" s="6" t="n">
        <v>84394</v>
      </c>
      <c r="E30" s="6" t="n">
        <v>90162</v>
      </c>
    </row>
    <row r="31">
      <c r="A31" s="6" t="inlineStr">
        <is>
          <t>17  Liquidity coverage ratio (%)</t>
        </is>
      </c>
      <c r="B31" s="6" t="inlineStr">
        <is>
          <t>605%</t>
        </is>
      </c>
      <c r="C31" s="6" t="inlineStr">
        <is>
          <t>519%</t>
        </is>
      </c>
      <c r="D31" s="6" t="inlineStr">
        <is>
          <t>315%</t>
        </is>
      </c>
      <c r="E31" s="6" t="inlineStr">
        <is>
          <t>283%</t>
        </is>
      </c>
    </row>
    <row r="32">
      <c r="A32" s="5" t="inlineStr">
        <is>
          <t>Net Stable Funding Ratio (FY2022 footnoted 'Average of submitted returns post implementation of CRR II'; FY2023-FY2024 'Average of 12 months')</t>
        </is>
      </c>
      <c r="B32" s="6" t="n"/>
      <c r="C32" s="6" t="n"/>
      <c r="D32" s="6" t="n"/>
      <c r="E32" s="6" t="n"/>
    </row>
    <row r="33">
      <c r="A33" s="6" t="inlineStr">
        <is>
          <t>18  Total available stable funding (£'000)</t>
        </is>
      </c>
      <c r="B33" s="6" t="n">
        <v>1303092</v>
      </c>
      <c r="C33" s="6" t="n">
        <v>1190919</v>
      </c>
      <c r="D33" s="6" t="n">
        <v>1104235</v>
      </c>
      <c r="E33" s="6" t="n"/>
    </row>
    <row r="34">
      <c r="A34" s="6" t="inlineStr">
        <is>
          <t>19  Total required stable funding (£'000)</t>
        </is>
      </c>
      <c r="B34" s="6" t="n">
        <v>960390</v>
      </c>
      <c r="C34" s="6" t="n">
        <v>873031</v>
      </c>
      <c r="D34" s="6" t="n">
        <v>842391</v>
      </c>
      <c r="E34" s="6" t="n"/>
    </row>
    <row r="35">
      <c r="A35" s="6" t="inlineStr">
        <is>
          <t>20  NSFR ratio (%)</t>
        </is>
      </c>
      <c r="B35" s="6" t="inlineStr">
        <is>
          <t>136%</t>
        </is>
      </c>
      <c r="C35" s="6" t="inlineStr">
        <is>
          <t>136%</t>
        </is>
      </c>
      <c r="D35" s="6" t="inlineStr">
        <is>
          <t>131%</t>
        </is>
      </c>
      <c r="E35" s="6" t="n"/>
    </row>
    <row r="37" ht="409" customHeight="1">
      <c r="A37" s="8" t="inlineStr">
        <is>
          <t>Sources - Cambridge &amp; Counties Bank Limited Pillar 3 Disclosures, 'Table 1: Key metrics' (the UK KM1 template), Bank-only basis, GBP'000. Each year is transcribed from the edition in which it is the REPORTING year, never from a later edition's comparative column (map rule 1):
FY2024: Pillar 3 Disclosures 2024, 'Table 1: Key metrics' (31-Dec-24 column) - https://ccbank.co.uk/wp-content/uploads/2025/05/Pillar-3-report-CCB-2024.docx
FY2023: Pillar 3 Disclosures 2023, 'Table 1: Key metrics' (31-Dec-23 column) - https://ccbank.co.uk/wp-content/uploads/2024/05/Pillar-3-report-2023-Cambridge-Counties-Bank.docx
FY2022: Pillar 3 Disclosures 2022, 'Table 1: Key metrics', p.18 (31-Dec-22 column) - https://ccbank.co.uk/wp-content/uploads/2023/05/Pillar-3-Disclosure2022.pdf
THE TABLE IS A BITMAP, NOT TEXT - transcribed visually and twice (map rule 13). None of these tables extracts as text, and neither the PDF nor the .docx gives any sign of that: the FY2022 PDF is otherwise fully text-native, and the FY2023/FY2024 documents are .docx files containing ZERO w:tbl elements - not a single Word table in either - with every table pasted as a picture (10 embedded images in the FY2024 file, carrying Word's own auto-generated alt-text 'A screenshot of a spreadsheet'). A text-extraction pass over these documents returns the 'Key metrics' heading and the paragraph beneath it and nothing in between, which reads exactly like a bank that publishes only a short narrative. It is not. FY2022 was read from two independent renderings - the page rendered at 150dpi with pdftoppm, and the embedded JPEG extracted at native resolution with pdfimages - and the two agree digit for digit across all 23 rows and both columns. FY2023 and FY2024 were read from the native PNGs and cross-checked against the adjacent edition's comparative column, which agrees on every row except the two source defects recorded below.
LEVERAGE ROWS KEEP THE BANK'S OWN PRE-2022 CAPTIONS (map rule 5). All three editions print row 13 as 'Leverage ratio total exposure measure' and row 14 as 'Leverage ratio', without the 'excluding claims on central banks' qualifier that the post-1-January-2022 template uses. The captions are reproduced as printed and are NOT silently relabelled to the newer wording.
TWO SOURCE DEFECTS IN THE FY2023 EDITION, recorded and not corrected (map rule 7). Both are in its COMPARATIVE column and neither affects a cell on this sheet, because every year here comes from its own edition.
  (a) Row 4, 31-Dec-22 comparative: the FY2023 edition prints 728,379, which is the FY2021 figure. FY2022's own edition prints 787,621. The FY2023 edition contradicts itself here - the same comparative column prints a CET1 ratio of 20.70%, and 163,071 / 787,621 = 20.70% exactly while 163,071 / 728,379 would be 22.39%. Three independent sources agree on 787,621: the FY2022 edition's own column, the FY2024 edition's chain, and this workbook's RWA Breakdown total.
  (b) Rows UK 16b and 16, 31-Dec-23 (its OWN year): the FY2023 edition prints cash inflows 21,215 and total net cash outflows 47,570, which do not tie to each other (81,724 - 21,215 = 60,509) nor to its own row 17 (296,975 / 47,570 = 624%, but 519% is printed). The FY2024 edition's 31-Dec-23 comparative prints 24,496 and 57,228, which tie both ways: 81,724 - 24,496 = 57,228 and 296,975 / 57,228 = 519%. This sheet shows 21,215 and 47,570 for FY2023 because that is what the year's own edition published; the figures that reconcile are the later edition's and are recorded here rather than substituted. FY2022 and FY2024 are internally consistent on every one of these rows.</t>
        </is>
      </c>
    </row>
    <row r="39" ht="409" customHeight="1">
      <c r="A39" s="8" t="inlineStr">
        <is>
          <t>(continued)
FY2021 AND EARLIER - BLANK, AND NOT FOR WANT OF LOOKING. The FY2021 and FY2020 Pillar 3 documents (70 and 61 pages) carry no KM1 template at all. They use the PRE-2022 EU template set as separate tables: the own-funds composition template ('Own Funds - Regulatory disclosure template', rows 1/2/3/6/8/10/20c/28/29/45/59/60/61 per the EBA ITS on Disclosure for Own Funds), leverage as 'Table LRSum' and 'Table LRCom' with rows 1-8, 17-24 and EU-23/EU-24, and liquidity as a standalone three-row table numbered 21/22/23 ('Liquidity Buffer - HQLA', 'Total Net Cash Outflows', 'Liquidity Coverage Ratio'). Those are LR and LIQ row numbers, not KM1 rows 13-17, and mapping them onto template row numbers would invent a correspondence the Bank never published (map rule 8). Checked for hidden bitmaps too, since this bank is a rule-13 case: pdfimages lists images only on pages 1, 10, 13 and 17 of those files, all small decorative ones (a 2293x248 header band, 187x106 icons), none on the pages where the capital, leverage and liquidity tables sit (pp.30, 40, 51, 60).
FY2021 IS THEREFORE THE FY2022 EDITION'S 31-DEC-21 COMPARATIVE COLUMN, filled under map rule 28: the FY2021 edition prints no key-metrics table at all, so there is no own-edition table for a later one to displace and rule 1 has nothing to bite on. This is rule 28's whole-missing-table case, not rule 20's dashed-row case. Source for every FY2021 cell here: Pillar 3 Disclosures 2022, 'Table 1: Key metrics', p.18, 31-Dec-21 column - https://ccbank.co.uk/wp-content/uploads/2023/05/Pillar-3-Disclosure2022.pdf . The three NSFR rows are left EMPTY by the Bank in that comparative column (the UK NSFR requirement took effect only from 1 January 2022) and stay empty here - filling a column from a comparative does not license inventing the cells the comparative leaves blank.
FY2020 AND EARLIER REMAIN BLANK under rule 28's condition (c): no edition of any year prints a KM1 comparative reaching back that far, so there is no comparative to fill from.
TWO EXPECTED DISAGREEMENTS WITH THE SINGLE-METRIC SHEETS, BOTH FY2021, BOTH GENUINE - predicted before this sheet was first built rather than explained afterwards. The metric sheets source FY2021 from that year's OWN pre-2022 templates, while this KM1 column is now the FY2022 edition's comparative, and the two editions do not agree: (i) row 14 leverage ratio, 12.83% here against 12.90% on the Leverage Ratio sheet (from the FY2021 edition's own Table LRCom); and (ii) row 17 liquidity coverage ratio, 283% here against 287% on the LCR sheet (from the FY2021 edition's own 21/22/23 LCR table). Row 13's exposure measure differs too - 1,298,284 here against 1,298,463 there - but by 0.01%, inside the checker's amount tolerance. Both divergences are cross-edition restatements by the Bank, not transcription errors, and neither figure is edited to match the other.
INVENTORY CORRECTION. research/km1_inventory.jsonl records the FY2020 and FY2021 editions as KM1_PRESENT. Both are FALSE POSITIVES on the evidence above - those editions carry CC1/LRSum/LRCom/LCR, not the key-metrics template. The same file records the FY2022 edition as NO_KM1_FOUND, which is a false NEGATIVE, since that edition does carry the full template as a bitmap. It has no row at all for the FY2023 and FY2024 editions, which are .docx and were never crawled. Recorded here so a later pass does not trust those verdicts in either direction.
FY2025 - BLANK, WITH A DATE-FITTED EXPLANATION. No Pillar 3 document has been published for FY2025 and none will be. Bank of England consolidated waivers register (downloaded 2026-09-16): FRN 579415, 'Cambridge &amp; Counties Bank Limited', 'Modification by Consent - PRA Rulebook - CRR Firms - Rule 3.1 of the SDDT Regime - General Application Part', sub rule 'Ru 3.1', ref A00009927P.pdf, START DATE 20/02/2025, no end date. DATE FIT: the Bank's year-end is 31 December, so the opt-in precedes the whole of FY2025 and explains its absence. It does NOT explain anything earlier - FY2022, FY2023 and FY2024 all postdate nothing relevant and all carry a full template, and the FY2024 edition was itself published on 14 May 2025, after the opt-in. Only a Rule 3.1 row removes the disclosure obligation; this is the SDDT DISCLOSURE exemption in force now, not the SDDT CAPITAL regime beginning 1 January 2027.
LATEST-EDITION CHECK, 16 September 2026: ccbank.co.uk's own media library lists eleven Pillar 3 documents, the newest being Pillar-3-report-CCB-2024.docx uploaded 14 May 2025. Newest edition published: FY2024, which this sheet holds. None newer. Also confirmed that Pillar-3-report-CCB-2024.docx and Pillar-3-report-Cambridge-Counties-Bank-2024.docx, uploaded the same day, are BYTE-IDENTICAL (both md5 ebe7d0191a3c5cbb4035a11e1213c7e7, both 506,357 bytes) - one document under two URLs, not two editions and not a second entity basis (map rule 11's inverse case).</t>
        </is>
      </c>
    </row>
  </sheetData>
  <mergeCells count="2">
    <mergeCell ref="A39:E39"/>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3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247"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247"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3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247"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247"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39"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247"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247"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312"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and none will be - the Bank is an SDDT and is exempt from the Pillar 3 disclosure obligation, see ENTITY NOTE; re-confirmed 2026-09-12 via site check + Wayback CDX, no Pillar 3 URL of any kind crawled for this domain in 2026).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inlineStr">
        <is>
          <t>Not published - AR gives a total RWA only; SDDT Rule 3.1 from 20/02/2025</t>
        </is>
      </c>
      <c r="C10" s="5" t="n">
        <v>980319</v>
      </c>
      <c r="D10" s="5" t="n">
        <v>841556</v>
      </c>
      <c r="E10" s="5" t="n">
        <v>787621</v>
      </c>
      <c r="F10" s="5" t="n">
        <v>728379</v>
      </c>
      <c r="G10" s="5" t="n">
        <v>629727</v>
      </c>
      <c r="H10" s="5" t="n">
        <v>619342</v>
      </c>
      <c r="I10" s="5" t="n">
        <v>621368</v>
      </c>
      <c r="J10" s="5" t="n">
        <v>561630</v>
      </c>
      <c r="K10" s="5" t="n">
        <v>428605</v>
      </c>
      <c r="L10" s="5" t="n">
        <v>284853</v>
      </c>
    </row>
    <row r="12" ht="39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and none will be - the Bank is an SDDT and is exempt from the Pillar 3 disclosure obligation, see ENTITY NOTE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t>
        </is>
      </c>
    </row>
    <row r="14" ht="280" customHeight="1">
      <c r="A14" s="8" t="inlineStr">
        <is>
          <t>(continued)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2">
    <mergeCell ref="A14:L14"/>
    <mergeCell ref="A12:L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inlineStr">
        <is>
          <t>Not published - SDDT Rule 3.1 opt-in from 20/02/2025; no FY2025 edition</t>
        </is>
      </c>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117" customHeight="1">
      <c r="A6" s="7" t="inlineStr">
        <is>
          <t>Note: FY2025 not publicly disclosed (no standalone Pillar 3 document published, and none will be - the Bank is an SDDT and is exempt from the Pillar 3 disclosure obligation, see ENTITY NOTE; and the Annual Report's own Strategic Report narrative does not state a leverage ratio figure).
LEVERAGE BASIS: THE BANK PUBLISHES ONE RATIO AND ATTACHES NO BASIS QUALIFIER TO IT (GA-026, 2026-10-10). From 1 January 2022 template UK LR2 / LRCom prints the exposure measure on BOTH bases - row 24 including claims on central banks, row UK-24b excluding them, reconciling at UK-24a, with ratios at row 25 and UK-25c. CCB prints no such table in the FY2022 edition, the last PDF edition it published. Its leverage disclosure is two plainly captioned rows inside 'Table 1: Key metrics' on p.18: '13 Leverage ratio total exposure measure' and '14 Leverage ratio', reading 1,335,869 / 1,298,284 and 13.92% / 12.83% for 31-Dec-22 and 31-Dec-21. The 13.92% is the FY2022 figure on this sheet. No central-bank qualifier appears on either row and no reconciliation of accounting assets to leverage exposure is printed, so no basis can be read from the document and none is attributed here.
A caution about the FY2021 edition, which is NOT a counter-example: its contents include a table captioned 'LRCom' at p.40, but FY2021 pre-dates the two-basis presentation, which is effective only for periods from 1 January 2022. An LRCom table in a 2021 edition cannot carry rows UK-24a, UK-24b or UK-25c, and finding one there says nothing about CCB's basis.
HOW THIS WAS CHECKED. CCB's tables are EMBEDDED IMAGES inside an otherwise text-rich document: a text search of the FY2022 PDF finds 'leverage' exactly once, in the name of a PRA rulebook instrument, and none of Table 1's figures extract at all, although 91,878 characters of surrounding prose do. Table 1 was read from a 300 dpi render of p.18, not from extracted text. Note also that the FY2023 and FY2024 editions are published as .docx, not PDF, so a PDF-only sweep would miss them entirely.</t>
        </is>
      </c>
    </row>
    <row r="8" ht="286"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c r="C4" s="6" t="n">
        <v>345604</v>
      </c>
      <c r="D4" s="6" t="n">
        <v>296975</v>
      </c>
      <c r="E4" s="6" t="n">
        <v>265556</v>
      </c>
      <c r="F4" s="6" t="n">
        <v>275200</v>
      </c>
      <c r="G4" s="6" t="n">
        <v>284100</v>
      </c>
      <c r="H4" s="6" t="n">
        <v>297100</v>
      </c>
      <c r="I4" s="6" t="n">
        <v>334600</v>
      </c>
    </row>
    <row r="5">
      <c r="A5" s="6" t="inlineStr">
        <is>
          <t>Total net cash outflows</t>
        </is>
      </c>
      <c r="B5" s="6" t="n"/>
      <c r="C5" s="6" t="n">
        <v>57137</v>
      </c>
      <c r="D5" s="6" t="n">
        <v>47570</v>
      </c>
      <c r="E5" s="6" t="n">
        <v>84394</v>
      </c>
      <c r="F5" s="6" t="n">
        <v>95900</v>
      </c>
      <c r="G5" s="6" t="n">
        <v>67800</v>
      </c>
      <c r="H5" s="6" t="n">
        <v>64200</v>
      </c>
      <c r="I5" s="6" t="n">
        <v>105800</v>
      </c>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row>
    <row r="8" ht="338"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and none will be - the Bank is an SDDT and is exempt from the Pillar 3 disclosure obligation, see ENTITY NOTE)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c r="C4" s="6" t="n">
        <v>1303092</v>
      </c>
      <c r="D4" s="6" t="n">
        <v>1190919</v>
      </c>
      <c r="E4" s="6" t="n">
        <v>1104235</v>
      </c>
    </row>
    <row r="5">
      <c r="A5" s="6" t="inlineStr">
        <is>
          <t>Total required stable funding</t>
        </is>
      </c>
      <c r="B5" s="6" t="n"/>
      <c r="C5" s="6" t="n">
        <v>960390</v>
      </c>
      <c r="D5" s="6" t="n">
        <v>873031</v>
      </c>
      <c r="E5" s="6" t="n">
        <v>842391</v>
      </c>
    </row>
    <row r="6">
      <c r="A6" s="6" t="inlineStr">
        <is>
          <t>Net Stable Funding Ratio (%)</t>
        </is>
      </c>
      <c r="B6" s="6" t="inlineStr">
        <is>
          <t>Not published - SDDT Rule 3.1 opt-in from 20/02/2025; no FY2025 edition</t>
        </is>
      </c>
      <c r="C6" s="6" t="inlineStr">
        <is>
          <t>136%</t>
        </is>
      </c>
      <c r="D6" s="6" t="inlineStr">
        <is>
          <t>136%</t>
        </is>
      </c>
      <c r="E6" s="6" t="inlineStr">
        <is>
          <t>131%</t>
        </is>
      </c>
    </row>
    <row r="7" ht="39" customHeight="1">
      <c r="A7" s="7" t="inlineStr">
        <is>
          <t>Note: FY2021 and FY2025 not publicly disclosed - the UK NSFR requirement only took effect for periods starting after 1 Jan 2022 (FY2021's Pillar 3 report has no NSFR section at all), and no standalone Pillar 3 document has been published, and none will be - the Bank is an SDDT and is exempt from the Pillar 3 disclosure obligation, see ENTITY NOTE.</t>
        </is>
      </c>
    </row>
    <row r="9" ht="403"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FY2025 Annual Report (full text) has no MREL figure; no FY2025 Pillar 3 (SDDT Rule 3.1 opt-in from 20/02/2025, FRN 579415)</t>
        </is>
      </c>
      <c r="C4" s="6" t="inlineStr">
        <is>
          <t>Not published – CCB FY2024 Pillar 3 (full text searched 2026-09-19) contains no MREL figure or reference to MREL</t>
        </is>
      </c>
      <c r="D4" s="6" t="inlineStr">
        <is>
          <t>Not published – CCB FY2023 Pillar 3 (full text searched 2026-09-19) contains no MREL figure or reference to MREL</t>
        </is>
      </c>
      <c r="E4" s="6" t="inlineStr">
        <is>
          <t>Not published – CCB FY2022 Pillar 3 (full text searched 2026-09-19) contains no MREL figure or reference to MREL</t>
        </is>
      </c>
      <c r="F4" s="6" t="inlineStr">
        <is>
          <t>Not published – CCB FY2021 Pillar 3 (full text searched 2026-09-19) contains no MREL figure or reference to MREL</t>
        </is>
      </c>
      <c r="G4" s="6" t="inlineStr">
        <is>
          <t>Not published – CCB FY2020 Pillar 3 (full text searched 2026-09-19) contains no MREL figure or reference to MREL</t>
        </is>
      </c>
      <c r="H4" s="6" t="inlineStr">
        <is>
          <t>Not applicable – FY2019 Pillar 3 p.31: the Bank is in the Bank of England's 'Modified Insolvency' category, so its MREL equals its Total Capital Requirements; no separate ratio</t>
        </is>
      </c>
      <c r="I4" s="6" t="inlineStr">
        <is>
          <t>Not published – CCB FY2018 Pillar 3 (full text searched 2026-09-19) contains no MREL figure or reference to MREL</t>
        </is>
      </c>
      <c r="J4" s="6" t="inlineStr">
        <is>
          <t>Not published – CCB FY2017 Pillar 3 (full text searched 2026-09-19) contains no MREL figure or reference to MREL</t>
        </is>
      </c>
      <c r="K4" s="6" t="inlineStr">
        <is>
          <t>Not published – CCB FY2016 Pillar 3 (full text searched 2026-09-19) contains no MREL figure or reference to MREL</t>
        </is>
      </c>
      <c r="L4" s="6" t="inlineStr">
        <is>
          <t>Not published – CCB FY2015 Pillar 3 (full text searched 2026-09-19) contains no MREL figure or reference to MREL</t>
        </is>
      </c>
    </row>
    <row r="5" ht="3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247"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2026-10-10T15:08:23Z</dcterms:created>
  <dcterms:modified xmlns:dcterms="http://purl.org/dc/terms/" xmlns:xsi="http://www.w3.org/2001/XMLSchema-instance" xsi:type="dcterms:W3CDTF">2026-10-10T15:08:23Z</dcterms:modified>
</cp:coreProperties>
</file>