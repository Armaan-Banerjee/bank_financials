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Credit Suisse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352528</v>
      </c>
      <c r="C6" s="5" t="n">
        <v>1801155</v>
      </c>
      <c r="D6" s="5" t="n">
        <v>2392470</v>
      </c>
      <c r="E6" s="5" t="n">
        <v>2885789</v>
      </c>
      <c r="F6" s="5" t="n">
        <v>3579171</v>
      </c>
      <c r="G6" s="5" t="n">
        <v>3654695</v>
      </c>
      <c r="H6" s="5" t="n">
        <v>3483980</v>
      </c>
      <c r="I6" s="5" t="n">
        <v>3502344</v>
      </c>
      <c r="J6" s="5" t="n">
        <v>3334736</v>
      </c>
      <c r="K6" s="5" t="n">
        <v>2946364</v>
      </c>
      <c r="N6" t="inlineStr">
        <is>
          <t>Total assets</t>
        </is>
      </c>
      <c r="O6" t="n">
        <v>2946364</v>
      </c>
      <c r="P6" t="n">
        <v>3334736</v>
      </c>
      <c r="Q6" t="n">
        <v>3502344</v>
      </c>
      <c r="R6" t="n">
        <v>3483980</v>
      </c>
      <c r="S6" t="n">
        <v>3654695</v>
      </c>
      <c r="T6" t="n">
        <v>3579171</v>
      </c>
      <c r="U6" t="n">
        <v>2885789</v>
      </c>
      <c r="V6" t="n">
        <v>2392470</v>
      </c>
      <c r="W6" t="n">
        <v>1801155</v>
      </c>
      <c r="X6" t="n">
        <v>352528</v>
      </c>
      <c r="BN6" t="inlineStr">
        <is>
          <t>CET1/Tier 1 Ratio</t>
        </is>
      </c>
      <c r="BP6" t="n">
        <v>17.2</v>
      </c>
      <c r="BQ6" t="n">
        <v>22.5</v>
      </c>
      <c r="BR6" t="n">
        <v>21.9</v>
      </c>
      <c r="BS6" t="n">
        <v>22</v>
      </c>
      <c r="BT6" t="n">
        <v>25.09</v>
      </c>
      <c r="BU6" t="n">
        <v>29.39</v>
      </c>
      <c r="BV6" t="n">
        <v>29.15</v>
      </c>
      <c r="BW6" t="n">
        <v>45</v>
      </c>
      <c r="BX6" t="n">
        <v>191</v>
      </c>
    </row>
    <row r="7">
      <c r="A7" s="5" t="inlineStr">
        <is>
          <t>Loans and advances, net</t>
        </is>
      </c>
      <c r="B7" s="5" t="n">
        <v>0</v>
      </c>
      <c r="C7" s="5" t="n">
        <v>818949</v>
      </c>
      <c r="D7" s="5" t="n">
        <v>1307573</v>
      </c>
      <c r="E7" s="5" t="n">
        <v>1706528</v>
      </c>
      <c r="F7" s="5" t="n">
        <v>2041139</v>
      </c>
      <c r="G7" s="5" t="n">
        <v>1990006</v>
      </c>
      <c r="H7" s="5" t="n">
        <v>2126766</v>
      </c>
      <c r="I7" s="5" t="n">
        <v>2141288</v>
      </c>
      <c r="J7" s="5" t="n">
        <v>2166554</v>
      </c>
      <c r="K7" s="5" t="n">
        <v>1547855</v>
      </c>
      <c r="N7" t="inlineStr">
        <is>
          <t>Loans and advances, net</t>
        </is>
      </c>
      <c r="O7" t="n">
        <v>1547855</v>
      </c>
      <c r="P7" t="n">
        <v>2166554</v>
      </c>
      <c r="Q7" t="n">
        <v>2141288</v>
      </c>
      <c r="R7" t="n">
        <v>2126766</v>
      </c>
      <c r="S7" t="n">
        <v>1990006</v>
      </c>
      <c r="T7" t="n">
        <v>2041139</v>
      </c>
      <c r="U7" t="n">
        <v>1706528</v>
      </c>
      <c r="V7" t="n">
        <v>1307573</v>
      </c>
      <c r="W7" t="n">
        <v>818949</v>
      </c>
      <c r="X7" t="n">
        <v>0</v>
      </c>
      <c r="BN7" t="inlineStr">
        <is>
          <t>Leverage Ratio</t>
        </is>
      </c>
      <c r="BP7" t="n">
        <v>6.3</v>
      </c>
      <c r="BQ7" t="n">
        <v>7.8</v>
      </c>
      <c r="BR7" t="n">
        <v>8.470000000000001</v>
      </c>
      <c r="BS7" t="n">
        <v>8.07</v>
      </c>
      <c r="BT7" t="n">
        <v>9.300000000000001</v>
      </c>
      <c r="BU7" t="n">
        <v>11.4</v>
      </c>
      <c r="BV7" t="n">
        <v>12.09</v>
      </c>
      <c r="BW7" t="n">
        <v>17</v>
      </c>
      <c r="BX7" t="n">
        <v>87</v>
      </c>
    </row>
    <row r="8">
      <c r="A8" s="5" t="inlineStr">
        <is>
          <t>Deposits</t>
        </is>
      </c>
      <c r="B8" s="5" t="n">
        <v>27218</v>
      </c>
      <c r="C8" s="5" t="n">
        <v>548119</v>
      </c>
      <c r="D8" s="5" t="n">
        <v>654960</v>
      </c>
      <c r="E8" s="5" t="n">
        <v>1094750</v>
      </c>
      <c r="F8" s="5" t="n">
        <v>3118581</v>
      </c>
      <c r="G8" s="5" t="n">
        <v>3183065</v>
      </c>
      <c r="H8" s="5" t="n">
        <v>3040602</v>
      </c>
      <c r="I8" s="5" t="n">
        <v>3087177</v>
      </c>
      <c r="J8" s="5" t="n">
        <v>2990492</v>
      </c>
      <c r="K8" s="5" t="n">
        <v>2635334</v>
      </c>
      <c r="N8" t="inlineStr">
        <is>
          <t>Deposits</t>
        </is>
      </c>
      <c r="O8" t="n">
        <v>2635334</v>
      </c>
      <c r="P8" t="n">
        <v>2990492</v>
      </c>
      <c r="Q8" t="n">
        <v>3087177</v>
      </c>
      <c r="R8" t="n">
        <v>3040602</v>
      </c>
      <c r="S8" t="n">
        <v>3183065</v>
      </c>
      <c r="T8" t="n">
        <v>3118581</v>
      </c>
      <c r="U8" t="n">
        <v>1094750</v>
      </c>
      <c r="V8" t="n">
        <v>654960</v>
      </c>
      <c r="W8" t="n">
        <v>548119</v>
      </c>
      <c r="X8" t="n">
        <v>27218</v>
      </c>
      <c r="BN8" t="inlineStr">
        <is>
          <t>LCR</t>
        </is>
      </c>
      <c r="BQ8" t="n">
        <v>154</v>
      </c>
      <c r="BT8" t="n">
        <v>216</v>
      </c>
      <c r="BU8" t="n">
        <v>216.4</v>
      </c>
      <c r="BV8" t="n">
        <v>554.67</v>
      </c>
      <c r="BW8" t="n">
        <v>451</v>
      </c>
      <c r="BX8" t="n">
        <v>1154</v>
      </c>
    </row>
    <row r="9">
      <c r="A9" s="5" t="inlineStr">
        <is>
          <t>Total equity</t>
        </is>
      </c>
      <c r="B9" s="5" t="n">
        <v>305801</v>
      </c>
      <c r="C9" s="5" t="n">
        <v>299440</v>
      </c>
      <c r="D9" s="5" t="n">
        <v>292552</v>
      </c>
      <c r="E9" s="5" t="n">
        <v>345686</v>
      </c>
      <c r="F9" s="5" t="n">
        <v>351228</v>
      </c>
      <c r="G9" s="5" t="n">
        <v>341173</v>
      </c>
      <c r="H9" s="5" t="n">
        <v>322943</v>
      </c>
      <c r="I9" s="5" t="n">
        <v>297290</v>
      </c>
      <c r="J9" s="5" t="n">
        <v>237844</v>
      </c>
      <c r="K9" s="5" t="n">
        <v>208494</v>
      </c>
      <c r="N9" t="inlineStr">
        <is>
          <t>Total equity</t>
        </is>
      </c>
      <c r="O9" t="n">
        <v>208494</v>
      </c>
      <c r="P9" t="n">
        <v>237844</v>
      </c>
      <c r="Q9" t="n">
        <v>297290</v>
      </c>
      <c r="R9" t="n">
        <v>322943</v>
      </c>
      <c r="S9" t="n">
        <v>341173</v>
      </c>
      <c r="T9" t="n">
        <v>351228</v>
      </c>
      <c r="U9" t="n">
        <v>345686</v>
      </c>
      <c r="V9" t="n">
        <v>292552</v>
      </c>
      <c r="W9" t="n">
        <v>299440</v>
      </c>
      <c r="X9" t="n">
        <v>305801</v>
      </c>
      <c r="BN9" t="inlineStr">
        <is>
          <t>NSFR</t>
        </is>
      </c>
      <c r="BU9" t="n">
        <v>131.72</v>
      </c>
      <c r="BV9" t="n">
        <v>129.25</v>
      </c>
      <c r="BW9" t="n">
        <v>167</v>
      </c>
      <c r="BX9" t="n">
        <v>3600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revenue</t>
        </is>
      </c>
      <c r="B13" s="5" t="n">
        <v>47807</v>
      </c>
      <c r="C13" s="5" t="n">
        <v>82745</v>
      </c>
      <c r="D13" s="5" t="n">
        <v>100908</v>
      </c>
      <c r="E13" s="5" t="n">
        <v>112483</v>
      </c>
      <c r="F13" s="5" t="n">
        <v>107874</v>
      </c>
      <c r="G13" s="5" t="n">
        <v>112919</v>
      </c>
      <c r="H13" s="5" t="n">
        <v>123230</v>
      </c>
      <c r="I13" s="5" t="n">
        <v>125405</v>
      </c>
      <c r="J13" s="5" t="n">
        <v>140675</v>
      </c>
      <c r="K13" s="5" t="n">
        <v>90912</v>
      </c>
      <c r="AA13" t="inlineStr">
        <is>
          <t>Net revenue</t>
        </is>
      </c>
      <c r="AB13" t="n">
        <v>90912</v>
      </c>
      <c r="AC13" t="n">
        <v>140675</v>
      </c>
      <c r="AD13" t="n">
        <v>125405</v>
      </c>
      <c r="AE13" t="n">
        <v>123230</v>
      </c>
      <c r="AF13" t="n">
        <v>112919</v>
      </c>
      <c r="AG13" t="n">
        <v>107874</v>
      </c>
      <c r="AH13" t="n">
        <v>112483</v>
      </c>
      <c r="AI13" t="n">
        <v>100908</v>
      </c>
      <c r="AJ13" t="n">
        <v>82745</v>
      </c>
      <c r="AK13" t="n">
        <v>47807</v>
      </c>
    </row>
    <row r="14">
      <c r="A14" s="5" t="inlineStr">
        <is>
          <t>Total operating expense</t>
        </is>
      </c>
      <c r="B14" s="5" t="n">
        <v>-38004</v>
      </c>
      <c r="C14" s="5" t="n">
        <v>-71941</v>
      </c>
      <c r="D14" s="5" t="n">
        <v>-127107</v>
      </c>
      <c r="E14" s="5" t="n">
        <v>-91062</v>
      </c>
      <c r="F14" s="5" t="n">
        <v>-96967</v>
      </c>
      <c r="G14" s="5" t="n">
        <v>-87752</v>
      </c>
      <c r="H14" s="5" t="n">
        <v>-88649</v>
      </c>
      <c r="I14" s="5" t="n">
        <v>-85525</v>
      </c>
      <c r="J14" s="5" t="n">
        <v>-104464</v>
      </c>
      <c r="K14" s="5" t="n">
        <v>-89714</v>
      </c>
      <c r="AA14" t="inlineStr">
        <is>
          <t>Total operating expense</t>
        </is>
      </c>
      <c r="AB14" t="n">
        <v>-89714</v>
      </c>
      <c r="AC14" t="n">
        <v>-104464</v>
      </c>
      <c r="AD14" t="n">
        <v>-85525</v>
      </c>
      <c r="AE14" t="n">
        <v>-88649</v>
      </c>
      <c r="AF14" t="n">
        <v>-87752</v>
      </c>
      <c r="AG14" t="n">
        <v>-96967</v>
      </c>
      <c r="AH14" t="n">
        <v>-91062</v>
      </c>
      <c r="AI14" t="n">
        <v>-127107</v>
      </c>
      <c r="AJ14" t="n">
        <v>-71941</v>
      </c>
      <c r="AK14" t="n">
        <v>-38004</v>
      </c>
    </row>
    <row r="15">
      <c r="A15" s="5" t="inlineStr">
        <is>
          <t>Profit/(loss) for the year</t>
        </is>
      </c>
      <c r="B15" s="5" t="n">
        <v>6361</v>
      </c>
      <c r="C15" s="5" t="n">
        <v>6888</v>
      </c>
      <c r="D15" s="5" t="n">
        <v>-23134</v>
      </c>
      <c r="E15" s="5" t="n">
        <v>14458</v>
      </c>
      <c r="F15" s="5" t="n">
        <v>10055</v>
      </c>
      <c r="G15" s="5" t="n">
        <v>19661</v>
      </c>
      <c r="H15" s="5" t="n">
        <v>25653</v>
      </c>
      <c r="I15" s="5" t="n">
        <v>29200</v>
      </c>
      <c r="J15" s="5" t="n">
        <v>29034</v>
      </c>
      <c r="K15" s="5" t="n">
        <v>-444</v>
      </c>
      <c r="AA15" t="inlineStr">
        <is>
          <t>Profit/(loss) for the year</t>
        </is>
      </c>
      <c r="AB15" t="n">
        <v>-444</v>
      </c>
      <c r="AC15" t="n">
        <v>29034</v>
      </c>
      <c r="AD15" t="n">
        <v>29200</v>
      </c>
      <c r="AE15" t="n">
        <v>25653</v>
      </c>
      <c r="AF15" t="n">
        <v>19661</v>
      </c>
      <c r="AG15" t="n">
        <v>10055</v>
      </c>
      <c r="AH15" t="n">
        <v>14458</v>
      </c>
      <c r="AI15" t="n">
        <v>-23134</v>
      </c>
      <c r="AJ15" t="n">
        <v>6888</v>
      </c>
      <c r="AK15" t="n">
        <v>6361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299440</v>
      </c>
      <c r="C19" s="5" t="n">
        <v>292552</v>
      </c>
      <c r="D19" s="5" t="n">
        <v>345686</v>
      </c>
      <c r="E19" s="5" t="n">
        <v>351228</v>
      </c>
      <c r="F19" s="5" t="n">
        <v>341173</v>
      </c>
      <c r="G19" s="5" t="n">
        <v>322943</v>
      </c>
      <c r="H19" s="5" t="n">
        <v>297290</v>
      </c>
      <c r="I19" s="5" t="n">
        <v>237844</v>
      </c>
      <c r="J19" s="5" t="n">
        <v>208494</v>
      </c>
      <c r="K19" s="5" t="n">
        <v>208623</v>
      </c>
      <c r="AN19" t="inlineStr">
        <is>
          <t>Opening equity</t>
        </is>
      </c>
      <c r="AO19" t="n">
        <v>208623</v>
      </c>
      <c r="AP19" t="n">
        <v>208494</v>
      </c>
      <c r="AQ19" t="n">
        <v>237844</v>
      </c>
      <c r="AR19" t="n">
        <v>297290</v>
      </c>
      <c r="AS19" t="n">
        <v>322943</v>
      </c>
      <c r="AT19" t="n">
        <v>341173</v>
      </c>
      <c r="AU19" t="n">
        <v>351228</v>
      </c>
      <c r="AV19" t="n">
        <v>345686</v>
      </c>
      <c r="AW19" t="n">
        <v>292552</v>
      </c>
      <c r="AX19" t="n">
        <v>299440</v>
      </c>
    </row>
    <row r="20">
      <c r="A20" s="5" t="inlineStr">
        <is>
          <t>Total comprehensive income/(loss) for the year</t>
        </is>
      </c>
      <c r="B20" s="5" t="n">
        <v>6361</v>
      </c>
      <c r="C20" s="5" t="n">
        <v>6888</v>
      </c>
      <c r="D20" s="5" t="n">
        <v>-23134</v>
      </c>
      <c r="E20" s="5" t="n">
        <v>14458</v>
      </c>
      <c r="F20" s="5" t="n">
        <v>10055</v>
      </c>
      <c r="G20" s="5" t="n">
        <v>19661</v>
      </c>
      <c r="H20" s="5" t="n">
        <v>25653</v>
      </c>
      <c r="I20" s="5" t="n">
        <v>29200</v>
      </c>
      <c r="J20" s="5" t="n">
        <v>29350</v>
      </c>
      <c r="K20" s="5" t="n">
        <v>-129</v>
      </c>
      <c r="AN20" t="inlineStr">
        <is>
          <t>Total comprehensive income/(loss) for the year</t>
        </is>
      </c>
      <c r="AO20" t="n">
        <v>-129</v>
      </c>
      <c r="AP20" t="n">
        <v>29350</v>
      </c>
      <c r="AQ20" t="n">
        <v>29200</v>
      </c>
      <c r="AR20" t="n">
        <v>25653</v>
      </c>
      <c r="AS20" t="n">
        <v>19661</v>
      </c>
      <c r="AT20" t="n">
        <v>10055</v>
      </c>
      <c r="AU20" t="n">
        <v>14458</v>
      </c>
      <c r="AV20" t="n">
        <v>-23134</v>
      </c>
      <c r="AW20" t="n">
        <v>6888</v>
      </c>
      <c r="AX20" t="n">
        <v>6361</v>
      </c>
    </row>
    <row r="21">
      <c r="A21" s="5" t="inlineStr">
        <is>
          <t>Other equity movements, net</t>
        </is>
      </c>
      <c r="B21" s="5" t="n">
        <v>0</v>
      </c>
      <c r="C21" s="5" t="n">
        <v>0</v>
      </c>
      <c r="D21" s="5" t="n">
        <v>-30000</v>
      </c>
      <c r="E21" s="5" t="n">
        <v>-20000</v>
      </c>
      <c r="F21" s="5" t="n">
        <v>0</v>
      </c>
      <c r="G21" s="5" t="n">
        <v>-1431</v>
      </c>
      <c r="H21" s="5" t="n">
        <v>0</v>
      </c>
      <c r="I21" s="5" t="n">
        <v>30246</v>
      </c>
      <c r="J21" s="5" t="n">
        <v>0</v>
      </c>
      <c r="K21" s="5" t="n">
        <v>0</v>
      </c>
      <c r="AN21" t="inlineStr">
        <is>
          <t>Other equity movements, net</t>
        </is>
      </c>
      <c r="AO21" t="n">
        <v>0</v>
      </c>
      <c r="AP21" t="n">
        <v>0</v>
      </c>
      <c r="AQ21" t="n">
        <v>30246</v>
      </c>
      <c r="AR21" t="n">
        <v>0</v>
      </c>
      <c r="AS21" t="n">
        <v>-1431</v>
      </c>
      <c r="AT21" t="n">
        <v>0</v>
      </c>
      <c r="AU21" t="n">
        <v>-20000</v>
      </c>
      <c r="AV21" t="n">
        <v>-30000</v>
      </c>
      <c r="AW21" t="n">
        <v>0</v>
      </c>
      <c r="AX21" t="n">
        <v>0</v>
      </c>
    </row>
    <row r="22">
      <c r="A22" s="5" t="inlineStr">
        <is>
          <t>Closing equity</t>
        </is>
      </c>
      <c r="B22" s="5" t="n">
        <v>305801</v>
      </c>
      <c r="C22" s="5" t="n">
        <v>299440</v>
      </c>
      <c r="D22" s="5" t="n">
        <v>292552</v>
      </c>
      <c r="E22" s="5" t="n">
        <v>345686</v>
      </c>
      <c r="F22" s="5" t="n">
        <v>351228</v>
      </c>
      <c r="G22" s="5" t="n">
        <v>341173</v>
      </c>
      <c r="H22" s="5" t="n">
        <v>322943</v>
      </c>
      <c r="I22" s="5" t="n">
        <v>297290</v>
      </c>
      <c r="J22" s="5" t="n">
        <v>237844</v>
      </c>
      <c r="K22" s="5" t="n">
        <v>208494</v>
      </c>
      <c r="AN22" t="inlineStr">
        <is>
          <t>Closing equity</t>
        </is>
      </c>
      <c r="AO22" t="n">
        <v>208494</v>
      </c>
      <c r="AP22" t="n">
        <v>237844</v>
      </c>
      <c r="AQ22" t="n">
        <v>297290</v>
      </c>
      <c r="AR22" t="n">
        <v>322943</v>
      </c>
      <c r="AS22" t="n">
        <v>341173</v>
      </c>
      <c r="AT22" t="n">
        <v>351228</v>
      </c>
      <c r="AU22" t="n">
        <v>345686</v>
      </c>
      <c r="AV22" t="n">
        <v>292552</v>
      </c>
      <c r="AW22" t="n">
        <v>299440</v>
      </c>
      <c r="AX22" t="n">
        <v>305801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flow generated from/(used in) operating activities</t>
        </is>
      </c>
      <c r="B26" s="5" t="n">
        <v>59618</v>
      </c>
      <c r="C26" s="5" t="n">
        <v>320701</v>
      </c>
      <c r="D26" s="5" t="n">
        <v>180409</v>
      </c>
      <c r="E26" s="5" t="n">
        <v>284435</v>
      </c>
      <c r="F26" s="5" t="n">
        <v>-71555</v>
      </c>
      <c r="G26" s="5" t="n">
        <v>46361</v>
      </c>
      <c r="H26" s="5" t="n">
        <v>266443</v>
      </c>
      <c r="I26" s="5" t="n">
        <v>-320398</v>
      </c>
      <c r="J26" s="5" t="n">
        <v>68431</v>
      </c>
      <c r="K26" s="5" t="n">
        <v>57458</v>
      </c>
      <c r="BA26" t="inlineStr">
        <is>
          <t>Net cash flow generated from/(used in) operating activities</t>
        </is>
      </c>
      <c r="BB26" t="n">
        <v>57458</v>
      </c>
      <c r="BC26" t="n">
        <v>68431</v>
      </c>
      <c r="BD26" t="n">
        <v>-320398</v>
      </c>
      <c r="BE26" t="n">
        <v>266443</v>
      </c>
      <c r="BF26" t="n">
        <v>46361</v>
      </c>
      <c r="BG26" t="n">
        <v>-71555</v>
      </c>
      <c r="BH26" t="n">
        <v>284435</v>
      </c>
      <c r="BI26" t="n">
        <v>180409</v>
      </c>
      <c r="BJ26" t="n">
        <v>320701</v>
      </c>
      <c r="BK26" t="n">
        <v>59618</v>
      </c>
    </row>
    <row r="27">
      <c r="A27" s="5" t="inlineStr">
        <is>
          <t>Net cash flow generated from/(used in) investing activities</t>
        </is>
      </c>
      <c r="B27" s="5" t="n">
        <v>539843</v>
      </c>
      <c r="C27" s="5" t="n">
        <v>0</v>
      </c>
      <c r="D27" s="5" t="n">
        <v>-786</v>
      </c>
      <c r="E27" s="5" t="n">
        <v>-3455</v>
      </c>
      <c r="F27" s="5" t="n">
        <v>-3799</v>
      </c>
      <c r="G27" s="5" t="n">
        <v>-6867</v>
      </c>
      <c r="H27" s="5" t="n">
        <v>-3981</v>
      </c>
      <c r="I27" s="5" t="n">
        <v>401</v>
      </c>
      <c r="J27" s="5" t="n">
        <v>-939</v>
      </c>
      <c r="K27" s="5" t="n">
        <v>0</v>
      </c>
      <c r="BA27" t="inlineStr">
        <is>
          <t>Net cash flow generated from/(used in) investing activities</t>
        </is>
      </c>
      <c r="BB27" t="n">
        <v>0</v>
      </c>
      <c r="BC27" t="n">
        <v>-939</v>
      </c>
      <c r="BD27" t="n">
        <v>401</v>
      </c>
      <c r="BE27" t="n">
        <v>-3981</v>
      </c>
      <c r="BF27" t="n">
        <v>-6867</v>
      </c>
      <c r="BG27" t="n">
        <v>-3799</v>
      </c>
      <c r="BH27" t="n">
        <v>-3455</v>
      </c>
      <c r="BI27" t="n">
        <v>-786</v>
      </c>
      <c r="BJ27" t="n">
        <v>0</v>
      </c>
      <c r="BK27" t="n">
        <v>539843</v>
      </c>
    </row>
    <row r="28">
      <c r="A28" s="5" t="inlineStr">
        <is>
          <t>Net cash flow used in financing activities</t>
        </is>
      </c>
      <c r="B28" s="5" t="n">
        <v>-906597</v>
      </c>
      <c r="C28" s="5" t="n">
        <v>-530786</v>
      </c>
      <c r="D28" s="5" t="n">
        <v>-82094</v>
      </c>
      <c r="E28" s="5" t="n">
        <v>-251725</v>
      </c>
      <c r="F28" s="5" t="n">
        <v>-1620</v>
      </c>
      <c r="G28" s="5" t="n">
        <v>-1843</v>
      </c>
      <c r="H28" s="5" t="n">
        <v>-2008</v>
      </c>
      <c r="I28" s="5" t="n">
        <v>59323</v>
      </c>
      <c r="J28" s="5" t="n">
        <v>-867</v>
      </c>
      <c r="K28" s="5" t="n">
        <v>-920</v>
      </c>
      <c r="BA28" t="inlineStr">
        <is>
          <t>Net cash flow used in financing activities</t>
        </is>
      </c>
      <c r="BB28" t="n">
        <v>-920</v>
      </c>
      <c r="BC28" t="n">
        <v>-867</v>
      </c>
      <c r="BD28" t="n">
        <v>59323</v>
      </c>
      <c r="BE28" t="n">
        <v>-2008</v>
      </c>
      <c r="BF28" t="n">
        <v>-1843</v>
      </c>
      <c r="BG28" t="n">
        <v>-1620</v>
      </c>
      <c r="BH28" t="n">
        <v>-251725</v>
      </c>
      <c r="BI28" t="n">
        <v>-82094</v>
      </c>
      <c r="BJ28" t="n">
        <v>-530786</v>
      </c>
      <c r="BK28" t="n">
        <v>-906597</v>
      </c>
    </row>
    <row r="29">
      <c r="A29" s="5" t="inlineStr">
        <is>
          <t>Cash and cash equivalents at the end of the year</t>
        </is>
      </c>
      <c r="B29" s="5" t="n">
        <v>21709</v>
      </c>
      <c r="C29" s="5" t="n">
        <v>341768</v>
      </c>
      <c r="D29" s="5" t="n">
        <v>548659</v>
      </c>
      <c r="E29" s="5" t="n">
        <v>475709</v>
      </c>
      <c r="F29" s="5" t="n">
        <v>408082</v>
      </c>
      <c r="G29" s="5" t="n">
        <v>483717</v>
      </c>
      <c r="H29" s="5" t="n">
        <v>447816</v>
      </c>
      <c r="I29" s="5" t="n">
        <v>197301</v>
      </c>
      <c r="J29" s="5" t="n">
        <v>499549</v>
      </c>
      <c r="K29" s="5" t="n">
        <v>432924</v>
      </c>
      <c r="BA29" t="inlineStr">
        <is>
          <t>Cash and cash equivalents at the end of the year</t>
        </is>
      </c>
      <c r="BB29" t="n">
        <v>432924</v>
      </c>
      <c r="BC29" t="n">
        <v>499549</v>
      </c>
      <c r="BD29" t="n">
        <v>197301</v>
      </c>
      <c r="BE29" t="n">
        <v>447816</v>
      </c>
      <c r="BF29" t="n">
        <v>483717</v>
      </c>
      <c r="BG29" t="n">
        <v>408082</v>
      </c>
      <c r="BH29" t="n">
        <v>475709</v>
      </c>
      <c r="BI29" t="n">
        <v>548659</v>
      </c>
      <c r="BJ29" t="n">
        <v>341768</v>
      </c>
      <c r="BK29" t="n">
        <v>21709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CET1/Tier 1 Ratio</t>
        </is>
      </c>
      <c r="B33" s="6" t="inlineStr">
        <is>
          <t>191%</t>
        </is>
      </c>
      <c r="C33" s="6" t="inlineStr">
        <is>
          <t>45%</t>
        </is>
      </c>
      <c r="D33" s="6" t="inlineStr">
        <is>
          <t>29.15%</t>
        </is>
      </c>
      <c r="E33" s="6" t="inlineStr">
        <is>
          <t>29.39%</t>
        </is>
      </c>
      <c r="F33" s="6" t="inlineStr">
        <is>
          <t>25.09%</t>
        </is>
      </c>
      <c r="G33" s="6" t="inlineStr">
        <is>
          <t>22%</t>
        </is>
      </c>
      <c r="H33" s="6" t="inlineStr">
        <is>
          <t>21.9%</t>
        </is>
      </c>
      <c r="I33" s="6" t="inlineStr">
        <is>
          <t>22.5%</t>
        </is>
      </c>
      <c r="J33" s="6" t="inlineStr">
        <is>
          <t>17.2%</t>
        </is>
      </c>
      <c r="K33" s="6" t="n"/>
    </row>
    <row r="34">
      <c r="A34" s="6" t="inlineStr">
        <is>
          <t>Leverage Ratio</t>
        </is>
      </c>
      <c r="B34" s="6" t="inlineStr">
        <is>
          <t>87%</t>
        </is>
      </c>
      <c r="C34" s="6" t="inlineStr">
        <is>
          <t>17%</t>
        </is>
      </c>
      <c r="D34" s="6" t="inlineStr">
        <is>
          <t>12.09%</t>
        </is>
      </c>
      <c r="E34" s="6" t="inlineStr">
        <is>
          <t>11.40%</t>
        </is>
      </c>
      <c r="F34" s="6" t="inlineStr">
        <is>
          <t>9.30%</t>
        </is>
      </c>
      <c r="G34" s="6" t="inlineStr">
        <is>
          <t>8.07%</t>
        </is>
      </c>
      <c r="H34" s="6" t="inlineStr">
        <is>
          <t>8.47%</t>
        </is>
      </c>
      <c r="I34" s="6" t="inlineStr">
        <is>
          <t>7.8%</t>
        </is>
      </c>
      <c r="J34" s="6" t="inlineStr">
        <is>
          <t>6.3%</t>
        </is>
      </c>
      <c r="K34" s="6" t="n"/>
    </row>
    <row r="35">
      <c r="A35" s="6" t="inlineStr">
        <is>
          <t>LCR</t>
        </is>
      </c>
      <c r="B35" s="6" t="inlineStr">
        <is>
          <t>1,154%</t>
        </is>
      </c>
      <c r="C35" s="6" t="inlineStr">
        <is>
          <t>451%</t>
        </is>
      </c>
      <c r="D35" s="6" t="inlineStr">
        <is>
          <t>554.67%</t>
        </is>
      </c>
      <c r="E35" s="6" t="inlineStr">
        <is>
          <t>216.40%</t>
        </is>
      </c>
      <c r="F35" s="6" t="inlineStr">
        <is>
          <t>216%</t>
        </is>
      </c>
      <c r="G35" s="6" t="n"/>
      <c r="H35" s="6" t="n"/>
      <c r="I35" s="6" t="inlineStr">
        <is>
          <t>154%</t>
        </is>
      </c>
      <c r="J35" s="6" t="n"/>
      <c r="K35" s="6" t="n"/>
    </row>
    <row r="36">
      <c r="A36" s="6" t="inlineStr">
        <is>
          <t>NSFR</t>
        </is>
      </c>
      <c r="B36" s="6" t="inlineStr">
        <is>
          <t>3,600%</t>
        </is>
      </c>
      <c r="C36" s="6" t="inlineStr">
        <is>
          <t>167%</t>
        </is>
      </c>
      <c r="D36" s="6" t="inlineStr">
        <is>
          <t>129.25%</t>
        </is>
      </c>
      <c r="E36" s="6" t="inlineStr">
        <is>
          <t>131.72%</t>
        </is>
      </c>
      <c r="F36" s="6" t="n"/>
      <c r="G36" s="6" t="n"/>
      <c r="H36" s="6" t="n"/>
      <c r="I36" s="6" t="n"/>
      <c r="J36" s="6" t="n"/>
      <c r="K36" s="6" t="n"/>
    </row>
    <row r="38" ht="45" customHeight="1">
      <c r="A38" s="7" t="inlineStr">
        <is>
          <t>Note: FY2025's cash flow figures reflect a major one-off event: the 20 June 2025 Part VII transfer of most of CSUK's business to UBS AG London Branch (a £539,843k cash receipt in investing activities), which also drove RWAs and capital ratios sharply post-transfer. See the Cash Flow Statement sheet's source note for detail. Extended back to FY2016 under HD-026 (2026-09-06); FY2020's 'Other equity movements' includes a -£1,431k correction of error restated in FY2020's own filing (see Statement of Changes in Equity source note), and FY2018's includes both a +£246k IFRS 9 transition adjustment and a +£30,000k capital contribution. Figures are duplicated from the detail sheets for at-a-glance trend viewing.</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Financial Position</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 / cash and due from banks</t>
        </is>
      </c>
      <c r="B5" s="6" t="n">
        <v>21709</v>
      </c>
      <c r="C5" s="6" t="n">
        <v>341768</v>
      </c>
      <c r="D5" s="6" t="n">
        <v>548659</v>
      </c>
      <c r="E5" s="6" t="n">
        <v>475664</v>
      </c>
      <c r="F5" s="6" t="n">
        <v>408064</v>
      </c>
      <c r="G5" s="6" t="n">
        <v>483710</v>
      </c>
      <c r="H5" s="6" t="n">
        <v>447805</v>
      </c>
      <c r="I5" s="6" t="n">
        <v>197292</v>
      </c>
      <c r="J5" s="6" t="n">
        <v>499549</v>
      </c>
      <c r="K5" s="6" t="n">
        <v>432924</v>
      </c>
    </row>
    <row r="6">
      <c r="A6" s="6" t="inlineStr">
        <is>
          <t>Interest-bearing deposits with banks</t>
        </is>
      </c>
      <c r="B6" s="6" t="n"/>
      <c r="C6" s="6" t="n">
        <v>25335</v>
      </c>
      <c r="D6" s="6" t="n">
        <v>17198</v>
      </c>
      <c r="E6" s="6" t="n">
        <v>48748</v>
      </c>
      <c r="F6" s="6" t="n"/>
      <c r="G6" s="6" t="n">
        <v>187482</v>
      </c>
      <c r="H6" s="6" t="n">
        <v>39941</v>
      </c>
      <c r="I6" s="6" t="n">
        <v>74910</v>
      </c>
      <c r="J6" s="6" t="n">
        <v>4885</v>
      </c>
      <c r="K6" s="6" t="n">
        <v>75528</v>
      </c>
    </row>
    <row r="7">
      <c r="A7" s="6" t="inlineStr">
        <is>
          <t>Securities purchased under resale agreements</t>
        </is>
      </c>
      <c r="B7" s="6" t="n">
        <v>328684</v>
      </c>
      <c r="C7" s="6" t="n">
        <v>565944</v>
      </c>
      <c r="D7" s="6" t="n">
        <v>455796</v>
      </c>
      <c r="E7" s="6" t="n">
        <v>562004</v>
      </c>
      <c r="F7" s="6" t="n">
        <v>1048198</v>
      </c>
      <c r="G7" s="6" t="n">
        <v>880396</v>
      </c>
      <c r="H7" s="6" t="n">
        <v>810044</v>
      </c>
      <c r="I7" s="6" t="n">
        <v>1033715</v>
      </c>
      <c r="J7" s="6" t="n">
        <v>601879</v>
      </c>
      <c r="K7" s="6" t="n">
        <v>829694</v>
      </c>
    </row>
    <row r="8">
      <c r="A8" s="6" t="inlineStr">
        <is>
          <t>Trading financial assets mandatorily at FVTPL</t>
        </is>
      </c>
      <c r="B8" s="6" t="n"/>
      <c r="C8" s="6" t="n">
        <v>13944</v>
      </c>
      <c r="D8" s="6" t="n">
        <v>13630</v>
      </c>
      <c r="E8" s="6" t="n">
        <v>18813</v>
      </c>
      <c r="F8" s="6" t="n">
        <v>14333</v>
      </c>
      <c r="G8" s="6" t="n">
        <v>35146</v>
      </c>
      <c r="H8" s="6" t="n">
        <v>8309</v>
      </c>
      <c r="I8" s="6" t="n">
        <v>5993</v>
      </c>
      <c r="J8" s="6" t="n">
        <v>8643</v>
      </c>
      <c r="K8" s="6" t="n">
        <v>16332</v>
      </c>
    </row>
    <row r="9">
      <c r="A9" s="6" t="inlineStr">
        <is>
          <t>Financial assets available for sale</t>
        </is>
      </c>
      <c r="B9" s="6" t="n"/>
      <c r="C9" s="6" t="n"/>
      <c r="D9" s="6" t="n"/>
      <c r="E9" s="6" t="n"/>
      <c r="F9" s="6" t="n"/>
      <c r="G9" s="6" t="n"/>
      <c r="H9" s="6" t="n"/>
      <c r="I9" s="6" t="n">
        <v>0</v>
      </c>
      <c r="J9" s="6" t="n">
        <v>2326</v>
      </c>
      <c r="K9" s="6" t="n">
        <v>2010</v>
      </c>
    </row>
    <row r="10">
      <c r="A10" s="6" t="inlineStr">
        <is>
          <t>Loans and advances, net</t>
        </is>
      </c>
      <c r="B10" s="6" t="n"/>
      <c r="C10" s="6" t="n">
        <v>818949</v>
      </c>
      <c r="D10" s="6" t="n">
        <v>1307573</v>
      </c>
      <c r="E10" s="6" t="n">
        <v>1706528</v>
      </c>
      <c r="F10" s="6" t="n">
        <v>2041139</v>
      </c>
      <c r="G10" s="6" t="n">
        <v>1990006</v>
      </c>
      <c r="H10" s="6" t="n">
        <v>2126766</v>
      </c>
      <c r="I10" s="6" t="n">
        <v>2141288</v>
      </c>
      <c r="J10" s="6" t="n">
        <v>2166554</v>
      </c>
      <c r="K10" s="6" t="n">
        <v>1547855</v>
      </c>
    </row>
    <row r="11">
      <c r="A11" s="6" t="inlineStr">
        <is>
          <t>Current tax assets</t>
        </is>
      </c>
      <c r="B11" s="6" t="n">
        <v>38</v>
      </c>
      <c r="C11" s="6" t="n">
        <v>3057</v>
      </c>
      <c r="D11" s="6" t="n">
        <v>2058</v>
      </c>
      <c r="E11" s="6" t="n"/>
      <c r="F11" s="6" t="n"/>
      <c r="G11" s="6" t="n"/>
      <c r="H11" s="6" t="n">
        <v>0</v>
      </c>
      <c r="I11" s="6" t="n">
        <v>287</v>
      </c>
      <c r="J11" s="6" t="n">
        <v>274</v>
      </c>
      <c r="K11" s="6" t="n">
        <v>287</v>
      </c>
    </row>
    <row r="12">
      <c r="A12" s="6" t="inlineStr">
        <is>
          <t>Other assets</t>
        </is>
      </c>
      <c r="B12" s="6" t="n">
        <v>2097</v>
      </c>
      <c r="C12" s="6" t="n">
        <v>32158</v>
      </c>
      <c r="D12" s="6" t="n">
        <v>46419</v>
      </c>
      <c r="E12" s="6" t="n">
        <v>56795</v>
      </c>
      <c r="F12" s="6" t="n">
        <v>48352</v>
      </c>
      <c r="G12" s="6" t="n">
        <v>46609</v>
      </c>
      <c r="H12" s="6" t="n">
        <v>25239</v>
      </c>
      <c r="I12" s="6" t="n">
        <v>24309</v>
      </c>
      <c r="J12" s="6" t="n">
        <v>24078</v>
      </c>
      <c r="K12" s="6" t="n">
        <v>19010</v>
      </c>
    </row>
    <row r="13">
      <c r="A13" s="6" t="inlineStr">
        <is>
          <t>Deferred tax assets</t>
        </is>
      </c>
      <c r="B13" s="6" t="n"/>
      <c r="C13" s="6" t="n"/>
      <c r="D13" s="6" t="n"/>
      <c r="E13" s="6" t="n">
        <v>3304</v>
      </c>
      <c r="F13" s="6" t="n">
        <v>5041</v>
      </c>
      <c r="G13" s="6" t="n">
        <v>4919</v>
      </c>
      <c r="H13" s="6" t="n">
        <v>5364</v>
      </c>
      <c r="I13" s="6" t="n">
        <v>6603</v>
      </c>
      <c r="J13" s="6" t="n">
        <v>7803</v>
      </c>
      <c r="K13" s="6" t="n">
        <v>1750</v>
      </c>
    </row>
    <row r="14">
      <c r="A14" s="6" t="inlineStr">
        <is>
          <t>Intangible assets</t>
        </is>
      </c>
      <c r="B14" s="6" t="n"/>
      <c r="C14" s="6" t="n"/>
      <c r="D14" s="6" t="n">
        <v>1137</v>
      </c>
      <c r="E14" s="6" t="n">
        <v>13933</v>
      </c>
      <c r="F14" s="6" t="n">
        <v>14044</v>
      </c>
      <c r="G14" s="6" t="n">
        <v>12675</v>
      </c>
      <c r="H14" s="6" t="n">
        <v>6760</v>
      </c>
      <c r="I14" s="6" t="n">
        <v>4195</v>
      </c>
      <c r="J14" s="6" t="n">
        <v>4993</v>
      </c>
      <c r="K14" s="6" t="n">
        <v>7222</v>
      </c>
    </row>
    <row r="15">
      <c r="A15" s="6" t="inlineStr">
        <is>
          <t>Goodwill</t>
        </is>
      </c>
      <c r="B15" s="6" t="n"/>
      <c r="C15" s="6" t="n"/>
      <c r="D15" s="6" t="n"/>
      <c r="E15" s="6" t="n"/>
      <c r="F15" s="6" t="n"/>
      <c r="G15" s="6" t="n">
        <v>13752</v>
      </c>
      <c r="H15" s="6" t="n">
        <v>13752</v>
      </c>
      <c r="I15" s="6" t="n">
        <v>13752</v>
      </c>
      <c r="J15" s="6" t="n">
        <v>13752</v>
      </c>
      <c r="K15" s="6" t="n">
        <v>13752</v>
      </c>
    </row>
    <row r="16">
      <c r="A16" s="5" t="inlineStr">
        <is>
          <t>Total assets</t>
        </is>
      </c>
      <c r="B16" s="5" t="n">
        <v>352528</v>
      </c>
      <c r="C16" s="5" t="n">
        <v>1801155</v>
      </c>
      <c r="D16" s="5" t="n">
        <v>2392470</v>
      </c>
      <c r="E16" s="5" t="n">
        <v>2885789</v>
      </c>
      <c r="F16" s="5" t="n">
        <v>3579171</v>
      </c>
      <c r="G16" s="5" t="n">
        <v>3654695</v>
      </c>
      <c r="H16" s="5" t="n">
        <v>3483980</v>
      </c>
      <c r="I16" s="5" t="n">
        <v>3502344</v>
      </c>
      <c r="J16" s="5" t="n">
        <v>3334736</v>
      </c>
      <c r="K16" s="5" t="n">
        <v>2946364</v>
      </c>
    </row>
    <row r="17">
      <c r="A17" s="5" t="inlineStr">
        <is>
          <t>Liabilities</t>
        </is>
      </c>
      <c r="B17" s="6" t="n"/>
      <c r="C17" s="6" t="n"/>
      <c r="D17" s="6" t="n"/>
      <c r="E17" s="6" t="n"/>
      <c r="F17" s="6" t="n"/>
      <c r="G17" s="6" t="n"/>
      <c r="H17" s="6" t="n"/>
      <c r="I17" s="6" t="n"/>
      <c r="J17" s="6" t="n"/>
      <c r="K17" s="6" t="n"/>
    </row>
    <row r="18">
      <c r="A18" s="6" t="inlineStr">
        <is>
          <t>Deposits</t>
        </is>
      </c>
      <c r="B18" s="6" t="n">
        <v>27218</v>
      </c>
      <c r="C18" s="6" t="n">
        <v>548119</v>
      </c>
      <c r="D18" s="6" t="n">
        <v>654960</v>
      </c>
      <c r="E18" s="6" t="n">
        <v>1094750</v>
      </c>
      <c r="F18" s="6" t="n">
        <v>3118581</v>
      </c>
      <c r="G18" s="6" t="n">
        <v>3183065</v>
      </c>
      <c r="H18" s="6" t="n">
        <v>3040602</v>
      </c>
      <c r="I18" s="6" t="n">
        <v>3087177</v>
      </c>
      <c r="J18" s="6" t="n">
        <v>2990492</v>
      </c>
      <c r="K18" s="6" t="n">
        <v>2635334</v>
      </c>
    </row>
    <row r="19">
      <c r="A19" s="6" t="inlineStr">
        <is>
          <t>Trading financial liabilities mandatorily at FVTPL</t>
        </is>
      </c>
      <c r="B19" s="6" t="n"/>
      <c r="C19" s="6" t="n">
        <v>13849</v>
      </c>
      <c r="D19" s="6" t="n">
        <v>13496</v>
      </c>
      <c r="E19" s="6" t="n">
        <v>18613</v>
      </c>
      <c r="F19" s="6" t="n">
        <v>14023</v>
      </c>
      <c r="G19" s="6" t="n">
        <v>34940</v>
      </c>
      <c r="H19" s="6" t="n">
        <v>8073</v>
      </c>
      <c r="I19" s="6" t="n">
        <v>5784</v>
      </c>
      <c r="J19" s="6" t="n">
        <v>8087</v>
      </c>
      <c r="K19" s="6" t="n">
        <v>15844</v>
      </c>
    </row>
    <row r="20">
      <c r="A20" s="6" t="inlineStr">
        <is>
          <t>Current income tax liability</t>
        </is>
      </c>
      <c r="B20" s="6" t="n">
        <v>6238</v>
      </c>
      <c r="C20" s="6" t="n"/>
      <c r="D20" s="6" t="n"/>
      <c r="E20" s="6" t="n">
        <v>7676</v>
      </c>
      <c r="F20" s="6" t="n">
        <v>4747</v>
      </c>
      <c r="G20" s="6" t="n">
        <v>2267</v>
      </c>
      <c r="H20" s="6" t="n">
        <v>16460</v>
      </c>
      <c r="I20" s="6" t="n">
        <v>22549</v>
      </c>
      <c r="J20" s="6" t="n">
        <v>16176</v>
      </c>
      <c r="K20" s="6" t="n">
        <v>2948</v>
      </c>
    </row>
    <row r="21">
      <c r="A21" s="6" t="inlineStr">
        <is>
          <t>Other liabilities</t>
        </is>
      </c>
      <c r="B21" s="6" t="n">
        <v>3610</v>
      </c>
      <c r="C21" s="6" t="n">
        <v>26128</v>
      </c>
      <c r="D21" s="6" t="n">
        <v>43883</v>
      </c>
      <c r="E21" s="6" t="n">
        <v>34128</v>
      </c>
      <c r="F21" s="6" t="n">
        <v>32883</v>
      </c>
      <c r="G21" s="6" t="n">
        <v>36824</v>
      </c>
      <c r="H21" s="6" t="n">
        <v>38999</v>
      </c>
      <c r="I21" s="6" t="n">
        <v>34100</v>
      </c>
      <c r="J21" s="6" t="n">
        <v>37319</v>
      </c>
      <c r="K21" s="6" t="n">
        <v>36497</v>
      </c>
    </row>
    <row r="22">
      <c r="A22" s="6" t="inlineStr">
        <is>
          <t>Provisions</t>
        </is>
      </c>
      <c r="B22" s="6" t="n"/>
      <c r="C22" s="6" t="n">
        <v>1388</v>
      </c>
      <c r="D22" s="6" t="n">
        <v>1403</v>
      </c>
      <c r="E22" s="6" t="n">
        <v>713</v>
      </c>
      <c r="F22" s="6" t="n">
        <v>2709</v>
      </c>
      <c r="G22" s="6" t="n">
        <v>1426</v>
      </c>
      <c r="H22" s="6" t="n">
        <v>1903</v>
      </c>
      <c r="I22" s="6" t="n">
        <v>444</v>
      </c>
      <c r="J22" s="6" t="n">
        <v>19818</v>
      </c>
      <c r="K22" s="6" t="n">
        <v>22247</v>
      </c>
    </row>
    <row r="23">
      <c r="A23" s="6" t="inlineStr">
        <is>
          <t>Short-term borrowings</t>
        </is>
      </c>
      <c r="B23" s="6" t="n">
        <v>9661</v>
      </c>
      <c r="C23" s="6" t="n">
        <v>857231</v>
      </c>
      <c r="D23" s="6" t="n">
        <v>831176</v>
      </c>
      <c r="E23" s="6" t="n">
        <v>827333</v>
      </c>
      <c r="F23" s="6" t="n"/>
      <c r="G23" s="6" t="n"/>
      <c r="H23" s="6" t="n"/>
      <c r="I23" s="6" t="n"/>
      <c r="J23" s="6" t="n"/>
      <c r="K23" s="6" t="n"/>
    </row>
    <row r="24">
      <c r="A24" s="6" t="inlineStr">
        <is>
          <t>Long term debt</t>
        </is>
      </c>
      <c r="B24" s="6" t="n"/>
      <c r="C24" s="6" t="n">
        <v>55000</v>
      </c>
      <c r="D24" s="6" t="n">
        <v>555000</v>
      </c>
      <c r="E24" s="6" t="n">
        <v>556890</v>
      </c>
      <c r="F24" s="6" t="n">
        <v>55000</v>
      </c>
      <c r="G24" s="6" t="n">
        <v>55000</v>
      </c>
      <c r="H24" s="6" t="n">
        <v>55000</v>
      </c>
      <c r="I24" s="6" t="n">
        <v>55000</v>
      </c>
      <c r="J24" s="6" t="n">
        <v>25000</v>
      </c>
      <c r="K24" s="6" t="n">
        <v>25000</v>
      </c>
    </row>
    <row r="25">
      <c r="A25" s="5" t="inlineStr">
        <is>
          <t>Total liabilities</t>
        </is>
      </c>
      <c r="B25" s="5" t="n">
        <v>46727</v>
      </c>
      <c r="C25" s="5" t="n">
        <v>1501715</v>
      </c>
      <c r="D25" s="5" t="n">
        <v>2099918</v>
      </c>
      <c r="E25" s="5" t="n">
        <v>2540103</v>
      </c>
      <c r="F25" s="5" t="n">
        <v>3227943</v>
      </c>
      <c r="G25" s="5" t="n">
        <v>3313522</v>
      </c>
      <c r="H25" s="5" t="n">
        <v>3161037</v>
      </c>
      <c r="I25" s="5" t="n">
        <v>3205054</v>
      </c>
      <c r="J25" s="5" t="n">
        <v>3096892</v>
      </c>
      <c r="K25" s="5" t="n">
        <v>2737870</v>
      </c>
    </row>
    <row r="26">
      <c r="A26" s="5" t="inlineStr">
        <is>
          <t>Shareholders' equity</t>
        </is>
      </c>
      <c r="B26" s="6" t="n"/>
      <c r="C26" s="6" t="n"/>
      <c r="D26" s="6" t="n"/>
      <c r="E26" s="6" t="n"/>
      <c r="F26" s="6" t="n"/>
      <c r="G26" s="6" t="n"/>
      <c r="H26" s="6" t="n"/>
      <c r="I26" s="6" t="n"/>
      <c r="J26" s="6" t="n"/>
      <c r="K26" s="6" t="n"/>
    </row>
    <row r="27">
      <c r="A27" s="6" t="inlineStr">
        <is>
          <t>Share capital</t>
        </is>
      </c>
      <c r="B27" s="6" t="n">
        <v>245230</v>
      </c>
      <c r="C27" s="6" t="n">
        <v>245230</v>
      </c>
      <c r="D27" s="6" t="n">
        <v>245230</v>
      </c>
      <c r="E27" s="6" t="n">
        <v>245230</v>
      </c>
      <c r="F27" s="6" t="n">
        <v>245230</v>
      </c>
      <c r="G27" s="6" t="n">
        <v>245230</v>
      </c>
      <c r="H27" s="6" t="n">
        <v>245230</v>
      </c>
      <c r="I27" s="6" t="n">
        <v>245230</v>
      </c>
      <c r="J27" s="6" t="n">
        <v>245230</v>
      </c>
      <c r="K27" s="6" t="n">
        <v>245230</v>
      </c>
    </row>
    <row r="28">
      <c r="A28" s="6" t="inlineStr">
        <is>
          <t>Share premium</t>
        </is>
      </c>
      <c r="B28" s="6" t="n">
        <v>11200</v>
      </c>
      <c r="C28" s="6" t="n">
        <v>11200</v>
      </c>
      <c r="D28" s="6" t="n">
        <v>11200</v>
      </c>
      <c r="E28" s="6" t="n">
        <v>11200</v>
      </c>
      <c r="F28" s="6" t="n">
        <v>11200</v>
      </c>
      <c r="G28" s="6" t="n">
        <v>11200</v>
      </c>
      <c r="H28" s="6" t="n">
        <v>11200</v>
      </c>
      <c r="I28" s="6" t="n">
        <v>11200</v>
      </c>
      <c r="J28" s="6" t="n">
        <v>11200</v>
      </c>
      <c r="K28" s="6" t="n">
        <v>11200</v>
      </c>
    </row>
    <row r="29">
      <c r="A29" s="6" t="inlineStr">
        <is>
          <t>Capital contribution</t>
        </is>
      </c>
      <c r="B29" s="6" t="n">
        <v>27500</v>
      </c>
      <c r="C29" s="6" t="n">
        <v>27500</v>
      </c>
      <c r="D29" s="6" t="n">
        <v>27500</v>
      </c>
      <c r="E29" s="6" t="n">
        <v>57500</v>
      </c>
      <c r="F29" s="6" t="n">
        <v>57500</v>
      </c>
      <c r="G29" s="6" t="n">
        <v>57500</v>
      </c>
      <c r="H29" s="6" t="n">
        <v>57500</v>
      </c>
      <c r="I29" s="6" t="n">
        <v>57500</v>
      </c>
      <c r="J29" s="6" t="n">
        <v>27500</v>
      </c>
      <c r="K29" s="6" t="n">
        <v>27500</v>
      </c>
    </row>
    <row r="30">
      <c r="A30" s="6" t="inlineStr">
        <is>
          <t>Accumulated other comprehensive income (AOCI, available-for-sale reserve)</t>
        </is>
      </c>
      <c r="B30" s="6" t="n"/>
      <c r="C30" s="6" t="n"/>
      <c r="D30" s="6" t="n"/>
      <c r="E30" s="6" t="n"/>
      <c r="F30" s="6" t="n"/>
      <c r="G30" s="6" t="n"/>
      <c r="H30" s="6" t="n"/>
      <c r="I30" s="6" t="n">
        <v>0</v>
      </c>
      <c r="J30" s="6" t="n">
        <v>2289</v>
      </c>
      <c r="K30" s="6" t="n">
        <v>1973</v>
      </c>
    </row>
    <row r="31">
      <c r="A31" s="6" t="inlineStr">
        <is>
          <t>Retained earnings</t>
        </is>
      </c>
      <c r="B31" s="6" t="n">
        <v>21871</v>
      </c>
      <c r="C31" s="6" t="n">
        <v>15510</v>
      </c>
      <c r="D31" s="6" t="n">
        <v>8622</v>
      </c>
      <c r="E31" s="6" t="n">
        <v>31756</v>
      </c>
      <c r="F31" s="6" t="n">
        <v>37298</v>
      </c>
      <c r="G31" s="6" t="n">
        <v>27243</v>
      </c>
      <c r="H31" s="6" t="n">
        <v>9013</v>
      </c>
      <c r="I31" s="6" t="n">
        <v>-16640</v>
      </c>
      <c r="J31" s="6" t="n">
        <v>-48375</v>
      </c>
      <c r="K31" s="6" t="n">
        <v>-77409</v>
      </c>
    </row>
    <row r="32">
      <c r="A32" s="5" t="inlineStr">
        <is>
          <t>Total shareholders' equity</t>
        </is>
      </c>
      <c r="B32" s="5" t="n">
        <v>305801</v>
      </c>
      <c r="C32" s="5" t="n">
        <v>299440</v>
      </c>
      <c r="D32" s="5" t="n">
        <v>292552</v>
      </c>
      <c r="E32" s="5" t="n">
        <v>345686</v>
      </c>
      <c r="F32" s="5" t="n">
        <v>351228</v>
      </c>
      <c r="G32" s="5" t="n">
        <v>341173</v>
      </c>
      <c r="H32" s="5" t="n">
        <v>322943</v>
      </c>
      <c r="I32" s="5" t="n">
        <v>297290</v>
      </c>
      <c r="J32" s="5" t="n">
        <v>237844</v>
      </c>
      <c r="K32" s="5" t="n">
        <v>208494</v>
      </c>
    </row>
    <row r="33">
      <c r="A33" s="5" t="inlineStr">
        <is>
          <t>Total liabilities and shareholders' equity</t>
        </is>
      </c>
      <c r="B33" s="5" t="n">
        <v>352528</v>
      </c>
      <c r="C33" s="5" t="n">
        <v>1801155</v>
      </c>
      <c r="D33" s="5" t="n">
        <v>2392470</v>
      </c>
      <c r="E33" s="5" t="n">
        <v>2885789</v>
      </c>
      <c r="F33" s="5" t="n">
        <v>3579171</v>
      </c>
      <c r="G33" s="5" t="n">
        <v>3654695</v>
      </c>
      <c r="H33" s="5" t="n">
        <v>3483980</v>
      </c>
      <c r="I33" s="5" t="n">
        <v>3502344</v>
      </c>
      <c r="J33" s="5" t="n">
        <v>3334736</v>
      </c>
      <c r="K33" s="5" t="n">
        <v>2946364</v>
      </c>
    </row>
    <row r="35" ht="380" customHeight="1">
      <c r="A35"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The 2016 edition was NOT opened in that pass, which was scoped to interior gaps only, so FY2016 stays blank as an UNCHECKED LEAD - a document known to exist and not yet read - rather than as anything resembling an absence.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35:K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Income</t>
        </is>
      </c>
    </row>
    <row r="2">
      <c r="A2" s="2" t="inlineStr">
        <is>
          <t>Entity basis, £'000. No items of other comprehensive income FY2019 onward; FY2016-FY2018 carry a small available-for-sale-reserve OCI movement (+£315k/+£316k/£0k) reflected in the 'Total comprehensive income' row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42437</v>
      </c>
      <c r="C5" s="6" t="n">
        <v>124113</v>
      </c>
      <c r="D5" s="6" t="n">
        <v>156430</v>
      </c>
      <c r="E5" s="6" t="n">
        <v>88830</v>
      </c>
      <c r="F5" s="6" t="n">
        <v>56275</v>
      </c>
      <c r="G5" s="6" t="n">
        <v>74605</v>
      </c>
      <c r="H5" s="6" t="n">
        <v>94730</v>
      </c>
      <c r="I5" s="6" t="n">
        <v>85631</v>
      </c>
      <c r="J5" s="6" t="n">
        <v>65517</v>
      </c>
      <c r="K5" s="6" t="n">
        <v>49992</v>
      </c>
    </row>
    <row r="6">
      <c r="A6" s="6" t="inlineStr">
        <is>
          <t>Interest expense</t>
        </is>
      </c>
      <c r="B6" s="6" t="n">
        <v>-18060</v>
      </c>
      <c r="C6" s="6" t="n">
        <v>-73480</v>
      </c>
      <c r="D6" s="6" t="n">
        <v>-94427</v>
      </c>
      <c r="E6" s="6" t="n">
        <v>-28065</v>
      </c>
      <c r="F6" s="6" t="n">
        <v>-5122</v>
      </c>
      <c r="G6" s="6" t="n">
        <v>-10829</v>
      </c>
      <c r="H6" s="6" t="n">
        <v>-23571</v>
      </c>
      <c r="I6" s="6" t="n">
        <v>-16701</v>
      </c>
      <c r="J6" s="6" t="n">
        <v>-7865</v>
      </c>
      <c r="K6" s="6" t="n">
        <v>-6574</v>
      </c>
    </row>
    <row r="7">
      <c r="A7" s="5" t="inlineStr">
        <is>
          <t>Net interest income</t>
        </is>
      </c>
      <c r="B7" s="5" t="n">
        <v>24377</v>
      </c>
      <c r="C7" s="5" t="n">
        <v>50633</v>
      </c>
      <c r="D7" s="5" t="n">
        <v>62003</v>
      </c>
      <c r="E7" s="5" t="n">
        <v>60765</v>
      </c>
      <c r="F7" s="5" t="n">
        <v>51153</v>
      </c>
      <c r="G7" s="5" t="n">
        <v>63776</v>
      </c>
      <c r="H7" s="5" t="n">
        <v>71159</v>
      </c>
      <c r="I7" s="5" t="n">
        <v>68930</v>
      </c>
      <c r="J7" s="5" t="n">
        <v>57652</v>
      </c>
      <c r="K7" s="5" t="n">
        <v>43418</v>
      </c>
    </row>
    <row r="8">
      <c r="A8" s="6" t="inlineStr">
        <is>
          <t>Commission and fee income</t>
        </is>
      </c>
      <c r="B8" s="6" t="n">
        <v>18904</v>
      </c>
      <c r="C8" s="6" t="n">
        <v>31922</v>
      </c>
      <c r="D8" s="6" t="n">
        <v>42185</v>
      </c>
      <c r="E8" s="6" t="n">
        <v>54048</v>
      </c>
      <c r="F8" s="6" t="n">
        <v>55219</v>
      </c>
      <c r="G8" s="6" t="n">
        <v>52104</v>
      </c>
      <c r="H8" s="6" t="n">
        <v>57538</v>
      </c>
      <c r="I8" s="6" t="n">
        <v>58533</v>
      </c>
      <c r="J8" s="6" t="n">
        <v>57734</v>
      </c>
      <c r="K8" s="6" t="n">
        <v>48959</v>
      </c>
    </row>
    <row r="9">
      <c r="A9" s="6" t="inlineStr">
        <is>
          <t>Commission and fee expense</t>
        </is>
      </c>
      <c r="B9" s="6" t="n">
        <v>-79</v>
      </c>
      <c r="C9" s="6" t="n">
        <v>-737</v>
      </c>
      <c r="D9" s="6" t="n">
        <v>-472</v>
      </c>
      <c r="E9" s="6" t="n">
        <v>-740</v>
      </c>
      <c r="F9" s="6" t="n">
        <v>-1068</v>
      </c>
      <c r="G9" s="6" t="n">
        <v>-1593</v>
      </c>
      <c r="H9" s="6" t="n">
        <v>-2107</v>
      </c>
      <c r="I9" s="6" t="n">
        <v>-3746</v>
      </c>
      <c r="J9" s="6" t="n">
        <v>-3197</v>
      </c>
      <c r="K9" s="6" t="n">
        <v>-2009</v>
      </c>
    </row>
    <row r="10">
      <c r="A10" s="5" t="inlineStr">
        <is>
          <t>Net commission and fee income</t>
        </is>
      </c>
      <c r="B10" s="5" t="n">
        <v>18825</v>
      </c>
      <c r="C10" s="5" t="n">
        <v>31185</v>
      </c>
      <c r="D10" s="5" t="n">
        <v>41713</v>
      </c>
      <c r="E10" s="5" t="n">
        <v>53308</v>
      </c>
      <c r="F10" s="5" t="n">
        <v>54151</v>
      </c>
      <c r="G10" s="5" t="n">
        <v>50511</v>
      </c>
      <c r="H10" s="5" t="n">
        <v>55431</v>
      </c>
      <c r="I10" s="5" t="n">
        <v>54787</v>
      </c>
      <c r="J10" s="5" t="n">
        <v>54537</v>
      </c>
      <c r="K10" s="5" t="n">
        <v>46950</v>
      </c>
    </row>
    <row r="11">
      <c r="A11" s="6" t="inlineStr">
        <is>
          <t>Reversal of/(allowance for) expected credit losses</t>
        </is>
      </c>
      <c r="B11" s="6" t="n">
        <v>489</v>
      </c>
      <c r="C11" s="6" t="n">
        <v>-1526</v>
      </c>
      <c r="D11" s="6" t="n">
        <v>-3167</v>
      </c>
      <c r="E11" s="6" t="n">
        <v>-1754</v>
      </c>
      <c r="F11" s="6" t="n">
        <v>2571</v>
      </c>
      <c r="G11" s="6" t="n">
        <v>-2441</v>
      </c>
      <c r="H11" s="6" t="n">
        <v>-4913</v>
      </c>
      <c r="I11" s="6" t="n">
        <v>214</v>
      </c>
      <c r="J11" s="6" t="n"/>
      <c r="K11" s="6" t="n"/>
    </row>
    <row r="12">
      <c r="A12" s="6" t="inlineStr">
        <is>
          <t>Net gain from financial assets/liabilities at FVTPL</t>
        </is>
      </c>
      <c r="B12" s="6" t="n">
        <v>63</v>
      </c>
      <c r="C12" s="6" t="n">
        <v>151</v>
      </c>
      <c r="D12" s="6" t="n">
        <v>88</v>
      </c>
      <c r="E12" s="6" t="n">
        <v>172</v>
      </c>
      <c r="F12" s="6" t="n">
        <v>195</v>
      </c>
      <c r="G12" s="6" t="n">
        <v>200</v>
      </c>
      <c r="H12" s="6" t="n">
        <v>-219</v>
      </c>
      <c r="I12" s="6" t="n">
        <v>1081</v>
      </c>
      <c r="J12" s="6" t="n"/>
      <c r="K12" s="6" t="n"/>
    </row>
    <row r="13">
      <c r="A13" s="6" t="inlineStr">
        <is>
          <t>Loss from business transfer</t>
        </is>
      </c>
      <c r="B13" s="6" t="n">
        <v>-1278</v>
      </c>
      <c r="C13" s="6" t="n"/>
      <c r="D13" s="6" t="n"/>
      <c r="E13" s="6" t="n"/>
      <c r="F13" s="6" t="n"/>
      <c r="G13" s="6" t="n"/>
      <c r="H13" s="6" t="n"/>
      <c r="I13" s="6" t="n"/>
      <c r="J13" s="6" t="n"/>
      <c r="K13" s="6" t="n"/>
    </row>
    <row r="14">
      <c r="A14" s="6" t="inlineStr">
        <is>
          <t>Other revenue and foreign exchange fluctuations</t>
        </is>
      </c>
      <c r="B14" s="6" t="n">
        <v>5331</v>
      </c>
      <c r="C14" s="6" t="n">
        <v>2302</v>
      </c>
      <c r="D14" s="6" t="n">
        <v>271</v>
      </c>
      <c r="E14" s="6" t="n">
        <v>-8</v>
      </c>
      <c r="F14" s="6" t="n">
        <v>-196</v>
      </c>
      <c r="G14" s="6" t="n">
        <v>873</v>
      </c>
      <c r="H14" s="6" t="n">
        <v>1772</v>
      </c>
      <c r="I14" s="6" t="n">
        <v>393</v>
      </c>
      <c r="J14" s="6" t="n">
        <v>28486</v>
      </c>
      <c r="K14" s="6" t="n">
        <v>544</v>
      </c>
    </row>
    <row r="15">
      <c r="A15" s="5" t="inlineStr">
        <is>
          <t>Net revenue</t>
        </is>
      </c>
      <c r="B15" s="5" t="n">
        <v>47807</v>
      </c>
      <c r="C15" s="5" t="n">
        <v>82745</v>
      </c>
      <c r="D15" s="5" t="n">
        <v>100908</v>
      </c>
      <c r="E15" s="5" t="n">
        <v>112483</v>
      </c>
      <c r="F15" s="5" t="n">
        <v>107874</v>
      </c>
      <c r="G15" s="5" t="n">
        <v>112919</v>
      </c>
      <c r="H15" s="5" t="n">
        <v>123230</v>
      </c>
      <c r="I15" s="5" t="n">
        <v>125405</v>
      </c>
      <c r="J15" s="5" t="n">
        <v>140675</v>
      </c>
      <c r="K15" s="5" t="n">
        <v>90912</v>
      </c>
    </row>
    <row r="16">
      <c r="A16" s="5" t="inlineStr">
        <is>
          <t>Operating expenses</t>
        </is>
      </c>
      <c r="B16" s="6" t="n"/>
      <c r="C16" s="6" t="n"/>
      <c r="D16" s="6" t="n"/>
      <c r="E16" s="6" t="n"/>
      <c r="F16" s="6" t="n"/>
      <c r="G16" s="6" t="n"/>
      <c r="H16" s="6" t="n"/>
      <c r="I16" s="6" t="n"/>
      <c r="J16" s="6" t="n"/>
      <c r="K16" s="6" t="n"/>
    </row>
    <row r="17">
      <c r="A17" s="6" t="inlineStr">
        <is>
          <t>Compensation and benefits</t>
        </is>
      </c>
      <c r="B17" s="6" t="n">
        <v>-11338</v>
      </c>
      <c r="C17" s="6" t="n">
        <v>-36643</v>
      </c>
      <c r="D17" s="6" t="n">
        <v>-42927</v>
      </c>
      <c r="E17" s="6" t="n">
        <v>-39202</v>
      </c>
      <c r="F17" s="6" t="n">
        <v>-41686</v>
      </c>
      <c r="G17" s="6" t="n">
        <v>-47982</v>
      </c>
      <c r="H17" s="6" t="n">
        <v>-51599</v>
      </c>
      <c r="I17" s="6" t="n">
        <v>-49507</v>
      </c>
      <c r="J17" s="6" t="n">
        <v>-52496</v>
      </c>
      <c r="K17" s="6" t="n">
        <v>-49408</v>
      </c>
    </row>
    <row r="18">
      <c r="A18" s="6" t="inlineStr">
        <is>
          <t>General and administrative expenses</t>
        </is>
      </c>
      <c r="B18" s="6" t="n">
        <v>-26666</v>
      </c>
      <c r="C18" s="6" t="n">
        <v>-35298</v>
      </c>
      <c r="D18" s="6" t="n">
        <v>-84180</v>
      </c>
      <c r="E18" s="6" t="n">
        <v>-51860</v>
      </c>
      <c r="F18" s="6" t="n">
        <v>-41529</v>
      </c>
      <c r="G18" s="6" t="n">
        <v>-39770</v>
      </c>
      <c r="H18" s="6" t="n">
        <v>-37050</v>
      </c>
      <c r="I18" s="6" t="n">
        <v>-36018</v>
      </c>
      <c r="J18" s="6" t="n">
        <v>-51968</v>
      </c>
      <c r="K18" s="6" t="n">
        <v>-40306</v>
      </c>
    </row>
    <row r="19">
      <c r="A19" s="6" t="inlineStr">
        <is>
          <t>Impairment on goodwill</t>
        </is>
      </c>
      <c r="B19" s="6" t="n"/>
      <c r="C19" s="6" t="n"/>
      <c r="D19" s="6" t="n"/>
      <c r="E19" s="6" t="n"/>
      <c r="F19" s="6" t="n">
        <v>-13752</v>
      </c>
      <c r="G19" s="6" t="n"/>
      <c r="H19" s="6" t="n"/>
      <c r="I19" s="6" t="n"/>
      <c r="J19" s="6" t="n"/>
      <c r="K19" s="6" t="n"/>
    </row>
    <row r="20">
      <c r="A20" s="5" t="inlineStr">
        <is>
          <t>Total operating expenses</t>
        </is>
      </c>
      <c r="B20" s="5" t="n">
        <v>-38004</v>
      </c>
      <c r="C20" s="5" t="n">
        <v>-71941</v>
      </c>
      <c r="D20" s="5" t="n">
        <v>-127107</v>
      </c>
      <c r="E20" s="5" t="n">
        <v>-91062</v>
      </c>
      <c r="F20" s="5" t="n">
        <v>-96967</v>
      </c>
      <c r="G20" s="5" t="n">
        <v>-87752</v>
      </c>
      <c r="H20" s="5" t="n">
        <v>-88649</v>
      </c>
      <c r="I20" s="5" t="n">
        <v>-85525</v>
      </c>
      <c r="J20" s="5" t="n">
        <v>-104464</v>
      </c>
      <c r="K20" s="5" t="n">
        <v>-89714</v>
      </c>
    </row>
    <row r="21">
      <c r="A21" s="5" t="inlineStr">
        <is>
          <t>Profit/(loss) before tax</t>
        </is>
      </c>
      <c r="B21" s="5" t="n">
        <v>9803</v>
      </c>
      <c r="C21" s="5" t="n">
        <v>10804</v>
      </c>
      <c r="D21" s="5" t="n">
        <v>-26199</v>
      </c>
      <c r="E21" s="5" t="n">
        <v>21421</v>
      </c>
      <c r="F21" s="5" t="n">
        <v>10907</v>
      </c>
      <c r="G21" s="5" t="n">
        <v>25167</v>
      </c>
      <c r="H21" s="5" t="n">
        <v>34581</v>
      </c>
      <c r="I21" s="5" t="n">
        <v>39880</v>
      </c>
      <c r="J21" s="5" t="n">
        <v>36211</v>
      </c>
      <c r="K21" s="5" t="n">
        <v>1198</v>
      </c>
    </row>
    <row r="22">
      <c r="A22" s="6" t="inlineStr">
        <is>
          <t>Income tax benefit/(expense)</t>
        </is>
      </c>
      <c r="B22" s="6" t="n">
        <v>-3442</v>
      </c>
      <c r="C22" s="6" t="n">
        <v>-3916</v>
      </c>
      <c r="D22" s="6" t="n">
        <v>3065</v>
      </c>
      <c r="E22" s="6" t="n">
        <v>-6963</v>
      </c>
      <c r="F22" s="6" t="n">
        <v>-852</v>
      </c>
      <c r="G22" s="6" t="n">
        <v>-5506</v>
      </c>
      <c r="H22" s="6" t="n">
        <v>-8928</v>
      </c>
      <c r="I22" s="6" t="n">
        <v>-10680</v>
      </c>
      <c r="J22" s="6" t="n">
        <v>-7177</v>
      </c>
      <c r="K22" s="6" t="n">
        <v>-1642</v>
      </c>
    </row>
    <row r="23">
      <c r="A23" s="5" t="inlineStr">
        <is>
          <t>Profit/(loss) after tax</t>
        </is>
      </c>
      <c r="B23" s="5" t="n">
        <v>6361</v>
      </c>
      <c r="C23" s="5" t="n">
        <v>6888</v>
      </c>
      <c r="D23" s="5" t="n">
        <v>-23134</v>
      </c>
      <c r="E23" s="5" t="n">
        <v>14458</v>
      </c>
      <c r="F23" s="5" t="n">
        <v>10055</v>
      </c>
      <c r="G23" s="5" t="n">
        <v>19661</v>
      </c>
      <c r="H23" s="5" t="n">
        <v>25653</v>
      </c>
      <c r="I23" s="5" t="n">
        <v>29200</v>
      </c>
      <c r="J23" s="5" t="n">
        <v>29034</v>
      </c>
      <c r="K23" s="5" t="n">
        <v>-444</v>
      </c>
    </row>
    <row r="24">
      <c r="A24" s="5" t="inlineStr">
        <is>
          <t>Total comprehensive income/(loss) for the year</t>
        </is>
      </c>
      <c r="B24" s="5" t="n">
        <v>6361</v>
      </c>
      <c r="C24" s="5" t="n">
        <v>6888</v>
      </c>
      <c r="D24" s="5" t="n">
        <v>-23134</v>
      </c>
      <c r="E24" s="5" t="n">
        <v>14458</v>
      </c>
      <c r="F24" s="5" t="n">
        <v>10055</v>
      </c>
      <c r="G24" s="5" t="n">
        <v>19661</v>
      </c>
      <c r="H24" s="5" t="n">
        <v>25653</v>
      </c>
      <c r="I24" s="5" t="n">
        <v>29200</v>
      </c>
      <c r="J24" s="5" t="n">
        <v>29350</v>
      </c>
      <c r="K24" s="5" t="n">
        <v>-129</v>
      </c>
    </row>
    <row r="26" ht="380" customHeight="1">
      <c r="A26"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The 2016 edition was NOT opened in that pass, which was scoped to interior gaps only, so FY2016 stays blank as an UNCHECKED LEAD - a document known to exist and not yet read - rather than as anything resembling an absence.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26:K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Credit Suisse (UK) Limited — Statement of Changes in Equity</t>
        </is>
      </c>
    </row>
    <row r="2">
      <c r="A2" s="2" t="inlineStr">
        <is>
          <t>£'000, chronological, FY2016-FY2025. Every year's closing balance ties exactly to the Balance Sheet's own Total shareholders' equity and to the next year's own opening balance - no plug row needed, aside from the two explicit bridging rows (IFRS 9 initial application and the FY2020 correction of error) which are themselves fully disclosed movements, not plugs. AOCI (an available-for-sale reserve) only exists FY2016-FY2018 - blank thereafter, not zero, since it stops being a distinct line item rather than being drawn down to nil. See source note at bottom.</t>
        </is>
      </c>
    </row>
    <row r="3">
      <c r="A3" s="4" t="inlineStr">
        <is>
          <t>Movement</t>
        </is>
      </c>
      <c r="B3" s="4" t="inlineStr">
        <is>
          <t>Share capital</t>
        </is>
      </c>
      <c r="C3" s="4" t="inlineStr">
        <is>
          <t>Share premium</t>
        </is>
      </c>
      <c r="D3" s="4" t="inlineStr">
        <is>
          <t>Capital contribution</t>
        </is>
      </c>
      <c r="E3" s="4" t="inlineStr">
        <is>
          <t>AOCI (available-for-sale reserve)</t>
        </is>
      </c>
      <c r="F3" s="4" t="inlineStr">
        <is>
          <t>Retained earnings</t>
        </is>
      </c>
      <c r="G3" s="4" t="inlineStr">
        <is>
          <t>Total equity</t>
        </is>
      </c>
    </row>
    <row r="4">
      <c r="A4" s="5" t="inlineStr">
        <is>
          <t>At 1 January 2016</t>
        </is>
      </c>
      <c r="B4" s="5" t="n">
        <v>245230</v>
      </c>
      <c r="C4" s="5" t="n">
        <v>11200</v>
      </c>
      <c r="D4" s="5" t="n">
        <v>27500</v>
      </c>
      <c r="E4" s="5" t="n">
        <v>1658</v>
      </c>
      <c r="F4" s="5" t="n">
        <v>-76965</v>
      </c>
      <c r="G4" s="5" t="n">
        <v>208623</v>
      </c>
    </row>
    <row r="5">
      <c r="A5" s="6" t="inlineStr">
        <is>
          <t>Total comprehensive loss for the year (FY2016)</t>
        </is>
      </c>
      <c r="B5" s="6" t="n"/>
      <c r="C5" s="6" t="n"/>
      <c r="D5" s="6" t="n"/>
      <c r="E5" s="6" t="n">
        <v>315</v>
      </c>
      <c r="F5" s="6" t="n">
        <v>-444</v>
      </c>
      <c r="G5" s="6" t="n">
        <v>-129</v>
      </c>
    </row>
    <row r="6">
      <c r="A6" s="5" t="inlineStr">
        <is>
          <t>At 31 December 2016</t>
        </is>
      </c>
      <c r="B6" s="5" t="n">
        <v>245230</v>
      </c>
      <c r="C6" s="5" t="n">
        <v>11200</v>
      </c>
      <c r="D6" s="5" t="n">
        <v>27500</v>
      </c>
      <c r="E6" s="5" t="n">
        <v>1973</v>
      </c>
      <c r="F6" s="5" t="n">
        <v>-77409</v>
      </c>
      <c r="G6" s="5" t="n">
        <v>208494</v>
      </c>
    </row>
    <row r="7">
      <c r="A7" s="6" t="inlineStr">
        <is>
          <t>Total comprehensive income for the year (FY2017)</t>
        </is>
      </c>
      <c r="B7" s="6" t="n"/>
      <c r="C7" s="6" t="n"/>
      <c r="D7" s="6" t="n"/>
      <c r="E7" s="6" t="n">
        <v>316</v>
      </c>
      <c r="F7" s="6" t="n">
        <v>29034</v>
      </c>
      <c r="G7" s="6" t="n">
        <v>29350</v>
      </c>
    </row>
    <row r="8">
      <c r="A8" s="5" t="inlineStr">
        <is>
          <t>At 31 December 2017</t>
        </is>
      </c>
      <c r="B8" s="5" t="n">
        <v>245230</v>
      </c>
      <c r="C8" s="5" t="n">
        <v>11200</v>
      </c>
      <c r="D8" s="5" t="n">
        <v>27500</v>
      </c>
      <c r="E8" s="5" t="n">
        <v>2289</v>
      </c>
      <c r="F8" s="5" t="n">
        <v>-48375</v>
      </c>
      <c r="G8" s="5" t="n">
        <v>237844</v>
      </c>
    </row>
    <row r="9">
      <c r="A9" s="6" t="inlineStr">
        <is>
          <t>IFRS 9 initial-application adjustment (net of tax, 1 Jan 2018)</t>
        </is>
      </c>
      <c r="B9" s="6" t="n"/>
      <c r="C9" s="6" t="n"/>
      <c r="D9" s="6" t="n"/>
      <c r="E9" s="6" t="n">
        <v>-2289</v>
      </c>
      <c r="F9" s="6" t="n">
        <v>2535</v>
      </c>
      <c r="G9" s="6" t="n">
        <v>246</v>
      </c>
    </row>
    <row r="10">
      <c r="A10" s="5" t="inlineStr">
        <is>
          <t>Adjusted balance at 1 January 2018</t>
        </is>
      </c>
      <c r="B10" s="5" t="n">
        <v>245230</v>
      </c>
      <c r="C10" s="5" t="n">
        <v>11200</v>
      </c>
      <c r="D10" s="5" t="n">
        <v>27500</v>
      </c>
      <c r="E10" s="5" t="n">
        <v>0</v>
      </c>
      <c r="F10" s="5" t="n">
        <v>-45840</v>
      </c>
      <c r="G10" s="5" t="n">
        <v>238090</v>
      </c>
    </row>
    <row r="11">
      <c r="A11" s="6" t="inlineStr">
        <is>
          <t>Total comprehensive income for the year (FY2018)</t>
        </is>
      </c>
      <c r="B11" s="6" t="n"/>
      <c r="C11" s="6" t="n"/>
      <c r="D11" s="6" t="n"/>
      <c r="E11" s="6" t="n"/>
      <c r="F11" s="6" t="n">
        <v>29200</v>
      </c>
      <c r="G11" s="6" t="n">
        <v>29200</v>
      </c>
    </row>
    <row r="12">
      <c r="A12" s="6" t="inlineStr">
        <is>
          <t>Contribution to Capital reserve (FY2018)</t>
        </is>
      </c>
      <c r="B12" s="6" t="n"/>
      <c r="C12" s="6" t="n"/>
      <c r="D12" s="6" t="n">
        <v>30000</v>
      </c>
      <c r="E12" s="6" t="n"/>
      <c r="F12" s="6" t="n"/>
      <c r="G12" s="6" t="n">
        <v>30000</v>
      </c>
    </row>
    <row r="13">
      <c r="A13" s="5" t="inlineStr">
        <is>
          <t>At 31 December 2018</t>
        </is>
      </c>
      <c r="B13" s="5" t="n">
        <v>245230</v>
      </c>
      <c r="C13" s="5" t="n">
        <v>11200</v>
      </c>
      <c r="D13" s="5" t="n">
        <v>57500</v>
      </c>
      <c r="E13" s="5" t="n">
        <v>0</v>
      </c>
      <c r="F13" s="5" t="n">
        <v>-16640</v>
      </c>
      <c r="G13" s="5" t="n">
        <v>297290</v>
      </c>
    </row>
    <row r="14">
      <c r="A14" s="6" t="inlineStr">
        <is>
          <t>Total comprehensive income for the year (FY2019, as originally reported)</t>
        </is>
      </c>
      <c r="B14" s="6" t="n"/>
      <c r="C14" s="6" t="n"/>
      <c r="D14" s="6" t="n"/>
      <c r="E14" s="6" t="n"/>
      <c r="F14" s="6" t="n">
        <v>25653</v>
      </c>
      <c r="G14" s="6" t="n">
        <v>25653</v>
      </c>
    </row>
    <row r="15">
      <c r="A15" s="5" t="inlineStr">
        <is>
          <t>At 31 December 2019 (as originally reported)</t>
        </is>
      </c>
      <c r="B15" s="5" t="n">
        <v>245230</v>
      </c>
      <c r="C15" s="5" t="n">
        <v>11200</v>
      </c>
      <c r="D15" s="5" t="n">
        <v>57500</v>
      </c>
      <c r="E15" s="5" t="n">
        <v>0</v>
      </c>
      <c r="F15" s="5" t="n">
        <v>9013</v>
      </c>
      <c r="G15" s="5" t="n">
        <v>322943</v>
      </c>
    </row>
    <row r="16">
      <c r="A16" s="6" t="inlineStr">
        <is>
          <t>Correction of error, net of tax (per FY2020's own filing, not otherwise explained)</t>
        </is>
      </c>
      <c r="B16" s="6" t="n"/>
      <c r="C16" s="6" t="n"/>
      <c r="D16" s="6" t="n"/>
      <c r="E16" s="6" t="n"/>
      <c r="F16" s="6" t="n">
        <v>-1431</v>
      </c>
      <c r="G16" s="6" t="n">
        <v>-1431</v>
      </c>
    </row>
    <row r="17">
      <c r="A17" s="5" t="inlineStr">
        <is>
          <t>Restated balance at 1 January 2020</t>
        </is>
      </c>
      <c r="B17" s="5" t="n">
        <v>245230</v>
      </c>
      <c r="C17" s="5" t="n">
        <v>11200</v>
      </c>
      <c r="D17" s="5" t="n">
        <v>57500</v>
      </c>
      <c r="E17" s="5" t="n">
        <v>0</v>
      </c>
      <c r="F17" s="5" t="n">
        <v>7582</v>
      </c>
      <c r="G17" s="5" t="n">
        <v>321512</v>
      </c>
    </row>
    <row r="18">
      <c r="A18" s="6" t="inlineStr">
        <is>
          <t>Total comprehensive income for the year (FY2020)</t>
        </is>
      </c>
      <c r="B18" s="6" t="n"/>
      <c r="C18" s="6" t="n"/>
      <c r="D18" s="6" t="n"/>
      <c r="E18" s="6" t="n"/>
      <c r="F18" s="6" t="n">
        <v>19661</v>
      </c>
      <c r="G18" s="6" t="n">
        <v>19661</v>
      </c>
    </row>
    <row r="19">
      <c r="A19" s="5" t="inlineStr">
        <is>
          <t>At 31 December 2020</t>
        </is>
      </c>
      <c r="B19" s="5" t="n">
        <v>245230</v>
      </c>
      <c r="C19" s="5" t="n">
        <v>11200</v>
      </c>
      <c r="D19" s="5" t="n">
        <v>57500</v>
      </c>
      <c r="E19" s="5" t="n">
        <v>0</v>
      </c>
      <c r="F19" s="5" t="n">
        <v>27243</v>
      </c>
      <c r="G19" s="5" t="n">
        <v>341173</v>
      </c>
    </row>
    <row r="20">
      <c r="A20" s="5" t="inlineStr">
        <is>
          <t>At 1 January 2021</t>
        </is>
      </c>
      <c r="B20" s="5" t="n">
        <v>245230</v>
      </c>
      <c r="C20" s="5" t="n">
        <v>11200</v>
      </c>
      <c r="D20" s="5" t="n">
        <v>57500</v>
      </c>
      <c r="E20" s="5" t="n"/>
      <c r="F20" s="5" t="n">
        <v>27243</v>
      </c>
      <c r="G20" s="5" t="n">
        <v>341173</v>
      </c>
    </row>
    <row r="21">
      <c r="A21" s="6" t="inlineStr">
        <is>
          <t>Total comprehensive income for the year (FY2021)</t>
        </is>
      </c>
      <c r="B21" s="6" t="n"/>
      <c r="C21" s="6" t="n"/>
      <c r="D21" s="6" t="n"/>
      <c r="E21" s="6" t="n"/>
      <c r="F21" s="6" t="n">
        <v>10055</v>
      </c>
      <c r="G21" s="6" t="n">
        <v>10055</v>
      </c>
    </row>
    <row r="22">
      <c r="A22" s="5" t="inlineStr">
        <is>
          <t>At 31 December 2021</t>
        </is>
      </c>
      <c r="B22" s="5" t="n">
        <v>245230</v>
      </c>
      <c r="C22" s="5" t="n">
        <v>11200</v>
      </c>
      <c r="D22" s="5" t="n">
        <v>57500</v>
      </c>
      <c r="E22" s="5" t="n"/>
      <c r="F22" s="5" t="n">
        <v>37298</v>
      </c>
      <c r="G22" s="5" t="n">
        <v>351228</v>
      </c>
    </row>
    <row r="23">
      <c r="A23" s="6" t="inlineStr">
        <is>
          <t>Total comprehensive income for the year (FY2022)</t>
        </is>
      </c>
      <c r="B23" s="6" t="n"/>
      <c r="C23" s="6" t="n"/>
      <c r="D23" s="6" t="n"/>
      <c r="E23" s="6" t="n"/>
      <c r="F23" s="6" t="n">
        <v>14458</v>
      </c>
      <c r="G23" s="6" t="n">
        <v>14458</v>
      </c>
    </row>
    <row r="24">
      <c r="A24" s="6" t="inlineStr">
        <is>
          <t>Dividend paid (FY2022)</t>
        </is>
      </c>
      <c r="B24" s="6" t="n"/>
      <c r="C24" s="6" t="n"/>
      <c r="D24" s="6" t="n"/>
      <c r="E24" s="6" t="n"/>
      <c r="F24" s="6" t="n">
        <v>-20000</v>
      </c>
      <c r="G24" s="6" t="n">
        <v>-20000</v>
      </c>
    </row>
    <row r="25">
      <c r="A25" s="5" t="inlineStr">
        <is>
          <t>At 31 December 2022</t>
        </is>
      </c>
      <c r="B25" s="5" t="n">
        <v>245230</v>
      </c>
      <c r="C25" s="5" t="n">
        <v>11200</v>
      </c>
      <c r="D25" s="5" t="n">
        <v>57500</v>
      </c>
      <c r="E25" s="5" t="n"/>
      <c r="F25" s="5" t="n">
        <v>31756</v>
      </c>
      <c r="G25" s="5" t="n">
        <v>345686</v>
      </c>
    </row>
    <row r="26">
      <c r="A26" s="6" t="inlineStr">
        <is>
          <t>Total comprehensive loss for the year (FY2023)</t>
        </is>
      </c>
      <c r="B26" s="6" t="n"/>
      <c r="C26" s="6" t="n"/>
      <c r="D26" s="6" t="n"/>
      <c r="E26" s="6" t="n"/>
      <c r="F26" s="6" t="n">
        <v>-23134</v>
      </c>
      <c r="G26" s="6" t="n">
        <v>-23134</v>
      </c>
    </row>
    <row r="27">
      <c r="A27" s="6" t="inlineStr">
        <is>
          <t>Dividend paid (FY2023)</t>
        </is>
      </c>
      <c r="B27" s="6" t="n"/>
      <c r="C27" s="6" t="n"/>
      <c r="D27" s="6" t="n">
        <v>-30000</v>
      </c>
      <c r="E27" s="6" t="n"/>
      <c r="F27" s="6" t="n"/>
      <c r="G27" s="6" t="n">
        <v>-30000</v>
      </c>
    </row>
    <row r="28">
      <c r="A28" s="5" t="inlineStr">
        <is>
          <t>At 31 December 2023</t>
        </is>
      </c>
      <c r="B28" s="5" t="n">
        <v>245230</v>
      </c>
      <c r="C28" s="5" t="n">
        <v>11200</v>
      </c>
      <c r="D28" s="5" t="n">
        <v>27500</v>
      </c>
      <c r="E28" s="5" t="n"/>
      <c r="F28" s="5" t="n">
        <v>8622</v>
      </c>
      <c r="G28" s="5" t="n">
        <v>292552</v>
      </c>
    </row>
    <row r="29">
      <c r="A29" s="6" t="inlineStr">
        <is>
          <t>Total comprehensive income for the year (FY2024)</t>
        </is>
      </c>
      <c r="B29" s="6" t="n"/>
      <c r="C29" s="6" t="n"/>
      <c r="D29" s="6" t="n"/>
      <c r="E29" s="6" t="n"/>
      <c r="F29" s="6" t="n">
        <v>6888</v>
      </c>
      <c r="G29" s="6" t="n">
        <v>6888</v>
      </c>
    </row>
    <row r="30">
      <c r="A30" s="5" t="inlineStr">
        <is>
          <t>At 31 December 2024</t>
        </is>
      </c>
      <c r="B30" s="5" t="n">
        <v>245230</v>
      </c>
      <c r="C30" s="5" t="n">
        <v>11200</v>
      </c>
      <c r="D30" s="5" t="n">
        <v>27500</v>
      </c>
      <c r="E30" s="5" t="n"/>
      <c r="F30" s="5" t="n">
        <v>15510</v>
      </c>
      <c r="G30" s="5" t="n">
        <v>299440</v>
      </c>
    </row>
    <row r="31">
      <c r="A31" s="6" t="inlineStr">
        <is>
          <t>Total comprehensive income for the year (FY2025)</t>
        </is>
      </c>
      <c r="B31" s="6" t="n"/>
      <c r="C31" s="6" t="n"/>
      <c r="D31" s="6" t="n"/>
      <c r="E31" s="6" t="n"/>
      <c r="F31" s="6" t="n">
        <v>6361</v>
      </c>
      <c r="G31" s="6" t="n">
        <v>6361</v>
      </c>
    </row>
    <row r="32">
      <c r="A32" s="5" t="inlineStr">
        <is>
          <t>At 31 December 2025</t>
        </is>
      </c>
      <c r="B32" s="5" t="n">
        <v>245230</v>
      </c>
      <c r="C32" s="5" t="n">
        <v>11200</v>
      </c>
      <c r="D32" s="5" t="n">
        <v>27500</v>
      </c>
      <c r="E32" s="5" t="n"/>
      <c r="F32" s="5" t="n">
        <v>21871</v>
      </c>
      <c r="G32" s="5" t="n">
        <v>305801</v>
      </c>
    </row>
    <row r="34" ht="150" customHeight="1">
      <c r="A34"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The 2016 edition was NOT opened in that pass, which was scoped to interior gaps only, so FY2016 stays blank as an UNCHECKED LEAD - a document known to exist and not yet read - rather than as anything resembling an absence.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34:G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Cash Flows</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 for the year</t>
        </is>
      </c>
      <c r="B5" s="6" t="n">
        <v>9803</v>
      </c>
      <c r="C5" s="6" t="n">
        <v>10804</v>
      </c>
      <c r="D5" s="6" t="n">
        <v>-26199</v>
      </c>
      <c r="E5" s="6" t="n">
        <v>21421</v>
      </c>
      <c r="F5" s="6" t="n">
        <v>10907</v>
      </c>
      <c r="G5" s="6" t="n">
        <v>25167</v>
      </c>
      <c r="H5" s="6" t="n">
        <v>34581</v>
      </c>
      <c r="I5" s="6" t="n">
        <v>39880</v>
      </c>
      <c r="J5" s="6" t="n">
        <v>36211</v>
      </c>
      <c r="K5" s="6" t="n">
        <v>1198</v>
      </c>
    </row>
    <row r="6">
      <c r="A6" s="6" t="inlineStr">
        <is>
          <t>Loss from the business transfer</t>
        </is>
      </c>
      <c r="B6" s="6" t="n">
        <v>1278</v>
      </c>
      <c r="C6" s="6" t="n"/>
      <c r="D6" s="6" t="n"/>
      <c r="E6" s="6" t="n"/>
      <c r="F6" s="6" t="n"/>
      <c r="G6" s="6" t="n"/>
      <c r="H6" s="6" t="n"/>
      <c r="I6" s="6" t="n"/>
      <c r="J6" s="6" t="n"/>
      <c r="K6" s="6" t="n"/>
    </row>
    <row r="7">
      <c r="A7" s="6" t="inlineStr">
        <is>
          <t>Amortisation and impairment of intangible assets</t>
        </is>
      </c>
      <c r="B7" s="6" t="n"/>
      <c r="C7" s="6" t="n">
        <v>1137</v>
      </c>
      <c r="D7" s="6" t="n">
        <v>13582</v>
      </c>
      <c r="E7" s="6" t="n">
        <v>3566</v>
      </c>
      <c r="F7" s="6" t="n">
        <v>1852</v>
      </c>
      <c r="G7" s="6" t="n">
        <v>952</v>
      </c>
      <c r="H7" s="6" t="n">
        <v>1416</v>
      </c>
      <c r="I7" s="6" t="n">
        <v>3265</v>
      </c>
      <c r="J7" s="6" t="n">
        <v>3168</v>
      </c>
      <c r="K7" s="6" t="n">
        <v>3168</v>
      </c>
    </row>
    <row r="8">
      <c r="A8" s="6" t="inlineStr">
        <is>
          <t>Impairment on goodwill</t>
        </is>
      </c>
      <c r="B8" s="6" t="n"/>
      <c r="C8" s="6" t="n"/>
      <c r="D8" s="6" t="n"/>
      <c r="E8" s="6" t="n"/>
      <c r="F8" s="6" t="n">
        <v>13752</v>
      </c>
      <c r="G8" s="6" t="n"/>
      <c r="H8" s="6" t="n"/>
      <c r="I8" s="6" t="n"/>
      <c r="J8" s="6" t="n"/>
      <c r="K8" s="6" t="n"/>
    </row>
    <row r="9">
      <c r="A9" s="6" t="inlineStr">
        <is>
          <t>Gain on sale of financial assets, net of withholding tax</t>
        </is>
      </c>
      <c r="B9" s="6" t="n"/>
      <c r="C9" s="6" t="n"/>
      <c r="D9" s="6" t="n"/>
      <c r="E9" s="6" t="n"/>
      <c r="F9" s="6" t="n"/>
      <c r="G9" s="6" t="n"/>
      <c r="H9" s="6" t="n"/>
      <c r="I9" s="6" t="n">
        <v>-542</v>
      </c>
      <c r="J9" s="6" t="n"/>
      <c r="K9" s="6" t="n"/>
    </row>
    <row r="10">
      <c r="A10" s="6" t="inlineStr">
        <is>
          <t>Accrued interest on long term debt</t>
        </is>
      </c>
      <c r="B10" s="6" t="n">
        <v>1836</v>
      </c>
      <c r="C10" s="6" t="n">
        <v>14677</v>
      </c>
      <c r="D10" s="6" t="n">
        <v>34049</v>
      </c>
      <c r="E10" s="6" t="n">
        <v>12300</v>
      </c>
      <c r="F10" s="6" t="n">
        <v>1635</v>
      </c>
      <c r="G10" s="6" t="n">
        <v>1794</v>
      </c>
      <c r="H10" s="6" t="n">
        <v>2008</v>
      </c>
      <c r="I10" s="6" t="n">
        <v>720</v>
      </c>
      <c r="J10" s="6" t="n">
        <v>860</v>
      </c>
      <c r="K10" s="6" t="n">
        <v>909</v>
      </c>
    </row>
    <row r="11">
      <c r="A11" s="6" t="inlineStr">
        <is>
          <t>Accrued interest on short-term borrowings</t>
        </is>
      </c>
      <c r="B11" s="6" t="n">
        <v>12765</v>
      </c>
      <c r="C11" s="6" t="n">
        <v>40087</v>
      </c>
      <c r="D11" s="6" t="n">
        <v>44712</v>
      </c>
      <c r="E11" s="6" t="n">
        <v>8822</v>
      </c>
      <c r="F11" s="6" t="n"/>
      <c r="G11" s="6" t="n"/>
      <c r="H11" s="6" t="n"/>
      <c r="I11" s="6" t="n"/>
      <c r="J11" s="6" t="n"/>
      <c r="K11" s="6" t="n"/>
    </row>
    <row r="12">
      <c r="A12" s="6" t="inlineStr">
        <is>
          <t>Deferred fee income on loans</t>
        </is>
      </c>
      <c r="B12" s="6" t="n">
        <v>-499</v>
      </c>
      <c r="C12" s="6" t="n">
        <v>-2784</v>
      </c>
      <c r="D12" s="6" t="n">
        <v>-3102</v>
      </c>
      <c r="E12" s="6" t="n">
        <v>-3821</v>
      </c>
      <c r="F12" s="6" t="n"/>
      <c r="G12" s="6" t="n"/>
      <c r="H12" s="6" t="n"/>
      <c r="I12" s="6" t="n"/>
      <c r="J12" s="6" t="n"/>
      <c r="K12" s="6" t="n"/>
    </row>
    <row r="13">
      <c r="A13" s="6" t="inlineStr">
        <is>
          <t>Foreign exchange (gain)/loss</t>
        </is>
      </c>
      <c r="B13" s="6" t="n">
        <v>-2005</v>
      </c>
      <c r="C13" s="6" t="n">
        <v>-1583</v>
      </c>
      <c r="D13" s="6" t="n">
        <v>1721</v>
      </c>
      <c r="E13" s="6" t="n">
        <v>-2954</v>
      </c>
      <c r="F13" s="6" t="n">
        <v>-1339</v>
      </c>
      <c r="G13" s="6" t="n">
        <v>-6037</v>
      </c>
      <c r="H13" s="6" t="n">
        <v>9943</v>
      </c>
      <c r="I13" s="6" t="n">
        <v>-13</v>
      </c>
      <c r="J13" s="6" t="n">
        <v>12</v>
      </c>
      <c r="K13" s="6" t="n">
        <v>-41</v>
      </c>
    </row>
    <row r="14">
      <c r="A14" s="6" t="inlineStr">
        <is>
          <t>Share based Compensation (charge)/reversal</t>
        </is>
      </c>
      <c r="B14" s="6" t="n"/>
      <c r="C14" s="6" t="n">
        <v>-385</v>
      </c>
      <c r="D14" s="6" t="n">
        <v>394</v>
      </c>
      <c r="E14" s="6" t="n">
        <v>-40</v>
      </c>
      <c r="F14" s="6" t="n"/>
      <c r="G14" s="6" t="n"/>
      <c r="H14" s="6" t="n"/>
      <c r="I14" s="6" t="n"/>
      <c r="J14" s="6" t="n"/>
      <c r="K14" s="6" t="n"/>
    </row>
    <row r="15">
      <c r="A15" s="6" t="inlineStr">
        <is>
          <t>Allowance for expected credit losses (ECL)</t>
        </is>
      </c>
      <c r="B15" s="6" t="n">
        <v>-489</v>
      </c>
      <c r="C15" s="6" t="n">
        <v>1526</v>
      </c>
      <c r="D15" s="6" t="n">
        <v>3094</v>
      </c>
      <c r="E15" s="6" t="n">
        <v>1754</v>
      </c>
      <c r="F15" s="6" t="n">
        <v>-2571</v>
      </c>
      <c r="G15" s="6" t="n">
        <v>2441</v>
      </c>
      <c r="H15" s="6" t="n">
        <v>4913</v>
      </c>
      <c r="I15" s="6" t="n">
        <v>-214</v>
      </c>
      <c r="J15" s="6" t="n"/>
      <c r="K15" s="6" t="n"/>
    </row>
    <row r="16">
      <c r="A16" s="5" t="inlineStr">
        <is>
          <t>Cash generated before changes in operating assets and liabilities</t>
        </is>
      </c>
      <c r="B16" s="5" t="n">
        <v>22689</v>
      </c>
      <c r="C16" s="5" t="n">
        <v>63479</v>
      </c>
      <c r="D16" s="5" t="n">
        <v>68251</v>
      </c>
      <c r="E16" s="5" t="n">
        <v>41048</v>
      </c>
      <c r="F16" s="5" t="n">
        <v>24236</v>
      </c>
      <c r="G16" s="5" t="n">
        <v>24317</v>
      </c>
      <c r="H16" s="5" t="n">
        <v>52861</v>
      </c>
      <c r="I16" s="5" t="n">
        <v>43096</v>
      </c>
      <c r="J16" s="5" t="n">
        <v>40251</v>
      </c>
      <c r="K16" s="5" t="n">
        <v>5234</v>
      </c>
    </row>
    <row r="17">
      <c r="A17" s="6" t="inlineStr">
        <is>
          <t>Securities purchased under resale agreements</t>
        </is>
      </c>
      <c r="B17" s="6" t="n">
        <v>237260</v>
      </c>
      <c r="C17" s="6" t="n">
        <v>-110148</v>
      </c>
      <c r="D17" s="6" t="n">
        <v>106208</v>
      </c>
      <c r="E17" s="6" t="n">
        <v>486194</v>
      </c>
      <c r="F17" s="6" t="n">
        <v>-167802</v>
      </c>
      <c r="G17" s="6" t="n">
        <v>-70352</v>
      </c>
      <c r="H17" s="6" t="n">
        <v>223671</v>
      </c>
      <c r="I17" s="6" t="n">
        <v>-431836</v>
      </c>
      <c r="J17" s="6" t="n">
        <v>227815</v>
      </c>
      <c r="K17" s="6" t="n">
        <v>-11756</v>
      </c>
    </row>
    <row r="18">
      <c r="A18" s="6" t="inlineStr">
        <is>
          <t>Trading financial assets mandatorily at fair value through profit or loss</t>
        </is>
      </c>
      <c r="B18" s="6" t="n">
        <v>13944</v>
      </c>
      <c r="C18" s="6" t="n">
        <v>-314</v>
      </c>
      <c r="D18" s="6" t="n">
        <v>5183</v>
      </c>
      <c r="E18" s="6" t="n">
        <v>-4480</v>
      </c>
      <c r="F18" s="6" t="n">
        <v>20813</v>
      </c>
      <c r="G18" s="6" t="n">
        <v>-26837</v>
      </c>
      <c r="H18" s="6" t="n">
        <v>-2316</v>
      </c>
      <c r="I18" s="6" t="n">
        <v>2650</v>
      </c>
      <c r="J18" s="6" t="n">
        <v>7689</v>
      </c>
      <c r="K18" s="6" t="n">
        <v>8665</v>
      </c>
    </row>
    <row r="19">
      <c r="A19" s="6" t="inlineStr">
        <is>
          <t>Loans and advances</t>
        </is>
      </c>
      <c r="B19" s="6" t="n">
        <v>-39272</v>
      </c>
      <c r="C19" s="6" t="n">
        <v>489850</v>
      </c>
      <c r="D19" s="6" t="n">
        <v>398930</v>
      </c>
      <c r="E19" s="6" t="n">
        <v>336715</v>
      </c>
      <c r="F19" s="6" t="n">
        <v>-48586</v>
      </c>
      <c r="G19" s="6" t="n">
        <v>134342</v>
      </c>
      <c r="H19" s="6" t="n">
        <v>9605</v>
      </c>
      <c r="I19" s="6" t="n">
        <v>25862</v>
      </c>
      <c r="J19" s="6" t="n">
        <v>-618699</v>
      </c>
      <c r="K19" s="6" t="n">
        <v>-224159</v>
      </c>
    </row>
    <row r="20">
      <c r="A20" s="6" t="inlineStr">
        <is>
          <t>Interest bearing deposits with banks (excluding ECL)</t>
        </is>
      </c>
      <c r="B20" s="6" t="n">
        <v>25338</v>
      </c>
      <c r="C20" s="6" t="n">
        <v>-8136</v>
      </c>
      <c r="D20" s="6" t="n">
        <v>31552</v>
      </c>
      <c r="E20" s="6" t="n">
        <v>-48754</v>
      </c>
      <c r="F20" s="6" t="n">
        <v>187491</v>
      </c>
      <c r="G20" s="6" t="n">
        <v>-147539</v>
      </c>
      <c r="H20" s="6" t="n">
        <v>34968</v>
      </c>
      <c r="I20" s="6" t="n">
        <v>-28461</v>
      </c>
      <c r="J20" s="6" t="n">
        <v>70643</v>
      </c>
      <c r="K20" s="6" t="n">
        <v>-27166</v>
      </c>
    </row>
    <row r="21">
      <c r="A21" s="6" t="inlineStr">
        <is>
          <t>Other assets</t>
        </is>
      </c>
      <c r="B21" s="6" t="n">
        <v>17904</v>
      </c>
      <c r="C21" s="6" t="n">
        <v>13274</v>
      </c>
      <c r="D21" s="6" t="n">
        <v>8322</v>
      </c>
      <c r="E21" s="6" t="n">
        <v>-8451</v>
      </c>
      <c r="F21" s="6" t="n">
        <v>-1141</v>
      </c>
      <c r="G21" s="6" t="n">
        <v>-13605</v>
      </c>
      <c r="H21" s="6" t="n">
        <v>-923</v>
      </c>
      <c r="I21" s="6" t="n">
        <v>-266</v>
      </c>
      <c r="J21" s="6" t="n">
        <v>-5068</v>
      </c>
      <c r="K21" s="6" t="n">
        <v>-1161</v>
      </c>
    </row>
    <row r="22">
      <c r="A22" s="5" t="inlineStr">
        <is>
          <t>Net decrease/(increase) in operating assets</t>
        </is>
      </c>
      <c r="B22" s="5" t="n">
        <v>255174</v>
      </c>
      <c r="C22" s="5" t="n">
        <v>384526</v>
      </c>
      <c r="D22" s="5" t="n">
        <v>550195</v>
      </c>
      <c r="E22" s="5" t="n">
        <v>761224</v>
      </c>
      <c r="F22" s="5" t="n">
        <v>-9225</v>
      </c>
      <c r="G22" s="5" t="n">
        <v>-123991</v>
      </c>
      <c r="H22" s="5" t="n">
        <v>265005</v>
      </c>
      <c r="I22" s="5" t="n">
        <v>-432051</v>
      </c>
      <c r="J22" s="5" t="n">
        <v>-317620</v>
      </c>
      <c r="K22" s="5" t="n">
        <v>-255577</v>
      </c>
    </row>
    <row r="23">
      <c r="A23" s="6" t="inlineStr">
        <is>
          <t>Deposits</t>
        </is>
      </c>
      <c r="B23" s="6" t="n">
        <v>-195682</v>
      </c>
      <c r="C23" s="6" t="n">
        <v>-106841</v>
      </c>
      <c r="D23" s="6" t="n">
        <v>-439790</v>
      </c>
      <c r="E23" s="6" t="n">
        <v>-517522</v>
      </c>
      <c r="F23" s="6" t="n">
        <v>-64484</v>
      </c>
      <c r="G23" s="6" t="n">
        <v>142463</v>
      </c>
      <c r="H23" s="6" t="n">
        <v>-46575</v>
      </c>
      <c r="I23" s="6" t="n">
        <v>96685</v>
      </c>
      <c r="J23" s="6" t="n">
        <v>355158</v>
      </c>
      <c r="K23" s="6" t="n">
        <v>298670</v>
      </c>
    </row>
    <row r="24">
      <c r="A24" s="6" t="inlineStr">
        <is>
          <t>Trading financial liabilities mandatorily at fair value through profit or loss</t>
        </is>
      </c>
      <c r="B24" s="6" t="n">
        <v>-13849</v>
      </c>
      <c r="C24" s="6" t="n">
        <v>353</v>
      </c>
      <c r="D24" s="6" t="n">
        <v>-5117</v>
      </c>
      <c r="E24" s="6" t="n">
        <v>4590</v>
      </c>
      <c r="F24" s="6" t="n">
        <v>-20917</v>
      </c>
      <c r="G24" s="6" t="n">
        <v>26867</v>
      </c>
      <c r="H24" s="6" t="n">
        <v>2289</v>
      </c>
      <c r="I24" s="6" t="n">
        <v>-2303</v>
      </c>
      <c r="J24" s="6" t="n">
        <v>-7757</v>
      </c>
      <c r="K24" s="6" t="n">
        <v>-8215</v>
      </c>
    </row>
    <row r="25">
      <c r="A25" s="6" t="inlineStr">
        <is>
          <t>Share based compensation</t>
        </is>
      </c>
      <c r="B25" s="6" t="n"/>
      <c r="C25" s="6" t="n">
        <v>-220</v>
      </c>
      <c r="D25" s="6" t="n">
        <v>-1774</v>
      </c>
      <c r="E25" s="6" t="n">
        <v>-3649</v>
      </c>
      <c r="F25" s="6" t="n"/>
      <c r="G25" s="6" t="n"/>
      <c r="H25" s="6" t="n"/>
      <c r="I25" s="6" t="n"/>
      <c r="J25" s="6" t="n"/>
      <c r="K25" s="6" t="n"/>
    </row>
    <row r="26">
      <c r="A26" s="6" t="inlineStr">
        <is>
          <t>Other liabilities and provisions</t>
        </is>
      </c>
      <c r="B26" s="6" t="n">
        <v>-14841</v>
      </c>
      <c r="C26" s="6" t="n">
        <v>-15915</v>
      </c>
      <c r="D26" s="6" t="n">
        <v>11963</v>
      </c>
      <c r="E26" s="6" t="n">
        <v>1266</v>
      </c>
      <c r="F26" s="6" t="n">
        <v>-2672</v>
      </c>
      <c r="G26" s="6" t="n">
        <v>-4447</v>
      </c>
      <c r="H26" s="6" t="n">
        <v>6358</v>
      </c>
      <c r="I26" s="6" t="n">
        <v>-22636</v>
      </c>
      <c r="J26" s="6" t="n">
        <v>-1601</v>
      </c>
      <c r="K26" s="6" t="n">
        <v>17612</v>
      </c>
    </row>
    <row r="27">
      <c r="A27" s="5" t="inlineStr">
        <is>
          <t>Net decrease/(increase) in operating liabilities</t>
        </is>
      </c>
      <c r="B27" s="5" t="n">
        <v>-224372</v>
      </c>
      <c r="C27" s="5" t="n">
        <v>-122623</v>
      </c>
      <c r="D27" s="5" t="n">
        <v>-434718</v>
      </c>
      <c r="E27" s="5" t="n">
        <v>-515315</v>
      </c>
      <c r="F27" s="5" t="n">
        <v>-88073</v>
      </c>
      <c r="G27" s="5" t="n">
        <v>164883</v>
      </c>
      <c r="H27" s="5" t="n">
        <v>-37928</v>
      </c>
      <c r="I27" s="5" t="n">
        <v>71746</v>
      </c>
      <c r="J27" s="5" t="n">
        <v>345800</v>
      </c>
      <c r="K27" s="5" t="n">
        <v>308067</v>
      </c>
    </row>
    <row r="28">
      <c r="A28" s="6" t="inlineStr">
        <is>
          <t>Income tax refunded/(paid)</t>
        </is>
      </c>
      <c r="B28" s="6" t="n"/>
      <c r="C28" s="6" t="n">
        <v>119</v>
      </c>
      <c r="D28" s="6" t="n"/>
      <c r="E28" s="6" t="n"/>
      <c r="F28" s="6" t="n">
        <v>1101</v>
      </c>
      <c r="G28" s="6" t="n">
        <v>-10662</v>
      </c>
      <c r="H28" s="6" t="n"/>
      <c r="I28" s="6" t="n"/>
      <c r="J28" s="6" t="n"/>
      <c r="K28" s="6" t="n"/>
    </row>
    <row r="29">
      <c r="A29" s="6" t="inlineStr">
        <is>
          <t>Group relief received/(paid)</t>
        </is>
      </c>
      <c r="B29" s="6" t="n">
        <v>6127</v>
      </c>
      <c r="C29" s="6" t="n">
        <v>-4800</v>
      </c>
      <c r="D29" s="6" t="n">
        <v>-3319</v>
      </c>
      <c r="E29" s="6" t="n">
        <v>-2522</v>
      </c>
      <c r="F29" s="6" t="n">
        <v>406</v>
      </c>
      <c r="G29" s="6" t="n">
        <v>-8186</v>
      </c>
      <c r="H29" s="6" t="n">
        <v>-13495</v>
      </c>
      <c r="I29" s="6" t="n">
        <v>-3189</v>
      </c>
      <c r="J29" s="6" t="n"/>
      <c r="K29" s="6" t="n">
        <v>-266</v>
      </c>
    </row>
    <row r="30">
      <c r="A30" s="5" t="inlineStr">
        <is>
          <t>Net cash flow generated from/(used in) operating activities</t>
        </is>
      </c>
      <c r="B30" s="5" t="n">
        <v>59618</v>
      </c>
      <c r="C30" s="5" t="n">
        <v>320701</v>
      </c>
      <c r="D30" s="5" t="n">
        <v>180409</v>
      </c>
      <c r="E30" s="5" t="n">
        <v>284435</v>
      </c>
      <c r="F30" s="5" t="n">
        <v>-71555</v>
      </c>
      <c r="G30" s="5" t="n">
        <v>46361</v>
      </c>
      <c r="H30" s="5" t="n">
        <v>266443</v>
      </c>
      <c r="I30" s="5" t="n">
        <v>-320398</v>
      </c>
      <c r="J30" s="5" t="n">
        <v>68431</v>
      </c>
      <c r="K30" s="5" t="n">
        <v>57458</v>
      </c>
    </row>
    <row r="31">
      <c r="A31" s="5" t="inlineStr">
        <is>
          <t>Investing activities</t>
        </is>
      </c>
      <c r="B31" s="6" t="n"/>
      <c r="C31" s="6" t="n"/>
      <c r="D31" s="6" t="n"/>
      <c r="E31" s="6" t="n"/>
      <c r="F31" s="6" t="n"/>
      <c r="G31" s="6" t="n"/>
      <c r="H31" s="6" t="n"/>
      <c r="I31" s="6" t="n"/>
      <c r="J31" s="6" t="n"/>
      <c r="K31" s="6" t="n"/>
    </row>
    <row r="32">
      <c r="A32" s="6" t="inlineStr">
        <is>
          <t>Cash receipt from business transfer</t>
        </is>
      </c>
      <c r="B32" s="6" t="n">
        <v>539843</v>
      </c>
      <c r="C32" s="6" t="n"/>
      <c r="D32" s="6" t="n"/>
      <c r="E32" s="6" t="n"/>
      <c r="F32" s="6" t="n"/>
      <c r="G32" s="6" t="n"/>
      <c r="H32" s="6" t="n"/>
      <c r="I32" s="6" t="n"/>
      <c r="J32" s="6" t="n"/>
      <c r="K32" s="6" t="n"/>
    </row>
    <row r="33">
      <c r="A33" s="6" t="inlineStr">
        <is>
          <t>Sale of financial assets</t>
        </is>
      </c>
      <c r="B33" s="6" t="n"/>
      <c r="C33" s="6" t="n"/>
      <c r="D33" s="6" t="n"/>
      <c r="E33" s="6" t="n"/>
      <c r="F33" s="6" t="n"/>
      <c r="G33" s="6" t="n"/>
      <c r="H33" s="6" t="n"/>
      <c r="I33" s="6" t="n">
        <v>2868</v>
      </c>
      <c r="J33" s="6" t="n"/>
      <c r="K33" s="6" t="n"/>
    </row>
    <row r="34">
      <c r="A34" s="6" t="inlineStr">
        <is>
          <t>Capital expenditures for intangible assets</t>
        </is>
      </c>
      <c r="B34" s="6" t="n"/>
      <c r="C34" s="6" t="n"/>
      <c r="D34" s="6" t="n">
        <v>-786</v>
      </c>
      <c r="E34" s="6" t="n">
        <v>-3455</v>
      </c>
      <c r="F34" s="6" t="n">
        <v>-3799</v>
      </c>
      <c r="G34" s="6" t="n">
        <v>-6867</v>
      </c>
      <c r="H34" s="6" t="n">
        <v>-3981</v>
      </c>
      <c r="I34" s="6" t="n">
        <v>-2467</v>
      </c>
      <c r="J34" s="6" t="n">
        <v>-939</v>
      </c>
      <c r="K34" s="6" t="n"/>
    </row>
    <row r="35">
      <c r="A35" s="5" t="inlineStr">
        <is>
          <t>Net cash flow generated from/(used in) investing activities</t>
        </is>
      </c>
      <c r="B35" s="5" t="n">
        <v>539843</v>
      </c>
      <c r="C35" s="5" t="n">
        <v>0</v>
      </c>
      <c r="D35" s="5" t="n">
        <v>-786</v>
      </c>
      <c r="E35" s="5" t="n">
        <v>-3455</v>
      </c>
      <c r="F35" s="5" t="n">
        <v>-3799</v>
      </c>
      <c r="G35" s="5" t="n">
        <v>-6867</v>
      </c>
      <c r="H35" s="5" t="n">
        <v>-3981</v>
      </c>
      <c r="I35" s="5" t="n">
        <v>401</v>
      </c>
      <c r="J35" s="5" t="n">
        <v>-939</v>
      </c>
      <c r="K35" s="5" t="n">
        <v>0</v>
      </c>
    </row>
    <row r="36">
      <c r="A36" s="5" t="inlineStr">
        <is>
          <t>Financing activities</t>
        </is>
      </c>
      <c r="B36" s="6" t="n"/>
      <c r="C36" s="6" t="n"/>
      <c r="D36" s="6" t="n"/>
      <c r="E36" s="6" t="n"/>
      <c r="F36" s="6" t="n"/>
      <c r="G36" s="6" t="n"/>
      <c r="H36" s="6" t="n"/>
      <c r="I36" s="6" t="n"/>
      <c r="J36" s="6" t="n"/>
      <c r="K36" s="6" t="n"/>
    </row>
    <row r="37">
      <c r="A37" s="6" t="inlineStr">
        <is>
          <t>Dividend paid</t>
        </is>
      </c>
      <c r="B37" s="6" t="n"/>
      <c r="C37" s="6" t="n"/>
      <c r="D37" s="6" t="n">
        <v>-30000</v>
      </c>
      <c r="E37" s="6" t="n">
        <v>-20000</v>
      </c>
      <c r="F37" s="6" t="n"/>
      <c r="G37" s="6" t="n"/>
      <c r="H37" s="6" t="n"/>
      <c r="I37" s="6" t="n"/>
      <c r="J37" s="6" t="n"/>
      <c r="K37" s="6" t="n"/>
    </row>
    <row r="38">
      <c r="A38" s="6" t="inlineStr">
        <is>
          <t>Interest paid on long term debt</t>
        </is>
      </c>
      <c r="B38" s="6" t="n">
        <v>-1916</v>
      </c>
      <c r="C38" s="6" t="n">
        <v>-15460</v>
      </c>
      <c r="D38" s="6" t="n">
        <v>-33420</v>
      </c>
      <c r="E38" s="6" t="n">
        <v>-12293</v>
      </c>
      <c r="F38" s="6" t="n">
        <v>-1620</v>
      </c>
      <c r="G38" s="6" t="n">
        <v>-1843</v>
      </c>
      <c r="H38" s="6" t="n">
        <v>-2008</v>
      </c>
      <c r="I38" s="6" t="n">
        <v>-677</v>
      </c>
      <c r="J38" s="6" t="n">
        <v>-867</v>
      </c>
      <c r="K38" s="6" t="n">
        <v>-920</v>
      </c>
    </row>
    <row r="39">
      <c r="A39" s="6" t="inlineStr">
        <is>
          <t>Capital contribution</t>
        </is>
      </c>
      <c r="B39" s="6" t="n"/>
      <c r="C39" s="6" t="n"/>
      <c r="D39" s="6" t="n"/>
      <c r="E39" s="6" t="n"/>
      <c r="F39" s="6" t="n"/>
      <c r="G39" s="6" t="n"/>
      <c r="H39" s="6" t="n"/>
      <c r="I39" s="6" t="n">
        <v>30000</v>
      </c>
      <c r="J39" s="6" t="n"/>
      <c r="K39" s="6" t="n"/>
    </row>
    <row r="40">
      <c r="A40" s="6" t="inlineStr">
        <is>
          <t>Issuance of long term debt</t>
        </is>
      </c>
      <c r="B40" s="6" t="n"/>
      <c r="C40" s="6" t="n"/>
      <c r="D40" s="6" t="n">
        <v>530803</v>
      </c>
      <c r="E40" s="6" t="n">
        <v>500000</v>
      </c>
      <c r="F40" s="6" t="n"/>
      <c r="G40" s="6" t="n"/>
      <c r="H40" s="6" t="n"/>
      <c r="I40" s="6" t="n">
        <v>30000</v>
      </c>
      <c r="J40" s="6" t="n"/>
      <c r="K40" s="6" t="n"/>
    </row>
    <row r="41">
      <c r="A41" s="6" t="inlineStr">
        <is>
          <t>Repayment of long term debt</t>
        </is>
      </c>
      <c r="B41" s="6" t="n">
        <v>-55000</v>
      </c>
      <c r="C41" s="6" t="n">
        <v>-500000</v>
      </c>
      <c r="D41" s="6" t="n">
        <v>-532693</v>
      </c>
      <c r="E41" s="6" t="n">
        <v>-503689</v>
      </c>
      <c r="F41" s="6" t="n"/>
      <c r="G41" s="6" t="n"/>
      <c r="H41" s="6" t="n"/>
      <c r="I41" s="6" t="n"/>
      <c r="J41" s="6" t="n"/>
      <c r="K41" s="6" t="n"/>
    </row>
    <row r="42">
      <c r="A42" s="6" t="inlineStr">
        <is>
          <t>Interest paid on short-term borrowings</t>
        </is>
      </c>
      <c r="B42" s="6" t="n">
        <v>-17039</v>
      </c>
      <c r="C42" s="6" t="n">
        <v>-39775</v>
      </c>
      <c r="D42" s="6" t="n">
        <v>-43476</v>
      </c>
      <c r="E42" s="6" t="n">
        <v>-6928</v>
      </c>
      <c r="F42" s="6" t="n"/>
      <c r="G42" s="6" t="n"/>
      <c r="H42" s="6" t="n"/>
      <c r="I42" s="6" t="n"/>
      <c r="J42" s="6" t="n"/>
      <c r="K42" s="6" t="n"/>
    </row>
    <row r="43">
      <c r="A43" s="6" t="inlineStr">
        <is>
          <t>Issuance of short-term borrowings</t>
        </is>
      </c>
      <c r="B43" s="6" t="n">
        <v>12865</v>
      </c>
      <c r="C43" s="6" t="n">
        <v>713897</v>
      </c>
      <c r="D43" s="6" t="n">
        <v>601802</v>
      </c>
      <c r="E43" s="6" t="n">
        <v>615993</v>
      </c>
      <c r="F43" s="6" t="n"/>
      <c r="G43" s="6" t="n"/>
      <c r="H43" s="6" t="n"/>
      <c r="I43" s="6" t="n"/>
      <c r="J43" s="6" t="n"/>
      <c r="K43" s="6" t="n"/>
    </row>
    <row r="44">
      <c r="A44" s="6" t="inlineStr">
        <is>
          <t>Repayment of short-term borrowings</t>
        </is>
      </c>
      <c r="B44" s="6" t="n">
        <v>-845507</v>
      </c>
      <c r="C44" s="6" t="n">
        <v>-689448</v>
      </c>
      <c r="D44" s="6" t="n">
        <v>-575110</v>
      </c>
      <c r="E44" s="6" t="n">
        <v>-824808</v>
      </c>
      <c r="F44" s="6" t="n"/>
      <c r="G44" s="6" t="n"/>
      <c r="H44" s="6" t="n"/>
      <c r="I44" s="6" t="n"/>
      <c r="J44" s="6" t="n"/>
      <c r="K44" s="6" t="n"/>
    </row>
    <row r="45">
      <c r="A45" s="5" t="inlineStr">
        <is>
          <t>Net cash flow used in financing activities</t>
        </is>
      </c>
      <c r="B45" s="5" t="n">
        <v>-906597</v>
      </c>
      <c r="C45" s="5" t="n">
        <v>-530786</v>
      </c>
      <c r="D45" s="5" t="n">
        <v>-82094</v>
      </c>
      <c r="E45" s="5" t="n">
        <v>-251725</v>
      </c>
      <c r="F45" s="5" t="n">
        <v>-1620</v>
      </c>
      <c r="G45" s="5" t="n">
        <v>-1843</v>
      </c>
      <c r="H45" s="5" t="n">
        <v>-2008</v>
      </c>
      <c r="I45" s="5" t="n">
        <v>59323</v>
      </c>
      <c r="J45" s="5" t="n">
        <v>-867</v>
      </c>
      <c r="K45" s="5" t="n">
        <v>-920</v>
      </c>
    </row>
    <row r="46">
      <c r="A46" s="5" t="inlineStr">
        <is>
          <t>Net (decrease)/increase in cash and cash equivalents</t>
        </is>
      </c>
      <c r="B46" s="5" t="n">
        <v>-307136</v>
      </c>
      <c r="C46" s="5" t="n">
        <v>-210085</v>
      </c>
      <c r="D46" s="5" t="n">
        <v>97529</v>
      </c>
      <c r="E46" s="5" t="n">
        <v>29255</v>
      </c>
      <c r="F46" s="5" t="n">
        <v>-76974</v>
      </c>
      <c r="G46" s="5" t="n">
        <v>37651</v>
      </c>
      <c r="H46" s="5" t="n">
        <v>260454</v>
      </c>
      <c r="I46" s="5" t="n">
        <v>-260674</v>
      </c>
      <c r="J46" s="5" t="n">
        <v>66625</v>
      </c>
      <c r="K46" s="5" t="n">
        <v>56538</v>
      </c>
    </row>
    <row r="47">
      <c r="A47" s="6" t="inlineStr">
        <is>
          <t>Cash and cash equivalents at the beginning of the year</t>
        </is>
      </c>
      <c r="B47" s="6" t="n">
        <v>341768</v>
      </c>
      <c r="C47" s="6" t="n">
        <v>548659</v>
      </c>
      <c r="D47" s="6" t="n">
        <v>475664</v>
      </c>
      <c r="E47" s="6" t="n">
        <v>408082</v>
      </c>
      <c r="F47" s="6" t="n">
        <v>483717</v>
      </c>
      <c r="G47" s="6" t="n">
        <v>440029</v>
      </c>
      <c r="H47" s="6" t="n">
        <v>197301</v>
      </c>
      <c r="I47" s="6" t="n">
        <v>457975</v>
      </c>
      <c r="J47" s="6" t="n">
        <v>432924</v>
      </c>
      <c r="K47" s="6" t="n">
        <v>376386</v>
      </c>
    </row>
    <row r="48">
      <c r="A48" s="6" t="inlineStr">
        <is>
          <t>Effect of exchange rate fluctuations on cash and cash equivalents</t>
        </is>
      </c>
      <c r="B48" s="6" t="n">
        <v>-12923</v>
      </c>
      <c r="C48" s="6" t="n">
        <v>3194</v>
      </c>
      <c r="D48" s="6" t="n">
        <v>-24570</v>
      </c>
      <c r="E48" s="6" t="n">
        <v>38372</v>
      </c>
      <c r="F48" s="6" t="n">
        <v>1339</v>
      </c>
      <c r="G48" s="6" t="n">
        <v>6037</v>
      </c>
      <c r="H48" s="6" t="n">
        <v>-9939</v>
      </c>
      <c r="I48" s="6" t="n"/>
      <c r="J48" s="6" t="n"/>
      <c r="K48" s="6" t="n"/>
    </row>
    <row r="49">
      <c r="A49" s="5" t="inlineStr">
        <is>
          <t>Cash and cash equivalents at the end of the year</t>
        </is>
      </c>
      <c r="B49" s="5" t="n">
        <v>21709</v>
      </c>
      <c r="C49" s="5" t="n">
        <v>341768</v>
      </c>
      <c r="D49" s="5" t="n">
        <v>548659</v>
      </c>
      <c r="E49" s="5" t="n">
        <v>475709</v>
      </c>
      <c r="F49" s="5" t="n">
        <v>408082</v>
      </c>
      <c r="G49" s="5" t="n">
        <v>483717</v>
      </c>
      <c r="H49" s="5" t="n">
        <v>447816</v>
      </c>
      <c r="I49" s="5" t="n">
        <v>197301</v>
      </c>
      <c r="J49" s="5" t="n">
        <v>499549</v>
      </c>
      <c r="K49" s="5" t="n">
        <v>432924</v>
      </c>
    </row>
    <row r="51" ht="340" customHeight="1">
      <c r="A51" s="8" t="inlineStr">
        <is>
          <t>Sources - all figures are Credit Suisse (UK) Limited's own Statement of Cash Flows:
FY2025: Full accounts to 31 Dec 2025 (Companies House, filed 25 Apr 2026), Statement of Cash Flows p.47 - https://find-and-update.company-information.service.gov.uk/company/02009520/filing-history/MzUxNzE0OTI3NGFkaXF6a2N4/document?format=pdf&amp;download=0
FY2024: same FY2025 filing's own FY2024 comparative column, p.47
FY2023: Full accounts to 31 Dec 2023 (Companies House, filed 27 Apr 2024), Statement of Cash Flows p.41 - https://find-and-update.company-information.service.gov.uk/company/02009520/filing-history/MzQxOTY5NDQ0MWFkaXF6a2N4/document?format=pdf&amp;download=0
FY2022: same FY2023 filing's own FY2022 comparative column, p.41
FY2021: Full accounts to 31 Dec 2021 (Companies House, filed 28 Apr 2022), Statement of Cash Flows p.46 - https://find-and-update.company-information.service.gov.uk/company/02009520/filing-history/MzMzNzU0NDMwOWFkaXF6a2N4/document?format=pdf&amp;download=0
FY2020: Full accounts to 31 Dec 2020 (Companies House, filed 25 May 2021), Statement of Cash Flows p.47 - https://find-and-update.company-information.service.gov.uk/company/02009520/filing-history/MzMwMTQ3Nzk1MmFkaXF6a2N4/document?format=pdf&amp;download=0
FY2019: Full accounts to 31 Dec 2019 (Companies House, filed 20 Apr 2020), Statement of Cash Flows p.41 - https://find-and-update.company-information.service.gov.uk/company/02009520/filing-history/MzI2MjYyNzE3OGFkaXF6a2N4/document?format=pdf&amp;download=0
FY2018: Full accounts to 31 Dec 2018 (Companies House, filed 01 May 2019), Statement of Cash Flows p.44 - https://find-and-update.company-information.service.gov.uk/company/02009520/filing-history/MzIzMzQ0Nzg3OWFkaXF6a2N4/document?format=pdf&amp;download=0
FY2017: Full accounts to 31 Dec 2017 (Companies House, filed 01 May 2018), Statement of Cash Flows p.28 - https://find-and-update.company-information.service.gov.uk/company/02009520/filing-history/MzIwMzkxNjcwMmFkaXF6a2N4/document?format=pdf&amp;download=0
FY2016: Full accounts to 31 Dec 2016 (Companies House, filed 28 Apr 2017), Statement of Cash Flows p.24 -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The 2016 edition was NOT opened in that pass, which was scoped to interior gaps only, so FY2016 stays blank as an UNCHECKED LEAD - a document known to exist and not yet read - rather than as anything resembling an absence.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t>
        </is>
      </c>
    </row>
  </sheetData>
  <mergeCells count="1">
    <mergeCell ref="A51:K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Asset Quality</t>
        </is>
      </c>
    </row>
    <row r="2">
      <c r="A2" s="2" t="inlineStr">
        <is>
          <t>Entity basis, £'000 unless %. Disclosed granularity genuinely changes across years - see source note at bottom. FY2025 loan book transferred to UBS AG London Branch (Part VII, 20 June 2025) - all FY2025 figures on this sheet are correctly nil.</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 book by borrower type, gross (FY2016-FY2023 basis)</t>
        </is>
      </c>
      <c r="B4" s="6" t="n"/>
      <c r="C4" s="6" t="n"/>
      <c r="D4" s="6" t="n"/>
      <c r="E4" s="6" t="n"/>
      <c r="F4" s="6" t="n"/>
      <c r="G4" s="6" t="n"/>
      <c r="H4" s="6" t="n"/>
      <c r="I4" s="6" t="n"/>
      <c r="J4" s="6" t="n"/>
      <c r="K4" s="6" t="n"/>
    </row>
    <row r="5">
      <c r="A5" s="6" t="inlineStr">
        <is>
          <t>United Kingdom - Commercial</t>
        </is>
      </c>
      <c r="B5" s="6" t="n"/>
      <c r="C5" s="6" t="n"/>
      <c r="D5" s="6" t="n">
        <v>1069</v>
      </c>
      <c r="E5" s="6" t="n">
        <v>1556</v>
      </c>
      <c r="F5" s="6" t="n">
        <v>8891</v>
      </c>
      <c r="G5" s="6" t="n">
        <v>167719</v>
      </c>
      <c r="H5" s="6" t="n">
        <v>150011</v>
      </c>
      <c r="I5" s="6" t="n">
        <v>130738</v>
      </c>
      <c r="J5" s="6" t="n">
        <v>135735</v>
      </c>
      <c r="K5" s="6" t="n">
        <v>81404</v>
      </c>
    </row>
    <row r="6">
      <c r="A6" s="6" t="inlineStr">
        <is>
          <t>United Kingdom - Consumer</t>
        </is>
      </c>
      <c r="B6" s="6" t="n"/>
      <c r="C6" s="6" t="n"/>
      <c r="D6" s="6" t="n">
        <v>612720</v>
      </c>
      <c r="E6" s="6" t="n">
        <v>791672</v>
      </c>
      <c r="F6" s="6" t="n">
        <v>940312</v>
      </c>
      <c r="G6" s="6" t="n">
        <v>653738</v>
      </c>
      <c r="H6" s="6" t="n">
        <v>775633</v>
      </c>
      <c r="I6" s="6" t="n">
        <v>824688</v>
      </c>
      <c r="J6" s="6" t="n">
        <v>862482</v>
      </c>
      <c r="K6" s="6" t="n">
        <v>619490</v>
      </c>
    </row>
    <row r="7">
      <c r="A7" s="6" t="inlineStr">
        <is>
          <t>Foreign - Commercial</t>
        </is>
      </c>
      <c r="B7" s="6" t="n"/>
      <c r="C7" s="6" t="n"/>
      <c r="D7" s="6" t="n">
        <v>15870</v>
      </c>
      <c r="E7" s="6" t="n">
        <v>18896</v>
      </c>
      <c r="F7" s="6" t="n">
        <v>14577</v>
      </c>
      <c r="G7" s="6" t="n">
        <v>703004</v>
      </c>
      <c r="H7" s="6" t="n">
        <v>731631</v>
      </c>
      <c r="I7" s="6" t="n">
        <v>706545</v>
      </c>
      <c r="J7" s="6" t="n">
        <v>667395</v>
      </c>
      <c r="K7" s="6" t="n">
        <v>462233</v>
      </c>
    </row>
    <row r="8">
      <c r="A8" s="6" t="inlineStr">
        <is>
          <t>Foreign - Consumer</t>
        </is>
      </c>
      <c r="B8" s="6" t="n"/>
      <c r="C8" s="6" t="n"/>
      <c r="D8" s="6" t="n">
        <v>689570</v>
      </c>
      <c r="E8" s="6" t="n">
        <v>905338</v>
      </c>
      <c r="F8" s="6" t="n">
        <v>1093926</v>
      </c>
      <c r="G8" s="6" t="n">
        <v>486568</v>
      </c>
      <c r="H8" s="6" t="n">
        <v>490607</v>
      </c>
      <c r="I8" s="6" t="n">
        <v>494104</v>
      </c>
      <c r="J8" s="6" t="n">
        <v>516087</v>
      </c>
      <c r="K8" s="6" t="n">
        <v>395082</v>
      </c>
    </row>
    <row r="9">
      <c r="A9" s="5" t="inlineStr">
        <is>
          <t>Total gross loans and advances, by borrower type</t>
        </is>
      </c>
      <c r="B9" s="5" t="n"/>
      <c r="C9" s="5" t="n"/>
      <c r="D9" s="5" t="n">
        <v>1319229</v>
      </c>
      <c r="E9" s="5" t="n">
        <v>1717462</v>
      </c>
      <c r="F9" s="5" t="n">
        <v>2057706</v>
      </c>
      <c r="G9" s="5" t="n">
        <v>2011029</v>
      </c>
      <c r="H9" s="5" t="n">
        <v>2147882</v>
      </c>
      <c r="I9" s="5" t="n">
        <v>2156075</v>
      </c>
      <c r="J9" s="5" t="n">
        <v>2181699</v>
      </c>
      <c r="K9" s="5" t="n">
        <v>1558209</v>
      </c>
    </row>
    <row r="10">
      <c r="A10" s="5" t="inlineStr">
        <is>
          <t>Loan book by IFRS 9 stage, gross (FY2024-FY2025 basis)</t>
        </is>
      </c>
      <c r="B10" s="6" t="n"/>
      <c r="C10" s="6" t="n"/>
      <c r="D10" s="6" t="n"/>
      <c r="E10" s="6" t="n"/>
      <c r="F10" s="6" t="n"/>
      <c r="G10" s="6" t="n"/>
      <c r="H10" s="6" t="n"/>
      <c r="I10" s="6" t="n"/>
      <c r="J10" s="6" t="n"/>
      <c r="K10" s="6" t="n"/>
    </row>
    <row r="11">
      <c r="A11" s="6" t="inlineStr">
        <is>
          <t>Stage 1 - gross carrying amount</t>
        </is>
      </c>
      <c r="B11" s="6" t="n">
        <v>0</v>
      </c>
      <c r="C11" s="6" t="n">
        <v>630187</v>
      </c>
      <c r="D11" s="6" t="n"/>
      <c r="E11" s="6" t="n"/>
      <c r="F11" s="6" t="n"/>
      <c r="G11" s="6" t="n"/>
      <c r="H11" s="6" t="n"/>
      <c r="I11" s="6" t="n"/>
      <c r="J11" s="6" t="n"/>
      <c r="K11" s="6" t="n"/>
    </row>
    <row r="12">
      <c r="A12" s="6" t="inlineStr">
        <is>
          <t>Stage 2 - gross carrying amount</t>
        </is>
      </c>
      <c r="B12" s="6" t="n">
        <v>0</v>
      </c>
      <c r="C12" s="6" t="n">
        <v>107024</v>
      </c>
      <c r="D12" s="6" t="n"/>
      <c r="E12" s="6" t="n"/>
      <c r="F12" s="6" t="n"/>
      <c r="G12" s="6" t="n"/>
      <c r="H12" s="6" t="n"/>
      <c r="I12" s="6" t="n"/>
      <c r="J12" s="6" t="n"/>
      <c r="K12" s="6" t="n"/>
    </row>
    <row r="13">
      <c r="A13" s="6" t="inlineStr">
        <is>
          <t>Stage 3 - gross carrying amount</t>
        </is>
      </c>
      <c r="B13" s="6" t="n">
        <v>0</v>
      </c>
      <c r="C13" s="6" t="n">
        <v>92712</v>
      </c>
      <c r="D13" s="6" t="n"/>
      <c r="E13" s="6" t="n"/>
      <c r="F13" s="6" t="n"/>
      <c r="G13" s="6" t="n"/>
      <c r="H13" s="6" t="n"/>
      <c r="I13" s="6" t="n"/>
      <c r="J13" s="6" t="n"/>
      <c r="K13" s="6" t="n"/>
    </row>
    <row r="14">
      <c r="A14" s="5" t="inlineStr">
        <is>
          <t>Total gross loans, IFRS 9 stage basis</t>
        </is>
      </c>
      <c r="B14" s="5" t="n">
        <v>0</v>
      </c>
      <c r="C14" s="5" t="n">
        <v>829923</v>
      </c>
      <c r="D14" s="5" t="n"/>
      <c r="E14" s="5" t="n"/>
      <c r="F14" s="5" t="n"/>
      <c r="G14" s="5" t="n"/>
      <c r="H14" s="5" t="n"/>
      <c r="I14" s="5" t="n"/>
      <c r="J14" s="5" t="n"/>
      <c r="K14" s="5" t="n"/>
    </row>
    <row r="15">
      <c r="A15" s="5" t="inlineStr">
        <is>
          <t>Expected credit loss allowance</t>
        </is>
      </c>
      <c r="B15" s="6" t="n"/>
      <c r="C15" s="6" t="n"/>
      <c r="D15" s="6" t="n"/>
      <c r="E15" s="6" t="n"/>
      <c r="F15" s="6" t="n"/>
      <c r="G15" s="6" t="n"/>
      <c r="H15" s="6" t="n"/>
      <c r="I15" s="6" t="n"/>
      <c r="J15" s="6" t="n"/>
      <c r="K15" s="6" t="n"/>
    </row>
    <row r="16">
      <c r="A16" s="6" t="inlineStr">
        <is>
          <t>Stage 1 allowance</t>
        </is>
      </c>
      <c r="B16" s="6" t="n">
        <v>0</v>
      </c>
      <c r="C16" s="6" t="n">
        <v>-537</v>
      </c>
      <c r="D16" s="6" t="n"/>
      <c r="E16" s="6" t="n"/>
      <c r="F16" s="6" t="n"/>
      <c r="G16" s="6" t="n"/>
      <c r="H16" s="6" t="n"/>
      <c r="I16" s="6" t="n"/>
      <c r="J16" s="6" t="n"/>
      <c r="K16" s="6" t="n"/>
    </row>
    <row r="17">
      <c r="A17" s="6" t="inlineStr">
        <is>
          <t>Stage 2 allowance</t>
        </is>
      </c>
      <c r="B17" s="6" t="n">
        <v>0</v>
      </c>
      <c r="C17" s="6" t="n">
        <v>-342</v>
      </c>
      <c r="D17" s="6" t="n"/>
      <c r="E17" s="6" t="n"/>
      <c r="F17" s="6" t="n"/>
      <c r="G17" s="6" t="n"/>
      <c r="H17" s="6" t="n"/>
      <c r="I17" s="6" t="n"/>
      <c r="J17" s="6" t="n"/>
      <c r="K17" s="6" t="n"/>
    </row>
    <row r="18">
      <c r="A18" s="6" t="inlineStr">
        <is>
          <t>Stage 3 allowance</t>
        </is>
      </c>
      <c r="B18" s="6" t="n">
        <v>0</v>
      </c>
      <c r="C18" s="6" t="n">
        <v>-8292</v>
      </c>
      <c r="D18" s="6" t="n"/>
      <c r="E18" s="6" t="n"/>
      <c r="F18" s="6" t="n"/>
      <c r="G18" s="6" t="n"/>
      <c r="H18" s="6" t="n"/>
      <c r="I18" s="6" t="n"/>
      <c r="J18" s="6" t="n"/>
      <c r="K18" s="6" t="n"/>
    </row>
    <row r="19">
      <c r="A19" s="6" t="inlineStr">
        <is>
          <t>Allowance for credit losses, aggregate (FY2016-FY2023 basis)</t>
        </is>
      </c>
      <c r="B19" s="6" t="n"/>
      <c r="C19" s="6" t="n"/>
      <c r="D19" s="6" t="n">
        <v>-7613</v>
      </c>
      <c r="E19" s="6" t="n">
        <v>-4485</v>
      </c>
      <c r="F19" s="6" t="n">
        <v>-8834</v>
      </c>
      <c r="G19" s="6" t="n">
        <v>-11381</v>
      </c>
      <c r="H19" s="6" t="n">
        <v>-8963</v>
      </c>
      <c r="I19" s="6" t="n">
        <v>-3244</v>
      </c>
      <c r="J19" s="6" t="n">
        <v>-4495</v>
      </c>
      <c r="K19" s="6" t="n">
        <v>-1768</v>
      </c>
    </row>
    <row r="20">
      <c r="A20" s="5" t="inlineStr">
        <is>
          <t>Total ECL allowance</t>
        </is>
      </c>
      <c r="B20" s="5" t="n">
        <v>0</v>
      </c>
      <c r="C20" s="5" t="n">
        <v>-9171</v>
      </c>
      <c r="D20" s="5" t="n">
        <v>-7613</v>
      </c>
      <c r="E20" s="5" t="n">
        <v>-4485</v>
      </c>
      <c r="F20" s="5" t="n">
        <v>-8834</v>
      </c>
      <c r="G20" s="5" t="n">
        <v>-11381</v>
      </c>
      <c r="H20" s="5" t="n">
        <v>-8963</v>
      </c>
      <c r="I20" s="5" t="n">
        <v>-3244</v>
      </c>
      <c r="J20" s="5" t="n">
        <v>-4495</v>
      </c>
      <c r="K20" s="5" t="n">
        <v>-1768</v>
      </c>
    </row>
    <row r="21">
      <c r="A21" s="6" t="inlineStr">
        <is>
          <t>Deferred fee income</t>
        </is>
      </c>
      <c r="B21" s="6" t="n"/>
      <c r="C21" s="6" t="n"/>
      <c r="D21" s="6" t="n">
        <v>-4043</v>
      </c>
      <c r="E21" s="6" t="n">
        <v>-6449</v>
      </c>
      <c r="F21" s="6" t="n">
        <v>-7733</v>
      </c>
      <c r="G21" s="6" t="n">
        <v>-9642</v>
      </c>
      <c r="H21" s="6" t="n">
        <v>-12153</v>
      </c>
      <c r="I21" s="6" t="n">
        <v>-11543</v>
      </c>
      <c r="J21" s="6" t="n">
        <v>-10650</v>
      </c>
      <c r="K21" s="6" t="n">
        <v>-8586</v>
      </c>
    </row>
    <row r="22">
      <c r="A22" s="5" t="inlineStr">
        <is>
          <t>Total Loans and advances, net (ties to Balance Sheet)</t>
        </is>
      </c>
      <c r="B22" s="5" t="n">
        <v>0</v>
      </c>
      <c r="C22" s="5" t="n">
        <v>818949</v>
      </c>
      <c r="D22" s="5" t="n">
        <v>1307573</v>
      </c>
      <c r="E22" s="5" t="n">
        <v>1706528</v>
      </c>
      <c r="F22" s="5" t="n">
        <v>2041139</v>
      </c>
      <c r="G22" s="5" t="n">
        <v>1990006</v>
      </c>
      <c r="H22" s="5" t="n">
        <v>2126766</v>
      </c>
      <c r="I22" s="5" t="n">
        <v>2141288</v>
      </c>
      <c r="J22" s="5" t="n">
        <v>2166554</v>
      </c>
      <c r="K22" s="5" t="n">
        <v>1547855</v>
      </c>
    </row>
    <row r="23">
      <c r="A23" s="5" t="inlineStr">
        <is>
          <t>Credit quality indicators</t>
        </is>
      </c>
      <c r="B23" s="6" t="n"/>
      <c r="C23" s="6" t="n"/>
      <c r="D23" s="6" t="n"/>
      <c r="E23" s="6" t="n"/>
      <c r="F23" s="6" t="n"/>
      <c r="G23" s="6" t="n"/>
      <c r="H23" s="6" t="n"/>
      <c r="I23" s="6" t="n"/>
      <c r="J23" s="6" t="n"/>
      <c r="K23" s="6" t="n"/>
    </row>
    <row r="24">
      <c r="A24" s="6" t="inlineStr">
        <is>
          <t>Gross impaired loans / Stage 3 gross carrying amount</t>
        </is>
      </c>
      <c r="B24" s="6" t="n">
        <v>0</v>
      </c>
      <c r="C24" s="6" t="n">
        <v>92712</v>
      </c>
      <c r="D24" s="6" t="n">
        <v>175850</v>
      </c>
      <c r="E24" s="6" t="n">
        <v>105926</v>
      </c>
      <c r="F24" s="6" t="n">
        <v>177499</v>
      </c>
      <c r="G24" s="6" t="n">
        <v>191569</v>
      </c>
      <c r="H24" s="6" t="n">
        <v>98031</v>
      </c>
      <c r="I24" s="6" t="n">
        <v>115146</v>
      </c>
      <c r="J24" s="6" t="n">
        <v>59686</v>
      </c>
      <c r="K24" s="6" t="n">
        <v>13996</v>
      </c>
    </row>
    <row r="25">
      <c r="A25" s="6" t="inlineStr">
        <is>
          <t>Impaired/Stage 3 loans as % of total gross loans</t>
        </is>
      </c>
      <c r="B25" s="6" t="n"/>
      <c r="C25" s="6" t="inlineStr">
        <is>
          <t>11.17%</t>
        </is>
      </c>
      <c r="D25" s="6" t="inlineStr">
        <is>
          <t>13.33%</t>
        </is>
      </c>
      <c r="E25" s="6" t="inlineStr">
        <is>
          <t>6.17%</t>
        </is>
      </c>
      <c r="F25" s="6" t="inlineStr">
        <is>
          <t>8.63%</t>
        </is>
      </c>
      <c r="G25" s="6" t="inlineStr">
        <is>
          <t>9.53%</t>
        </is>
      </c>
      <c r="H25" s="6" t="inlineStr">
        <is>
          <t>4.56%</t>
        </is>
      </c>
      <c r="I25" s="6" t="inlineStr">
        <is>
          <t>5.34%</t>
        </is>
      </c>
      <c r="J25" s="6" t="inlineStr">
        <is>
          <t>2.74%</t>
        </is>
      </c>
      <c r="K25" s="6" t="inlineStr">
        <is>
          <t>0.90%</t>
        </is>
      </c>
    </row>
    <row r="26">
      <c r="A26" s="6" t="inlineStr">
        <is>
          <t>ECL coverage of impaired/Stage 3 loans</t>
        </is>
      </c>
      <c r="B26" s="6" t="n"/>
      <c r="C26" s="6" t="inlineStr">
        <is>
          <t>8.94%</t>
        </is>
      </c>
      <c r="D26" s="6" t="inlineStr">
        <is>
          <t>4.33%</t>
        </is>
      </c>
      <c r="E26" s="6" t="inlineStr">
        <is>
          <t>4.23%</t>
        </is>
      </c>
      <c r="F26" s="6" t="inlineStr">
        <is>
          <t>4.98%</t>
        </is>
      </c>
      <c r="G26" s="6" t="inlineStr">
        <is>
          <t>5.94%</t>
        </is>
      </c>
      <c r="H26" s="6" t="inlineStr">
        <is>
          <t>9.14%</t>
        </is>
      </c>
      <c r="I26" s="6" t="inlineStr">
        <is>
          <t>2.82%</t>
        </is>
      </c>
      <c r="J26" s="6" t="inlineStr">
        <is>
          <t>7.53%</t>
        </is>
      </c>
      <c r="K26" s="6" t="inlineStr">
        <is>
          <t>12.63%</t>
        </is>
      </c>
    </row>
    <row r="28" ht="340" customHeight="1">
      <c r="A28" s="8" t="inlineStr">
        <is>
          <t>Sources - Credit Suisse (UK) Limited's own Loans and advances / Expected Credit Loss notes:
FY2025/FY2024: Full accounts to 31 Dec 2025, Note 'Loans' (ECL by IFRS 9 stage), pp.69-70, and Note 35 (Transfer of business to UBS AG London Branch), p.89 - https://find-and-update.company-information.service.gov.uk/company/02009520/filing-history/MzUxNzE0OTI3NGFkaXF6a2N4/document?format=pdf&amp;download=0
FY2023/FY2022: Full accounts to 31 Dec 2023, Note 11 (Loans and advances, by UK/Foreign x Commercial/Consumer), p.58 - https://find-and-update.company-information.service.gov.uk/company/02009520/filing-history/MzQxOTY5NDQ0MWFkaXF6a2N4/document?format=pdf&amp;download=0
FY2021: Full accounts to 31 Dec 2021, Note 11 (Loans and advances, by UK/Foreign x Commercial/Consumer), p.64 - https://find-and-update.company-information.service.gov.uk/company/02009520/filing-history/MzMzNzU0NDMwOWFkaXF6a2N4/document?format=pdf&amp;download=0
FY2020: Full accounts to 31 Dec 2020, Note 15 (Loans and advances, by UK/Foreign x Commercial/Consumer), p.68 - https://find-and-update.company-information.service.gov.uk/company/02009520/filing-history/MzMwMTQ3Nzk1MmFkaXF6a2N4/document?format=pdf&amp;download=0
FY2019: Full accounts to 31 Dec 2019, Note 15 (Net Loans, by UK/Foreign x Commercial/Consumer), p.64 - https://find-and-update.company-information.service.gov.uk/company/02009520/filing-history/MzI2MjYyNzE3OGFkaXF6a2N4/document?format=pdf&amp;download=0
FY2018: borrower-type breakdown and Gross Impaired loans sourced from the FY2019 filing's own FY2018 comparative column (p.64, same document as above) - FY2018's own filing (Note 16, p.71) discloses only a by-maturity/by-collateral breakdown with no borrower-type split and no impaired-loans concept; both years' totals independently reconcile to FY2018's own disclosed Total Net loans of £2,141,288k.
FY2017: Full accounts to 31 Dec 2017, Note 13 (Loans and receivables, by UK/Foreign x Commercial/Consumer), p.47 - https://find-and-update.company-information.service.gov.uk/company/02009520/filing-history/MzIwMzkxNjcwMmFkaXF6a2N4/document?format=pdf&amp;download=0
FY2016: borrower-type/maturity/collateral breakdown from FY2016's own filing, Note 13, p.43 - https://find-and-update.company-information.service.gov.uk/company/02009520/filing-history/MzE3NDY1MzYyMmFkaXF6a2N4/document?format=pdf&amp;download=0; Gross Impaired loans for FY2016 (£13,996k) sourced instead from FY2017's own FY2016 comparative column (same Note 13 above), since FY2016's own filing carries no impaired-loans concept either.
GRANULARITY NOTE: the Bank's own disclosed granularity genuinely changes across years, confirmed by reading each year's own note in full (not assumed). FY2025/FY2024 use a full IFRS 9 Stage 1/2/3 gross-carrying-amount/allowance table (the format introduced from the FY2025 Annual Report) - note this is a DIFFERENT, secondary note from the primary 'Loans and advances' note that FY2019/FY2020 (and, per their own comparative columns, FY2016-FY2018) also carry: that secondary Stage 1/2/3 table exists inside the Expected Credit Loss Measurement note from FY2019 onward, but the Balance Sheet's own Loans and advances figure ties to the primary UK/Foreign x Commercial/Consumer note, not the Stage table - so FY2019/FY2020 are shown on the same borrower-type basis as FY2016-FY2023, not switched to a Stage basis. FY2023/FY2022/FY2021 instead disclose a UK-vs-Foreign, Commercial-vs-Consumer breakdown plus a single aggregate allowance figure and a 'Gross Impaired loans' total (the FY2023-and-earlier report format, confirmed the SAME format used continuously back to FY2016) - no Stage 1/2/3 split exists in the primary note for any of FY2016-FY2023 despite checking. Both are shown on their own basis rather than forced onto one; the FY2024 Stage-table's net figure (£820,752k = £829,923k gross less £9,171k ECL allowance) is £1,803k higher than the Balance Sheet's own £818,949k net Loans and advances figure for that year - the Stage table tracks ECL only, not the further 'Deferred fee income' deduction the FY2023/2022/2021 Note 11 shows separately (£4,043k/£6,449k/£7,733k respectively), which plausibly accounts for the FY2024 gap too even though it isn't separately disclosed that year - flagged as a probable explanation, not force-reconciled. FY2025's entire loan book (customer-facing business) was transferred to UBS AG London Branch on 20 June 2025 under a Part VII scheme (Note 35) - all FY2025 figures on this sheet are correctly nil, not a disclosure gap.</t>
        </is>
      </c>
    </row>
  </sheetData>
  <mergeCells count="1">
    <mergeCell ref="A28:K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Credit Suisse (UK) Limited — KM1 Key Metrics</t>
        </is>
      </c>
    </row>
    <row r="2">
      <c r="A2" s="2" t="inlineStr">
        <is>
          <t>The Bank's own published 'KM1 - Key metrics' template, reproduced whole; amounts in GBP '000 and ratios as printed. FY2021 is filled from the FY2022 edition's comparative column - see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305801</v>
      </c>
      <c r="C5" s="6" t="n">
        <v>299412</v>
      </c>
      <c r="D5" s="6" t="n">
        <v>291388</v>
      </c>
      <c r="E5" s="6" t="n">
        <v>330376</v>
      </c>
      <c r="F5" s="6" t="n">
        <v>336173</v>
      </c>
    </row>
    <row r="6">
      <c r="A6" s="6" t="inlineStr">
        <is>
          <t>2  Tier 1 capital (£'000)</t>
        </is>
      </c>
      <c r="B6" s="6" t="n">
        <v>305801</v>
      </c>
      <c r="C6" s="6" t="n">
        <v>299412</v>
      </c>
      <c r="D6" s="6" t="n">
        <v>291388</v>
      </c>
      <c r="E6" s="6" t="n">
        <v>330376</v>
      </c>
      <c r="F6" s="6" t="n">
        <v>336173</v>
      </c>
    </row>
    <row r="7">
      <c r="A7" s="6" t="inlineStr">
        <is>
          <t>3  Total capital (£'000)</t>
        </is>
      </c>
      <c r="B7" s="6" t="n">
        <v>305801</v>
      </c>
      <c r="C7" s="6" t="n">
        <v>346842</v>
      </c>
      <c r="D7" s="6" t="n">
        <v>344861</v>
      </c>
      <c r="E7" s="6" t="n">
        <v>385376</v>
      </c>
      <c r="F7" s="6" t="n">
        <v>391173</v>
      </c>
    </row>
    <row r="8">
      <c r="A8" s="5" t="inlineStr">
        <is>
          <t>Risk-weighted exposure amounts</t>
        </is>
      </c>
      <c r="B8" s="6" t="n"/>
      <c r="C8" s="6" t="n"/>
      <c r="D8" s="6" t="n"/>
      <c r="E8" s="6" t="n"/>
      <c r="F8" s="6" t="n"/>
    </row>
    <row r="9">
      <c r="A9" s="6" t="inlineStr">
        <is>
          <t>4  Total risk-weighted exposure amount (£'000)</t>
        </is>
      </c>
      <c r="B9" s="6" t="n">
        <v>160021</v>
      </c>
      <c r="C9" s="6" t="n">
        <v>671676</v>
      </c>
      <c r="D9" s="6" t="n">
        <v>999597</v>
      </c>
      <c r="E9" s="6" t="n">
        <v>1123970</v>
      </c>
      <c r="F9" s="6" t="n">
        <v>1335858</v>
      </c>
    </row>
    <row r="10">
      <c r="A10" s="5" t="inlineStr">
        <is>
          <t>Capital ratios (as a percentage of risk-weighted exposure amount)</t>
        </is>
      </c>
      <c r="B10" s="6" t="n"/>
      <c r="C10" s="6" t="n"/>
      <c r="D10" s="6" t="n"/>
      <c r="E10" s="6" t="n"/>
      <c r="F10" s="6" t="n"/>
    </row>
    <row r="11">
      <c r="A11" s="6" t="inlineStr">
        <is>
          <t>5  Common Equity Tier 1 ratio (%)</t>
        </is>
      </c>
      <c r="B11" s="6" t="inlineStr">
        <is>
          <t>191.10%</t>
        </is>
      </c>
      <c r="C11" s="6" t="inlineStr">
        <is>
          <t>44.58%</t>
        </is>
      </c>
      <c r="D11" s="6" t="inlineStr">
        <is>
          <t>29.15%</t>
        </is>
      </c>
      <c r="E11" s="6" t="inlineStr">
        <is>
          <t>29.39%</t>
        </is>
      </c>
      <c r="F11" s="6" t="inlineStr">
        <is>
          <t>25.17%</t>
        </is>
      </c>
    </row>
    <row r="12">
      <c r="A12" s="6" t="inlineStr">
        <is>
          <t>6  Tier 1 ratio (%)</t>
        </is>
      </c>
      <c r="B12" s="6" t="inlineStr">
        <is>
          <t>191.10%</t>
        </is>
      </c>
      <c r="C12" s="6" t="inlineStr">
        <is>
          <t>44.58%</t>
        </is>
      </c>
      <c r="D12" s="6" t="inlineStr">
        <is>
          <t>29.15%</t>
        </is>
      </c>
      <c r="E12" s="6" t="inlineStr">
        <is>
          <t>29.39%</t>
        </is>
      </c>
      <c r="F12" s="6" t="inlineStr">
        <is>
          <t>25.17%</t>
        </is>
      </c>
    </row>
    <row r="13">
      <c r="A13" s="6" t="inlineStr">
        <is>
          <t>7  Total capital ratio (%)</t>
        </is>
      </c>
      <c r="B13" s="6" t="inlineStr">
        <is>
          <t>191.10%</t>
        </is>
      </c>
      <c r="C13" s="6" t="inlineStr">
        <is>
          <t>51.64%</t>
        </is>
      </c>
      <c r="D13" s="6" t="inlineStr">
        <is>
          <t>34.50%</t>
        </is>
      </c>
      <c r="E13" s="6" t="inlineStr">
        <is>
          <t>34.29%</t>
        </is>
      </c>
      <c r="F13" s="6" t="inlineStr">
        <is>
          <t>29.28%</t>
        </is>
      </c>
    </row>
    <row r="14">
      <c r="A14" s="5" t="inlineStr">
        <is>
          <t>Additional own funds requirements based on Supervisory Review and Evaluation Process ('SREP') (as a percentage of risk-weighted exposure amount)</t>
        </is>
      </c>
      <c r="B14" s="6" t="n"/>
      <c r="C14" s="6" t="n"/>
      <c r="D14" s="6" t="n"/>
      <c r="E14" s="6" t="n"/>
      <c r="F14" s="6" t="n"/>
    </row>
    <row r="15">
      <c r="A15" s="6" t="inlineStr">
        <is>
          <t>UK 7a  Additional CET1 SREP requirements (%)</t>
        </is>
      </c>
      <c r="B15" s="6" t="inlineStr">
        <is>
          <t>3.32%</t>
        </is>
      </c>
      <c r="C15" s="6" t="inlineStr">
        <is>
          <t>3.32%</t>
        </is>
      </c>
      <c r="D15" s="6" t="inlineStr">
        <is>
          <t>1.77%</t>
        </is>
      </c>
      <c r="E15" s="6" t="inlineStr">
        <is>
          <t>1.77%</t>
        </is>
      </c>
      <c r="F15" s="6" t="inlineStr">
        <is>
          <t>3.51%</t>
        </is>
      </c>
    </row>
    <row r="16">
      <c r="A16" s="6" t="inlineStr">
        <is>
          <t>UK 7b  Additional AT1 SREP requirements (%)</t>
        </is>
      </c>
      <c r="B16" s="6" t="inlineStr">
        <is>
          <t>1.11%</t>
        </is>
      </c>
      <c r="C16" s="6" t="inlineStr">
        <is>
          <t>1.11%</t>
        </is>
      </c>
      <c r="D16" s="6" t="inlineStr">
        <is>
          <t>0.59%</t>
        </is>
      </c>
      <c r="E16" s="6" t="inlineStr">
        <is>
          <t>0.59%</t>
        </is>
      </c>
      <c r="F16" s="6" t="inlineStr">
        <is>
          <t>1.17%</t>
        </is>
      </c>
    </row>
    <row r="17">
      <c r="A17" s="6" t="inlineStr">
        <is>
          <t>UK 7c  Additional T2 SREP requirements (%)</t>
        </is>
      </c>
      <c r="B17" s="6" t="inlineStr">
        <is>
          <t>1.48%</t>
        </is>
      </c>
      <c r="C17" s="6" t="inlineStr">
        <is>
          <t>1.48%</t>
        </is>
      </c>
      <c r="D17" s="6" t="inlineStr">
        <is>
          <t>0.79%</t>
        </is>
      </c>
      <c r="E17" s="6" t="inlineStr">
        <is>
          <t>0.79%</t>
        </is>
      </c>
      <c r="F17" s="6" t="inlineStr">
        <is>
          <t>1.56%</t>
        </is>
      </c>
    </row>
    <row r="18">
      <c r="A18" s="6" t="inlineStr">
        <is>
          <t>UK 7d  Total SREP own funds requirements (%)</t>
        </is>
      </c>
      <c r="B18" s="6" t="inlineStr">
        <is>
          <t>13.91%</t>
        </is>
      </c>
      <c r="C18" s="6" t="inlineStr">
        <is>
          <t>13.91%</t>
        </is>
      </c>
      <c r="D18" s="6" t="inlineStr">
        <is>
          <t>11.15%</t>
        </is>
      </c>
      <c r="E18" s="6" t="inlineStr">
        <is>
          <t>11.15%</t>
        </is>
      </c>
      <c r="F18" s="6" t="inlineStr">
        <is>
          <t>14.24%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0.69%</t>
        </is>
      </c>
      <c r="C21" s="6" t="inlineStr">
        <is>
          <t>0.81%</t>
        </is>
      </c>
      <c r="D21" s="6" t="inlineStr">
        <is>
          <t>0.80%</t>
        </is>
      </c>
      <c r="E21" s="6" t="inlineStr">
        <is>
          <t>0.49%</t>
        </is>
      </c>
      <c r="F21" s="6" t="inlineStr">
        <is>
          <t>0.04%</t>
        </is>
      </c>
    </row>
    <row r="22">
      <c r="A22" s="6" t="inlineStr">
        <is>
          <t>11  Combined buffer requirement (%)</t>
        </is>
      </c>
      <c r="B22" s="6" t="inlineStr">
        <is>
          <t>3.19%</t>
        </is>
      </c>
      <c r="C22" s="6" t="inlineStr">
        <is>
          <t>3.31%</t>
        </is>
      </c>
      <c r="D22" s="6" t="inlineStr">
        <is>
          <t>3.30%</t>
        </is>
      </c>
      <c r="E22" s="6" t="inlineStr">
        <is>
          <t>2.99%</t>
        </is>
      </c>
      <c r="F22" s="6" t="inlineStr">
        <is>
          <t>2.54%</t>
        </is>
      </c>
    </row>
    <row r="23">
      <c r="A23" s="6" t="inlineStr">
        <is>
          <t>UK 11a  Overall capital requirements (%)</t>
        </is>
      </c>
      <c r="B23" s="6" t="inlineStr">
        <is>
          <t>17.10%</t>
        </is>
      </c>
      <c r="C23" s="6" t="inlineStr">
        <is>
          <t>17.22%</t>
        </is>
      </c>
      <c r="D23" s="6" t="inlineStr">
        <is>
          <t>14.45%</t>
        </is>
      </c>
      <c r="E23" s="6" t="inlineStr">
        <is>
          <t>14.14%</t>
        </is>
      </c>
      <c r="F23" s="6" t="inlineStr">
        <is>
          <t>16.78%</t>
        </is>
      </c>
    </row>
    <row r="24">
      <c r="A24" s="6" t="inlineStr">
        <is>
          <t>12  CET1 available after meeting the total SREP own funds requirements (%)</t>
        </is>
      </c>
      <c r="B24" s="6" t="inlineStr">
        <is>
          <t>183.28%</t>
        </is>
      </c>
      <c r="C24" s="6" t="inlineStr">
        <is>
          <t>36.75%</t>
        </is>
      </c>
      <c r="D24" s="6" t="inlineStr">
        <is>
          <t>22.88%</t>
        </is>
      </c>
      <c r="E24" s="6" t="inlineStr">
        <is>
          <t>23.12%</t>
        </is>
      </c>
      <c r="F24" s="6" t="inlineStr">
        <is>
          <t>17.16%</t>
        </is>
      </c>
    </row>
    <row r="25">
      <c r="A25" s="5" t="inlineStr">
        <is>
          <t>Leverage ratio</t>
        </is>
      </c>
      <c r="B25" s="6" t="n"/>
      <c r="C25" s="6" t="n"/>
      <c r="D25" s="6" t="n"/>
      <c r="E25" s="6" t="n"/>
      <c r="F25" s="6" t="n"/>
    </row>
    <row r="26">
      <c r="A26" s="6" t="inlineStr">
        <is>
          <t>13  Leverage ratio total exposure measure excluding claims on central banks (£'000)</t>
        </is>
      </c>
      <c r="B26" s="6" t="n">
        <v>352528</v>
      </c>
      <c r="C26" s="6" t="n">
        <v>1808065</v>
      </c>
      <c r="D26" s="6" t="n">
        <v>2409589</v>
      </c>
      <c r="E26" s="6" t="n">
        <v>2899039</v>
      </c>
      <c r="F26" s="6" t="n">
        <v>3616433</v>
      </c>
    </row>
    <row r="27">
      <c r="A27" s="6" t="inlineStr">
        <is>
          <t>14  Leverage ratio excluding claims on central banks (%)</t>
        </is>
      </c>
      <c r="B27" s="6" t="inlineStr">
        <is>
          <t>86.75%</t>
        </is>
      </c>
      <c r="C27" s="6" t="inlineStr">
        <is>
          <t>16.56%</t>
        </is>
      </c>
      <c r="D27" s="6" t="inlineStr">
        <is>
          <t>12.09%</t>
        </is>
      </c>
      <c r="E27" s="6" t="inlineStr">
        <is>
          <t>11.40%</t>
        </is>
      </c>
      <c r="F27" s="6" t="inlineStr">
        <is>
          <t>9.30%</t>
        </is>
      </c>
    </row>
    <row r="28">
      <c r="A28" s="5" t="inlineStr">
        <is>
          <t>Liquidity Coverage Ratio</t>
        </is>
      </c>
      <c r="B28" s="6" t="n"/>
      <c r="C28" s="6" t="n"/>
      <c r="D28" s="6" t="n"/>
      <c r="E28" s="6" t="n"/>
      <c r="F28" s="6" t="n"/>
    </row>
    <row r="29">
      <c r="A29" s="6" t="inlineStr">
        <is>
          <t>15  Total high-quality liquid assets (HQLA) (Weighted value - average) (£'000)</t>
        </is>
      </c>
      <c r="B29" s="6" t="n">
        <v>419937</v>
      </c>
      <c r="C29" s="6" t="n">
        <v>530822</v>
      </c>
      <c r="D29" s="6" t="n">
        <v>494954</v>
      </c>
      <c r="E29" s="6" t="n">
        <v>884980</v>
      </c>
      <c r="F29" s="6" t="n">
        <v>1084683</v>
      </c>
    </row>
    <row r="30">
      <c r="A30" s="6" t="inlineStr">
        <is>
          <t>UK 16a  Cash outflows - Total weighted value (£'000)</t>
        </is>
      </c>
      <c r="B30" s="6" t="n">
        <v>80955</v>
      </c>
      <c r="C30" s="6" t="n">
        <v>225651</v>
      </c>
      <c r="D30" s="6" t="n">
        <v>241742</v>
      </c>
      <c r="E30" s="6" t="n">
        <v>640811</v>
      </c>
      <c r="F30" s="6" t="n">
        <v>734039</v>
      </c>
    </row>
    <row r="31">
      <c r="A31" s="6" t="inlineStr">
        <is>
          <t>UK 16b  Cash inflows - Total weighted value (£'000)</t>
        </is>
      </c>
      <c r="B31" s="6" t="n">
        <v>56043</v>
      </c>
      <c r="C31" s="6" t="n">
        <v>121416</v>
      </c>
      <c r="D31" s="6" t="n">
        <v>174440</v>
      </c>
      <c r="E31" s="6" t="n">
        <v>244370</v>
      </c>
      <c r="F31" s="6" t="n">
        <v>255399</v>
      </c>
    </row>
    <row r="32">
      <c r="A32" s="6" t="inlineStr">
        <is>
          <t>16  Total net cash outflows (adjusted value) (£'000)</t>
        </is>
      </c>
      <c r="B32" s="6" t="n">
        <v>28755</v>
      </c>
      <c r="C32" s="6" t="n">
        <v>104235</v>
      </c>
      <c r="D32" s="6" t="n">
        <v>83862</v>
      </c>
      <c r="E32" s="6" t="n">
        <v>396440</v>
      </c>
      <c r="F32" s="6" t="n">
        <v>478638</v>
      </c>
    </row>
    <row r="33">
      <c r="A33" s="6" t="inlineStr">
        <is>
          <t>17  Liquidity coverage ratio (%)</t>
        </is>
      </c>
      <c r="B33" s="6" t="inlineStr">
        <is>
          <t>4860.58%</t>
        </is>
      </c>
      <c r="C33" s="6" t="inlineStr">
        <is>
          <t>539.19%</t>
        </is>
      </c>
      <c r="D33" s="6" t="inlineStr">
        <is>
          <t>729.77%</t>
        </is>
      </c>
      <c r="E33" s="6" t="inlineStr">
        <is>
          <t>229.60%</t>
        </is>
      </c>
      <c r="F33" s="6" t="inlineStr">
        <is>
          <t>230.07%</t>
        </is>
      </c>
    </row>
    <row r="34">
      <c r="A34" s="5" t="inlineStr">
        <is>
          <t>Net Stable Funding Ratio</t>
        </is>
      </c>
      <c r="B34" s="6" t="n"/>
      <c r="C34" s="6" t="n"/>
      <c r="D34" s="6" t="n"/>
      <c r="E34" s="6" t="n"/>
      <c r="F34" s="6" t="n"/>
    </row>
    <row r="35">
      <c r="A35" s="6" t="inlineStr">
        <is>
          <t>18  Total available stable funding (£'000)</t>
        </is>
      </c>
      <c r="B35" s="6" t="n">
        <v>486909</v>
      </c>
      <c r="C35" s="6" t="n">
        <v>1249395</v>
      </c>
      <c r="D35" s="6" t="n">
        <v>1398068</v>
      </c>
      <c r="E35" s="6" t="n">
        <v>1773117</v>
      </c>
      <c r="F35" s="6" t="n"/>
    </row>
    <row r="36">
      <c r="A36" s="6" t="inlineStr">
        <is>
          <t>19  Total required stable funding (£'000)</t>
        </is>
      </c>
      <c r="B36" s="6" t="n">
        <v>150879</v>
      </c>
      <c r="C36" s="6" t="n">
        <v>762813</v>
      </c>
      <c r="D36" s="6" t="n">
        <v>1076052</v>
      </c>
      <c r="E36" s="6" t="n">
        <v>1328489</v>
      </c>
      <c r="F36" s="6" t="n"/>
    </row>
    <row r="37">
      <c r="A37" s="6" t="inlineStr">
        <is>
          <t>20  NSFR ratio (%)</t>
        </is>
      </c>
      <c r="B37" s="6" t="inlineStr">
        <is>
          <t>3599.46%</t>
        </is>
      </c>
      <c r="C37" s="6" t="inlineStr">
        <is>
          <t>167.13%</t>
        </is>
      </c>
      <c r="D37" s="6" t="inlineStr">
        <is>
          <t>129.96%</t>
        </is>
      </c>
      <c r="E37" s="6" t="inlineStr">
        <is>
          <t>133.33%</t>
        </is>
      </c>
      <c r="F37" s="6" t="n"/>
    </row>
    <row r="39" ht="470" customHeight="1">
      <c r="A39" s="8" t="inlineStr">
        <is>
          <t xml:space="preserve">Sources - Credit Suisse (UK) Limited's own published 'KM1 - Key metrics' template, reproduced whole in the Bank's own row order, row numbers, labels and precision. All amounts are the template's own 'Amounts in GBP '000'; ratios exactly as printed. Each edition is UBS-hosted and reached from the Credit Suisse legal-entity disclosure index - https://www.ubs.com/global/en/investor-relations/complementary-financial-information/other-subsidiaries.html
FY2025: Pillar 3 Disclosures 2025, 'KM1 - Key metrics' (end-2025 column). NOTE THE FILENAME TRAP: this edition is published as 'csuk-pillar-3-disclosures-2026.pdf' - UBS names the file by publication year, while the document itself is titled 'Pillar 3 Disclosures 2025' and its column is headed 'end of 2025'. The document's own title governs here, not the filename.
FY2024: Pillar 3 Disclosures 2024, 'KM1 - Key metrics' (end-2024 column).
FY2023: Pillar 3 Disclosures 2023, 'KM1 - Key metrics' (end-2023 column).
FY2022: Pillar 3 Disclosures 2022, 'KM1 - Key metrics' (end-2022 column).
FY2021: FILLED FROM A LATER EDITION'S COMPARATIVE, and flagged here rather than presented as an own-year figure. CSUK's FY2021 edition prints NO KM1 template at all - it belongs to the pre-UK-CRR format, carrying an 'Own Funds' composition table (whose 'Total Capital (Own Funds)' of £391,172k does match row 3 below) but none of the template's structure. This was tested rather than assumed: the FY2021 edition contains zero occurrences of 'KM1', 'combined buffer', 'total exposure measure', 'Total SREP' and 'high-quality liquid', while the same document returns healthy counts for the control phrases 'own funds' (7), 'risk-weighted' (6), 'countercyclical' (3) and 'net stable funding' (3) - so the text is fully readable and the template is genuinely absent, not missed. The FY2021 column here is therefore the FY2022 edition's own '2021' comparative column.
ROWS 18-20 ARE BLANK FOR FY2021 BY FORMAL EXCLUSION, not for want of data. The FY2022 edition's own footnote (4) states: 'Net Stable Funding Ratio is computed as an average of the last four spot quarter end positions. This is new disclosure effective 2022, thus comparative figures for 2021 not shown.'
Rows UK 8a, UK 9a, 10, UK 10a and 14a-14e are not printed in any CSUK edition. Footnote (2) records why the leverage block is short: 'CSUK not being a LREQ firm, is not subject to minimum leverage ratio capital requirement.'
ROW 13 CROSS-EDITION DIVERGENCE (documented, not reconciled): the FY2023 edition prints a total exposure measure of 2,409,589 for end-2023, while the FY2024 edition's own 2023 comparative prints 2,409,588. The own-year edition's figure is used here.
WHY THIS SHEET DISAGREES WITH THE 11 METRIC SHEETS - A SOURCE DIFFERENCE, NOT AN ERROR. The metric sheets in this workbook are sourced from CSUK's Companies House ANNUAL REPORT KPI tables (see p3_sources above); this sheet reproduces the PILLAR 3 KM1 template. The two report different things on the liquidity rows, and the template says so itself:
  - Row 17 LCR. KM1 footnote (3): 'Liquidity coverage ratio computed as an average of 12 month-end observations to the reporting date.' The Annual Report's figure is a year-end spot ratio. Hence KM1 4860.58% / 539.19% / 729.77% / 229.60% against the LCR sheet's 1,154% / 451% / 554.67% / 216.40% for FY2025-FY2022. Both are correct on their own basis; neither has been adjusted toward the other.
  - BUT THE AVERAGING BASIS DOES NOT EXPLAIN FY2025, and it is recorded here rather than left to that assumption. Dividing each edition's own printed row 15 by its own printed row 16 gives a ratio the printed row 17 should be close to, and for FY2021-FY2024 it is: printed-over-implied is 1.015, 1.029, 1.236 and 1.059 respectively, the sort of gap an average-of-ratios rather than ratio-of-averages produces. For FY2025 the same test gives 4860.58% printed against 419,937 / 28,755 = 1460.40% implied, a factor of 3.33; and on the NSFR rows 3599.46% printed against 486,909 / 150,879 = 322.71% implied, a factor of 11.15, where FY2022 and FY2023 reconcile almost exactly (0.999 and 1.000). No averaging convention produces those. The FY2025 edition's own rows 17 and 20 therefore do not reconcile with its own rows 15/16 and 18/19.
    This was checked against the PAGE IMAGE, not merely the text layer, precisely because a number that fails its own arithmetic is usually a transcription fault rather than a fact about the bank. It is not one here: the rendered page of 'Pillar 3 Disclosures 2025', printed folio 16, plainly shows 4860.58% on row 17 and 3599.46% on row 20 beside HQLA 419,937, net cash outflows 28,755, available stable funding 486,909 and required stable funding 150,879. The figures are reproduced as published. Nothing here is derived or back-solved, and the implied percentages above are shown only as evidence of the non-reconciliation - they are deliberately NOT used in place of what the Bank printed.
  - Row 20 NSFR. KM1 footnote (4): 'computed as an average of the last four spot quarter end positions.' Hence 129.96% (KM1) against 129.25% (sheet) for FY2023, and 133.33% against 131.72% for FY2022.
  - Rows 4/5/6/7 for FY2021 come from the FY2022 edition's comparative column (see above), which restates what the Annual Report reported at the time: RWA 1,335,858 (£1,336m) against the sheet's £1,340m, CET1/Tier 1 ratio 25.17% against 25.09%, and Total capital ratio 29.28% against 29.19%.
  - Row 20 FY2025 differs additionally because the NSFR sheet rounds to '3,600%' where the template prints 3599.46% - a presentation difference of under a fiftieth of one percent, on top of the non-reconciliation described above.
  - Rows 5/6/14 for FY2024 differ in the source documents only by the Annual Report's rounding to whole percentages (KM1 44.58% and 16.56% against the sheets' '45%' and '17%'); those now fall inside tolerance and no longer register.
SEVEN cells differ in total, and every one falls into a class above: three from the restated FY2021 comparative on rows 5/6/7, two from the averaged-versus-spot NSFR on row 20 (FY2023 and FY2022), one from the restated FY2021 RWA on row 4, and one from rounding on row 20 FY2025. IT WAS ELEVEN UNTIL 18 SEPTEMBER 2026, and the four that went were the row 17 LCR cells for FY2025-FY2022. They did not go because a figure changed - none did - but because the LCR sheet now carries the Bank's Pillar 3 12-month-average LCR as its own second row alongside the Annual Report's spot row, so the template's row 17 has a same-basis counterpart to be checked against and matches it exactly. The basis difference that produced those four disagreements is unchanged and is still described above; it is simply now represented on both sheets instead of only one. Rows 1, 2, 3, 13 and 14 agree throughout - including row 3 FY2024, which is the figure corrected from 299 to 347 under this ticket. Rows 1 and 2 formerly registered as well, on FY2024/FY2023/FY2022, but that was a tolerance artefact of comparing a whole-£m sheet against a £'000 template and was resolved in verify_workbook.py on 2026-09-17; no figure changed.
These are recorded here deliberately. A verifier disagreement on any of these rows is the expected consequence of two genuinely different published bases and must not be removed by editing a figure.
ROWS 1, 2 AND 3 ARE EQUAL FOR FY2025 IN THE SOURCE - READ FROM THE DOCUMENT ON 2026-09-18, NOT INFERRED FROM THE OTHER SHEETS. The 'Pillar 3 Disclosures 2025' edition prints 305,801 on row 1 (CET1 capital), row 2 (Tier 1 capital) AND row 3 (Total capital) on printed folio 16, and prints 191.10% on rows 5, 6 and 7. The three coincide because CSUK had NO Additional Tier 1 and NO Tier 2 in issue at 31 December 2025. The same edition says so three ways: its CC1 prints row 29 CET1 305,801 and row 59 Total capital 305,801 with no AT1 or Tier 2 amount row populated at all (the only Tier 2 line is row 77, a CAP on the inclusion of credit risk adjustments, 62); its balance-sheet reconciliation prints 'Long term debt -' and 'of which: Subordinated debt -', with total shareholders' equity of 305,801, equal to CET1 to the pound; and its Article 437 narrative states 'CSUK's CET1 comprises permanent share capital of ordinary shares and reserves.' The Tier 2 of 47,430 that stood at end-2024 (346,842 - 299,412) had been redeemed. CSUK is in run-off following the UBS acquisition, which is also why RWA falls from 671,676 to 160,021 while CET1 holds flat.
Rows UK 7a/7b/7c/7d repeat FY2024's 3.32% / 1.11% / 1.48% / 13.91% exactly. That was confirmed in the FY2025 edition itself rather than carried over, because a repeated block is also what a copied column looks like.
THE FY2025 EDITION'S OWN 2024 COMPARATIVE COLUMN IS DEFECTIVE, and is recorded rather than corrected, the same treatment as the row 13 divergence above. That column prints rows 1, 2 and 3 all as 299,412 - repeating CET1 into the Total capital slot - while printing row 7 for the same column as 51.64%, a percentage which against its own row 4 of 671,676 is 346,842. The edition contradicts itself, and FY2024's own edition prints 346,842. FY2024 on this sheet therefore stays 346,842 under rule 1 and must not be 'corrected' toward this later comparative. This is very likely the origin of the FY2024 error corrected on 2026-09-17: the duplication was printed by the Bank first, in the edition a transcriber would reach for last.
LATEST-EDITION CHECK (2026-09-17, re-confirmed 2026-09-18): the UBS-hosted Credit Suisse legal-entity disclosure index was enumerated directly. The newest CSUK Pillar 3 is the 'Pillar 3 Disclosures 2025' edition used above for FY2025, so this workbook is current; no FY2026 edition exists yet.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 (combined with Tier 1)</t>
        </is>
      </c>
      <c r="B4" s="6" t="n">
        <v>306</v>
      </c>
      <c r="C4" s="6" t="n">
        <v>299</v>
      </c>
      <c r="D4" s="6" t="n">
        <v>291</v>
      </c>
      <c r="E4" s="6" t="n">
        <v>330</v>
      </c>
      <c r="F4" s="6" t="n">
        <v>336</v>
      </c>
      <c r="G4" s="6" t="n">
        <v>314</v>
      </c>
      <c r="H4" s="6" t="n">
        <v>300</v>
      </c>
      <c r="I4" s="6" t="n">
        <v>276</v>
      </c>
      <c r="J4" s="6" t="n">
        <v>213</v>
      </c>
      <c r="K4" s="6" t="n">
        <v>186</v>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Editions 2014-2018 are listed on the same index and have NOT been opened by this workbook - a standing lead, not an absence.
</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Credit Suisse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CET1 Ratio (combined with Tier 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Editions 2014-2018 are listed on the same index and have NOT been opened by this workbook - a standing lead, not an absence.
</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 (combined with CET1)</t>
        </is>
      </c>
      <c r="B4" s="6" t="n">
        <v>306</v>
      </c>
      <c r="C4" s="6" t="n">
        <v>299</v>
      </c>
      <c r="D4" s="6" t="n">
        <v>291</v>
      </c>
      <c r="E4" s="6" t="n">
        <v>330</v>
      </c>
      <c r="F4" s="6" t="n">
        <v>336</v>
      </c>
      <c r="G4" s="6" t="n">
        <v>314</v>
      </c>
      <c r="H4" s="6" t="n">
        <v>300</v>
      </c>
      <c r="I4" s="6" t="n">
        <v>276</v>
      </c>
      <c r="J4" s="6" t="n">
        <v>213</v>
      </c>
      <c r="K4" s="6" t="n">
        <v>186</v>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Editions 2014-2018 are listed on the same index and have NOT been opened by this workbook - a standing lead, not an absence.
</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Credit Suisse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 (combined with CET1)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Editions 2014-2018 are listed on the same index and have NOT been opened by this workbook - a standing lead, not an absence.
</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(Own Funds)</t>
        </is>
      </c>
      <c r="B4" s="6" t="n">
        <v>306</v>
      </c>
      <c r="C4" s="6" t="n">
        <v>347</v>
      </c>
      <c r="D4" s="6" t="n">
        <v>345</v>
      </c>
      <c r="E4" s="6" t="n">
        <v>385</v>
      </c>
      <c r="F4" s="6" t="n">
        <v>391</v>
      </c>
      <c r="G4" s="6" t="n">
        <v>369</v>
      </c>
      <c r="H4" s="6" t="n">
        <v>355</v>
      </c>
      <c r="I4" s="6" t="n">
        <v>331</v>
      </c>
      <c r="J4" s="6" t="n">
        <v>238</v>
      </c>
      <c r="K4" s="6" t="n">
        <v>211</v>
      </c>
    </row>
    <row r="5" ht="60" customHeight="1">
      <c r="A5" s="7" t="inlineStr">
        <is>
          <t>Note: FY2016-FY2020 (added under HD-026): a real, directly disclosed 'Own Funds' figure (Total Tier 1/CET1 capital + Total Tier 2 capital, i.e. subordinated debt) exists in every one of these 5 years' own Capital adequacy note, rounded to £m here (precise £'000 figures: FY2020 £368,692k, FY2019 £355,328k, FY2018 £330,660k, FY2017 £238,126k, FY2016 £210,547k). FY2021-FY2025: NOT directly disclosed as a separate figure in any of those 5 years' KPI tables - only a combined 'Tier 1 and CET1' figure is given there, with no mention of AT1 or Tier 2 instruments. The later own-funds tables in CSUK's official UBS-hosted Pillar 3 disclosures confirm Total Capital (rounded to £m) for FY2021-FY2025 as 391, 385, 345, 347 and 306 respectively.
FY2024 CORRECTED 2026-09-17 (was 299, under KM1-011): 299 is the CET1/Tier 1 figure, duplicated into the Total Capital slot. The cited source - CSUK's own 'Pillar 3 Disclosures 2024', table 'KM1 - Key metrics', row 3 'Total capital' - prints £346,842k for end-2024 against £299,412k of CET1 on rows 1 and 2, so the two genuinely differ that year by £47,430k of Tier 2. Three independent checks agree: the printed row 3 itself; that document's row 7 Total capital ratio of 51.64%, which against its printed RWA of £671,676k corresponds to £346.9m and cannot be reconciled with £299m (which is 44.58%, the printed CET1 ratio on rows 5/6); and the sourcing pattern of the four surrounding years, whose values here (391, 385, 345, 306) each match their own edition's printed row 3 exactly. This is a transcription slip corrected against the note's own cited document - not a figure altered to satisfy a checker.</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Editions 2014-2018 are listed on the same index and have NOT been opened by this workbook - a standing lead, not an absence.
</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Credit Suisse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191.10%</t>
        </is>
      </c>
      <c r="C4" s="6" t="inlineStr">
        <is>
          <t>51.64%</t>
        </is>
      </c>
      <c r="D4" s="6" t="inlineStr">
        <is>
          <t>34.50%</t>
        </is>
      </c>
      <c r="E4" s="6" t="inlineStr">
        <is>
          <t>34.29%</t>
        </is>
      </c>
      <c r="F4" s="6" t="inlineStr">
        <is>
          <t>29.19%</t>
        </is>
      </c>
    </row>
    <row r="5" ht="60" customHeight="1">
      <c r="A5" s="7" t="inlineStr">
        <is>
          <t>Note: Directly disclosed in the official UBS-hosted Pillar 3 KM1 tables for FY2021-FY2025; FY2016-FY2020 were not reported as a percentage in the located KPI/capital-adequacy tables. Not directly disclosed as a percentage ratio in any of the 5 earlier years' KPI tables or Capital adequacy notes checked (FY2016-FY2025) - only the £ Own Funds figure is given (see the Total Capital sheet), with no accompanying Total Capital Ratio %. NOT assumed or derived by dividing Own Funds by RWA without an explicit stated ratio, per project convention - left blank rather than guessed for FY2016-FY2020.</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Editions 2014-2018 are listed on the same index and have NOT been opened by this workbook - a standing lead, not an absence.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Credit Suisse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Risk Weighted Assets (RWA)</t>
        </is>
      </c>
      <c r="B4" s="6" t="n">
        <v>160</v>
      </c>
      <c r="C4" s="6" t="n">
        <v>672</v>
      </c>
      <c r="D4" s="6" t="n">
        <v>1000</v>
      </c>
      <c r="E4" s="6" t="n">
        <v>1124</v>
      </c>
      <c r="F4" s="6" t="n">
        <v>1340</v>
      </c>
      <c r="G4" s="6" t="n">
        <v>1338</v>
      </c>
      <c r="H4" s="6" t="n">
        <v>1371</v>
      </c>
      <c r="I4" s="6" t="n">
        <v>1225</v>
      </c>
      <c r="J4" s="6" t="n">
        <v>1241</v>
      </c>
    </row>
    <row r="6" ht="170" customHeight="1">
      <c r="A6"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Editions 2014-2018 are listed on the same index and have NOT been opened by this workbook - a standing lead, not an absence.
</t>
        </is>
      </c>
    </row>
  </sheetData>
  <mergeCells count="1">
    <mergeCell ref="A6:J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RWA Breakdown</t>
        </is>
      </c>
    </row>
    <row r="2">
      <c r="A2" s="2" t="inlineStr">
        <is>
          <t>£'000s. UK OV1 template FY2022-FY2025; older pre-OV1 format for FY2021. Not publicly disclosed FY2016-FY2020 -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UK OV1 — Overview of risk weighted exposure amounts (FY2022-FY2025)</t>
        </is>
      </c>
      <c r="B4" s="6" t="n"/>
      <c r="C4" s="6" t="n"/>
      <c r="D4" s="6" t="n"/>
      <c r="E4" s="6" t="n"/>
      <c r="F4" s="6" t="n"/>
      <c r="G4" s="6" t="n"/>
      <c r="H4" s="6" t="n"/>
      <c r="I4" s="6" t="n"/>
      <c r="J4" s="6" t="n"/>
      <c r="K4" s="6" t="n"/>
    </row>
    <row r="5">
      <c r="A5" s="6" t="inlineStr">
        <is>
          <t>Credit risk (excluding CCR)</t>
        </is>
      </c>
      <c r="B5" s="6" t="n">
        <v>4053</v>
      </c>
      <c r="C5" s="6" t="n">
        <v>449009</v>
      </c>
      <c r="D5" s="6" t="n">
        <v>750436</v>
      </c>
      <c r="E5" s="6" t="n">
        <v>884443</v>
      </c>
      <c r="F5" s="6" t="n"/>
      <c r="G5" s="6" t="n"/>
      <c r="H5" s="6" t="n"/>
      <c r="I5" s="6" t="n"/>
      <c r="J5" s="6" t="n"/>
      <c r="K5" s="6" t="n"/>
    </row>
    <row r="6">
      <c r="A6" s="6" t="inlineStr">
        <is>
          <t>Counterparty credit risk (CCR)</t>
        </is>
      </c>
      <c r="B6" s="6" t="n">
        <v>887</v>
      </c>
      <c r="C6" s="6" t="n">
        <v>33553</v>
      </c>
      <c r="D6" s="6" t="n">
        <v>30969</v>
      </c>
      <c r="E6" s="6" t="n">
        <v>30213</v>
      </c>
      <c r="F6" s="6" t="n"/>
      <c r="G6" s="6" t="n"/>
      <c r="H6" s="6" t="n"/>
      <c r="I6" s="6" t="n"/>
      <c r="J6" s="6" t="n"/>
      <c r="K6" s="6" t="n"/>
    </row>
    <row r="7">
      <c r="A7" s="6" t="inlineStr">
        <is>
          <t>Market risk</t>
        </is>
      </c>
      <c r="B7" s="6" t="n">
        <v>7791</v>
      </c>
      <c r="C7" s="6" t="n"/>
      <c r="D7" s="6" t="n">
        <v>15933</v>
      </c>
      <c r="E7" s="6" t="n"/>
      <c r="F7" s="6" t="n"/>
      <c r="G7" s="6" t="n"/>
      <c r="H7" s="6" t="n"/>
      <c r="I7" s="6" t="n"/>
      <c r="J7" s="6" t="n"/>
      <c r="K7" s="6" t="n"/>
    </row>
    <row r="8">
      <c r="A8" s="6" t="inlineStr">
        <is>
          <t>Operational risk</t>
        </is>
      </c>
      <c r="B8" s="6" t="n">
        <v>147290</v>
      </c>
      <c r="C8" s="6" t="n">
        <v>189114</v>
      </c>
      <c r="D8" s="6" t="n">
        <v>202259</v>
      </c>
      <c r="E8" s="6" t="n">
        <v>209312</v>
      </c>
      <c r="F8" s="6" t="n"/>
      <c r="G8" s="6" t="n"/>
      <c r="H8" s="6" t="n"/>
      <c r="I8" s="6" t="n"/>
      <c r="J8" s="6" t="n"/>
      <c r="K8" s="6" t="n"/>
    </row>
    <row r="9">
      <c r="A9" s="6" t="inlineStr">
        <is>
          <t>Settlement risk</t>
        </is>
      </c>
      <c r="B9" s="6" t="n"/>
      <c r="C9" s="6" t="n"/>
      <c r="D9" s="6" t="n"/>
      <c r="E9" s="6" t="n">
        <v>3</v>
      </c>
      <c r="F9" s="6" t="n"/>
      <c r="G9" s="6" t="n"/>
      <c r="H9" s="6" t="n"/>
      <c r="I9" s="6" t="n"/>
      <c r="J9" s="6" t="n"/>
      <c r="K9" s="6" t="n"/>
    </row>
    <row r="10">
      <c r="A10" s="5" t="inlineStr">
        <is>
          <t>Pre-OV1 format, collapsed to summary lines (FY2021)</t>
        </is>
      </c>
      <c r="B10" s="6" t="n"/>
      <c r="C10" s="6" t="n"/>
      <c r="D10" s="6" t="n"/>
      <c r="E10" s="6" t="n"/>
      <c r="F10" s="6" t="n"/>
      <c r="G10" s="6" t="n"/>
      <c r="H10" s="6" t="n"/>
      <c r="I10" s="6" t="n"/>
      <c r="J10" s="6" t="n"/>
      <c r="K10" s="6" t="n"/>
    </row>
    <row r="11">
      <c r="A11" s="6" t="inlineStr">
        <is>
          <t>Total credit and counterparty credit risk</t>
        </is>
      </c>
      <c r="B11" s="6" t="n"/>
      <c r="C11" s="6" t="n"/>
      <c r="D11" s="6" t="n"/>
      <c r="E11" s="6" t="n"/>
      <c r="F11" s="6" t="n">
        <v>1109433</v>
      </c>
      <c r="G11" s="6" t="n"/>
      <c r="H11" s="6" t="n"/>
      <c r="I11" s="6" t="n"/>
      <c r="J11" s="6" t="n"/>
      <c r="K11" s="6" t="n"/>
    </row>
    <row r="12">
      <c r="A12" s="6" t="inlineStr">
        <is>
          <t>Total market risk</t>
        </is>
      </c>
      <c r="B12" s="6" t="n"/>
      <c r="C12" s="6" t="n"/>
      <c r="D12" s="6" t="n"/>
      <c r="E12" s="6" t="n"/>
      <c r="F12" s="6" t="n">
        <v>0</v>
      </c>
      <c r="G12" s="6" t="n"/>
      <c r="H12" s="6" t="n"/>
      <c r="I12" s="6" t="n"/>
      <c r="J12" s="6" t="n"/>
      <c r="K12" s="6" t="n"/>
    </row>
    <row r="13">
      <c r="A13" s="6" t="inlineStr">
        <is>
          <t>Total other risks (operational risk)</t>
        </is>
      </c>
      <c r="B13" s="6" t="n"/>
      <c r="C13" s="6" t="n"/>
      <c r="D13" s="6" t="n"/>
      <c r="E13" s="6" t="n"/>
      <c r="F13" s="6" t="n">
        <v>230434</v>
      </c>
      <c r="G13" s="6" t="n"/>
      <c r="H13" s="6" t="n"/>
      <c r="I13" s="6" t="n"/>
      <c r="J13" s="6" t="n"/>
      <c r="K13" s="6" t="n"/>
    </row>
    <row r="14">
      <c r="A14" s="5" t="inlineStr">
        <is>
          <t>Total RWAs</t>
        </is>
      </c>
      <c r="B14" s="5" t="n">
        <v>160021</v>
      </c>
      <c r="C14" s="5" t="n">
        <v>671676</v>
      </c>
      <c r="D14" s="5" t="n">
        <v>999597</v>
      </c>
      <c r="E14" s="5" t="n">
        <v>1123970</v>
      </c>
      <c r="F14" s="5" t="n">
        <v>1339867</v>
      </c>
      <c r="G14" s="5" t="inlineStr">
        <is>
          <t>Not publicly disclosed</t>
        </is>
      </c>
      <c r="H14" s="5" t="inlineStr">
        <is>
          <t>Not publicly disclosed</t>
        </is>
      </c>
      <c r="I14" s="5" t="inlineStr">
        <is>
          <t>Not publicly disclosed</t>
        </is>
      </c>
      <c r="J14" s="5" t="inlineStr">
        <is>
          <t>Not publicly disclosed</t>
        </is>
      </c>
      <c r="K14" s="5" t="inlineStr">
        <is>
          <t>Not publicly disclosed</t>
        </is>
      </c>
    </row>
    <row r="16" ht="340" customHeight="1">
      <c r="A16" s="8" t="inlineStr">
        <is>
          <t>CORRECTION (fresh re-verification, 2026-09-12): the prior version of this sheet claimed no category-level RWA breakdown was disclosed in any year, based only on a check of the Companies House Annual Report filings. That check was incomplete - a standalone Pillar 3 disclosure document for this entity DOES exist (UBS-hosted, since UBS's acquisition of Credit Suisse), and it carries a full risk-category RWA breakdown for FY2021-FY2025 (FY2016-FY2020 remain genuinely undisclosed - no standalone Pillar 3 document for this entity has been found for those years, consistent with the existing CET1/Tier 1/Total RWAs sheets' own source notes).
Sources - Credit Suisse (UK) Limited Pillar 3 Disclosures, £'000s, each year's own originally-published figures used as primary (not a later restated comparative), per project convention:
FY2025: Pillar 3 Disclosures 2025, 'OV1 - Overview of risk weighted exposure amounts', p.18 - https://www.ubs.com/global/en/investor-relations/complementary-financial-information/other-subsidiaries.html (csuk-pillar-3-disclosures-2026.pdf)
FY2024: Pillar 3 Disclosures 2024, 'OV1 - Overview of risk weighted exposure amounts', p.26 - same page (csuk-pillar-3-disclosures-2024.pdf)
FY2023: sourced from the FY2024 Pillar 3 Disclosures' own FY2023 comparative column (same table/page) - FY2023's own standalone Pillar 3 document was not located separately.
FY2022: Pillar 3 Disclosures 2022, 'OV1 - Overview of risk weighted exposure amounts' - https://www.ubs.com/global/en/investor-relations/complementary-financial-information/disclosure-legal-entities/archive-credit-suisse.html (csuk-pillar-3-disclosures-2022.pdf)
FY2021: Pillar 3 Disclosures 2021, 'RWA and Capital Requirements' table (pre-dates the OV1 template/label, same underlying disclosure, broken down further by credit-risk exposure class) - same archive page (2021-csuk-pillar-3-disclosures.pdf)
Every year's Total ties to the Total RWAs sheet's own figure (to the nearest £m). FY2021's own document uses an older, pre-OV1 layout (exposure-class detail within credit risk; three summary lines 'Total credit and counterparty credit risk' / 'Total market risk' / 'Total other risks') rather than the UK OV1 template used from FY2022 onward - shown here collapsed to the three summary lines for consistency, with a £3k Settlement risk line disclosed only in FY2022 (immaterial, included in that year's Total). No separate Market risk RWA line is disclosed for FY2022/FY2024 (each document's own notes state there is no market risk RWA those years, non-GBP FX exposure below the 2%-of-capital threshold) - left blank rather than forced to zero, consistent with each year's own template only carrying the rows it actually discloses.
FY2016-FY2020: not publicly disclosed - confirmed by reading each year's Annual Report in full (all numbered notes through to the final note in each filing), plus the existing Pillar 3 KPI-table sourcing already used for the CET1/Tier 1/Total RWAs/Leverage/LCR/NSFR sheets. No 'Capital Adequacy' note with an RWA category breakdown exists in any of these Companies House filings, and no standalone Pillar 3 document for this entity has been found covering these years.</t>
        </is>
      </c>
    </row>
  </sheetData>
  <mergeCells count="1">
    <mergeCell ref="A16:K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Credit Suisse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t>
        </is>
      </c>
      <c r="B4" s="6" t="inlineStr">
        <is>
          <t>87%</t>
        </is>
      </c>
      <c r="C4" s="6" t="inlineStr">
        <is>
          <t>17%</t>
        </is>
      </c>
      <c r="D4" s="6" t="inlineStr">
        <is>
          <t>12.09%</t>
        </is>
      </c>
      <c r="E4" s="6" t="inlineStr">
        <is>
          <t>11.40%</t>
        </is>
      </c>
      <c r="F4" s="6" t="inlineStr">
        <is>
          <t>9.30%</t>
        </is>
      </c>
      <c r="G4" s="6" t="inlineStr">
        <is>
          <t>8.07%</t>
        </is>
      </c>
      <c r="H4" s="6" t="inlineStr">
        <is>
          <t>8.47%</t>
        </is>
      </c>
      <c r="I4" s="6" t="inlineStr">
        <is>
          <t>7.8%</t>
        </is>
      </c>
      <c r="J4" s="6" t="inlineStr">
        <is>
          <t>6.3%</t>
        </is>
      </c>
    </row>
    <row r="6" ht="170" customHeight="1">
      <c r="A6"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Editions 2014-2018 are listed on the same index and have NOT been opened by this workbook - a standing lead, not an absence.
FY2023-FY2019 FILLED 2026-09-18 (interior-gap sweep). This row previously jumped from FY2018 to FY2024 with five blank years between - the classic interior hole, and it was ours, not the Bank's. The sentence it replaces read that the metric was 'confirmed genuinely absent for FY2016/FY2019-FY2023, not omitted by search'. That was a true statement about ONE document - the Annual Report KPI table, which really does drop the 'Statement of Financial Position' KPI section for those years - written down as a statement about the BANK. CSUK published a leverage ratio in every one of those five years, in its own standalone Pillar 3 disclosure, and each figure below is from THAT YEAR'S OWN EDITION (no comparative columns used):
  FY2023 12.09% - 'Pillar 3 Disclosures 2023', KM1 row 14 'Leverage ratio excluding claims on central banks (%)', printed folio 20, and repeated in that edition's Leverage Ratio narrative ('CSUK's leverage ratio increased to 12.09% as at 31 December 2023 from 11.40% as at 31 December 2022') - https://www.ubs.com/global/en/investor-relations/complementary-financial-information/disclosure-legal-entities/archive-credit-suisse/_jcr_content/root/contentarea/mainpar/toplevelgrid_1145414446/col_1/accordionbox/accordionsplit_485894160/table.1454258810.file/dGFibGVUZXh0PS9jb250ZW50L2RhbS9hc3NldHMvY2MvaW52ZXN0b3ItcmVsYXRpb25zL2NvbXBsZW1lbnRhcnktZmluYW5jaWFsLWluZm9ybWF0aW9uL2FyY2hpdmUvMjAyMy8yMDIzLWNzdWstcGlsbGFyLTMtZGlzY2xvc3VyZXMucGRm/2023-csuk-pillar-3-disclosures.pdf
  FY2022 11.40% - 'Pillar 3 Disclosures 2022', KM1 row 14, printed folio 19, and repeated in that edition's narrative ('CSUK's leverage ratio increased to 11.40% as at 31 December 2022 from 9.30% as at 31 December 2021') - https://www.ubs.com/global/en/investor-relations/complementary-financial-information/disclosure-legal-entities/archive-credit-suisse/_jcr_content/root/contentarea/mainpar/toplevelgrid_1145414446/col_1/accordionbox/accordionsplit_1343042181/innergrid/col_1/table.1831372465.file/dGFibGVUZXh0PS9jb250ZW50L2RhbS9hc3NldHMvY2MvaW52ZXN0b3ItcmVsYXRpb25zL2NvbXBsZW1lbnRhcnktZmluYW5jaWFsLWluZm9ybWF0aW9uL2FyY2hpdmUvMjAyMi9jc3VrLXBpbGxhci0zLWRpc2Nsb3N1cmVzLTIwMjIucGRm/csuk-pillar-3-disclosures-2022.pdf
  FY2021 9.30% - '2021 Pillar 3 Disclosures', 'Leverage Ratio Common Disclosure' table, final row, printed folio 33 ('Leverage Ratio 9.30 %') - https://www.ubs.com/global/en/investor-relations/complementary-financial-information/disclosure-legal-entities/archive-credit-suisse/_jcr_content/root/contentarea/mainpar/toplevelgrid_1145414446/col_1/accordionbox/accordionsplit_794647952/table_1735174296.1230522569.file/dGFibGVUZXh0PS9jb250ZW50L2RhbS9hc3NldHMvY2MvaW52ZXN0b3ItcmVsYXRpb25zL2NvbXBsZW1lbnRhcnktZmluYW5jaWFsLWluZm9ybWF0aW9uL2FyY2hpdmUvMjAyMS8yMDIxLWNzdWstcGlsbGFyLTMtZGlzY2xvc3VyZXMucGRm/2021-csuk-pillar-3-disclosures.pdf
  FY2020 8.07% - '2020 Pillar 3 Disclosures', 'Leverage Ratio Common Disclosure' table, printed folio 24 ('Leverage Ratio 8.07%'; Tier 1 Capital 295,460 / Total Exposures 3,659,748) - https://www.ubs.com/global/en/investor-relations/complementary-financial-information/disclosure-legal-entities/archive-credit-suisse/_jcr_content/root/contentarea/mainpar/toplevelgrid_1145414446/col_1/accordionbox/accordionsplit/table.670434488.file/dGFibGVUZXh0PS9jb250ZW50L2RhbS9hc3NldHMvY2MvaW52ZXN0b3ItcmVsYXRpb25zL2NvbXBsZW1lbnRhcnktZmluYW5jaWFsLWluZm9ybWF0aW9uL2FyY2hpdmUvMjAyMC8yMDIwLWNzdWstcGlsbGFyLTMtZGlzY2xvc3VyZXMucGRm/2020-csuk-pillar-3-disclosures.pdf
  FY2019 8.47% - 'Pillar 3 Disclosures 2019', 'Leverage Ratio Common Disclosure' table, printed folio 22 ('Leverage Ratio 8.47%'; Tier 1 Capital 300,176 / Total Exposures 3,544,752) - https://www.ubs.com/global/en/investor-relations/complementary-financial-information/disclosure-legal-entities/archive-credit-suisse/_jcr_content/root/contentarea/mainpar/toplevelgrid_1145414446/col_1/accordionbox/accordionsplit_ba44/table.1211843275.file/dGFibGVUZXh0PS9jb250ZW50L2RhbS9hc3NldHMvY2MvaW52ZXN0b3ItcmVsYXRpb25zL2NvbXBsZW1lbnRhcnktZmluYW5jaWFsLWluZm9ybWF0aW9uL2FyY2hpdmUvMjAxOS8yMDE5LWNzdWstcGlsbGFyLTMtZGlzY2xvc3VyZXMucGRm/2019-csuk-pillar-3-disclosures.pdf
CROSS-EDITION RESTATEMENTS, DOCUMENTED AND DELIBERATELY NOT APPLIED. Two of these years are restated by the NEXT edition's narrative comparative, and the own-year figure is kept in both cases per this project's own-edition rule: the 2020 edition says the ratio 'increased to 8.07% as at 31 December 2020 from 7.74% as at 31 December 2019', against the 2019 edition's own 8.47%; and the 2021 edition says it 'increased to 9.30% as at 31 December 2021 from 8.57% as at 31 December 2020', against the 2020 edition's own 8.07%. CSUK never explains either movement. Do not reconcile them.
BASIS BREAK, stated rather than smoothed: FY2019-FY2021 are the CRR / Commission Delegated Act leverage ratio (Tier 1 capital over total exposures) as each of those editions defines it, whereas FY2022 onward are captioned 'excluding claims on central banks' under the UK leverage framework. The two coincide at the FY2021/FY2022 join - the FY2022 edition's own 2021 comparative on the UK-captioned row prints exactly the 9.30% the 2021 edition printed on the CRR row - but that is the Bank's own arithmetic, not an equivalence asserted here.
FY2016 remains blank: that year has no KPI table and its standalone Pillar 3 was not opened in this pass (an edition for 2016 IS listed on the UBS archive index - see the reach note in the sources above - so the FY2016 blank is an UNCHECKED lead, not a demonstrated absence).</t>
        </is>
      </c>
    </row>
  </sheetData>
  <mergeCells count="1">
    <mergeCell ref="A6:J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Credit Suisse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(LCR) - spot, year-end basis (Annual Report)</t>
        </is>
      </c>
      <c r="B4" s="6" t="inlineStr">
        <is>
          <t>1,154%</t>
        </is>
      </c>
      <c r="C4" s="6" t="inlineStr">
        <is>
          <t>451%</t>
        </is>
      </c>
      <c r="D4" s="6" t="inlineStr">
        <is>
          <t>554.67%</t>
        </is>
      </c>
      <c r="E4" s="6" t="inlineStr">
        <is>
          <t>216.40%</t>
        </is>
      </c>
      <c r="F4" s="6" t="inlineStr">
        <is>
          <t>216%</t>
        </is>
      </c>
      <c r="G4" s="6" t="n"/>
      <c r="H4" s="6" t="n"/>
      <c r="I4" s="6" t="inlineStr">
        <is>
          <t>154%</t>
        </is>
      </c>
    </row>
    <row r="5">
      <c r="A5" s="6" t="inlineStr">
        <is>
          <t>Liquidity Coverage Ratio (LCR) - Pillar 3 basis, 12-month average of month-end observations</t>
        </is>
      </c>
      <c r="B5" s="6" t="inlineStr">
        <is>
          <t>4860.58%</t>
        </is>
      </c>
      <c r="C5" s="6" t="inlineStr">
        <is>
          <t>539.19%</t>
        </is>
      </c>
      <c r="D5" s="6" t="inlineStr">
        <is>
          <t>729.77%</t>
        </is>
      </c>
      <c r="E5" s="6" t="inlineStr">
        <is>
          <t>229.60%</t>
        </is>
      </c>
      <c r="F5" s="6" t="inlineStr">
        <is>
          <t>230%</t>
        </is>
      </c>
      <c r="G5" s="6" t="inlineStr">
        <is>
          <t>300%</t>
        </is>
      </c>
      <c r="H5" s="6" t="inlineStr">
        <is>
          <t>246%</t>
        </is>
      </c>
      <c r="I5" s="6" t="n"/>
    </row>
    <row r="7" ht="170" customHeight="1">
      <c r="A7"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Editions 2014-2018 are listed on the same index and have NOT been opened by this workbook - a standing lead, not an absence.
TWO ROWS, TWO DIFFERENT MEASURES - read the labels. The Bank publishes an LCR on two bases and says so itself, so they are kept as separate rows and neither is adjusted toward the other. The Pillar 3 2020 edition, printed folio 21, footnotes its own table: 'For the purpose of Pillar 3, the values are calculated as the simple average of the month-end observations over the preceding twelve months. The HQLA and LCR reported as at 31 December 2020 in CSUK Annual Report represents the spot value as of the reporting date.'
ROW 1 (spot, year-end) is the Annual Report basis. FY2021 ADDED 2026-09-18: 216%, stated by CSUK itself in the '2021 Pillar 3 Disclosures', printed folio 29, footnote to the LCR table - 'the HQLA and LCR reported as at 31 December 2021 in CSUK Annual Report represents the spot value of 216% as of the reporting date' - https://www.ubs.com/global/en/investor-relations/complementary-financial-information/disclosure-legal-entities/archive-credit-suisse/_jcr_content/root/contentarea/mainpar/toplevelgrid_1145414446/col_1/accordionbox/accordionsplit_794647952/table_1735174296.1230522569.file/dGFibGVUZXh0PS9jb250ZW50L2RhbS9hc3NldHMvY2MvaW52ZXN0b3ItcmVsYXRpb25zL2NvbXBsZW1lbnRhcnktZmluYW5jaWFsLWluZm9ybWF0aW9uL2FyY2hpdmUvMjAyMS8yMDIxLWNzdWstcGlsbGFyLTMtZGlzY2xvc3VyZXMucGRm/2021-csuk-pillar-3-disclosures.pdf. It is a spot figure quoted from the Annual Report by the Bank's own Pillar 3, so it belongs on this row and not the average row. FY2020 and FY2019 have NO published spot LCR anywhere located: the 2020 edition's footnote names the Annual Report's spot value without printing it, the 2019 edition carries no such footnote at all, and those years' KPI tables give only a Liquidity Buffer £ amount. Those two cells stay blank on this row. FY2018's 154% is itself captioned 'Average Liquidity Coverage Ratio' in that year's KPI table - a pre-existing basis inconsistency on this row, flagged here rather than silently corrected. FY2017's own comparative column explicitly states 'n/a'; FY2016 has no KPI table at all.
ROW 2 (Pillar 3, 12-month average) ADDED 2026-09-18. This is the row that fills FY2020 and FY2019, and every figure is the reporting-year column of that year's OWN edition:
  FY2019 246% - 'Pillar 3 Disclosures 2019', LCR table, printed folio 19, 'Quarter ending on 31/12/2019' column (Liquidity Buffer £1,010m / Total Net Cash Outflows £462m) - https://www.ubs.com/global/en/investor-relations/complementary-financial-information/disclosure-legal-entities/archive-credit-suisse/_jcr_content/root/contentarea/mainpar/toplevelgrid_1145414446/col_1/accordionbox/accordionsplit_ba44/table.1211843275.file/dGFibGVUZXh0PS9jb250ZW50L2RhbS9hc3NldHMvY2MvaW52ZXN0b3ItcmVsYXRpb25zL2NvbXBsZW1lbnRhcnktZmluYW5jaWFsLWluZm9ybWF0aW9uL2FyY2hpdmUvMjAxOS8yMDE5LWNzdWstcGlsbGFyLTMtZGlzY2xvc3VyZXMucGRm/2019-csuk-pillar-3-disclosures.pdf
  FY2020 300% - '2020 Pillar 3 Disclosures', LCR table, printed folio 21, 'Quarter ending on 31/12/2020' column (£938m / £365m) - https://www.ubs.com/global/en/investor-relations/complementary-financial-information/disclosure-legal-entities/archive-credit-suisse/_jcr_content/root/contentarea/mainpar/toplevelgrid_1145414446/col_1/accordionbox/accordionsplit/table.670434488.file/dGFibGVUZXh0PS9jb250ZW50L2RhbS9hc3NldHMvY2MvaW52ZXN0b3ItcmVsYXRpb25zL2NvbXBsZW1lbnRhcnktZmluYW5jaWFsLWluZm9ybWF0aW9uL2FyY2hpdmUvMjAyMC8yMDIwLWNzdWstcGlsbGFyLTMtZGlzY2xvc3VyZXMucGRm/2020-csuk-pillar-3-disclosures.pdf
  FY2021 230% - '2021 Pillar 3 Disclosures', LCR table, printed folio 29, 'Quarter ending on 31/12/2021' column (£1,085m / £479m), printed as '230 %' - https://www.ubs.com/global/en/investor-relations/complementary-financial-information/disclosure-legal-entities/archive-credit-suisse/_jcr_content/root/contentarea/mainpar/toplevelgrid_1145414446/col_1/accordionbox/accordionsplit_794647952/table_1735174296.1230522569.file/dGFibGVUZXh0PS9jb250ZW50L2RhbS9hc3NldHMvY2MvaW52ZXN0b3ItcmVsYXRpb25zL2NvbXBsZW1lbnRhcnktZmluYW5jaWFsLWluZm9ybWF0aW9uL2FyY2hpdmUvMjAyMS8yMDIxLWNzdWstcGlsbGFyLTMtZGlzY2xvc3VyZXMucGRm/2021-csuk-pillar-3-disclosures.pdf. The FY2022 edition's own 2021 KM1 comparative prints this to two decimals as 230.07%; the own-edition figure is used here and the KM1 Key Metrics sheet keeps the comparative's 230.07% on its own row, so the workbook shows both.
  FY2022 229.60% and FY2023 729.77% - KM1 row 17 of the 2022 and 2023 editions, printed folios 19 and 20 - https://www.ubs.com/global/en/investor-relations/complementary-financial-information/disclosure-legal-entities/archive-credit-suisse/_jcr_content/root/contentarea/mainpar/toplevelgrid_1145414446/col_1/accordionbox/accordionsplit_1343042181/innergrid/col_1/table.1831372465.file/dGFibGVUZXh0PS9jb250ZW50L2RhbS9hc3NldHMvY2MvaW52ZXN0b3ItcmVsYXRpb25zL2NvbXBsZW1lbnRhcnktZmluYW5jaWFsLWluZm9ybWF0aW9uL2FyY2hpdmUvMjAyMi9jc3VrLXBpbGxhci0zLWRpc2Nsb3N1cmVzLTIwMjIucGRm/csuk-pillar-3-disclosures-2022.pdf / https://www.ubs.com/global/en/investor-relations/complementary-financial-information/disclosure-legal-entities/archive-credit-suisse/_jcr_content/root/contentarea/mainpar/toplevelgrid_1145414446/col_1/accordionbox/accordionsplit_485894160/table.1454258810.file/dGFibGVUZXh0PS9jb250ZW50L2RhbS9hc3NldHMvY2MvaW52ZXN0b3ItcmVsYXRpb25zL2NvbXBsZW1lbnRhcnktZmluYW5jaWFsLWluZm9ybWF0aW9uL2FyY2hpdmUvMjAyMy8yMDIzLWNzdWstcGlsbGFyLTMtZGlzY2xvc3VyZXMucGRm/2023-csuk-pillar-3-disclosures.pdf
  FY2024 539.19% and FY2025 4860.58% - KM1 row 17 of the 2024 and 2025 editions, as already reproduced on the KM1 Key Metrics sheet (see that sheet's note on FY2025's failure to reconcile with its own rows 15/16 - reproduced as published, not corrected).
WHAT THIS REPLACES: this note used to say FY2019/FY2020/FY2021 were 'confirmed genuinely absent for that year, not omitted by search'. They were absent from the Annual Report KPI table, which is the only document that sentence had actually looked at.</t>
        </is>
      </c>
    </row>
  </sheetData>
  <mergeCells count="1">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Credit Suisse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(NSFR)</t>
        </is>
      </c>
      <c r="B4" s="6" t="inlineStr">
        <is>
          <t>3,600%</t>
        </is>
      </c>
      <c r="C4" s="6" t="inlineStr">
        <is>
          <t>167%</t>
        </is>
      </c>
      <c r="D4" s="6" t="inlineStr">
        <is>
          <t>129.25%</t>
        </is>
      </c>
      <c r="E4" s="6" t="inlineStr">
        <is>
          <t>131.72%</t>
        </is>
      </c>
    </row>
    <row r="6" ht="170" customHeight="1">
      <c r="A6"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Editions 2014-2018 are listed on the same index and have NOT been opened by this workbook - a standing lead, not an absence.
FY2021's KPI table (earliest format checked before this ticket) discloses only a 'Liquidity Buffer (£m)' figure, no NSFR% - confirmed genuinely absent for that year, not omitted by search. No NSFR figure was found in any of the FY2016-FY2020 KPI tables/comparative columns either, despite each year's Strategic Report discussing NSFR in general regulatory terms.</t>
        </is>
      </c>
    </row>
  </sheetData>
  <mergeCells count="1">
    <mergeCell ref="A6:E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disclosed anywhere in any of the 10 years' Companies House filings reviewed (FY2016-FY2025), no exemption stated. Plausibly below the Bank of England's MREL threshold given CSUK's small and (post-Part-VII-transfer) shrinking balance sheet, but not confirmed - left blank rather than guessed.</t>
        </is>
      </c>
    </row>
    <row r="7" ht="15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Editions 2014-2018 are listed on the same index and have NOT been opened by this workbook - a standing lead, not an absence.
</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2026-09-18T18:03:45Z</dcterms:created>
  <dcterms:modified xmlns:dcterms="http://purl.org/dc/terms/" xmlns:xsi="http://www.w3.org/2001/XMLSchema-instance" xsi:type="dcterms:W3CDTF">2026-09-18T18:03:45Z</dcterms:modified>
</cp:coreProperties>
</file>