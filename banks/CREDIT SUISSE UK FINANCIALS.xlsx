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Credit Suisse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352528</v>
      </c>
      <c r="C6" s="5" t="n">
        <v>1801155</v>
      </c>
      <c r="D6" s="5" t="n">
        <v>2392470</v>
      </c>
      <c r="E6" s="5" t="n">
        <v>2885789</v>
      </c>
      <c r="F6" s="5" t="n">
        <v>3579171</v>
      </c>
      <c r="G6" s="5" t="n">
        <v>3654695</v>
      </c>
      <c r="H6" s="5" t="n">
        <v>3483980</v>
      </c>
      <c r="I6" s="5" t="n">
        <v>3502344</v>
      </c>
      <c r="J6" s="5" t="n">
        <v>3334736</v>
      </c>
      <c r="K6" s="5" t="n">
        <v>2946364</v>
      </c>
      <c r="N6" t="inlineStr">
        <is>
          <t>Total assets</t>
        </is>
      </c>
      <c r="O6" t="n">
        <v>2946364</v>
      </c>
      <c r="P6" t="n">
        <v>3334736</v>
      </c>
      <c r="Q6" t="n">
        <v>3502344</v>
      </c>
      <c r="R6" t="n">
        <v>3483980</v>
      </c>
      <c r="S6" t="n">
        <v>3654695</v>
      </c>
      <c r="T6" t="n">
        <v>3579171</v>
      </c>
      <c r="U6" t="n">
        <v>2885789</v>
      </c>
      <c r="V6" t="n">
        <v>2392470</v>
      </c>
      <c r="W6" t="n">
        <v>1801155</v>
      </c>
      <c r="X6" t="n">
        <v>352528</v>
      </c>
      <c r="BN6" t="inlineStr">
        <is>
          <t>CET1/Tier 1 Ratio</t>
        </is>
      </c>
      <c r="BP6" t="n">
        <v>17.2</v>
      </c>
      <c r="BQ6" t="n">
        <v>22.5</v>
      </c>
      <c r="BR6" t="n">
        <v>21.9</v>
      </c>
      <c r="BS6" t="n">
        <v>22</v>
      </c>
      <c r="BT6" t="n">
        <v>25.09</v>
      </c>
      <c r="BU6" t="n">
        <v>29.39</v>
      </c>
      <c r="BV6" t="n">
        <v>29.15</v>
      </c>
      <c r="BW6" t="n">
        <v>45</v>
      </c>
      <c r="BX6" t="n">
        <v>191</v>
      </c>
    </row>
    <row r="7">
      <c r="A7" s="5" t="inlineStr">
        <is>
          <t>Loans and advances, net</t>
        </is>
      </c>
      <c r="B7" s="5" t="n">
        <v>0</v>
      </c>
      <c r="C7" s="5" t="n">
        <v>818949</v>
      </c>
      <c r="D7" s="5" t="n">
        <v>1307573</v>
      </c>
      <c r="E7" s="5" t="n">
        <v>1706528</v>
      </c>
      <c r="F7" s="5" t="n">
        <v>2041139</v>
      </c>
      <c r="G7" s="5" t="n">
        <v>1990006</v>
      </c>
      <c r="H7" s="5" t="n">
        <v>2126766</v>
      </c>
      <c r="I7" s="5" t="n">
        <v>2141288</v>
      </c>
      <c r="J7" s="5" t="n">
        <v>2166554</v>
      </c>
      <c r="K7" s="5" t="n">
        <v>1547855</v>
      </c>
      <c r="N7" t="inlineStr">
        <is>
          <t>Loans and advances, net</t>
        </is>
      </c>
      <c r="O7" t="n">
        <v>1547855</v>
      </c>
      <c r="P7" t="n">
        <v>2166554</v>
      </c>
      <c r="Q7" t="n">
        <v>2141288</v>
      </c>
      <c r="R7" t="n">
        <v>2126766</v>
      </c>
      <c r="S7" t="n">
        <v>1990006</v>
      </c>
      <c r="T7" t="n">
        <v>2041139</v>
      </c>
      <c r="U7" t="n">
        <v>1706528</v>
      </c>
      <c r="V7" t="n">
        <v>1307573</v>
      </c>
      <c r="W7" t="n">
        <v>818949</v>
      </c>
      <c r="X7" t="n">
        <v>0</v>
      </c>
      <c r="BN7" t="inlineStr">
        <is>
          <t>Leverage Ratio</t>
        </is>
      </c>
      <c r="BP7" t="n">
        <v>6.3</v>
      </c>
      <c r="BQ7" t="n">
        <v>7.8</v>
      </c>
      <c r="BW7" t="n">
        <v>17</v>
      </c>
      <c r="BX7" t="n">
        <v>87</v>
      </c>
    </row>
    <row r="8">
      <c r="A8" s="5" t="inlineStr">
        <is>
          <t>Deposits</t>
        </is>
      </c>
      <c r="B8" s="5" t="n">
        <v>27218</v>
      </c>
      <c r="C8" s="5" t="n">
        <v>548119</v>
      </c>
      <c r="D8" s="5" t="n">
        <v>654960</v>
      </c>
      <c r="E8" s="5" t="n">
        <v>1094750</v>
      </c>
      <c r="F8" s="5" t="n">
        <v>3118581</v>
      </c>
      <c r="G8" s="5" t="n">
        <v>3183065</v>
      </c>
      <c r="H8" s="5" t="n">
        <v>3040602</v>
      </c>
      <c r="I8" s="5" t="n">
        <v>3087177</v>
      </c>
      <c r="J8" s="5" t="n">
        <v>2990492</v>
      </c>
      <c r="K8" s="5" t="n">
        <v>2635334</v>
      </c>
      <c r="N8" t="inlineStr">
        <is>
          <t>Deposits</t>
        </is>
      </c>
      <c r="O8" t="n">
        <v>2635334</v>
      </c>
      <c r="P8" t="n">
        <v>2990492</v>
      </c>
      <c r="Q8" t="n">
        <v>3087177</v>
      </c>
      <c r="R8" t="n">
        <v>3040602</v>
      </c>
      <c r="S8" t="n">
        <v>3183065</v>
      </c>
      <c r="T8" t="n">
        <v>3118581</v>
      </c>
      <c r="U8" t="n">
        <v>1094750</v>
      </c>
      <c r="V8" t="n">
        <v>654960</v>
      </c>
      <c r="W8" t="n">
        <v>548119</v>
      </c>
      <c r="X8" t="n">
        <v>27218</v>
      </c>
      <c r="BN8" t="inlineStr">
        <is>
          <t>LCR</t>
        </is>
      </c>
      <c r="BQ8" t="n">
        <v>154</v>
      </c>
      <c r="BU8" t="n">
        <v>216.4</v>
      </c>
      <c r="BV8" t="n">
        <v>554.67</v>
      </c>
      <c r="BW8" t="n">
        <v>451</v>
      </c>
      <c r="BX8" t="n">
        <v>1154</v>
      </c>
    </row>
    <row r="9">
      <c r="A9" s="5" t="inlineStr">
        <is>
          <t>Total equity</t>
        </is>
      </c>
      <c r="B9" s="5" t="n">
        <v>305801</v>
      </c>
      <c r="C9" s="5" t="n">
        <v>299440</v>
      </c>
      <c r="D9" s="5" t="n">
        <v>292552</v>
      </c>
      <c r="E9" s="5" t="n">
        <v>345686</v>
      </c>
      <c r="F9" s="5" t="n">
        <v>351228</v>
      </c>
      <c r="G9" s="5" t="n">
        <v>341173</v>
      </c>
      <c r="H9" s="5" t="n">
        <v>322943</v>
      </c>
      <c r="I9" s="5" t="n">
        <v>297290</v>
      </c>
      <c r="J9" s="5" t="n">
        <v>237844</v>
      </c>
      <c r="K9" s="5" t="n">
        <v>208494</v>
      </c>
      <c r="N9" t="inlineStr">
        <is>
          <t>Total equity</t>
        </is>
      </c>
      <c r="O9" t="n">
        <v>208494</v>
      </c>
      <c r="P9" t="n">
        <v>237844</v>
      </c>
      <c r="Q9" t="n">
        <v>297290</v>
      </c>
      <c r="R9" t="n">
        <v>322943</v>
      </c>
      <c r="S9" t="n">
        <v>341173</v>
      </c>
      <c r="T9" t="n">
        <v>351228</v>
      </c>
      <c r="U9" t="n">
        <v>345686</v>
      </c>
      <c r="V9" t="n">
        <v>292552</v>
      </c>
      <c r="W9" t="n">
        <v>299440</v>
      </c>
      <c r="X9" t="n">
        <v>305801</v>
      </c>
      <c r="BN9" t="inlineStr">
        <is>
          <t>NSFR</t>
        </is>
      </c>
      <c r="BU9" t="n">
        <v>131.72</v>
      </c>
      <c r="BV9" t="n">
        <v>129.25</v>
      </c>
      <c r="BW9" t="n">
        <v>167</v>
      </c>
      <c r="BX9" t="n">
        <v>3600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revenue</t>
        </is>
      </c>
      <c r="B13" s="5" t="n">
        <v>47807</v>
      </c>
      <c r="C13" s="5" t="n">
        <v>82745</v>
      </c>
      <c r="D13" s="5" t="n">
        <v>100908</v>
      </c>
      <c r="E13" s="5" t="n">
        <v>112483</v>
      </c>
      <c r="F13" s="5" t="n">
        <v>107874</v>
      </c>
      <c r="G13" s="5" t="n">
        <v>112919</v>
      </c>
      <c r="H13" s="5" t="n">
        <v>123230</v>
      </c>
      <c r="I13" s="5" t="n">
        <v>125405</v>
      </c>
      <c r="J13" s="5" t="n">
        <v>140675</v>
      </c>
      <c r="K13" s="5" t="n">
        <v>90912</v>
      </c>
      <c r="AA13" t="inlineStr">
        <is>
          <t>Net revenue</t>
        </is>
      </c>
      <c r="AB13" t="n">
        <v>90912</v>
      </c>
      <c r="AC13" t="n">
        <v>140675</v>
      </c>
      <c r="AD13" t="n">
        <v>125405</v>
      </c>
      <c r="AE13" t="n">
        <v>123230</v>
      </c>
      <c r="AF13" t="n">
        <v>112919</v>
      </c>
      <c r="AG13" t="n">
        <v>107874</v>
      </c>
      <c r="AH13" t="n">
        <v>112483</v>
      </c>
      <c r="AI13" t="n">
        <v>100908</v>
      </c>
      <c r="AJ13" t="n">
        <v>82745</v>
      </c>
      <c r="AK13" t="n">
        <v>47807</v>
      </c>
    </row>
    <row r="14">
      <c r="A14" s="5" t="inlineStr">
        <is>
          <t>Total operating expense</t>
        </is>
      </c>
      <c r="B14" s="5" t="n">
        <v>-38004</v>
      </c>
      <c r="C14" s="5" t="n">
        <v>-71941</v>
      </c>
      <c r="D14" s="5" t="n">
        <v>-127107</v>
      </c>
      <c r="E14" s="5" t="n">
        <v>-91062</v>
      </c>
      <c r="F14" s="5" t="n">
        <v>-96967</v>
      </c>
      <c r="G14" s="5" t="n">
        <v>-87752</v>
      </c>
      <c r="H14" s="5" t="n">
        <v>-88649</v>
      </c>
      <c r="I14" s="5" t="n">
        <v>-85525</v>
      </c>
      <c r="J14" s="5" t="n">
        <v>-104464</v>
      </c>
      <c r="K14" s="5" t="n">
        <v>-89714</v>
      </c>
      <c r="AA14" t="inlineStr">
        <is>
          <t>Total operating expense</t>
        </is>
      </c>
      <c r="AB14" t="n">
        <v>-89714</v>
      </c>
      <c r="AC14" t="n">
        <v>-104464</v>
      </c>
      <c r="AD14" t="n">
        <v>-85525</v>
      </c>
      <c r="AE14" t="n">
        <v>-88649</v>
      </c>
      <c r="AF14" t="n">
        <v>-87752</v>
      </c>
      <c r="AG14" t="n">
        <v>-96967</v>
      </c>
      <c r="AH14" t="n">
        <v>-91062</v>
      </c>
      <c r="AI14" t="n">
        <v>-127107</v>
      </c>
      <c r="AJ14" t="n">
        <v>-71941</v>
      </c>
      <c r="AK14" t="n">
        <v>-38004</v>
      </c>
    </row>
    <row r="15">
      <c r="A15" s="5" t="inlineStr">
        <is>
          <t>Profit/(loss) for the year</t>
        </is>
      </c>
      <c r="B15" s="5" t="n">
        <v>6361</v>
      </c>
      <c r="C15" s="5" t="n">
        <v>6888</v>
      </c>
      <c r="D15" s="5" t="n">
        <v>-23134</v>
      </c>
      <c r="E15" s="5" t="n">
        <v>14458</v>
      </c>
      <c r="F15" s="5" t="n">
        <v>10055</v>
      </c>
      <c r="G15" s="5" t="n">
        <v>19661</v>
      </c>
      <c r="H15" s="5" t="n">
        <v>25653</v>
      </c>
      <c r="I15" s="5" t="n">
        <v>29200</v>
      </c>
      <c r="J15" s="5" t="n">
        <v>29034</v>
      </c>
      <c r="K15" s="5" t="n">
        <v>-444</v>
      </c>
      <c r="AA15" t="inlineStr">
        <is>
          <t>Profit/(loss) for the year</t>
        </is>
      </c>
      <c r="AB15" t="n">
        <v>-444</v>
      </c>
      <c r="AC15" t="n">
        <v>29034</v>
      </c>
      <c r="AD15" t="n">
        <v>29200</v>
      </c>
      <c r="AE15" t="n">
        <v>25653</v>
      </c>
      <c r="AF15" t="n">
        <v>19661</v>
      </c>
      <c r="AG15" t="n">
        <v>10055</v>
      </c>
      <c r="AH15" t="n">
        <v>14458</v>
      </c>
      <c r="AI15" t="n">
        <v>-23134</v>
      </c>
      <c r="AJ15" t="n">
        <v>6888</v>
      </c>
      <c r="AK15" t="n">
        <v>6361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299440</v>
      </c>
      <c r="C19" s="5" t="n">
        <v>292552</v>
      </c>
      <c r="D19" s="5" t="n">
        <v>345686</v>
      </c>
      <c r="E19" s="5" t="n">
        <v>351228</v>
      </c>
      <c r="F19" s="5" t="n">
        <v>341173</v>
      </c>
      <c r="G19" s="5" t="n">
        <v>322943</v>
      </c>
      <c r="H19" s="5" t="n">
        <v>297290</v>
      </c>
      <c r="I19" s="5" t="n">
        <v>237844</v>
      </c>
      <c r="J19" s="5" t="n">
        <v>208494</v>
      </c>
      <c r="K19" s="5" t="n">
        <v>208623</v>
      </c>
      <c r="AN19" t="inlineStr">
        <is>
          <t>Opening equity</t>
        </is>
      </c>
      <c r="AO19" t="n">
        <v>208623</v>
      </c>
      <c r="AP19" t="n">
        <v>208494</v>
      </c>
      <c r="AQ19" t="n">
        <v>237844</v>
      </c>
      <c r="AR19" t="n">
        <v>297290</v>
      </c>
      <c r="AS19" t="n">
        <v>322943</v>
      </c>
      <c r="AT19" t="n">
        <v>341173</v>
      </c>
      <c r="AU19" t="n">
        <v>351228</v>
      </c>
      <c r="AV19" t="n">
        <v>345686</v>
      </c>
      <c r="AW19" t="n">
        <v>292552</v>
      </c>
      <c r="AX19" t="n">
        <v>299440</v>
      </c>
    </row>
    <row r="20">
      <c r="A20" s="5" t="inlineStr">
        <is>
          <t>Total comprehensive income/(loss) for the year</t>
        </is>
      </c>
      <c r="B20" s="5" t="n">
        <v>6361</v>
      </c>
      <c r="C20" s="5" t="n">
        <v>6888</v>
      </c>
      <c r="D20" s="5" t="n">
        <v>-23134</v>
      </c>
      <c r="E20" s="5" t="n">
        <v>14458</v>
      </c>
      <c r="F20" s="5" t="n">
        <v>10055</v>
      </c>
      <c r="G20" s="5" t="n">
        <v>19661</v>
      </c>
      <c r="H20" s="5" t="n">
        <v>25653</v>
      </c>
      <c r="I20" s="5" t="n">
        <v>29200</v>
      </c>
      <c r="J20" s="5" t="n">
        <v>29350</v>
      </c>
      <c r="K20" s="5" t="n">
        <v>-129</v>
      </c>
      <c r="AN20" t="inlineStr">
        <is>
          <t>Total comprehensive income/(loss) for the year</t>
        </is>
      </c>
      <c r="AO20" t="n">
        <v>-129</v>
      </c>
      <c r="AP20" t="n">
        <v>29350</v>
      </c>
      <c r="AQ20" t="n">
        <v>29200</v>
      </c>
      <c r="AR20" t="n">
        <v>25653</v>
      </c>
      <c r="AS20" t="n">
        <v>19661</v>
      </c>
      <c r="AT20" t="n">
        <v>10055</v>
      </c>
      <c r="AU20" t="n">
        <v>14458</v>
      </c>
      <c r="AV20" t="n">
        <v>-23134</v>
      </c>
      <c r="AW20" t="n">
        <v>6888</v>
      </c>
      <c r="AX20" t="n">
        <v>6361</v>
      </c>
    </row>
    <row r="21">
      <c r="A21" s="5" t="inlineStr">
        <is>
          <t>Other equity movements, net</t>
        </is>
      </c>
      <c r="B21" s="5" t="n">
        <v>0</v>
      </c>
      <c r="C21" s="5" t="n">
        <v>0</v>
      </c>
      <c r="D21" s="5" t="n">
        <v>-30000</v>
      </c>
      <c r="E21" s="5" t="n">
        <v>-20000</v>
      </c>
      <c r="F21" s="5" t="n">
        <v>0</v>
      </c>
      <c r="G21" s="5" t="n">
        <v>-1431</v>
      </c>
      <c r="H21" s="5" t="n">
        <v>0</v>
      </c>
      <c r="I21" s="5" t="n">
        <v>30246</v>
      </c>
      <c r="J21" s="5" t="n">
        <v>0</v>
      </c>
      <c r="K21" s="5" t="n">
        <v>0</v>
      </c>
      <c r="AN21" t="inlineStr">
        <is>
          <t>Other equity movements, net</t>
        </is>
      </c>
      <c r="AO21" t="n">
        <v>0</v>
      </c>
      <c r="AP21" t="n">
        <v>0</v>
      </c>
      <c r="AQ21" t="n">
        <v>30246</v>
      </c>
      <c r="AR21" t="n">
        <v>0</v>
      </c>
      <c r="AS21" t="n">
        <v>-1431</v>
      </c>
      <c r="AT21" t="n">
        <v>0</v>
      </c>
      <c r="AU21" t="n">
        <v>-20000</v>
      </c>
      <c r="AV21" t="n">
        <v>-30000</v>
      </c>
      <c r="AW21" t="n">
        <v>0</v>
      </c>
      <c r="AX21" t="n">
        <v>0</v>
      </c>
    </row>
    <row r="22">
      <c r="A22" s="5" t="inlineStr">
        <is>
          <t>Closing equity</t>
        </is>
      </c>
      <c r="B22" s="5" t="n">
        <v>305801</v>
      </c>
      <c r="C22" s="5" t="n">
        <v>299440</v>
      </c>
      <c r="D22" s="5" t="n">
        <v>292552</v>
      </c>
      <c r="E22" s="5" t="n">
        <v>345686</v>
      </c>
      <c r="F22" s="5" t="n">
        <v>351228</v>
      </c>
      <c r="G22" s="5" t="n">
        <v>341173</v>
      </c>
      <c r="H22" s="5" t="n">
        <v>322943</v>
      </c>
      <c r="I22" s="5" t="n">
        <v>297290</v>
      </c>
      <c r="J22" s="5" t="n">
        <v>237844</v>
      </c>
      <c r="K22" s="5" t="n">
        <v>208494</v>
      </c>
      <c r="AN22" t="inlineStr">
        <is>
          <t>Closing equity</t>
        </is>
      </c>
      <c r="AO22" t="n">
        <v>208494</v>
      </c>
      <c r="AP22" t="n">
        <v>237844</v>
      </c>
      <c r="AQ22" t="n">
        <v>297290</v>
      </c>
      <c r="AR22" t="n">
        <v>322943</v>
      </c>
      <c r="AS22" t="n">
        <v>341173</v>
      </c>
      <c r="AT22" t="n">
        <v>351228</v>
      </c>
      <c r="AU22" t="n">
        <v>345686</v>
      </c>
      <c r="AV22" t="n">
        <v>292552</v>
      </c>
      <c r="AW22" t="n">
        <v>299440</v>
      </c>
      <c r="AX22" t="n">
        <v>305801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flow generated from/(used in) operating activities</t>
        </is>
      </c>
      <c r="B26" s="5" t="n">
        <v>59618</v>
      </c>
      <c r="C26" s="5" t="n">
        <v>320701</v>
      </c>
      <c r="D26" s="5" t="n">
        <v>180409</v>
      </c>
      <c r="E26" s="5" t="n">
        <v>284435</v>
      </c>
      <c r="F26" s="5" t="n">
        <v>-71555</v>
      </c>
      <c r="G26" s="5" t="n">
        <v>46361</v>
      </c>
      <c r="H26" s="5" t="n">
        <v>266443</v>
      </c>
      <c r="I26" s="5" t="n">
        <v>-320398</v>
      </c>
      <c r="J26" s="5" t="n">
        <v>68431</v>
      </c>
      <c r="K26" s="5" t="n">
        <v>57458</v>
      </c>
      <c r="BA26" t="inlineStr">
        <is>
          <t>Net cash flow generated from/(used in) operating activities</t>
        </is>
      </c>
      <c r="BB26" t="n">
        <v>57458</v>
      </c>
      <c r="BC26" t="n">
        <v>68431</v>
      </c>
      <c r="BD26" t="n">
        <v>-320398</v>
      </c>
      <c r="BE26" t="n">
        <v>266443</v>
      </c>
      <c r="BF26" t="n">
        <v>46361</v>
      </c>
      <c r="BG26" t="n">
        <v>-71555</v>
      </c>
      <c r="BH26" t="n">
        <v>284435</v>
      </c>
      <c r="BI26" t="n">
        <v>180409</v>
      </c>
      <c r="BJ26" t="n">
        <v>320701</v>
      </c>
      <c r="BK26" t="n">
        <v>59618</v>
      </c>
    </row>
    <row r="27">
      <c r="A27" s="5" t="inlineStr">
        <is>
          <t>Net cash flow generated from/(used in) investing activities</t>
        </is>
      </c>
      <c r="B27" s="5" t="n">
        <v>539843</v>
      </c>
      <c r="C27" s="5" t="n">
        <v>0</v>
      </c>
      <c r="D27" s="5" t="n">
        <v>-786</v>
      </c>
      <c r="E27" s="5" t="n">
        <v>-3455</v>
      </c>
      <c r="F27" s="5" t="n">
        <v>-3799</v>
      </c>
      <c r="G27" s="5" t="n">
        <v>-6867</v>
      </c>
      <c r="H27" s="5" t="n">
        <v>-3981</v>
      </c>
      <c r="I27" s="5" t="n">
        <v>401</v>
      </c>
      <c r="J27" s="5" t="n">
        <v>-939</v>
      </c>
      <c r="K27" s="5" t="n">
        <v>0</v>
      </c>
      <c r="BA27" t="inlineStr">
        <is>
          <t>Net cash flow generated from/(used in) investing activities</t>
        </is>
      </c>
      <c r="BB27" t="n">
        <v>0</v>
      </c>
      <c r="BC27" t="n">
        <v>-939</v>
      </c>
      <c r="BD27" t="n">
        <v>401</v>
      </c>
      <c r="BE27" t="n">
        <v>-3981</v>
      </c>
      <c r="BF27" t="n">
        <v>-6867</v>
      </c>
      <c r="BG27" t="n">
        <v>-3799</v>
      </c>
      <c r="BH27" t="n">
        <v>-3455</v>
      </c>
      <c r="BI27" t="n">
        <v>-786</v>
      </c>
      <c r="BJ27" t="n">
        <v>0</v>
      </c>
      <c r="BK27" t="n">
        <v>539843</v>
      </c>
    </row>
    <row r="28">
      <c r="A28" s="5" t="inlineStr">
        <is>
          <t>Net cash flow used in financing activities</t>
        </is>
      </c>
      <c r="B28" s="5" t="n">
        <v>-906597</v>
      </c>
      <c r="C28" s="5" t="n">
        <v>-530786</v>
      </c>
      <c r="D28" s="5" t="n">
        <v>-82094</v>
      </c>
      <c r="E28" s="5" t="n">
        <v>-251725</v>
      </c>
      <c r="F28" s="5" t="n">
        <v>-1620</v>
      </c>
      <c r="G28" s="5" t="n">
        <v>-1843</v>
      </c>
      <c r="H28" s="5" t="n">
        <v>-2008</v>
      </c>
      <c r="I28" s="5" t="n">
        <v>59323</v>
      </c>
      <c r="J28" s="5" t="n">
        <v>-867</v>
      </c>
      <c r="K28" s="5" t="n">
        <v>-920</v>
      </c>
      <c r="BA28" t="inlineStr">
        <is>
          <t>Net cash flow used in financing activities</t>
        </is>
      </c>
      <c r="BB28" t="n">
        <v>-920</v>
      </c>
      <c r="BC28" t="n">
        <v>-867</v>
      </c>
      <c r="BD28" t="n">
        <v>59323</v>
      </c>
      <c r="BE28" t="n">
        <v>-2008</v>
      </c>
      <c r="BF28" t="n">
        <v>-1843</v>
      </c>
      <c r="BG28" t="n">
        <v>-1620</v>
      </c>
      <c r="BH28" t="n">
        <v>-251725</v>
      </c>
      <c r="BI28" t="n">
        <v>-82094</v>
      </c>
      <c r="BJ28" t="n">
        <v>-530786</v>
      </c>
      <c r="BK28" t="n">
        <v>-906597</v>
      </c>
    </row>
    <row r="29">
      <c r="A29" s="5" t="inlineStr">
        <is>
          <t>Cash and cash equivalents at the end of the year</t>
        </is>
      </c>
      <c r="B29" s="5" t="n">
        <v>21709</v>
      </c>
      <c r="C29" s="5" t="n">
        <v>341768</v>
      </c>
      <c r="D29" s="5" t="n">
        <v>548659</v>
      </c>
      <c r="E29" s="5" t="n">
        <v>475709</v>
      </c>
      <c r="F29" s="5" t="n">
        <v>408082</v>
      </c>
      <c r="G29" s="5" t="n">
        <v>483717</v>
      </c>
      <c r="H29" s="5" t="n">
        <v>447816</v>
      </c>
      <c r="I29" s="5" t="n">
        <v>197301</v>
      </c>
      <c r="J29" s="5" t="n">
        <v>499549</v>
      </c>
      <c r="K29" s="5" t="n">
        <v>432924</v>
      </c>
      <c r="BA29" t="inlineStr">
        <is>
          <t>Cash and cash equivalents at the end of the year</t>
        </is>
      </c>
      <c r="BB29" t="n">
        <v>432924</v>
      </c>
      <c r="BC29" t="n">
        <v>499549</v>
      </c>
      <c r="BD29" t="n">
        <v>197301</v>
      </c>
      <c r="BE29" t="n">
        <v>447816</v>
      </c>
      <c r="BF29" t="n">
        <v>483717</v>
      </c>
      <c r="BG29" t="n">
        <v>408082</v>
      </c>
      <c r="BH29" t="n">
        <v>475709</v>
      </c>
      <c r="BI29" t="n">
        <v>548659</v>
      </c>
      <c r="BJ29" t="n">
        <v>341768</v>
      </c>
      <c r="BK29" t="n">
        <v>21709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CET1/Tier 1 Ratio</t>
        </is>
      </c>
      <c r="B33" s="6" t="inlineStr">
        <is>
          <t>191%</t>
        </is>
      </c>
      <c r="C33" s="6" t="inlineStr">
        <is>
          <t>45%</t>
        </is>
      </c>
      <c r="D33" s="6" t="inlineStr">
        <is>
          <t>29.15%</t>
        </is>
      </c>
      <c r="E33" s="6" t="inlineStr">
        <is>
          <t>29.39%</t>
        </is>
      </c>
      <c r="F33" s="6" t="inlineStr">
        <is>
          <t>25.09%</t>
        </is>
      </c>
      <c r="G33" s="6" t="inlineStr">
        <is>
          <t>22%</t>
        </is>
      </c>
      <c r="H33" s="6" t="inlineStr">
        <is>
          <t>21.9%</t>
        </is>
      </c>
      <c r="I33" s="6" t="inlineStr">
        <is>
          <t>22.5%</t>
        </is>
      </c>
      <c r="J33" s="6" t="inlineStr">
        <is>
          <t>17.2%</t>
        </is>
      </c>
      <c r="K33" s="6" t="n"/>
    </row>
    <row r="34">
      <c r="A34" s="6" t="inlineStr">
        <is>
          <t>Leverage Ratio</t>
        </is>
      </c>
      <c r="B34" s="6" t="inlineStr">
        <is>
          <t>87%</t>
        </is>
      </c>
      <c r="C34" s="6" t="inlineStr">
        <is>
          <t>17%</t>
        </is>
      </c>
      <c r="D34" s="6" t="n"/>
      <c r="E34" s="6" t="n"/>
      <c r="F34" s="6" t="n"/>
      <c r="G34" s="6" t="n"/>
      <c r="H34" s="6" t="n"/>
      <c r="I34" s="6" t="inlineStr">
        <is>
          <t>7.8%</t>
        </is>
      </c>
      <c r="J34" s="6" t="inlineStr">
        <is>
          <t>6.3%</t>
        </is>
      </c>
      <c r="K34" s="6" t="n"/>
    </row>
    <row r="35">
      <c r="A35" s="6" t="inlineStr">
        <is>
          <t>LCR</t>
        </is>
      </c>
      <c r="B35" s="6" t="inlineStr">
        <is>
          <t>1,154%</t>
        </is>
      </c>
      <c r="C35" s="6" t="inlineStr">
        <is>
          <t>451%</t>
        </is>
      </c>
      <c r="D35" s="6" t="inlineStr">
        <is>
          <t>554.67%</t>
        </is>
      </c>
      <c r="E35" s="6" t="inlineStr">
        <is>
          <t>216.40%</t>
        </is>
      </c>
      <c r="F35" s="6" t="n"/>
      <c r="G35" s="6" t="n"/>
      <c r="H35" s="6" t="n"/>
      <c r="I35" s="6" t="inlineStr">
        <is>
          <t>154%</t>
        </is>
      </c>
      <c r="J35" s="6" t="n"/>
      <c r="K35" s="6" t="n"/>
    </row>
    <row r="36">
      <c r="A36" s="6" t="inlineStr">
        <is>
          <t>NSFR</t>
        </is>
      </c>
      <c r="B36" s="6" t="inlineStr">
        <is>
          <t>3,600%</t>
        </is>
      </c>
      <c r="C36" s="6" t="inlineStr">
        <is>
          <t>167%</t>
        </is>
      </c>
      <c r="D36" s="6" t="inlineStr">
        <is>
          <t>129.25%</t>
        </is>
      </c>
      <c r="E36" s="6" t="inlineStr">
        <is>
          <t>131.72%</t>
        </is>
      </c>
      <c r="F36" s="6" t="n"/>
      <c r="G36" s="6" t="n"/>
      <c r="H36" s="6" t="n"/>
      <c r="I36" s="6" t="n"/>
      <c r="J36" s="6" t="n"/>
      <c r="K36" s="6" t="n"/>
    </row>
    <row r="38" ht="45" customHeight="1">
      <c r="A38" s="7" t="inlineStr">
        <is>
          <t>Note: FY2025's cash flow figures reflect a major one-off event: the 20 June 2025 Part VII transfer of most of CSUK's business to UBS AG London Branch (a £539,843k cash receipt in investing activities), which also drove RWAs and capital ratios sharply post-transfer. See the Cash Flow Statement sheet's source note for detail. Extended back to FY2016 under HD-026 (2026-09-06); FY2020's 'Other equity movements' includes a -£1,431k correction of error restated in FY2020's own filing (see Statement of Changes in Equity source note), and FY2018's includes both a +£246k IFRS 9 transition adjustment and a +£30,000k capital contribution. Figures are duplicated from the detail sheets for at-a-glance trend viewing.</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Financial Position</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 / cash and due from banks</t>
        </is>
      </c>
      <c r="B5" s="6" t="n">
        <v>21709</v>
      </c>
      <c r="C5" s="6" t="n">
        <v>341768</v>
      </c>
      <c r="D5" s="6" t="n">
        <v>548659</v>
      </c>
      <c r="E5" s="6" t="n">
        <v>475664</v>
      </c>
      <c r="F5" s="6" t="n">
        <v>408064</v>
      </c>
      <c r="G5" s="6" t="n">
        <v>483710</v>
      </c>
      <c r="H5" s="6" t="n">
        <v>447805</v>
      </c>
      <c r="I5" s="6" t="n">
        <v>197292</v>
      </c>
      <c r="J5" s="6" t="n">
        <v>499549</v>
      </c>
      <c r="K5" s="6" t="n">
        <v>432924</v>
      </c>
    </row>
    <row r="6">
      <c r="A6" s="6" t="inlineStr">
        <is>
          <t>Interest-bearing deposits with banks</t>
        </is>
      </c>
      <c r="B6" s="6" t="n"/>
      <c r="C6" s="6" t="n">
        <v>25335</v>
      </c>
      <c r="D6" s="6" t="n">
        <v>17198</v>
      </c>
      <c r="E6" s="6" t="n">
        <v>48748</v>
      </c>
      <c r="F6" s="6" t="n"/>
      <c r="G6" s="6" t="n">
        <v>187482</v>
      </c>
      <c r="H6" s="6" t="n">
        <v>39941</v>
      </c>
      <c r="I6" s="6" t="n">
        <v>74910</v>
      </c>
      <c r="J6" s="6" t="n">
        <v>4885</v>
      </c>
      <c r="K6" s="6" t="n">
        <v>75528</v>
      </c>
    </row>
    <row r="7">
      <c r="A7" s="6" t="inlineStr">
        <is>
          <t>Securities purchased under resale agreements</t>
        </is>
      </c>
      <c r="B7" s="6" t="n">
        <v>328684</v>
      </c>
      <c r="C7" s="6" t="n">
        <v>565944</v>
      </c>
      <c r="D7" s="6" t="n">
        <v>455796</v>
      </c>
      <c r="E7" s="6" t="n">
        <v>562004</v>
      </c>
      <c r="F7" s="6" t="n">
        <v>1048198</v>
      </c>
      <c r="G7" s="6" t="n">
        <v>880396</v>
      </c>
      <c r="H7" s="6" t="n">
        <v>810044</v>
      </c>
      <c r="I7" s="6" t="n">
        <v>1033715</v>
      </c>
      <c r="J7" s="6" t="n">
        <v>601879</v>
      </c>
      <c r="K7" s="6" t="n">
        <v>829694</v>
      </c>
    </row>
    <row r="8">
      <c r="A8" s="6" t="inlineStr">
        <is>
          <t>Trading financial assets mandatorily at FVTPL</t>
        </is>
      </c>
      <c r="B8" s="6" t="n"/>
      <c r="C8" s="6" t="n">
        <v>13944</v>
      </c>
      <c r="D8" s="6" t="n">
        <v>13630</v>
      </c>
      <c r="E8" s="6" t="n">
        <v>18813</v>
      </c>
      <c r="F8" s="6" t="n">
        <v>14333</v>
      </c>
      <c r="G8" s="6" t="n">
        <v>35146</v>
      </c>
      <c r="H8" s="6" t="n">
        <v>8309</v>
      </c>
      <c r="I8" s="6" t="n">
        <v>5993</v>
      </c>
      <c r="J8" s="6" t="n">
        <v>8643</v>
      </c>
      <c r="K8" s="6" t="n">
        <v>16332</v>
      </c>
    </row>
    <row r="9">
      <c r="A9" s="6" t="inlineStr">
        <is>
          <t>Financial assets available for sale</t>
        </is>
      </c>
      <c r="B9" s="6" t="n"/>
      <c r="C9" s="6" t="n"/>
      <c r="D9" s="6" t="n"/>
      <c r="E9" s="6" t="n"/>
      <c r="F9" s="6" t="n"/>
      <c r="G9" s="6" t="n"/>
      <c r="H9" s="6" t="n"/>
      <c r="I9" s="6" t="n">
        <v>0</v>
      </c>
      <c r="J9" s="6" t="n">
        <v>2326</v>
      </c>
      <c r="K9" s="6" t="n">
        <v>2010</v>
      </c>
    </row>
    <row r="10">
      <c r="A10" s="6" t="inlineStr">
        <is>
          <t>Loans and advances, net</t>
        </is>
      </c>
      <c r="B10" s="6" t="n"/>
      <c r="C10" s="6" t="n">
        <v>818949</v>
      </c>
      <c r="D10" s="6" t="n">
        <v>1307573</v>
      </c>
      <c r="E10" s="6" t="n">
        <v>1706528</v>
      </c>
      <c r="F10" s="6" t="n">
        <v>2041139</v>
      </c>
      <c r="G10" s="6" t="n">
        <v>1990006</v>
      </c>
      <c r="H10" s="6" t="n">
        <v>2126766</v>
      </c>
      <c r="I10" s="6" t="n">
        <v>2141288</v>
      </c>
      <c r="J10" s="6" t="n">
        <v>2166554</v>
      </c>
      <c r="K10" s="6" t="n">
        <v>1547855</v>
      </c>
    </row>
    <row r="11">
      <c r="A11" s="6" t="inlineStr">
        <is>
          <t>Current tax assets</t>
        </is>
      </c>
      <c r="B11" s="6" t="n">
        <v>38</v>
      </c>
      <c r="C11" s="6" t="n">
        <v>3057</v>
      </c>
      <c r="D11" s="6" t="n">
        <v>2058</v>
      </c>
      <c r="E11" s="6" t="n"/>
      <c r="F11" s="6" t="n"/>
      <c r="G11" s="6" t="n"/>
      <c r="H11" s="6" t="n">
        <v>0</v>
      </c>
      <c r="I11" s="6" t="n">
        <v>287</v>
      </c>
      <c r="J11" s="6" t="n">
        <v>274</v>
      </c>
      <c r="K11" s="6" t="n">
        <v>287</v>
      </c>
    </row>
    <row r="12">
      <c r="A12" s="6" t="inlineStr">
        <is>
          <t>Other assets</t>
        </is>
      </c>
      <c r="B12" s="6" t="n">
        <v>2097</v>
      </c>
      <c r="C12" s="6" t="n">
        <v>32158</v>
      </c>
      <c r="D12" s="6" t="n">
        <v>46419</v>
      </c>
      <c r="E12" s="6" t="n">
        <v>56795</v>
      </c>
      <c r="F12" s="6" t="n">
        <v>48352</v>
      </c>
      <c r="G12" s="6" t="n">
        <v>46609</v>
      </c>
      <c r="H12" s="6" t="n">
        <v>25239</v>
      </c>
      <c r="I12" s="6" t="n">
        <v>24309</v>
      </c>
      <c r="J12" s="6" t="n">
        <v>24078</v>
      </c>
      <c r="K12" s="6" t="n">
        <v>19010</v>
      </c>
    </row>
    <row r="13">
      <c r="A13" s="6" t="inlineStr">
        <is>
          <t>Deferred tax assets</t>
        </is>
      </c>
      <c r="B13" s="6" t="n"/>
      <c r="C13" s="6" t="n"/>
      <c r="D13" s="6" t="n"/>
      <c r="E13" s="6" t="n">
        <v>3304</v>
      </c>
      <c r="F13" s="6" t="n">
        <v>5041</v>
      </c>
      <c r="G13" s="6" t="n">
        <v>4919</v>
      </c>
      <c r="H13" s="6" t="n">
        <v>5364</v>
      </c>
      <c r="I13" s="6" t="n">
        <v>6603</v>
      </c>
      <c r="J13" s="6" t="n">
        <v>7803</v>
      </c>
      <c r="K13" s="6" t="n">
        <v>1750</v>
      </c>
    </row>
    <row r="14">
      <c r="A14" s="6" t="inlineStr">
        <is>
          <t>Intangible assets</t>
        </is>
      </c>
      <c r="B14" s="6" t="n"/>
      <c r="C14" s="6" t="n"/>
      <c r="D14" s="6" t="n">
        <v>1137</v>
      </c>
      <c r="E14" s="6" t="n">
        <v>13933</v>
      </c>
      <c r="F14" s="6" t="n">
        <v>14044</v>
      </c>
      <c r="G14" s="6" t="n">
        <v>12675</v>
      </c>
      <c r="H14" s="6" t="n">
        <v>6760</v>
      </c>
      <c r="I14" s="6" t="n">
        <v>4195</v>
      </c>
      <c r="J14" s="6" t="n">
        <v>4993</v>
      </c>
      <c r="K14" s="6" t="n">
        <v>7222</v>
      </c>
    </row>
    <row r="15">
      <c r="A15" s="6" t="inlineStr">
        <is>
          <t>Goodwill</t>
        </is>
      </c>
      <c r="B15" s="6" t="n"/>
      <c r="C15" s="6" t="n"/>
      <c r="D15" s="6" t="n"/>
      <c r="E15" s="6" t="n"/>
      <c r="F15" s="6" t="n"/>
      <c r="G15" s="6" t="n">
        <v>13752</v>
      </c>
      <c r="H15" s="6" t="n">
        <v>13752</v>
      </c>
      <c r="I15" s="6" t="n">
        <v>13752</v>
      </c>
      <c r="J15" s="6" t="n">
        <v>13752</v>
      </c>
      <c r="K15" s="6" t="n">
        <v>13752</v>
      </c>
    </row>
    <row r="16">
      <c r="A16" s="5" t="inlineStr">
        <is>
          <t>Total assets</t>
        </is>
      </c>
      <c r="B16" s="5" t="n">
        <v>352528</v>
      </c>
      <c r="C16" s="5" t="n">
        <v>1801155</v>
      </c>
      <c r="D16" s="5" t="n">
        <v>2392470</v>
      </c>
      <c r="E16" s="5" t="n">
        <v>2885789</v>
      </c>
      <c r="F16" s="5" t="n">
        <v>3579171</v>
      </c>
      <c r="G16" s="5" t="n">
        <v>3654695</v>
      </c>
      <c r="H16" s="5" t="n">
        <v>3483980</v>
      </c>
      <c r="I16" s="5" t="n">
        <v>3502344</v>
      </c>
      <c r="J16" s="5" t="n">
        <v>3334736</v>
      </c>
      <c r="K16" s="5" t="n">
        <v>2946364</v>
      </c>
    </row>
    <row r="17">
      <c r="A17" s="5" t="inlineStr">
        <is>
          <t>Liabilities</t>
        </is>
      </c>
      <c r="B17" s="6" t="n"/>
      <c r="C17" s="6" t="n"/>
      <c r="D17" s="6" t="n"/>
      <c r="E17" s="6" t="n"/>
      <c r="F17" s="6" t="n"/>
      <c r="G17" s="6" t="n"/>
      <c r="H17" s="6" t="n"/>
      <c r="I17" s="6" t="n"/>
      <c r="J17" s="6" t="n"/>
      <c r="K17" s="6" t="n"/>
    </row>
    <row r="18">
      <c r="A18" s="6" t="inlineStr">
        <is>
          <t>Deposits</t>
        </is>
      </c>
      <c r="B18" s="6" t="n">
        <v>27218</v>
      </c>
      <c r="C18" s="6" t="n">
        <v>548119</v>
      </c>
      <c r="D18" s="6" t="n">
        <v>654960</v>
      </c>
      <c r="E18" s="6" t="n">
        <v>1094750</v>
      </c>
      <c r="F18" s="6" t="n">
        <v>3118581</v>
      </c>
      <c r="G18" s="6" t="n">
        <v>3183065</v>
      </c>
      <c r="H18" s="6" t="n">
        <v>3040602</v>
      </c>
      <c r="I18" s="6" t="n">
        <v>3087177</v>
      </c>
      <c r="J18" s="6" t="n">
        <v>2990492</v>
      </c>
      <c r="K18" s="6" t="n">
        <v>2635334</v>
      </c>
    </row>
    <row r="19">
      <c r="A19" s="6" t="inlineStr">
        <is>
          <t>Trading financial liabilities mandatorily at FVTPL</t>
        </is>
      </c>
      <c r="B19" s="6" t="n"/>
      <c r="C19" s="6" t="n">
        <v>13849</v>
      </c>
      <c r="D19" s="6" t="n">
        <v>13496</v>
      </c>
      <c r="E19" s="6" t="n">
        <v>18613</v>
      </c>
      <c r="F19" s="6" t="n">
        <v>14023</v>
      </c>
      <c r="G19" s="6" t="n">
        <v>34940</v>
      </c>
      <c r="H19" s="6" t="n">
        <v>8073</v>
      </c>
      <c r="I19" s="6" t="n">
        <v>5784</v>
      </c>
      <c r="J19" s="6" t="n">
        <v>8087</v>
      </c>
      <c r="K19" s="6" t="n">
        <v>15844</v>
      </c>
    </row>
    <row r="20">
      <c r="A20" s="6" t="inlineStr">
        <is>
          <t>Current income tax liability</t>
        </is>
      </c>
      <c r="B20" s="6" t="n">
        <v>6238</v>
      </c>
      <c r="C20" s="6" t="n"/>
      <c r="D20" s="6" t="n"/>
      <c r="E20" s="6" t="n">
        <v>7676</v>
      </c>
      <c r="F20" s="6" t="n">
        <v>4747</v>
      </c>
      <c r="G20" s="6" t="n">
        <v>2267</v>
      </c>
      <c r="H20" s="6" t="n">
        <v>16460</v>
      </c>
      <c r="I20" s="6" t="n">
        <v>22549</v>
      </c>
      <c r="J20" s="6" t="n">
        <v>16176</v>
      </c>
      <c r="K20" s="6" t="n">
        <v>2948</v>
      </c>
    </row>
    <row r="21">
      <c r="A21" s="6" t="inlineStr">
        <is>
          <t>Other liabilities</t>
        </is>
      </c>
      <c r="B21" s="6" t="n">
        <v>3610</v>
      </c>
      <c r="C21" s="6" t="n">
        <v>26128</v>
      </c>
      <c r="D21" s="6" t="n">
        <v>43883</v>
      </c>
      <c r="E21" s="6" t="n">
        <v>34128</v>
      </c>
      <c r="F21" s="6" t="n">
        <v>32883</v>
      </c>
      <c r="G21" s="6" t="n">
        <v>36824</v>
      </c>
      <c r="H21" s="6" t="n">
        <v>38999</v>
      </c>
      <c r="I21" s="6" t="n">
        <v>34100</v>
      </c>
      <c r="J21" s="6" t="n">
        <v>37319</v>
      </c>
      <c r="K21" s="6" t="n">
        <v>36497</v>
      </c>
    </row>
    <row r="22">
      <c r="A22" s="6" t="inlineStr">
        <is>
          <t>Provisions</t>
        </is>
      </c>
      <c r="B22" s="6" t="n"/>
      <c r="C22" s="6" t="n">
        <v>1388</v>
      </c>
      <c r="D22" s="6" t="n">
        <v>1403</v>
      </c>
      <c r="E22" s="6" t="n">
        <v>713</v>
      </c>
      <c r="F22" s="6" t="n">
        <v>2709</v>
      </c>
      <c r="G22" s="6" t="n">
        <v>1426</v>
      </c>
      <c r="H22" s="6" t="n">
        <v>1903</v>
      </c>
      <c r="I22" s="6" t="n">
        <v>444</v>
      </c>
      <c r="J22" s="6" t="n">
        <v>19818</v>
      </c>
      <c r="K22" s="6" t="n">
        <v>22247</v>
      </c>
    </row>
    <row r="23">
      <c r="A23" s="6" t="inlineStr">
        <is>
          <t>Short-term borrowings</t>
        </is>
      </c>
      <c r="B23" s="6" t="n">
        <v>9661</v>
      </c>
      <c r="C23" s="6" t="n">
        <v>857231</v>
      </c>
      <c r="D23" s="6" t="n">
        <v>831176</v>
      </c>
      <c r="E23" s="6" t="n">
        <v>827333</v>
      </c>
      <c r="F23" s="6" t="n"/>
      <c r="G23" s="6" t="n"/>
      <c r="H23" s="6" t="n"/>
      <c r="I23" s="6" t="n"/>
      <c r="J23" s="6" t="n"/>
      <c r="K23" s="6" t="n"/>
    </row>
    <row r="24">
      <c r="A24" s="6" t="inlineStr">
        <is>
          <t>Long term debt</t>
        </is>
      </c>
      <c r="B24" s="6" t="n"/>
      <c r="C24" s="6" t="n">
        <v>55000</v>
      </c>
      <c r="D24" s="6" t="n">
        <v>555000</v>
      </c>
      <c r="E24" s="6" t="n">
        <v>556890</v>
      </c>
      <c r="F24" s="6" t="n">
        <v>55000</v>
      </c>
      <c r="G24" s="6" t="n">
        <v>55000</v>
      </c>
      <c r="H24" s="6" t="n">
        <v>55000</v>
      </c>
      <c r="I24" s="6" t="n">
        <v>55000</v>
      </c>
      <c r="J24" s="6" t="n">
        <v>25000</v>
      </c>
      <c r="K24" s="6" t="n">
        <v>25000</v>
      </c>
    </row>
    <row r="25">
      <c r="A25" s="5" t="inlineStr">
        <is>
          <t>Total liabilities</t>
        </is>
      </c>
      <c r="B25" s="5" t="n">
        <v>46727</v>
      </c>
      <c r="C25" s="5" t="n">
        <v>1501715</v>
      </c>
      <c r="D25" s="5" t="n">
        <v>2099918</v>
      </c>
      <c r="E25" s="5" t="n">
        <v>2540103</v>
      </c>
      <c r="F25" s="5" t="n">
        <v>3227943</v>
      </c>
      <c r="G25" s="5" t="n">
        <v>3313522</v>
      </c>
      <c r="H25" s="5" t="n">
        <v>3161037</v>
      </c>
      <c r="I25" s="5" t="n">
        <v>3205054</v>
      </c>
      <c r="J25" s="5" t="n">
        <v>3096892</v>
      </c>
      <c r="K25" s="5" t="n">
        <v>2737870</v>
      </c>
    </row>
    <row r="26">
      <c r="A26" s="5" t="inlineStr">
        <is>
          <t>Shareholders' equity</t>
        </is>
      </c>
      <c r="B26" s="6" t="n"/>
      <c r="C26" s="6" t="n"/>
      <c r="D26" s="6" t="n"/>
      <c r="E26" s="6" t="n"/>
      <c r="F26" s="6" t="n"/>
      <c r="G26" s="6" t="n"/>
      <c r="H26" s="6" t="n"/>
      <c r="I26" s="6" t="n"/>
      <c r="J26" s="6" t="n"/>
      <c r="K26" s="6" t="n"/>
    </row>
    <row r="27">
      <c r="A27" s="6" t="inlineStr">
        <is>
          <t>Share capital</t>
        </is>
      </c>
      <c r="B27" s="6" t="n">
        <v>245230</v>
      </c>
      <c r="C27" s="6" t="n">
        <v>245230</v>
      </c>
      <c r="D27" s="6" t="n">
        <v>245230</v>
      </c>
      <c r="E27" s="6" t="n">
        <v>245230</v>
      </c>
      <c r="F27" s="6" t="n">
        <v>245230</v>
      </c>
      <c r="G27" s="6" t="n">
        <v>245230</v>
      </c>
      <c r="H27" s="6" t="n">
        <v>245230</v>
      </c>
      <c r="I27" s="6" t="n">
        <v>245230</v>
      </c>
      <c r="J27" s="6" t="n">
        <v>245230</v>
      </c>
      <c r="K27" s="6" t="n">
        <v>245230</v>
      </c>
    </row>
    <row r="28">
      <c r="A28" s="6" t="inlineStr">
        <is>
          <t>Share premium</t>
        </is>
      </c>
      <c r="B28" s="6" t="n">
        <v>11200</v>
      </c>
      <c r="C28" s="6" t="n">
        <v>11200</v>
      </c>
      <c r="D28" s="6" t="n">
        <v>11200</v>
      </c>
      <c r="E28" s="6" t="n">
        <v>11200</v>
      </c>
      <c r="F28" s="6" t="n">
        <v>11200</v>
      </c>
      <c r="G28" s="6" t="n">
        <v>11200</v>
      </c>
      <c r="H28" s="6" t="n">
        <v>11200</v>
      </c>
      <c r="I28" s="6" t="n">
        <v>11200</v>
      </c>
      <c r="J28" s="6" t="n">
        <v>11200</v>
      </c>
      <c r="K28" s="6" t="n">
        <v>11200</v>
      </c>
    </row>
    <row r="29">
      <c r="A29" s="6" t="inlineStr">
        <is>
          <t>Capital contribution</t>
        </is>
      </c>
      <c r="B29" s="6" t="n">
        <v>27500</v>
      </c>
      <c r="C29" s="6" t="n">
        <v>27500</v>
      </c>
      <c r="D29" s="6" t="n">
        <v>27500</v>
      </c>
      <c r="E29" s="6" t="n">
        <v>57500</v>
      </c>
      <c r="F29" s="6" t="n">
        <v>57500</v>
      </c>
      <c r="G29" s="6" t="n">
        <v>57500</v>
      </c>
      <c r="H29" s="6" t="n">
        <v>57500</v>
      </c>
      <c r="I29" s="6" t="n">
        <v>57500</v>
      </c>
      <c r="J29" s="6" t="n">
        <v>27500</v>
      </c>
      <c r="K29" s="6" t="n">
        <v>27500</v>
      </c>
    </row>
    <row r="30">
      <c r="A30" s="6" t="inlineStr">
        <is>
          <t>Accumulated other comprehensive income (AOCI, available-for-sale reserve)</t>
        </is>
      </c>
      <c r="B30" s="6" t="n"/>
      <c r="C30" s="6" t="n"/>
      <c r="D30" s="6" t="n"/>
      <c r="E30" s="6" t="n"/>
      <c r="F30" s="6" t="n"/>
      <c r="G30" s="6" t="n"/>
      <c r="H30" s="6" t="n"/>
      <c r="I30" s="6" t="n">
        <v>0</v>
      </c>
      <c r="J30" s="6" t="n">
        <v>2289</v>
      </c>
      <c r="K30" s="6" t="n">
        <v>1973</v>
      </c>
    </row>
    <row r="31">
      <c r="A31" s="6" t="inlineStr">
        <is>
          <t>Retained earnings</t>
        </is>
      </c>
      <c r="B31" s="6" t="n">
        <v>21871</v>
      </c>
      <c r="C31" s="6" t="n">
        <v>15510</v>
      </c>
      <c r="D31" s="6" t="n">
        <v>8622</v>
      </c>
      <c r="E31" s="6" t="n">
        <v>31756</v>
      </c>
      <c r="F31" s="6" t="n">
        <v>37298</v>
      </c>
      <c r="G31" s="6" t="n">
        <v>27243</v>
      </c>
      <c r="H31" s="6" t="n">
        <v>9013</v>
      </c>
      <c r="I31" s="6" t="n">
        <v>-16640</v>
      </c>
      <c r="J31" s="6" t="n">
        <v>-48375</v>
      </c>
      <c r="K31" s="6" t="n">
        <v>-77409</v>
      </c>
    </row>
    <row r="32">
      <c r="A32" s="5" t="inlineStr">
        <is>
          <t>Total shareholders' equity</t>
        </is>
      </c>
      <c r="B32" s="5" t="n">
        <v>305801</v>
      </c>
      <c r="C32" s="5" t="n">
        <v>299440</v>
      </c>
      <c r="D32" s="5" t="n">
        <v>292552</v>
      </c>
      <c r="E32" s="5" t="n">
        <v>345686</v>
      </c>
      <c r="F32" s="5" t="n">
        <v>351228</v>
      </c>
      <c r="G32" s="5" t="n">
        <v>341173</v>
      </c>
      <c r="H32" s="5" t="n">
        <v>322943</v>
      </c>
      <c r="I32" s="5" t="n">
        <v>297290</v>
      </c>
      <c r="J32" s="5" t="n">
        <v>237844</v>
      </c>
      <c r="K32" s="5" t="n">
        <v>208494</v>
      </c>
    </row>
    <row r="33">
      <c r="A33" s="5" t="inlineStr">
        <is>
          <t>Total liabilities and shareholders' equity</t>
        </is>
      </c>
      <c r="B33" s="5" t="n">
        <v>352528</v>
      </c>
      <c r="C33" s="5" t="n">
        <v>1801155</v>
      </c>
      <c r="D33" s="5" t="n">
        <v>2392470</v>
      </c>
      <c r="E33" s="5" t="n">
        <v>2885789</v>
      </c>
      <c r="F33" s="5" t="n">
        <v>3579171</v>
      </c>
      <c r="G33" s="5" t="n">
        <v>3654695</v>
      </c>
      <c r="H33" s="5" t="n">
        <v>3483980</v>
      </c>
      <c r="I33" s="5" t="n">
        <v>3502344</v>
      </c>
      <c r="J33" s="5" t="n">
        <v>3334736</v>
      </c>
      <c r="K33" s="5" t="n">
        <v>2946364</v>
      </c>
    </row>
    <row r="35" ht="380" customHeight="1">
      <c r="A35"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5:K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Income</t>
        </is>
      </c>
    </row>
    <row r="2">
      <c r="A2" s="2" t="inlineStr">
        <is>
          <t>Entity basis, £'000. No items of other comprehensive income FY2019 onward; FY2016-FY2018 carry a small available-for-sale-reserve OCI movement (+£315k/+£316k/£0k) reflected in the 'Total comprehensive income' row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42437</v>
      </c>
      <c r="C5" s="6" t="n">
        <v>124113</v>
      </c>
      <c r="D5" s="6" t="n">
        <v>156430</v>
      </c>
      <c r="E5" s="6" t="n">
        <v>88830</v>
      </c>
      <c r="F5" s="6" t="n">
        <v>56275</v>
      </c>
      <c r="G5" s="6" t="n">
        <v>74605</v>
      </c>
      <c r="H5" s="6" t="n">
        <v>94730</v>
      </c>
      <c r="I5" s="6" t="n">
        <v>85631</v>
      </c>
      <c r="J5" s="6" t="n">
        <v>65517</v>
      </c>
      <c r="K5" s="6" t="n">
        <v>49992</v>
      </c>
    </row>
    <row r="6">
      <c r="A6" s="6" t="inlineStr">
        <is>
          <t>Interest expense</t>
        </is>
      </c>
      <c r="B6" s="6" t="n">
        <v>-18060</v>
      </c>
      <c r="C6" s="6" t="n">
        <v>-73480</v>
      </c>
      <c r="D6" s="6" t="n">
        <v>-94427</v>
      </c>
      <c r="E6" s="6" t="n">
        <v>-28065</v>
      </c>
      <c r="F6" s="6" t="n">
        <v>-5122</v>
      </c>
      <c r="G6" s="6" t="n">
        <v>-10829</v>
      </c>
      <c r="H6" s="6" t="n">
        <v>-23571</v>
      </c>
      <c r="I6" s="6" t="n">
        <v>-16701</v>
      </c>
      <c r="J6" s="6" t="n">
        <v>-7865</v>
      </c>
      <c r="K6" s="6" t="n">
        <v>-6574</v>
      </c>
    </row>
    <row r="7">
      <c r="A7" s="5" t="inlineStr">
        <is>
          <t>Net interest income</t>
        </is>
      </c>
      <c r="B7" s="5" t="n">
        <v>24377</v>
      </c>
      <c r="C7" s="5" t="n">
        <v>50633</v>
      </c>
      <c r="D7" s="5" t="n">
        <v>62003</v>
      </c>
      <c r="E7" s="5" t="n">
        <v>60765</v>
      </c>
      <c r="F7" s="5" t="n">
        <v>51153</v>
      </c>
      <c r="G7" s="5" t="n">
        <v>63776</v>
      </c>
      <c r="H7" s="5" t="n">
        <v>71159</v>
      </c>
      <c r="I7" s="5" t="n">
        <v>68930</v>
      </c>
      <c r="J7" s="5" t="n">
        <v>57652</v>
      </c>
      <c r="K7" s="5" t="n">
        <v>43418</v>
      </c>
    </row>
    <row r="8">
      <c r="A8" s="6" t="inlineStr">
        <is>
          <t>Commission and fee income</t>
        </is>
      </c>
      <c r="B8" s="6" t="n">
        <v>18904</v>
      </c>
      <c r="C8" s="6" t="n">
        <v>31922</v>
      </c>
      <c r="D8" s="6" t="n">
        <v>42185</v>
      </c>
      <c r="E8" s="6" t="n">
        <v>54048</v>
      </c>
      <c r="F8" s="6" t="n">
        <v>55219</v>
      </c>
      <c r="G8" s="6" t="n">
        <v>52104</v>
      </c>
      <c r="H8" s="6" t="n">
        <v>57538</v>
      </c>
      <c r="I8" s="6" t="n">
        <v>58533</v>
      </c>
      <c r="J8" s="6" t="n">
        <v>57734</v>
      </c>
      <c r="K8" s="6" t="n">
        <v>48959</v>
      </c>
    </row>
    <row r="9">
      <c r="A9" s="6" t="inlineStr">
        <is>
          <t>Commission and fee expense</t>
        </is>
      </c>
      <c r="B9" s="6" t="n">
        <v>-79</v>
      </c>
      <c r="C9" s="6" t="n">
        <v>-737</v>
      </c>
      <c r="D9" s="6" t="n">
        <v>-472</v>
      </c>
      <c r="E9" s="6" t="n">
        <v>-740</v>
      </c>
      <c r="F9" s="6" t="n">
        <v>-1068</v>
      </c>
      <c r="G9" s="6" t="n">
        <v>-1593</v>
      </c>
      <c r="H9" s="6" t="n">
        <v>-2107</v>
      </c>
      <c r="I9" s="6" t="n">
        <v>-3746</v>
      </c>
      <c r="J9" s="6" t="n">
        <v>-3197</v>
      </c>
      <c r="K9" s="6" t="n">
        <v>-2009</v>
      </c>
    </row>
    <row r="10">
      <c r="A10" s="5" t="inlineStr">
        <is>
          <t>Net commission and fee income</t>
        </is>
      </c>
      <c r="B10" s="5" t="n">
        <v>18825</v>
      </c>
      <c r="C10" s="5" t="n">
        <v>31185</v>
      </c>
      <c r="D10" s="5" t="n">
        <v>41713</v>
      </c>
      <c r="E10" s="5" t="n">
        <v>53308</v>
      </c>
      <c r="F10" s="5" t="n">
        <v>54151</v>
      </c>
      <c r="G10" s="5" t="n">
        <v>50511</v>
      </c>
      <c r="H10" s="5" t="n">
        <v>55431</v>
      </c>
      <c r="I10" s="5" t="n">
        <v>54787</v>
      </c>
      <c r="J10" s="5" t="n">
        <v>54537</v>
      </c>
      <c r="K10" s="5" t="n">
        <v>46950</v>
      </c>
    </row>
    <row r="11">
      <c r="A11" s="6" t="inlineStr">
        <is>
          <t>Reversal of/(allowance for) expected credit losses</t>
        </is>
      </c>
      <c r="B11" s="6" t="n">
        <v>489</v>
      </c>
      <c r="C11" s="6" t="n">
        <v>-1526</v>
      </c>
      <c r="D11" s="6" t="n">
        <v>-3167</v>
      </c>
      <c r="E11" s="6" t="n">
        <v>-1754</v>
      </c>
      <c r="F11" s="6" t="n">
        <v>2571</v>
      </c>
      <c r="G11" s="6" t="n">
        <v>-2441</v>
      </c>
      <c r="H11" s="6" t="n">
        <v>-4913</v>
      </c>
      <c r="I11" s="6" t="n">
        <v>214</v>
      </c>
      <c r="J11" s="6" t="n"/>
      <c r="K11" s="6" t="n"/>
    </row>
    <row r="12">
      <c r="A12" s="6" t="inlineStr">
        <is>
          <t>Net gain from financial assets/liabilities at FVTPL</t>
        </is>
      </c>
      <c r="B12" s="6" t="n">
        <v>63</v>
      </c>
      <c r="C12" s="6" t="n">
        <v>151</v>
      </c>
      <c r="D12" s="6" t="n">
        <v>88</v>
      </c>
      <c r="E12" s="6" t="n">
        <v>172</v>
      </c>
      <c r="F12" s="6" t="n">
        <v>195</v>
      </c>
      <c r="G12" s="6" t="n">
        <v>200</v>
      </c>
      <c r="H12" s="6" t="n">
        <v>-219</v>
      </c>
      <c r="I12" s="6" t="n">
        <v>1081</v>
      </c>
      <c r="J12" s="6" t="n"/>
      <c r="K12" s="6" t="n"/>
    </row>
    <row r="13">
      <c r="A13" s="6" t="inlineStr">
        <is>
          <t>Loss from business transfer</t>
        </is>
      </c>
      <c r="B13" s="6" t="n">
        <v>-1278</v>
      </c>
      <c r="C13" s="6" t="n"/>
      <c r="D13" s="6" t="n"/>
      <c r="E13" s="6" t="n"/>
      <c r="F13" s="6" t="n"/>
      <c r="G13" s="6" t="n"/>
      <c r="H13" s="6" t="n"/>
      <c r="I13" s="6" t="n"/>
      <c r="J13" s="6" t="n"/>
      <c r="K13" s="6" t="n"/>
    </row>
    <row r="14">
      <c r="A14" s="6" t="inlineStr">
        <is>
          <t>Other revenue and foreign exchange fluctuations</t>
        </is>
      </c>
      <c r="B14" s="6" t="n">
        <v>5331</v>
      </c>
      <c r="C14" s="6" t="n">
        <v>2302</v>
      </c>
      <c r="D14" s="6" t="n">
        <v>271</v>
      </c>
      <c r="E14" s="6" t="n">
        <v>-8</v>
      </c>
      <c r="F14" s="6" t="n">
        <v>-196</v>
      </c>
      <c r="G14" s="6" t="n">
        <v>873</v>
      </c>
      <c r="H14" s="6" t="n">
        <v>1772</v>
      </c>
      <c r="I14" s="6" t="n">
        <v>393</v>
      </c>
      <c r="J14" s="6" t="n">
        <v>28486</v>
      </c>
      <c r="K14" s="6" t="n">
        <v>544</v>
      </c>
    </row>
    <row r="15">
      <c r="A15" s="5" t="inlineStr">
        <is>
          <t>Net revenue</t>
        </is>
      </c>
      <c r="B15" s="5" t="n">
        <v>47807</v>
      </c>
      <c r="C15" s="5" t="n">
        <v>82745</v>
      </c>
      <c r="D15" s="5" t="n">
        <v>100908</v>
      </c>
      <c r="E15" s="5" t="n">
        <v>112483</v>
      </c>
      <c r="F15" s="5" t="n">
        <v>107874</v>
      </c>
      <c r="G15" s="5" t="n">
        <v>112919</v>
      </c>
      <c r="H15" s="5" t="n">
        <v>123230</v>
      </c>
      <c r="I15" s="5" t="n">
        <v>125405</v>
      </c>
      <c r="J15" s="5" t="n">
        <v>140675</v>
      </c>
      <c r="K15" s="5" t="n">
        <v>90912</v>
      </c>
    </row>
    <row r="16">
      <c r="A16" s="5" t="inlineStr">
        <is>
          <t>Operating expenses</t>
        </is>
      </c>
      <c r="B16" s="6" t="n"/>
      <c r="C16" s="6" t="n"/>
      <c r="D16" s="6" t="n"/>
      <c r="E16" s="6" t="n"/>
      <c r="F16" s="6" t="n"/>
      <c r="G16" s="6" t="n"/>
      <c r="H16" s="6" t="n"/>
      <c r="I16" s="6" t="n"/>
      <c r="J16" s="6" t="n"/>
      <c r="K16" s="6" t="n"/>
    </row>
    <row r="17">
      <c r="A17" s="6" t="inlineStr">
        <is>
          <t>Compensation and benefits</t>
        </is>
      </c>
      <c r="B17" s="6" t="n">
        <v>-11338</v>
      </c>
      <c r="C17" s="6" t="n">
        <v>-36643</v>
      </c>
      <c r="D17" s="6" t="n">
        <v>-42927</v>
      </c>
      <c r="E17" s="6" t="n">
        <v>-39202</v>
      </c>
      <c r="F17" s="6" t="n">
        <v>-41686</v>
      </c>
      <c r="G17" s="6" t="n">
        <v>-47982</v>
      </c>
      <c r="H17" s="6" t="n">
        <v>-51599</v>
      </c>
      <c r="I17" s="6" t="n">
        <v>-49507</v>
      </c>
      <c r="J17" s="6" t="n">
        <v>-52496</v>
      </c>
      <c r="K17" s="6" t="n">
        <v>-49408</v>
      </c>
    </row>
    <row r="18">
      <c r="A18" s="6" t="inlineStr">
        <is>
          <t>General and administrative expenses</t>
        </is>
      </c>
      <c r="B18" s="6" t="n">
        <v>-26666</v>
      </c>
      <c r="C18" s="6" t="n">
        <v>-35298</v>
      </c>
      <c r="D18" s="6" t="n">
        <v>-84180</v>
      </c>
      <c r="E18" s="6" t="n">
        <v>-51860</v>
      </c>
      <c r="F18" s="6" t="n">
        <v>-41529</v>
      </c>
      <c r="G18" s="6" t="n">
        <v>-39770</v>
      </c>
      <c r="H18" s="6" t="n">
        <v>-37050</v>
      </c>
      <c r="I18" s="6" t="n">
        <v>-36018</v>
      </c>
      <c r="J18" s="6" t="n">
        <v>-51968</v>
      </c>
      <c r="K18" s="6" t="n">
        <v>-40306</v>
      </c>
    </row>
    <row r="19">
      <c r="A19" s="6" t="inlineStr">
        <is>
          <t>Impairment on goodwill</t>
        </is>
      </c>
      <c r="B19" s="6" t="n"/>
      <c r="C19" s="6" t="n"/>
      <c r="D19" s="6" t="n"/>
      <c r="E19" s="6" t="n"/>
      <c r="F19" s="6" t="n">
        <v>-13752</v>
      </c>
      <c r="G19" s="6" t="n"/>
      <c r="H19" s="6" t="n"/>
      <c r="I19" s="6" t="n"/>
      <c r="J19" s="6" t="n"/>
      <c r="K19" s="6" t="n"/>
    </row>
    <row r="20">
      <c r="A20" s="5" t="inlineStr">
        <is>
          <t>Total operating expenses</t>
        </is>
      </c>
      <c r="B20" s="5" t="n">
        <v>-38004</v>
      </c>
      <c r="C20" s="5" t="n">
        <v>-71941</v>
      </c>
      <c r="D20" s="5" t="n">
        <v>-127107</v>
      </c>
      <c r="E20" s="5" t="n">
        <v>-91062</v>
      </c>
      <c r="F20" s="5" t="n">
        <v>-96967</v>
      </c>
      <c r="G20" s="5" t="n">
        <v>-87752</v>
      </c>
      <c r="H20" s="5" t="n">
        <v>-88649</v>
      </c>
      <c r="I20" s="5" t="n">
        <v>-85525</v>
      </c>
      <c r="J20" s="5" t="n">
        <v>-104464</v>
      </c>
      <c r="K20" s="5" t="n">
        <v>-89714</v>
      </c>
    </row>
    <row r="21">
      <c r="A21" s="5" t="inlineStr">
        <is>
          <t>Profit/(loss) before tax</t>
        </is>
      </c>
      <c r="B21" s="5" t="n">
        <v>9803</v>
      </c>
      <c r="C21" s="5" t="n">
        <v>10804</v>
      </c>
      <c r="D21" s="5" t="n">
        <v>-26199</v>
      </c>
      <c r="E21" s="5" t="n">
        <v>21421</v>
      </c>
      <c r="F21" s="5" t="n">
        <v>10907</v>
      </c>
      <c r="G21" s="5" t="n">
        <v>25167</v>
      </c>
      <c r="H21" s="5" t="n">
        <v>34581</v>
      </c>
      <c r="I21" s="5" t="n">
        <v>39880</v>
      </c>
      <c r="J21" s="5" t="n">
        <v>36211</v>
      </c>
      <c r="K21" s="5" t="n">
        <v>1198</v>
      </c>
    </row>
    <row r="22">
      <c r="A22" s="6" t="inlineStr">
        <is>
          <t>Income tax benefit/(expense)</t>
        </is>
      </c>
      <c r="B22" s="6" t="n">
        <v>-3442</v>
      </c>
      <c r="C22" s="6" t="n">
        <v>-3916</v>
      </c>
      <c r="D22" s="6" t="n">
        <v>3065</v>
      </c>
      <c r="E22" s="6" t="n">
        <v>-6963</v>
      </c>
      <c r="F22" s="6" t="n">
        <v>-852</v>
      </c>
      <c r="G22" s="6" t="n">
        <v>-5506</v>
      </c>
      <c r="H22" s="6" t="n">
        <v>-8928</v>
      </c>
      <c r="I22" s="6" t="n">
        <v>-10680</v>
      </c>
      <c r="J22" s="6" t="n">
        <v>-7177</v>
      </c>
      <c r="K22" s="6" t="n">
        <v>-1642</v>
      </c>
    </row>
    <row r="23">
      <c r="A23" s="5" t="inlineStr">
        <is>
          <t>Profit/(loss) after tax</t>
        </is>
      </c>
      <c r="B23" s="5" t="n">
        <v>6361</v>
      </c>
      <c r="C23" s="5" t="n">
        <v>6888</v>
      </c>
      <c r="D23" s="5" t="n">
        <v>-23134</v>
      </c>
      <c r="E23" s="5" t="n">
        <v>14458</v>
      </c>
      <c r="F23" s="5" t="n">
        <v>10055</v>
      </c>
      <c r="G23" s="5" t="n">
        <v>19661</v>
      </c>
      <c r="H23" s="5" t="n">
        <v>25653</v>
      </c>
      <c r="I23" s="5" t="n">
        <v>29200</v>
      </c>
      <c r="J23" s="5" t="n">
        <v>29034</v>
      </c>
      <c r="K23" s="5" t="n">
        <v>-444</v>
      </c>
    </row>
    <row r="24">
      <c r="A24" s="5" t="inlineStr">
        <is>
          <t>Total comprehensive income/(loss) for the year</t>
        </is>
      </c>
      <c r="B24" s="5" t="n">
        <v>6361</v>
      </c>
      <c r="C24" s="5" t="n">
        <v>6888</v>
      </c>
      <c r="D24" s="5" t="n">
        <v>-23134</v>
      </c>
      <c r="E24" s="5" t="n">
        <v>14458</v>
      </c>
      <c r="F24" s="5" t="n">
        <v>10055</v>
      </c>
      <c r="G24" s="5" t="n">
        <v>19661</v>
      </c>
      <c r="H24" s="5" t="n">
        <v>25653</v>
      </c>
      <c r="I24" s="5" t="n">
        <v>29200</v>
      </c>
      <c r="J24" s="5" t="n">
        <v>29350</v>
      </c>
      <c r="K24" s="5" t="n">
        <v>-129</v>
      </c>
    </row>
    <row r="26" ht="380" customHeight="1">
      <c r="A26"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26:K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Credit Suisse (UK) Limited — Statement of Changes in Equity</t>
        </is>
      </c>
    </row>
    <row r="2">
      <c r="A2" s="2" t="inlineStr">
        <is>
          <t>£'000, chronological, FY2016-FY2025. Every year's closing balance ties exactly to the Balance Sheet's own Total shareholders' equity and to the next year's own opening balance - no plug row needed, aside from the two explicit bridging rows (IFRS 9 initial application and the FY2020 correction of error) which are themselves fully disclosed movements, not plugs. AOCI (an available-for-sale reserve) only exists FY2016-FY2018 - blank thereafter, not zero, since it stops being a distinct line item rather than being drawn down to nil. See source note at bottom.</t>
        </is>
      </c>
    </row>
    <row r="3">
      <c r="A3" s="4" t="inlineStr">
        <is>
          <t>Movement</t>
        </is>
      </c>
      <c r="B3" s="4" t="inlineStr">
        <is>
          <t>Share capital</t>
        </is>
      </c>
      <c r="C3" s="4" t="inlineStr">
        <is>
          <t>Share premium</t>
        </is>
      </c>
      <c r="D3" s="4" t="inlineStr">
        <is>
          <t>Capital contribution</t>
        </is>
      </c>
      <c r="E3" s="4" t="inlineStr">
        <is>
          <t>AOCI (available-for-sale reserve)</t>
        </is>
      </c>
      <c r="F3" s="4" t="inlineStr">
        <is>
          <t>Retained earnings</t>
        </is>
      </c>
      <c r="G3" s="4" t="inlineStr">
        <is>
          <t>Total equity</t>
        </is>
      </c>
    </row>
    <row r="4">
      <c r="A4" s="5" t="inlineStr">
        <is>
          <t>At 1 January 2016</t>
        </is>
      </c>
      <c r="B4" s="5" t="n">
        <v>245230</v>
      </c>
      <c r="C4" s="5" t="n">
        <v>11200</v>
      </c>
      <c r="D4" s="5" t="n">
        <v>27500</v>
      </c>
      <c r="E4" s="5" t="n">
        <v>1658</v>
      </c>
      <c r="F4" s="5" t="n">
        <v>-76965</v>
      </c>
      <c r="G4" s="5" t="n">
        <v>208623</v>
      </c>
    </row>
    <row r="5">
      <c r="A5" s="6" t="inlineStr">
        <is>
          <t>Total comprehensive loss for the year (FY2016)</t>
        </is>
      </c>
      <c r="B5" s="6" t="n"/>
      <c r="C5" s="6" t="n"/>
      <c r="D5" s="6" t="n"/>
      <c r="E5" s="6" t="n">
        <v>315</v>
      </c>
      <c r="F5" s="6" t="n">
        <v>-444</v>
      </c>
      <c r="G5" s="6" t="n">
        <v>-129</v>
      </c>
    </row>
    <row r="6">
      <c r="A6" s="5" t="inlineStr">
        <is>
          <t>At 31 December 2016</t>
        </is>
      </c>
      <c r="B6" s="5" t="n">
        <v>245230</v>
      </c>
      <c r="C6" s="5" t="n">
        <v>11200</v>
      </c>
      <c r="D6" s="5" t="n">
        <v>27500</v>
      </c>
      <c r="E6" s="5" t="n">
        <v>1973</v>
      </c>
      <c r="F6" s="5" t="n">
        <v>-77409</v>
      </c>
      <c r="G6" s="5" t="n">
        <v>208494</v>
      </c>
    </row>
    <row r="7">
      <c r="A7" s="6" t="inlineStr">
        <is>
          <t>Total comprehensive income for the year (FY2017)</t>
        </is>
      </c>
      <c r="B7" s="6" t="n"/>
      <c r="C7" s="6" t="n"/>
      <c r="D7" s="6" t="n"/>
      <c r="E7" s="6" t="n">
        <v>316</v>
      </c>
      <c r="F7" s="6" t="n">
        <v>29034</v>
      </c>
      <c r="G7" s="6" t="n">
        <v>29350</v>
      </c>
    </row>
    <row r="8">
      <c r="A8" s="5" t="inlineStr">
        <is>
          <t>At 31 December 2017</t>
        </is>
      </c>
      <c r="B8" s="5" t="n">
        <v>245230</v>
      </c>
      <c r="C8" s="5" t="n">
        <v>11200</v>
      </c>
      <c r="D8" s="5" t="n">
        <v>27500</v>
      </c>
      <c r="E8" s="5" t="n">
        <v>2289</v>
      </c>
      <c r="F8" s="5" t="n">
        <v>-48375</v>
      </c>
      <c r="G8" s="5" t="n">
        <v>237844</v>
      </c>
    </row>
    <row r="9">
      <c r="A9" s="6" t="inlineStr">
        <is>
          <t>IFRS 9 initial-application adjustment (net of tax, 1 Jan 2018)</t>
        </is>
      </c>
      <c r="B9" s="6" t="n"/>
      <c r="C9" s="6" t="n"/>
      <c r="D9" s="6" t="n"/>
      <c r="E9" s="6" t="n">
        <v>-2289</v>
      </c>
      <c r="F9" s="6" t="n">
        <v>2535</v>
      </c>
      <c r="G9" s="6" t="n">
        <v>246</v>
      </c>
    </row>
    <row r="10">
      <c r="A10" s="5" t="inlineStr">
        <is>
          <t>Adjusted balance at 1 January 2018</t>
        </is>
      </c>
      <c r="B10" s="5" t="n">
        <v>245230</v>
      </c>
      <c r="C10" s="5" t="n">
        <v>11200</v>
      </c>
      <c r="D10" s="5" t="n">
        <v>27500</v>
      </c>
      <c r="E10" s="5" t="n">
        <v>0</v>
      </c>
      <c r="F10" s="5" t="n">
        <v>-45840</v>
      </c>
      <c r="G10" s="5" t="n">
        <v>238090</v>
      </c>
    </row>
    <row r="11">
      <c r="A11" s="6" t="inlineStr">
        <is>
          <t>Total comprehensive income for the year (FY2018)</t>
        </is>
      </c>
      <c r="B11" s="6" t="n"/>
      <c r="C11" s="6" t="n"/>
      <c r="D11" s="6" t="n"/>
      <c r="E11" s="6" t="n"/>
      <c r="F11" s="6" t="n">
        <v>29200</v>
      </c>
      <c r="G11" s="6" t="n">
        <v>29200</v>
      </c>
    </row>
    <row r="12">
      <c r="A12" s="6" t="inlineStr">
        <is>
          <t>Contribution to Capital reserve (FY2018)</t>
        </is>
      </c>
      <c r="B12" s="6" t="n"/>
      <c r="C12" s="6" t="n"/>
      <c r="D12" s="6" t="n">
        <v>30000</v>
      </c>
      <c r="E12" s="6" t="n"/>
      <c r="F12" s="6" t="n"/>
      <c r="G12" s="6" t="n">
        <v>30000</v>
      </c>
    </row>
    <row r="13">
      <c r="A13" s="5" t="inlineStr">
        <is>
          <t>At 31 December 2018</t>
        </is>
      </c>
      <c r="B13" s="5" t="n">
        <v>245230</v>
      </c>
      <c r="C13" s="5" t="n">
        <v>11200</v>
      </c>
      <c r="D13" s="5" t="n">
        <v>57500</v>
      </c>
      <c r="E13" s="5" t="n">
        <v>0</v>
      </c>
      <c r="F13" s="5" t="n">
        <v>-16640</v>
      </c>
      <c r="G13" s="5" t="n">
        <v>297290</v>
      </c>
    </row>
    <row r="14">
      <c r="A14" s="6" t="inlineStr">
        <is>
          <t>Total comprehensive income for the year (FY2019, as originally reported)</t>
        </is>
      </c>
      <c r="B14" s="6" t="n"/>
      <c r="C14" s="6" t="n"/>
      <c r="D14" s="6" t="n"/>
      <c r="E14" s="6" t="n"/>
      <c r="F14" s="6" t="n">
        <v>25653</v>
      </c>
      <c r="G14" s="6" t="n">
        <v>25653</v>
      </c>
    </row>
    <row r="15">
      <c r="A15" s="5" t="inlineStr">
        <is>
          <t>At 31 December 2019 (as originally reported)</t>
        </is>
      </c>
      <c r="B15" s="5" t="n">
        <v>245230</v>
      </c>
      <c r="C15" s="5" t="n">
        <v>11200</v>
      </c>
      <c r="D15" s="5" t="n">
        <v>57500</v>
      </c>
      <c r="E15" s="5" t="n">
        <v>0</v>
      </c>
      <c r="F15" s="5" t="n">
        <v>9013</v>
      </c>
      <c r="G15" s="5" t="n">
        <v>322943</v>
      </c>
    </row>
    <row r="16">
      <c r="A16" s="6" t="inlineStr">
        <is>
          <t>Correction of error, net of tax (per FY2020's own filing, not otherwise explained)</t>
        </is>
      </c>
      <c r="B16" s="6" t="n"/>
      <c r="C16" s="6" t="n"/>
      <c r="D16" s="6" t="n"/>
      <c r="E16" s="6" t="n"/>
      <c r="F16" s="6" t="n">
        <v>-1431</v>
      </c>
      <c r="G16" s="6" t="n">
        <v>-1431</v>
      </c>
    </row>
    <row r="17">
      <c r="A17" s="5" t="inlineStr">
        <is>
          <t>Restated balance at 1 January 2020</t>
        </is>
      </c>
      <c r="B17" s="5" t="n">
        <v>245230</v>
      </c>
      <c r="C17" s="5" t="n">
        <v>11200</v>
      </c>
      <c r="D17" s="5" t="n">
        <v>57500</v>
      </c>
      <c r="E17" s="5" t="n">
        <v>0</v>
      </c>
      <c r="F17" s="5" t="n">
        <v>7582</v>
      </c>
      <c r="G17" s="5" t="n">
        <v>321512</v>
      </c>
    </row>
    <row r="18">
      <c r="A18" s="6" t="inlineStr">
        <is>
          <t>Total comprehensive income for the year (FY2020)</t>
        </is>
      </c>
      <c r="B18" s="6" t="n"/>
      <c r="C18" s="6" t="n"/>
      <c r="D18" s="6" t="n"/>
      <c r="E18" s="6" t="n"/>
      <c r="F18" s="6" t="n">
        <v>19661</v>
      </c>
      <c r="G18" s="6" t="n">
        <v>19661</v>
      </c>
    </row>
    <row r="19">
      <c r="A19" s="5" t="inlineStr">
        <is>
          <t>At 31 December 2020</t>
        </is>
      </c>
      <c r="B19" s="5" t="n">
        <v>245230</v>
      </c>
      <c r="C19" s="5" t="n">
        <v>11200</v>
      </c>
      <c r="D19" s="5" t="n">
        <v>57500</v>
      </c>
      <c r="E19" s="5" t="n">
        <v>0</v>
      </c>
      <c r="F19" s="5" t="n">
        <v>27243</v>
      </c>
      <c r="G19" s="5" t="n">
        <v>341173</v>
      </c>
    </row>
    <row r="20">
      <c r="A20" s="5" t="inlineStr">
        <is>
          <t>At 1 January 2021</t>
        </is>
      </c>
      <c r="B20" s="5" t="n">
        <v>245230</v>
      </c>
      <c r="C20" s="5" t="n">
        <v>11200</v>
      </c>
      <c r="D20" s="5" t="n">
        <v>57500</v>
      </c>
      <c r="E20" s="5" t="n"/>
      <c r="F20" s="5" t="n">
        <v>27243</v>
      </c>
      <c r="G20" s="5" t="n">
        <v>341173</v>
      </c>
    </row>
    <row r="21">
      <c r="A21" s="6" t="inlineStr">
        <is>
          <t>Total comprehensive income for the year (FY2021)</t>
        </is>
      </c>
      <c r="B21" s="6" t="n"/>
      <c r="C21" s="6" t="n"/>
      <c r="D21" s="6" t="n"/>
      <c r="E21" s="6" t="n"/>
      <c r="F21" s="6" t="n">
        <v>10055</v>
      </c>
      <c r="G21" s="6" t="n">
        <v>10055</v>
      </c>
    </row>
    <row r="22">
      <c r="A22" s="5" t="inlineStr">
        <is>
          <t>At 31 December 2021</t>
        </is>
      </c>
      <c r="B22" s="5" t="n">
        <v>245230</v>
      </c>
      <c r="C22" s="5" t="n">
        <v>11200</v>
      </c>
      <c r="D22" s="5" t="n">
        <v>57500</v>
      </c>
      <c r="E22" s="5" t="n"/>
      <c r="F22" s="5" t="n">
        <v>37298</v>
      </c>
      <c r="G22" s="5" t="n">
        <v>351228</v>
      </c>
    </row>
    <row r="23">
      <c r="A23" s="6" t="inlineStr">
        <is>
          <t>Total comprehensive income for the year (FY2022)</t>
        </is>
      </c>
      <c r="B23" s="6" t="n"/>
      <c r="C23" s="6" t="n"/>
      <c r="D23" s="6" t="n"/>
      <c r="E23" s="6" t="n"/>
      <c r="F23" s="6" t="n">
        <v>14458</v>
      </c>
      <c r="G23" s="6" t="n">
        <v>14458</v>
      </c>
    </row>
    <row r="24">
      <c r="A24" s="6" t="inlineStr">
        <is>
          <t>Dividend paid (FY2022)</t>
        </is>
      </c>
      <c r="B24" s="6" t="n"/>
      <c r="C24" s="6" t="n"/>
      <c r="D24" s="6" t="n"/>
      <c r="E24" s="6" t="n"/>
      <c r="F24" s="6" t="n">
        <v>-20000</v>
      </c>
      <c r="G24" s="6" t="n">
        <v>-20000</v>
      </c>
    </row>
    <row r="25">
      <c r="A25" s="5" t="inlineStr">
        <is>
          <t>At 31 December 2022</t>
        </is>
      </c>
      <c r="B25" s="5" t="n">
        <v>245230</v>
      </c>
      <c r="C25" s="5" t="n">
        <v>11200</v>
      </c>
      <c r="D25" s="5" t="n">
        <v>57500</v>
      </c>
      <c r="E25" s="5" t="n"/>
      <c r="F25" s="5" t="n">
        <v>31756</v>
      </c>
      <c r="G25" s="5" t="n">
        <v>345686</v>
      </c>
    </row>
    <row r="26">
      <c r="A26" s="6" t="inlineStr">
        <is>
          <t>Total comprehensive loss for the year (FY2023)</t>
        </is>
      </c>
      <c r="B26" s="6" t="n"/>
      <c r="C26" s="6" t="n"/>
      <c r="D26" s="6" t="n"/>
      <c r="E26" s="6" t="n"/>
      <c r="F26" s="6" t="n">
        <v>-23134</v>
      </c>
      <c r="G26" s="6" t="n">
        <v>-23134</v>
      </c>
    </row>
    <row r="27">
      <c r="A27" s="6" t="inlineStr">
        <is>
          <t>Dividend paid (FY2023)</t>
        </is>
      </c>
      <c r="B27" s="6" t="n"/>
      <c r="C27" s="6" t="n"/>
      <c r="D27" s="6" t="n">
        <v>-30000</v>
      </c>
      <c r="E27" s="6" t="n"/>
      <c r="F27" s="6" t="n"/>
      <c r="G27" s="6" t="n">
        <v>-30000</v>
      </c>
    </row>
    <row r="28">
      <c r="A28" s="5" t="inlineStr">
        <is>
          <t>At 31 December 2023</t>
        </is>
      </c>
      <c r="B28" s="5" t="n">
        <v>245230</v>
      </c>
      <c r="C28" s="5" t="n">
        <v>11200</v>
      </c>
      <c r="D28" s="5" t="n">
        <v>27500</v>
      </c>
      <c r="E28" s="5" t="n"/>
      <c r="F28" s="5" t="n">
        <v>8622</v>
      </c>
      <c r="G28" s="5" t="n">
        <v>292552</v>
      </c>
    </row>
    <row r="29">
      <c r="A29" s="6" t="inlineStr">
        <is>
          <t>Total comprehensive income for the year (FY2024)</t>
        </is>
      </c>
      <c r="B29" s="6" t="n"/>
      <c r="C29" s="6" t="n"/>
      <c r="D29" s="6" t="n"/>
      <c r="E29" s="6" t="n"/>
      <c r="F29" s="6" t="n">
        <v>6888</v>
      </c>
      <c r="G29" s="6" t="n">
        <v>6888</v>
      </c>
    </row>
    <row r="30">
      <c r="A30" s="5" t="inlineStr">
        <is>
          <t>At 31 December 2024</t>
        </is>
      </c>
      <c r="B30" s="5" t="n">
        <v>245230</v>
      </c>
      <c r="C30" s="5" t="n">
        <v>11200</v>
      </c>
      <c r="D30" s="5" t="n">
        <v>27500</v>
      </c>
      <c r="E30" s="5" t="n"/>
      <c r="F30" s="5" t="n">
        <v>15510</v>
      </c>
      <c r="G30" s="5" t="n">
        <v>299440</v>
      </c>
    </row>
    <row r="31">
      <c r="A31" s="6" t="inlineStr">
        <is>
          <t>Total comprehensive income for the year (FY2025)</t>
        </is>
      </c>
      <c r="B31" s="6" t="n"/>
      <c r="C31" s="6" t="n"/>
      <c r="D31" s="6" t="n"/>
      <c r="E31" s="6" t="n"/>
      <c r="F31" s="6" t="n">
        <v>6361</v>
      </c>
      <c r="G31" s="6" t="n">
        <v>6361</v>
      </c>
    </row>
    <row r="32">
      <c r="A32" s="5" t="inlineStr">
        <is>
          <t>At 31 December 2025</t>
        </is>
      </c>
      <c r="B32" s="5" t="n">
        <v>245230</v>
      </c>
      <c r="C32" s="5" t="n">
        <v>11200</v>
      </c>
      <c r="D32" s="5" t="n">
        <v>27500</v>
      </c>
      <c r="E32" s="5" t="n"/>
      <c r="F32" s="5" t="n">
        <v>21871</v>
      </c>
      <c r="G32" s="5" t="n">
        <v>305801</v>
      </c>
    </row>
    <row r="34" ht="150" customHeight="1">
      <c r="A34"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4:G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Cash Flows</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 for the year</t>
        </is>
      </c>
      <c r="B5" s="6" t="n">
        <v>9803</v>
      </c>
      <c r="C5" s="6" t="n">
        <v>10804</v>
      </c>
      <c r="D5" s="6" t="n">
        <v>-26199</v>
      </c>
      <c r="E5" s="6" t="n">
        <v>21421</v>
      </c>
      <c r="F5" s="6" t="n">
        <v>10907</v>
      </c>
      <c r="G5" s="6" t="n">
        <v>25167</v>
      </c>
      <c r="H5" s="6" t="n">
        <v>34581</v>
      </c>
      <c r="I5" s="6" t="n">
        <v>39880</v>
      </c>
      <c r="J5" s="6" t="n">
        <v>36211</v>
      </c>
      <c r="K5" s="6" t="n">
        <v>1198</v>
      </c>
    </row>
    <row r="6">
      <c r="A6" s="6" t="inlineStr">
        <is>
          <t>Loss from the business transfer</t>
        </is>
      </c>
      <c r="B6" s="6" t="n">
        <v>1278</v>
      </c>
      <c r="C6" s="6" t="n"/>
      <c r="D6" s="6" t="n"/>
      <c r="E6" s="6" t="n"/>
      <c r="F6" s="6" t="n"/>
      <c r="G6" s="6" t="n"/>
      <c r="H6" s="6" t="n"/>
      <c r="I6" s="6" t="n"/>
      <c r="J6" s="6" t="n"/>
      <c r="K6" s="6" t="n"/>
    </row>
    <row r="7">
      <c r="A7" s="6" t="inlineStr">
        <is>
          <t>Amortisation and impairment of intangible assets</t>
        </is>
      </c>
      <c r="B7" s="6" t="n"/>
      <c r="C7" s="6" t="n">
        <v>1137</v>
      </c>
      <c r="D7" s="6" t="n">
        <v>13582</v>
      </c>
      <c r="E7" s="6" t="n">
        <v>3566</v>
      </c>
      <c r="F7" s="6" t="n">
        <v>1852</v>
      </c>
      <c r="G7" s="6" t="n">
        <v>952</v>
      </c>
      <c r="H7" s="6" t="n">
        <v>1416</v>
      </c>
      <c r="I7" s="6" t="n">
        <v>3265</v>
      </c>
      <c r="J7" s="6" t="n">
        <v>3168</v>
      </c>
      <c r="K7" s="6" t="n">
        <v>3168</v>
      </c>
    </row>
    <row r="8">
      <c r="A8" s="6" t="inlineStr">
        <is>
          <t>Impairment on goodwill</t>
        </is>
      </c>
      <c r="B8" s="6" t="n"/>
      <c r="C8" s="6" t="n"/>
      <c r="D8" s="6" t="n"/>
      <c r="E8" s="6" t="n"/>
      <c r="F8" s="6" t="n">
        <v>13752</v>
      </c>
      <c r="G8" s="6" t="n"/>
      <c r="H8" s="6" t="n"/>
      <c r="I8" s="6" t="n"/>
      <c r="J8" s="6" t="n"/>
      <c r="K8" s="6" t="n"/>
    </row>
    <row r="9">
      <c r="A9" s="6" t="inlineStr">
        <is>
          <t>Gain on sale of financial assets, net of withholding tax</t>
        </is>
      </c>
      <c r="B9" s="6" t="n"/>
      <c r="C9" s="6" t="n"/>
      <c r="D9" s="6" t="n"/>
      <c r="E9" s="6" t="n"/>
      <c r="F9" s="6" t="n"/>
      <c r="G9" s="6" t="n"/>
      <c r="H9" s="6" t="n"/>
      <c r="I9" s="6" t="n">
        <v>-542</v>
      </c>
      <c r="J9" s="6" t="n"/>
      <c r="K9" s="6" t="n"/>
    </row>
    <row r="10">
      <c r="A10" s="6" t="inlineStr">
        <is>
          <t>Accrued interest on long term debt</t>
        </is>
      </c>
      <c r="B10" s="6" t="n">
        <v>1836</v>
      </c>
      <c r="C10" s="6" t="n">
        <v>14677</v>
      </c>
      <c r="D10" s="6" t="n">
        <v>34049</v>
      </c>
      <c r="E10" s="6" t="n">
        <v>12300</v>
      </c>
      <c r="F10" s="6" t="n">
        <v>1635</v>
      </c>
      <c r="G10" s="6" t="n">
        <v>1794</v>
      </c>
      <c r="H10" s="6" t="n">
        <v>2008</v>
      </c>
      <c r="I10" s="6" t="n">
        <v>720</v>
      </c>
      <c r="J10" s="6" t="n">
        <v>860</v>
      </c>
      <c r="K10" s="6" t="n">
        <v>909</v>
      </c>
    </row>
    <row r="11">
      <c r="A11" s="6" t="inlineStr">
        <is>
          <t>Accrued interest on short-term borrowings</t>
        </is>
      </c>
      <c r="B11" s="6" t="n">
        <v>12765</v>
      </c>
      <c r="C11" s="6" t="n">
        <v>40087</v>
      </c>
      <c r="D11" s="6" t="n">
        <v>44712</v>
      </c>
      <c r="E11" s="6" t="n">
        <v>8822</v>
      </c>
      <c r="F11" s="6" t="n"/>
      <c r="G11" s="6" t="n"/>
      <c r="H11" s="6" t="n"/>
      <c r="I11" s="6" t="n"/>
      <c r="J11" s="6" t="n"/>
      <c r="K11" s="6" t="n"/>
    </row>
    <row r="12">
      <c r="A12" s="6" t="inlineStr">
        <is>
          <t>Deferred fee income on loans</t>
        </is>
      </c>
      <c r="B12" s="6" t="n">
        <v>-499</v>
      </c>
      <c r="C12" s="6" t="n">
        <v>-2784</v>
      </c>
      <c r="D12" s="6" t="n">
        <v>-3102</v>
      </c>
      <c r="E12" s="6" t="n">
        <v>-3821</v>
      </c>
      <c r="F12" s="6" t="n"/>
      <c r="G12" s="6" t="n"/>
      <c r="H12" s="6" t="n"/>
      <c r="I12" s="6" t="n"/>
      <c r="J12" s="6" t="n"/>
      <c r="K12" s="6" t="n"/>
    </row>
    <row r="13">
      <c r="A13" s="6" t="inlineStr">
        <is>
          <t>Foreign exchange (gain)/loss</t>
        </is>
      </c>
      <c r="B13" s="6" t="n">
        <v>-2005</v>
      </c>
      <c r="C13" s="6" t="n">
        <v>-1583</v>
      </c>
      <c r="D13" s="6" t="n">
        <v>1721</v>
      </c>
      <c r="E13" s="6" t="n">
        <v>-2954</v>
      </c>
      <c r="F13" s="6" t="n">
        <v>-1339</v>
      </c>
      <c r="G13" s="6" t="n">
        <v>-6037</v>
      </c>
      <c r="H13" s="6" t="n">
        <v>9943</v>
      </c>
      <c r="I13" s="6" t="n">
        <v>-13</v>
      </c>
      <c r="J13" s="6" t="n">
        <v>12</v>
      </c>
      <c r="K13" s="6" t="n">
        <v>-41</v>
      </c>
    </row>
    <row r="14">
      <c r="A14" s="6" t="inlineStr">
        <is>
          <t>Share based Compensation (charge)/reversal</t>
        </is>
      </c>
      <c r="B14" s="6" t="n"/>
      <c r="C14" s="6" t="n">
        <v>-385</v>
      </c>
      <c r="D14" s="6" t="n">
        <v>394</v>
      </c>
      <c r="E14" s="6" t="n">
        <v>-40</v>
      </c>
      <c r="F14" s="6" t="n"/>
      <c r="G14" s="6" t="n"/>
      <c r="H14" s="6" t="n"/>
      <c r="I14" s="6" t="n"/>
      <c r="J14" s="6" t="n"/>
      <c r="K14" s="6" t="n"/>
    </row>
    <row r="15">
      <c r="A15" s="6" t="inlineStr">
        <is>
          <t>Allowance for expected credit losses (ECL)</t>
        </is>
      </c>
      <c r="B15" s="6" t="n">
        <v>-489</v>
      </c>
      <c r="C15" s="6" t="n">
        <v>1526</v>
      </c>
      <c r="D15" s="6" t="n">
        <v>3094</v>
      </c>
      <c r="E15" s="6" t="n">
        <v>1754</v>
      </c>
      <c r="F15" s="6" t="n">
        <v>-2571</v>
      </c>
      <c r="G15" s="6" t="n">
        <v>2441</v>
      </c>
      <c r="H15" s="6" t="n">
        <v>4913</v>
      </c>
      <c r="I15" s="6" t="n">
        <v>-214</v>
      </c>
      <c r="J15" s="6" t="n"/>
      <c r="K15" s="6" t="n"/>
    </row>
    <row r="16">
      <c r="A16" s="5" t="inlineStr">
        <is>
          <t>Cash generated before changes in operating assets and liabilities</t>
        </is>
      </c>
      <c r="B16" s="5" t="n">
        <v>22689</v>
      </c>
      <c r="C16" s="5" t="n">
        <v>63479</v>
      </c>
      <c r="D16" s="5" t="n">
        <v>68251</v>
      </c>
      <c r="E16" s="5" t="n">
        <v>41048</v>
      </c>
      <c r="F16" s="5" t="n">
        <v>24236</v>
      </c>
      <c r="G16" s="5" t="n">
        <v>24317</v>
      </c>
      <c r="H16" s="5" t="n">
        <v>52861</v>
      </c>
      <c r="I16" s="5" t="n">
        <v>43096</v>
      </c>
      <c r="J16" s="5" t="n">
        <v>40251</v>
      </c>
      <c r="K16" s="5" t="n">
        <v>5234</v>
      </c>
    </row>
    <row r="17">
      <c r="A17" s="6" t="inlineStr">
        <is>
          <t>Securities purchased under resale agreements</t>
        </is>
      </c>
      <c r="B17" s="6" t="n">
        <v>237260</v>
      </c>
      <c r="C17" s="6" t="n">
        <v>-110148</v>
      </c>
      <c r="D17" s="6" t="n">
        <v>106208</v>
      </c>
      <c r="E17" s="6" t="n">
        <v>486194</v>
      </c>
      <c r="F17" s="6" t="n">
        <v>-167802</v>
      </c>
      <c r="G17" s="6" t="n">
        <v>-70352</v>
      </c>
      <c r="H17" s="6" t="n">
        <v>223671</v>
      </c>
      <c r="I17" s="6" t="n">
        <v>-431836</v>
      </c>
      <c r="J17" s="6" t="n">
        <v>227815</v>
      </c>
      <c r="K17" s="6" t="n">
        <v>-11756</v>
      </c>
    </row>
    <row r="18">
      <c r="A18" s="6" t="inlineStr">
        <is>
          <t>Trading financial assets mandatorily at fair value through profit or loss</t>
        </is>
      </c>
      <c r="B18" s="6" t="n">
        <v>13944</v>
      </c>
      <c r="C18" s="6" t="n">
        <v>-314</v>
      </c>
      <c r="D18" s="6" t="n">
        <v>5183</v>
      </c>
      <c r="E18" s="6" t="n">
        <v>-4480</v>
      </c>
      <c r="F18" s="6" t="n">
        <v>20813</v>
      </c>
      <c r="G18" s="6" t="n">
        <v>-26837</v>
      </c>
      <c r="H18" s="6" t="n">
        <v>-2316</v>
      </c>
      <c r="I18" s="6" t="n">
        <v>2650</v>
      </c>
      <c r="J18" s="6" t="n">
        <v>7689</v>
      </c>
      <c r="K18" s="6" t="n">
        <v>8665</v>
      </c>
    </row>
    <row r="19">
      <c r="A19" s="6" t="inlineStr">
        <is>
          <t>Loans and advances</t>
        </is>
      </c>
      <c r="B19" s="6" t="n">
        <v>-39272</v>
      </c>
      <c r="C19" s="6" t="n">
        <v>489850</v>
      </c>
      <c r="D19" s="6" t="n">
        <v>398930</v>
      </c>
      <c r="E19" s="6" t="n">
        <v>336715</v>
      </c>
      <c r="F19" s="6" t="n">
        <v>-48586</v>
      </c>
      <c r="G19" s="6" t="n">
        <v>134342</v>
      </c>
      <c r="H19" s="6" t="n">
        <v>9605</v>
      </c>
      <c r="I19" s="6" t="n">
        <v>25862</v>
      </c>
      <c r="J19" s="6" t="n">
        <v>-618699</v>
      </c>
      <c r="K19" s="6" t="n">
        <v>-224159</v>
      </c>
    </row>
    <row r="20">
      <c r="A20" s="6" t="inlineStr">
        <is>
          <t>Interest bearing deposits with banks (excluding ECL)</t>
        </is>
      </c>
      <c r="B20" s="6" t="n">
        <v>25338</v>
      </c>
      <c r="C20" s="6" t="n">
        <v>-8136</v>
      </c>
      <c r="D20" s="6" t="n">
        <v>31552</v>
      </c>
      <c r="E20" s="6" t="n">
        <v>-48754</v>
      </c>
      <c r="F20" s="6" t="n">
        <v>187491</v>
      </c>
      <c r="G20" s="6" t="n">
        <v>-147539</v>
      </c>
      <c r="H20" s="6" t="n">
        <v>34968</v>
      </c>
      <c r="I20" s="6" t="n">
        <v>-28461</v>
      </c>
      <c r="J20" s="6" t="n">
        <v>70643</v>
      </c>
      <c r="K20" s="6" t="n">
        <v>-27166</v>
      </c>
    </row>
    <row r="21">
      <c r="A21" s="6" t="inlineStr">
        <is>
          <t>Other assets</t>
        </is>
      </c>
      <c r="B21" s="6" t="n">
        <v>17904</v>
      </c>
      <c r="C21" s="6" t="n">
        <v>13274</v>
      </c>
      <c r="D21" s="6" t="n">
        <v>8322</v>
      </c>
      <c r="E21" s="6" t="n">
        <v>-8451</v>
      </c>
      <c r="F21" s="6" t="n">
        <v>-1141</v>
      </c>
      <c r="G21" s="6" t="n">
        <v>-13605</v>
      </c>
      <c r="H21" s="6" t="n">
        <v>-923</v>
      </c>
      <c r="I21" s="6" t="n">
        <v>-266</v>
      </c>
      <c r="J21" s="6" t="n">
        <v>-5068</v>
      </c>
      <c r="K21" s="6" t="n">
        <v>-1161</v>
      </c>
    </row>
    <row r="22">
      <c r="A22" s="5" t="inlineStr">
        <is>
          <t>Net decrease/(increase) in operating assets</t>
        </is>
      </c>
      <c r="B22" s="5" t="n">
        <v>255174</v>
      </c>
      <c r="C22" s="5" t="n">
        <v>384526</v>
      </c>
      <c r="D22" s="5" t="n">
        <v>550195</v>
      </c>
      <c r="E22" s="5" t="n">
        <v>761224</v>
      </c>
      <c r="F22" s="5" t="n">
        <v>-9225</v>
      </c>
      <c r="G22" s="5" t="n">
        <v>-123991</v>
      </c>
      <c r="H22" s="5" t="n">
        <v>265005</v>
      </c>
      <c r="I22" s="5" t="n">
        <v>-432051</v>
      </c>
      <c r="J22" s="5" t="n">
        <v>-317620</v>
      </c>
      <c r="K22" s="5" t="n">
        <v>-255577</v>
      </c>
    </row>
    <row r="23">
      <c r="A23" s="6" t="inlineStr">
        <is>
          <t>Deposits</t>
        </is>
      </c>
      <c r="B23" s="6" t="n">
        <v>-195682</v>
      </c>
      <c r="C23" s="6" t="n">
        <v>-106841</v>
      </c>
      <c r="D23" s="6" t="n">
        <v>-439790</v>
      </c>
      <c r="E23" s="6" t="n">
        <v>-517522</v>
      </c>
      <c r="F23" s="6" t="n">
        <v>-64484</v>
      </c>
      <c r="G23" s="6" t="n">
        <v>142463</v>
      </c>
      <c r="H23" s="6" t="n">
        <v>-46575</v>
      </c>
      <c r="I23" s="6" t="n">
        <v>96685</v>
      </c>
      <c r="J23" s="6" t="n">
        <v>355158</v>
      </c>
      <c r="K23" s="6" t="n">
        <v>298670</v>
      </c>
    </row>
    <row r="24">
      <c r="A24" s="6" t="inlineStr">
        <is>
          <t>Trading financial liabilities mandatorily at fair value through profit or loss</t>
        </is>
      </c>
      <c r="B24" s="6" t="n">
        <v>-13849</v>
      </c>
      <c r="C24" s="6" t="n">
        <v>353</v>
      </c>
      <c r="D24" s="6" t="n">
        <v>-5117</v>
      </c>
      <c r="E24" s="6" t="n">
        <v>4590</v>
      </c>
      <c r="F24" s="6" t="n">
        <v>-20917</v>
      </c>
      <c r="G24" s="6" t="n">
        <v>26867</v>
      </c>
      <c r="H24" s="6" t="n">
        <v>2289</v>
      </c>
      <c r="I24" s="6" t="n">
        <v>-2303</v>
      </c>
      <c r="J24" s="6" t="n">
        <v>-7757</v>
      </c>
      <c r="K24" s="6" t="n">
        <v>-8215</v>
      </c>
    </row>
    <row r="25">
      <c r="A25" s="6" t="inlineStr">
        <is>
          <t>Share based compensation</t>
        </is>
      </c>
      <c r="B25" s="6" t="n"/>
      <c r="C25" s="6" t="n">
        <v>-220</v>
      </c>
      <c r="D25" s="6" t="n">
        <v>-1774</v>
      </c>
      <c r="E25" s="6" t="n">
        <v>-3649</v>
      </c>
      <c r="F25" s="6" t="n"/>
      <c r="G25" s="6" t="n"/>
      <c r="H25" s="6" t="n"/>
      <c r="I25" s="6" t="n"/>
      <c r="J25" s="6" t="n"/>
      <c r="K25" s="6" t="n"/>
    </row>
    <row r="26">
      <c r="A26" s="6" t="inlineStr">
        <is>
          <t>Other liabilities and provisions</t>
        </is>
      </c>
      <c r="B26" s="6" t="n">
        <v>-14841</v>
      </c>
      <c r="C26" s="6" t="n">
        <v>-15915</v>
      </c>
      <c r="D26" s="6" t="n">
        <v>11963</v>
      </c>
      <c r="E26" s="6" t="n">
        <v>1266</v>
      </c>
      <c r="F26" s="6" t="n">
        <v>-2672</v>
      </c>
      <c r="G26" s="6" t="n">
        <v>-4447</v>
      </c>
      <c r="H26" s="6" t="n">
        <v>6358</v>
      </c>
      <c r="I26" s="6" t="n">
        <v>-22636</v>
      </c>
      <c r="J26" s="6" t="n">
        <v>-1601</v>
      </c>
      <c r="K26" s="6" t="n">
        <v>17612</v>
      </c>
    </row>
    <row r="27">
      <c r="A27" s="5" t="inlineStr">
        <is>
          <t>Net decrease/(increase) in operating liabilities</t>
        </is>
      </c>
      <c r="B27" s="5" t="n">
        <v>-224372</v>
      </c>
      <c r="C27" s="5" t="n">
        <v>-122623</v>
      </c>
      <c r="D27" s="5" t="n">
        <v>-434718</v>
      </c>
      <c r="E27" s="5" t="n">
        <v>-515315</v>
      </c>
      <c r="F27" s="5" t="n">
        <v>-88073</v>
      </c>
      <c r="G27" s="5" t="n">
        <v>164883</v>
      </c>
      <c r="H27" s="5" t="n">
        <v>-37928</v>
      </c>
      <c r="I27" s="5" t="n">
        <v>71746</v>
      </c>
      <c r="J27" s="5" t="n">
        <v>345800</v>
      </c>
      <c r="K27" s="5" t="n">
        <v>308067</v>
      </c>
    </row>
    <row r="28">
      <c r="A28" s="6" t="inlineStr">
        <is>
          <t>Income tax refunded/(paid)</t>
        </is>
      </c>
      <c r="B28" s="6" t="n"/>
      <c r="C28" s="6" t="n">
        <v>119</v>
      </c>
      <c r="D28" s="6" t="n"/>
      <c r="E28" s="6" t="n"/>
      <c r="F28" s="6" t="n">
        <v>1101</v>
      </c>
      <c r="G28" s="6" t="n">
        <v>-10662</v>
      </c>
      <c r="H28" s="6" t="n"/>
      <c r="I28" s="6" t="n"/>
      <c r="J28" s="6" t="n"/>
      <c r="K28" s="6" t="n"/>
    </row>
    <row r="29">
      <c r="A29" s="6" t="inlineStr">
        <is>
          <t>Group relief received/(paid)</t>
        </is>
      </c>
      <c r="B29" s="6" t="n">
        <v>6127</v>
      </c>
      <c r="C29" s="6" t="n">
        <v>-4800</v>
      </c>
      <c r="D29" s="6" t="n">
        <v>-3319</v>
      </c>
      <c r="E29" s="6" t="n">
        <v>-2522</v>
      </c>
      <c r="F29" s="6" t="n">
        <v>406</v>
      </c>
      <c r="G29" s="6" t="n">
        <v>-8186</v>
      </c>
      <c r="H29" s="6" t="n">
        <v>-13495</v>
      </c>
      <c r="I29" s="6" t="n">
        <v>-3189</v>
      </c>
      <c r="J29" s="6" t="n"/>
      <c r="K29" s="6" t="n">
        <v>-266</v>
      </c>
    </row>
    <row r="30">
      <c r="A30" s="5" t="inlineStr">
        <is>
          <t>Net cash flow generated from/(used in) operating activities</t>
        </is>
      </c>
      <c r="B30" s="5" t="n">
        <v>59618</v>
      </c>
      <c r="C30" s="5" t="n">
        <v>320701</v>
      </c>
      <c r="D30" s="5" t="n">
        <v>180409</v>
      </c>
      <c r="E30" s="5" t="n">
        <v>284435</v>
      </c>
      <c r="F30" s="5" t="n">
        <v>-71555</v>
      </c>
      <c r="G30" s="5" t="n">
        <v>46361</v>
      </c>
      <c r="H30" s="5" t="n">
        <v>266443</v>
      </c>
      <c r="I30" s="5" t="n">
        <v>-320398</v>
      </c>
      <c r="J30" s="5" t="n">
        <v>68431</v>
      </c>
      <c r="K30" s="5" t="n">
        <v>57458</v>
      </c>
    </row>
    <row r="31">
      <c r="A31" s="5" t="inlineStr">
        <is>
          <t>Investing activities</t>
        </is>
      </c>
      <c r="B31" s="6" t="n"/>
      <c r="C31" s="6" t="n"/>
      <c r="D31" s="6" t="n"/>
      <c r="E31" s="6" t="n"/>
      <c r="F31" s="6" t="n"/>
      <c r="G31" s="6" t="n"/>
      <c r="H31" s="6" t="n"/>
      <c r="I31" s="6" t="n"/>
      <c r="J31" s="6" t="n"/>
      <c r="K31" s="6" t="n"/>
    </row>
    <row r="32">
      <c r="A32" s="6" t="inlineStr">
        <is>
          <t>Cash receipt from business transfer</t>
        </is>
      </c>
      <c r="B32" s="6" t="n">
        <v>539843</v>
      </c>
      <c r="C32" s="6" t="n"/>
      <c r="D32" s="6" t="n"/>
      <c r="E32" s="6" t="n"/>
      <c r="F32" s="6" t="n"/>
      <c r="G32" s="6" t="n"/>
      <c r="H32" s="6" t="n"/>
      <c r="I32" s="6" t="n"/>
      <c r="J32" s="6" t="n"/>
      <c r="K32" s="6" t="n"/>
    </row>
    <row r="33">
      <c r="A33" s="6" t="inlineStr">
        <is>
          <t>Sale of financial assets</t>
        </is>
      </c>
      <c r="B33" s="6" t="n"/>
      <c r="C33" s="6" t="n"/>
      <c r="D33" s="6" t="n"/>
      <c r="E33" s="6" t="n"/>
      <c r="F33" s="6" t="n"/>
      <c r="G33" s="6" t="n"/>
      <c r="H33" s="6" t="n"/>
      <c r="I33" s="6" t="n">
        <v>2868</v>
      </c>
      <c r="J33" s="6" t="n"/>
      <c r="K33" s="6" t="n"/>
    </row>
    <row r="34">
      <c r="A34" s="6" t="inlineStr">
        <is>
          <t>Capital expenditures for intangible assets</t>
        </is>
      </c>
      <c r="B34" s="6" t="n"/>
      <c r="C34" s="6" t="n"/>
      <c r="D34" s="6" t="n">
        <v>-786</v>
      </c>
      <c r="E34" s="6" t="n">
        <v>-3455</v>
      </c>
      <c r="F34" s="6" t="n">
        <v>-3799</v>
      </c>
      <c r="G34" s="6" t="n">
        <v>-6867</v>
      </c>
      <c r="H34" s="6" t="n">
        <v>-3981</v>
      </c>
      <c r="I34" s="6" t="n">
        <v>-2467</v>
      </c>
      <c r="J34" s="6" t="n">
        <v>-939</v>
      </c>
      <c r="K34" s="6" t="n"/>
    </row>
    <row r="35">
      <c r="A35" s="5" t="inlineStr">
        <is>
          <t>Net cash flow generated from/(used in) investing activities</t>
        </is>
      </c>
      <c r="B35" s="5" t="n">
        <v>539843</v>
      </c>
      <c r="C35" s="5" t="n">
        <v>0</v>
      </c>
      <c r="D35" s="5" t="n">
        <v>-786</v>
      </c>
      <c r="E35" s="5" t="n">
        <v>-3455</v>
      </c>
      <c r="F35" s="5" t="n">
        <v>-3799</v>
      </c>
      <c r="G35" s="5" t="n">
        <v>-6867</v>
      </c>
      <c r="H35" s="5" t="n">
        <v>-3981</v>
      </c>
      <c r="I35" s="5" t="n">
        <v>401</v>
      </c>
      <c r="J35" s="5" t="n">
        <v>-939</v>
      </c>
      <c r="K35" s="5" t="n">
        <v>0</v>
      </c>
    </row>
    <row r="36">
      <c r="A36" s="5" t="inlineStr">
        <is>
          <t>Financing activities</t>
        </is>
      </c>
      <c r="B36" s="6" t="n"/>
      <c r="C36" s="6" t="n"/>
      <c r="D36" s="6" t="n"/>
      <c r="E36" s="6" t="n"/>
      <c r="F36" s="6" t="n"/>
      <c r="G36" s="6" t="n"/>
      <c r="H36" s="6" t="n"/>
      <c r="I36" s="6" t="n"/>
      <c r="J36" s="6" t="n"/>
      <c r="K36" s="6" t="n"/>
    </row>
    <row r="37">
      <c r="A37" s="6" t="inlineStr">
        <is>
          <t>Dividend paid</t>
        </is>
      </c>
      <c r="B37" s="6" t="n"/>
      <c r="C37" s="6" t="n"/>
      <c r="D37" s="6" t="n">
        <v>-30000</v>
      </c>
      <c r="E37" s="6" t="n">
        <v>-20000</v>
      </c>
      <c r="F37" s="6" t="n"/>
      <c r="G37" s="6" t="n"/>
      <c r="H37" s="6" t="n"/>
      <c r="I37" s="6" t="n"/>
      <c r="J37" s="6" t="n"/>
      <c r="K37" s="6" t="n"/>
    </row>
    <row r="38">
      <c r="A38" s="6" t="inlineStr">
        <is>
          <t>Interest paid on long term debt</t>
        </is>
      </c>
      <c r="B38" s="6" t="n">
        <v>-1916</v>
      </c>
      <c r="C38" s="6" t="n">
        <v>-15460</v>
      </c>
      <c r="D38" s="6" t="n">
        <v>-33420</v>
      </c>
      <c r="E38" s="6" t="n">
        <v>-12293</v>
      </c>
      <c r="F38" s="6" t="n">
        <v>-1620</v>
      </c>
      <c r="G38" s="6" t="n">
        <v>-1843</v>
      </c>
      <c r="H38" s="6" t="n">
        <v>-2008</v>
      </c>
      <c r="I38" s="6" t="n">
        <v>-677</v>
      </c>
      <c r="J38" s="6" t="n">
        <v>-867</v>
      </c>
      <c r="K38" s="6" t="n">
        <v>-920</v>
      </c>
    </row>
    <row r="39">
      <c r="A39" s="6" t="inlineStr">
        <is>
          <t>Capital contribution</t>
        </is>
      </c>
      <c r="B39" s="6" t="n"/>
      <c r="C39" s="6" t="n"/>
      <c r="D39" s="6" t="n"/>
      <c r="E39" s="6" t="n"/>
      <c r="F39" s="6" t="n"/>
      <c r="G39" s="6" t="n"/>
      <c r="H39" s="6" t="n"/>
      <c r="I39" s="6" t="n">
        <v>30000</v>
      </c>
      <c r="J39" s="6" t="n"/>
      <c r="K39" s="6" t="n"/>
    </row>
    <row r="40">
      <c r="A40" s="6" t="inlineStr">
        <is>
          <t>Issuance of long term debt</t>
        </is>
      </c>
      <c r="B40" s="6" t="n"/>
      <c r="C40" s="6" t="n"/>
      <c r="D40" s="6" t="n">
        <v>530803</v>
      </c>
      <c r="E40" s="6" t="n">
        <v>500000</v>
      </c>
      <c r="F40" s="6" t="n"/>
      <c r="G40" s="6" t="n"/>
      <c r="H40" s="6" t="n"/>
      <c r="I40" s="6" t="n">
        <v>30000</v>
      </c>
      <c r="J40" s="6" t="n"/>
      <c r="K40" s="6" t="n"/>
    </row>
    <row r="41">
      <c r="A41" s="6" t="inlineStr">
        <is>
          <t>Repayment of long term debt</t>
        </is>
      </c>
      <c r="B41" s="6" t="n">
        <v>-55000</v>
      </c>
      <c r="C41" s="6" t="n">
        <v>-500000</v>
      </c>
      <c r="D41" s="6" t="n">
        <v>-532693</v>
      </c>
      <c r="E41" s="6" t="n">
        <v>-503689</v>
      </c>
      <c r="F41" s="6" t="n"/>
      <c r="G41" s="6" t="n"/>
      <c r="H41" s="6" t="n"/>
      <c r="I41" s="6" t="n"/>
      <c r="J41" s="6" t="n"/>
      <c r="K41" s="6" t="n"/>
    </row>
    <row r="42">
      <c r="A42" s="6" t="inlineStr">
        <is>
          <t>Interest paid on short-term borrowings</t>
        </is>
      </c>
      <c r="B42" s="6" t="n">
        <v>-17039</v>
      </c>
      <c r="C42" s="6" t="n">
        <v>-39775</v>
      </c>
      <c r="D42" s="6" t="n">
        <v>-43476</v>
      </c>
      <c r="E42" s="6" t="n">
        <v>-6928</v>
      </c>
      <c r="F42" s="6" t="n"/>
      <c r="G42" s="6" t="n"/>
      <c r="H42" s="6" t="n"/>
      <c r="I42" s="6" t="n"/>
      <c r="J42" s="6" t="n"/>
      <c r="K42" s="6" t="n"/>
    </row>
    <row r="43">
      <c r="A43" s="6" t="inlineStr">
        <is>
          <t>Issuance of short-term borrowings</t>
        </is>
      </c>
      <c r="B43" s="6" t="n">
        <v>12865</v>
      </c>
      <c r="C43" s="6" t="n">
        <v>713897</v>
      </c>
      <c r="D43" s="6" t="n">
        <v>601802</v>
      </c>
      <c r="E43" s="6" t="n">
        <v>615993</v>
      </c>
      <c r="F43" s="6" t="n"/>
      <c r="G43" s="6" t="n"/>
      <c r="H43" s="6" t="n"/>
      <c r="I43" s="6" t="n"/>
      <c r="J43" s="6" t="n"/>
      <c r="K43" s="6" t="n"/>
    </row>
    <row r="44">
      <c r="A44" s="6" t="inlineStr">
        <is>
          <t>Repayment of short-term borrowings</t>
        </is>
      </c>
      <c r="B44" s="6" t="n">
        <v>-845507</v>
      </c>
      <c r="C44" s="6" t="n">
        <v>-689448</v>
      </c>
      <c r="D44" s="6" t="n">
        <v>-575110</v>
      </c>
      <c r="E44" s="6" t="n">
        <v>-824808</v>
      </c>
      <c r="F44" s="6" t="n"/>
      <c r="G44" s="6" t="n"/>
      <c r="H44" s="6" t="n"/>
      <c r="I44" s="6" t="n"/>
      <c r="J44" s="6" t="n"/>
      <c r="K44" s="6" t="n"/>
    </row>
    <row r="45">
      <c r="A45" s="5" t="inlineStr">
        <is>
          <t>Net cash flow used in financing activities</t>
        </is>
      </c>
      <c r="B45" s="5" t="n">
        <v>-906597</v>
      </c>
      <c r="C45" s="5" t="n">
        <v>-530786</v>
      </c>
      <c r="D45" s="5" t="n">
        <v>-82094</v>
      </c>
      <c r="E45" s="5" t="n">
        <v>-251725</v>
      </c>
      <c r="F45" s="5" t="n">
        <v>-1620</v>
      </c>
      <c r="G45" s="5" t="n">
        <v>-1843</v>
      </c>
      <c r="H45" s="5" t="n">
        <v>-2008</v>
      </c>
      <c r="I45" s="5" t="n">
        <v>59323</v>
      </c>
      <c r="J45" s="5" t="n">
        <v>-867</v>
      </c>
      <c r="K45" s="5" t="n">
        <v>-920</v>
      </c>
    </row>
    <row r="46">
      <c r="A46" s="5" t="inlineStr">
        <is>
          <t>Net (decrease)/increase in cash and cash equivalents</t>
        </is>
      </c>
      <c r="B46" s="5" t="n">
        <v>-307136</v>
      </c>
      <c r="C46" s="5" t="n">
        <v>-210085</v>
      </c>
      <c r="D46" s="5" t="n">
        <v>97529</v>
      </c>
      <c r="E46" s="5" t="n">
        <v>29255</v>
      </c>
      <c r="F46" s="5" t="n">
        <v>-76974</v>
      </c>
      <c r="G46" s="5" t="n">
        <v>37651</v>
      </c>
      <c r="H46" s="5" t="n">
        <v>260454</v>
      </c>
      <c r="I46" s="5" t="n">
        <v>-260674</v>
      </c>
      <c r="J46" s="5" t="n">
        <v>66625</v>
      </c>
      <c r="K46" s="5" t="n">
        <v>56538</v>
      </c>
    </row>
    <row r="47">
      <c r="A47" s="6" t="inlineStr">
        <is>
          <t>Cash and cash equivalents at the beginning of the year</t>
        </is>
      </c>
      <c r="B47" s="6" t="n">
        <v>341768</v>
      </c>
      <c r="C47" s="6" t="n">
        <v>548659</v>
      </c>
      <c r="D47" s="6" t="n">
        <v>475664</v>
      </c>
      <c r="E47" s="6" t="n">
        <v>408082</v>
      </c>
      <c r="F47" s="6" t="n">
        <v>483717</v>
      </c>
      <c r="G47" s="6" t="n">
        <v>440029</v>
      </c>
      <c r="H47" s="6" t="n">
        <v>197301</v>
      </c>
      <c r="I47" s="6" t="n">
        <v>457975</v>
      </c>
      <c r="J47" s="6" t="n">
        <v>432924</v>
      </c>
      <c r="K47" s="6" t="n">
        <v>376386</v>
      </c>
    </row>
    <row r="48">
      <c r="A48" s="6" t="inlineStr">
        <is>
          <t>Effect of exchange rate fluctuations on cash and cash equivalents</t>
        </is>
      </c>
      <c r="B48" s="6" t="n">
        <v>-12923</v>
      </c>
      <c r="C48" s="6" t="n">
        <v>3194</v>
      </c>
      <c r="D48" s="6" t="n">
        <v>-24570</v>
      </c>
      <c r="E48" s="6" t="n">
        <v>38372</v>
      </c>
      <c r="F48" s="6" t="n">
        <v>1339</v>
      </c>
      <c r="G48" s="6" t="n">
        <v>6037</v>
      </c>
      <c r="H48" s="6" t="n">
        <v>-9939</v>
      </c>
      <c r="I48" s="6" t="n"/>
      <c r="J48" s="6" t="n"/>
      <c r="K48" s="6" t="n"/>
    </row>
    <row r="49">
      <c r="A49" s="5" t="inlineStr">
        <is>
          <t>Cash and cash equivalents at the end of the year</t>
        </is>
      </c>
      <c r="B49" s="5" t="n">
        <v>21709</v>
      </c>
      <c r="C49" s="5" t="n">
        <v>341768</v>
      </c>
      <c r="D49" s="5" t="n">
        <v>548659</v>
      </c>
      <c r="E49" s="5" t="n">
        <v>475709</v>
      </c>
      <c r="F49" s="5" t="n">
        <v>408082</v>
      </c>
      <c r="G49" s="5" t="n">
        <v>483717</v>
      </c>
      <c r="H49" s="5" t="n">
        <v>447816</v>
      </c>
      <c r="I49" s="5" t="n">
        <v>197301</v>
      </c>
      <c r="J49" s="5" t="n">
        <v>499549</v>
      </c>
      <c r="K49" s="5" t="n">
        <v>432924</v>
      </c>
    </row>
    <row r="51" ht="340" customHeight="1">
      <c r="A51" s="8" t="inlineStr">
        <is>
          <t>Sources - all figures are Credit Suisse (UK) Limited's own Statement of Cash Flows:
FY2025: Full accounts to 31 Dec 2025 (Companies House, filed 25 Apr 2026), Statement of Cash Flows p.47 - https://find-and-update.company-information.service.gov.uk/company/02009520/filing-history/MzUxNzE0OTI3NGFkaXF6a2N4/document?format=pdf&amp;download=0
FY2024: same FY2025 filing's own FY2024 comparative column, p.47
FY2023: Full accounts to 31 Dec 2023 (Companies House, filed 27 Apr 2024), Statement of Cash Flows p.41 - https://find-and-update.company-information.service.gov.uk/company/02009520/filing-history/MzQxOTY5NDQ0MWFkaXF6a2N4/document?format=pdf&amp;download=0
FY2022: same FY2023 filing's own FY2022 comparative column, p.41
FY2021: Full accounts to 31 Dec 2021 (Companies House, filed 28 Apr 2022), Statement of Cash Flows p.46 - https://find-and-update.company-information.service.gov.uk/company/02009520/filing-history/MzMzNzU0NDMwOWFkaXF6a2N4/document?format=pdf&amp;download=0
FY2020: Full accounts to 31 Dec 2020 (Companies House, filed 25 May 2021), Statement of Cash Flows p.47 - https://find-and-update.company-information.service.gov.uk/company/02009520/filing-history/MzMwMTQ3Nzk1MmFkaXF6a2N4/document?format=pdf&amp;download=0
FY2019: Full accounts to 31 Dec 2019 (Companies House, filed 20 Apr 2020), Statement of Cash Flows p.41 - https://find-and-update.company-information.service.gov.uk/company/02009520/filing-history/MzI2MjYyNzE3OGFkaXF6a2N4/document?format=pdf&amp;download=0
FY2018: Full accounts to 31 Dec 2018 (Companies House, filed 01 May 2019), Statement of Cash Flows p.44 - https://find-and-update.company-information.service.gov.uk/company/02009520/filing-history/MzIzMzQ0Nzg3OWFkaXF6a2N4/document?format=pdf&amp;download=0
FY2017: Full accounts to 31 Dec 2017 (Companies House, filed 01 May 2018), Statement of Cash Flows p.28 - https://find-and-update.company-information.service.gov.uk/company/02009520/filing-history/MzIwMzkxNjcwMmFkaXF6a2N4/document?format=pdf&amp;download=0
FY2016: Full accounts to 31 Dec 2016 (Companies House, filed 28 Apr 2017), Statement of Cash Flows p.24 -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t>
        </is>
      </c>
    </row>
  </sheetData>
  <mergeCells count="1">
    <mergeCell ref="A51:K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Asset Quality</t>
        </is>
      </c>
    </row>
    <row r="2">
      <c r="A2" s="2" t="inlineStr">
        <is>
          <t>Entity basis, £'000 unless %. Disclosed granularity genuinely changes across years - see source note at bottom. FY2025 loan book transferred to UBS AG London Branch (Part VII, 20 June 2025) - all FY2025 figures on this sheet are correctly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 book by borrower type, gross (FY2016-FY2023 basis)</t>
        </is>
      </c>
      <c r="B4" s="6" t="n"/>
      <c r="C4" s="6" t="n"/>
      <c r="D4" s="6" t="n"/>
      <c r="E4" s="6" t="n"/>
      <c r="F4" s="6" t="n"/>
      <c r="G4" s="6" t="n"/>
      <c r="H4" s="6" t="n"/>
      <c r="I4" s="6" t="n"/>
      <c r="J4" s="6" t="n"/>
      <c r="K4" s="6" t="n"/>
    </row>
    <row r="5">
      <c r="A5" s="6" t="inlineStr">
        <is>
          <t>United Kingdom - Commercial</t>
        </is>
      </c>
      <c r="B5" s="6" t="n"/>
      <c r="C5" s="6" t="n"/>
      <c r="D5" s="6" t="n">
        <v>1069</v>
      </c>
      <c r="E5" s="6" t="n">
        <v>1556</v>
      </c>
      <c r="F5" s="6" t="n">
        <v>8891</v>
      </c>
      <c r="G5" s="6" t="n">
        <v>167719</v>
      </c>
      <c r="H5" s="6" t="n">
        <v>150011</v>
      </c>
      <c r="I5" s="6" t="n">
        <v>130738</v>
      </c>
      <c r="J5" s="6" t="n">
        <v>135735</v>
      </c>
      <c r="K5" s="6" t="n">
        <v>81404</v>
      </c>
    </row>
    <row r="6">
      <c r="A6" s="6" t="inlineStr">
        <is>
          <t>United Kingdom - Consumer</t>
        </is>
      </c>
      <c r="B6" s="6" t="n"/>
      <c r="C6" s="6" t="n"/>
      <c r="D6" s="6" t="n">
        <v>612720</v>
      </c>
      <c r="E6" s="6" t="n">
        <v>791672</v>
      </c>
      <c r="F6" s="6" t="n">
        <v>940312</v>
      </c>
      <c r="G6" s="6" t="n">
        <v>653738</v>
      </c>
      <c r="H6" s="6" t="n">
        <v>775633</v>
      </c>
      <c r="I6" s="6" t="n">
        <v>824688</v>
      </c>
      <c r="J6" s="6" t="n">
        <v>862482</v>
      </c>
      <c r="K6" s="6" t="n">
        <v>619490</v>
      </c>
    </row>
    <row r="7">
      <c r="A7" s="6" t="inlineStr">
        <is>
          <t>Foreign - Commercial</t>
        </is>
      </c>
      <c r="B7" s="6" t="n"/>
      <c r="C7" s="6" t="n"/>
      <c r="D7" s="6" t="n">
        <v>15870</v>
      </c>
      <c r="E7" s="6" t="n">
        <v>18896</v>
      </c>
      <c r="F7" s="6" t="n">
        <v>14577</v>
      </c>
      <c r="G7" s="6" t="n">
        <v>703004</v>
      </c>
      <c r="H7" s="6" t="n">
        <v>731631</v>
      </c>
      <c r="I7" s="6" t="n">
        <v>706545</v>
      </c>
      <c r="J7" s="6" t="n">
        <v>667395</v>
      </c>
      <c r="K7" s="6" t="n">
        <v>462233</v>
      </c>
    </row>
    <row r="8">
      <c r="A8" s="6" t="inlineStr">
        <is>
          <t>Foreign - Consumer</t>
        </is>
      </c>
      <c r="B8" s="6" t="n"/>
      <c r="C8" s="6" t="n"/>
      <c r="D8" s="6" t="n">
        <v>689570</v>
      </c>
      <c r="E8" s="6" t="n">
        <v>905338</v>
      </c>
      <c r="F8" s="6" t="n">
        <v>1093926</v>
      </c>
      <c r="G8" s="6" t="n">
        <v>486568</v>
      </c>
      <c r="H8" s="6" t="n">
        <v>490607</v>
      </c>
      <c r="I8" s="6" t="n">
        <v>494104</v>
      </c>
      <c r="J8" s="6" t="n">
        <v>516087</v>
      </c>
      <c r="K8" s="6" t="n">
        <v>395082</v>
      </c>
    </row>
    <row r="9">
      <c r="A9" s="5" t="inlineStr">
        <is>
          <t>Total gross loans and advances, by borrower type</t>
        </is>
      </c>
      <c r="B9" s="5" t="n"/>
      <c r="C9" s="5" t="n"/>
      <c r="D9" s="5" t="n">
        <v>1319229</v>
      </c>
      <c r="E9" s="5" t="n">
        <v>1717462</v>
      </c>
      <c r="F9" s="5" t="n">
        <v>2057706</v>
      </c>
      <c r="G9" s="5" t="n">
        <v>2011029</v>
      </c>
      <c r="H9" s="5" t="n">
        <v>2147882</v>
      </c>
      <c r="I9" s="5" t="n">
        <v>2156075</v>
      </c>
      <c r="J9" s="5" t="n">
        <v>2181699</v>
      </c>
      <c r="K9" s="5" t="n">
        <v>1558209</v>
      </c>
    </row>
    <row r="10">
      <c r="A10" s="5" t="inlineStr">
        <is>
          <t>Loan book by IFRS 9 stage, gross (FY2024-FY2025 basis)</t>
        </is>
      </c>
      <c r="B10" s="6" t="n"/>
      <c r="C10" s="6" t="n"/>
      <c r="D10" s="6" t="n"/>
      <c r="E10" s="6" t="n"/>
      <c r="F10" s="6" t="n"/>
      <c r="G10" s="6" t="n"/>
      <c r="H10" s="6" t="n"/>
      <c r="I10" s="6" t="n"/>
      <c r="J10" s="6" t="n"/>
      <c r="K10" s="6" t="n"/>
    </row>
    <row r="11">
      <c r="A11" s="6" t="inlineStr">
        <is>
          <t>Stage 1 - gross carrying amount</t>
        </is>
      </c>
      <c r="B11" s="6" t="n">
        <v>0</v>
      </c>
      <c r="C11" s="6" t="n">
        <v>630187</v>
      </c>
      <c r="D11" s="6" t="n"/>
      <c r="E11" s="6" t="n"/>
      <c r="F11" s="6" t="n"/>
      <c r="G11" s="6" t="n"/>
      <c r="H11" s="6" t="n"/>
      <c r="I11" s="6" t="n"/>
      <c r="J11" s="6" t="n"/>
      <c r="K11" s="6" t="n"/>
    </row>
    <row r="12">
      <c r="A12" s="6" t="inlineStr">
        <is>
          <t>Stage 2 - gross carrying amount</t>
        </is>
      </c>
      <c r="B12" s="6" t="n">
        <v>0</v>
      </c>
      <c r="C12" s="6" t="n">
        <v>107024</v>
      </c>
      <c r="D12" s="6" t="n"/>
      <c r="E12" s="6" t="n"/>
      <c r="F12" s="6" t="n"/>
      <c r="G12" s="6" t="n"/>
      <c r="H12" s="6" t="n"/>
      <c r="I12" s="6" t="n"/>
      <c r="J12" s="6" t="n"/>
      <c r="K12" s="6" t="n"/>
    </row>
    <row r="13">
      <c r="A13" s="6" t="inlineStr">
        <is>
          <t>Stage 3 - gross carrying amount</t>
        </is>
      </c>
      <c r="B13" s="6" t="n">
        <v>0</v>
      </c>
      <c r="C13" s="6" t="n">
        <v>92712</v>
      </c>
      <c r="D13" s="6" t="n"/>
      <c r="E13" s="6" t="n"/>
      <c r="F13" s="6" t="n"/>
      <c r="G13" s="6" t="n"/>
      <c r="H13" s="6" t="n"/>
      <c r="I13" s="6" t="n"/>
      <c r="J13" s="6" t="n"/>
      <c r="K13" s="6" t="n"/>
    </row>
    <row r="14">
      <c r="A14" s="5" t="inlineStr">
        <is>
          <t>Total gross loans, IFRS 9 stage basis</t>
        </is>
      </c>
      <c r="B14" s="5" t="n">
        <v>0</v>
      </c>
      <c r="C14" s="5" t="n">
        <v>829923</v>
      </c>
      <c r="D14" s="5" t="n"/>
      <c r="E14" s="5" t="n"/>
      <c r="F14" s="5" t="n"/>
      <c r="G14" s="5" t="n"/>
      <c r="H14" s="5" t="n"/>
      <c r="I14" s="5" t="n"/>
      <c r="J14" s="5" t="n"/>
      <c r="K14" s="5" t="n"/>
    </row>
    <row r="15">
      <c r="A15" s="5" t="inlineStr">
        <is>
          <t>Expected credit loss allowance</t>
        </is>
      </c>
      <c r="B15" s="6" t="n"/>
      <c r="C15" s="6" t="n"/>
      <c r="D15" s="6" t="n"/>
      <c r="E15" s="6" t="n"/>
      <c r="F15" s="6" t="n"/>
      <c r="G15" s="6" t="n"/>
      <c r="H15" s="6" t="n"/>
      <c r="I15" s="6" t="n"/>
      <c r="J15" s="6" t="n"/>
      <c r="K15" s="6" t="n"/>
    </row>
    <row r="16">
      <c r="A16" s="6" t="inlineStr">
        <is>
          <t>Stage 1 allowance</t>
        </is>
      </c>
      <c r="B16" s="6" t="n">
        <v>0</v>
      </c>
      <c r="C16" s="6" t="n">
        <v>-537</v>
      </c>
      <c r="D16" s="6" t="n"/>
      <c r="E16" s="6" t="n"/>
      <c r="F16" s="6" t="n"/>
      <c r="G16" s="6" t="n"/>
      <c r="H16" s="6" t="n"/>
      <c r="I16" s="6" t="n"/>
      <c r="J16" s="6" t="n"/>
      <c r="K16" s="6" t="n"/>
    </row>
    <row r="17">
      <c r="A17" s="6" t="inlineStr">
        <is>
          <t>Stage 2 allowance</t>
        </is>
      </c>
      <c r="B17" s="6" t="n">
        <v>0</v>
      </c>
      <c r="C17" s="6" t="n">
        <v>-342</v>
      </c>
      <c r="D17" s="6" t="n"/>
      <c r="E17" s="6" t="n"/>
      <c r="F17" s="6" t="n"/>
      <c r="G17" s="6" t="n"/>
      <c r="H17" s="6" t="n"/>
      <c r="I17" s="6" t="n"/>
      <c r="J17" s="6" t="n"/>
      <c r="K17" s="6" t="n"/>
    </row>
    <row r="18">
      <c r="A18" s="6" t="inlineStr">
        <is>
          <t>Stage 3 allowance</t>
        </is>
      </c>
      <c r="B18" s="6" t="n">
        <v>0</v>
      </c>
      <c r="C18" s="6" t="n">
        <v>-8292</v>
      </c>
      <c r="D18" s="6" t="n"/>
      <c r="E18" s="6" t="n"/>
      <c r="F18" s="6" t="n"/>
      <c r="G18" s="6" t="n"/>
      <c r="H18" s="6" t="n"/>
      <c r="I18" s="6" t="n"/>
      <c r="J18" s="6" t="n"/>
      <c r="K18" s="6" t="n"/>
    </row>
    <row r="19">
      <c r="A19" s="6" t="inlineStr">
        <is>
          <t>Allowance for credit losses, aggregate (FY2016-FY2023 basis)</t>
        </is>
      </c>
      <c r="B19" s="6" t="n"/>
      <c r="C19" s="6" t="n"/>
      <c r="D19" s="6" t="n">
        <v>-7613</v>
      </c>
      <c r="E19" s="6" t="n">
        <v>-4485</v>
      </c>
      <c r="F19" s="6" t="n">
        <v>-8834</v>
      </c>
      <c r="G19" s="6" t="n">
        <v>-11381</v>
      </c>
      <c r="H19" s="6" t="n">
        <v>-8963</v>
      </c>
      <c r="I19" s="6" t="n">
        <v>-3244</v>
      </c>
      <c r="J19" s="6" t="n">
        <v>-4495</v>
      </c>
      <c r="K19" s="6" t="n">
        <v>-1768</v>
      </c>
    </row>
    <row r="20">
      <c r="A20" s="5" t="inlineStr">
        <is>
          <t>Total ECL allowance</t>
        </is>
      </c>
      <c r="B20" s="5" t="n">
        <v>0</v>
      </c>
      <c r="C20" s="5" t="n">
        <v>-9171</v>
      </c>
      <c r="D20" s="5" t="n">
        <v>-7613</v>
      </c>
      <c r="E20" s="5" t="n">
        <v>-4485</v>
      </c>
      <c r="F20" s="5" t="n">
        <v>-8834</v>
      </c>
      <c r="G20" s="5" t="n">
        <v>-11381</v>
      </c>
      <c r="H20" s="5" t="n">
        <v>-8963</v>
      </c>
      <c r="I20" s="5" t="n">
        <v>-3244</v>
      </c>
      <c r="J20" s="5" t="n">
        <v>-4495</v>
      </c>
      <c r="K20" s="5" t="n">
        <v>-1768</v>
      </c>
    </row>
    <row r="21">
      <c r="A21" s="6" t="inlineStr">
        <is>
          <t>Deferred fee income</t>
        </is>
      </c>
      <c r="B21" s="6" t="n"/>
      <c r="C21" s="6" t="n"/>
      <c r="D21" s="6" t="n">
        <v>-4043</v>
      </c>
      <c r="E21" s="6" t="n">
        <v>-6449</v>
      </c>
      <c r="F21" s="6" t="n">
        <v>-7733</v>
      </c>
      <c r="G21" s="6" t="n">
        <v>-9642</v>
      </c>
      <c r="H21" s="6" t="n">
        <v>-12153</v>
      </c>
      <c r="I21" s="6" t="n">
        <v>-11543</v>
      </c>
      <c r="J21" s="6" t="n">
        <v>-10650</v>
      </c>
      <c r="K21" s="6" t="n">
        <v>-8586</v>
      </c>
    </row>
    <row r="22">
      <c r="A22" s="5" t="inlineStr">
        <is>
          <t>Total Loans and advances, net (ties to Balance Sheet)</t>
        </is>
      </c>
      <c r="B22" s="5" t="n">
        <v>0</v>
      </c>
      <c r="C22" s="5" t="n">
        <v>818949</v>
      </c>
      <c r="D22" s="5" t="n">
        <v>1307573</v>
      </c>
      <c r="E22" s="5" t="n">
        <v>1706528</v>
      </c>
      <c r="F22" s="5" t="n">
        <v>2041139</v>
      </c>
      <c r="G22" s="5" t="n">
        <v>1990006</v>
      </c>
      <c r="H22" s="5" t="n">
        <v>2126766</v>
      </c>
      <c r="I22" s="5" t="n">
        <v>2141288</v>
      </c>
      <c r="J22" s="5" t="n">
        <v>2166554</v>
      </c>
      <c r="K22" s="5" t="n">
        <v>1547855</v>
      </c>
    </row>
    <row r="23">
      <c r="A23" s="5" t="inlineStr">
        <is>
          <t>Credit quality indicators</t>
        </is>
      </c>
      <c r="B23" s="6" t="n"/>
      <c r="C23" s="6" t="n"/>
      <c r="D23" s="6" t="n"/>
      <c r="E23" s="6" t="n"/>
      <c r="F23" s="6" t="n"/>
      <c r="G23" s="6" t="n"/>
      <c r="H23" s="6" t="n"/>
      <c r="I23" s="6" t="n"/>
      <c r="J23" s="6" t="n"/>
      <c r="K23" s="6" t="n"/>
    </row>
    <row r="24">
      <c r="A24" s="6" t="inlineStr">
        <is>
          <t>Gross impaired loans / Stage 3 gross carrying amount</t>
        </is>
      </c>
      <c r="B24" s="6" t="n">
        <v>0</v>
      </c>
      <c r="C24" s="6" t="n">
        <v>92712</v>
      </c>
      <c r="D24" s="6" t="n">
        <v>175850</v>
      </c>
      <c r="E24" s="6" t="n">
        <v>105926</v>
      </c>
      <c r="F24" s="6" t="n">
        <v>177499</v>
      </c>
      <c r="G24" s="6" t="n">
        <v>191569</v>
      </c>
      <c r="H24" s="6" t="n">
        <v>98031</v>
      </c>
      <c r="I24" s="6" t="n">
        <v>115146</v>
      </c>
      <c r="J24" s="6" t="n">
        <v>59686</v>
      </c>
      <c r="K24" s="6" t="n">
        <v>13996</v>
      </c>
    </row>
    <row r="25">
      <c r="A25" s="6" t="inlineStr">
        <is>
          <t>Impaired/Stage 3 loans as % of total gross loans</t>
        </is>
      </c>
      <c r="B25" s="6" t="n"/>
      <c r="C25" s="6" t="inlineStr">
        <is>
          <t>11.17%</t>
        </is>
      </c>
      <c r="D25" s="6" t="inlineStr">
        <is>
          <t>13.33%</t>
        </is>
      </c>
      <c r="E25" s="6" t="inlineStr">
        <is>
          <t>6.17%</t>
        </is>
      </c>
      <c r="F25" s="6" t="inlineStr">
        <is>
          <t>8.63%</t>
        </is>
      </c>
      <c r="G25" s="6" t="inlineStr">
        <is>
          <t>9.53%</t>
        </is>
      </c>
      <c r="H25" s="6" t="inlineStr">
        <is>
          <t>4.56%</t>
        </is>
      </c>
      <c r="I25" s="6" t="inlineStr">
        <is>
          <t>5.34%</t>
        </is>
      </c>
      <c r="J25" s="6" t="inlineStr">
        <is>
          <t>2.74%</t>
        </is>
      </c>
      <c r="K25" s="6" t="inlineStr">
        <is>
          <t>0.90%</t>
        </is>
      </c>
    </row>
    <row r="26">
      <c r="A26" s="6" t="inlineStr">
        <is>
          <t>ECL coverage of impaired/Stage 3 loans</t>
        </is>
      </c>
      <c r="B26" s="6" t="n"/>
      <c r="C26" s="6" t="inlineStr">
        <is>
          <t>8.94%</t>
        </is>
      </c>
      <c r="D26" s="6" t="inlineStr">
        <is>
          <t>4.33%</t>
        </is>
      </c>
      <c r="E26" s="6" t="inlineStr">
        <is>
          <t>4.23%</t>
        </is>
      </c>
      <c r="F26" s="6" t="inlineStr">
        <is>
          <t>4.98%</t>
        </is>
      </c>
      <c r="G26" s="6" t="inlineStr">
        <is>
          <t>5.94%</t>
        </is>
      </c>
      <c r="H26" s="6" t="inlineStr">
        <is>
          <t>9.14%</t>
        </is>
      </c>
      <c r="I26" s="6" t="inlineStr">
        <is>
          <t>2.82%</t>
        </is>
      </c>
      <c r="J26" s="6" t="inlineStr">
        <is>
          <t>7.53%</t>
        </is>
      </c>
      <c r="K26" s="6" t="inlineStr">
        <is>
          <t>12.63%</t>
        </is>
      </c>
    </row>
    <row r="28" ht="340" customHeight="1">
      <c r="A28" s="8" t="inlineStr">
        <is>
          <t>Sources - Credit Suisse (UK) Limited's own Loans and advances / Expected Credit Loss notes:
FY2025/FY2024: Full accounts to 31 Dec 2025, Note 'Loans' (ECL by IFRS 9 stage), pp.69-70, and Note 35 (Transfer of business to UBS AG London Branch), p.89 - https://find-and-update.company-information.service.gov.uk/company/02009520/filing-history/MzUxNzE0OTI3NGFkaXF6a2N4/document?format=pdf&amp;download=0
FY2023/FY2022: Full accounts to 31 Dec 2023, Note 11 (Loans and advances, by UK/Foreign x Commercial/Consumer), p.58 - https://find-and-update.company-information.service.gov.uk/company/02009520/filing-history/MzQxOTY5NDQ0MWFkaXF6a2N4/document?format=pdf&amp;download=0
FY2021: Full accounts to 31 Dec 2021, Note 11 (Loans and advances, by UK/Foreign x Commercial/Consumer), p.64 - https://find-and-update.company-information.service.gov.uk/company/02009520/filing-history/MzMzNzU0NDMwOWFkaXF6a2N4/document?format=pdf&amp;download=0
FY2020: Full accounts to 31 Dec 2020, Note 15 (Loans and advances, by UK/Foreign x Commercial/Consumer), p.68 - https://find-and-update.company-information.service.gov.uk/company/02009520/filing-history/MzMwMTQ3Nzk1MmFkaXF6a2N4/document?format=pdf&amp;download=0
FY2019: Full accounts to 31 Dec 2019, Note 15 (Net Loans, by UK/Foreign x Commercial/Consumer), p.64 - https://find-and-update.company-information.service.gov.uk/company/02009520/filing-history/MzI2MjYyNzE3OGFkaXF6a2N4/document?format=pdf&amp;download=0
FY2018: borrower-type breakdown and Gross Impaired loans sourced from the FY2019 filing's own FY2018 comparative column (p.64, same document as above) - FY2018's own filing (Note 16, p.71) discloses only a by-maturity/by-collateral breakdown with no borrower-type split and no impaired-loans concept; both years' totals independently reconcile to FY2018's own disclosed Total Net loans of £2,141,288k.
FY2017: Full accounts to 31 Dec 2017, Note 13 (Loans and receivables, by UK/Foreign x Commercial/Consumer), p.47 - https://find-and-update.company-information.service.gov.uk/company/02009520/filing-history/MzIwMzkxNjcwMmFkaXF6a2N4/document?format=pdf&amp;download=0
FY2016: borrower-type/maturity/collateral breakdown from FY2016's own filing, Note 13, p.43 - https://find-and-update.company-information.service.gov.uk/company/02009520/filing-history/MzE3NDY1MzYyMmFkaXF6a2N4/document?format=pdf&amp;download=0; Gross Impaired loans for FY2016 (£13,996k) sourced instead from FY2017's own FY2016 comparative column (same Note 13 above), since FY2016's own filing carries no impaired-loans concept either.
GRANULARITY NOTE: the Bank's own disclosed granularity genuinely changes across years, confirmed by reading each year's own note in full (not assumed). FY2025/FY2024 use a full IFRS 9 Stage 1/2/3 gross-carrying-amount/allowance table (the format introduced from the FY2025 Annual Report) - note this is a DIFFERENT, secondary note from the primary 'Loans and advances' note that FY2019/FY2020 (and, per their own comparative columns, FY2016-FY2018) also carry: that secondary Stage 1/2/3 table exists inside the Expected Credit Loss Measurement note from FY2019 onward, but the Balance Sheet's own Loans and advances figure ties to the primary UK/Foreign x Commercial/Consumer note, not the Stage table - so FY2019/FY2020 are shown on the same borrower-type basis as FY2016-FY2023, not switched to a Stage basis. FY2023/FY2022/FY2021 instead disclose a UK-vs-Foreign, Commercial-vs-Consumer breakdown plus a single aggregate allowance figure and a 'Gross Impaired loans' total (the FY2023-and-earlier report format, confirmed the SAME format used continuously back to FY2016) - no Stage 1/2/3 split exists in the primary note for any of FY2016-FY2023 despite checking. Both are shown on their own basis rather than forced onto one; the FY2024 Stage-table's net figure (£820,752k = £829,923k gross less £9,171k ECL allowance) is £1,803k higher than the Balance Sheet's own £818,949k net Loans and advances figure for that year - the Stage table tracks ECL only, not the further 'Deferred fee income' deduction the FY2023/2022/2021 Note 11 shows separately (£4,043k/£6,449k/£7,733k respectively), which plausibly accounts for the FY2024 gap too even though it isn't separately disclosed that year - flagged as a probable explanation, not force-reconciled. FY2025's entire loan book (customer-facing business) was transferred to UBS AG London Branch on 20 June 2025 under a Part VII scheme (Note 35) - all FY2025 figures on this sheet are correctly nil, not a disclosure gap.</t>
        </is>
      </c>
    </row>
  </sheetData>
  <mergeCells count="1">
    <mergeCell ref="A28:K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(combined with Tier 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 (combined with Tier 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n"/>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(combined with CET1)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 (combined with CET1)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n"/>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(Own Funds)</t>
        </is>
      </c>
      <c r="B4" s="6" t="n">
        <v>306</v>
      </c>
      <c r="C4" s="6" t="n">
        <v>299</v>
      </c>
      <c r="D4" s="6" t="n">
        <v>345</v>
      </c>
      <c r="E4" s="6" t="n">
        <v>385</v>
      </c>
      <c r="F4" s="6" t="n">
        <v>391</v>
      </c>
      <c r="G4" s="6" t="n">
        <v>369</v>
      </c>
      <c r="H4" s="6" t="n">
        <v>355</v>
      </c>
      <c r="I4" s="6" t="n">
        <v>331</v>
      </c>
      <c r="J4" s="6" t="n">
        <v>238</v>
      </c>
      <c r="K4" s="6" t="n">
        <v>211</v>
      </c>
    </row>
    <row r="5" ht="60" customHeight="1">
      <c r="A5" s="7" t="inlineStr">
        <is>
          <t>Note: FY2016-FY2020 (added under HD-026): a real, directly disclosed 'Own Funds' figure (Total Tier 1/CET1 capital + Total Tier 2 capital, i.e. subordinated debt) exists in every one of these 5 years' own Capital adequacy note, rounded to £m here (precise £'000 figures: FY2020 £368,692k, FY2019 £355,328k, FY2018 £330,660k, FY2017 £238,126k, FY2016 £210,547k). FY2021-FY2025: NOT directly disclosed as a separate figure in any of those 5 years' KPI tables - only a combined 'Tier 1 and CET1' figure is given there, with no mention of AT1 or Tier 2 instruments. The later own-funds tables in CSUK's official UBS-hosted Pillar 3 disclosures confirm Total Capital (rounded to £m) for FY2021-FY2025 as 391, 385, 345, 299 and 306 respectively.</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191.10%</t>
        </is>
      </c>
      <c r="C4" s="6" t="inlineStr">
        <is>
          <t>51.64%</t>
        </is>
      </c>
      <c r="D4" s="6" t="inlineStr">
        <is>
          <t>34.50%</t>
        </is>
      </c>
      <c r="E4" s="6" t="inlineStr">
        <is>
          <t>34.29%</t>
        </is>
      </c>
      <c r="F4" s="6" t="inlineStr">
        <is>
          <t>29.19%</t>
        </is>
      </c>
      <c r="G4" s="6" t="n"/>
      <c r="H4" s="6" t="n"/>
      <c r="I4" s="6" t="n"/>
      <c r="J4" s="6" t="n"/>
      <c r="K4" s="6" t="n"/>
    </row>
    <row r="5" ht="60" customHeight="1">
      <c r="A5" s="7" t="inlineStr">
        <is>
          <t>Note: Directly disclosed in the official UBS-hosted Pillar 3 KM1 tables for FY2021-FY2025; FY2016-FY2020 were not reported as a percentage in the located KPI/capital-adequacy tables. Not directly disclosed as a percentage ratio in any of the 5 earlier years' KPI tables or Capital adequacy notes checked (FY2016-FY2025) - only the £ Own Funds figure is given (see the Total Capital sheet), with no accompanying Total Capital Ratio %. NOT assumed or derived by dividing Own Funds by RWA without an explicit stated ratio, per project convention - left blank rather than guessed for FY2016-FY2020.</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Risk Weighted Assets (RWA)</t>
        </is>
      </c>
      <c r="B4" s="6" t="n">
        <v>160</v>
      </c>
      <c r="C4" s="6" t="n">
        <v>672</v>
      </c>
      <c r="D4" s="6" t="n">
        <v>1000</v>
      </c>
      <c r="E4" s="6" t="n">
        <v>1124</v>
      </c>
      <c r="F4" s="6" t="n">
        <v>1340</v>
      </c>
      <c r="G4" s="6" t="n">
        <v>1338</v>
      </c>
      <c r="H4" s="6" t="n">
        <v>1371</v>
      </c>
      <c r="I4" s="6" t="n">
        <v>1225</v>
      </c>
      <c r="J4" s="6" t="n">
        <v>1241</v>
      </c>
      <c r="K4" s="6" t="n"/>
    </row>
    <row r="6" ht="170" customHeight="1">
      <c r="A6"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RWA Breakdown</t>
        </is>
      </c>
    </row>
    <row r="2">
      <c r="A2" s="2" t="inlineStr">
        <is>
          <t>£'000s. UK OV1 template FY2022-FY2025; older pre-OV1 format for FY2021. Not publicly disclosed FY2016-FY2020 -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UK OV1 — Overview of risk weighted exposure amounts (FY2022-FY2025)</t>
        </is>
      </c>
      <c r="B4" s="6" t="n"/>
      <c r="C4" s="6" t="n"/>
      <c r="D4" s="6" t="n"/>
      <c r="E4" s="6" t="n"/>
      <c r="F4" s="6" t="n"/>
      <c r="G4" s="6" t="n"/>
      <c r="H4" s="6" t="n"/>
      <c r="I4" s="6" t="n"/>
      <c r="J4" s="6" t="n"/>
      <c r="K4" s="6" t="n"/>
    </row>
    <row r="5">
      <c r="A5" s="6" t="inlineStr">
        <is>
          <t>Credit risk (excluding CCR)</t>
        </is>
      </c>
      <c r="B5" s="6" t="n">
        <v>4053</v>
      </c>
      <c r="C5" s="6" t="n">
        <v>449009</v>
      </c>
      <c r="D5" s="6" t="n">
        <v>750436</v>
      </c>
      <c r="E5" s="6" t="n">
        <v>884443</v>
      </c>
      <c r="F5" s="6" t="n"/>
      <c r="G5" s="6" t="n"/>
      <c r="H5" s="6" t="n"/>
      <c r="I5" s="6" t="n"/>
      <c r="J5" s="6" t="n"/>
      <c r="K5" s="6" t="n"/>
    </row>
    <row r="6">
      <c r="A6" s="6" t="inlineStr">
        <is>
          <t>Counterparty credit risk (CCR)</t>
        </is>
      </c>
      <c r="B6" s="6" t="n">
        <v>887</v>
      </c>
      <c r="C6" s="6" t="n">
        <v>33553</v>
      </c>
      <c r="D6" s="6" t="n">
        <v>30969</v>
      </c>
      <c r="E6" s="6" t="n">
        <v>30213</v>
      </c>
      <c r="F6" s="6" t="n"/>
      <c r="G6" s="6" t="n"/>
      <c r="H6" s="6" t="n"/>
      <c r="I6" s="6" t="n"/>
      <c r="J6" s="6" t="n"/>
      <c r="K6" s="6" t="n"/>
    </row>
    <row r="7">
      <c r="A7" s="6" t="inlineStr">
        <is>
          <t>Market risk</t>
        </is>
      </c>
      <c r="B7" s="6" t="n">
        <v>7791</v>
      </c>
      <c r="C7" s="6" t="n"/>
      <c r="D7" s="6" t="n">
        <v>15933</v>
      </c>
      <c r="E7" s="6" t="n"/>
      <c r="F7" s="6" t="n"/>
      <c r="G7" s="6" t="n"/>
      <c r="H7" s="6" t="n"/>
      <c r="I7" s="6" t="n"/>
      <c r="J7" s="6" t="n"/>
      <c r="K7" s="6" t="n"/>
    </row>
    <row r="8">
      <c r="A8" s="6" t="inlineStr">
        <is>
          <t>Operational risk</t>
        </is>
      </c>
      <c r="B8" s="6" t="n">
        <v>147290</v>
      </c>
      <c r="C8" s="6" t="n">
        <v>189114</v>
      </c>
      <c r="D8" s="6" t="n">
        <v>202259</v>
      </c>
      <c r="E8" s="6" t="n">
        <v>209312</v>
      </c>
      <c r="F8" s="6" t="n"/>
      <c r="G8" s="6" t="n"/>
      <c r="H8" s="6" t="n"/>
      <c r="I8" s="6" t="n"/>
      <c r="J8" s="6" t="n"/>
      <c r="K8" s="6" t="n"/>
    </row>
    <row r="9">
      <c r="A9" s="6" t="inlineStr">
        <is>
          <t>Settlement risk</t>
        </is>
      </c>
      <c r="B9" s="6" t="n"/>
      <c r="C9" s="6" t="n"/>
      <c r="D9" s="6" t="n"/>
      <c r="E9" s="6" t="n">
        <v>3</v>
      </c>
      <c r="F9" s="6" t="n"/>
      <c r="G9" s="6" t="n"/>
      <c r="H9" s="6" t="n"/>
      <c r="I9" s="6" t="n"/>
      <c r="J9" s="6" t="n"/>
      <c r="K9" s="6" t="n"/>
    </row>
    <row r="10">
      <c r="A10" s="5" t="inlineStr">
        <is>
          <t>Pre-OV1 format, collapsed to summary lines (FY2021)</t>
        </is>
      </c>
      <c r="B10" s="6" t="n"/>
      <c r="C10" s="6" t="n"/>
      <c r="D10" s="6" t="n"/>
      <c r="E10" s="6" t="n"/>
      <c r="F10" s="6" t="n"/>
      <c r="G10" s="6" t="n"/>
      <c r="H10" s="6" t="n"/>
      <c r="I10" s="6" t="n"/>
      <c r="J10" s="6" t="n"/>
      <c r="K10" s="6" t="n"/>
    </row>
    <row r="11">
      <c r="A11" s="6" t="inlineStr">
        <is>
          <t>Total credit and counterparty credit risk</t>
        </is>
      </c>
      <c r="B11" s="6" t="n"/>
      <c r="C11" s="6" t="n"/>
      <c r="D11" s="6" t="n"/>
      <c r="E11" s="6" t="n"/>
      <c r="F11" s="6" t="n">
        <v>1109433</v>
      </c>
      <c r="G11" s="6" t="n"/>
      <c r="H11" s="6" t="n"/>
      <c r="I11" s="6" t="n"/>
      <c r="J11" s="6" t="n"/>
      <c r="K11" s="6" t="n"/>
    </row>
    <row r="12">
      <c r="A12" s="6" t="inlineStr">
        <is>
          <t>Total market risk</t>
        </is>
      </c>
      <c r="B12" s="6" t="n"/>
      <c r="C12" s="6" t="n"/>
      <c r="D12" s="6" t="n"/>
      <c r="E12" s="6" t="n"/>
      <c r="F12" s="6" t="n">
        <v>0</v>
      </c>
      <c r="G12" s="6" t="n"/>
      <c r="H12" s="6" t="n"/>
      <c r="I12" s="6" t="n"/>
      <c r="J12" s="6" t="n"/>
      <c r="K12" s="6" t="n"/>
    </row>
    <row r="13">
      <c r="A13" s="6" t="inlineStr">
        <is>
          <t>Total other risks (operational risk)</t>
        </is>
      </c>
      <c r="B13" s="6" t="n"/>
      <c r="C13" s="6" t="n"/>
      <c r="D13" s="6" t="n"/>
      <c r="E13" s="6" t="n"/>
      <c r="F13" s="6" t="n">
        <v>230434</v>
      </c>
      <c r="G13" s="6" t="n"/>
      <c r="H13" s="6" t="n"/>
      <c r="I13" s="6" t="n"/>
      <c r="J13" s="6" t="n"/>
      <c r="K13" s="6" t="n"/>
    </row>
    <row r="14">
      <c r="A14" s="5" t="inlineStr">
        <is>
          <t>Total RWAs</t>
        </is>
      </c>
      <c r="B14" s="5" t="n">
        <v>160021</v>
      </c>
      <c r="C14" s="5" t="n">
        <v>671676</v>
      </c>
      <c r="D14" s="5" t="n">
        <v>999597</v>
      </c>
      <c r="E14" s="5" t="n">
        <v>1123970</v>
      </c>
      <c r="F14" s="5" t="n">
        <v>1339867</v>
      </c>
      <c r="G14" s="5" t="inlineStr">
        <is>
          <t>Not publicly disclosed</t>
        </is>
      </c>
      <c r="H14" s="5" t="inlineStr">
        <is>
          <t>Not publicly disclosed</t>
        </is>
      </c>
      <c r="I14" s="5" t="inlineStr">
        <is>
          <t>Not publicly disclosed</t>
        </is>
      </c>
      <c r="J14" s="5" t="inlineStr">
        <is>
          <t>Not publicly disclosed</t>
        </is>
      </c>
      <c r="K14" s="5" t="inlineStr">
        <is>
          <t>Not publicly disclosed</t>
        </is>
      </c>
    </row>
    <row r="16" ht="340" customHeight="1">
      <c r="A16" s="8" t="inlineStr">
        <is>
          <t>CORRECTION (fresh re-verification, 2026-09-12): the prior version of this sheet claimed no category-level RWA breakdown was disclosed in any year, based only on a check of the Companies House Annual Report filings. That check was incomplete - a standalone Pillar 3 disclosure document for this entity DOES exist (UBS-hosted, since UBS's acquisition of Credit Suisse), and it carries a full risk-category RWA breakdown for FY2021-FY2025 (FY2016-FY2020 remain genuinely undisclosed - no standalone Pillar 3 document for this entity has been found for those years, consistent with the existing CET1/Tier 1/Total RWAs sheets' own source notes).
Sources - Credit Suisse (UK) Limited Pillar 3 Disclosures, £'000s, each year's own originally-published figures used as primary (not a later restated comparative), per project convention:
FY2025: Pillar 3 Disclosures 2025, 'OV1 - Overview of risk weighted exposure amounts', p.18 - https://www.ubs.com/global/en/investor-relations/complementary-financial-information/other-subsidiaries.html (csuk-pillar-3-disclosures-2026.pdf)
FY2024: Pillar 3 Disclosures 2024, 'OV1 - Overview of risk weighted exposure amounts', p.26 - same page (csuk-pillar-3-disclosures-2024.pdf)
FY2023: sourced from the FY2024 Pillar 3 Disclosures' own FY2023 comparative column (same table/page) - FY2023's own standalone Pillar 3 document was not located separately.
FY2022: Pillar 3 Disclosures 2022, 'OV1 - Overview of risk weighted exposure amounts' - https://www.ubs.com/global/en/investor-relations/complementary-financial-information/disclosure-legal-entities/archive-credit-suisse.html (csuk-pillar-3-disclosures-2022.pdf)
FY2021: Pillar 3 Disclosures 2021, 'RWA and Capital Requirements' table (pre-dates the OV1 template/label, same underlying disclosure, broken down further by credit-risk exposure class) - same archive page (2021-csuk-pillar-3-disclosures.pdf)
Every year's Total ties to the Total RWAs sheet's own figure (to the nearest £m). FY2021's own document uses an older, pre-OV1 layout (exposure-class detail within credit risk; three summary lines 'Total credit and counterparty credit risk' / 'Total market risk' / 'Total other risks') rather than the UK OV1 template used from FY2022 onward - shown here collapsed to the three summary lines for consistency, with a £3k Settlement risk line disclosed only in FY2022 (immaterial, included in that year's Total). No separate Market risk RWA line is disclosed for FY2022/FY2024 (each document's own notes state there is no market risk RWA those years, non-GBP FX exposure below the 2%-of-capital threshold) - left blank rather than forced to zero, consistent with each year's own template only carrying the rows it actually discloses.
FY2016-FY2020: not publicly disclosed - confirmed by reading each year's Annual Report in full (all numbered notes through to the final note in each filing), plus the existing Pillar 3 KPI-table sourcing already used for the CET1/Tier 1/Total RWAs/Leverage/LCR/NSFR sheets. No 'Capital Adequacy' note with an RWA category breakdown exists in any of these Companies House filings, and no standalone Pillar 3 document for this entity has been found covering these years.</t>
        </is>
      </c>
    </row>
  </sheetData>
  <mergeCells count="1">
    <mergeCell ref="A16:K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87%</t>
        </is>
      </c>
      <c r="C4" s="6" t="inlineStr">
        <is>
          <t>17%</t>
        </is>
      </c>
      <c r="D4" s="6" t="n"/>
      <c r="E4" s="6" t="n"/>
      <c r="F4" s="6" t="n"/>
      <c r="G4" s="6" t="n"/>
      <c r="H4" s="6" t="n"/>
      <c r="I4" s="6" t="inlineStr">
        <is>
          <t>7.8%</t>
        </is>
      </c>
      <c r="J4" s="6" t="inlineStr">
        <is>
          <t>6.3%</t>
        </is>
      </c>
      <c r="K4" s="6" t="n"/>
    </row>
    <row r="6" ht="170" customHeight="1">
      <c r="A6" s="8" t="inlineStr">
        <is>
          <t>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Leverage Ratio reappears in the KPI table format used from the FY2025 Annual Report onward. It was also disclosed in the FY2017/FY2018 KPI tables (6.3%/7.8%, under a 'Statement of Financial Position' KPI section) - but that section was dropped from the KPI table format used in the FY2019 and FY2020 Annual Reports, and FY2023/FY2022/FY2021's KPI tables (a further later format) don't include this metric either. FY2016 has no KPI table at all. Confirmed genuinely absent for FY2016/FY2019-FY2023, not omitted by search.</t>
        </is>
      </c>
    </row>
  </sheetData>
  <mergeCells count="1">
    <mergeCell ref="A6:K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(LCR)</t>
        </is>
      </c>
      <c r="B4" s="6" t="inlineStr">
        <is>
          <t>1,154%</t>
        </is>
      </c>
      <c r="C4" s="6" t="inlineStr">
        <is>
          <t>451%</t>
        </is>
      </c>
      <c r="D4" s="6" t="inlineStr">
        <is>
          <t>554.67%</t>
        </is>
      </c>
      <c r="E4" s="6" t="inlineStr">
        <is>
          <t>216.40%</t>
        </is>
      </c>
      <c r="F4" s="6" t="n"/>
      <c r="G4" s="6" t="n"/>
      <c r="H4" s="6" t="n"/>
      <c r="I4" s="6" t="inlineStr">
        <is>
          <t>154%</t>
        </is>
      </c>
      <c r="J4" s="6" t="n"/>
      <c r="K4" s="6" t="n"/>
    </row>
    <row r="6" ht="170" customHeight="1">
      <c r="A6" s="8" t="inlineStr">
        <is>
          <t>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FY2021's KPI table (earliest format checked before this ticket) discloses only a 'Liquidity Buffer (£m)' figure, no LCR% - confirmed genuinely absent for that year, not omitted by search. FY2018's KPI table is the only other year with an LCR figure (an 'Average Liquidity Coverage Ratio' of 154%, itself flagged there as a new disclosure that year); FY2017's own comparative column explicitly states 'n/a' for this metric; FY2019/FY2020's KPI tables carry only a Liquidity Buffer figure again, no LCR%; FY2016 has no KPI table at all.</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(NSFR)</t>
        </is>
      </c>
      <c r="B4" s="6" t="inlineStr">
        <is>
          <t>3,600%</t>
        </is>
      </c>
      <c r="C4" s="6" t="inlineStr">
        <is>
          <t>167%</t>
        </is>
      </c>
      <c r="D4" s="6" t="inlineStr">
        <is>
          <t>129.25%</t>
        </is>
      </c>
      <c r="E4" s="6" t="inlineStr">
        <is>
          <t>131.72%</t>
        </is>
      </c>
      <c r="F4" s="6" t="n"/>
      <c r="G4" s="6" t="n"/>
      <c r="H4" s="6" t="n"/>
      <c r="I4" s="6" t="n"/>
      <c r="J4" s="6" t="n"/>
      <c r="K4" s="6" t="n"/>
    </row>
    <row r="6" ht="170" customHeight="1">
      <c r="A6" s="8" t="inlineStr">
        <is>
          <t>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FY2021's KPI table (earliest format checked before this ticket) discloses only a 'Liquidity Buffer (£m)' figure, no NSFR% - confirmed genuinely absent for that year, not omitted by search. No NSFR figure was found in any of the FY2016-FY2020 KPI tables/comparative columns either, despite each year's Strategic Report discussing NSFR in general regulatory terms.</t>
        </is>
      </c>
    </row>
  </sheetData>
  <mergeCells count="1">
    <mergeCell ref="A6:K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anywhere in any of the 10 years' Companies House filings reviewed (FY2016-FY2025), no exemption stated. Plausibly below the Bank of England's MREL threshold given CSUK's small and (post-Part-VII-transfer) shrinking balance sheet, but not confirmed - left blank rather than guessed.</t>
        </is>
      </c>
    </row>
    <row r="7" ht="15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2026-09-12T17:26:08Z</dcterms:created>
  <dcterms:modified xmlns:dcterms="http://purl.org/dc/terms/" xmlns:xsi="http://www.w3.org/2001/XMLSchema-instance" xsi:type="dcterms:W3CDTF">2026-09-12T17:26:08Z</dcterms:modified>
</cp:coreProperties>
</file>