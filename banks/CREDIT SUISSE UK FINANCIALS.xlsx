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Cash Flow Statement" sheetId="2" state="visible" r:id="rId2"/>
    <sheet name="CET1 Capital" sheetId="3" state="visible" r:id="rId3"/>
    <sheet name="CET1 Ratio" sheetId="4" state="visible" r:id="rId4"/>
    <sheet name="Tier 1 Capital" sheetId="5" state="visible" r:id="rId5"/>
    <sheet name="Tier 1 Ratio" sheetId="6" state="visible" r:id="rId6"/>
    <sheet name="Total Capital" sheetId="7" state="visible" r:id="rId7"/>
    <sheet name="Total Capital Ratio" sheetId="8" state="visible" r:id="rId8"/>
    <sheet name="Total RWAs" sheetId="9" state="visible" r:id="rId9"/>
    <sheet name="Leverage Ratio" sheetId="10" state="visible" r:id="rId10"/>
    <sheet name="LCR" sheetId="11" state="visible" r:id="rId11"/>
    <sheet name="NSFR" sheetId="12" state="visible" r:id="rId12"/>
    <sheet name="MREL Ratio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3"/>
    </font>
    <font>
      <i val="1"/>
      <color rgb="00666666"/>
      <sz val="9"/>
    </font>
    <font>
      <b val="1"/>
      <color rgb="00FFFFFF"/>
    </font>
    <font>
      <b val="1"/>
    </font>
    <font>
      <i val="1"/>
      <color rgb="00444444"/>
      <sz val="9"/>
    </font>
  </fonts>
  <fills count="3">
    <fill>
      <patternFill/>
    </fill>
    <fill>
      <patternFill patternType="gray125"/>
    </fill>
    <fill>
      <patternFill patternType="solid">
        <fgColor rgb="0050B633"/>
        <bgColor rgb="0050B633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3" fillId="2" borderId="0" applyAlignment="1" pivotButton="0" quotePrefix="0" xfId="0">
      <alignment horizontal="left" vertical="center" wrapText="1"/>
    </xf>
    <xf numFmtId="0" fontId="4" fillId="0" borderId="1" pivotButton="0" quotePrefix="0" xfId="0"/>
    <xf numFmtId="0" fontId="0" fillId="0" borderId="1" pivotButton="0" quotePrefix="0" xfId="0"/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Credit Suisse (UK) Limited — Cash Flow Summary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4"/>
          <w val="0.85"/>
          <h val="0.55"/>
        </manualLayout>
      </layout>
      <barChart>
        <barDir val="col"/>
        <grouping val="clustered"/>
        <ser>
          <idx val="0"/>
          <order val="0"/>
          <tx>
            <strRef>
              <f>'Overview'!I6</f>
            </strRef>
          </tx>
          <spPr>
            <a:ln>
              <a:prstDash val="solid"/>
            </a:ln>
          </spPr>
          <cat>
            <numRef>
              <f>'Overview'!$J$5:$N$5</f>
            </numRef>
          </cat>
          <val>
            <numRef>
              <f>'Overview'!$J$6:$N$6</f>
            </numRef>
          </val>
        </ser>
        <ser>
          <idx val="1"/>
          <order val="1"/>
          <tx>
            <strRef>
              <f>'Overview'!I7</f>
            </strRef>
          </tx>
          <spPr>
            <a:ln>
              <a:prstDash val="solid"/>
            </a:ln>
          </spPr>
          <cat>
            <numRef>
              <f>'Overview'!$J$5:$N$5</f>
            </numRef>
          </cat>
          <val>
            <numRef>
              <f>'Overview'!$J$7:$N$7</f>
            </numRef>
          </val>
        </ser>
        <ser>
          <idx val="2"/>
          <order val="2"/>
          <tx>
            <strRef>
              <f>'Overview'!I8</f>
            </strRef>
          </tx>
          <spPr>
            <a:ln>
              <a:prstDash val="solid"/>
            </a:ln>
          </spPr>
          <cat>
            <numRef>
              <f>'Overview'!$J$5:$N$5</f>
            </numRef>
          </cat>
          <val>
            <numRef>
              <f>'Overview'!$J$8:$N$8</f>
            </numRef>
          </val>
        </ser>
        <ser>
          <idx val="3"/>
          <order val="3"/>
          <tx>
            <strRef>
              <f>'Overview'!I9</f>
            </strRef>
          </tx>
          <spPr>
            <a:ln>
              <a:prstDash val="solid"/>
            </a:ln>
          </spPr>
          <cat>
            <numRef>
              <f>'Overview'!$J$5:$N$5</f>
            </numRef>
          </cat>
          <val>
            <numRef>
              <f>'Overview'!$J$9:$N$9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£'000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84"/>
          <w val="0.96"/>
          <h val="0.16"/>
        </manualLayout>
      </layout>
    </legend>
    <plotVisOnly val="0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Credit Suisse (UK) Limited — Pillar 3 Key Metrics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2"/>
          <w val="0.85"/>
          <h val="0.5"/>
        </manualLayout>
      </layout>
      <lineChart>
        <grouping val="standard"/>
        <ser>
          <idx val="0"/>
          <order val="0"/>
          <tx>
            <strRef>
              <f>'Overview'!Q6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'Overview'!$R$5:$V$5</f>
            </numRef>
          </cat>
          <val>
            <numRef>
              <f>'Overview'!$R$6:$V$6</f>
            </numRef>
          </val>
          <smooth val="0"/>
        </ser>
        <ser>
          <idx val="1"/>
          <order val="1"/>
          <tx>
            <strRef>
              <f>'Overview'!Q7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'Overview'!$R$5:$V$5</f>
            </numRef>
          </cat>
          <val>
            <numRef>
              <f>'Overview'!$R$7:$V$7</f>
            </numRef>
          </val>
          <smooth val="0"/>
        </ser>
        <ser>
          <idx val="2"/>
          <order val="2"/>
          <tx>
            <strRef>
              <f>'Overview'!Q8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'Overview'!$R$5:$V$5</f>
            </numRef>
          </cat>
          <val>
            <numRef>
              <f>'Overview'!$R$8:$V$8</f>
            </numRef>
          </val>
          <smooth val="0"/>
        </ser>
        <ser>
          <idx val="3"/>
          <order val="3"/>
          <tx>
            <strRef>
              <f>'Overview'!Q9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'Overview'!$R$5:$V$5</f>
            </numRef>
          </cat>
          <val>
            <numRef>
              <f>'Overview'!$R$9:$V$9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78"/>
          <w val="0.96"/>
          <h val="0.22"/>
        </manualLayout>
      </layout>
    </legend>
    <plotVisOnly val="0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20</row>
      <rowOff>0</rowOff>
    </from>
    <ext cx="864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42</row>
      <rowOff>0</rowOff>
    </from>
    <ext cx="8640000" cy="57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8"/>
  <sheetViews>
    <sheetView workbookViewId="0">
      <selection activeCell="A1" sqref="A1"/>
    </sheetView>
  </sheetViews>
  <sheetFormatPr baseColWidth="8" defaultRowHeight="15"/>
  <cols>
    <col width="4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</cols>
  <sheetData>
    <row r="1">
      <c r="A1" s="1" t="inlineStr">
        <is>
          <t>Credit Suisse (UK) Limited — Overview</t>
        </is>
      </c>
    </row>
    <row r="2">
      <c r="A2" s="2" t="inlineStr">
        <is>
          <t>Summary of cash flow and Pillar 3 disclosures across all years covered in this workbook</t>
        </is>
      </c>
    </row>
    <row r="4">
      <c r="A4" s="3" t="inlineStr">
        <is>
          <t>Cash Flow Summary (£'000)</t>
        </is>
      </c>
    </row>
    <row r="5">
      <c r="A5" s="4" t="inlineStr">
        <is>
          <t>Line item</t>
        </is>
      </c>
      <c r="B5" s="4" t="inlineStr">
        <is>
          <t>FY2025</t>
        </is>
      </c>
      <c r="C5" s="4" t="inlineStr">
        <is>
          <t>FY2024</t>
        </is>
      </c>
      <c r="D5" s="4" t="inlineStr">
        <is>
          <t>FY2023</t>
        </is>
      </c>
      <c r="E5" s="4" t="inlineStr">
        <is>
          <t>FY2022</t>
        </is>
      </c>
      <c r="F5" s="4" t="inlineStr">
        <is>
          <t>FY2021</t>
        </is>
      </c>
      <c r="J5" t="inlineStr">
        <is>
          <t>FY2021</t>
        </is>
      </c>
      <c r="K5" t="inlineStr">
        <is>
          <t>FY2022</t>
        </is>
      </c>
      <c r="L5" t="inlineStr">
        <is>
          <t>FY2023</t>
        </is>
      </c>
      <c r="M5" t="inlineStr">
        <is>
          <t>FY2024</t>
        </is>
      </c>
      <c r="N5" t="inlineStr">
        <is>
          <t>FY2025</t>
        </is>
      </c>
      <c r="R5" t="inlineStr">
        <is>
          <t>FY2021</t>
        </is>
      </c>
      <c r="S5" t="inlineStr">
        <is>
          <t>FY2022</t>
        </is>
      </c>
      <c r="T5" t="inlineStr">
        <is>
          <t>FY2023</t>
        </is>
      </c>
      <c r="U5" t="inlineStr">
        <is>
          <t>FY2024</t>
        </is>
      </c>
      <c r="V5" t="inlineStr">
        <is>
          <t>FY2025</t>
        </is>
      </c>
    </row>
    <row r="6">
      <c r="A6" s="5" t="inlineStr">
        <is>
          <t>Net cash flow generated from/(used in) operating activities</t>
        </is>
      </c>
      <c r="B6" s="5" t="n">
        <v>59618</v>
      </c>
      <c r="C6" s="5" t="n">
        <v>320701</v>
      </c>
      <c r="D6" s="5" t="n">
        <v>180409</v>
      </c>
      <c r="E6" s="5" t="n">
        <v>284435</v>
      </c>
      <c r="F6" s="5" t="n">
        <v>-71555</v>
      </c>
      <c r="I6" t="inlineStr">
        <is>
          <t>Net cash flow generated from/(used in) operating activities</t>
        </is>
      </c>
      <c r="J6" t="n">
        <v>-71555</v>
      </c>
      <c r="K6" t="n">
        <v>284435</v>
      </c>
      <c r="L6" t="n">
        <v>180409</v>
      </c>
      <c r="M6" t="n">
        <v>320701</v>
      </c>
      <c r="N6" t="n">
        <v>59618</v>
      </c>
      <c r="Q6" t="inlineStr">
        <is>
          <t>CET1/Tier 1 Ratio</t>
        </is>
      </c>
      <c r="R6" t="n">
        <v>25.09</v>
      </c>
      <c r="S6" t="n">
        <v>29.39</v>
      </c>
      <c r="T6" t="n">
        <v>29.15</v>
      </c>
      <c r="U6" t="n">
        <v>45</v>
      </c>
      <c r="V6" t="n">
        <v>191</v>
      </c>
    </row>
    <row r="7">
      <c r="A7" s="5" t="inlineStr">
        <is>
          <t>Net cash flow generated from/(used in) investing activities</t>
        </is>
      </c>
      <c r="B7" s="5" t="n">
        <v>539843</v>
      </c>
      <c r="C7" s="5" t="n">
        <v>0</v>
      </c>
      <c r="D7" s="5" t="n">
        <v>-786</v>
      </c>
      <c r="E7" s="5" t="n">
        <v>-3455</v>
      </c>
      <c r="F7" s="5" t="n">
        <v>-3799</v>
      </c>
      <c r="I7" t="inlineStr">
        <is>
          <t>Net cash flow generated from/(used in) investing activities</t>
        </is>
      </c>
      <c r="J7" t="n">
        <v>-3799</v>
      </c>
      <c r="K7" t="n">
        <v>-3455</v>
      </c>
      <c r="L7" t="n">
        <v>-786</v>
      </c>
      <c r="M7" t="n">
        <v>0</v>
      </c>
      <c r="N7" t="n">
        <v>539843</v>
      </c>
      <c r="Q7" t="inlineStr">
        <is>
          <t>Leverage Ratio</t>
        </is>
      </c>
      <c r="U7" t="n">
        <v>17</v>
      </c>
      <c r="V7" t="n">
        <v>87</v>
      </c>
    </row>
    <row r="8">
      <c r="A8" s="5" t="inlineStr">
        <is>
          <t>Net cash flow used in financing activities</t>
        </is>
      </c>
      <c r="B8" s="5" t="n">
        <v>-906597</v>
      </c>
      <c r="C8" s="5" t="n">
        <v>-530786</v>
      </c>
      <c r="D8" s="5" t="n">
        <v>-82094</v>
      </c>
      <c r="E8" s="5" t="n">
        <v>-251725</v>
      </c>
      <c r="F8" s="5" t="n">
        <v>-1620</v>
      </c>
      <c r="I8" t="inlineStr">
        <is>
          <t>Net cash flow used in financing activities</t>
        </is>
      </c>
      <c r="J8" t="n">
        <v>-1620</v>
      </c>
      <c r="K8" t="n">
        <v>-251725</v>
      </c>
      <c r="L8" t="n">
        <v>-82094</v>
      </c>
      <c r="M8" t="n">
        <v>-530786</v>
      </c>
      <c r="N8" t="n">
        <v>-906597</v>
      </c>
      <c r="Q8" t="inlineStr">
        <is>
          <t>LCR</t>
        </is>
      </c>
      <c r="S8" t="n">
        <v>216.4</v>
      </c>
      <c r="T8" t="n">
        <v>554.67</v>
      </c>
      <c r="U8" t="n">
        <v>451</v>
      </c>
      <c r="V8" t="n">
        <v>1154</v>
      </c>
    </row>
    <row r="9">
      <c r="A9" s="5" t="inlineStr">
        <is>
          <t>Cash and cash equivalents at the end of the year</t>
        </is>
      </c>
      <c r="B9" s="5" t="n">
        <v>21709</v>
      </c>
      <c r="C9" s="5" t="n">
        <v>341768</v>
      </c>
      <c r="D9" s="5" t="n">
        <v>548659</v>
      </c>
      <c r="E9" s="5" t="n">
        <v>475709</v>
      </c>
      <c r="F9" s="5" t="n">
        <v>408082</v>
      </c>
      <c r="I9" t="inlineStr">
        <is>
          <t>Cash and cash equivalents at the end of the year</t>
        </is>
      </c>
      <c r="J9" t="n">
        <v>408082</v>
      </c>
      <c r="K9" t="n">
        <v>475709</v>
      </c>
      <c r="L9" t="n">
        <v>548659</v>
      </c>
      <c r="M9" t="n">
        <v>341768</v>
      </c>
      <c r="N9" t="n">
        <v>21709</v>
      </c>
      <c r="Q9" t="inlineStr">
        <is>
          <t>NSFR</t>
        </is>
      </c>
      <c r="S9" t="n">
        <v>131.72</v>
      </c>
      <c r="T9" t="n">
        <v>129.25</v>
      </c>
      <c r="U9" t="n">
        <v>167</v>
      </c>
      <c r="V9" t="n">
        <v>3600</v>
      </c>
    </row>
    <row r="11">
      <c r="A11" s="3" t="inlineStr">
        <is>
          <t>Pillar 3 Key Metrics</t>
        </is>
      </c>
    </row>
    <row r="12">
      <c r="A12" s="4" t="inlineStr">
        <is>
          <t>Line item</t>
        </is>
      </c>
      <c r="B12" s="4" t="inlineStr">
        <is>
          <t>FY2025</t>
        </is>
      </c>
      <c r="C12" s="4" t="inlineStr">
        <is>
          <t>FY2024</t>
        </is>
      </c>
      <c r="D12" s="4" t="inlineStr">
        <is>
          <t>FY2023</t>
        </is>
      </c>
      <c r="E12" s="4" t="inlineStr">
        <is>
          <t>FY2022</t>
        </is>
      </c>
      <c r="F12" s="4" t="inlineStr">
        <is>
          <t>FY2021</t>
        </is>
      </c>
    </row>
    <row r="13">
      <c r="A13" s="6" t="inlineStr">
        <is>
          <t>CET1/Tier 1 Ratio</t>
        </is>
      </c>
      <c r="B13" s="6" t="inlineStr">
        <is>
          <t>191%</t>
        </is>
      </c>
      <c r="C13" s="6" t="inlineStr">
        <is>
          <t>45%</t>
        </is>
      </c>
      <c r="D13" s="6" t="inlineStr">
        <is>
          <t>29.15%</t>
        </is>
      </c>
      <c r="E13" s="6" t="inlineStr">
        <is>
          <t>29.39%</t>
        </is>
      </c>
      <c r="F13" s="6" t="inlineStr">
        <is>
          <t>25.09%</t>
        </is>
      </c>
    </row>
    <row r="14">
      <c r="A14" s="6" t="inlineStr">
        <is>
          <t>Leverage Ratio</t>
        </is>
      </c>
      <c r="B14" s="6" t="inlineStr">
        <is>
          <t>87%</t>
        </is>
      </c>
      <c r="C14" s="6" t="inlineStr">
        <is>
          <t>17%</t>
        </is>
      </c>
      <c r="D14" s="6" t="n"/>
      <c r="E14" s="6" t="n"/>
      <c r="F14" s="6" t="n"/>
    </row>
    <row r="15">
      <c r="A15" s="6" t="inlineStr">
        <is>
          <t>LCR</t>
        </is>
      </c>
      <c r="B15" s="6" t="inlineStr">
        <is>
          <t>1,154%</t>
        </is>
      </c>
      <c r="C15" s="6" t="inlineStr">
        <is>
          <t>451%</t>
        </is>
      </c>
      <c r="D15" s="6" t="inlineStr">
        <is>
          <t>554.67%</t>
        </is>
      </c>
      <c r="E15" s="6" t="inlineStr">
        <is>
          <t>216.40%</t>
        </is>
      </c>
      <c r="F15" s="6" t="n"/>
    </row>
    <row r="16">
      <c r="A16" s="6" t="inlineStr">
        <is>
          <t>NSFR</t>
        </is>
      </c>
      <c r="B16" s="6" t="inlineStr">
        <is>
          <t>3,600%</t>
        </is>
      </c>
      <c r="C16" s="6" t="inlineStr">
        <is>
          <t>167%</t>
        </is>
      </c>
      <c r="D16" s="6" t="inlineStr">
        <is>
          <t>129.25%</t>
        </is>
      </c>
      <c r="E16" s="6" t="inlineStr">
        <is>
          <t>131.72%</t>
        </is>
      </c>
      <c r="F16" s="6" t="n"/>
    </row>
    <row r="18" ht="45" customHeight="1">
      <c r="A18" s="7" t="inlineStr">
        <is>
          <t>Note: FY2025's cash flow figures reflect a major one-off event: the 20 June 2025 Part VII transfer of most of CSUK's business to UBS AG London Branch (a £539,843k cash receipt in investing activities), which also drove RWAs and capital ratios sharply post-transfer. See the Cash Flow Statement sheet's source note for detail. Figures are duplicated from the detail sheets for at-a-glance trend viewing.</t>
        </is>
      </c>
    </row>
  </sheetData>
  <mergeCells count="1">
    <mergeCell ref="A18:F1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Credit Suisse (UK) Limited — Statement of Cash Flows</t>
        </is>
      </c>
    </row>
    <row r="2">
      <c r="A2" s="2" t="inlineStr">
        <is>
          <t>Entity basis, £'000. See source note at bottom.</t>
        </is>
      </c>
    </row>
    <row r="3">
      <c r="A3" s="4" t="inlineStr">
        <is>
          <t>Line item</t>
        </is>
      </c>
      <c r="B3" s="4" t="inlineStr">
        <is>
          <t>FY2025 (£'000)</t>
        </is>
      </c>
      <c r="C3" s="4" t="inlineStr">
        <is>
          <t>FY2024 (£'000)</t>
        </is>
      </c>
      <c r="D3" s="4" t="inlineStr">
        <is>
          <t>FY2023 (£'000)</t>
        </is>
      </c>
      <c r="E3" s="4" t="inlineStr">
        <is>
          <t>FY2022 (£'000)</t>
        </is>
      </c>
      <c r="F3" s="4" t="inlineStr">
        <is>
          <t>FY2021 (£'000)</t>
        </is>
      </c>
    </row>
    <row r="4">
      <c r="A4" s="5" t="inlineStr">
        <is>
          <t>Operating activities</t>
        </is>
      </c>
      <c r="B4" s="6" t="n"/>
      <c r="C4" s="6" t="n"/>
      <c r="D4" s="6" t="n"/>
      <c r="E4" s="6" t="n"/>
      <c r="F4" s="6" t="n"/>
    </row>
    <row r="5">
      <c r="A5" s="6" t="inlineStr">
        <is>
          <t>Profit/(loss) before tax for the year</t>
        </is>
      </c>
      <c r="B5" s="6" t="n">
        <v>9803</v>
      </c>
      <c r="C5" s="6" t="n">
        <v>10804</v>
      </c>
      <c r="D5" s="6" t="n">
        <v>-26199</v>
      </c>
      <c r="E5" s="6" t="n">
        <v>21421</v>
      </c>
      <c r="F5" s="6" t="n">
        <v>10907</v>
      </c>
    </row>
    <row r="6">
      <c r="A6" s="6" t="inlineStr">
        <is>
          <t>Loss from the business transfer</t>
        </is>
      </c>
      <c r="B6" s="6" t="n">
        <v>1278</v>
      </c>
      <c r="C6" s="6" t="n"/>
      <c r="D6" s="6" t="n"/>
      <c r="E6" s="6" t="n"/>
      <c r="F6" s="6" t="n"/>
    </row>
    <row r="7">
      <c r="A7" s="6" t="inlineStr">
        <is>
          <t>Amortisation and impairment of intangible assets</t>
        </is>
      </c>
      <c r="B7" s="6" t="n"/>
      <c r="C7" s="6" t="n">
        <v>1137</v>
      </c>
      <c r="D7" s="6" t="n">
        <v>13582</v>
      </c>
      <c r="E7" s="6" t="n">
        <v>3566</v>
      </c>
      <c r="F7" s="6" t="n">
        <v>1852</v>
      </c>
    </row>
    <row r="8">
      <c r="A8" s="6" t="inlineStr">
        <is>
          <t>Impairment on goodwill</t>
        </is>
      </c>
      <c r="B8" s="6" t="n"/>
      <c r="C8" s="6" t="n"/>
      <c r="D8" s="6" t="n"/>
      <c r="E8" s="6" t="n"/>
      <c r="F8" s="6" t="n">
        <v>13752</v>
      </c>
    </row>
    <row r="9">
      <c r="A9" s="6" t="inlineStr">
        <is>
          <t>Accrued interest on long term debt</t>
        </is>
      </c>
      <c r="B9" s="6" t="n">
        <v>1836</v>
      </c>
      <c r="C9" s="6" t="n">
        <v>14677</v>
      </c>
      <c r="D9" s="6" t="n">
        <v>34049</v>
      </c>
      <c r="E9" s="6" t="n">
        <v>12300</v>
      </c>
      <c r="F9" s="6" t="n">
        <v>1635</v>
      </c>
    </row>
    <row r="10">
      <c r="A10" s="6" t="inlineStr">
        <is>
          <t>Accrued interest on short-term borrowings</t>
        </is>
      </c>
      <c r="B10" s="6" t="n">
        <v>12765</v>
      </c>
      <c r="C10" s="6" t="n">
        <v>40087</v>
      </c>
      <c r="D10" s="6" t="n">
        <v>44712</v>
      </c>
      <c r="E10" s="6" t="n">
        <v>8822</v>
      </c>
      <c r="F10" s="6" t="n"/>
    </row>
    <row r="11">
      <c r="A11" s="6" t="inlineStr">
        <is>
          <t>Deferred fee income on loans</t>
        </is>
      </c>
      <c r="B11" s="6" t="n">
        <v>-499</v>
      </c>
      <c r="C11" s="6" t="n">
        <v>-2784</v>
      </c>
      <c r="D11" s="6" t="n">
        <v>-3102</v>
      </c>
      <c r="E11" s="6" t="n">
        <v>-3821</v>
      </c>
      <c r="F11" s="6" t="n"/>
    </row>
    <row r="12">
      <c r="A12" s="6" t="inlineStr">
        <is>
          <t>Foreign exchange (gain)/loss</t>
        </is>
      </c>
      <c r="B12" s="6" t="n">
        <v>-2005</v>
      </c>
      <c r="C12" s="6" t="n">
        <v>-1583</v>
      </c>
      <c r="D12" s="6" t="n">
        <v>1721</v>
      </c>
      <c r="E12" s="6" t="n">
        <v>-2954</v>
      </c>
      <c r="F12" s="6" t="n">
        <v>-1339</v>
      </c>
    </row>
    <row r="13">
      <c r="A13" s="6" t="inlineStr">
        <is>
          <t>Share based Compensation (charge)/reversal</t>
        </is>
      </c>
      <c r="B13" s="6" t="n"/>
      <c r="C13" s="6" t="n">
        <v>-385</v>
      </c>
      <c r="D13" s="6" t="n">
        <v>394</v>
      </c>
      <c r="E13" s="6" t="n">
        <v>-40</v>
      </c>
      <c r="F13" s="6" t="n"/>
    </row>
    <row r="14">
      <c r="A14" s="6" t="inlineStr">
        <is>
          <t>Allowance for expected credit losses (ECL)</t>
        </is>
      </c>
      <c r="B14" s="6" t="n">
        <v>-489</v>
      </c>
      <c r="C14" s="6" t="n">
        <v>1526</v>
      </c>
      <c r="D14" s="6" t="n">
        <v>3094</v>
      </c>
      <c r="E14" s="6" t="n">
        <v>1754</v>
      </c>
      <c r="F14" s="6" t="n">
        <v>-2571</v>
      </c>
    </row>
    <row r="15">
      <c r="A15" s="5" t="inlineStr">
        <is>
          <t>Cash generated before changes in operating assets and liabilities</t>
        </is>
      </c>
      <c r="B15" s="5" t="n">
        <v>22689</v>
      </c>
      <c r="C15" s="5" t="n">
        <v>63479</v>
      </c>
      <c r="D15" s="5" t="n">
        <v>68251</v>
      </c>
      <c r="E15" s="5" t="n">
        <v>41048</v>
      </c>
      <c r="F15" s="5" t="n">
        <v>24236</v>
      </c>
    </row>
    <row r="16">
      <c r="A16" s="6" t="inlineStr">
        <is>
          <t>Securities purchased under resale agreements</t>
        </is>
      </c>
      <c r="B16" s="6" t="n">
        <v>237260</v>
      </c>
      <c r="C16" s="6" t="n">
        <v>-110148</v>
      </c>
      <c r="D16" s="6" t="n">
        <v>106208</v>
      </c>
      <c r="E16" s="6" t="n">
        <v>486194</v>
      </c>
      <c r="F16" s="6" t="n">
        <v>-167802</v>
      </c>
    </row>
    <row r="17">
      <c r="A17" s="6" t="inlineStr">
        <is>
          <t>Trading financial assets mandatorily at fair value through profit or loss</t>
        </is>
      </c>
      <c r="B17" s="6" t="n">
        <v>13944</v>
      </c>
      <c r="C17" s="6" t="n">
        <v>-314</v>
      </c>
      <c r="D17" s="6" t="n">
        <v>5183</v>
      </c>
      <c r="E17" s="6" t="n">
        <v>-4480</v>
      </c>
      <c r="F17" s="6" t="n">
        <v>20813</v>
      </c>
    </row>
    <row r="18">
      <c r="A18" s="6" t="inlineStr">
        <is>
          <t>Loans and advances</t>
        </is>
      </c>
      <c r="B18" s="6" t="n">
        <v>-39272</v>
      </c>
      <c r="C18" s="6" t="n">
        <v>489850</v>
      </c>
      <c r="D18" s="6" t="n">
        <v>398930</v>
      </c>
      <c r="E18" s="6" t="n">
        <v>336715</v>
      </c>
      <c r="F18" s="6" t="n">
        <v>-48586</v>
      </c>
    </row>
    <row r="19">
      <c r="A19" s="6" t="inlineStr">
        <is>
          <t>Interest bearing deposits with banks (excluding ECL)</t>
        </is>
      </c>
      <c r="B19" s="6" t="n">
        <v>25338</v>
      </c>
      <c r="C19" s="6" t="n">
        <v>-8136</v>
      </c>
      <c r="D19" s="6" t="n">
        <v>31552</v>
      </c>
      <c r="E19" s="6" t="n">
        <v>-48754</v>
      </c>
      <c r="F19" s="6" t="n">
        <v>187491</v>
      </c>
    </row>
    <row r="20">
      <c r="A20" s="6" t="inlineStr">
        <is>
          <t>Other assets</t>
        </is>
      </c>
      <c r="B20" s="6" t="n">
        <v>17904</v>
      </c>
      <c r="C20" s="6" t="n">
        <v>13274</v>
      </c>
      <c r="D20" s="6" t="n">
        <v>8322</v>
      </c>
      <c r="E20" s="6" t="n">
        <v>-8451</v>
      </c>
      <c r="F20" s="6" t="n">
        <v>-1141</v>
      </c>
    </row>
    <row r="21">
      <c r="A21" s="5" t="inlineStr">
        <is>
          <t>Net decrease/(increase) in operating assets</t>
        </is>
      </c>
      <c r="B21" s="5" t="n">
        <v>255174</v>
      </c>
      <c r="C21" s="5" t="n">
        <v>384526</v>
      </c>
      <c r="D21" s="5" t="n">
        <v>550195</v>
      </c>
      <c r="E21" s="5" t="n">
        <v>761224</v>
      </c>
      <c r="F21" s="5" t="n">
        <v>-9225</v>
      </c>
    </row>
    <row r="22">
      <c r="A22" s="6" t="inlineStr">
        <is>
          <t>Deposits</t>
        </is>
      </c>
      <c r="B22" s="6" t="n">
        <v>-195682</v>
      </c>
      <c r="C22" s="6" t="n">
        <v>-106841</v>
      </c>
      <c r="D22" s="6" t="n">
        <v>-439790</v>
      </c>
      <c r="E22" s="6" t="n">
        <v>-517522</v>
      </c>
      <c r="F22" s="6" t="n">
        <v>-64484</v>
      </c>
    </row>
    <row r="23">
      <c r="A23" s="6" t="inlineStr">
        <is>
          <t>Trading financial liabilities mandatorily at fair value through profit or loss</t>
        </is>
      </c>
      <c r="B23" s="6" t="n">
        <v>-13849</v>
      </c>
      <c r="C23" s="6" t="n">
        <v>353</v>
      </c>
      <c r="D23" s="6" t="n">
        <v>-5117</v>
      </c>
      <c r="E23" s="6" t="n">
        <v>4590</v>
      </c>
      <c r="F23" s="6" t="n">
        <v>-20917</v>
      </c>
    </row>
    <row r="24">
      <c r="A24" s="6" t="inlineStr">
        <is>
          <t>Share based compensation</t>
        </is>
      </c>
      <c r="B24" s="6" t="n"/>
      <c r="C24" s="6" t="n">
        <v>-220</v>
      </c>
      <c r="D24" s="6" t="n">
        <v>-1774</v>
      </c>
      <c r="E24" s="6" t="n">
        <v>-3649</v>
      </c>
      <c r="F24" s="6" t="n"/>
    </row>
    <row r="25">
      <c r="A25" s="6" t="inlineStr">
        <is>
          <t>Other liabilities and provisions</t>
        </is>
      </c>
      <c r="B25" s="6" t="n">
        <v>-14841</v>
      </c>
      <c r="C25" s="6" t="n">
        <v>-15915</v>
      </c>
      <c r="D25" s="6" t="n">
        <v>11963</v>
      </c>
      <c r="E25" s="6" t="n">
        <v>1266</v>
      </c>
      <c r="F25" s="6" t="n">
        <v>-2672</v>
      </c>
    </row>
    <row r="26">
      <c r="A26" s="5" t="inlineStr">
        <is>
          <t>Net decrease/(increase) in operating liabilities</t>
        </is>
      </c>
      <c r="B26" s="5" t="n">
        <v>-224372</v>
      </c>
      <c r="C26" s="5" t="n">
        <v>-122623</v>
      </c>
      <c r="D26" s="5" t="n">
        <v>-434718</v>
      </c>
      <c r="E26" s="5" t="n">
        <v>-515315</v>
      </c>
      <c r="F26" s="5" t="n">
        <v>-88073</v>
      </c>
    </row>
    <row r="27">
      <c r="A27" s="6" t="inlineStr">
        <is>
          <t>Income tax refunded/(paid)</t>
        </is>
      </c>
      <c r="B27" s="6" t="n"/>
      <c r="C27" s="6" t="n">
        <v>119</v>
      </c>
      <c r="D27" s="6" t="n"/>
      <c r="E27" s="6" t="n"/>
      <c r="F27" s="6" t="n">
        <v>1101</v>
      </c>
    </row>
    <row r="28">
      <c r="A28" s="6" t="inlineStr">
        <is>
          <t>Group relief received/(paid)</t>
        </is>
      </c>
      <c r="B28" s="6" t="n">
        <v>6127</v>
      </c>
      <c r="C28" s="6" t="n">
        <v>-4800</v>
      </c>
      <c r="D28" s="6" t="n">
        <v>-3319</v>
      </c>
      <c r="E28" s="6" t="n">
        <v>-2522</v>
      </c>
      <c r="F28" s="6" t="n">
        <v>406</v>
      </c>
    </row>
    <row r="29">
      <c r="A29" s="5" t="inlineStr">
        <is>
          <t>Net cash flow generated from/(used in) operating activities</t>
        </is>
      </c>
      <c r="B29" s="5" t="n">
        <v>59618</v>
      </c>
      <c r="C29" s="5" t="n">
        <v>320701</v>
      </c>
      <c r="D29" s="5" t="n">
        <v>180409</v>
      </c>
      <c r="E29" s="5" t="n">
        <v>284435</v>
      </c>
      <c r="F29" s="5" t="n">
        <v>-71555</v>
      </c>
    </row>
    <row r="30">
      <c r="A30" s="5" t="inlineStr">
        <is>
          <t>Investing activities</t>
        </is>
      </c>
      <c r="B30" s="6" t="n"/>
      <c r="C30" s="6" t="n"/>
      <c r="D30" s="6" t="n"/>
      <c r="E30" s="6" t="n"/>
      <c r="F30" s="6" t="n"/>
    </row>
    <row r="31">
      <c r="A31" s="6" t="inlineStr">
        <is>
          <t>Cash receipt from business transfer</t>
        </is>
      </c>
      <c r="B31" s="6" t="n">
        <v>539843</v>
      </c>
      <c r="C31" s="6" t="n"/>
      <c r="D31" s="6" t="n"/>
      <c r="E31" s="6" t="n"/>
      <c r="F31" s="6" t="n"/>
    </row>
    <row r="32">
      <c r="A32" s="6" t="inlineStr">
        <is>
          <t>Capital expenditures for intangible assets</t>
        </is>
      </c>
      <c r="B32" s="6" t="n"/>
      <c r="C32" s="6" t="n"/>
      <c r="D32" s="6" t="n">
        <v>-786</v>
      </c>
      <c r="E32" s="6" t="n">
        <v>-3455</v>
      </c>
      <c r="F32" s="6" t="n">
        <v>-3799</v>
      </c>
    </row>
    <row r="33">
      <c r="A33" s="5" t="inlineStr">
        <is>
          <t>Net cash flow generated from/(used in) investing activities</t>
        </is>
      </c>
      <c r="B33" s="5" t="n">
        <v>539843</v>
      </c>
      <c r="C33" s="5" t="n">
        <v>0</v>
      </c>
      <c r="D33" s="5" t="n">
        <v>-786</v>
      </c>
      <c r="E33" s="5" t="n">
        <v>-3455</v>
      </c>
      <c r="F33" s="5" t="n">
        <v>-3799</v>
      </c>
    </row>
    <row r="34">
      <c r="A34" s="5" t="inlineStr">
        <is>
          <t>Financing activities</t>
        </is>
      </c>
      <c r="B34" s="6" t="n"/>
      <c r="C34" s="6" t="n"/>
      <c r="D34" s="6" t="n"/>
      <c r="E34" s="6" t="n"/>
      <c r="F34" s="6" t="n"/>
    </row>
    <row r="35">
      <c r="A35" s="6" t="inlineStr">
        <is>
          <t>Dividend paid</t>
        </is>
      </c>
      <c r="B35" s="6" t="n"/>
      <c r="C35" s="6" t="n"/>
      <c r="D35" s="6" t="n">
        <v>-30000</v>
      </c>
      <c r="E35" s="6" t="n">
        <v>-20000</v>
      </c>
      <c r="F35" s="6" t="n"/>
    </row>
    <row r="36">
      <c r="A36" s="6" t="inlineStr">
        <is>
          <t>Interest paid on long term debt</t>
        </is>
      </c>
      <c r="B36" s="6" t="n">
        <v>-1916</v>
      </c>
      <c r="C36" s="6" t="n">
        <v>-15460</v>
      </c>
      <c r="D36" s="6" t="n">
        <v>-33420</v>
      </c>
      <c r="E36" s="6" t="n">
        <v>-12293</v>
      </c>
      <c r="F36" s="6" t="n">
        <v>-1620</v>
      </c>
    </row>
    <row r="37">
      <c r="A37" s="6" t="inlineStr">
        <is>
          <t>Issuance of long term debt</t>
        </is>
      </c>
      <c r="B37" s="6" t="n"/>
      <c r="C37" s="6" t="n"/>
      <c r="D37" s="6" t="n">
        <v>530803</v>
      </c>
      <c r="E37" s="6" t="n">
        <v>500000</v>
      </c>
      <c r="F37" s="6" t="n"/>
    </row>
    <row r="38">
      <c r="A38" s="6" t="inlineStr">
        <is>
          <t>Repayment of long term debt</t>
        </is>
      </c>
      <c r="B38" s="6" t="n">
        <v>-55000</v>
      </c>
      <c r="C38" s="6" t="n">
        <v>-500000</v>
      </c>
      <c r="D38" s="6" t="n">
        <v>-532693</v>
      </c>
      <c r="E38" s="6" t="n">
        <v>-503689</v>
      </c>
      <c r="F38" s="6" t="n"/>
    </row>
    <row r="39">
      <c r="A39" s="6" t="inlineStr">
        <is>
          <t>Interest paid on short-term borrowings</t>
        </is>
      </c>
      <c r="B39" s="6" t="n">
        <v>-17039</v>
      </c>
      <c r="C39" s="6" t="n">
        <v>-39775</v>
      </c>
      <c r="D39" s="6" t="n">
        <v>-43476</v>
      </c>
      <c r="E39" s="6" t="n">
        <v>-6928</v>
      </c>
      <c r="F39" s="6" t="n"/>
    </row>
    <row r="40">
      <c r="A40" s="6" t="inlineStr">
        <is>
          <t>Issuance of short-term borrowings</t>
        </is>
      </c>
      <c r="B40" s="6" t="n">
        <v>12865</v>
      </c>
      <c r="C40" s="6" t="n">
        <v>713897</v>
      </c>
      <c r="D40" s="6" t="n">
        <v>601802</v>
      </c>
      <c r="E40" s="6" t="n">
        <v>615993</v>
      </c>
      <c r="F40" s="6" t="n"/>
    </row>
    <row r="41">
      <c r="A41" s="6" t="inlineStr">
        <is>
          <t>Repayment of short-term borrowings</t>
        </is>
      </c>
      <c r="B41" s="6" t="n">
        <v>-845507</v>
      </c>
      <c r="C41" s="6" t="n">
        <v>-689448</v>
      </c>
      <c r="D41" s="6" t="n">
        <v>-575110</v>
      </c>
      <c r="E41" s="6" t="n">
        <v>-824808</v>
      </c>
      <c r="F41" s="6" t="n"/>
    </row>
    <row r="42">
      <c r="A42" s="5" t="inlineStr">
        <is>
          <t>Net cash flow used in financing activities</t>
        </is>
      </c>
      <c r="B42" s="5" t="n">
        <v>-906597</v>
      </c>
      <c r="C42" s="5" t="n">
        <v>-530786</v>
      </c>
      <c r="D42" s="5" t="n">
        <v>-82094</v>
      </c>
      <c r="E42" s="5" t="n">
        <v>-251725</v>
      </c>
      <c r="F42" s="5" t="n">
        <v>-1620</v>
      </c>
    </row>
    <row r="43">
      <c r="A43" s="5" t="inlineStr">
        <is>
          <t>Net (decrease)/increase in cash and cash equivalents</t>
        </is>
      </c>
      <c r="B43" s="5" t="n">
        <v>-307136</v>
      </c>
      <c r="C43" s="5" t="n">
        <v>-210085</v>
      </c>
      <c r="D43" s="5" t="n">
        <v>97529</v>
      </c>
      <c r="E43" s="5" t="n">
        <v>29255</v>
      </c>
      <c r="F43" s="5" t="n">
        <v>-76974</v>
      </c>
    </row>
    <row r="44">
      <c r="A44" s="6" t="inlineStr">
        <is>
          <t>Cash and cash equivalents at the beginning of the year</t>
        </is>
      </c>
      <c r="B44" s="6" t="n">
        <v>341768</v>
      </c>
      <c r="C44" s="6" t="n">
        <v>548659</v>
      </c>
      <c r="D44" s="6" t="n">
        <v>475664</v>
      </c>
      <c r="E44" s="6" t="n">
        <v>408082</v>
      </c>
      <c r="F44" s="6" t="n">
        <v>483717</v>
      </c>
    </row>
    <row r="45">
      <c r="A45" s="6" t="inlineStr">
        <is>
          <t>Effect of exchange rate fluctuations on cash and cash equivalents</t>
        </is>
      </c>
      <c r="B45" s="6" t="n">
        <v>-12923</v>
      </c>
      <c r="C45" s="6" t="n">
        <v>3194</v>
      </c>
      <c r="D45" s="6" t="n">
        <v>-24570</v>
      </c>
      <c r="E45" s="6" t="n">
        <v>38372</v>
      </c>
      <c r="F45" s="6" t="n">
        <v>1339</v>
      </c>
    </row>
    <row r="46">
      <c r="A46" s="5" t="inlineStr">
        <is>
          <t>Cash and cash equivalents at the end of the year</t>
        </is>
      </c>
      <c r="B46" s="5" t="n">
        <v>21709</v>
      </c>
      <c r="C46" s="5" t="n">
        <v>341768</v>
      </c>
      <c r="D46" s="5" t="n">
        <v>548659</v>
      </c>
      <c r="E46" s="5" t="n">
        <v>475709</v>
      </c>
      <c r="F46" s="5" t="n">
        <v>408082</v>
      </c>
    </row>
    <row r="48" ht="340" customHeight="1">
      <c r="A48" s="8" t="inlineStr">
        <is>
          <t>Sources - all figures are Credit Suisse (UK) Limited's own Statement of Cash Flows:
FY2025: Full accounts to 31 Dec 2025 (Companies House, filed 25 Apr 2026), Statement of Cash Flows p.47 - https://find-and-update.company-information.service.gov.uk/company/02009520/filing-history/MzUxNzE0OTI3NGFkaXF6a2N4/document?format=pdf&amp;download=0
FY2024: same FY2025 filing's own FY2024 comparative column, p.47
FY2023: Full accounts to 31 Dec 2023 (Companies House, filed 27 Apr 2024), Statement of Cash Flows p.41 - https://find-and-update.company-information.service.gov.uk/company/02009520/filing-history/MzQxOTY5NDQ0MWFkaXF6a2N4/document?format=pdf&amp;download=0
FY2022: same FY2023 filing's own FY2022 comparative column, p.41
FY2021: Full accounts to 31 Dec 2021 (Companies House, filed 28 Apr 2022), Statement of Cash Flows p.46 - https://find-and-update.company-information.service.gov.uk/company/02009520/filing-history/MzMzNzU0NDMwOWFkaXF6a2N4/document?format=pdf&amp;download=0
Credit Suisse (UK) Limited ('CSUK', company 02009520, FRN 124269) - a UK private-banking/wealth-management subsidiary. Ultimate parent is UBS Group AG following UBS's acquisition of Credit Suisse Group (announced March 2023, completed June 2023) - CSUK itself remains an active, separately-reporting PRA entity throughout, still filing under its original name as of the FY2025 filing (Apr 2026). All 5 Companies House filings were fully scanned/image-only, transcribed via page rendering.
TWO MAJOR DISCLOSED BUSINESS EVENTS, both flagged rather than treated as anomalies:
(1) FY2023: a pre-tax loss of £26.2m driven by £44.8m of UBS-acquisition-related expenses (accelerated lease costs, intangibles impairment, recharged transaction costs) - underlying profit before tax (excluding these) was £18.6m.
(2) FY2025: on 20 June 2025 CSUK completed a Part VII business transfer (Financial Services and Markets Act 2000) of most of its wealth-management clients to UBS AG London Branch, following a Business Transfer Agreement signed 20 December 2024. This shows up directly in the FY2025 cash flow statement as a £539,843k 'Cash receipt from business transfer' investing-activities line and a £1,278k 'Loss from the business transfer' operating-activities adjustment, and drove RWAs down from £672m (FY2024) to £160m (FY2025) and CET1/leverage ratios sharply higher (smaller balance sheet, same capital base). CSUK's remaining business post-transfer is the limited-scope Credit Suisse London Nominees ('CSLN') hedge-fund sub-custody activity.
Full opening-to-closing cash bridge ties across all 5 years, with two small immaterial gaps in the source documents' own printed figures, neither force-corrected: FY2022 closing £475,709k vs FY2023 opening £475,664k (£45k gap, explicitly explained by the FY2023 report's own footnote as the year-over-year change in the ECL allowance excluded from the cash figure); and FY2023's own three-line tail (opening £475,664k + net increase £97,529k - FX effect £24,570k = £548,623k) doesn't quite match FY2023's own printed closing balance of £548,659k (a £36k gap, source unexplained, not present in any other year - kept exactly as printed on both sides rather than adjusted to force a match). FY2021 closing £408,082k = FY2022 opening exactly; FY2023 closing £548,659k = FY2024 opening exactly; FY2024 closing £341,768k = FY2025 opening exactly.</t>
        </is>
      </c>
    </row>
  </sheetData>
  <mergeCells count="1">
    <mergeCell ref="A48:F4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5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Credit Suisse (UK) Limited — CET1 Capital</t>
        </is>
      </c>
    </row>
    <row r="2">
      <c r="A2" s="2" t="inlineStr">
        <is>
          <t>£m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Common Equity Tier 1 (CET1) capital (combined with Tier 1)</t>
        </is>
      </c>
      <c r="B4" s="6" t="n">
        <v>306</v>
      </c>
      <c r="C4" s="6" t="n">
        <v>299</v>
      </c>
      <c r="D4" s="6" t="n">
        <v>291</v>
      </c>
      <c r="E4" s="6" t="n">
        <v>330</v>
      </c>
      <c r="F4" s="6" t="n">
        <v>336</v>
      </c>
    </row>
    <row r="5" ht="60" customHeight="1">
      <c r="A5" s="7" t="inlineStr">
        <is>
          <t>Note: The Bank's own KPI table discloses a single combined 'Tier 1 and Common Equity Tier 1 (CET1)' line, not separate Tier 1/CET1 figures - used identically for both the CET1 and Tier 1 sheets.</t>
        </is>
      </c>
    </row>
    <row r="7" ht="170" customHeight="1">
      <c r="A7" s="8" t="inlineStr">
        <is>
          <t xml:space="preserve">Sources - Credit Suisse (UK) Limited's own Annual Report 'Key Performance Indicators (KPIs)' table (no standalone Pillar 3 document was located for CSUK; the FY2025 Annual Report's own Strategic Report states 'Pillar 3 disclosures can be found separately at https://www.ubs.com/global/en/investor-relations', but a CSUK-specific document was not identified there within budget - WebSearch quota was already exhausted):
FY2025/FY2024: FY2025 Annual Report, KPI table p.6 - https://find-and-update.company-information.service.gov.uk/company/02009520/filing-history/MzUxNzE0OTI3NGFkaXF6a2N4/document?format=pdf&amp;download=0
FY2023/FY2022: FY2023 Annual Report, KPI table p.7 - https://find-and-update.company-information.service.gov.uk/company/02009520/filing-history/MzQxOTY5NDQ0MWFkaXF6a2N4/document?format=pdf&amp;download=0
FY2021: FY2021 Annual Report, KPI table p.8 - https://find-and-update.company-information.service.gov.uk/company/02009520/filing-history/MzMzNzU0NDMwOWFkaXF6a2N4/document?format=pdf&amp;download=0
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5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Credit Suisse (UK) Limited — CET1 Ratio</t>
        </is>
      </c>
    </row>
    <row r="2">
      <c r="A2" s="2" t="inlineStr">
        <is>
          <t>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CET1 Ratio (combined with Tier 1)</t>
        </is>
      </c>
      <c r="B4" s="6" t="inlineStr">
        <is>
          <t>191%</t>
        </is>
      </c>
      <c r="C4" s="6" t="inlineStr">
        <is>
          <t>45%</t>
        </is>
      </c>
      <c r="D4" s="6" t="inlineStr">
        <is>
          <t>29.15%</t>
        </is>
      </c>
      <c r="E4" s="6" t="inlineStr">
        <is>
          <t>29.39%</t>
        </is>
      </c>
      <c r="F4" s="6" t="inlineStr">
        <is>
          <t>25.09%</t>
        </is>
      </c>
    </row>
    <row r="5" ht="60" customHeight="1">
      <c r="A5" s="7" t="inlineStr">
        <is>
          <t>Note: The Bank's own KPI table discloses a single combined 'Tier 1 and Common Equity Tier 1 (CET1)' line, not separate Tier 1/CET1 figures - used identically for both the CET1 and Tier 1 sheets.</t>
        </is>
      </c>
    </row>
    <row r="7" ht="170" customHeight="1">
      <c r="A7" s="8" t="inlineStr">
        <is>
          <t xml:space="preserve">Sources - Credit Suisse (UK) Limited's own Annual Report 'Key Performance Indicators (KPIs)' table (no standalone Pillar 3 document was located for CSUK; the FY2025 Annual Report's own Strategic Report states 'Pillar 3 disclosures can be found separately at https://www.ubs.com/global/en/investor-relations', but a CSUK-specific document was not identified there within budget - WebSearch quota was already exhausted):
FY2025/FY2024: FY2025 Annual Report, KPI table p.6 - https://find-and-update.company-information.service.gov.uk/company/02009520/filing-history/MzUxNzE0OTI3NGFkaXF6a2N4/document?format=pdf&amp;download=0
FY2023/FY2022: FY2023 Annual Report, KPI table p.7 - https://find-and-update.company-information.service.gov.uk/company/02009520/filing-history/MzQxOTY5NDQ0MWFkaXF6a2N4/document?format=pdf&amp;download=0
FY2021: FY2021 Annual Report, KPI table p.8 - https://find-and-update.company-information.service.gov.uk/company/02009520/filing-history/MzMzNzU0NDMwOWFkaXF6a2N4/document?format=pdf&amp;download=0
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5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Credit Suisse (UK) Limited — Tier 1 Capital</t>
        </is>
      </c>
    </row>
    <row r="2">
      <c r="A2" s="2" t="inlineStr">
        <is>
          <t>£m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Tier 1 Capital (combined with CET1)</t>
        </is>
      </c>
      <c r="B4" s="6" t="n">
        <v>306</v>
      </c>
      <c r="C4" s="6" t="n">
        <v>299</v>
      </c>
      <c r="D4" s="6" t="n">
        <v>291</v>
      </c>
      <c r="E4" s="6" t="n">
        <v>330</v>
      </c>
      <c r="F4" s="6" t="n">
        <v>336</v>
      </c>
    </row>
    <row r="5" ht="60" customHeight="1">
      <c r="A5" s="7" t="inlineStr">
        <is>
          <t>Note: The Bank's own KPI table discloses a single combined 'Tier 1 and Common Equity Tier 1 (CET1)' line, not separate Tier 1/CET1 figures - used identically for both the CET1 and Tier 1 sheets.</t>
        </is>
      </c>
    </row>
    <row r="7" ht="170" customHeight="1">
      <c r="A7" s="8" t="inlineStr">
        <is>
          <t xml:space="preserve">Sources - Credit Suisse (UK) Limited's own Annual Report 'Key Performance Indicators (KPIs)' table (no standalone Pillar 3 document was located for CSUK; the FY2025 Annual Report's own Strategic Report states 'Pillar 3 disclosures can be found separately at https://www.ubs.com/global/en/investor-relations', but a CSUK-specific document was not identified there within budget - WebSearch quota was already exhausted):
FY2025/FY2024: FY2025 Annual Report, KPI table p.6 - https://find-and-update.company-information.service.gov.uk/company/02009520/filing-history/MzUxNzE0OTI3NGFkaXF6a2N4/document?format=pdf&amp;download=0
FY2023/FY2022: FY2023 Annual Report, KPI table p.7 - https://find-and-update.company-information.service.gov.uk/company/02009520/filing-history/MzQxOTY5NDQ0MWFkaXF6a2N4/document?format=pdf&amp;download=0
FY2021: FY2021 Annual Report, KPI table p.8 - https://find-and-update.company-information.service.gov.uk/company/02009520/filing-history/MzMzNzU0NDMwOWFkaXF6a2N4/document?format=pdf&amp;download=0
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5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Credit Suisse (UK) Limited — Tier 1 Ratio</t>
        </is>
      </c>
    </row>
    <row r="2">
      <c r="A2" s="2" t="inlineStr">
        <is>
          <t>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Tier 1 Ratio (combined with CET1)</t>
        </is>
      </c>
      <c r="B4" s="6" t="inlineStr">
        <is>
          <t>191%</t>
        </is>
      </c>
      <c r="C4" s="6" t="inlineStr">
        <is>
          <t>45%</t>
        </is>
      </c>
      <c r="D4" s="6" t="inlineStr">
        <is>
          <t>29.15%</t>
        </is>
      </c>
      <c r="E4" s="6" t="inlineStr">
        <is>
          <t>29.39%</t>
        </is>
      </c>
      <c r="F4" s="6" t="inlineStr">
        <is>
          <t>25.09%</t>
        </is>
      </c>
    </row>
    <row r="5" ht="60" customHeight="1">
      <c r="A5" s="7" t="inlineStr">
        <is>
          <t>Note: The Bank's own KPI table discloses a single combined 'Tier 1 and Common Equity Tier 1 (CET1)' line, not separate Tier 1/CET1 figures - used identically for both the CET1 and Tier 1 sheets.</t>
        </is>
      </c>
    </row>
    <row r="7" ht="170" customHeight="1">
      <c r="A7" s="8" t="inlineStr">
        <is>
          <t xml:space="preserve">Sources - Credit Suisse (UK) Limited's own Annual Report 'Key Performance Indicators (KPIs)' table (no standalone Pillar 3 document was located for CSUK; the FY2025 Annual Report's own Strategic Report states 'Pillar 3 disclosures can be found separately at https://www.ubs.com/global/en/investor-relations', but a CSUK-specific document was not identified there within budget - WebSearch quota was already exhausted):
FY2025/FY2024: FY2025 Annual Report, KPI table p.6 - https://find-and-update.company-information.service.gov.uk/company/02009520/filing-history/MzUxNzE0OTI3NGFkaXF6a2N4/document?format=pdf&amp;download=0
FY2023/FY2022: FY2023 Annual Report, KPI table p.7 - https://find-and-update.company-information.service.gov.uk/company/02009520/filing-history/MzQxOTY5NDQ0MWFkaXF6a2N4/document?format=pdf&amp;download=0
FY2021: FY2021 Annual Report, KPI table p.8 - https://find-and-update.company-information.service.gov.uk/company/02009520/filing-history/MzMzNzU0NDMwOWFkaXF6a2N4/document?format=pdf&amp;download=0
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Credit Suisse (UK) Limited — Total Capital</t>
        </is>
      </c>
    </row>
    <row r="2">
      <c r="A2" s="2" t="inlineStr"/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Capital</t>
        </is>
      </c>
      <c r="B4" s="6" t="inlineStr">
        <is>
          <t>Not publicly disclosed</t>
        </is>
      </c>
      <c r="C4" s="6" t="inlineStr">
        <is>
          <t>Not publicly disclosed</t>
        </is>
      </c>
      <c r="D4" s="6" t="inlineStr">
        <is>
          <t>Not publicly disclosed</t>
        </is>
      </c>
      <c r="E4" s="6" t="inlineStr">
        <is>
          <t>Not publicly disclosed</t>
        </is>
      </c>
      <c r="F4" s="6" t="inlineStr">
        <is>
          <t>Not publicly disclosed</t>
        </is>
      </c>
    </row>
    <row r="5" ht="60" customHeight="1">
      <c r="A5" s="7" t="inlineStr">
        <is>
          <t>Note: Not directly disclosed as a separate figure in any of the 5 years' KPI tables - only a combined 'Tier 1 and CET1' figure is given, with no mention of AT1 or Tier 2 instruments anywhere. NOT assumed equal to Tier 1/CET1 without an explicit statement to that effect, per project convention - left blank rather than guessed.</t>
        </is>
      </c>
    </row>
    <row r="7" ht="150" customHeight="1">
      <c r="A7" s="8" t="inlineStr">
        <is>
          <t xml:space="preserve">Sources - Credit Suisse (UK) Limited's own Annual Report 'Key Performance Indicators (KPIs)' table (no standalone Pillar 3 document was located for CSUK; the FY2025 Annual Report's own Strategic Report states 'Pillar 3 disclosures can be found separately at https://www.ubs.com/global/en/investor-relations', but a CSUK-specific document was not identified there within budget - WebSearch quota was already exhausted):
FY2025/FY2024: FY2025 Annual Report, KPI table p.6 - https://find-and-update.company-information.service.gov.uk/company/02009520/filing-history/MzUxNzE0OTI3NGFkaXF6a2N4/document?format=pdf&amp;download=0
FY2023/FY2022: FY2023 Annual Report, KPI table p.7 - https://find-and-update.company-information.service.gov.uk/company/02009520/filing-history/MzQxOTY5NDQ0MWFkaXF6a2N4/document?format=pdf&amp;download=0
FY2021: FY2021 Annual Report, KPI table p.8 - https://find-and-update.company-information.service.gov.uk/company/02009520/filing-history/MzMzNzU0NDMwOWFkaXF6a2N4/document?format=pdf&amp;download=0
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Credit Suisse (UK) Limited — Total Capital Ratio</t>
        </is>
      </c>
    </row>
    <row r="2">
      <c r="A2" s="2" t="inlineStr"/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Capital Ratio</t>
        </is>
      </c>
      <c r="B4" s="6" t="inlineStr">
        <is>
          <t>Not publicly disclosed</t>
        </is>
      </c>
      <c r="C4" s="6" t="inlineStr">
        <is>
          <t>Not publicly disclosed</t>
        </is>
      </c>
      <c r="D4" s="6" t="inlineStr">
        <is>
          <t>Not publicly disclosed</t>
        </is>
      </c>
      <c r="E4" s="6" t="inlineStr">
        <is>
          <t>Not publicly disclosed</t>
        </is>
      </c>
      <c r="F4" s="6" t="inlineStr">
        <is>
          <t>Not publicly disclosed</t>
        </is>
      </c>
    </row>
    <row r="5" ht="60" customHeight="1">
      <c r="A5" s="7" t="inlineStr">
        <is>
          <t>Note: Not directly disclosed as a separate figure in any of the 5 years' KPI tables - only a combined 'Tier 1 and CET1' figure is given, with no mention of AT1 or Tier 2 instruments anywhere. NOT assumed equal to Tier 1/CET1 without an explicit statement to that effect, per project convention - left blank rather than guessed.</t>
        </is>
      </c>
    </row>
    <row r="7" ht="150" customHeight="1">
      <c r="A7" s="8" t="inlineStr">
        <is>
          <t xml:space="preserve">Sources - Credit Suisse (UK) Limited's own Annual Report 'Key Performance Indicators (KPIs)' table (no standalone Pillar 3 document was located for CSUK; the FY2025 Annual Report's own Strategic Report states 'Pillar 3 disclosures can be found separately at https://www.ubs.com/global/en/investor-relations', but a CSUK-specific document was not identified there within budget - WebSearch quota was already exhausted):
FY2025/FY2024: FY2025 Annual Report, KPI table p.6 - https://find-and-update.company-information.service.gov.uk/company/02009520/filing-history/MzUxNzE0OTI3NGFkaXF6a2N4/document?format=pdf&amp;download=0
FY2023/FY2022: FY2023 Annual Report, KPI table p.7 - https://find-and-update.company-information.service.gov.uk/company/02009520/filing-history/MzQxOTY5NDQ0MWFkaXF6a2N4/document?format=pdf&amp;download=0
FY2021: FY2021 Annual Report, KPI table p.8 - https://find-and-update.company-information.service.gov.uk/company/02009520/filing-history/MzMzNzU0NDMwOWFkaXF6a2N4/document?format=pdf&amp;download=0
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5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Credit Suisse (UK) Limited — Total RWAs</t>
        </is>
      </c>
    </row>
    <row r="2">
      <c r="A2" s="2" t="inlineStr">
        <is>
          <t>£m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Risk Weighted Assets (RWA)</t>
        </is>
      </c>
      <c r="B4" s="6" t="n">
        <v>160</v>
      </c>
      <c r="C4" s="6" t="n">
        <v>672</v>
      </c>
      <c r="D4" s="6" t="n">
        <v>1000</v>
      </c>
      <c r="E4" s="6" t="n">
        <v>1124</v>
      </c>
      <c r="F4" s="6" t="n">
        <v>1340</v>
      </c>
    </row>
    <row r="6" ht="170" customHeight="1">
      <c r="A6" s="8" t="inlineStr">
        <is>
          <t xml:space="preserve">Sources - Credit Suisse (UK) Limited's own Annual Report 'Key Performance Indicators (KPIs)' table (no standalone Pillar 3 document was located for CSUK; the FY2025 Annual Report's own Strategic Report states 'Pillar 3 disclosures can be found separately at https://www.ubs.com/global/en/investor-relations', but a CSUK-specific document was not identified there within budget - WebSearch quota was already exhausted):
FY2025/FY2024: FY2025 Annual Report, KPI table p.6 - https://find-and-update.company-information.service.gov.uk/company/02009520/filing-history/MzUxNzE0OTI3NGFkaXF6a2N4/document?format=pdf&amp;download=0
FY2023/FY2022: FY2023 Annual Report, KPI table p.7 - https://find-and-update.company-information.service.gov.uk/company/02009520/filing-history/MzQxOTY5NDQ0MWFkaXF6a2N4/document?format=pdf&amp;download=0
FY2021: FY2021 Annual Report, KPI table p.8 - https://find-and-update.company-information.service.gov.uk/company/02009520/filing-history/MzMzNzU0NDMwOWFkaXF6a2N4/document?format=pdf&amp;download=0
</t>
        </is>
      </c>
    </row>
  </sheetData>
  <mergeCells count="1">
    <mergeCell ref="A6:F6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5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Credit Suisse (UK) Limited — Leverage Ratio</t>
        </is>
      </c>
    </row>
    <row r="2">
      <c r="A2" s="2" t="inlineStr">
        <is>
          <t>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Leverage Ratio</t>
        </is>
      </c>
      <c r="B4" s="6" t="inlineStr">
        <is>
          <t>87%</t>
        </is>
      </c>
      <c r="C4" s="6" t="inlineStr">
        <is>
          <t>17%</t>
        </is>
      </c>
      <c r="D4" s="6" t="n"/>
      <c r="E4" s="6" t="n"/>
      <c r="F4" s="6" t="n"/>
    </row>
    <row r="6" ht="170" customHeight="1">
      <c r="A6" s="8" t="inlineStr">
        <is>
          <t>Sources - Credit Suisse (UK) Limited's own Annual Report 'Key Performance Indicators (KPIs)' table (no standalone Pillar 3 document was located for CSUK; the FY2025 Annual Report's own Strategic Report states 'Pillar 3 disclosures can be found separately at https://www.ubs.com/global/en/investor-relations', but a CSUK-specific document was not identified there within budget - WebSearch quota was already exhausted):
FY2025/FY2024: FY2025 Annual Report, KPI table p.6 - https://find-and-update.company-information.service.gov.uk/company/02009520/filing-history/MzUxNzE0OTI3NGFkaXF6a2N4/document?format=pdf&amp;download=0
FY2023/FY2022: FY2023 Annual Report, KPI table p.7 - https://find-and-update.company-information.service.gov.uk/company/02009520/filing-history/MzQxOTY5NDQ0MWFkaXF6a2N4/document?format=pdf&amp;download=0
FY2021: FY2021 Annual Report, KPI table p.8 - https://find-and-update.company-information.service.gov.uk/company/02009520/filing-history/MzMzNzU0NDMwOWFkaXF6a2N4/document?format=pdf&amp;download=0
Leverage Ratio only appears in the KPI table format used from the FY2025 Annual Report onward - FY2023/FY2022/FY2021's KPI tables (an earlier format) don't include this metric at all, confirmed genuinely absent rather than omitted by search.</t>
        </is>
      </c>
    </row>
  </sheetData>
  <mergeCells count="1">
    <mergeCell ref="A6:F6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5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Credit Suisse (UK) Limited — LCR</t>
        </is>
      </c>
    </row>
    <row r="2">
      <c r="A2" s="2" t="inlineStr">
        <is>
          <t>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Liquidity Coverage Ratio (LCR)</t>
        </is>
      </c>
      <c r="B4" s="6" t="inlineStr">
        <is>
          <t>1,154%</t>
        </is>
      </c>
      <c r="C4" s="6" t="inlineStr">
        <is>
          <t>451%</t>
        </is>
      </c>
      <c r="D4" s="6" t="inlineStr">
        <is>
          <t>554.67%</t>
        </is>
      </c>
      <c r="E4" s="6" t="inlineStr">
        <is>
          <t>216.40%</t>
        </is>
      </c>
      <c r="F4" s="6" t="n"/>
    </row>
    <row r="6" ht="170" customHeight="1">
      <c r="A6" s="8" t="inlineStr">
        <is>
          <t>Sources - Credit Suisse (UK) Limited's own Annual Report 'Key Performance Indicators (KPIs)' table (no standalone Pillar 3 document was located for CSUK; the FY2025 Annual Report's own Strategic Report states 'Pillar 3 disclosures can be found separately at https://www.ubs.com/global/en/investor-relations', but a CSUK-specific document was not identified there within budget - WebSearch quota was already exhausted):
FY2025/FY2024: FY2025 Annual Report, KPI table p.6 - https://find-and-update.company-information.service.gov.uk/company/02009520/filing-history/MzUxNzE0OTI3NGFkaXF6a2N4/document?format=pdf&amp;download=0
FY2023/FY2022: FY2023 Annual Report, KPI table p.7 - https://find-and-update.company-information.service.gov.uk/company/02009520/filing-history/MzQxOTY5NDQ0MWFkaXF6a2N4/document?format=pdf&amp;download=0
FY2021: FY2021 Annual Report, KPI table p.8 - https://find-and-update.company-information.service.gov.uk/company/02009520/filing-history/MzMzNzU0NDMwOWFkaXF6a2N4/document?format=pdf&amp;download=0
FY2021's KPI table (earliest format) discloses only a 'Liquidity Buffer (£m)' figure, no LCR% - confirmed genuinely absent for that year, not omitted by search.</t>
        </is>
      </c>
    </row>
  </sheetData>
  <mergeCells count="1">
    <mergeCell ref="A6:F6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5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Credit Suisse (UK) Limited — NSFR</t>
        </is>
      </c>
    </row>
    <row r="2">
      <c r="A2" s="2" t="inlineStr">
        <is>
          <t>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Net Stable Funding Ratio (NSFR)</t>
        </is>
      </c>
      <c r="B4" s="6" t="inlineStr">
        <is>
          <t>3,600%</t>
        </is>
      </c>
      <c r="C4" s="6" t="inlineStr">
        <is>
          <t>167%</t>
        </is>
      </c>
      <c r="D4" s="6" t="inlineStr">
        <is>
          <t>129.25%</t>
        </is>
      </c>
      <c r="E4" s="6" t="inlineStr">
        <is>
          <t>131.72%</t>
        </is>
      </c>
      <c r="F4" s="6" t="n"/>
    </row>
    <row r="6" ht="170" customHeight="1">
      <c r="A6" s="8" t="inlineStr">
        <is>
          <t>Sources - Credit Suisse (UK) Limited's own Annual Report 'Key Performance Indicators (KPIs)' table (no standalone Pillar 3 document was located for CSUK; the FY2025 Annual Report's own Strategic Report states 'Pillar 3 disclosures can be found separately at https://www.ubs.com/global/en/investor-relations', but a CSUK-specific document was not identified there within budget - WebSearch quota was already exhausted):
FY2025/FY2024: FY2025 Annual Report, KPI table p.6 - https://find-and-update.company-information.service.gov.uk/company/02009520/filing-history/MzUxNzE0OTI3NGFkaXF6a2N4/document?format=pdf&amp;download=0
FY2023/FY2022: FY2023 Annual Report, KPI table p.7 - https://find-and-update.company-information.service.gov.uk/company/02009520/filing-history/MzQxOTY5NDQ0MWFkaXF6a2N4/document?format=pdf&amp;download=0
FY2021: FY2021 Annual Report, KPI table p.8 - https://find-and-update.company-information.service.gov.uk/company/02009520/filing-history/MzMzNzU0NDMwOWFkaXF6a2N4/document?format=pdf&amp;download=0
FY2021's KPI table (earliest format) discloses only a 'Liquidity Buffer (£m)' figure, no NSFR% - confirmed genuinely absent for that year, not omitted by search.</t>
        </is>
      </c>
    </row>
  </sheetData>
  <mergeCells count="1">
    <mergeCell ref="A6:F6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Credit Suisse (UK) Limited — MREL Ratio</t>
        </is>
      </c>
    </row>
    <row r="2">
      <c r="A2" s="2" t="inlineStr"/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MREL Ratio</t>
        </is>
      </c>
      <c r="B4" s="6" t="inlineStr">
        <is>
          <t>Not publicly disclosed</t>
        </is>
      </c>
      <c r="C4" s="6" t="inlineStr">
        <is>
          <t>Not publicly disclosed</t>
        </is>
      </c>
      <c r="D4" s="6" t="inlineStr">
        <is>
          <t>Not publicly disclosed</t>
        </is>
      </c>
      <c r="E4" s="6" t="inlineStr">
        <is>
          <t>Not publicly disclosed</t>
        </is>
      </c>
      <c r="F4" s="6" t="inlineStr">
        <is>
          <t>Not publicly disclosed</t>
        </is>
      </c>
    </row>
    <row r="5" ht="60" customHeight="1">
      <c r="A5" s="7" t="inlineStr">
        <is>
          <t>Note: Not disclosed anywhere in the 3 Annual Reports reviewed, no exemption stated. Plausibly below the Bank of England's MREL threshold given CSUK's small and (post-Part-VII-transfer) shrinking balance sheet, but not confirmed - left blank rather than guessed.</t>
        </is>
      </c>
    </row>
    <row r="7" ht="150" customHeight="1">
      <c r="A7" s="8" t="inlineStr">
        <is>
          <t xml:space="preserve">Sources - Credit Suisse (UK) Limited's own Annual Report 'Key Performance Indicators (KPIs)' table (no standalone Pillar 3 document was located for CSUK; the FY2025 Annual Report's own Strategic Report states 'Pillar 3 disclosures can be found separately at https://www.ubs.com/global/en/investor-relations', but a CSUK-specific document was not identified there within budget - WebSearch quota was already exhausted):
FY2025/FY2024: FY2025 Annual Report, KPI table p.6 - https://find-and-update.company-information.service.gov.uk/company/02009520/filing-history/MzUxNzE0OTI3NGFkaXF6a2N4/document?format=pdf&amp;download=0
FY2023/FY2022: FY2023 Annual Report, KPI table p.7 - https://find-and-update.company-information.service.gov.uk/company/02009520/filing-history/MzQxOTY5NDQ0MWFkaXF6a2N4/document?format=pdf&amp;download=0
FY2021: FY2021 Annual Report, KPI table p.8 - https://find-and-update.company-information.service.gov.uk/company/02009520/filing-history/MzMzNzU0NDMwOWFkaXF6a2N4/document?format=pdf&amp;download=0
</t>
        </is>
      </c>
    </row>
  </sheetData>
  <mergeCells count="2">
    <mergeCell ref="A5:F5"/>
    <mergeCell ref="A7:F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2026-08-28T04:13:41Z</dcterms:created>
  <dcterms:modified xsi:type="dcterms:W3CDTF">2026-08-28T04:13:41Z</dcterms:modified>
</cp:coreProperties>
</file>