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0B633"/>
        <bgColor rgb="0050B63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Credit Suisse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'Overview'!N6</f>
            </strRef>
          </tx>
          <spPr>
            <a:ln xmlns:a="http://schemas.openxmlformats.org/drawingml/2006/main">
              <a:prstDash val="solid"/>
            </a:ln>
          </spPr>
          <cat>
            <numRef>
              <f>'Overview'!$O$5:$X$5</f>
            </numRef>
          </cat>
          <val>
            <numRef>
              <f>'Overview'!$O$6:$X$6</f>
            </numRef>
          </val>
        </ser>
        <ser>
          <idx val="1"/>
          <order val="1"/>
          <tx>
            <strRef>
              <f>'Overview'!N7</f>
            </strRef>
          </tx>
          <spPr>
            <a:ln xmlns:a="http://schemas.openxmlformats.org/drawingml/2006/main">
              <a:prstDash val="solid"/>
            </a:ln>
          </spPr>
          <cat>
            <numRef>
              <f>'Overview'!$O$5:$X$5</f>
            </numRef>
          </cat>
          <val>
            <numRef>
              <f>'Overview'!$O$7:$X$7</f>
            </numRef>
          </val>
        </ser>
        <ser>
          <idx val="2"/>
          <order val="2"/>
          <tx>
            <strRef>
              <f>'Overview'!N8</f>
            </strRef>
          </tx>
          <spPr>
            <a:ln xmlns:a="http://schemas.openxmlformats.org/drawingml/2006/main">
              <a:prstDash val="solid"/>
            </a:ln>
          </spPr>
          <cat>
            <numRef>
              <f>'Overview'!$O$5:$X$5</f>
            </numRef>
          </cat>
          <val>
            <numRef>
              <f>'Overview'!$O$8:$X$8</f>
            </numRef>
          </val>
        </ser>
        <ser>
          <idx val="3"/>
          <order val="3"/>
          <tx>
            <strRef>
              <f>'Overview'!N9</f>
            </strRef>
          </tx>
          <spPr>
            <a:ln xmlns:a="http://schemas.openxmlformats.org/drawingml/2006/main">
              <a:prstDash val="solid"/>
            </a:ln>
          </spPr>
          <cat>
            <numRef>
              <f>'Overview'!$O$5:$X$5</f>
            </numRef>
          </cat>
          <val>
            <numRef>
              <f>'Overview'!$O$9:$X$9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Credit Suisse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'Overview'!AA13</f>
            </strRef>
          </tx>
          <spPr>
            <a:ln xmlns:a="http://schemas.openxmlformats.org/drawingml/2006/main">
              <a:prstDash val="solid"/>
            </a:ln>
          </spPr>
          <cat>
            <numRef>
              <f>'Overview'!$AB$12:$AK$12</f>
            </numRef>
          </cat>
          <val>
            <numRef>
              <f>'Overview'!$AB$13:$AK$13</f>
            </numRef>
          </val>
        </ser>
        <ser>
          <idx val="1"/>
          <order val="1"/>
          <tx>
            <strRef>
              <f>'Overview'!AA14</f>
            </strRef>
          </tx>
          <spPr>
            <a:ln xmlns:a="http://schemas.openxmlformats.org/drawingml/2006/main">
              <a:prstDash val="solid"/>
            </a:ln>
          </spPr>
          <cat>
            <numRef>
              <f>'Overview'!$AB$12:$AK$12</f>
            </numRef>
          </cat>
          <val>
            <numRef>
              <f>'Overview'!$AB$14:$AK$14</f>
            </numRef>
          </val>
        </ser>
        <ser>
          <idx val="2"/>
          <order val="2"/>
          <tx>
            <strRef>
              <f>'Overview'!AA15</f>
            </strRef>
          </tx>
          <spPr>
            <a:ln xmlns:a="http://schemas.openxmlformats.org/drawingml/2006/main">
              <a:prstDash val="solid"/>
            </a:ln>
          </spPr>
          <cat>
            <numRef>
              <f>'Overview'!$AB$12:$AK$12</f>
            </numRef>
          </cat>
          <val>
            <numRef>
              <f>'Overview'!$AB$15:$AK$15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Credit Suisse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'Overview'!AN19</f>
            </strRef>
          </tx>
          <spPr>
            <a:ln xmlns:a="http://schemas.openxmlformats.org/drawingml/2006/main">
              <a:prstDash val="solid"/>
            </a:ln>
          </spPr>
          <cat>
            <numRef>
              <f>'Overview'!$AO$18:$AX$18</f>
            </numRef>
          </cat>
          <val>
            <numRef>
              <f>'Overview'!$AO$19:$AX$19</f>
            </numRef>
          </val>
        </ser>
        <ser>
          <idx val="1"/>
          <order val="1"/>
          <tx>
            <strRef>
              <f>'Overview'!AN20</f>
            </strRef>
          </tx>
          <spPr>
            <a:ln xmlns:a="http://schemas.openxmlformats.org/drawingml/2006/main">
              <a:prstDash val="solid"/>
            </a:ln>
          </spPr>
          <cat>
            <numRef>
              <f>'Overview'!$AO$18:$AX$18</f>
            </numRef>
          </cat>
          <val>
            <numRef>
              <f>'Overview'!$AO$20:$AX$20</f>
            </numRef>
          </val>
        </ser>
        <ser>
          <idx val="2"/>
          <order val="2"/>
          <tx>
            <strRef>
              <f>'Overview'!AN21</f>
            </strRef>
          </tx>
          <spPr>
            <a:ln xmlns:a="http://schemas.openxmlformats.org/drawingml/2006/main">
              <a:prstDash val="solid"/>
            </a:ln>
          </spPr>
          <cat>
            <numRef>
              <f>'Overview'!$AO$18:$AX$18</f>
            </numRef>
          </cat>
          <val>
            <numRef>
              <f>'Overview'!$AO$21:$AX$21</f>
            </numRef>
          </val>
        </ser>
        <ser>
          <idx val="3"/>
          <order val="3"/>
          <tx>
            <strRef>
              <f>'Overview'!AN22</f>
            </strRef>
          </tx>
          <spPr>
            <a:ln xmlns:a="http://schemas.openxmlformats.org/drawingml/2006/main">
              <a:prstDash val="solid"/>
            </a:ln>
          </spPr>
          <cat>
            <numRef>
              <f>'Overview'!$AO$18:$AX$18</f>
            </numRef>
          </cat>
          <val>
            <numRef>
              <f>'Overview'!$AO$22:$AX$22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Credit Suisse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'Overview'!BA26</f>
            </strRef>
          </tx>
          <spPr>
            <a:ln xmlns:a="http://schemas.openxmlformats.org/drawingml/2006/main">
              <a:prstDash val="solid"/>
            </a:ln>
          </spPr>
          <cat>
            <numRef>
              <f>'Overview'!$BB$25:$BK$25</f>
            </numRef>
          </cat>
          <val>
            <numRef>
              <f>'Overview'!$BB$26:$BK$26</f>
            </numRef>
          </val>
        </ser>
        <ser>
          <idx val="1"/>
          <order val="1"/>
          <tx>
            <strRef>
              <f>'Overview'!BA27</f>
            </strRef>
          </tx>
          <spPr>
            <a:ln xmlns:a="http://schemas.openxmlformats.org/drawingml/2006/main">
              <a:prstDash val="solid"/>
            </a:ln>
          </spPr>
          <cat>
            <numRef>
              <f>'Overview'!$BB$25:$BK$25</f>
            </numRef>
          </cat>
          <val>
            <numRef>
              <f>'Overview'!$BB$27:$BK$27</f>
            </numRef>
          </val>
        </ser>
        <ser>
          <idx val="2"/>
          <order val="2"/>
          <tx>
            <strRef>
              <f>'Overview'!BA28</f>
            </strRef>
          </tx>
          <spPr>
            <a:ln xmlns:a="http://schemas.openxmlformats.org/drawingml/2006/main">
              <a:prstDash val="solid"/>
            </a:ln>
          </spPr>
          <cat>
            <numRef>
              <f>'Overview'!$BB$25:$BK$25</f>
            </numRef>
          </cat>
          <val>
            <numRef>
              <f>'Overview'!$BB$28:$BK$28</f>
            </numRef>
          </val>
        </ser>
        <ser>
          <idx val="3"/>
          <order val="3"/>
          <tx>
            <strRef>
              <f>'Overview'!BA29</f>
            </strRef>
          </tx>
          <spPr>
            <a:ln xmlns:a="http://schemas.openxmlformats.org/drawingml/2006/main">
              <a:prstDash val="solid"/>
            </a:ln>
          </spPr>
          <cat>
            <numRef>
              <f>'Overview'!$BB$25:$BK$25</f>
            </numRef>
          </cat>
          <val>
            <numRef>
              <f>'Overview'!$BB$29:$BK$29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Credit Suisse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'Overview'!BN6</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'Overview'!$BO$6:$BX$6</f>
            </numRef>
          </val>
          <smooth val="0"/>
        </ser>
        <ser>
          <idx val="1"/>
          <order val="1"/>
          <tx>
            <strRef>
              <f>'Overview'!BN7</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'Overview'!$BO$7:$BX$7</f>
            </numRef>
          </val>
          <smooth val="0"/>
        </ser>
        <ser>
          <idx val="2"/>
          <order val="2"/>
          <tx>
            <strRef>
              <f>'Overview'!BN8</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'Overview'!$BO$8:$BX$8</f>
            </numRef>
          </val>
          <smooth val="0"/>
        </ser>
        <ser>
          <idx val="3"/>
          <order val="3"/>
          <tx>
            <strRef>
              <f>'Overview'!BN9</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'Overview'!$BO$9:$BX$9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X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s>
  <sheetData>
    <row r="1">
      <c r="A1" s="1" t="inlineStr">
        <is>
          <t>Credit Suisse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O5" t="inlineStr">
        <is>
          <t>FY2016</t>
        </is>
      </c>
      <c r="P5" t="inlineStr">
        <is>
          <t>FY2017</t>
        </is>
      </c>
      <c r="Q5" t="inlineStr">
        <is>
          <t>FY2018</t>
        </is>
      </c>
      <c r="R5" t="inlineStr">
        <is>
          <t>FY2019</t>
        </is>
      </c>
      <c r="S5" t="inlineStr">
        <is>
          <t>FY2020</t>
        </is>
      </c>
      <c r="T5" t="inlineStr">
        <is>
          <t>FY2021</t>
        </is>
      </c>
      <c r="U5" t="inlineStr">
        <is>
          <t>FY2022</t>
        </is>
      </c>
      <c r="V5" t="inlineStr">
        <is>
          <t>FY2023</t>
        </is>
      </c>
      <c r="W5" t="inlineStr">
        <is>
          <t>FY2024</t>
        </is>
      </c>
      <c r="X5" t="inlineStr">
        <is>
          <t>FY2025</t>
        </is>
      </c>
      <c r="BO5" t="inlineStr">
        <is>
          <t>FY2016</t>
        </is>
      </c>
      <c r="BP5" t="inlineStr">
        <is>
          <t>FY2017</t>
        </is>
      </c>
      <c r="BQ5" t="inlineStr">
        <is>
          <t>FY2018</t>
        </is>
      </c>
      <c r="BR5" t="inlineStr">
        <is>
          <t>FY2019</t>
        </is>
      </c>
      <c r="BS5" t="inlineStr">
        <is>
          <t>FY2020</t>
        </is>
      </c>
      <c r="BT5" t="inlineStr">
        <is>
          <t>FY2021</t>
        </is>
      </c>
      <c r="BU5" t="inlineStr">
        <is>
          <t>FY2022</t>
        </is>
      </c>
      <c r="BV5" t="inlineStr">
        <is>
          <t>FY2023</t>
        </is>
      </c>
      <c r="BW5" t="inlineStr">
        <is>
          <t>FY2024</t>
        </is>
      </c>
      <c r="BX5" t="inlineStr">
        <is>
          <t>FY2025</t>
        </is>
      </c>
    </row>
    <row r="6">
      <c r="A6" s="5" t="inlineStr">
        <is>
          <t>Total assets</t>
        </is>
      </c>
      <c r="B6" s="5" t="n">
        <v>352528</v>
      </c>
      <c r="C6" s="5" t="n">
        <v>1801155</v>
      </c>
      <c r="D6" s="5" t="n">
        <v>2392470</v>
      </c>
      <c r="E6" s="5" t="n">
        <v>2885789</v>
      </c>
      <c r="F6" s="5" t="n">
        <v>3579171</v>
      </c>
      <c r="G6" s="5" t="n">
        <v>3654695</v>
      </c>
      <c r="H6" s="5" t="n">
        <v>3483980</v>
      </c>
      <c r="I6" s="5" t="n">
        <v>3502344</v>
      </c>
      <c r="J6" s="5" t="n">
        <v>3334736</v>
      </c>
      <c r="K6" s="5" t="n">
        <v>2946364</v>
      </c>
      <c r="N6" t="inlineStr">
        <is>
          <t>Total assets</t>
        </is>
      </c>
      <c r="O6" t="n">
        <v>2946364</v>
      </c>
      <c r="P6" t="n">
        <v>3334736</v>
      </c>
      <c r="Q6" t="n">
        <v>3502344</v>
      </c>
      <c r="R6" t="n">
        <v>3483980</v>
      </c>
      <c r="S6" t="n">
        <v>3654695</v>
      </c>
      <c r="T6" t="n">
        <v>3579171</v>
      </c>
      <c r="U6" t="n">
        <v>2885789</v>
      </c>
      <c r="V6" t="n">
        <v>2392470</v>
      </c>
      <c r="W6" t="n">
        <v>1801155</v>
      </c>
      <c r="X6" t="n">
        <v>352528</v>
      </c>
      <c r="BN6" t="inlineStr">
        <is>
          <t>CET1/Tier 1 Ratio</t>
        </is>
      </c>
      <c r="BO6" t="n">
        <v>20.9</v>
      </c>
      <c r="BP6" t="n">
        <v>17.2</v>
      </c>
      <c r="BQ6" t="n">
        <v>22.5</v>
      </c>
      <c r="BR6" t="n">
        <v>21.9</v>
      </c>
      <c r="BS6" t="n">
        <v>22</v>
      </c>
      <c r="BT6" t="n">
        <v>25.09</v>
      </c>
      <c r="BU6" t="n">
        <v>29.39</v>
      </c>
      <c r="BV6" t="n">
        <v>29.15</v>
      </c>
      <c r="BW6" t="n">
        <v>45</v>
      </c>
      <c r="BX6" t="n">
        <v>191</v>
      </c>
    </row>
    <row r="7">
      <c r="A7" s="5" t="inlineStr">
        <is>
          <t>Loans and advances, net</t>
        </is>
      </c>
      <c r="B7" s="5" t="n">
        <v>0</v>
      </c>
      <c r="C7" s="5" t="n">
        <v>818949</v>
      </c>
      <c r="D7" s="5" t="n">
        <v>1307573</v>
      </c>
      <c r="E7" s="5" t="n">
        <v>1706528</v>
      </c>
      <c r="F7" s="5" t="n">
        <v>2041139</v>
      </c>
      <c r="G7" s="5" t="n">
        <v>1990006</v>
      </c>
      <c r="H7" s="5" t="n">
        <v>2126766</v>
      </c>
      <c r="I7" s="5" t="n">
        <v>2141288</v>
      </c>
      <c r="J7" s="5" t="n">
        <v>2166554</v>
      </c>
      <c r="K7" s="5" t="n">
        <v>1547855</v>
      </c>
      <c r="N7" t="inlineStr">
        <is>
          <t>Loans and advances, net</t>
        </is>
      </c>
      <c r="O7" t="n">
        <v>1547855</v>
      </c>
      <c r="P7" t="n">
        <v>2166554</v>
      </c>
      <c r="Q7" t="n">
        <v>2141288</v>
      </c>
      <c r="R7" t="n">
        <v>2126766</v>
      </c>
      <c r="S7" t="n">
        <v>1990006</v>
      </c>
      <c r="T7" t="n">
        <v>2041139</v>
      </c>
      <c r="U7" t="n">
        <v>1706528</v>
      </c>
      <c r="V7" t="n">
        <v>1307573</v>
      </c>
      <c r="W7" t="n">
        <v>818949</v>
      </c>
      <c r="X7" t="n">
        <v>0</v>
      </c>
      <c r="BN7" t="inlineStr">
        <is>
          <t>Leverage Ratio</t>
        </is>
      </c>
      <c r="BO7" t="n">
        <v>6.2</v>
      </c>
      <c r="BP7" t="n">
        <v>6.3</v>
      </c>
      <c r="BQ7" t="n">
        <v>7.8</v>
      </c>
      <c r="BR7" t="n">
        <v>8.470000000000001</v>
      </c>
      <c r="BS7" t="n">
        <v>8.07</v>
      </c>
      <c r="BT7" t="n">
        <v>9.300000000000001</v>
      </c>
      <c r="BU7" t="n">
        <v>11.4</v>
      </c>
      <c r="BV7" t="n">
        <v>12.09</v>
      </c>
      <c r="BW7" t="n">
        <v>17</v>
      </c>
      <c r="BX7" t="n">
        <v>87</v>
      </c>
    </row>
    <row r="8">
      <c r="A8" s="5" t="inlineStr">
        <is>
          <t>Deposits</t>
        </is>
      </c>
      <c r="B8" s="5" t="n">
        <v>27218</v>
      </c>
      <c r="C8" s="5" t="n">
        <v>548119</v>
      </c>
      <c r="D8" s="5" t="n">
        <v>654960</v>
      </c>
      <c r="E8" s="5" t="n">
        <v>1094750</v>
      </c>
      <c r="F8" s="5" t="n">
        <v>3118581</v>
      </c>
      <c r="G8" s="5" t="n">
        <v>3183065</v>
      </c>
      <c r="H8" s="5" t="n">
        <v>3040602</v>
      </c>
      <c r="I8" s="5" t="n">
        <v>3087177</v>
      </c>
      <c r="J8" s="5" t="n">
        <v>2990492</v>
      </c>
      <c r="K8" s="5" t="n">
        <v>2635334</v>
      </c>
      <c r="N8" t="inlineStr">
        <is>
          <t>Deposits</t>
        </is>
      </c>
      <c r="O8" t="n">
        <v>2635334</v>
      </c>
      <c r="P8" t="n">
        <v>2990492</v>
      </c>
      <c r="Q8" t="n">
        <v>3087177</v>
      </c>
      <c r="R8" t="n">
        <v>3040602</v>
      </c>
      <c r="S8" t="n">
        <v>3183065</v>
      </c>
      <c r="T8" t="n">
        <v>3118581</v>
      </c>
      <c r="U8" t="n">
        <v>1094750</v>
      </c>
      <c r="V8" t="n">
        <v>654960</v>
      </c>
      <c r="W8" t="n">
        <v>548119</v>
      </c>
      <c r="X8" t="n">
        <v>27218</v>
      </c>
      <c r="BN8" t="inlineStr">
        <is>
          <t>LCR</t>
        </is>
      </c>
      <c r="BQ8" t="n">
        <v>154</v>
      </c>
      <c r="BR8" t="n">
        <v>246</v>
      </c>
      <c r="BS8" t="n">
        <v>300</v>
      </c>
      <c r="BT8" t="n">
        <v>216</v>
      </c>
      <c r="BU8" t="n">
        <v>216.4</v>
      </c>
      <c r="BV8" t="n">
        <v>554.67</v>
      </c>
      <c r="BW8" t="n">
        <v>451</v>
      </c>
      <c r="BX8" t="n">
        <v>1154</v>
      </c>
    </row>
    <row r="9">
      <c r="A9" s="5" t="inlineStr">
        <is>
          <t>Total equity</t>
        </is>
      </c>
      <c r="B9" s="5" t="n">
        <v>305801</v>
      </c>
      <c r="C9" s="5" t="n">
        <v>299440</v>
      </c>
      <c r="D9" s="5" t="n">
        <v>292552</v>
      </c>
      <c r="E9" s="5" t="n">
        <v>345686</v>
      </c>
      <c r="F9" s="5" t="n">
        <v>351228</v>
      </c>
      <c r="G9" s="5" t="n">
        <v>341173</v>
      </c>
      <c r="H9" s="5" t="n">
        <v>322943</v>
      </c>
      <c r="I9" s="5" t="n">
        <v>297290</v>
      </c>
      <c r="J9" s="5" t="n">
        <v>237844</v>
      </c>
      <c r="K9" s="5" t="n">
        <v>208494</v>
      </c>
      <c r="N9" t="inlineStr">
        <is>
          <t>Total equity</t>
        </is>
      </c>
      <c r="O9" t="n">
        <v>208494</v>
      </c>
      <c r="P9" t="n">
        <v>237844</v>
      </c>
      <c r="Q9" t="n">
        <v>297290</v>
      </c>
      <c r="R9" t="n">
        <v>322943</v>
      </c>
      <c r="S9" t="n">
        <v>341173</v>
      </c>
      <c r="T9" t="n">
        <v>351228</v>
      </c>
      <c r="U9" t="n">
        <v>345686</v>
      </c>
      <c r="V9" t="n">
        <v>292552</v>
      </c>
      <c r="W9" t="n">
        <v>299440</v>
      </c>
      <c r="X9" t="n">
        <v>305801</v>
      </c>
      <c r="BN9" t="inlineStr">
        <is>
          <t>NSFR</t>
        </is>
      </c>
      <c r="BR9" t="n">
        <v>97.40000000000001</v>
      </c>
      <c r="BS9" t="n">
        <v>114.4</v>
      </c>
      <c r="BU9" t="n">
        <v>131.72</v>
      </c>
      <c r="BV9" t="n">
        <v>129.25</v>
      </c>
      <c r="BW9" t="n">
        <v>167</v>
      </c>
      <c r="BX9" t="n">
        <v>3600</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AB12" t="inlineStr">
        <is>
          <t>FY2016</t>
        </is>
      </c>
      <c r="AC12" t="inlineStr">
        <is>
          <t>FY2017</t>
        </is>
      </c>
      <c r="AD12" t="inlineStr">
        <is>
          <t>FY2018</t>
        </is>
      </c>
      <c r="AE12" t="inlineStr">
        <is>
          <t>FY2019</t>
        </is>
      </c>
      <c r="AF12" t="inlineStr">
        <is>
          <t>FY2020</t>
        </is>
      </c>
      <c r="AG12" t="inlineStr">
        <is>
          <t>FY2021</t>
        </is>
      </c>
      <c r="AH12" t="inlineStr">
        <is>
          <t>FY2022</t>
        </is>
      </c>
      <c r="AI12" t="inlineStr">
        <is>
          <t>FY2023</t>
        </is>
      </c>
      <c r="AJ12" t="inlineStr">
        <is>
          <t>FY2024</t>
        </is>
      </c>
      <c r="AK12" t="inlineStr">
        <is>
          <t>FY2025</t>
        </is>
      </c>
    </row>
    <row r="13">
      <c r="A13" s="5" t="inlineStr">
        <is>
          <t>Net revenue</t>
        </is>
      </c>
      <c r="B13" s="5" t="n">
        <v>47807</v>
      </c>
      <c r="C13" s="5" t="n">
        <v>82745</v>
      </c>
      <c r="D13" s="5" t="n">
        <v>100908</v>
      </c>
      <c r="E13" s="5" t="n">
        <v>112483</v>
      </c>
      <c r="F13" s="5" t="n">
        <v>107874</v>
      </c>
      <c r="G13" s="5" t="n">
        <v>112919</v>
      </c>
      <c r="H13" s="5" t="n">
        <v>123230</v>
      </c>
      <c r="I13" s="5" t="n">
        <v>125405</v>
      </c>
      <c r="J13" s="5" t="n">
        <v>140675</v>
      </c>
      <c r="K13" s="5" t="n">
        <v>90912</v>
      </c>
      <c r="AA13" t="inlineStr">
        <is>
          <t>Net revenue</t>
        </is>
      </c>
      <c r="AB13" t="n">
        <v>90912</v>
      </c>
      <c r="AC13" t="n">
        <v>140675</v>
      </c>
      <c r="AD13" t="n">
        <v>125405</v>
      </c>
      <c r="AE13" t="n">
        <v>123230</v>
      </c>
      <c r="AF13" t="n">
        <v>112919</v>
      </c>
      <c r="AG13" t="n">
        <v>107874</v>
      </c>
      <c r="AH13" t="n">
        <v>112483</v>
      </c>
      <c r="AI13" t="n">
        <v>100908</v>
      </c>
      <c r="AJ13" t="n">
        <v>82745</v>
      </c>
      <c r="AK13" t="n">
        <v>47807</v>
      </c>
    </row>
    <row r="14">
      <c r="A14" s="5" t="inlineStr">
        <is>
          <t>Total operating expense</t>
        </is>
      </c>
      <c r="B14" s="5" t="n">
        <v>-38004</v>
      </c>
      <c r="C14" s="5" t="n">
        <v>-71941</v>
      </c>
      <c r="D14" s="5" t="n">
        <v>-127107</v>
      </c>
      <c r="E14" s="5" t="n">
        <v>-91062</v>
      </c>
      <c r="F14" s="5" t="n">
        <v>-96967</v>
      </c>
      <c r="G14" s="5" t="n">
        <v>-87752</v>
      </c>
      <c r="H14" s="5" t="n">
        <v>-88649</v>
      </c>
      <c r="I14" s="5" t="n">
        <v>-85525</v>
      </c>
      <c r="J14" s="5" t="n">
        <v>-104464</v>
      </c>
      <c r="K14" s="5" t="n">
        <v>-89714</v>
      </c>
      <c r="AA14" t="inlineStr">
        <is>
          <t>Total operating expense</t>
        </is>
      </c>
      <c r="AB14" t="n">
        <v>-89714</v>
      </c>
      <c r="AC14" t="n">
        <v>-104464</v>
      </c>
      <c r="AD14" t="n">
        <v>-85525</v>
      </c>
      <c r="AE14" t="n">
        <v>-88649</v>
      </c>
      <c r="AF14" t="n">
        <v>-87752</v>
      </c>
      <c r="AG14" t="n">
        <v>-96967</v>
      </c>
      <c r="AH14" t="n">
        <v>-91062</v>
      </c>
      <c r="AI14" t="n">
        <v>-127107</v>
      </c>
      <c r="AJ14" t="n">
        <v>-71941</v>
      </c>
      <c r="AK14" t="n">
        <v>-38004</v>
      </c>
    </row>
    <row r="15">
      <c r="A15" s="5" t="inlineStr">
        <is>
          <t>Profit/(loss) for the year</t>
        </is>
      </c>
      <c r="B15" s="5" t="n">
        <v>6361</v>
      </c>
      <c r="C15" s="5" t="n">
        <v>6888</v>
      </c>
      <c r="D15" s="5" t="n">
        <v>-23134</v>
      </c>
      <c r="E15" s="5" t="n">
        <v>14458</v>
      </c>
      <c r="F15" s="5" t="n">
        <v>10055</v>
      </c>
      <c r="G15" s="5" t="n">
        <v>19661</v>
      </c>
      <c r="H15" s="5" t="n">
        <v>25653</v>
      </c>
      <c r="I15" s="5" t="n">
        <v>29200</v>
      </c>
      <c r="J15" s="5" t="n">
        <v>29034</v>
      </c>
      <c r="K15" s="5" t="n">
        <v>-444</v>
      </c>
      <c r="AA15" t="inlineStr">
        <is>
          <t>Profit/(loss) for the year</t>
        </is>
      </c>
      <c r="AB15" t="n">
        <v>-444</v>
      </c>
      <c r="AC15" t="n">
        <v>29034</v>
      </c>
      <c r="AD15" t="n">
        <v>29200</v>
      </c>
      <c r="AE15" t="n">
        <v>25653</v>
      </c>
      <c r="AF15" t="n">
        <v>19661</v>
      </c>
      <c r="AG15" t="n">
        <v>10055</v>
      </c>
      <c r="AH15" t="n">
        <v>14458</v>
      </c>
      <c r="AI15" t="n">
        <v>-23134</v>
      </c>
      <c r="AJ15" t="n">
        <v>6888</v>
      </c>
      <c r="AK15" t="n">
        <v>6361</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AO18" t="inlineStr">
        <is>
          <t>FY2016</t>
        </is>
      </c>
      <c r="AP18" t="inlineStr">
        <is>
          <t>FY2017</t>
        </is>
      </c>
      <c r="AQ18" t="inlineStr">
        <is>
          <t>FY2018</t>
        </is>
      </c>
      <c r="AR18" t="inlineStr">
        <is>
          <t>FY2019</t>
        </is>
      </c>
      <c r="AS18" t="inlineStr">
        <is>
          <t>FY2020</t>
        </is>
      </c>
      <c r="AT18" t="inlineStr">
        <is>
          <t>FY2021</t>
        </is>
      </c>
      <c r="AU18" t="inlineStr">
        <is>
          <t>FY2022</t>
        </is>
      </c>
      <c r="AV18" t="inlineStr">
        <is>
          <t>FY2023</t>
        </is>
      </c>
      <c r="AW18" t="inlineStr">
        <is>
          <t>FY2024</t>
        </is>
      </c>
      <c r="AX18" t="inlineStr">
        <is>
          <t>FY2025</t>
        </is>
      </c>
    </row>
    <row r="19">
      <c r="A19" s="5" t="inlineStr">
        <is>
          <t>Opening equity</t>
        </is>
      </c>
      <c r="B19" s="5" t="n">
        <v>299440</v>
      </c>
      <c r="C19" s="5" t="n">
        <v>292552</v>
      </c>
      <c r="D19" s="5" t="n">
        <v>345686</v>
      </c>
      <c r="E19" s="5" t="n">
        <v>351228</v>
      </c>
      <c r="F19" s="5" t="n">
        <v>341173</v>
      </c>
      <c r="G19" s="5" t="n">
        <v>322943</v>
      </c>
      <c r="H19" s="5" t="n">
        <v>297290</v>
      </c>
      <c r="I19" s="5" t="n">
        <v>237844</v>
      </c>
      <c r="J19" s="5" t="n">
        <v>208494</v>
      </c>
      <c r="K19" s="5" t="n">
        <v>208623</v>
      </c>
      <c r="AN19" t="inlineStr">
        <is>
          <t>Opening equity</t>
        </is>
      </c>
      <c r="AO19" t="n">
        <v>208623</v>
      </c>
      <c r="AP19" t="n">
        <v>208494</v>
      </c>
      <c r="AQ19" t="n">
        <v>237844</v>
      </c>
      <c r="AR19" t="n">
        <v>297290</v>
      </c>
      <c r="AS19" t="n">
        <v>322943</v>
      </c>
      <c r="AT19" t="n">
        <v>341173</v>
      </c>
      <c r="AU19" t="n">
        <v>351228</v>
      </c>
      <c r="AV19" t="n">
        <v>345686</v>
      </c>
      <c r="AW19" t="n">
        <v>292552</v>
      </c>
      <c r="AX19" t="n">
        <v>299440</v>
      </c>
    </row>
    <row r="20">
      <c r="A20" s="5" t="inlineStr">
        <is>
          <t>Total comprehensive income/(loss) for the year</t>
        </is>
      </c>
      <c r="B20" s="5" t="n">
        <v>6361</v>
      </c>
      <c r="C20" s="5" t="n">
        <v>6888</v>
      </c>
      <c r="D20" s="5" t="n">
        <v>-23134</v>
      </c>
      <c r="E20" s="5" t="n">
        <v>14458</v>
      </c>
      <c r="F20" s="5" t="n">
        <v>10055</v>
      </c>
      <c r="G20" s="5" t="n">
        <v>19661</v>
      </c>
      <c r="H20" s="5" t="n">
        <v>25653</v>
      </c>
      <c r="I20" s="5" t="n">
        <v>29200</v>
      </c>
      <c r="J20" s="5" t="n">
        <v>29350</v>
      </c>
      <c r="K20" s="5" t="n">
        <v>-129</v>
      </c>
      <c r="AN20" t="inlineStr">
        <is>
          <t>Total comprehensive income/(loss) for the year</t>
        </is>
      </c>
      <c r="AO20" t="n">
        <v>-129</v>
      </c>
      <c r="AP20" t="n">
        <v>29350</v>
      </c>
      <c r="AQ20" t="n">
        <v>29200</v>
      </c>
      <c r="AR20" t="n">
        <v>25653</v>
      </c>
      <c r="AS20" t="n">
        <v>19661</v>
      </c>
      <c r="AT20" t="n">
        <v>10055</v>
      </c>
      <c r="AU20" t="n">
        <v>14458</v>
      </c>
      <c r="AV20" t="n">
        <v>-23134</v>
      </c>
      <c r="AW20" t="n">
        <v>6888</v>
      </c>
      <c r="AX20" t="n">
        <v>6361</v>
      </c>
    </row>
    <row r="21">
      <c r="A21" s="5" t="inlineStr">
        <is>
          <t>Other equity movements, net</t>
        </is>
      </c>
      <c r="B21" s="5" t="n">
        <v>0</v>
      </c>
      <c r="C21" s="5" t="n">
        <v>0</v>
      </c>
      <c r="D21" s="5" t="n">
        <v>-30000</v>
      </c>
      <c r="E21" s="5" t="n">
        <v>-20000</v>
      </c>
      <c r="F21" s="5" t="n">
        <v>0</v>
      </c>
      <c r="G21" s="5" t="n">
        <v>-1431</v>
      </c>
      <c r="H21" s="5" t="n">
        <v>0</v>
      </c>
      <c r="I21" s="5" t="n">
        <v>30246</v>
      </c>
      <c r="J21" s="5" t="n">
        <v>0</v>
      </c>
      <c r="K21" s="5" t="n">
        <v>0</v>
      </c>
      <c r="AN21" t="inlineStr">
        <is>
          <t>Other equity movements, net</t>
        </is>
      </c>
      <c r="AO21" t="n">
        <v>0</v>
      </c>
      <c r="AP21" t="n">
        <v>0</v>
      </c>
      <c r="AQ21" t="n">
        <v>30246</v>
      </c>
      <c r="AR21" t="n">
        <v>0</v>
      </c>
      <c r="AS21" t="n">
        <v>-1431</v>
      </c>
      <c r="AT21" t="n">
        <v>0</v>
      </c>
      <c r="AU21" t="n">
        <v>-20000</v>
      </c>
      <c r="AV21" t="n">
        <v>-30000</v>
      </c>
      <c r="AW21" t="n">
        <v>0</v>
      </c>
      <c r="AX21" t="n">
        <v>0</v>
      </c>
    </row>
    <row r="22">
      <c r="A22" s="5" t="inlineStr">
        <is>
          <t>Closing equity</t>
        </is>
      </c>
      <c r="B22" s="5" t="n">
        <v>305801</v>
      </c>
      <c r="C22" s="5" t="n">
        <v>299440</v>
      </c>
      <c r="D22" s="5" t="n">
        <v>292552</v>
      </c>
      <c r="E22" s="5" t="n">
        <v>345686</v>
      </c>
      <c r="F22" s="5" t="n">
        <v>351228</v>
      </c>
      <c r="G22" s="5" t="n">
        <v>341173</v>
      </c>
      <c r="H22" s="5" t="n">
        <v>322943</v>
      </c>
      <c r="I22" s="5" t="n">
        <v>297290</v>
      </c>
      <c r="J22" s="5" t="n">
        <v>237844</v>
      </c>
      <c r="K22" s="5" t="n">
        <v>208494</v>
      </c>
      <c r="AN22" t="inlineStr">
        <is>
          <t>Closing equity</t>
        </is>
      </c>
      <c r="AO22" t="n">
        <v>208494</v>
      </c>
      <c r="AP22" t="n">
        <v>237844</v>
      </c>
      <c r="AQ22" t="n">
        <v>297290</v>
      </c>
      <c r="AR22" t="n">
        <v>322943</v>
      </c>
      <c r="AS22" t="n">
        <v>341173</v>
      </c>
      <c r="AT22" t="n">
        <v>351228</v>
      </c>
      <c r="AU22" t="n">
        <v>345686</v>
      </c>
      <c r="AV22" t="n">
        <v>292552</v>
      </c>
      <c r="AW22" t="n">
        <v>299440</v>
      </c>
      <c r="AX22" t="n">
        <v>305801</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BB25" t="inlineStr">
        <is>
          <t>FY2016</t>
        </is>
      </c>
      <c r="BC25" t="inlineStr">
        <is>
          <t>FY2017</t>
        </is>
      </c>
      <c r="BD25" t="inlineStr">
        <is>
          <t>FY2018</t>
        </is>
      </c>
      <c r="BE25" t="inlineStr">
        <is>
          <t>FY2019</t>
        </is>
      </c>
      <c r="BF25" t="inlineStr">
        <is>
          <t>FY2020</t>
        </is>
      </c>
      <c r="BG25" t="inlineStr">
        <is>
          <t>FY2021</t>
        </is>
      </c>
      <c r="BH25" t="inlineStr">
        <is>
          <t>FY2022</t>
        </is>
      </c>
      <c r="BI25" t="inlineStr">
        <is>
          <t>FY2023</t>
        </is>
      </c>
      <c r="BJ25" t="inlineStr">
        <is>
          <t>FY2024</t>
        </is>
      </c>
      <c r="BK25" t="inlineStr">
        <is>
          <t>FY2025</t>
        </is>
      </c>
    </row>
    <row r="26">
      <c r="A26" s="5" t="inlineStr">
        <is>
          <t>Net cash flow generated from/(used in) operating activities</t>
        </is>
      </c>
      <c r="B26" s="5" t="n">
        <v>59618</v>
      </c>
      <c r="C26" s="5" t="n">
        <v>320701</v>
      </c>
      <c r="D26" s="5" t="n">
        <v>180409</v>
      </c>
      <c r="E26" s="5" t="n">
        <v>284435</v>
      </c>
      <c r="F26" s="5" t="n">
        <v>-71555</v>
      </c>
      <c r="G26" s="5" t="n">
        <v>46361</v>
      </c>
      <c r="H26" s="5" t="n">
        <v>266443</v>
      </c>
      <c r="I26" s="5" t="n">
        <v>-320398</v>
      </c>
      <c r="J26" s="5" t="n">
        <v>68431</v>
      </c>
      <c r="K26" s="5" t="n">
        <v>57458</v>
      </c>
      <c r="BA26" t="inlineStr">
        <is>
          <t>Net cash flow generated from/(used in) operating activities</t>
        </is>
      </c>
      <c r="BB26" t="n">
        <v>57458</v>
      </c>
      <c r="BC26" t="n">
        <v>68431</v>
      </c>
      <c r="BD26" t="n">
        <v>-320398</v>
      </c>
      <c r="BE26" t="n">
        <v>266443</v>
      </c>
      <c r="BF26" t="n">
        <v>46361</v>
      </c>
      <c r="BG26" t="n">
        <v>-71555</v>
      </c>
      <c r="BH26" t="n">
        <v>284435</v>
      </c>
      <c r="BI26" t="n">
        <v>180409</v>
      </c>
      <c r="BJ26" t="n">
        <v>320701</v>
      </c>
      <c r="BK26" t="n">
        <v>59618</v>
      </c>
    </row>
    <row r="27">
      <c r="A27" s="5" t="inlineStr">
        <is>
          <t>Net cash flow generated from/(used in) investing activities</t>
        </is>
      </c>
      <c r="B27" s="5" t="n">
        <v>539843</v>
      </c>
      <c r="C27" s="5" t="n">
        <v>0</v>
      </c>
      <c r="D27" s="5" t="n">
        <v>-786</v>
      </c>
      <c r="E27" s="5" t="n">
        <v>-3455</v>
      </c>
      <c r="F27" s="5" t="n">
        <v>-3799</v>
      </c>
      <c r="G27" s="5" t="n">
        <v>-6867</v>
      </c>
      <c r="H27" s="5" t="n">
        <v>-3981</v>
      </c>
      <c r="I27" s="5" t="n">
        <v>401</v>
      </c>
      <c r="J27" s="5" t="n">
        <v>-939</v>
      </c>
      <c r="K27" s="5" t="n">
        <v>0</v>
      </c>
      <c r="BA27" t="inlineStr">
        <is>
          <t>Net cash flow generated from/(used in) investing activities</t>
        </is>
      </c>
      <c r="BB27" t="n">
        <v>0</v>
      </c>
      <c r="BC27" t="n">
        <v>-939</v>
      </c>
      <c r="BD27" t="n">
        <v>401</v>
      </c>
      <c r="BE27" t="n">
        <v>-3981</v>
      </c>
      <c r="BF27" t="n">
        <v>-6867</v>
      </c>
      <c r="BG27" t="n">
        <v>-3799</v>
      </c>
      <c r="BH27" t="n">
        <v>-3455</v>
      </c>
      <c r="BI27" t="n">
        <v>-786</v>
      </c>
      <c r="BJ27" t="n">
        <v>0</v>
      </c>
      <c r="BK27" t="n">
        <v>539843</v>
      </c>
    </row>
    <row r="28">
      <c r="A28" s="5" t="inlineStr">
        <is>
          <t>Net cash flow used in financing activities</t>
        </is>
      </c>
      <c r="B28" s="5" t="n">
        <v>-906597</v>
      </c>
      <c r="C28" s="5" t="n">
        <v>-530786</v>
      </c>
      <c r="D28" s="5" t="n">
        <v>-82094</v>
      </c>
      <c r="E28" s="5" t="n">
        <v>-251725</v>
      </c>
      <c r="F28" s="5" t="n">
        <v>-1620</v>
      </c>
      <c r="G28" s="5" t="n">
        <v>-1843</v>
      </c>
      <c r="H28" s="5" t="n">
        <v>-2008</v>
      </c>
      <c r="I28" s="5" t="n">
        <v>59323</v>
      </c>
      <c r="J28" s="5" t="n">
        <v>-867</v>
      </c>
      <c r="K28" s="5" t="n">
        <v>-920</v>
      </c>
      <c r="BA28" t="inlineStr">
        <is>
          <t>Net cash flow used in financing activities</t>
        </is>
      </c>
      <c r="BB28" t="n">
        <v>-920</v>
      </c>
      <c r="BC28" t="n">
        <v>-867</v>
      </c>
      <c r="BD28" t="n">
        <v>59323</v>
      </c>
      <c r="BE28" t="n">
        <v>-2008</v>
      </c>
      <c r="BF28" t="n">
        <v>-1843</v>
      </c>
      <c r="BG28" t="n">
        <v>-1620</v>
      </c>
      <c r="BH28" t="n">
        <v>-251725</v>
      </c>
      <c r="BI28" t="n">
        <v>-82094</v>
      </c>
      <c r="BJ28" t="n">
        <v>-530786</v>
      </c>
      <c r="BK28" t="n">
        <v>-906597</v>
      </c>
    </row>
    <row r="29">
      <c r="A29" s="5" t="inlineStr">
        <is>
          <t>Cash and cash equivalents at the end of the year</t>
        </is>
      </c>
      <c r="B29" s="5" t="n">
        <v>21709</v>
      </c>
      <c r="C29" s="5" t="n">
        <v>341768</v>
      </c>
      <c r="D29" s="5" t="n">
        <v>548659</v>
      </c>
      <c r="E29" s="5" t="n">
        <v>475709</v>
      </c>
      <c r="F29" s="5" t="n">
        <v>408082</v>
      </c>
      <c r="G29" s="5" t="n">
        <v>483717</v>
      </c>
      <c r="H29" s="5" t="n">
        <v>447816</v>
      </c>
      <c r="I29" s="5" t="n">
        <v>197301</v>
      </c>
      <c r="J29" s="5" t="n">
        <v>499549</v>
      </c>
      <c r="K29" s="5" t="n">
        <v>432924</v>
      </c>
      <c r="BA29" t="inlineStr">
        <is>
          <t>Cash and cash equivalents at the end of the year</t>
        </is>
      </c>
      <c r="BB29" t="n">
        <v>432924</v>
      </c>
      <c r="BC29" t="n">
        <v>499549</v>
      </c>
      <c r="BD29" t="n">
        <v>197301</v>
      </c>
      <c r="BE29" t="n">
        <v>447816</v>
      </c>
      <c r="BF29" t="n">
        <v>483717</v>
      </c>
      <c r="BG29" t="n">
        <v>408082</v>
      </c>
      <c r="BH29" t="n">
        <v>475709</v>
      </c>
      <c r="BI29" t="n">
        <v>548659</v>
      </c>
      <c r="BJ29" t="n">
        <v>341768</v>
      </c>
      <c r="BK29" t="n">
        <v>21709</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row>
    <row r="33">
      <c r="A33" s="6" t="inlineStr">
        <is>
          <t>CET1/Tier 1 Ratio</t>
        </is>
      </c>
      <c r="B33" s="6" t="inlineStr">
        <is>
          <t>191%</t>
        </is>
      </c>
      <c r="C33" s="6" t="inlineStr">
        <is>
          <t>45%</t>
        </is>
      </c>
      <c r="D33" s="6" t="inlineStr">
        <is>
          <t>29.15%</t>
        </is>
      </c>
      <c r="E33" s="6" t="inlineStr">
        <is>
          <t>29.39%</t>
        </is>
      </c>
      <c r="F33" s="6" t="inlineStr">
        <is>
          <t>25.09%</t>
        </is>
      </c>
      <c r="G33" s="6" t="inlineStr">
        <is>
          <t>22%</t>
        </is>
      </c>
      <c r="H33" s="6" t="inlineStr">
        <is>
          <t>21.9%</t>
        </is>
      </c>
      <c r="I33" s="6" t="inlineStr">
        <is>
          <t>22.5%</t>
        </is>
      </c>
      <c r="J33" s="6" t="inlineStr">
        <is>
          <t>17.2%</t>
        </is>
      </c>
      <c r="K33" s="6" t="inlineStr">
        <is>
          <t>20.9%</t>
        </is>
      </c>
    </row>
    <row r="34">
      <c r="A34" s="6" t="inlineStr">
        <is>
          <t>Leverage Ratio</t>
        </is>
      </c>
      <c r="B34" s="6" t="inlineStr">
        <is>
          <t>87%</t>
        </is>
      </c>
      <c r="C34" s="6" t="inlineStr">
        <is>
          <t>17%</t>
        </is>
      </c>
      <c r="D34" s="6" t="inlineStr">
        <is>
          <t>12.09%</t>
        </is>
      </c>
      <c r="E34" s="6" t="inlineStr">
        <is>
          <t>11.40%</t>
        </is>
      </c>
      <c r="F34" s="6" t="inlineStr">
        <is>
          <t>9.30%</t>
        </is>
      </c>
      <c r="G34" s="6" t="inlineStr">
        <is>
          <t>8.07%</t>
        </is>
      </c>
      <c r="H34" s="6" t="inlineStr">
        <is>
          <t>8.47%</t>
        </is>
      </c>
      <c r="I34" s="6" t="inlineStr">
        <is>
          <t>7.8%</t>
        </is>
      </c>
      <c r="J34" s="6" t="inlineStr">
        <is>
          <t>6.3%</t>
        </is>
      </c>
      <c r="K34" s="6" t="inlineStr">
        <is>
          <t>6.2%</t>
        </is>
      </c>
    </row>
    <row r="35">
      <c r="A35" s="6" t="inlineStr">
        <is>
          <t>LCR</t>
        </is>
      </c>
      <c r="B35" s="6" t="inlineStr">
        <is>
          <t>1,154%</t>
        </is>
      </c>
      <c r="C35" s="6" t="inlineStr">
        <is>
          <t>451%</t>
        </is>
      </c>
      <c r="D35" s="6" t="inlineStr">
        <is>
          <t>554.67%</t>
        </is>
      </c>
      <c r="E35" s="6" t="inlineStr">
        <is>
          <t>216.40%</t>
        </is>
      </c>
      <c r="F35" s="6" t="inlineStr">
        <is>
          <t>216%</t>
        </is>
      </c>
      <c r="G35" s="6" t="inlineStr">
        <is>
          <t>300%</t>
        </is>
      </c>
      <c r="H35" s="6" t="inlineStr">
        <is>
          <t>246%</t>
        </is>
      </c>
      <c r="I35" s="6" t="inlineStr">
        <is>
          <t>154%</t>
        </is>
      </c>
      <c r="J35" s="6" t="n"/>
      <c r="K35" s="6" t="n"/>
    </row>
    <row r="36">
      <c r="A36" s="6" t="inlineStr">
        <is>
          <t>NSFR</t>
        </is>
      </c>
      <c r="B36" s="6" t="inlineStr">
        <is>
          <t>3,600%</t>
        </is>
      </c>
      <c r="C36" s="6" t="inlineStr">
        <is>
          <t>167%</t>
        </is>
      </c>
      <c r="D36" s="6" t="inlineStr">
        <is>
          <t>129.25%</t>
        </is>
      </c>
      <c r="E36" s="6" t="inlineStr">
        <is>
          <t>131.72%</t>
        </is>
      </c>
      <c r="F36" s="6" t="n"/>
      <c r="G36" s="6" t="inlineStr">
        <is>
          <t>114.4%</t>
        </is>
      </c>
      <c r="H36" s="6" t="inlineStr">
        <is>
          <t>97.4%</t>
        </is>
      </c>
      <c r="I36" s="6" t="n"/>
      <c r="J36" s="6" t="n"/>
      <c r="K36" s="6" t="n"/>
    </row>
    <row r="38" ht="39" customHeight="1">
      <c r="A38" s="7" t="inlineStr">
        <is>
          <t>Note: FY2025's cash flow figures reflect a major one-off event: the 20 June 2025 Part VII transfer of most of CSUK's business to UBS AG London Branch (a £539,843k cash receipt in investing activities), which also drove RWAs and capital ratios sharply post-transfer. See the Cash Flow Statement sheet's source note for detail. Extended back to FY2016 under HD-026 (2026-09-06); FY2020's 'Other equity movements' includes a -£1,431k correction of error restated in FY2020's own filing (see Statement of Changes in Equity source note), and FY2018's includes both a +£246k IFRS 9 transition adjustment and a +£30,000k capital contribution. Figures are duplicated from the detail sheets for at-a-glance trend viewing.</t>
        </is>
      </c>
    </row>
  </sheetData>
  <mergeCells count="1">
    <mergeCell ref="A38:K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Statement of Financial Position</t>
        </is>
      </c>
    </row>
    <row r="2">
      <c r="A2" s="2" t="inlineStr">
        <is>
          <t>Entity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Assets</t>
        </is>
      </c>
      <c r="B4" s="6" t="n"/>
      <c r="C4" s="6" t="n"/>
      <c r="D4" s="6" t="n"/>
      <c r="E4" s="6" t="n"/>
      <c r="F4" s="6" t="n"/>
      <c r="G4" s="6" t="n"/>
      <c r="H4" s="6" t="n"/>
      <c r="I4" s="6" t="n"/>
      <c r="J4" s="6" t="n"/>
      <c r="K4" s="6" t="n"/>
    </row>
    <row r="5">
      <c r="A5" s="6" t="inlineStr">
        <is>
          <t>Cash and cash equivalents / cash and due from banks</t>
        </is>
      </c>
      <c r="B5" s="6" t="n">
        <v>21709</v>
      </c>
      <c r="C5" s="6" t="n">
        <v>341768</v>
      </c>
      <c r="D5" s="6" t="n">
        <v>548659</v>
      </c>
      <c r="E5" s="6" t="n">
        <v>475664</v>
      </c>
      <c r="F5" s="6" t="n">
        <v>408064</v>
      </c>
      <c r="G5" s="6" t="n">
        <v>483710</v>
      </c>
      <c r="H5" s="6" t="n">
        <v>447805</v>
      </c>
      <c r="I5" s="6" t="n">
        <v>197292</v>
      </c>
      <c r="J5" s="6" t="n">
        <v>499549</v>
      </c>
      <c r="K5" s="6" t="n">
        <v>432924</v>
      </c>
    </row>
    <row r="6">
      <c r="A6" s="6" t="inlineStr">
        <is>
          <t>Interest-bearing deposits with banks</t>
        </is>
      </c>
      <c r="B6" s="6" t="n"/>
      <c r="C6" s="6" t="n">
        <v>25335</v>
      </c>
      <c r="D6" s="6" t="n">
        <v>17198</v>
      </c>
      <c r="E6" s="6" t="n">
        <v>48748</v>
      </c>
      <c r="F6" s="6" t="n"/>
      <c r="G6" s="6" t="n">
        <v>187482</v>
      </c>
      <c r="H6" s="6" t="n">
        <v>39941</v>
      </c>
      <c r="I6" s="6" t="n">
        <v>74910</v>
      </c>
      <c r="J6" s="6" t="n">
        <v>4885</v>
      </c>
      <c r="K6" s="6" t="n">
        <v>75528</v>
      </c>
    </row>
    <row r="7">
      <c r="A7" s="6" t="inlineStr">
        <is>
          <t>Securities purchased under resale agreements</t>
        </is>
      </c>
      <c r="B7" s="6" t="n">
        <v>328684</v>
      </c>
      <c r="C7" s="6" t="n">
        <v>565944</v>
      </c>
      <c r="D7" s="6" t="n">
        <v>455796</v>
      </c>
      <c r="E7" s="6" t="n">
        <v>562004</v>
      </c>
      <c r="F7" s="6" t="n">
        <v>1048198</v>
      </c>
      <c r="G7" s="6" t="n">
        <v>880396</v>
      </c>
      <c r="H7" s="6" t="n">
        <v>810044</v>
      </c>
      <c r="I7" s="6" t="n">
        <v>1033715</v>
      </c>
      <c r="J7" s="6" t="n">
        <v>601879</v>
      </c>
      <c r="K7" s="6" t="n">
        <v>829694</v>
      </c>
    </row>
    <row r="8">
      <c r="A8" s="6" t="inlineStr">
        <is>
          <t>Trading financial assets mandatorily at FVTPL</t>
        </is>
      </c>
      <c r="B8" s="6" t="n"/>
      <c r="C8" s="6" t="n">
        <v>13944</v>
      </c>
      <c r="D8" s="6" t="n">
        <v>13630</v>
      </c>
      <c r="E8" s="6" t="n">
        <v>18813</v>
      </c>
      <c r="F8" s="6" t="n">
        <v>14333</v>
      </c>
      <c r="G8" s="6" t="n">
        <v>35146</v>
      </c>
      <c r="H8" s="6" t="n">
        <v>8309</v>
      </c>
      <c r="I8" s="6" t="n">
        <v>5993</v>
      </c>
      <c r="J8" s="6" t="n">
        <v>8643</v>
      </c>
      <c r="K8" s="6" t="n">
        <v>16332</v>
      </c>
    </row>
    <row r="9">
      <c r="A9" s="6" t="inlineStr">
        <is>
          <t>Financial assets available for sale</t>
        </is>
      </c>
      <c r="B9" s="6" t="n"/>
      <c r="C9" s="6" t="n"/>
      <c r="D9" s="6" t="n"/>
      <c r="E9" s="6" t="n"/>
      <c r="F9" s="6" t="n"/>
      <c r="G9" s="6" t="n"/>
      <c r="H9" s="6" t="n"/>
      <c r="I9" s="6" t="n">
        <v>0</v>
      </c>
      <c r="J9" s="6" t="n">
        <v>2326</v>
      </c>
      <c r="K9" s="6" t="n">
        <v>2010</v>
      </c>
    </row>
    <row r="10">
      <c r="A10" s="6" t="inlineStr">
        <is>
          <t>Loans and advances, net</t>
        </is>
      </c>
      <c r="B10" s="6" t="n"/>
      <c r="C10" s="6" t="n">
        <v>818949</v>
      </c>
      <c r="D10" s="6" t="n">
        <v>1307573</v>
      </c>
      <c r="E10" s="6" t="n">
        <v>1706528</v>
      </c>
      <c r="F10" s="6" t="n">
        <v>2041139</v>
      </c>
      <c r="G10" s="6" t="n">
        <v>1990006</v>
      </c>
      <c r="H10" s="6" t="n">
        <v>2126766</v>
      </c>
      <c r="I10" s="6" t="n">
        <v>2141288</v>
      </c>
      <c r="J10" s="6" t="n">
        <v>2166554</v>
      </c>
      <c r="K10" s="6" t="n">
        <v>1547855</v>
      </c>
    </row>
    <row r="11">
      <c r="A11" s="6" t="inlineStr">
        <is>
          <t>Current tax assets</t>
        </is>
      </c>
      <c r="B11" s="6" t="n">
        <v>38</v>
      </c>
      <c r="C11" s="6" t="n">
        <v>3057</v>
      </c>
      <c r="D11" s="6" t="n">
        <v>2058</v>
      </c>
      <c r="E11" s="6" t="n"/>
      <c r="F11" s="6" t="n"/>
      <c r="G11" s="6" t="n"/>
      <c r="H11" s="6" t="n">
        <v>0</v>
      </c>
      <c r="I11" s="6" t="n">
        <v>287</v>
      </c>
      <c r="J11" s="6" t="n">
        <v>274</v>
      </c>
      <c r="K11" s="6" t="n">
        <v>287</v>
      </c>
    </row>
    <row r="12">
      <c r="A12" s="6" t="inlineStr">
        <is>
          <t>Other assets</t>
        </is>
      </c>
      <c r="B12" s="6" t="n">
        <v>2097</v>
      </c>
      <c r="C12" s="6" t="n">
        <v>32158</v>
      </c>
      <c r="D12" s="6" t="n">
        <v>46419</v>
      </c>
      <c r="E12" s="6" t="n">
        <v>56795</v>
      </c>
      <c r="F12" s="6" t="n">
        <v>48352</v>
      </c>
      <c r="G12" s="6" t="n">
        <v>46609</v>
      </c>
      <c r="H12" s="6" t="n">
        <v>25239</v>
      </c>
      <c r="I12" s="6" t="n">
        <v>24309</v>
      </c>
      <c r="J12" s="6" t="n">
        <v>24078</v>
      </c>
      <c r="K12" s="6" t="n">
        <v>19010</v>
      </c>
    </row>
    <row r="13">
      <c r="A13" s="6" t="inlineStr">
        <is>
          <t>Deferred tax assets</t>
        </is>
      </c>
      <c r="B13" s="6" t="n"/>
      <c r="C13" s="6" t="n"/>
      <c r="D13" s="6" t="n"/>
      <c r="E13" s="6" t="n">
        <v>3304</v>
      </c>
      <c r="F13" s="6" t="n">
        <v>5041</v>
      </c>
      <c r="G13" s="6" t="n">
        <v>4919</v>
      </c>
      <c r="H13" s="6" t="n">
        <v>5364</v>
      </c>
      <c r="I13" s="6" t="n">
        <v>6603</v>
      </c>
      <c r="J13" s="6" t="n">
        <v>7803</v>
      </c>
      <c r="K13" s="6" t="n">
        <v>1750</v>
      </c>
    </row>
    <row r="14">
      <c r="A14" s="6" t="inlineStr">
        <is>
          <t>Intangible assets</t>
        </is>
      </c>
      <c r="B14" s="6" t="n"/>
      <c r="C14" s="6" t="n"/>
      <c r="D14" s="6" t="n">
        <v>1137</v>
      </c>
      <c r="E14" s="6" t="n">
        <v>13933</v>
      </c>
      <c r="F14" s="6" t="n">
        <v>14044</v>
      </c>
      <c r="G14" s="6" t="n">
        <v>12675</v>
      </c>
      <c r="H14" s="6" t="n">
        <v>6760</v>
      </c>
      <c r="I14" s="6" t="n">
        <v>4195</v>
      </c>
      <c r="J14" s="6" t="n">
        <v>4993</v>
      </c>
      <c r="K14" s="6" t="n">
        <v>7222</v>
      </c>
    </row>
    <row r="15">
      <c r="A15" s="6" t="inlineStr">
        <is>
          <t>Goodwill</t>
        </is>
      </c>
      <c r="B15" s="6" t="n"/>
      <c r="C15" s="6" t="n"/>
      <c r="D15" s="6" t="n"/>
      <c r="E15" s="6" t="n"/>
      <c r="F15" s="6" t="n"/>
      <c r="G15" s="6" t="n">
        <v>13752</v>
      </c>
      <c r="H15" s="6" t="n">
        <v>13752</v>
      </c>
      <c r="I15" s="6" t="n">
        <v>13752</v>
      </c>
      <c r="J15" s="6" t="n">
        <v>13752</v>
      </c>
      <c r="K15" s="6" t="n">
        <v>13752</v>
      </c>
    </row>
    <row r="16">
      <c r="A16" s="5" t="inlineStr">
        <is>
          <t>Total assets</t>
        </is>
      </c>
      <c r="B16" s="5" t="n">
        <v>352528</v>
      </c>
      <c r="C16" s="5" t="n">
        <v>1801155</v>
      </c>
      <c r="D16" s="5" t="n">
        <v>2392470</v>
      </c>
      <c r="E16" s="5" t="n">
        <v>2885789</v>
      </c>
      <c r="F16" s="5" t="n">
        <v>3579171</v>
      </c>
      <c r="G16" s="5" t="n">
        <v>3654695</v>
      </c>
      <c r="H16" s="5" t="n">
        <v>3483980</v>
      </c>
      <c r="I16" s="5" t="n">
        <v>3502344</v>
      </c>
      <c r="J16" s="5" t="n">
        <v>3334736</v>
      </c>
      <c r="K16" s="5" t="n">
        <v>2946364</v>
      </c>
    </row>
    <row r="17">
      <c r="A17" s="5" t="inlineStr">
        <is>
          <t>Liabilities</t>
        </is>
      </c>
      <c r="B17" s="6" t="n"/>
      <c r="C17" s="6" t="n"/>
      <c r="D17" s="6" t="n"/>
      <c r="E17" s="6" t="n"/>
      <c r="F17" s="6" t="n"/>
      <c r="G17" s="6" t="n"/>
      <c r="H17" s="6" t="n"/>
      <c r="I17" s="6" t="n"/>
      <c r="J17" s="6" t="n"/>
      <c r="K17" s="6" t="n"/>
    </row>
    <row r="18">
      <c r="A18" s="6" t="inlineStr">
        <is>
          <t>Deposits</t>
        </is>
      </c>
      <c r="B18" s="6" t="n">
        <v>27218</v>
      </c>
      <c r="C18" s="6" t="n">
        <v>548119</v>
      </c>
      <c r="D18" s="6" t="n">
        <v>654960</v>
      </c>
      <c r="E18" s="6" t="n">
        <v>1094750</v>
      </c>
      <c r="F18" s="6" t="n">
        <v>3118581</v>
      </c>
      <c r="G18" s="6" t="n">
        <v>3183065</v>
      </c>
      <c r="H18" s="6" t="n">
        <v>3040602</v>
      </c>
      <c r="I18" s="6" t="n">
        <v>3087177</v>
      </c>
      <c r="J18" s="6" t="n">
        <v>2990492</v>
      </c>
      <c r="K18" s="6" t="n">
        <v>2635334</v>
      </c>
    </row>
    <row r="19">
      <c r="A19" s="6" t="inlineStr">
        <is>
          <t>Trading financial liabilities mandatorily at FVTPL</t>
        </is>
      </c>
      <c r="B19" s="6" t="n"/>
      <c r="C19" s="6" t="n">
        <v>13849</v>
      </c>
      <c r="D19" s="6" t="n">
        <v>13496</v>
      </c>
      <c r="E19" s="6" t="n">
        <v>18613</v>
      </c>
      <c r="F19" s="6" t="n">
        <v>14023</v>
      </c>
      <c r="G19" s="6" t="n">
        <v>34940</v>
      </c>
      <c r="H19" s="6" t="n">
        <v>8073</v>
      </c>
      <c r="I19" s="6" t="n">
        <v>5784</v>
      </c>
      <c r="J19" s="6" t="n">
        <v>8087</v>
      </c>
      <c r="K19" s="6" t="n">
        <v>15844</v>
      </c>
    </row>
    <row r="20">
      <c r="A20" s="6" t="inlineStr">
        <is>
          <t>Current income tax liability</t>
        </is>
      </c>
      <c r="B20" s="6" t="n">
        <v>6238</v>
      </c>
      <c r="C20" s="6" t="n"/>
      <c r="D20" s="6" t="n"/>
      <c r="E20" s="6" t="n">
        <v>7676</v>
      </c>
      <c r="F20" s="6" t="n">
        <v>4747</v>
      </c>
      <c r="G20" s="6" t="n">
        <v>2267</v>
      </c>
      <c r="H20" s="6" t="n">
        <v>16460</v>
      </c>
      <c r="I20" s="6" t="n">
        <v>22549</v>
      </c>
      <c r="J20" s="6" t="n">
        <v>16176</v>
      </c>
      <c r="K20" s="6" t="n">
        <v>2948</v>
      </c>
    </row>
    <row r="21">
      <c r="A21" s="6" t="inlineStr">
        <is>
          <t>Other liabilities</t>
        </is>
      </c>
      <c r="B21" s="6" t="n">
        <v>3610</v>
      </c>
      <c r="C21" s="6" t="n">
        <v>26128</v>
      </c>
      <c r="D21" s="6" t="n">
        <v>43883</v>
      </c>
      <c r="E21" s="6" t="n">
        <v>34128</v>
      </c>
      <c r="F21" s="6" t="n">
        <v>32883</v>
      </c>
      <c r="G21" s="6" t="n">
        <v>36824</v>
      </c>
      <c r="H21" s="6" t="n">
        <v>38999</v>
      </c>
      <c r="I21" s="6" t="n">
        <v>34100</v>
      </c>
      <c r="J21" s="6" t="n">
        <v>37319</v>
      </c>
      <c r="K21" s="6" t="n">
        <v>36497</v>
      </c>
    </row>
    <row r="22">
      <c r="A22" s="6" t="inlineStr">
        <is>
          <t>Provisions</t>
        </is>
      </c>
      <c r="B22" s="6" t="n"/>
      <c r="C22" s="6" t="n">
        <v>1388</v>
      </c>
      <c r="D22" s="6" t="n">
        <v>1403</v>
      </c>
      <c r="E22" s="6" t="n">
        <v>713</v>
      </c>
      <c r="F22" s="6" t="n">
        <v>2709</v>
      </c>
      <c r="G22" s="6" t="n">
        <v>1426</v>
      </c>
      <c r="H22" s="6" t="n">
        <v>1903</v>
      </c>
      <c r="I22" s="6" t="n">
        <v>444</v>
      </c>
      <c r="J22" s="6" t="n">
        <v>19818</v>
      </c>
      <c r="K22" s="6" t="n">
        <v>22247</v>
      </c>
    </row>
    <row r="23">
      <c r="A23" s="6" t="inlineStr">
        <is>
          <t>Short-term borrowings</t>
        </is>
      </c>
      <c r="B23" s="6" t="n">
        <v>9661</v>
      </c>
      <c r="C23" s="6" t="n">
        <v>857231</v>
      </c>
      <c r="D23" s="6" t="n">
        <v>831176</v>
      </c>
      <c r="E23" s="6" t="n">
        <v>827333</v>
      </c>
      <c r="F23" s="6" t="n"/>
      <c r="G23" s="6" t="n"/>
      <c r="H23" s="6" t="n"/>
      <c r="I23" s="6" t="n"/>
      <c r="J23" s="6" t="n"/>
      <c r="K23" s="6" t="n"/>
    </row>
    <row r="24">
      <c r="A24" s="6" t="inlineStr">
        <is>
          <t>Long term debt</t>
        </is>
      </c>
      <c r="B24" s="6" t="n"/>
      <c r="C24" s="6" t="n">
        <v>55000</v>
      </c>
      <c r="D24" s="6" t="n">
        <v>555000</v>
      </c>
      <c r="E24" s="6" t="n">
        <v>556890</v>
      </c>
      <c r="F24" s="6" t="n">
        <v>55000</v>
      </c>
      <c r="G24" s="6" t="n">
        <v>55000</v>
      </c>
      <c r="H24" s="6" t="n">
        <v>55000</v>
      </c>
      <c r="I24" s="6" t="n">
        <v>55000</v>
      </c>
      <c r="J24" s="6" t="n">
        <v>25000</v>
      </c>
      <c r="K24" s="6" t="n">
        <v>25000</v>
      </c>
    </row>
    <row r="25">
      <c r="A25" s="5" t="inlineStr">
        <is>
          <t>Total liabilities</t>
        </is>
      </c>
      <c r="B25" s="5" t="n">
        <v>46727</v>
      </c>
      <c r="C25" s="5" t="n">
        <v>1501715</v>
      </c>
      <c r="D25" s="5" t="n">
        <v>2099918</v>
      </c>
      <c r="E25" s="5" t="n">
        <v>2540103</v>
      </c>
      <c r="F25" s="5" t="n">
        <v>3227943</v>
      </c>
      <c r="G25" s="5" t="n">
        <v>3313522</v>
      </c>
      <c r="H25" s="5" t="n">
        <v>3161037</v>
      </c>
      <c r="I25" s="5" t="n">
        <v>3205054</v>
      </c>
      <c r="J25" s="5" t="n">
        <v>3096892</v>
      </c>
      <c r="K25" s="5" t="n">
        <v>2737870</v>
      </c>
    </row>
    <row r="26">
      <c r="A26" s="5" t="inlineStr">
        <is>
          <t>Shareholders' equity</t>
        </is>
      </c>
      <c r="B26" s="6" t="n"/>
      <c r="C26" s="6" t="n"/>
      <c r="D26" s="6" t="n"/>
      <c r="E26" s="6" t="n"/>
      <c r="F26" s="6" t="n"/>
      <c r="G26" s="6" t="n"/>
      <c r="H26" s="6" t="n"/>
      <c r="I26" s="6" t="n"/>
      <c r="J26" s="6" t="n"/>
      <c r="K26" s="6" t="n"/>
    </row>
    <row r="27">
      <c r="A27" s="6" t="inlineStr">
        <is>
          <t>Share capital</t>
        </is>
      </c>
      <c r="B27" s="6" t="n">
        <v>245230</v>
      </c>
      <c r="C27" s="6" t="n">
        <v>245230</v>
      </c>
      <c r="D27" s="6" t="n">
        <v>245230</v>
      </c>
      <c r="E27" s="6" t="n">
        <v>245230</v>
      </c>
      <c r="F27" s="6" t="n">
        <v>245230</v>
      </c>
      <c r="G27" s="6" t="n">
        <v>245230</v>
      </c>
      <c r="H27" s="6" t="n">
        <v>245230</v>
      </c>
      <c r="I27" s="6" t="n">
        <v>245230</v>
      </c>
      <c r="J27" s="6" t="n">
        <v>245230</v>
      </c>
      <c r="K27" s="6" t="n">
        <v>245230</v>
      </c>
    </row>
    <row r="28">
      <c r="A28" s="6" t="inlineStr">
        <is>
          <t>Share premium</t>
        </is>
      </c>
      <c r="B28" s="6" t="n">
        <v>11200</v>
      </c>
      <c r="C28" s="6" t="n">
        <v>11200</v>
      </c>
      <c r="D28" s="6" t="n">
        <v>11200</v>
      </c>
      <c r="E28" s="6" t="n">
        <v>11200</v>
      </c>
      <c r="F28" s="6" t="n">
        <v>11200</v>
      </c>
      <c r="G28" s="6" t="n">
        <v>11200</v>
      </c>
      <c r="H28" s="6" t="n">
        <v>11200</v>
      </c>
      <c r="I28" s="6" t="n">
        <v>11200</v>
      </c>
      <c r="J28" s="6" t="n">
        <v>11200</v>
      </c>
      <c r="K28" s="6" t="n">
        <v>11200</v>
      </c>
    </row>
    <row r="29">
      <c r="A29" s="6" t="inlineStr">
        <is>
          <t>Capital contribution</t>
        </is>
      </c>
      <c r="B29" s="6" t="n">
        <v>27500</v>
      </c>
      <c r="C29" s="6" t="n">
        <v>27500</v>
      </c>
      <c r="D29" s="6" t="n">
        <v>27500</v>
      </c>
      <c r="E29" s="6" t="n">
        <v>57500</v>
      </c>
      <c r="F29" s="6" t="n">
        <v>57500</v>
      </c>
      <c r="G29" s="6" t="n">
        <v>57500</v>
      </c>
      <c r="H29" s="6" t="n">
        <v>57500</v>
      </c>
      <c r="I29" s="6" t="n">
        <v>57500</v>
      </c>
      <c r="J29" s="6" t="n">
        <v>27500</v>
      </c>
      <c r="K29" s="6" t="n">
        <v>27500</v>
      </c>
    </row>
    <row r="30">
      <c r="A30" s="6" t="inlineStr">
        <is>
          <t>Accumulated other comprehensive income (AOCI, available-for-sale reserve)</t>
        </is>
      </c>
      <c r="B30" s="6" t="n"/>
      <c r="C30" s="6" t="n"/>
      <c r="D30" s="6" t="n"/>
      <c r="E30" s="6" t="n"/>
      <c r="F30" s="6" t="n"/>
      <c r="G30" s="6" t="n"/>
      <c r="H30" s="6" t="n"/>
      <c r="I30" s="6" t="n">
        <v>0</v>
      </c>
      <c r="J30" s="6" t="n">
        <v>2289</v>
      </c>
      <c r="K30" s="6" t="n">
        <v>1973</v>
      </c>
    </row>
    <row r="31">
      <c r="A31" s="6" t="inlineStr">
        <is>
          <t>Retained earnings</t>
        </is>
      </c>
      <c r="B31" s="6" t="n">
        <v>21871</v>
      </c>
      <c r="C31" s="6" t="n">
        <v>15510</v>
      </c>
      <c r="D31" s="6" t="n">
        <v>8622</v>
      </c>
      <c r="E31" s="6" t="n">
        <v>31756</v>
      </c>
      <c r="F31" s="6" t="n">
        <v>37298</v>
      </c>
      <c r="G31" s="6" t="n">
        <v>27243</v>
      </c>
      <c r="H31" s="6" t="n">
        <v>9013</v>
      </c>
      <c r="I31" s="6" t="n">
        <v>-16640</v>
      </c>
      <c r="J31" s="6" t="n">
        <v>-48375</v>
      </c>
      <c r="K31" s="6" t="n">
        <v>-77409</v>
      </c>
    </row>
    <row r="32">
      <c r="A32" s="5" t="inlineStr">
        <is>
          <t>Total shareholders' equity</t>
        </is>
      </c>
      <c r="B32" s="5" t="n">
        <v>305801</v>
      </c>
      <c r="C32" s="5" t="n">
        <v>299440</v>
      </c>
      <c r="D32" s="5" t="n">
        <v>292552</v>
      </c>
      <c r="E32" s="5" t="n">
        <v>345686</v>
      </c>
      <c r="F32" s="5" t="n">
        <v>351228</v>
      </c>
      <c r="G32" s="5" t="n">
        <v>341173</v>
      </c>
      <c r="H32" s="5" t="n">
        <v>322943</v>
      </c>
      <c r="I32" s="5" t="n">
        <v>297290</v>
      </c>
      <c r="J32" s="5" t="n">
        <v>237844</v>
      </c>
      <c r="K32" s="5" t="n">
        <v>208494</v>
      </c>
    </row>
    <row r="33">
      <c r="A33" s="5" t="inlineStr">
        <is>
          <t>Total liabilities and shareholders' equity</t>
        </is>
      </c>
      <c r="B33" s="5" t="n">
        <v>352528</v>
      </c>
      <c r="C33" s="5" t="n">
        <v>1801155</v>
      </c>
      <c r="D33" s="5" t="n">
        <v>2392470</v>
      </c>
      <c r="E33" s="5" t="n">
        <v>2885789</v>
      </c>
      <c r="F33" s="5" t="n">
        <v>3579171</v>
      </c>
      <c r="G33" s="5" t="n">
        <v>3654695</v>
      </c>
      <c r="H33" s="5" t="n">
        <v>3483980</v>
      </c>
      <c r="I33" s="5" t="n">
        <v>3502344</v>
      </c>
      <c r="J33" s="5" t="n">
        <v>3334736</v>
      </c>
      <c r="K33" s="5" t="n">
        <v>2946364</v>
      </c>
    </row>
    <row r="35" ht="380" customHeight="1">
      <c r="A35" s="8" t="inlineStr">
        <is>
          <t>Sources - Credit Suisse (UK) Limited's own Statement of Income / Statement of Financial Position / Statement of Changes in Equity, transcribed from each year's own Companies House filing (not a later year's comparative column):
FY2025/FY2024: Full accounts to 31 Dec 2025 (Companies House, filed 25 Apr 2026), pp.44-47 - https://find-and-update.company-information.service.gov.uk/company/02009520/filing-history/MzUxNzE0OTI3NGFkaXF6a2N4/document?format=pdf&amp;download=0
FY2023/FY2022: Full accounts to 31 Dec 2023 (Companies House, filed 27 Apr 2024), pp.38-40 - https://find-and-update.company-information.service.gov.uk/company/02009520/filing-history/MzQxOTY5NDQ0MWFkaXF6a2N4/document?format=pdf&amp;download=0
FY2021: Full accounts to 31 Dec 2021 (Companies House, filed 22 Apr 2022), pp.43-45 - https://find-and-update.company-information.service.gov.uk/company/02009520/filing-history/MzMzNzU0NDMwOWFkaXF6a2N4/document?format=pdf&amp;download=0
FY2020: Full accounts to 31 Dec 2020 (Companies House, filed 25 May 2021), pp.44-46 - https://find-and-update.company-information.service.gov.uk/company/02009520/filing-history/MzMwMTQ3Nzk1MmFkaXF6a2N4/document?format=pdf&amp;download=0
FY2019: Full accounts to 31 Dec 2019 (Companies House, filed 20 Apr 2020), pp.38-40 - https://find-and-update.company-information.service.gov.uk/company/02009520/filing-history/MzI2MjYyNzE3OGFkaXF6a2N4/document?format=pdf&amp;download=0
FY2018: Full accounts to 31 Dec 2018 (Companies House, filed 01 May 2019), pp.41-43 - https://find-and-update.company-information.service.gov.uk/company/02009520/filing-history/MzIzMzQ0Nzg3OWFkaXF6a2N4/document?format=pdf&amp;download=0
FY2017: Full accounts to 31 Dec 2017 (Companies House, filed 01 May 2018), pp.24-27 - https://find-and-update.company-information.service.gov.uk/company/02009520/filing-history/MzIwMzkxNjcwMmFkaXF6a2N4/document?format=pdf&amp;download=0
FY2016: Full accounts to 31 Dec 2016 (Companies House, filed 28 Apr 2017), pp.20-23 - https://find-and-update.company-information.service.gov.uk/company/02009520/filing-history/MzE3NDY1MzYyMmFkaXF6a2N4/document?format=pdf&amp;download=0
Credit Suisse (UK) Limited ('CSUK', company 02009520, FRN 124269) - a UK private-banking/wealth-management subsidiary. Ultimate parent is UBS Group AG following UBS's acquisition of Credit Suisse Group (announced March 2023, completed June 2023) - CSUK itself remains an active, separately-reporting PRA entity throughout, still filing under its original name as of the FY2025 filing (Apr 2026). All 10 Companies House filings (FY2016-FY2025) were fully scanned/image-only, transcribed via page rendering.
HISTORICAL-DEPTH EXTENSION (HD-026, 2026-09-06): extended back to FY2016, this entity's confirmed floor per HD-004 (entity itself dates to 1985 as company 02009520, but this is capped project-wide at FY2014 regardless, and no FY2014/FY2015 filing was in scope for this ticket). Re-verified via each year's own Companies House filing rather than relying on HD-004's domain/scan signal alone. Genuine format changes found across the extended window, all documented rather than smoothed over:
- FY2016/FY2017 Annual Reports carry no 'Key Performance Indicators' summary table at all (introduced only from the FY2018 Annual Report onward) - FY2017's KPI-style figures (RWA, CET1 ratio, Leverage Ratio, CET1 Capital) were sourced from the FY2018 report's own FY2017 comparative column; no such comparative exists anywhere for FY2016, so FY2016's RWA, CET1/Tier1 Ratio, Leverage Ratio, LCR and NSFR are self-skipped as undisclosed in any filing obtained. QUALIFIED 18 September 2026 (KM1-032): the parenthetical here used to read 'confirmed via a Wayback CDX search of credit-suisse.com for a standalone Pillar 3 document, which returned no CSUK-specific hit before the search was judged uneconomical to keep pursuing', and the word 'confirmed' was doing work the search cannot support. A CDX search that was abandoned for cost is not an enumeration, and an archive scan can never see a live-only document in any case. The correct status of the FY2016 standalone Pillar 3 is UNPROVEN, not absent - and note that CSUK's standalone Pillar 3 documents for later years demonstrably DO exist and are used on the KM1 and capital sheets of this workbook, so the premise that CSUK published none is already known to be false for other years. SETTLED IN PART, 18 September 2026 (interior-gap sweep): a 2016 CSUK Pillar 3 edition DOES exist and is listed by name on the UBS-hosted Credit Suisse legal-entity ARCHIVE index, which was successfully enumerated that day at https://www.ubs.com/global/en/investor-relations/complementary-financial-information/disclosure-legal-entities/archive-credit-suisse.html (plain curl clears the 403 that a browser User-Agent triggers). That index lists a CSUK edition for every year 2014-2023. RESOLVED 19 September 2026: the 2016 edition was opened and supplies the previously missing FY2016 CET1/Tier 1 ratio, Total Capital ratio, Total RWA and leverage ratio. FY2016 CET1/Tier 1 Capital (the £ amount) remains sourced from the Annual Report's Capital adequacy note.
- Leverage Ratio is disclosed only in the FY2017/FY2018 KPI TABLES (6.3%/7.8%) - absent from FY2016 (no KPI table) and from FY2019/FY2020's own KPI tables (which dropped the 'Statement of Financial Position' KPI section entirely). Average LCR is disclosed only in the FY2018 KPI table (154%) - FY2017's KPI table explicitly shows 'n/a', and FY2019/FY2020 KPI tables carry no LCR figure at all (only a Liquidity Buffer £ amount). NSFR is not found in any FY2016-FY2020 KPI table.
  CORRECTED 18 September 2026: every sentence in the paragraph above is about ONE DOCUMENT TYPE, the Annual Report KPI table, and it is still accurate about that document. What it used to do, and no longer does, is finish each clause with 'consistent with the already-known gap' - reading an absence from the KPI table as an absence from the Bank's disclosure. It is not. CSUK published a leverage ratio for FY2019, FY2020, FY2021, FY2022 AND FY2023, and an LCR for all five, in its own standalone Pillar 3 editions for those years; all five leverage figures and a full seven-year average-basis LCR series are now on the Leverage Ratio and LCR sheets. See those sheets' notes for document, printed folio and the cross-edition restatements that are recorded but not applied.</t>
        </is>
      </c>
    </row>
    <row r="37" ht="380" customHeight="1">
      <c r="A37" s="8" t="inlineStr">
        <is>
          <t>(continued)
- Total Capital / Total Capital Ratio: a Capital adequacy note ('Own Funds' table: Total Tier 1/CET1 capital + Total Tier 2 capital = Own Funds) exists in every FY2016-FY2020 filing and gives a genuine, directly disclosed Total Capital (£ Own Funds) figure each year - populated on this sheet for FY2016-FY2020 only. The contradiction this paragraph used to flag - that the FY2021-FY2025 columns carried a 'not directly disclosed' claim on the same sheet - was referred to 'a future audit-only ticket'. THAT TICKET WAS KM1-032 AND THE CONTRADICTION IS NOW RESOLVED (18 September 2026): Total Capital IS directly disclosed for FY2021-FY2025, as row 3 of CSUK's own KM1 template and row 59 of its CC1, in the standalone Pillar 3 editions this workbook already cites. Both the Total Capital and Total Capital Ratio sheets now carry those years and name that source. The original claim was true only of the KPI table, which never carried a Total Capital line - a statement about ONE document read as a statement about the bank's disclosure. The 2016 standalone Pillar 3 supplies a directly disclosed 23.7% Total Capital ratio for FY2016; FY2017-FY2020 remain blank because no directly disclosed ratio has yet been located for those years.
- Asset Quality's loan-book note uses the SAME UK/Foreign x Commercial/Consumer borrower-type format in every FY2016-FY2020 filing checked as the format already used on this sheet for FY2021-FY2023 - no IFRS 9 stage-level (Stage 1/2/3) split exists in the PRIMARY 'Loans and advances' note in any year (a separate, secondary Stage 1/2/3 ECL-movement table exists in the Expected Credit Loss Measurement note from FY2019 onward, but that is not the note the Balance Sheet's own Loans and advances figure ties to - the borrower-type note is). FY2018's own filing lacks the borrower-type table entirely (it only shows loans by maturity bucket and by collateral, with no 'Gross Impaired loans' concept at all) - its borrower-type figures and Gross Impaired loans total were instead sourced from the FY2019 filing's own FY2018 comparative column, which independently reconciles to FY2018's own disclosed Total Net loans. FY2016's Gross Impaired loans figure was similarly sourced from FY2017's own FY2016 comparative column (FY2016's own filing has no Gross Impaired loans line either). Pre-IFRS 9 (adopted 1 January 2018) years show no Profit &amp; Loss 'Allowance for credit losses' line item at all - only a Statement of Financial Position note giving a simple opening/closing impairment-allowance movement (an incurred-loss model, IAS 39 basis) - left blank on the P&amp;L for FY2016/FY2017 rather than force-mapped.
- Statement of Changes in Equity: FY2016-FY2018 carry a genuine 'Accumulated other comprehensive income' (available-for-sale reserve) equity component that FY2019 onward does not - added as a new column on that sheet, populated only where it applies, rather than merged into Retained earnings. The IFRS 9 initial-application adjustment at 1 January 2018 (a genuine +£2,535k reclassification into Retained earnings, -£2,289k out of AOCI) is shown as its own adjustment row, not folded into 'the year's comprehensive income'. FY2019's own filing reports closing Total shareholders' equity of £322,943k (Retained earnings £9,013k) - FY2020's own filing then restates the FY2019 OPENING balance down by £1,431k (net of tax, a 'correction of error', not otherwise explained) to £321,512k. Per this project's convention of using each year's own filing rather than a later year's restated comparative, FY2019's column keeps its own-filing figure (£322,943k/£9,013k); the FY2020 restatement is instead shown as an explicit 'Correction of error' bridging row between the FY2019 and FY2020 columns, so nothing is silently overwritten and the FY2020 opening balance still ties exactly to the £341,173k FY2020 closing.
- Cash Flow Statement: FY2016/FY2017/FY2018's own filings show no separate 'Effect of exchange rate fluctuations on cash and cash equivalents' line after the net movement in cash (FX effects are folded into the operating-activities reconciliation instead) - that line only appears as its own row from the FY2019 filing onward. Left blank for FY2016-FY2018 rather than force-derived from a residual.
TWO MAJOR DISCLOSED BUSINESS EVENTS, both flagged rather than treated as anomalies:
(1) FY2023: a pre-tax loss of £26.2m driven by £44.8m of UBS-acquisition-related expenses (accelerated lease costs, intangibles impairment, recharged transaction costs) - underlying profit before tax (excluding these) was £18.6m.
(2) FY2025: on 20 June 2025 CSUK completed a Part VII business transfer (Financial Services and Markets Act 2000) of most of its wealth-management clients to UBS AG London Branch, following a Business Transfer Agreement signed 20 December 2024. This shows up directly in the FY2025 cash flow statement as a £539,843k 'Cash receipt from business transfer' investing-activities line and a £1,278k 'Loss from the business transfer' operating-activities adjustment, and drove RWAs down from £672m (FY2024) to £160m (FY2025) and CET1/leverage ratios sharply higher (smaller balance sheet, same capital base). CSUK's remaining business post-transfer is the limited-scope Credit Suisse London Nominees ('CSLN') hedge-fund sub-custody activity.
Full opening-to-closing cash bridge ties across all 10 years, with several small gaps in the source documents' own printed figures, none force-corrected: FY2022 closing £475,709k vs FY2023 opening £475,664k (£45k gap, explicitly explained by the FY2023 report's own footnote as the year-over-year change in the ECL allowance excluded from the cash figure); and FY2023's own three-line tail (opening £475,664k + net increase £97,529k - FX effect £24,570k = £548,623k) doesn't quite match FY2023's own printed closing balance of £548,659k (a £36k gap, source unexplained, not present in any other year - kept exactly as printed on both sides rather than adjusted to force a match). FY2021 closing £408,082k = FY2022 opening exactly; FY2023 closing £548,659k = FY2024 opening exactly; FY2024 closing £341,768k = FY2025 opening exactly; FY2016 closing £432,924k = FY2017 opening exactly; FY2018 closing £197,301k = FY2019 opening exactly. Two further gaps found in the newly-added FY2016-FY2020 window, both kept as printed rather than force-matched: FY2017's own filing shows FY2017 closing cash of £499,549k, but FY2018's own filing's FY2017 COMPARATIVE column shows only £457,975k - a £41,574k gap that exactly equals the difference between the two filings' 'Interest-bearing deposits with banks' figures for the same date (£4,885k per FY2017's own filing vs £46,459k per FY2018's FY2017 comparative), confirming this is a genuine RECLASSIFICATION between the two balance-sheet lines made in the FY2018 filing's presentation of its FY2017 comparative, not a real cash discrepancy - both years' own-filing figures are kept as reported. FY2019's own filing shows FY2019 closing cash of £447,816k, but FY2020's own filing's FY2019 comparative shows £440,029k (a £7,787k gap, source unexplained - no matching reclassification was found this time, flagged for a future audit ticket rather than silently resolved).</t>
        </is>
      </c>
    </row>
    <row r="39" ht="380" customHeight="1">
      <c r="A39" s="8" t="inlineStr">
        <is>
          <t>(continued)
PRESENTATION NOTE: the Balance Sheet's own line items vary genuinely across years - 'Current tax assets' is absent from the FY2021 report (present FY2022-25); 'Deferred tax assets' appears only FY2021/FY2022; 'Intangible assets'/'Goodwill' are FY2021-23 only (goodwill fully impaired in FY2021, intangibles fully impaired/written off by FY2025); 'Short-term borrowings' as its own liability line first appears FY2022 onward (not disclosed as a separate line in FY2021). The Profit &amp; Loss reflects two genuine one-off lines: FY2021's 'Impairment on goodwill' (£13,752k, no equivalent in later years) and FY2025's 'Loss from the business transfer' (£1,278k, tied to the Part VII transfer - see ENTITY NOTE above). All reproduced as reported, blank cells where a year's own report doesn't carry that line.
FY2016-FY2020 (added under HD-026): 'Current tax assets' is present FY2016-FY2019 (£287k/£274k/£287k/£0k respectively) but absent as a line item in FY2020 (continuing the same absence into FY2021, reappearing FY2022); 'Deferred tax assets' and 'Intangible assets'/'Goodwill' (constant £13,752k every year, only impaired in FY2021 - see above) are present in all 5; 'Financial assets available for sale' is a genuine asset line existing FY2016-FY2018 only (£2,010k/£2,326k/£0k) - it disappears entirely from FY2019 onward, in step with the AOCI equity component it funds (see Statement of Changes in Equity note above), both consistent with the 1 January 2018 IFRS 9 transition reclassifying available-for-sale securities; 'Short-term borrowings' as its own liability line does not exist in any of FY2016-FY2020 (first appears FY2022). Pre-IFRS-9 (adopted 1 January 2018) years FY2016/FY2017 show no 'Allowance for expected credit losses' P&amp;L line at all (an incurred-loss, not expected-loss, model) - left blank rather than force-mapped from the separate impairment-movement note. See ENTITY NOTE above for the FY2016-FY2018 AOCI equity component and the FY2019/FY2020 restatement.</t>
        </is>
      </c>
    </row>
  </sheetData>
  <mergeCells count="3">
    <mergeCell ref="A39:K39"/>
    <mergeCell ref="A35:K35"/>
    <mergeCell ref="A37:K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Statement of Income</t>
        </is>
      </c>
    </row>
    <row r="2">
      <c r="A2" s="2" t="inlineStr">
        <is>
          <t>Entity basis, £'000. No items of other comprehensive income FY2019 onward; FY2016-FY2018 carry a small available-for-sale-reserve OCI movement (+£315k/+£316k/£0k) reflected in the 'Total comprehensive income' row only.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Income</t>
        </is>
      </c>
      <c r="B4" s="6" t="n"/>
      <c r="C4" s="6" t="n"/>
      <c r="D4" s="6" t="n"/>
      <c r="E4" s="6" t="n"/>
      <c r="F4" s="6" t="n"/>
      <c r="G4" s="6" t="n"/>
      <c r="H4" s="6" t="n"/>
      <c r="I4" s="6" t="n"/>
      <c r="J4" s="6" t="n"/>
      <c r="K4" s="6" t="n"/>
    </row>
    <row r="5">
      <c r="A5" s="6" t="inlineStr">
        <is>
          <t>Interest income</t>
        </is>
      </c>
      <c r="B5" s="6" t="n">
        <v>42437</v>
      </c>
      <c r="C5" s="6" t="n">
        <v>124113</v>
      </c>
      <c r="D5" s="6" t="n">
        <v>156430</v>
      </c>
      <c r="E5" s="6" t="n">
        <v>88830</v>
      </c>
      <c r="F5" s="6" t="n">
        <v>56275</v>
      </c>
      <c r="G5" s="6" t="n">
        <v>74605</v>
      </c>
      <c r="H5" s="6" t="n">
        <v>94730</v>
      </c>
      <c r="I5" s="6" t="n">
        <v>85631</v>
      </c>
      <c r="J5" s="6" t="n">
        <v>65517</v>
      </c>
      <c r="K5" s="6" t="n">
        <v>49992</v>
      </c>
    </row>
    <row r="6">
      <c r="A6" s="6" t="inlineStr">
        <is>
          <t>Interest expense</t>
        </is>
      </c>
      <c r="B6" s="6" t="n">
        <v>-18060</v>
      </c>
      <c r="C6" s="6" t="n">
        <v>-73480</v>
      </c>
      <c r="D6" s="6" t="n">
        <v>-94427</v>
      </c>
      <c r="E6" s="6" t="n">
        <v>-28065</v>
      </c>
      <c r="F6" s="6" t="n">
        <v>-5122</v>
      </c>
      <c r="G6" s="6" t="n">
        <v>-10829</v>
      </c>
      <c r="H6" s="6" t="n">
        <v>-23571</v>
      </c>
      <c r="I6" s="6" t="n">
        <v>-16701</v>
      </c>
      <c r="J6" s="6" t="n">
        <v>-7865</v>
      </c>
      <c r="K6" s="6" t="n">
        <v>-6574</v>
      </c>
    </row>
    <row r="7">
      <c r="A7" s="5" t="inlineStr">
        <is>
          <t>Net interest income</t>
        </is>
      </c>
      <c r="B7" s="5" t="n">
        <v>24377</v>
      </c>
      <c r="C7" s="5" t="n">
        <v>50633</v>
      </c>
      <c r="D7" s="5" t="n">
        <v>62003</v>
      </c>
      <c r="E7" s="5" t="n">
        <v>60765</v>
      </c>
      <c r="F7" s="5" t="n">
        <v>51153</v>
      </c>
      <c r="G7" s="5" t="n">
        <v>63776</v>
      </c>
      <c r="H7" s="5" t="n">
        <v>71159</v>
      </c>
      <c r="I7" s="5" t="n">
        <v>68930</v>
      </c>
      <c r="J7" s="5" t="n">
        <v>57652</v>
      </c>
      <c r="K7" s="5" t="n">
        <v>43418</v>
      </c>
    </row>
    <row r="8">
      <c r="A8" s="6" t="inlineStr">
        <is>
          <t>Commission and fee income</t>
        </is>
      </c>
      <c r="B8" s="6" t="n">
        <v>18904</v>
      </c>
      <c r="C8" s="6" t="n">
        <v>31922</v>
      </c>
      <c r="D8" s="6" t="n">
        <v>42185</v>
      </c>
      <c r="E8" s="6" t="n">
        <v>54048</v>
      </c>
      <c r="F8" s="6" t="n">
        <v>55219</v>
      </c>
      <c r="G8" s="6" t="n">
        <v>52104</v>
      </c>
      <c r="H8" s="6" t="n">
        <v>57538</v>
      </c>
      <c r="I8" s="6" t="n">
        <v>58533</v>
      </c>
      <c r="J8" s="6" t="n">
        <v>57734</v>
      </c>
      <c r="K8" s="6" t="n">
        <v>48959</v>
      </c>
    </row>
    <row r="9">
      <c r="A9" s="6" t="inlineStr">
        <is>
          <t>Commission and fee expense</t>
        </is>
      </c>
      <c r="B9" s="6" t="n">
        <v>-79</v>
      </c>
      <c r="C9" s="6" t="n">
        <v>-737</v>
      </c>
      <c r="D9" s="6" t="n">
        <v>-472</v>
      </c>
      <c r="E9" s="6" t="n">
        <v>-740</v>
      </c>
      <c r="F9" s="6" t="n">
        <v>-1068</v>
      </c>
      <c r="G9" s="6" t="n">
        <v>-1593</v>
      </c>
      <c r="H9" s="6" t="n">
        <v>-2107</v>
      </c>
      <c r="I9" s="6" t="n">
        <v>-3746</v>
      </c>
      <c r="J9" s="6" t="n">
        <v>-3197</v>
      </c>
      <c r="K9" s="6" t="n">
        <v>-2009</v>
      </c>
    </row>
    <row r="10">
      <c r="A10" s="5" t="inlineStr">
        <is>
          <t>Net commission and fee income</t>
        </is>
      </c>
      <c r="B10" s="5" t="n">
        <v>18825</v>
      </c>
      <c r="C10" s="5" t="n">
        <v>31185</v>
      </c>
      <c r="D10" s="5" t="n">
        <v>41713</v>
      </c>
      <c r="E10" s="5" t="n">
        <v>53308</v>
      </c>
      <c r="F10" s="5" t="n">
        <v>54151</v>
      </c>
      <c r="G10" s="5" t="n">
        <v>50511</v>
      </c>
      <c r="H10" s="5" t="n">
        <v>55431</v>
      </c>
      <c r="I10" s="5" t="n">
        <v>54787</v>
      </c>
      <c r="J10" s="5" t="n">
        <v>54537</v>
      </c>
      <c r="K10" s="5" t="n">
        <v>46950</v>
      </c>
    </row>
    <row r="11">
      <c r="A11" s="6" t="inlineStr">
        <is>
          <t>Reversal of/(allowance for) expected credit losses</t>
        </is>
      </c>
      <c r="B11" s="6" t="n">
        <v>489</v>
      </c>
      <c r="C11" s="6" t="n">
        <v>-1526</v>
      </c>
      <c r="D11" s="6" t="n">
        <v>-3167</v>
      </c>
      <c r="E11" s="6" t="n">
        <v>-1754</v>
      </c>
      <c r="F11" s="6" t="n">
        <v>2571</v>
      </c>
      <c r="G11" s="6" t="n">
        <v>-2441</v>
      </c>
      <c r="H11" s="6" t="n">
        <v>-4913</v>
      </c>
      <c r="I11" s="6" t="n">
        <v>214</v>
      </c>
      <c r="J11" s="6" t="n"/>
      <c r="K11" s="6" t="n"/>
    </row>
    <row r="12">
      <c r="A12" s="6" t="inlineStr">
        <is>
          <t>Net gain from financial assets/liabilities at FVTPL</t>
        </is>
      </c>
      <c r="B12" s="6" t="n">
        <v>63</v>
      </c>
      <c r="C12" s="6" t="n">
        <v>151</v>
      </c>
      <c r="D12" s="6" t="n">
        <v>88</v>
      </c>
      <c r="E12" s="6" t="n">
        <v>172</v>
      </c>
      <c r="F12" s="6" t="n">
        <v>195</v>
      </c>
      <c r="G12" s="6" t="n">
        <v>200</v>
      </c>
      <c r="H12" s="6" t="n">
        <v>-219</v>
      </c>
      <c r="I12" s="6" t="n">
        <v>1081</v>
      </c>
      <c r="J12" s="6" t="n"/>
      <c r="K12" s="6" t="n"/>
    </row>
    <row r="13">
      <c r="A13" s="6" t="inlineStr">
        <is>
          <t>Loss from business transfer</t>
        </is>
      </c>
      <c r="B13" s="6" t="n">
        <v>-1278</v>
      </c>
      <c r="C13" s="6" t="n"/>
      <c r="D13" s="6" t="n"/>
      <c r="E13" s="6" t="n"/>
      <c r="F13" s="6" t="n"/>
      <c r="G13" s="6" t="n"/>
      <c r="H13" s="6" t="n"/>
      <c r="I13" s="6" t="n"/>
      <c r="J13" s="6" t="n"/>
      <c r="K13" s="6" t="n"/>
    </row>
    <row r="14">
      <c r="A14" s="6" t="inlineStr">
        <is>
          <t>Other revenue and foreign exchange fluctuations</t>
        </is>
      </c>
      <c r="B14" s="6" t="n">
        <v>5331</v>
      </c>
      <c r="C14" s="6" t="n">
        <v>2302</v>
      </c>
      <c r="D14" s="6" t="n">
        <v>271</v>
      </c>
      <c r="E14" s="6" t="n">
        <v>-8</v>
      </c>
      <c r="F14" s="6" t="n">
        <v>-196</v>
      </c>
      <c r="G14" s="6" t="n">
        <v>873</v>
      </c>
      <c r="H14" s="6" t="n">
        <v>1772</v>
      </c>
      <c r="I14" s="6" t="n">
        <v>393</v>
      </c>
      <c r="J14" s="6" t="n">
        <v>28486</v>
      </c>
      <c r="K14" s="6" t="n">
        <v>544</v>
      </c>
    </row>
    <row r="15">
      <c r="A15" s="5" t="inlineStr">
        <is>
          <t>Net revenue</t>
        </is>
      </c>
      <c r="B15" s="5" t="n">
        <v>47807</v>
      </c>
      <c r="C15" s="5" t="n">
        <v>82745</v>
      </c>
      <c r="D15" s="5" t="n">
        <v>100908</v>
      </c>
      <c r="E15" s="5" t="n">
        <v>112483</v>
      </c>
      <c r="F15" s="5" t="n">
        <v>107874</v>
      </c>
      <c r="G15" s="5" t="n">
        <v>112919</v>
      </c>
      <c r="H15" s="5" t="n">
        <v>123230</v>
      </c>
      <c r="I15" s="5" t="n">
        <v>125405</v>
      </c>
      <c r="J15" s="5" t="n">
        <v>140675</v>
      </c>
      <c r="K15" s="5" t="n">
        <v>90912</v>
      </c>
    </row>
    <row r="16">
      <c r="A16" s="5" t="inlineStr">
        <is>
          <t>Operating expenses</t>
        </is>
      </c>
      <c r="B16" s="6" t="n"/>
      <c r="C16" s="6" t="n"/>
      <c r="D16" s="6" t="n"/>
      <c r="E16" s="6" t="n"/>
      <c r="F16" s="6" t="n"/>
      <c r="G16" s="6" t="n"/>
      <c r="H16" s="6" t="n"/>
      <c r="I16" s="6" t="n"/>
      <c r="J16" s="6" t="n"/>
      <c r="K16" s="6" t="n"/>
    </row>
    <row r="17">
      <c r="A17" s="6" t="inlineStr">
        <is>
          <t>Compensation and benefits</t>
        </is>
      </c>
      <c r="B17" s="6" t="n">
        <v>-11338</v>
      </c>
      <c r="C17" s="6" t="n">
        <v>-36643</v>
      </c>
      <c r="D17" s="6" t="n">
        <v>-42927</v>
      </c>
      <c r="E17" s="6" t="n">
        <v>-39202</v>
      </c>
      <c r="F17" s="6" t="n">
        <v>-41686</v>
      </c>
      <c r="G17" s="6" t="n">
        <v>-47982</v>
      </c>
      <c r="H17" s="6" t="n">
        <v>-51599</v>
      </c>
      <c r="I17" s="6" t="n">
        <v>-49507</v>
      </c>
      <c r="J17" s="6" t="n">
        <v>-52496</v>
      </c>
      <c r="K17" s="6" t="n">
        <v>-49408</v>
      </c>
    </row>
    <row r="18">
      <c r="A18" s="6" t="inlineStr">
        <is>
          <t>General and administrative expenses</t>
        </is>
      </c>
      <c r="B18" s="6" t="n">
        <v>-26666</v>
      </c>
      <c r="C18" s="6" t="n">
        <v>-35298</v>
      </c>
      <c r="D18" s="6" t="n">
        <v>-84180</v>
      </c>
      <c r="E18" s="6" t="n">
        <v>-51860</v>
      </c>
      <c r="F18" s="6" t="n">
        <v>-41529</v>
      </c>
      <c r="G18" s="6" t="n">
        <v>-39770</v>
      </c>
      <c r="H18" s="6" t="n">
        <v>-37050</v>
      </c>
      <c r="I18" s="6" t="n">
        <v>-36018</v>
      </c>
      <c r="J18" s="6" t="n">
        <v>-51968</v>
      </c>
      <c r="K18" s="6" t="n">
        <v>-40306</v>
      </c>
    </row>
    <row r="19">
      <c r="A19" s="6" t="inlineStr">
        <is>
          <t>Impairment on goodwill</t>
        </is>
      </c>
      <c r="B19" s="6" t="n"/>
      <c r="C19" s="6" t="n"/>
      <c r="D19" s="6" t="n"/>
      <c r="E19" s="6" t="n"/>
      <c r="F19" s="6" t="n">
        <v>-13752</v>
      </c>
      <c r="G19" s="6" t="n"/>
      <c r="H19" s="6" t="n"/>
      <c r="I19" s="6" t="n"/>
      <c r="J19" s="6" t="n"/>
      <c r="K19" s="6" t="n"/>
    </row>
    <row r="20">
      <c r="A20" s="5" t="inlineStr">
        <is>
          <t>Total operating expenses</t>
        </is>
      </c>
      <c r="B20" s="5" t="n">
        <v>-38004</v>
      </c>
      <c r="C20" s="5" t="n">
        <v>-71941</v>
      </c>
      <c r="D20" s="5" t="n">
        <v>-127107</v>
      </c>
      <c r="E20" s="5" t="n">
        <v>-91062</v>
      </c>
      <c r="F20" s="5" t="n">
        <v>-96967</v>
      </c>
      <c r="G20" s="5" t="n">
        <v>-87752</v>
      </c>
      <c r="H20" s="5" t="n">
        <v>-88649</v>
      </c>
      <c r="I20" s="5" t="n">
        <v>-85525</v>
      </c>
      <c r="J20" s="5" t="n">
        <v>-104464</v>
      </c>
      <c r="K20" s="5" t="n">
        <v>-89714</v>
      </c>
    </row>
    <row r="21">
      <c r="A21" s="5" t="inlineStr">
        <is>
          <t>Profit/(loss) before tax</t>
        </is>
      </c>
      <c r="B21" s="5" t="n">
        <v>9803</v>
      </c>
      <c r="C21" s="5" t="n">
        <v>10804</v>
      </c>
      <c r="D21" s="5" t="n">
        <v>-26199</v>
      </c>
      <c r="E21" s="5" t="n">
        <v>21421</v>
      </c>
      <c r="F21" s="5" t="n">
        <v>10907</v>
      </c>
      <c r="G21" s="5" t="n">
        <v>25167</v>
      </c>
      <c r="H21" s="5" t="n">
        <v>34581</v>
      </c>
      <c r="I21" s="5" t="n">
        <v>39880</v>
      </c>
      <c r="J21" s="5" t="n">
        <v>36211</v>
      </c>
      <c r="K21" s="5" t="n">
        <v>1198</v>
      </c>
    </row>
    <row r="22">
      <c r="A22" s="6" t="inlineStr">
        <is>
          <t>Income tax benefit/(expense)</t>
        </is>
      </c>
      <c r="B22" s="6" t="n">
        <v>-3442</v>
      </c>
      <c r="C22" s="6" t="n">
        <v>-3916</v>
      </c>
      <c r="D22" s="6" t="n">
        <v>3065</v>
      </c>
      <c r="E22" s="6" t="n">
        <v>-6963</v>
      </c>
      <c r="F22" s="6" t="n">
        <v>-852</v>
      </c>
      <c r="G22" s="6" t="n">
        <v>-5506</v>
      </c>
      <c r="H22" s="6" t="n">
        <v>-8928</v>
      </c>
      <c r="I22" s="6" t="n">
        <v>-10680</v>
      </c>
      <c r="J22" s="6" t="n">
        <v>-7177</v>
      </c>
      <c r="K22" s="6" t="n">
        <v>-1642</v>
      </c>
    </row>
    <row r="23">
      <c r="A23" s="5" t="inlineStr">
        <is>
          <t>Profit/(loss) after tax</t>
        </is>
      </c>
      <c r="B23" s="5" t="n">
        <v>6361</v>
      </c>
      <c r="C23" s="5" t="n">
        <v>6888</v>
      </c>
      <c r="D23" s="5" t="n">
        <v>-23134</v>
      </c>
      <c r="E23" s="5" t="n">
        <v>14458</v>
      </c>
      <c r="F23" s="5" t="n">
        <v>10055</v>
      </c>
      <c r="G23" s="5" t="n">
        <v>19661</v>
      </c>
      <c r="H23" s="5" t="n">
        <v>25653</v>
      </c>
      <c r="I23" s="5" t="n">
        <v>29200</v>
      </c>
      <c r="J23" s="5" t="n">
        <v>29034</v>
      </c>
      <c r="K23" s="5" t="n">
        <v>-444</v>
      </c>
    </row>
    <row r="24">
      <c r="A24" s="5" t="inlineStr">
        <is>
          <t>Total comprehensive income/(loss) for the year</t>
        </is>
      </c>
      <c r="B24" s="5" t="n">
        <v>6361</v>
      </c>
      <c r="C24" s="5" t="n">
        <v>6888</v>
      </c>
      <c r="D24" s="5" t="n">
        <v>-23134</v>
      </c>
      <c r="E24" s="5" t="n">
        <v>14458</v>
      </c>
      <c r="F24" s="5" t="n">
        <v>10055</v>
      </c>
      <c r="G24" s="5" t="n">
        <v>19661</v>
      </c>
      <c r="H24" s="5" t="n">
        <v>25653</v>
      </c>
      <c r="I24" s="5" t="n">
        <v>29200</v>
      </c>
      <c r="J24" s="5" t="n">
        <v>29350</v>
      </c>
      <c r="K24" s="5" t="n">
        <v>-129</v>
      </c>
    </row>
    <row r="26" ht="380" customHeight="1">
      <c r="A26" s="8" t="inlineStr">
        <is>
          <t>Sources - Credit Suisse (UK) Limited's own Statement of Income / Statement of Financial Position / Statement of Changes in Equity, transcribed from each year's own Companies House filing (not a later year's comparative column):
FY2025/FY2024: Full accounts to 31 Dec 2025 (Companies House, filed 25 Apr 2026), pp.44-47 - https://find-and-update.company-information.service.gov.uk/company/02009520/filing-history/MzUxNzE0OTI3NGFkaXF6a2N4/document?format=pdf&amp;download=0
FY2023/FY2022: Full accounts to 31 Dec 2023 (Companies House, filed 27 Apr 2024), pp.38-40 - https://find-and-update.company-information.service.gov.uk/company/02009520/filing-history/MzQxOTY5NDQ0MWFkaXF6a2N4/document?format=pdf&amp;download=0
FY2021: Full accounts to 31 Dec 2021 (Companies House, filed 22 Apr 2022), pp.43-45 - https://find-and-update.company-information.service.gov.uk/company/02009520/filing-history/MzMzNzU0NDMwOWFkaXF6a2N4/document?format=pdf&amp;download=0
FY2020: Full accounts to 31 Dec 2020 (Companies House, filed 25 May 2021), pp.44-46 - https://find-and-update.company-information.service.gov.uk/company/02009520/filing-history/MzMwMTQ3Nzk1MmFkaXF6a2N4/document?format=pdf&amp;download=0
FY2019: Full accounts to 31 Dec 2019 (Companies House, filed 20 Apr 2020), pp.38-40 - https://find-and-update.company-information.service.gov.uk/company/02009520/filing-history/MzI2MjYyNzE3OGFkaXF6a2N4/document?format=pdf&amp;download=0
FY2018: Full accounts to 31 Dec 2018 (Companies House, filed 01 May 2019), pp.41-43 - https://find-and-update.company-information.service.gov.uk/company/02009520/filing-history/MzIzMzQ0Nzg3OWFkaXF6a2N4/document?format=pdf&amp;download=0
FY2017: Full accounts to 31 Dec 2017 (Companies House, filed 01 May 2018), pp.24-27 - https://find-and-update.company-information.service.gov.uk/company/02009520/filing-history/MzIwMzkxNjcwMmFkaXF6a2N4/document?format=pdf&amp;download=0
FY2016: Full accounts to 31 Dec 2016 (Companies House, filed 28 Apr 2017), pp.20-23 - https://find-and-update.company-information.service.gov.uk/company/02009520/filing-history/MzE3NDY1MzYyMmFkaXF6a2N4/document?format=pdf&amp;download=0
Credit Suisse (UK) Limited ('CSUK', company 02009520, FRN 124269) - a UK private-banking/wealth-management subsidiary. Ultimate parent is UBS Group AG following UBS's acquisition of Credit Suisse Group (announced March 2023, completed June 2023) - CSUK itself remains an active, separately-reporting PRA entity throughout, still filing under its original name as of the FY2025 filing (Apr 2026). All 10 Companies House filings (FY2016-FY2025) were fully scanned/image-only, transcribed via page rendering.
HISTORICAL-DEPTH EXTENSION (HD-026, 2026-09-06): extended back to FY2016, this entity's confirmed floor per HD-004 (entity itself dates to 1985 as company 02009520, but this is capped project-wide at FY2014 regardless, and no FY2014/FY2015 filing was in scope for this ticket). Re-verified via each year's own Companies House filing rather than relying on HD-004's domain/scan signal alone. Genuine format changes found across the extended window, all documented rather than smoothed over:
- FY2016/FY2017 Annual Reports carry no 'Key Performance Indicators' summary table at all (introduced only from the FY2018 Annual Report onward) - FY2017's KPI-style figures (RWA, CET1 ratio, Leverage Ratio, CET1 Capital) were sourced from the FY2018 report's own FY2017 comparative column; no such comparative exists anywhere for FY2016, so FY2016's RWA, CET1/Tier1 Ratio, Leverage Ratio, LCR and NSFR are self-skipped as undisclosed in any filing obtained. QUALIFIED 18 September 2026 (KM1-032): the parenthetical here used to read 'confirmed via a Wayback CDX search of credit-suisse.com for a standalone Pillar 3 document, which returned no CSUK-specific hit before the search was judged uneconomical to keep pursuing', and the word 'confirmed' was doing work the search cannot support. A CDX search that was abandoned for cost is not an enumeration, and an archive scan can never see a live-only document in any case. The correct status of the FY2016 standalone Pillar 3 is UNPROVEN, not absent - and note that CSUK's standalone Pillar 3 documents for later years demonstrably DO exist and are used on the KM1 and capital sheets of this workbook, so the premise that CSUK published none is already known to be false for other years. SETTLED IN PART, 18 September 2026 (interior-gap sweep): a 2016 CSUK Pillar 3 edition DOES exist and is listed by name on the UBS-hosted Credit Suisse legal-entity ARCHIVE index, which was successfully enumerated that day at https://www.ubs.com/global/en/investor-relations/complementary-financial-information/disclosure-legal-entities/archive-credit-suisse.html (plain curl clears the 403 that a browser User-Agent triggers). That index lists a CSUK edition for every year 2014-2023. RESOLVED 19 September 2026: the 2016 edition was opened and supplies the previously missing FY2016 CET1/Tier 1 ratio, Total Capital ratio, Total RWA and leverage ratio. FY2016 CET1/Tier 1 Capital (the £ amount) remains sourced from the Annual Report's Capital adequacy note.
- Leverage Ratio is disclosed only in the FY2017/FY2018 KPI TABLES (6.3%/7.8%) - absent from FY2016 (no KPI table) and from FY2019/FY2020's own KPI tables (which dropped the 'Statement of Financial Position' KPI section entirely). Average LCR is disclosed only in the FY2018 KPI table (154%) - FY2017's KPI table explicitly shows 'n/a', and FY2019/FY2020 KPI tables carry no LCR figure at all (only a Liquidity Buffer £ amount). NSFR is not found in any FY2016-FY2020 KPI table.
  CORRECTED 18 September 2026: every sentence in the paragraph above is about ONE DOCUMENT TYPE, the Annual Report KPI table, and it is still accurate about that document. What it used to do, and no longer does, is finish each clause with 'consistent with the already-known gap' - reading an absence from the KPI table as an absence from the Bank's disclosure. It is not. CSUK published a leverage ratio for FY2019, FY2020, FY2021, FY2022 AND FY2023, and an LCR for all five, in its own standalone Pillar 3 editions for those years; all five leverage figures and a full seven-year average-basis LCR series are now on the Leverage Ratio and LCR sheets. See those sheets' notes for document, printed folio and the cross-edition restatements that are recorded but not applied.</t>
        </is>
      </c>
    </row>
    <row r="28" ht="380" customHeight="1">
      <c r="A28" s="8" t="inlineStr">
        <is>
          <t>(continued)
- Total Capital / Total Capital Ratio: a Capital adequacy note ('Own Funds' table: Total Tier 1/CET1 capital + Total Tier 2 capital = Own Funds) exists in every FY2016-FY2020 filing and gives a genuine, directly disclosed Total Capital (£ Own Funds) figure each year - populated on this sheet for FY2016-FY2020 only. The contradiction this paragraph used to flag - that the FY2021-FY2025 columns carried a 'not directly disclosed' claim on the same sheet - was referred to 'a future audit-only ticket'. THAT TICKET WAS KM1-032 AND THE CONTRADICTION IS NOW RESOLVED (18 September 2026): Total Capital IS directly disclosed for FY2021-FY2025, as row 3 of CSUK's own KM1 template and row 59 of its CC1, in the standalone Pillar 3 editions this workbook already cites. Both the Total Capital and Total Capital Ratio sheets now carry those years and name that source. The original claim was true only of the KPI table, which never carried a Total Capital line - a statement about ONE document read as a statement about the bank's disclosure. The 2016 standalone Pillar 3 supplies a directly disclosed 23.7% Total Capital ratio for FY2016; FY2017-FY2020 remain blank because no directly disclosed ratio has yet been located for those years.
- Asset Quality's loan-book note uses the SAME UK/Foreign x Commercial/Consumer borrower-type format in every FY2016-FY2020 filing checked as the format already used on this sheet for FY2021-FY2023 - no IFRS 9 stage-level (Stage 1/2/3) split exists in the PRIMARY 'Loans and advances' note in any year (a separate, secondary Stage 1/2/3 ECL-movement table exists in the Expected Credit Loss Measurement note from FY2019 onward, but that is not the note the Balance Sheet's own Loans and advances figure ties to - the borrower-type note is). FY2018's own filing lacks the borrower-type table entirely (it only shows loans by maturity bucket and by collateral, with no 'Gross Impaired loans' concept at all) - its borrower-type figures and Gross Impaired loans total were instead sourced from the FY2019 filing's own FY2018 comparative column, which independently reconciles to FY2018's own disclosed Total Net loans. FY2016's Gross Impaired loans figure was similarly sourced from FY2017's own FY2016 comparative column (FY2016's own filing has no Gross Impaired loans line either). Pre-IFRS 9 (adopted 1 January 2018) years show no Profit &amp; Loss 'Allowance for credit losses' line item at all - only a Statement of Financial Position note giving a simple opening/closing impairment-allowance movement (an incurred-loss model, IAS 39 basis) - left blank on the P&amp;L for FY2016/FY2017 rather than force-mapped.
- Statement of Changes in Equity: FY2016-FY2018 carry a genuine 'Accumulated other comprehensive income' (available-for-sale reserve) equity component that FY2019 onward does not - added as a new column on that sheet, populated only where it applies, rather than merged into Retained earnings. The IFRS 9 initial-application adjustment at 1 January 2018 (a genuine +£2,535k reclassification into Retained earnings, -£2,289k out of AOCI) is shown as its own adjustment row, not folded into 'the year's comprehensive income'. FY2019's own filing reports closing Total shareholders' equity of £322,943k (Retained earnings £9,013k) - FY2020's own filing then restates the FY2019 OPENING balance down by £1,431k (net of tax, a 'correction of error', not otherwise explained) to £321,512k. Per this project's convention of using each year's own filing rather than a later year's restated comparative, FY2019's column keeps its own-filing figure (£322,943k/£9,013k); the FY2020 restatement is instead shown as an explicit 'Correction of error' bridging row between the FY2019 and FY2020 columns, so nothing is silently overwritten and the FY2020 opening balance still ties exactly to the £341,173k FY2020 closing.
- Cash Flow Statement: FY2016/FY2017/FY2018's own filings show no separate 'Effect of exchange rate fluctuations on cash and cash equivalents' line after the net movement in cash (FX effects are folded into the operating-activities reconciliation instead) - that line only appears as its own row from the FY2019 filing onward. Left blank for FY2016-FY2018 rather than force-derived from a residual.
TWO MAJOR DISCLOSED BUSINESS EVENTS, both flagged rather than treated as anomalies:
(1) FY2023: a pre-tax loss of £26.2m driven by £44.8m of UBS-acquisition-related expenses (accelerated lease costs, intangibles impairment, recharged transaction costs) - underlying profit before tax (excluding these) was £18.6m.
(2) FY2025: on 20 June 2025 CSUK completed a Part VII business transfer (Financial Services and Markets Act 2000) of most of its wealth-management clients to UBS AG London Branch, following a Business Transfer Agreement signed 20 December 2024. This shows up directly in the FY2025 cash flow statement as a £539,843k 'Cash receipt from business transfer' investing-activities line and a £1,278k 'Loss from the business transfer' operating-activities adjustment, and drove RWAs down from £672m (FY2024) to £160m (FY2025) and CET1/leverage ratios sharply higher (smaller balance sheet, same capital base). CSUK's remaining business post-transfer is the limited-scope Credit Suisse London Nominees ('CSLN') hedge-fund sub-custody activity.
Full opening-to-closing cash bridge ties across all 10 years, with several small gaps in the source documents' own printed figures, none force-corrected: FY2022 closing £475,709k vs FY2023 opening £475,664k (£45k gap, explicitly explained by the FY2023 report's own footnote as the year-over-year change in the ECL allowance excluded from the cash figure); and FY2023's own three-line tail (opening £475,664k + net increase £97,529k - FX effect £24,570k = £548,623k) doesn't quite match FY2023's own printed closing balance of £548,659k (a £36k gap, source unexplained, not present in any other year - kept exactly as printed on both sides rather than adjusted to force a match). FY2021 closing £408,082k = FY2022 opening exactly; FY2023 closing £548,659k = FY2024 opening exactly; FY2024 closing £341,768k = FY2025 opening exactly; FY2016 closing £432,924k = FY2017 opening exactly; FY2018 closing £197,301k = FY2019 opening exactly. Two further gaps found in the newly-added FY2016-FY2020 window, both kept as printed rather than force-matched: FY2017's own filing shows FY2017 closing cash of £499,549k, but FY2018's own filing's FY2017 COMPARATIVE column shows only £457,975k - a £41,574k gap that exactly equals the difference between the two filings' 'Interest-bearing deposits with banks' figures for the same date (£4,885k per FY2017's own filing vs £46,459k per FY2018's FY2017 comparative), confirming this is a genuine RECLASSIFICATION between the two balance-sheet lines made in the FY2018 filing's presentation of its FY2017 comparative, not a real cash discrepancy - both years' own-filing figures are kept as reported. FY2019's own filing shows FY2019 closing cash of £447,816k, but FY2020's own filing's FY2019 comparative shows £440,029k (a £7,787k gap, source unexplained - no matching reclassification was found this time, flagged for a future audit ticket rather than silently resolved).</t>
        </is>
      </c>
    </row>
    <row r="30" ht="380" customHeight="1">
      <c r="A30" s="8" t="inlineStr">
        <is>
          <t>(continued)
PRESENTATION NOTE: the Balance Sheet's own line items vary genuinely across years - 'Current tax assets' is absent from the FY2021 report (present FY2022-25); 'Deferred tax assets' appears only FY2021/FY2022; 'Intangible assets'/'Goodwill' are FY2021-23 only (goodwill fully impaired in FY2021, intangibles fully impaired/written off by FY2025); 'Short-term borrowings' as its own liability line first appears FY2022 onward (not disclosed as a separate line in FY2021). The Profit &amp; Loss reflects two genuine one-off lines: FY2021's 'Impairment on goodwill' (£13,752k, no equivalent in later years) and FY2025's 'Loss from the business transfer' (£1,278k, tied to the Part VII transfer - see ENTITY NOTE above). All reproduced as reported, blank cells where a year's own report doesn't carry that line.
FY2016-FY2020 (added under HD-026): 'Current tax assets' is present FY2016-FY2019 (£287k/£274k/£287k/£0k respectively) but absent as a line item in FY2020 (continuing the same absence into FY2021, reappearing FY2022); 'Deferred tax assets' and 'Intangible assets'/'Goodwill' (constant £13,752k every year, only impaired in FY2021 - see above) are present in all 5; 'Financial assets available for sale' is a genuine asset line existing FY2016-FY2018 only (£2,010k/£2,326k/£0k) - it disappears entirely from FY2019 onward, in step with the AOCI equity component it funds (see Statement of Changes in Equity note above), both consistent with the 1 January 2018 IFRS 9 transition reclassifying available-for-sale securities; 'Short-term borrowings' as its own liability line does not exist in any of FY2016-FY2020 (first appears FY2022). Pre-IFRS-9 (adopted 1 January 2018) years FY2016/FY2017 show no 'Allowance for expected credit losses' P&amp;L line at all (an incurred-loss, not expected-loss, model) - left blank rather than force-mapped from the separate impairment-movement note. See ENTITY NOTE above for the FY2016-FY2018 AOCI equity component and the FY2019/FY2020 restatement.</t>
        </is>
      </c>
    </row>
  </sheetData>
  <mergeCells count="3">
    <mergeCell ref="A30:K30"/>
    <mergeCell ref="A28:K28"/>
    <mergeCell ref="A26:K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Credit Suisse (UK) Limited — Statement of Changes in Equity</t>
        </is>
      </c>
    </row>
    <row r="2">
      <c r="A2" s="2" t="inlineStr">
        <is>
          <t>£'000, chronological, FY2016-FY2025. Every year's closing balance ties exactly to the Balance Sheet's own Total shareholders' equity and to the next year's own opening balance - no plug row needed, aside from the two explicit bridging rows (IFRS 9 initial application and the FY2020 correction of error) which are themselves fully disclosed movements, not plugs. AOCI (an available-for-sale reserve) only exists FY2016-FY2018 - blank thereafter, not zero, since it stops being a distinct line item rather than being drawn down to nil. See source note at bottom.</t>
        </is>
      </c>
    </row>
    <row r="3">
      <c r="A3" s="4" t="inlineStr">
        <is>
          <t>Movement</t>
        </is>
      </c>
      <c r="B3" s="4" t="inlineStr">
        <is>
          <t>Share capital</t>
        </is>
      </c>
      <c r="C3" s="4" t="inlineStr">
        <is>
          <t>Share premium</t>
        </is>
      </c>
      <c r="D3" s="4" t="inlineStr">
        <is>
          <t>Capital contribution</t>
        </is>
      </c>
      <c r="E3" s="4" t="inlineStr">
        <is>
          <t>AOCI (available-for-sale reserve)</t>
        </is>
      </c>
      <c r="F3" s="4" t="inlineStr">
        <is>
          <t>Retained earnings</t>
        </is>
      </c>
      <c r="G3" s="4" t="inlineStr">
        <is>
          <t>Total equity</t>
        </is>
      </c>
    </row>
    <row r="4">
      <c r="A4" s="5" t="inlineStr">
        <is>
          <t>At 1 January 2016</t>
        </is>
      </c>
      <c r="B4" s="5" t="n">
        <v>245230</v>
      </c>
      <c r="C4" s="5" t="n">
        <v>11200</v>
      </c>
      <c r="D4" s="5" t="n">
        <v>27500</v>
      </c>
      <c r="E4" s="5" t="n">
        <v>1658</v>
      </c>
      <c r="F4" s="5" t="n">
        <v>-76965</v>
      </c>
      <c r="G4" s="5" t="n">
        <v>208623</v>
      </c>
    </row>
    <row r="5">
      <c r="A5" s="6" t="inlineStr">
        <is>
          <t>Total comprehensive loss for the year (FY2016)</t>
        </is>
      </c>
      <c r="B5" s="6" t="n"/>
      <c r="C5" s="6" t="n"/>
      <c r="D5" s="6" t="n"/>
      <c r="E5" s="6" t="n">
        <v>315</v>
      </c>
      <c r="F5" s="6" t="n">
        <v>-444</v>
      </c>
      <c r="G5" s="6" t="n">
        <v>-129</v>
      </c>
    </row>
    <row r="6">
      <c r="A6" s="5" t="inlineStr">
        <is>
          <t>At 31 December 2016</t>
        </is>
      </c>
      <c r="B6" s="5" t="n">
        <v>245230</v>
      </c>
      <c r="C6" s="5" t="n">
        <v>11200</v>
      </c>
      <c r="D6" s="5" t="n">
        <v>27500</v>
      </c>
      <c r="E6" s="5" t="n">
        <v>1973</v>
      </c>
      <c r="F6" s="5" t="n">
        <v>-77409</v>
      </c>
      <c r="G6" s="5" t="n">
        <v>208494</v>
      </c>
    </row>
    <row r="7">
      <c r="A7" s="6" t="inlineStr">
        <is>
          <t>Total comprehensive income for the year (FY2017)</t>
        </is>
      </c>
      <c r="B7" s="6" t="n"/>
      <c r="C7" s="6" t="n"/>
      <c r="D7" s="6" t="n"/>
      <c r="E7" s="6" t="n">
        <v>316</v>
      </c>
      <c r="F7" s="6" t="n">
        <v>29034</v>
      </c>
      <c r="G7" s="6" t="n">
        <v>29350</v>
      </c>
    </row>
    <row r="8">
      <c r="A8" s="5" t="inlineStr">
        <is>
          <t>At 31 December 2017</t>
        </is>
      </c>
      <c r="B8" s="5" t="n">
        <v>245230</v>
      </c>
      <c r="C8" s="5" t="n">
        <v>11200</v>
      </c>
      <c r="D8" s="5" t="n">
        <v>27500</v>
      </c>
      <c r="E8" s="5" t="n">
        <v>2289</v>
      </c>
      <c r="F8" s="5" t="n">
        <v>-48375</v>
      </c>
      <c r="G8" s="5" t="n">
        <v>237844</v>
      </c>
    </row>
    <row r="9">
      <c r="A9" s="6" t="inlineStr">
        <is>
          <t>IFRS 9 initial-application adjustment (net of tax, 1 Jan 2018)</t>
        </is>
      </c>
      <c r="B9" s="6" t="n"/>
      <c r="C9" s="6" t="n"/>
      <c r="D9" s="6" t="n"/>
      <c r="E9" s="6" t="n">
        <v>-2289</v>
      </c>
      <c r="F9" s="6" t="n">
        <v>2535</v>
      </c>
      <c r="G9" s="6" t="n">
        <v>246</v>
      </c>
    </row>
    <row r="10">
      <c r="A10" s="5" t="inlineStr">
        <is>
          <t>Adjusted balance at 1 January 2018</t>
        </is>
      </c>
      <c r="B10" s="5" t="n">
        <v>245230</v>
      </c>
      <c r="C10" s="5" t="n">
        <v>11200</v>
      </c>
      <c r="D10" s="5" t="n">
        <v>27500</v>
      </c>
      <c r="E10" s="5" t="n">
        <v>0</v>
      </c>
      <c r="F10" s="5" t="n">
        <v>-45840</v>
      </c>
      <c r="G10" s="5" t="n">
        <v>238090</v>
      </c>
    </row>
    <row r="11">
      <c r="A11" s="6" t="inlineStr">
        <is>
          <t>Total comprehensive income for the year (FY2018)</t>
        </is>
      </c>
      <c r="B11" s="6" t="n"/>
      <c r="C11" s="6" t="n"/>
      <c r="D11" s="6" t="n"/>
      <c r="E11" s="6" t="n"/>
      <c r="F11" s="6" t="n">
        <v>29200</v>
      </c>
      <c r="G11" s="6" t="n">
        <v>29200</v>
      </c>
    </row>
    <row r="12">
      <c r="A12" s="6" t="inlineStr">
        <is>
          <t>Contribution to Capital reserve (FY2018)</t>
        </is>
      </c>
      <c r="B12" s="6" t="n"/>
      <c r="C12" s="6" t="n"/>
      <c r="D12" s="6" t="n">
        <v>30000</v>
      </c>
      <c r="E12" s="6" t="n"/>
      <c r="F12" s="6" t="n"/>
      <c r="G12" s="6" t="n">
        <v>30000</v>
      </c>
    </row>
    <row r="13">
      <c r="A13" s="5" t="inlineStr">
        <is>
          <t>At 31 December 2018</t>
        </is>
      </c>
      <c r="B13" s="5" t="n">
        <v>245230</v>
      </c>
      <c r="C13" s="5" t="n">
        <v>11200</v>
      </c>
      <c r="D13" s="5" t="n">
        <v>57500</v>
      </c>
      <c r="E13" s="5" t="n">
        <v>0</v>
      </c>
      <c r="F13" s="5" t="n">
        <v>-16640</v>
      </c>
      <c r="G13" s="5" t="n">
        <v>297290</v>
      </c>
    </row>
    <row r="14">
      <c r="A14" s="6" t="inlineStr">
        <is>
          <t>Total comprehensive income for the year (FY2019, as originally reported)</t>
        </is>
      </c>
      <c r="B14" s="6" t="n"/>
      <c r="C14" s="6" t="n"/>
      <c r="D14" s="6" t="n"/>
      <c r="E14" s="6" t="n"/>
      <c r="F14" s="6" t="n">
        <v>25653</v>
      </c>
      <c r="G14" s="6" t="n">
        <v>25653</v>
      </c>
    </row>
    <row r="15">
      <c r="A15" s="5" t="inlineStr">
        <is>
          <t>At 31 December 2019 (as originally reported)</t>
        </is>
      </c>
      <c r="B15" s="5" t="n">
        <v>245230</v>
      </c>
      <c r="C15" s="5" t="n">
        <v>11200</v>
      </c>
      <c r="D15" s="5" t="n">
        <v>57500</v>
      </c>
      <c r="E15" s="5" t="n">
        <v>0</v>
      </c>
      <c r="F15" s="5" t="n">
        <v>9013</v>
      </c>
      <c r="G15" s="5" t="n">
        <v>322943</v>
      </c>
    </row>
    <row r="16">
      <c r="A16" s="6" t="inlineStr">
        <is>
          <t>Correction of error, net of tax (per FY2020's own filing, not otherwise explained)</t>
        </is>
      </c>
      <c r="B16" s="6" t="n"/>
      <c r="C16" s="6" t="n"/>
      <c r="D16" s="6" t="n"/>
      <c r="E16" s="6" t="n"/>
      <c r="F16" s="6" t="n">
        <v>-1431</v>
      </c>
      <c r="G16" s="6" t="n">
        <v>-1431</v>
      </c>
    </row>
    <row r="17">
      <c r="A17" s="5" t="inlineStr">
        <is>
          <t>Restated balance at 1 January 2020</t>
        </is>
      </c>
      <c r="B17" s="5" t="n">
        <v>245230</v>
      </c>
      <c r="C17" s="5" t="n">
        <v>11200</v>
      </c>
      <c r="D17" s="5" t="n">
        <v>57500</v>
      </c>
      <c r="E17" s="5" t="n">
        <v>0</v>
      </c>
      <c r="F17" s="5" t="n">
        <v>7582</v>
      </c>
      <c r="G17" s="5" t="n">
        <v>321512</v>
      </c>
    </row>
    <row r="18">
      <c r="A18" s="6" t="inlineStr">
        <is>
          <t>Total comprehensive income for the year (FY2020)</t>
        </is>
      </c>
      <c r="B18" s="6" t="n"/>
      <c r="C18" s="6" t="n"/>
      <c r="D18" s="6" t="n"/>
      <c r="E18" s="6" t="n"/>
      <c r="F18" s="6" t="n">
        <v>19661</v>
      </c>
      <c r="G18" s="6" t="n">
        <v>19661</v>
      </c>
    </row>
    <row r="19">
      <c r="A19" s="5" t="inlineStr">
        <is>
          <t>At 31 December 2020</t>
        </is>
      </c>
      <c r="B19" s="5" t="n">
        <v>245230</v>
      </c>
      <c r="C19" s="5" t="n">
        <v>11200</v>
      </c>
      <c r="D19" s="5" t="n">
        <v>57500</v>
      </c>
      <c r="E19" s="5" t="n">
        <v>0</v>
      </c>
      <c r="F19" s="5" t="n">
        <v>27243</v>
      </c>
      <c r="G19" s="5" t="n">
        <v>341173</v>
      </c>
    </row>
    <row r="20">
      <c r="A20" s="5" t="inlineStr">
        <is>
          <t>At 1 January 2021</t>
        </is>
      </c>
      <c r="B20" s="5" t="n">
        <v>245230</v>
      </c>
      <c r="C20" s="5" t="n">
        <v>11200</v>
      </c>
      <c r="D20" s="5" t="n">
        <v>57500</v>
      </c>
      <c r="E20" s="5" t="n"/>
      <c r="F20" s="5" t="n">
        <v>27243</v>
      </c>
      <c r="G20" s="5" t="n">
        <v>341173</v>
      </c>
    </row>
    <row r="21">
      <c r="A21" s="6" t="inlineStr">
        <is>
          <t>Total comprehensive income for the year (FY2021)</t>
        </is>
      </c>
      <c r="B21" s="6" t="n"/>
      <c r="C21" s="6" t="n"/>
      <c r="D21" s="6" t="n"/>
      <c r="E21" s="6" t="n"/>
      <c r="F21" s="6" t="n">
        <v>10055</v>
      </c>
      <c r="G21" s="6" t="n">
        <v>10055</v>
      </c>
    </row>
    <row r="22">
      <c r="A22" s="5" t="inlineStr">
        <is>
          <t>At 31 December 2021</t>
        </is>
      </c>
      <c r="B22" s="5" t="n">
        <v>245230</v>
      </c>
      <c r="C22" s="5" t="n">
        <v>11200</v>
      </c>
      <c r="D22" s="5" t="n">
        <v>57500</v>
      </c>
      <c r="E22" s="5" t="n"/>
      <c r="F22" s="5" t="n">
        <v>37298</v>
      </c>
      <c r="G22" s="5" t="n">
        <v>351228</v>
      </c>
    </row>
    <row r="23">
      <c r="A23" s="6" t="inlineStr">
        <is>
          <t>Total comprehensive income for the year (FY2022)</t>
        </is>
      </c>
      <c r="B23" s="6" t="n"/>
      <c r="C23" s="6" t="n"/>
      <c r="D23" s="6" t="n"/>
      <c r="E23" s="6" t="n"/>
      <c r="F23" s="6" t="n">
        <v>14458</v>
      </c>
      <c r="G23" s="6" t="n">
        <v>14458</v>
      </c>
    </row>
    <row r="24">
      <c r="A24" s="6" t="inlineStr">
        <is>
          <t>Dividend paid (FY2022)</t>
        </is>
      </c>
      <c r="B24" s="6" t="n"/>
      <c r="C24" s="6" t="n"/>
      <c r="D24" s="6" t="n"/>
      <c r="E24" s="6" t="n"/>
      <c r="F24" s="6" t="n">
        <v>-20000</v>
      </c>
      <c r="G24" s="6" t="n">
        <v>-20000</v>
      </c>
    </row>
    <row r="25">
      <c r="A25" s="5" t="inlineStr">
        <is>
          <t>At 31 December 2022</t>
        </is>
      </c>
      <c r="B25" s="5" t="n">
        <v>245230</v>
      </c>
      <c r="C25" s="5" t="n">
        <v>11200</v>
      </c>
      <c r="D25" s="5" t="n">
        <v>57500</v>
      </c>
      <c r="E25" s="5" t="n"/>
      <c r="F25" s="5" t="n">
        <v>31756</v>
      </c>
      <c r="G25" s="5" t="n">
        <v>345686</v>
      </c>
    </row>
    <row r="26">
      <c r="A26" s="6" t="inlineStr">
        <is>
          <t>Total comprehensive loss for the year (FY2023)</t>
        </is>
      </c>
      <c r="B26" s="6" t="n"/>
      <c r="C26" s="6" t="n"/>
      <c r="D26" s="6" t="n"/>
      <c r="E26" s="6" t="n"/>
      <c r="F26" s="6" t="n">
        <v>-23134</v>
      </c>
      <c r="G26" s="6" t="n">
        <v>-23134</v>
      </c>
    </row>
    <row r="27">
      <c r="A27" s="6" t="inlineStr">
        <is>
          <t>Dividend paid (FY2023)</t>
        </is>
      </c>
      <c r="B27" s="6" t="n"/>
      <c r="C27" s="6" t="n"/>
      <c r="D27" s="6" t="n">
        <v>-30000</v>
      </c>
      <c r="E27" s="6" t="n"/>
      <c r="F27" s="6" t="n"/>
      <c r="G27" s="6" t="n">
        <v>-30000</v>
      </c>
    </row>
    <row r="28">
      <c r="A28" s="5" t="inlineStr">
        <is>
          <t>At 31 December 2023</t>
        </is>
      </c>
      <c r="B28" s="5" t="n">
        <v>245230</v>
      </c>
      <c r="C28" s="5" t="n">
        <v>11200</v>
      </c>
      <c r="D28" s="5" t="n">
        <v>27500</v>
      </c>
      <c r="E28" s="5" t="n"/>
      <c r="F28" s="5" t="n">
        <v>8622</v>
      </c>
      <c r="G28" s="5" t="n">
        <v>292552</v>
      </c>
    </row>
    <row r="29">
      <c r="A29" s="6" t="inlineStr">
        <is>
          <t>Total comprehensive income for the year (FY2024)</t>
        </is>
      </c>
      <c r="B29" s="6" t="n"/>
      <c r="C29" s="6" t="n"/>
      <c r="D29" s="6" t="n"/>
      <c r="E29" s="6" t="n"/>
      <c r="F29" s="6" t="n">
        <v>6888</v>
      </c>
      <c r="G29" s="6" t="n">
        <v>6888</v>
      </c>
    </row>
    <row r="30">
      <c r="A30" s="5" t="inlineStr">
        <is>
          <t>At 31 December 2024</t>
        </is>
      </c>
      <c r="B30" s="5" t="n">
        <v>245230</v>
      </c>
      <c r="C30" s="5" t="n">
        <v>11200</v>
      </c>
      <c r="D30" s="5" t="n">
        <v>27500</v>
      </c>
      <c r="E30" s="5" t="n"/>
      <c r="F30" s="5" t="n">
        <v>15510</v>
      </c>
      <c r="G30" s="5" t="n">
        <v>299440</v>
      </c>
    </row>
    <row r="31">
      <c r="A31" s="6" t="inlineStr">
        <is>
          <t>Total comprehensive income for the year (FY2025)</t>
        </is>
      </c>
      <c r="B31" s="6" t="n"/>
      <c r="C31" s="6" t="n"/>
      <c r="D31" s="6" t="n"/>
      <c r="E31" s="6" t="n"/>
      <c r="F31" s="6" t="n">
        <v>6361</v>
      </c>
      <c r="G31" s="6" t="n">
        <v>6361</v>
      </c>
    </row>
    <row r="32">
      <c r="A32" s="5" t="inlineStr">
        <is>
          <t>At 31 December 2025</t>
        </is>
      </c>
      <c r="B32" s="5" t="n">
        <v>245230</v>
      </c>
      <c r="C32" s="5" t="n">
        <v>11200</v>
      </c>
      <c r="D32" s="5" t="n">
        <v>27500</v>
      </c>
      <c r="E32" s="5" t="n"/>
      <c r="F32" s="5" t="n">
        <v>21871</v>
      </c>
      <c r="G32" s="5" t="n">
        <v>305801</v>
      </c>
    </row>
    <row r="34" ht="338" customHeight="1">
      <c r="A34" s="8" t="inlineStr">
        <is>
          <t>Sources - Credit Suisse (UK) Limited's own Statement of Income / Statement of Financial Position / Statement of Changes in Equity, transcribed from each year's own Companies House filing (not a later year's comparative column):
FY2025/FY2024: Full accounts to 31 Dec 2025 (Companies House, filed 25 Apr 2026), pp.44-47 - https://find-and-update.company-information.service.gov.uk/company/02009520/filing-history/MzUxNzE0OTI3NGFkaXF6a2N4/document?format=pdf&amp;download=0
FY2023/FY2022: Full accounts to 31 Dec 2023 (Companies House, filed 27 Apr 2024), pp.38-40 - https://find-and-update.company-information.service.gov.uk/company/02009520/filing-history/MzQxOTY5NDQ0MWFkaXF6a2N4/document?format=pdf&amp;download=0
FY2021: Full accounts to 31 Dec 2021 (Companies House, filed 22 Apr 2022), pp.43-45 - https://find-and-update.company-information.service.gov.uk/company/02009520/filing-history/MzMzNzU0NDMwOWFkaXF6a2N4/document?format=pdf&amp;download=0
FY2020: Full accounts to 31 Dec 2020 (Companies House, filed 25 May 2021), pp.44-46 - https://find-and-update.company-information.service.gov.uk/company/02009520/filing-history/MzMwMTQ3Nzk1MmFkaXF6a2N4/document?format=pdf&amp;download=0
FY2019: Full accounts to 31 Dec 2019 (Companies House, filed 20 Apr 2020), pp.38-40 - https://find-and-update.company-information.service.gov.uk/company/02009520/filing-history/MzI2MjYyNzE3OGFkaXF6a2N4/document?format=pdf&amp;download=0
FY2018: Full accounts to 31 Dec 2018 (Companies House, filed 01 May 2019), pp.41-43 - https://find-and-update.company-information.service.gov.uk/company/02009520/filing-history/MzIzMzQ0Nzg3OWFkaXF6a2N4/document?format=pdf&amp;download=0
FY2017: Full accounts to 31 Dec 2017 (Companies House, filed 01 May 2018), pp.24-27 - https://find-and-update.company-information.service.gov.uk/company/02009520/filing-history/MzIwMzkxNjcwMmFkaXF6a2N4/document?format=pdf&amp;download=0
FY2016: Full accounts to 31 Dec 2016 (Companies House, filed 28 Apr 2017), pp.20-23 - https://find-and-update.company-information.service.gov.uk/company/02009520/filing-history/MzE3NDY1MzYyMmFkaXF6a2N4/document?format=pdf&amp;download=0
Credit Suisse (UK) Limited ('CSUK', company 02009520, FRN 124269) - a UK private-banking/wealth-management subsidiary. Ultimate parent is UBS Group AG following UBS's acquisition of Credit Suisse Group (announced March 2023, completed June 2023) - CSUK itself remains an active, separately-reporting PRA entity throughout, still filing under its original name as of the FY2025 filing (Apr 2026). All 10 Companies House filings (FY2016-FY2025) were fully scanned/image-only, transcribed via page rendering.
HISTORICAL-DEPTH EXTENSION (HD-026, 2026-09-06): extended back to FY2016, this entity's confirmed floor per HD-004 (entity itself dates to 1985 as company 02009520, but this is capped project-wide at FY2014 regardless, and no FY2014/FY2015 filing was in scope for this ticket). Re-verified via each year's own Companies House filing rather than relying on HD-004's domain/scan signal alone. Genuine format changes found across the extended window, all documented rather than smoothed over:</t>
        </is>
      </c>
    </row>
    <row r="36" ht="351" customHeight="1">
      <c r="A36" s="8" t="inlineStr">
        <is>
          <t>(continued)
- FY2016/FY2017 Annual Reports carry no 'Key Performance Indicators' summary table at all (introduced only from the FY2018 Annual Report onward) - FY2017's KPI-style figures (RWA, CET1 ratio, Leverage Ratio, CET1 Capital) were sourced from the FY2018 report's own FY2017 comparative column; no such comparative exists anywhere for FY2016, so FY2016's RWA, CET1/Tier1 Ratio, Leverage Ratio, LCR and NSFR are self-skipped as undisclosed in any filing obtained. QUALIFIED 18 September 2026 (KM1-032): the parenthetical here used to read 'confirmed via a Wayback CDX search of credit-suisse.com for a standalone Pillar 3 document, which returned no CSUK-specific hit before the search was judged uneconomical to keep pursuing', and the word 'confirmed' was doing work the search cannot support. A CDX search that was abandoned for cost is not an enumeration, and an archive scan can never see a live-only document in any case. The correct status of the FY2016 standalone Pillar 3 is UNPROVEN, not absent - and note that CSUK's standalone Pillar 3 documents for later years demonstrably DO exist and are used on the KM1 and capital sheets of this workbook, so the premise that CSUK published none is already known to be false for other years. SETTLED IN PART, 18 September 2026 (interior-gap sweep): a 2016 CSUK Pillar 3 edition DOES exist and is listed by name on the UBS-hosted Credit Suisse legal-entity ARCHIVE index, which was successfully enumerated that day at https://www.ubs.com/global/en/investor-relations/complementary-financial-information/disclosure-legal-entities/archive-credit-suisse.html (plain curl clears the 403 that a browser User-Agent triggers). That index lists a CSUK edition for every year 2014-2023. RESOLVED 19 September 2026: the 2016 edition was opened and supplies the previously missing FY2016 CET1/Tier 1 ratio, Total Capital ratio, Total RWA and leverage ratio. FY2016 CET1/Tier 1 Capital (the £ amount) remains sourced from the Annual Report's Capital adequacy note.
- Leverage Ratio is disclosed only in the FY2017/FY2018 KPI TABLES (6.3%/7.8%) - absent from FY2016 (no KPI table) and from FY2019/FY2020's own KPI tables (which dropped the 'Statement of Financial Position' KPI section entirely). Average LCR is disclosed only in the FY2018 KPI table (154%) - FY2017's KPI table explicitly shows 'n/a', and FY2019/FY2020 KPI tables carry no LCR figure at all (only a Liquidity Buffer £ amount). NSFR is not found in any FY2016-FY2020 KPI table.
  CORRECTED 18 September 2026: every sentence in the paragraph above is about ONE DOCUMENT TYPE, the Annual Report KPI table, and it is still accurate about that document. What it used to do, and no longer does, is finish each clause with 'consistent with the already-known gap' - reading an absence from the KPI table as an absence from the Bank's disclosure. It is not. CSUK published a leverage ratio for FY2019, FY2020, FY2021, FY2022 AND FY2023, and an LCR for all five, in its own standalone Pillar 3 editions for those years; all five leverage figures and a full seven-year average-basis LCR series are now on the Leverage Ratio and LCR sheets. See those sheets' notes for document, printed folio and the cross-edition restatements that are recorded but not applied.
- Total Capital / Total Capital Ratio: a Capital adequacy note ('Own Funds' table: Total Tier 1/CET1 capital + Total Tier 2 capital = Own Funds) exists in every FY2016-FY2020 filing and gives a genuine, directly disclosed Total Capital (£ Own Funds) figure each year - populated on this sheet for FY2016-FY2020 only. The contradiction this paragraph used to flag - that the FY2021-FY2025 columns carried a 'not directly disclosed' claim on the same sheet - was referred to 'a future audit-only ticket'. THAT TICKET WAS KM1-032 AND THE CONTRADICTION IS NOW RESOLVED (18 September 2026): Total Capital IS directly disclosed for FY2021-FY2025, as row 3 of CSUK's own KM1 template and row 59 of its CC1, in the standalone Pillar 3 editions this workbook already cites. Both the Total Capital and Total Capital Ratio sheets now carry those years and name that source. The original claim was true only of the KPI table, which never carried a Total Capital line - a statement about ONE document read as a statement about the bank's disclosure. The 2016 standalone Pillar 3 supplies a directly disclosed 23.7% Total Capital ratio for FY2016; FY2017-FY2020 remain blank because no directly disclosed ratio has yet been located for those years.</t>
        </is>
      </c>
    </row>
    <row r="38" ht="351" customHeight="1">
      <c r="A38" s="8" t="inlineStr">
        <is>
          <t>(continued)
- Asset Quality's loan-book note uses the SAME UK/Foreign x Commercial/Consumer borrower-type format in every FY2016-FY2020 filing checked as the format already used on this sheet for FY2021-FY2023 - no IFRS 9 stage-level (Stage 1/2/3) split exists in the PRIMARY 'Loans and advances' note in any year (a separate, secondary Stage 1/2/3 ECL-movement table exists in the Expected Credit Loss Measurement note from FY2019 onward, but that is not the note the Balance Sheet's own Loans and advances figure ties to - the borrower-type note is). FY2018's own filing lacks the borrower-type table entirely (it only shows loans by maturity bucket and by collateral, with no 'Gross Impaired loans' concept at all) - its borrower-type figures and Gross Impaired loans total were instead sourced from the FY2019 filing's own FY2018 comparative column, which independently reconciles to FY2018's own disclosed Total Net loans. FY2016's Gross Impaired loans figure was similarly sourced from FY2017's own FY2016 comparative column (FY2016's own filing has no Gross Impaired loans line either). Pre-IFRS 9 (adopted 1 January 2018) years show no Profit &amp; Loss 'Allowance for credit losses' line item at all - only a Statement of Financial Position note giving a simple opening/closing impairment-allowance movement (an incurred-loss model, IAS 39 basis) - left blank on the P&amp;L for FY2016/FY2017 rather than force-mapped.
- Statement of Changes in Equity: FY2016-FY2018 carry a genuine 'Accumulated other comprehensive income' (available-for-sale reserve) equity component that FY2019 onward does not - added as a new column on that sheet, populated only where it applies, rather than merged into Retained earnings. The IFRS 9 initial-application adjustment at 1 January 2018 (a genuine +£2,535k reclassification into Retained earnings, -£2,289k out of AOCI) is shown as its own adjustment row, not folded into 'the year's comprehensive income'. FY2019's own filing reports closing Total shareholders' equity of £322,943k (Retained earnings £9,013k) - FY2020's own filing then restates the FY2019 OPENING balance down by £1,431k (net of tax, a 'correction of error', not otherwise explained) to £321,512k. Per this project's convention of using each year's own filing rather than a later year's restated comparative, FY2019's column keeps its own-filing figure (£322,943k/£9,013k); the FY2020 restatement is instead shown as an explicit 'Correction of error' bridging row between the FY2019 and FY2020 columns, so nothing is silently overwritten and the FY2020 opening balance still ties exactly to the £341,173k FY2020 closing.
- Cash Flow Statement: FY2016/FY2017/FY2018's own filings show no separate 'Effect of exchange rate fluctuations on cash and cash equivalents' line after the net movement in cash (FX effects are folded into the operating-activities reconciliation instead) - that line only appears as its own row from the FY2019 filing onward. Left blank for FY2016-FY2018 rather than force-derived from a residual.
TWO MAJOR DISCLOSED BUSINESS EVENTS, both flagged rather than treated as anomalies:
(1) FY2023: a pre-tax loss of £26.2m driven by £44.8m of UBS-acquisition-related expenses (accelerated lease costs, intangibles impairment, recharged transaction costs) - underlying profit before tax (excluding these) was £18.6m.
(2) FY2025: on 20 June 2025 CSUK completed a Part VII business transfer (Financial Services and Markets Act 2000) of most of its wealth-management clients to UBS AG London Branch, following a Business Transfer Agreement signed 20 December 2024. This shows up directly in the FY2025 cash flow statement as a £539,843k 'Cash receipt from business transfer' investing-activities line and a £1,278k 'Loss from the business transfer' operating-activities adjustment, and drove RWAs down from £672m (FY2024) to £160m (FY2025) and CET1/leverage ratios sharply higher (smaller balance sheet, same capital base). CSUK's remaining business post-transfer is the limited-scope Credit Suisse London Nominees ('CSLN') hedge-fund sub-custody activity.</t>
        </is>
      </c>
    </row>
    <row r="40" ht="338" customHeight="1">
      <c r="A40" s="8" t="inlineStr">
        <is>
          <t>(continued)
Full opening-to-closing cash bridge ties across all 10 years, with several small gaps in the source documents' own printed figures, none force-corrected: FY2022 closing £475,709k vs FY2023 opening £475,664k (£45k gap, explicitly explained by the FY2023 report's own footnote as the year-over-year change in the ECL allowance excluded from the cash figure); and FY2023's own three-line tail (opening £475,664k + net increase £97,529k - FX effect £24,570k = £548,623k) doesn't quite match FY2023's own printed closing balance of £548,659k (a £36k gap, source unexplained, not present in any other year - kept exactly as printed on both sides rather than adjusted to force a match). FY2021 closing £408,082k = FY2022 opening exactly; FY2023 closing £548,659k = FY2024 opening exactly; FY2024 closing £341,768k = FY2025 opening exactly; FY2016 closing £432,924k = FY2017 opening exactly; FY2018 closing £197,301k = FY2019 opening exactly. Two further gaps found in the newly-added FY2016-FY2020 window, both kept as printed rather than force-matched: FY2017's own filing shows FY2017 closing cash of £499,549k, but FY2018's own filing's FY2017 COMPARATIVE column shows only £457,975k - a £41,574k gap that exactly equals the difference between the two filings' 'Interest-bearing deposits with banks' figures for the same date (£4,885k per FY2017's own filing vs £46,459k per FY2018's FY2017 comparative), confirming this is a genuine RECLASSIFICATION between the two balance-sheet lines made in the FY2018 filing's presentation of its FY2017 comparative, not a real cash discrepancy - both years' own-filing figures are kept as reported. FY2019's own filing shows FY2019 closing cash of £447,816k, but FY2020's own filing's FY2019 comparative shows £440,029k (a £7,787k gap, source unexplained - no matching reclassification was found this time, flagged for a future audit ticket rather than silently resolved).
PRESENTATION NOTE: the Balance Sheet's own line items vary genuinely across years - 'Current tax assets' is absent from the FY2021 report (present FY2022-25); 'Deferred tax assets' appears only FY2021/FY2022; 'Intangible assets'/'Goodwill' are FY2021-23 only (goodwill fully impaired in FY2021, intangibles fully impaired/written off by FY2025); 'Short-term borrowings' as its own liability line first appears FY2022 onward (not disclosed as a separate line in FY2021). The Profit &amp; Loss reflects two genuine one-off lines: FY2021's 'Impairment on goodwill' (£13,752k, no equivalent in later years) and FY2025's 'Loss from the business transfer' (£1,278k, tied to the Part VII transfer - see ENTITY NOTE above). All reproduced as reported, blank cells where a year's own report doesn't carry that line.
FY2016-FY2020 (added under HD-026): 'Current tax assets' is present FY2016-FY2019 (£287k/£274k/£287k/£0k respectively) but absent as a line item in FY2020 (continuing the same absence into FY2021, reappearing FY2022); 'Deferred tax assets' and 'Intangible assets'/'Goodwill' (constant £13,752k every year, only impaired in FY2021 - see above) are present in all 5; 'Financial assets available for sale' is a genuine asset line existing FY2016-FY2018 only (£2,010k/£2,326k/£0k) - it disappears entirely from FY2019 onward, in step with the AOCI equity component it funds (see Statement of Changes in Equity note above), both consistent with the 1 January 2018 IFRS 9 transition reclassifying available-for-sale securities; 'Short-term borrowings' as its own liability line does not exist in any of FY2016-FY2020 (first appears FY2022). Pre-IFRS-9 (adopted 1 January 2018) years FY2016/FY2017 show no 'Allowance for expected credit losses' P&amp;L line at all (an incurred-loss, not expected-loss, model) - left blank rather than force-mapped from the separate impairment-movement note. See ENTITY NOTE above for the FY2016-FY2018 AOCI equity component and the FY2019/FY2020 restatement.</t>
        </is>
      </c>
    </row>
  </sheetData>
  <mergeCells count="4">
    <mergeCell ref="A36:G36"/>
    <mergeCell ref="A38:G38"/>
    <mergeCell ref="A34:G34"/>
    <mergeCell ref="A40:G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Statement of Cash Flows</t>
        </is>
      </c>
    </row>
    <row r="2">
      <c r="A2" s="2" t="inlineStr">
        <is>
          <t>Entity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Operating activities</t>
        </is>
      </c>
      <c r="B4" s="6" t="n"/>
      <c r="C4" s="6" t="n"/>
      <c r="D4" s="6" t="n"/>
      <c r="E4" s="6" t="n"/>
      <c r="F4" s="6" t="n"/>
      <c r="G4" s="6" t="n"/>
      <c r="H4" s="6" t="n"/>
      <c r="I4" s="6" t="n"/>
      <c r="J4" s="6" t="n"/>
      <c r="K4" s="6" t="n"/>
    </row>
    <row r="5">
      <c r="A5" s="6" t="inlineStr">
        <is>
          <t>Profit/(loss) before tax for the year</t>
        </is>
      </c>
      <c r="B5" s="6" t="n">
        <v>9803</v>
      </c>
      <c r="C5" s="6" t="n">
        <v>10804</v>
      </c>
      <c r="D5" s="6" t="n">
        <v>-26199</v>
      </c>
      <c r="E5" s="6" t="n">
        <v>21421</v>
      </c>
      <c r="F5" s="6" t="n">
        <v>10907</v>
      </c>
      <c r="G5" s="6" t="n">
        <v>25167</v>
      </c>
      <c r="H5" s="6" t="n">
        <v>34581</v>
      </c>
      <c r="I5" s="6" t="n">
        <v>39880</v>
      </c>
      <c r="J5" s="6" t="n">
        <v>36211</v>
      </c>
      <c r="K5" s="6" t="n">
        <v>1198</v>
      </c>
    </row>
    <row r="6">
      <c r="A6" s="6" t="inlineStr">
        <is>
          <t>Loss from the business transfer</t>
        </is>
      </c>
      <c r="B6" s="6" t="n">
        <v>1278</v>
      </c>
      <c r="C6" s="6" t="n"/>
      <c r="D6" s="6" t="n"/>
      <c r="E6" s="6" t="n"/>
      <c r="F6" s="6" t="n"/>
      <c r="G6" s="6" t="n"/>
      <c r="H6" s="6" t="n"/>
      <c r="I6" s="6" t="n"/>
      <c r="J6" s="6" t="n"/>
      <c r="K6" s="6" t="n"/>
    </row>
    <row r="7">
      <c r="A7" s="6" t="inlineStr">
        <is>
          <t>Amortisation and impairment of intangible assets</t>
        </is>
      </c>
      <c r="B7" s="6" t="n"/>
      <c r="C7" s="6" t="n">
        <v>1137</v>
      </c>
      <c r="D7" s="6" t="n">
        <v>13582</v>
      </c>
      <c r="E7" s="6" t="n">
        <v>3566</v>
      </c>
      <c r="F7" s="6" t="n">
        <v>1852</v>
      </c>
      <c r="G7" s="6" t="n">
        <v>952</v>
      </c>
      <c r="H7" s="6" t="n">
        <v>1416</v>
      </c>
      <c r="I7" s="6" t="n">
        <v>3265</v>
      </c>
      <c r="J7" s="6" t="n">
        <v>3168</v>
      </c>
      <c r="K7" s="6" t="n">
        <v>3168</v>
      </c>
    </row>
    <row r="8">
      <c r="A8" s="6" t="inlineStr">
        <is>
          <t>Impairment on goodwill</t>
        </is>
      </c>
      <c r="B8" s="6" t="n"/>
      <c r="C8" s="6" t="n"/>
      <c r="D8" s="6" t="n"/>
      <c r="E8" s="6" t="n"/>
      <c r="F8" s="6" t="n">
        <v>13752</v>
      </c>
      <c r="G8" s="6" t="n"/>
      <c r="H8" s="6" t="n"/>
      <c r="I8" s="6" t="n"/>
      <c r="J8" s="6" t="n"/>
      <c r="K8" s="6" t="n"/>
    </row>
    <row r="9">
      <c r="A9" s="6" t="inlineStr">
        <is>
          <t>Gain on sale of financial assets, net of withholding tax</t>
        </is>
      </c>
      <c r="B9" s="6" t="n"/>
      <c r="C9" s="6" t="n"/>
      <c r="D9" s="6" t="n"/>
      <c r="E9" s="6" t="n"/>
      <c r="F9" s="6" t="n"/>
      <c r="G9" s="6" t="n"/>
      <c r="H9" s="6" t="n"/>
      <c r="I9" s="6" t="n">
        <v>-542</v>
      </c>
      <c r="J9" s="6" t="n"/>
      <c r="K9" s="6" t="n"/>
    </row>
    <row r="10">
      <c r="A10" s="6" t="inlineStr">
        <is>
          <t>Accrued interest on long term debt</t>
        </is>
      </c>
      <c r="B10" s="6" t="n">
        <v>1836</v>
      </c>
      <c r="C10" s="6" t="n">
        <v>14677</v>
      </c>
      <c r="D10" s="6" t="n">
        <v>34049</v>
      </c>
      <c r="E10" s="6" t="n">
        <v>12300</v>
      </c>
      <c r="F10" s="6" t="n">
        <v>1635</v>
      </c>
      <c r="G10" s="6" t="n">
        <v>1794</v>
      </c>
      <c r="H10" s="6" t="n">
        <v>2008</v>
      </c>
      <c r="I10" s="6" t="n">
        <v>720</v>
      </c>
      <c r="J10" s="6" t="n">
        <v>860</v>
      </c>
      <c r="K10" s="6" t="n">
        <v>909</v>
      </c>
    </row>
    <row r="11">
      <c r="A11" s="6" t="inlineStr">
        <is>
          <t>Accrued interest on short-term borrowings</t>
        </is>
      </c>
      <c r="B11" s="6" t="n">
        <v>12765</v>
      </c>
      <c r="C11" s="6" t="n">
        <v>40087</v>
      </c>
      <c r="D11" s="6" t="n">
        <v>44712</v>
      </c>
      <c r="E11" s="6" t="n">
        <v>8822</v>
      </c>
      <c r="F11" s="6" t="n"/>
      <c r="G11" s="6" t="n"/>
      <c r="H11" s="6" t="n"/>
      <c r="I11" s="6" t="n"/>
      <c r="J11" s="6" t="n"/>
      <c r="K11" s="6" t="n"/>
    </row>
    <row r="12">
      <c r="A12" s="6" t="inlineStr">
        <is>
          <t>Deferred fee income on loans</t>
        </is>
      </c>
      <c r="B12" s="6" t="n">
        <v>-499</v>
      </c>
      <c r="C12" s="6" t="n">
        <v>-2784</v>
      </c>
      <c r="D12" s="6" t="n">
        <v>-3102</v>
      </c>
      <c r="E12" s="6" t="n">
        <v>-3821</v>
      </c>
      <c r="F12" s="6" t="n"/>
      <c r="G12" s="6" t="n"/>
      <c r="H12" s="6" t="n"/>
      <c r="I12" s="6" t="n"/>
      <c r="J12" s="6" t="n"/>
      <c r="K12" s="6" t="n"/>
    </row>
    <row r="13">
      <c r="A13" s="6" t="inlineStr">
        <is>
          <t>Foreign exchange (gain)/loss</t>
        </is>
      </c>
      <c r="B13" s="6" t="n">
        <v>-2005</v>
      </c>
      <c r="C13" s="6" t="n">
        <v>-1583</v>
      </c>
      <c r="D13" s="6" t="n">
        <v>1721</v>
      </c>
      <c r="E13" s="6" t="n">
        <v>-2954</v>
      </c>
      <c r="F13" s="6" t="n">
        <v>-1339</v>
      </c>
      <c r="G13" s="6" t="n">
        <v>-6037</v>
      </c>
      <c r="H13" s="6" t="n">
        <v>9943</v>
      </c>
      <c r="I13" s="6" t="n">
        <v>-13</v>
      </c>
      <c r="J13" s="6" t="n">
        <v>12</v>
      </c>
      <c r="K13" s="6" t="n">
        <v>-41</v>
      </c>
    </row>
    <row r="14">
      <c r="A14" s="6" t="inlineStr">
        <is>
          <t>Share based Compensation (charge)/reversal</t>
        </is>
      </c>
      <c r="B14" s="6" t="n"/>
      <c r="C14" s="6" t="n">
        <v>-385</v>
      </c>
      <c r="D14" s="6" t="n">
        <v>394</v>
      </c>
      <c r="E14" s="6" t="n">
        <v>-40</v>
      </c>
      <c r="F14" s="6" t="n"/>
      <c r="G14" s="6" t="n"/>
      <c r="H14" s="6" t="n"/>
      <c r="I14" s="6" t="n"/>
      <c r="J14" s="6" t="n"/>
      <c r="K14" s="6" t="n"/>
    </row>
    <row r="15">
      <c r="A15" s="6" t="inlineStr">
        <is>
          <t>Allowance for expected credit losses (ECL)</t>
        </is>
      </c>
      <c r="B15" s="6" t="n">
        <v>-489</v>
      </c>
      <c r="C15" s="6" t="n">
        <v>1526</v>
      </c>
      <c r="D15" s="6" t="n">
        <v>3094</v>
      </c>
      <c r="E15" s="6" t="n">
        <v>1754</v>
      </c>
      <c r="F15" s="6" t="n">
        <v>-2571</v>
      </c>
      <c r="G15" s="6" t="n">
        <v>2441</v>
      </c>
      <c r="H15" s="6" t="n">
        <v>4913</v>
      </c>
      <c r="I15" s="6" t="n">
        <v>-214</v>
      </c>
      <c r="J15" s="6" t="n"/>
      <c r="K15" s="6" t="n"/>
    </row>
    <row r="16">
      <c r="A16" s="5" t="inlineStr">
        <is>
          <t>Cash generated before changes in operating assets and liabilities</t>
        </is>
      </c>
      <c r="B16" s="5" t="n">
        <v>22689</v>
      </c>
      <c r="C16" s="5" t="n">
        <v>63479</v>
      </c>
      <c r="D16" s="5" t="n">
        <v>68251</v>
      </c>
      <c r="E16" s="5" t="n">
        <v>41048</v>
      </c>
      <c r="F16" s="5" t="n">
        <v>24236</v>
      </c>
      <c r="G16" s="5" t="n">
        <v>24317</v>
      </c>
      <c r="H16" s="5" t="n">
        <v>52861</v>
      </c>
      <c r="I16" s="5" t="n">
        <v>43096</v>
      </c>
      <c r="J16" s="5" t="n">
        <v>40251</v>
      </c>
      <c r="K16" s="5" t="n">
        <v>5234</v>
      </c>
    </row>
    <row r="17">
      <c r="A17" s="6" t="inlineStr">
        <is>
          <t>Securities purchased under resale agreements</t>
        </is>
      </c>
      <c r="B17" s="6" t="n">
        <v>237260</v>
      </c>
      <c r="C17" s="6" t="n">
        <v>-110148</v>
      </c>
      <c r="D17" s="6" t="n">
        <v>106208</v>
      </c>
      <c r="E17" s="6" t="n">
        <v>486194</v>
      </c>
      <c r="F17" s="6" t="n">
        <v>-167802</v>
      </c>
      <c r="G17" s="6" t="n">
        <v>-70352</v>
      </c>
      <c r="H17" s="6" t="n">
        <v>223671</v>
      </c>
      <c r="I17" s="6" t="n">
        <v>-431836</v>
      </c>
      <c r="J17" s="6" t="n">
        <v>227815</v>
      </c>
      <c r="K17" s="6" t="n">
        <v>-11756</v>
      </c>
    </row>
    <row r="18">
      <c r="A18" s="6" t="inlineStr">
        <is>
          <t>Trading financial assets mandatorily at fair value through profit or loss</t>
        </is>
      </c>
      <c r="B18" s="6" t="n">
        <v>13944</v>
      </c>
      <c r="C18" s="6" t="n">
        <v>-314</v>
      </c>
      <c r="D18" s="6" t="n">
        <v>5183</v>
      </c>
      <c r="E18" s="6" t="n">
        <v>-4480</v>
      </c>
      <c r="F18" s="6" t="n">
        <v>20813</v>
      </c>
      <c r="G18" s="6" t="n">
        <v>-26837</v>
      </c>
      <c r="H18" s="6" t="n">
        <v>-2316</v>
      </c>
      <c r="I18" s="6" t="n">
        <v>2650</v>
      </c>
      <c r="J18" s="6" t="n">
        <v>7689</v>
      </c>
      <c r="K18" s="6" t="n">
        <v>8665</v>
      </c>
    </row>
    <row r="19">
      <c r="A19" s="6" t="inlineStr">
        <is>
          <t>Loans and advances</t>
        </is>
      </c>
      <c r="B19" s="6" t="n">
        <v>-39272</v>
      </c>
      <c r="C19" s="6" t="n">
        <v>489850</v>
      </c>
      <c r="D19" s="6" t="n">
        <v>398930</v>
      </c>
      <c r="E19" s="6" t="n">
        <v>336715</v>
      </c>
      <c r="F19" s="6" t="n">
        <v>-48586</v>
      </c>
      <c r="G19" s="6" t="n">
        <v>134342</v>
      </c>
      <c r="H19" s="6" t="n">
        <v>9605</v>
      </c>
      <c r="I19" s="6" t="n">
        <v>25862</v>
      </c>
      <c r="J19" s="6" t="n">
        <v>-618699</v>
      </c>
      <c r="K19" s="6" t="n">
        <v>-224159</v>
      </c>
    </row>
    <row r="20">
      <c r="A20" s="6" t="inlineStr">
        <is>
          <t>Interest bearing deposits with banks (excluding ECL)</t>
        </is>
      </c>
      <c r="B20" s="6" t="n">
        <v>25338</v>
      </c>
      <c r="C20" s="6" t="n">
        <v>-8136</v>
      </c>
      <c r="D20" s="6" t="n">
        <v>31552</v>
      </c>
      <c r="E20" s="6" t="n">
        <v>-48754</v>
      </c>
      <c r="F20" s="6" t="n">
        <v>187491</v>
      </c>
      <c r="G20" s="6" t="n">
        <v>-147539</v>
      </c>
      <c r="H20" s="6" t="n">
        <v>34968</v>
      </c>
      <c r="I20" s="6" t="n">
        <v>-28461</v>
      </c>
      <c r="J20" s="6" t="n">
        <v>70643</v>
      </c>
      <c r="K20" s="6" t="n">
        <v>-27166</v>
      </c>
    </row>
    <row r="21">
      <c r="A21" s="6" t="inlineStr">
        <is>
          <t>Other assets</t>
        </is>
      </c>
      <c r="B21" s="6" t="n">
        <v>17904</v>
      </c>
      <c r="C21" s="6" t="n">
        <v>13274</v>
      </c>
      <c r="D21" s="6" t="n">
        <v>8322</v>
      </c>
      <c r="E21" s="6" t="n">
        <v>-8451</v>
      </c>
      <c r="F21" s="6" t="n">
        <v>-1141</v>
      </c>
      <c r="G21" s="6" t="n">
        <v>-13605</v>
      </c>
      <c r="H21" s="6" t="n">
        <v>-923</v>
      </c>
      <c r="I21" s="6" t="n">
        <v>-266</v>
      </c>
      <c r="J21" s="6" t="n">
        <v>-5068</v>
      </c>
      <c r="K21" s="6" t="n">
        <v>-1161</v>
      </c>
    </row>
    <row r="22">
      <c r="A22" s="5" t="inlineStr">
        <is>
          <t>Net decrease/(increase) in operating assets</t>
        </is>
      </c>
      <c r="B22" s="5" t="n">
        <v>255174</v>
      </c>
      <c r="C22" s="5" t="n">
        <v>384526</v>
      </c>
      <c r="D22" s="5" t="n">
        <v>550195</v>
      </c>
      <c r="E22" s="5" t="n">
        <v>761224</v>
      </c>
      <c r="F22" s="5" t="n">
        <v>-9225</v>
      </c>
      <c r="G22" s="5" t="n">
        <v>-123991</v>
      </c>
      <c r="H22" s="5" t="n">
        <v>265005</v>
      </c>
      <c r="I22" s="5" t="n">
        <v>-432051</v>
      </c>
      <c r="J22" s="5" t="n">
        <v>-317620</v>
      </c>
      <c r="K22" s="5" t="n">
        <v>-255577</v>
      </c>
    </row>
    <row r="23">
      <c r="A23" s="6" t="inlineStr">
        <is>
          <t>Deposits</t>
        </is>
      </c>
      <c r="B23" s="6" t="n">
        <v>-195682</v>
      </c>
      <c r="C23" s="6" t="n">
        <v>-106841</v>
      </c>
      <c r="D23" s="6" t="n">
        <v>-439790</v>
      </c>
      <c r="E23" s="6" t="n">
        <v>-517522</v>
      </c>
      <c r="F23" s="6" t="n">
        <v>-64484</v>
      </c>
      <c r="G23" s="6" t="n">
        <v>142463</v>
      </c>
      <c r="H23" s="6" t="n">
        <v>-46575</v>
      </c>
      <c r="I23" s="6" t="n">
        <v>96685</v>
      </c>
      <c r="J23" s="6" t="n">
        <v>355158</v>
      </c>
      <c r="K23" s="6" t="n">
        <v>298670</v>
      </c>
    </row>
    <row r="24">
      <c r="A24" s="6" t="inlineStr">
        <is>
          <t>Trading financial liabilities mandatorily at fair value through profit or loss</t>
        </is>
      </c>
      <c r="B24" s="6" t="n">
        <v>-13849</v>
      </c>
      <c r="C24" s="6" t="n">
        <v>353</v>
      </c>
      <c r="D24" s="6" t="n">
        <v>-5117</v>
      </c>
      <c r="E24" s="6" t="n">
        <v>4590</v>
      </c>
      <c r="F24" s="6" t="n">
        <v>-20917</v>
      </c>
      <c r="G24" s="6" t="n">
        <v>26867</v>
      </c>
      <c r="H24" s="6" t="n">
        <v>2289</v>
      </c>
      <c r="I24" s="6" t="n">
        <v>-2303</v>
      </c>
      <c r="J24" s="6" t="n">
        <v>-7757</v>
      </c>
      <c r="K24" s="6" t="n">
        <v>-8215</v>
      </c>
    </row>
    <row r="25">
      <c r="A25" s="6" t="inlineStr">
        <is>
          <t>Share based compensation</t>
        </is>
      </c>
      <c r="B25" s="6" t="n"/>
      <c r="C25" s="6" t="n">
        <v>-220</v>
      </c>
      <c r="D25" s="6" t="n">
        <v>-1774</v>
      </c>
      <c r="E25" s="6" t="n">
        <v>-3649</v>
      </c>
      <c r="F25" s="6" t="n"/>
      <c r="G25" s="6" t="n"/>
      <c r="H25" s="6" t="n"/>
      <c r="I25" s="6" t="n"/>
      <c r="J25" s="6" t="n"/>
      <c r="K25" s="6" t="n"/>
    </row>
    <row r="26">
      <c r="A26" s="6" t="inlineStr">
        <is>
          <t>Other liabilities and provisions</t>
        </is>
      </c>
      <c r="B26" s="6" t="n">
        <v>-14841</v>
      </c>
      <c r="C26" s="6" t="n">
        <v>-15915</v>
      </c>
      <c r="D26" s="6" t="n">
        <v>11963</v>
      </c>
      <c r="E26" s="6" t="n">
        <v>1266</v>
      </c>
      <c r="F26" s="6" t="n">
        <v>-2672</v>
      </c>
      <c r="G26" s="6" t="n">
        <v>-4447</v>
      </c>
      <c r="H26" s="6" t="n">
        <v>6358</v>
      </c>
      <c r="I26" s="6" t="n">
        <v>-22636</v>
      </c>
      <c r="J26" s="6" t="n">
        <v>-1601</v>
      </c>
      <c r="K26" s="6" t="n">
        <v>17612</v>
      </c>
    </row>
    <row r="27">
      <c r="A27" s="5" t="inlineStr">
        <is>
          <t>Net decrease/(increase) in operating liabilities</t>
        </is>
      </c>
      <c r="B27" s="5" t="n">
        <v>-224372</v>
      </c>
      <c r="C27" s="5" t="n">
        <v>-122623</v>
      </c>
      <c r="D27" s="5" t="n">
        <v>-434718</v>
      </c>
      <c r="E27" s="5" t="n">
        <v>-515315</v>
      </c>
      <c r="F27" s="5" t="n">
        <v>-88073</v>
      </c>
      <c r="G27" s="5" t="n">
        <v>164883</v>
      </c>
      <c r="H27" s="5" t="n">
        <v>-37928</v>
      </c>
      <c r="I27" s="5" t="n">
        <v>71746</v>
      </c>
      <c r="J27" s="5" t="n">
        <v>345800</v>
      </c>
      <c r="K27" s="5" t="n">
        <v>308067</v>
      </c>
    </row>
    <row r="28">
      <c r="A28" s="6" t="inlineStr">
        <is>
          <t>Income tax refunded/(paid)</t>
        </is>
      </c>
      <c r="B28" s="6" t="n"/>
      <c r="C28" s="6" t="n">
        <v>119</v>
      </c>
      <c r="D28" s="6" t="n"/>
      <c r="E28" s="6" t="n"/>
      <c r="F28" s="6" t="n">
        <v>1101</v>
      </c>
      <c r="G28" s="6" t="n">
        <v>-10662</v>
      </c>
      <c r="H28" s="6" t="n"/>
      <c r="I28" s="6" t="n"/>
      <c r="J28" s="6" t="n"/>
      <c r="K28" s="6" t="n"/>
    </row>
    <row r="29">
      <c r="A29" s="6" t="inlineStr">
        <is>
          <t>Group relief received/(paid)</t>
        </is>
      </c>
      <c r="B29" s="6" t="n">
        <v>6127</v>
      </c>
      <c r="C29" s="6" t="n">
        <v>-4800</v>
      </c>
      <c r="D29" s="6" t="n">
        <v>-3319</v>
      </c>
      <c r="E29" s="6" t="n">
        <v>-2522</v>
      </c>
      <c r="F29" s="6" t="n">
        <v>406</v>
      </c>
      <c r="G29" s="6" t="n">
        <v>-8186</v>
      </c>
      <c r="H29" s="6" t="n">
        <v>-13495</v>
      </c>
      <c r="I29" s="6" t="n">
        <v>-3189</v>
      </c>
      <c r="J29" s="6" t="n"/>
      <c r="K29" s="6" t="n">
        <v>-266</v>
      </c>
    </row>
    <row r="30">
      <c r="A30" s="5" t="inlineStr">
        <is>
          <t>Net cash flow generated from/(used in) operating activities</t>
        </is>
      </c>
      <c r="B30" s="5" t="n">
        <v>59618</v>
      </c>
      <c r="C30" s="5" t="n">
        <v>320701</v>
      </c>
      <c r="D30" s="5" t="n">
        <v>180409</v>
      </c>
      <c r="E30" s="5" t="n">
        <v>284435</v>
      </c>
      <c r="F30" s="5" t="n">
        <v>-71555</v>
      </c>
      <c r="G30" s="5" t="n">
        <v>46361</v>
      </c>
      <c r="H30" s="5" t="n">
        <v>266443</v>
      </c>
      <c r="I30" s="5" t="n">
        <v>-320398</v>
      </c>
      <c r="J30" s="5" t="n">
        <v>68431</v>
      </c>
      <c r="K30" s="5" t="n">
        <v>57458</v>
      </c>
    </row>
    <row r="31">
      <c r="A31" s="5" t="inlineStr">
        <is>
          <t>Investing activities</t>
        </is>
      </c>
      <c r="B31" s="6" t="n"/>
      <c r="C31" s="6" t="n"/>
      <c r="D31" s="6" t="n"/>
      <c r="E31" s="6" t="n"/>
      <c r="F31" s="6" t="n"/>
      <c r="G31" s="6" t="n"/>
      <c r="H31" s="6" t="n"/>
      <c r="I31" s="6" t="n"/>
      <c r="J31" s="6" t="n"/>
      <c r="K31" s="6" t="n"/>
    </row>
    <row r="32">
      <c r="A32" s="6" t="inlineStr">
        <is>
          <t>Cash receipt from business transfer</t>
        </is>
      </c>
      <c r="B32" s="6" t="n">
        <v>539843</v>
      </c>
      <c r="C32" s="6" t="n"/>
      <c r="D32" s="6" t="n"/>
      <c r="E32" s="6" t="n"/>
      <c r="F32" s="6" t="n"/>
      <c r="G32" s="6" t="n"/>
      <c r="H32" s="6" t="n"/>
      <c r="I32" s="6" t="n"/>
      <c r="J32" s="6" t="n"/>
      <c r="K32" s="6" t="n"/>
    </row>
    <row r="33">
      <c r="A33" s="6" t="inlineStr">
        <is>
          <t>Sale of financial assets</t>
        </is>
      </c>
      <c r="B33" s="6" t="n"/>
      <c r="C33" s="6" t="n"/>
      <c r="D33" s="6" t="n"/>
      <c r="E33" s="6" t="n"/>
      <c r="F33" s="6" t="n"/>
      <c r="G33" s="6" t="n"/>
      <c r="H33" s="6" t="n"/>
      <c r="I33" s="6" t="n">
        <v>2868</v>
      </c>
      <c r="J33" s="6" t="n"/>
      <c r="K33" s="6" t="n"/>
    </row>
    <row r="34">
      <c r="A34" s="6" t="inlineStr">
        <is>
          <t>Capital expenditures for intangible assets</t>
        </is>
      </c>
      <c r="B34" s="6" t="n"/>
      <c r="C34" s="6" t="n"/>
      <c r="D34" s="6" t="n">
        <v>-786</v>
      </c>
      <c r="E34" s="6" t="n">
        <v>-3455</v>
      </c>
      <c r="F34" s="6" t="n">
        <v>-3799</v>
      </c>
      <c r="G34" s="6" t="n">
        <v>-6867</v>
      </c>
      <c r="H34" s="6" t="n">
        <v>-3981</v>
      </c>
      <c r="I34" s="6" t="n">
        <v>-2467</v>
      </c>
      <c r="J34" s="6" t="n">
        <v>-939</v>
      </c>
      <c r="K34" s="6" t="n"/>
    </row>
    <row r="35">
      <c r="A35" s="5" t="inlineStr">
        <is>
          <t>Net cash flow generated from/(used in) investing activities</t>
        </is>
      </c>
      <c r="B35" s="5" t="n">
        <v>539843</v>
      </c>
      <c r="C35" s="5" t="n">
        <v>0</v>
      </c>
      <c r="D35" s="5" t="n">
        <v>-786</v>
      </c>
      <c r="E35" s="5" t="n">
        <v>-3455</v>
      </c>
      <c r="F35" s="5" t="n">
        <v>-3799</v>
      </c>
      <c r="G35" s="5" t="n">
        <v>-6867</v>
      </c>
      <c r="H35" s="5" t="n">
        <v>-3981</v>
      </c>
      <c r="I35" s="5" t="n">
        <v>401</v>
      </c>
      <c r="J35" s="5" t="n">
        <v>-939</v>
      </c>
      <c r="K35" s="5" t="n">
        <v>0</v>
      </c>
    </row>
    <row r="36">
      <c r="A36" s="5" t="inlineStr">
        <is>
          <t>Financing activities</t>
        </is>
      </c>
      <c r="B36" s="6" t="n"/>
      <c r="C36" s="6" t="n"/>
      <c r="D36" s="6" t="n"/>
      <c r="E36" s="6" t="n"/>
      <c r="F36" s="6" t="n"/>
      <c r="G36" s="6" t="n"/>
      <c r="H36" s="6" t="n"/>
      <c r="I36" s="6" t="n"/>
      <c r="J36" s="6" t="n"/>
      <c r="K36" s="6" t="n"/>
    </row>
    <row r="37">
      <c r="A37" s="6" t="inlineStr">
        <is>
          <t>Dividend paid</t>
        </is>
      </c>
      <c r="B37" s="6" t="n"/>
      <c r="C37" s="6" t="n"/>
      <c r="D37" s="6" t="n">
        <v>-30000</v>
      </c>
      <c r="E37" s="6" t="n">
        <v>-20000</v>
      </c>
      <c r="F37" s="6" t="n"/>
      <c r="G37" s="6" t="n"/>
      <c r="H37" s="6" t="n"/>
      <c r="I37" s="6" t="n"/>
      <c r="J37" s="6" t="n"/>
      <c r="K37" s="6" t="n"/>
    </row>
    <row r="38">
      <c r="A38" s="6" t="inlineStr">
        <is>
          <t>Interest paid on long term debt</t>
        </is>
      </c>
      <c r="B38" s="6" t="n">
        <v>-1916</v>
      </c>
      <c r="C38" s="6" t="n">
        <v>-15460</v>
      </c>
      <c r="D38" s="6" t="n">
        <v>-33420</v>
      </c>
      <c r="E38" s="6" t="n">
        <v>-12293</v>
      </c>
      <c r="F38" s="6" t="n">
        <v>-1620</v>
      </c>
      <c r="G38" s="6" t="n">
        <v>-1843</v>
      </c>
      <c r="H38" s="6" t="n">
        <v>-2008</v>
      </c>
      <c r="I38" s="6" t="n">
        <v>-677</v>
      </c>
      <c r="J38" s="6" t="n">
        <v>-867</v>
      </c>
      <c r="K38" s="6" t="n">
        <v>-920</v>
      </c>
    </row>
    <row r="39">
      <c r="A39" s="6" t="inlineStr">
        <is>
          <t>Capital contribution</t>
        </is>
      </c>
      <c r="B39" s="6" t="n"/>
      <c r="C39" s="6" t="n"/>
      <c r="D39" s="6" t="n"/>
      <c r="E39" s="6" t="n"/>
      <c r="F39" s="6" t="n"/>
      <c r="G39" s="6" t="n"/>
      <c r="H39" s="6" t="n"/>
      <c r="I39" s="6" t="n">
        <v>30000</v>
      </c>
      <c r="J39" s="6" t="n"/>
      <c r="K39" s="6" t="n"/>
    </row>
    <row r="40">
      <c r="A40" s="6" t="inlineStr">
        <is>
          <t>Issuance of long term debt</t>
        </is>
      </c>
      <c r="B40" s="6" t="n"/>
      <c r="C40" s="6" t="n"/>
      <c r="D40" s="6" t="n">
        <v>530803</v>
      </c>
      <c r="E40" s="6" t="n">
        <v>500000</v>
      </c>
      <c r="F40" s="6" t="n"/>
      <c r="G40" s="6" t="n"/>
      <c r="H40" s="6" t="n"/>
      <c r="I40" s="6" t="n">
        <v>30000</v>
      </c>
      <c r="J40" s="6" t="n"/>
      <c r="K40" s="6" t="n"/>
    </row>
    <row r="41">
      <c r="A41" s="6" t="inlineStr">
        <is>
          <t>Repayment of long term debt</t>
        </is>
      </c>
      <c r="B41" s="6" t="n">
        <v>-55000</v>
      </c>
      <c r="C41" s="6" t="n">
        <v>-500000</v>
      </c>
      <c r="D41" s="6" t="n">
        <v>-532693</v>
      </c>
      <c r="E41" s="6" t="n">
        <v>-503689</v>
      </c>
      <c r="F41" s="6" t="n"/>
      <c r="G41" s="6" t="n"/>
      <c r="H41" s="6" t="n"/>
      <c r="I41" s="6" t="n"/>
      <c r="J41" s="6" t="n"/>
      <c r="K41" s="6" t="n"/>
    </row>
    <row r="42">
      <c r="A42" s="6" t="inlineStr">
        <is>
          <t>Interest paid on short-term borrowings</t>
        </is>
      </c>
      <c r="B42" s="6" t="n">
        <v>-17039</v>
      </c>
      <c r="C42" s="6" t="n">
        <v>-39775</v>
      </c>
      <c r="D42" s="6" t="n">
        <v>-43476</v>
      </c>
      <c r="E42" s="6" t="n">
        <v>-6928</v>
      </c>
      <c r="F42" s="6" t="n"/>
      <c r="G42" s="6" t="n"/>
      <c r="H42" s="6" t="n"/>
      <c r="I42" s="6" t="n"/>
      <c r="J42" s="6" t="n"/>
      <c r="K42" s="6" t="n"/>
    </row>
    <row r="43">
      <c r="A43" s="6" t="inlineStr">
        <is>
          <t>Issuance of short-term borrowings</t>
        </is>
      </c>
      <c r="B43" s="6" t="n">
        <v>12865</v>
      </c>
      <c r="C43" s="6" t="n">
        <v>713897</v>
      </c>
      <c r="D43" s="6" t="n">
        <v>601802</v>
      </c>
      <c r="E43" s="6" t="n">
        <v>615993</v>
      </c>
      <c r="F43" s="6" t="n"/>
      <c r="G43" s="6" t="n"/>
      <c r="H43" s="6" t="n"/>
      <c r="I43" s="6" t="n"/>
      <c r="J43" s="6" t="n"/>
      <c r="K43" s="6" t="n"/>
    </row>
    <row r="44">
      <c r="A44" s="6" t="inlineStr">
        <is>
          <t>Repayment of short-term borrowings</t>
        </is>
      </c>
      <c r="B44" s="6" t="n">
        <v>-845507</v>
      </c>
      <c r="C44" s="6" t="n">
        <v>-689448</v>
      </c>
      <c r="D44" s="6" t="n">
        <v>-575110</v>
      </c>
      <c r="E44" s="6" t="n">
        <v>-824808</v>
      </c>
      <c r="F44" s="6" t="n"/>
      <c r="G44" s="6" t="n"/>
      <c r="H44" s="6" t="n"/>
      <c r="I44" s="6" t="n"/>
      <c r="J44" s="6" t="n"/>
      <c r="K44" s="6" t="n"/>
    </row>
    <row r="45">
      <c r="A45" s="5" t="inlineStr">
        <is>
          <t>Net cash flow used in financing activities</t>
        </is>
      </c>
      <c r="B45" s="5" t="n">
        <v>-906597</v>
      </c>
      <c r="C45" s="5" t="n">
        <v>-530786</v>
      </c>
      <c r="D45" s="5" t="n">
        <v>-82094</v>
      </c>
      <c r="E45" s="5" t="n">
        <v>-251725</v>
      </c>
      <c r="F45" s="5" t="n">
        <v>-1620</v>
      </c>
      <c r="G45" s="5" t="n">
        <v>-1843</v>
      </c>
      <c r="H45" s="5" t="n">
        <v>-2008</v>
      </c>
      <c r="I45" s="5" t="n">
        <v>59323</v>
      </c>
      <c r="J45" s="5" t="n">
        <v>-867</v>
      </c>
      <c r="K45" s="5" t="n">
        <v>-920</v>
      </c>
    </row>
    <row r="46">
      <c r="A46" s="5" t="inlineStr">
        <is>
          <t>Net (decrease)/increase in cash and cash equivalents</t>
        </is>
      </c>
      <c r="B46" s="5" t="n">
        <v>-307136</v>
      </c>
      <c r="C46" s="5" t="n">
        <v>-210085</v>
      </c>
      <c r="D46" s="5" t="n">
        <v>97529</v>
      </c>
      <c r="E46" s="5" t="n">
        <v>29255</v>
      </c>
      <c r="F46" s="5" t="n">
        <v>-76974</v>
      </c>
      <c r="G46" s="5" t="n">
        <v>37651</v>
      </c>
      <c r="H46" s="5" t="n">
        <v>260454</v>
      </c>
      <c r="I46" s="5" t="n">
        <v>-260674</v>
      </c>
      <c r="J46" s="5" t="n">
        <v>66625</v>
      </c>
      <c r="K46" s="5" t="n">
        <v>56538</v>
      </c>
    </row>
    <row r="47">
      <c r="A47" s="6" t="inlineStr">
        <is>
          <t>Cash and cash equivalents at the beginning of the year</t>
        </is>
      </c>
      <c r="B47" s="6" t="n">
        <v>341768</v>
      </c>
      <c r="C47" s="6" t="n">
        <v>548659</v>
      </c>
      <c r="D47" s="6" t="n">
        <v>475664</v>
      </c>
      <c r="E47" s="6" t="n">
        <v>408082</v>
      </c>
      <c r="F47" s="6" t="n">
        <v>483717</v>
      </c>
      <c r="G47" s="6" t="n">
        <v>440029</v>
      </c>
      <c r="H47" s="6" t="n">
        <v>197301</v>
      </c>
      <c r="I47" s="6" t="n">
        <v>457975</v>
      </c>
      <c r="J47" s="6" t="n">
        <v>432924</v>
      </c>
      <c r="K47" s="6" t="n">
        <v>376386</v>
      </c>
    </row>
    <row r="48">
      <c r="A48" s="6" t="inlineStr">
        <is>
          <t>Effect of exchange rate fluctuations on cash and cash equivalents</t>
        </is>
      </c>
      <c r="B48" s="6" t="n">
        <v>-12923</v>
      </c>
      <c r="C48" s="6" t="n">
        <v>3194</v>
      </c>
      <c r="D48" s="6" t="n">
        <v>-24570</v>
      </c>
      <c r="E48" s="6" t="n">
        <v>38372</v>
      </c>
      <c r="F48" s="6" t="n">
        <v>1339</v>
      </c>
      <c r="G48" s="6" t="n">
        <v>6037</v>
      </c>
      <c r="H48" s="6" t="n">
        <v>-9939</v>
      </c>
      <c r="I48" s="6" t="n"/>
      <c r="J48" s="6" t="n"/>
      <c r="K48" s="6" t="n"/>
    </row>
    <row r="49">
      <c r="A49" s="5" t="inlineStr">
        <is>
          <t>Cash and cash equivalents at the end of the year</t>
        </is>
      </c>
      <c r="B49" s="5" t="n">
        <v>21709</v>
      </c>
      <c r="C49" s="5" t="n">
        <v>341768</v>
      </c>
      <c r="D49" s="5" t="n">
        <v>548659</v>
      </c>
      <c r="E49" s="5" t="n">
        <v>475709</v>
      </c>
      <c r="F49" s="5" t="n">
        <v>408082</v>
      </c>
      <c r="G49" s="5" t="n">
        <v>483717</v>
      </c>
      <c r="H49" s="5" t="n">
        <v>447816</v>
      </c>
      <c r="I49" s="5" t="n">
        <v>197301</v>
      </c>
      <c r="J49" s="5" t="n">
        <v>499549</v>
      </c>
      <c r="K49" s="5" t="n">
        <v>432924</v>
      </c>
    </row>
    <row r="51" ht="377" customHeight="1">
      <c r="A51" s="8" t="inlineStr">
        <is>
          <t>Sources - all figures are Credit Suisse (UK) Limited's own Statement of Cash Flows:
FY2025: Full accounts to 31 Dec 2025 (Companies House, filed 25 Apr 2026), Statement of Cash Flows p.47 - https://find-and-update.company-information.service.gov.uk/company/02009520/filing-history/MzUxNzE0OTI3NGFkaXF6a2N4/document?format=pdf&amp;download=0
FY2024: same FY2025 filing's own FY2024 comparative column, p.47
FY2023: Full accounts to 31 Dec 2023 (Companies House, filed 27 Apr 2024), Statement of Cash Flows p.41 - https://find-and-update.company-information.service.gov.uk/company/02009520/filing-history/MzQxOTY5NDQ0MWFkaXF6a2N4/document?format=pdf&amp;download=0
FY2022: same FY2023 filing's own FY2022 comparative column, p.41
FY2021: Full accounts to 31 Dec 2021 (Companies House, filed 28 Apr 2022), Statement of Cash Flows p.46 - https://find-and-update.company-information.service.gov.uk/company/02009520/filing-history/MzMzNzU0NDMwOWFkaXF6a2N4/document?format=pdf&amp;download=0
FY2020: Full accounts to 31 Dec 2020 (Companies House, filed 25 May 2021), Statement of Cash Flows p.47 - https://find-and-update.company-information.service.gov.uk/company/02009520/filing-history/MzMwMTQ3Nzk1MmFkaXF6a2N4/document?format=pdf&amp;download=0
FY2019: Full accounts to 31 Dec 2019 (Companies House, filed 20 Apr 2020), Statement of Cash Flows p.41 - https://find-and-update.company-information.service.gov.uk/company/02009520/filing-history/MzI2MjYyNzE3OGFkaXF6a2N4/document?format=pdf&amp;download=0
FY2018: Full accounts to 31 Dec 2018 (Companies House, filed 01 May 2019), Statement of Cash Flows p.44 - https://find-and-update.company-information.service.gov.uk/company/02009520/filing-history/MzIzMzQ0Nzg3OWFkaXF6a2N4/document?format=pdf&amp;download=0
FY2017: Full accounts to 31 Dec 2017 (Companies House, filed 01 May 2018), Statement of Cash Flows p.28 - https://find-and-update.company-information.service.gov.uk/company/02009520/filing-history/MzIwMzkxNjcwMmFkaXF6a2N4/document?format=pdf&amp;download=0
FY2016: Full accounts to 31 Dec 2016 (Companies House, filed 28 Apr 2017), Statement of Cash Flows p.24 - https://find-and-update.company-information.service.gov.uk/company/02009520/filing-history/MzE3NDY1MzYyMmFkaXF6a2N4/document?format=pdf&amp;download=0
Credit Suisse (UK) Limited ('CSUK', company 02009520, FRN 124269) - a UK private-banking/wealth-management subsidiary. Ultimate parent is UBS Group AG following UBS's acquisition of Credit Suisse Group (announced March 2023, completed June 2023) - CSUK itself remains an active, separately-reporting PRA entity throughout, still filing under its original name as of the FY2025 filing (Apr 2026). All 10 Companies House filings (FY2016-FY2025) were fully scanned/image-only, transcribed via page rendering.
HISTORICAL-DEPTH EXTENSION (HD-026, 2026-09-06): extended back to FY2016, this entity's confirmed floor per HD-004 (entity itself dates to 1985 as company 02009520, but this is capped project-wide at FY2014 regardless, and no FY2014/FY2015 filing was in scope for this ticket). Re-verified via each year's own Companies House filing rather than relying on HD-004's domain/scan signal alone. Genuine format changes found across the extended window, all documented rather than smoothed over:
- FY2016/FY2017 Annual Reports carry no 'Key Performance Indicators' summary table at all (introduced only from the FY2018 Annual Report onward) - FY2017's KPI-style figures (RWA, CET1 ratio, Leverage Ratio, CET1 Capital) were sourced from the FY2018 report's own FY2017 comparative column; no such comparative exists anywhere for FY2016, so FY2016's RWA, CET1/Tier1 Ratio, Leverage Ratio, LCR and NSFR are self-skipped as undisclosed in any filing obtained. QUALIFIED 18 September 2026 (KM1-032): the parenthetical here used to read 'confirmed via a Wayback CDX search of credit-suisse.com for a standalone Pillar 3 document, which returned no CSUK-specific hit before the search was judged uneconomical to keep pursuing', and the word 'confirmed' was doing work the search cannot support. A CDX search that was abandoned for cost is not an enumeration, and an archive scan can never see a live-only document in any case. The correct status of the FY2016 standalone Pillar 3 is UNPROVEN, not absent - and note that CSUK's standalone Pillar 3 documents for later years demonstrably DO exist and are used on the KM1 and capital sheets of this workbook, so the premise that CSUK published none is already known to be false for other years. SETTLED IN PART, 18 September 2026 (interior-gap sweep): a 2016 CSUK Pillar 3 edition DOES exist and is listed by name on the UBS-hosted Credit Suisse legal-entity ARCHIVE index, which was successfully enumerated that day at https://www.ubs.com/global/en/investor-relations/complementary-financial-information/disclosure-legal-entities/archive-credit-suisse.html (plain curl clears the 403 that a browser User-Agent triggers). That index lists a CSUK edition for every year 2014-2023. RESOLVED 19 September 2026: the 2016 edition was opened and supplies the previously missing FY2016 CET1/Tier 1 ratio, Total Capital ratio, Total RWA and leverage ratio. FY2016 CET1/Tier 1 Capital (the £ amount) remains sourced from the Annual Report's Capital adequacy note.
- Leverage Ratio is disclosed only in the FY2017/FY2018 KPI TABLES (6.3%/7.8%) - absent from FY2016 (no KPI table) and from FY2019/FY2020's own KPI tables (which dropped the 'Statement of Financial Position' KPI section entirely). Average LCR is disclosed only in the FY2018 KPI table (154%) - FY2017's KPI table explicitly shows 'n/a', and FY2019/FY2020 KPI tables carry no LCR figure at all (only a Liquidity Buffer £ amount). NSFR is not found in any FY2016-FY2020 KPI table.
  CORRECTED 18 September 2026: every sentence in the paragraph above is about ONE DOCUMENT TYPE, the Annual Report KPI table, and it is still accurate about that document. What it used to do, and no longer does, is finish each clause with 'consistent with the already-known gap' - reading an absence from the KPI table as an absence from the Bank's disclosure. It is not. CSUK published a leverage ratio for FY2019, FY2020, FY2021, FY2022 AND FY2023, and an LCR for all five, in its own standalone Pillar 3 editions for those years; all five leverage figures and a full seven-year average-basis LCR series are now on the Leverage Ratio and LCR sheets. See those sheets' notes for document, printed folio and the cross-edition restatements that are recorded but not applied.</t>
        </is>
      </c>
    </row>
    <row r="53" ht="377" customHeight="1">
      <c r="A53" s="8" t="inlineStr">
        <is>
          <t>(continued)
- Total Capital / Total Capital Ratio: a Capital adequacy note ('Own Funds' table: Total Tier 1/CET1 capital + Total Tier 2 capital = Own Funds) exists in every FY2016-FY2020 filing and gives a genuine, directly disclosed Total Capital (£ Own Funds) figure each year - populated on this sheet for FY2016-FY2020 only. The contradiction this paragraph used to flag - that the FY2021-FY2025 columns carried a 'not directly disclosed' claim on the same sheet - was referred to 'a future audit-only ticket'. THAT TICKET WAS KM1-032 AND THE CONTRADICTION IS NOW RESOLVED (18 September 2026): Total Capital IS directly disclosed for FY2021-FY2025, as row 3 of CSUK's own KM1 template and row 59 of its CC1, in the standalone Pillar 3 editions this workbook already cites. Both the Total Capital and Total Capital Ratio sheets now carry those years and name that source. The original claim was true only of the KPI table, which never carried a Total Capital line - a statement about ONE document read as a statement about the bank's disclosure. The 2016 standalone Pillar 3 supplies a directly disclosed 23.7% Total Capital ratio for FY2016; FY2017-FY2020 remain blank because no directly disclosed ratio has yet been located for those years.
- Asset Quality's loan-book note uses the SAME UK/Foreign x Commercial/Consumer borrower-type format in every FY2016-FY2020 filing checked as the format already used on this sheet for FY2021-FY2023 - no IFRS 9 stage-level (Stage 1/2/3) split exists in the PRIMARY 'Loans and advances' note in any year (a separate, secondary Stage 1/2/3 ECL-movement table exists in the Expected Credit Loss Measurement note from FY2019 onward, but that is not the note the Balance Sheet's own Loans and advances figure ties to - the borrower-type note is). FY2018's own filing lacks the borrower-type table entirely (it only shows loans by maturity bucket and by collateral, with no 'Gross Impaired loans' concept at all) - its borrower-type figures and Gross Impaired loans total were instead sourced from the FY2019 filing's own FY2018 comparative column, which independently reconciles to FY2018's own disclosed Total Net loans. FY2016's Gross Impaired loans figure was similarly sourced from FY2017's own FY2016 comparative column (FY2016's own filing has no Gross Impaired loans line either). Pre-IFRS 9 (adopted 1 January 2018) years show no Profit &amp; Loss 'Allowance for credit losses' line item at all - only a Statement of Financial Position note giving a simple opening/closing impairment-allowance movement (an incurred-loss model, IAS 39 basis) - left blank on the P&amp;L for FY2016/FY2017 rather than force-mapped.
- Statement of Changes in Equity: FY2016-FY2018 carry a genuine 'Accumulated other comprehensive income' (available-for-sale reserve) equity component that FY2019 onward does not - added as a new column on that sheet, populated only where it applies, rather than merged into Retained earnings. The IFRS 9 initial-application adjustment at 1 January 2018 (a genuine +£2,535k reclassification into Retained earnings, -£2,289k out of AOCI) is shown as its own adjustment row, not folded into 'the year's comprehensive income'. FY2019's own filing reports closing Total shareholders' equity of £322,943k (Retained earnings £9,013k) - FY2020's own filing then restates the FY2019 OPENING balance down by £1,431k (net of tax, a 'correction of error', not otherwise explained) to £321,512k. Per this project's convention of using each year's own filing rather than a later year's restated comparative, FY2019's column keeps its own-filing figure (£322,943k/£9,013k); the FY2020 restatement is instead shown as an explicit 'Correction of error' bridging row between the FY2019 and FY2020 columns, so nothing is silently overwritten and the FY2020 opening balance still ties exactly to the £341,173k FY2020 closing.
- Cash Flow Statement: FY2016/FY2017/FY2018's own filings show no separate 'Effect of exchange rate fluctuations on cash and cash equivalents' line after the net movement in cash (FX effects are folded into the operating-activities reconciliation instead) - that line only appears as its own row from the FY2019 filing onward. Left blank for FY2016-FY2018 rather than force-derived from a residual.
TWO MAJOR DISCLOSED BUSINESS EVENTS, both flagged rather than treated as anomalies:
(1) FY2023: a pre-tax loss of £26.2m driven by £44.8m of UBS-acquisition-related expenses (accelerated lease costs, intangibles impairment, recharged transaction costs) - underlying profit before tax (excluding these) was £18.6m.
(2) FY2025: on 20 June 2025 CSUK completed a Part VII business transfer (Financial Services and Markets Act 2000) of most of its wealth-management clients to UBS AG London Branch, following a Business Transfer Agreement signed 20 December 2024. This shows up directly in the FY2025 cash flow statement as a £539,843k 'Cash receipt from business transfer' investing-activities line and a £1,278k 'Loss from the business transfer' operating-activities adjustment, and drove RWAs down from £672m (FY2024) to £160m (FY2025) and CET1/leverage ratios sharply higher (smaller balance sheet, same capital base). CSUK's remaining business post-transfer is the limited-scope Credit Suisse London Nominees ('CSLN') hedge-fund sub-custody activity.
Full opening-to-closing cash bridge ties across all 10 years, with several small gaps in the source documents' own printed figures, none force-corrected: FY2022 closing £475,709k vs FY2023 opening £475,664k (£45k gap, explicitly explained by the FY2023 report's own footnote as the year-over-year change in the ECL allowance excluded from the cash figure); and FY2023's own three-line tail (opening £475,664k + net increase £97,529k - FX effect £24,570k = £548,623k) doesn't quite match FY2023's own printed closing balance of £548,659k (a £36k gap, source unexplained, not present in any other year - kept exactly as printed on both sides rather than adjusted to force a match). FY2021 closing £408,082k = FY2022 opening exactly; FY2023 closing £548,659k = FY2024 opening exactly; FY2024 closing £341,768k = FY2025 opening exactly; FY2016 closing £432,924k = FY2017 opening exactly; FY2018 closing £197,301k = FY2019 opening exactly. Two further gaps found in the newly-added FY2016-FY2020 window, both kept as printed rather than force-matched: FY2017's own filing shows FY2017 closing cash of £499,549k, but FY2018's own filing's FY2017 COMPARATIVE column shows only £457,975k - a £41,574k gap that exactly equals the difference between the two filings' 'Interest-bearing deposits with banks' figures for the same date (£4,885k per FY2017's own filing vs £46,459k per FY2018's FY2017 comparative), confirming this is a genuine RECLASSIFICATION between the two balance-sheet lines made in the FY2018 filing's presentation of its FY2017 comparative, not a real cash discrepancy - both years' own-filing figures are kept as reported. FY2019's own filing shows FY2019 closing cash of £447,816k, but FY2020's own filing's FY2019 comparative shows £440,029k (a £7,787k gap, source unexplained - no matching reclassification was found this time, flagged for a future audit ticket rather than silently resolved).</t>
        </is>
      </c>
    </row>
  </sheetData>
  <mergeCells count="2">
    <mergeCell ref="A51:K51"/>
    <mergeCell ref="A53:K5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Asset Quality</t>
        </is>
      </c>
    </row>
    <row r="2">
      <c r="A2" s="2" t="inlineStr">
        <is>
          <t>Entity basis, £'000 unless %. Disclosed granularity genuinely changes across years - see source note at bottom. FY2025 loan book transferred to UBS AG London Branch (Part VII, 20 June 2025) - all FY2025 figures on this sheet are correctly nil.</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Loan book by borrower type, gross (FY2016-FY2023 basis)</t>
        </is>
      </c>
      <c r="B4" s="6" t="n"/>
      <c r="C4" s="6" t="n"/>
      <c r="D4" s="6" t="n"/>
      <c r="E4" s="6" t="n"/>
      <c r="F4" s="6" t="n"/>
      <c r="G4" s="6" t="n"/>
      <c r="H4" s="6" t="n"/>
      <c r="I4" s="6" t="n"/>
      <c r="J4" s="6" t="n"/>
      <c r="K4" s="6" t="n"/>
    </row>
    <row r="5">
      <c r="A5" s="6" t="inlineStr">
        <is>
          <t>United Kingdom - Commercial</t>
        </is>
      </c>
      <c r="B5" s="6" t="n"/>
      <c r="C5" s="6" t="n"/>
      <c r="D5" s="6" t="n">
        <v>1069</v>
      </c>
      <c r="E5" s="6" t="n">
        <v>1556</v>
      </c>
      <c r="F5" s="6" t="n">
        <v>8891</v>
      </c>
      <c r="G5" s="6" t="n">
        <v>167719</v>
      </c>
      <c r="H5" s="6" t="n">
        <v>150011</v>
      </c>
      <c r="I5" s="6" t="n">
        <v>130738</v>
      </c>
      <c r="J5" s="6" t="n">
        <v>135735</v>
      </c>
      <c r="K5" s="6" t="n">
        <v>81404</v>
      </c>
    </row>
    <row r="6">
      <c r="A6" s="6" t="inlineStr">
        <is>
          <t>United Kingdom - Consumer</t>
        </is>
      </c>
      <c r="B6" s="6" t="n"/>
      <c r="C6" s="6" t="n"/>
      <c r="D6" s="6" t="n">
        <v>612720</v>
      </c>
      <c r="E6" s="6" t="n">
        <v>791672</v>
      </c>
      <c r="F6" s="6" t="n">
        <v>940312</v>
      </c>
      <c r="G6" s="6" t="n">
        <v>653738</v>
      </c>
      <c r="H6" s="6" t="n">
        <v>775633</v>
      </c>
      <c r="I6" s="6" t="n">
        <v>824688</v>
      </c>
      <c r="J6" s="6" t="n">
        <v>862482</v>
      </c>
      <c r="K6" s="6" t="n">
        <v>619490</v>
      </c>
    </row>
    <row r="7">
      <c r="A7" s="6" t="inlineStr">
        <is>
          <t>Foreign - Commercial</t>
        </is>
      </c>
      <c r="B7" s="6" t="n"/>
      <c r="C7" s="6" t="n"/>
      <c r="D7" s="6" t="n">
        <v>15870</v>
      </c>
      <c r="E7" s="6" t="n">
        <v>18896</v>
      </c>
      <c r="F7" s="6" t="n">
        <v>14577</v>
      </c>
      <c r="G7" s="6" t="n">
        <v>703004</v>
      </c>
      <c r="H7" s="6" t="n">
        <v>731631</v>
      </c>
      <c r="I7" s="6" t="n">
        <v>706545</v>
      </c>
      <c r="J7" s="6" t="n">
        <v>667395</v>
      </c>
      <c r="K7" s="6" t="n">
        <v>462233</v>
      </c>
    </row>
    <row r="8">
      <c r="A8" s="6" t="inlineStr">
        <is>
          <t>Foreign - Consumer</t>
        </is>
      </c>
      <c r="B8" s="6" t="n"/>
      <c r="C8" s="6" t="n"/>
      <c r="D8" s="6" t="n">
        <v>689570</v>
      </c>
      <c r="E8" s="6" t="n">
        <v>905338</v>
      </c>
      <c r="F8" s="6" t="n">
        <v>1093926</v>
      </c>
      <c r="G8" s="6" t="n">
        <v>486568</v>
      </c>
      <c r="H8" s="6" t="n">
        <v>490607</v>
      </c>
      <c r="I8" s="6" t="n">
        <v>494104</v>
      </c>
      <c r="J8" s="6" t="n">
        <v>516087</v>
      </c>
      <c r="K8" s="6" t="n">
        <v>395082</v>
      </c>
    </row>
    <row r="9">
      <c r="A9" s="5" t="inlineStr">
        <is>
          <t>Total gross loans and advances, by borrower type</t>
        </is>
      </c>
      <c r="B9" s="5" t="n"/>
      <c r="C9" s="5" t="n"/>
      <c r="D9" s="5" t="n">
        <v>1319229</v>
      </c>
      <c r="E9" s="5" t="n">
        <v>1717462</v>
      </c>
      <c r="F9" s="5" t="n">
        <v>2057706</v>
      </c>
      <c r="G9" s="5" t="n">
        <v>2011029</v>
      </c>
      <c r="H9" s="5" t="n">
        <v>2147882</v>
      </c>
      <c r="I9" s="5" t="n">
        <v>2156075</v>
      </c>
      <c r="J9" s="5" t="n">
        <v>2181699</v>
      </c>
      <c r="K9" s="5" t="n">
        <v>1558209</v>
      </c>
    </row>
    <row r="10">
      <c r="A10" s="5" t="inlineStr">
        <is>
          <t>Loan book by IFRS 9 stage, gross (FY2024-FY2025 basis)</t>
        </is>
      </c>
      <c r="B10" s="6" t="n"/>
      <c r="C10" s="6" t="n"/>
      <c r="D10" s="6" t="n"/>
      <c r="E10" s="6" t="n"/>
      <c r="F10" s="6" t="n"/>
      <c r="G10" s="6" t="n"/>
      <c r="H10" s="6" t="n"/>
      <c r="I10" s="6" t="n"/>
      <c r="J10" s="6" t="n"/>
      <c r="K10" s="6" t="n"/>
    </row>
    <row r="11">
      <c r="A11" s="6" t="inlineStr">
        <is>
          <t>Stage 1 - gross carrying amount</t>
        </is>
      </c>
      <c r="B11" s="6" t="n">
        <v>0</v>
      </c>
      <c r="C11" s="6" t="n">
        <v>630187</v>
      </c>
      <c r="D11" s="6" t="n"/>
      <c r="E11" s="6" t="n"/>
      <c r="F11" s="6" t="n"/>
      <c r="G11" s="6" t="n"/>
      <c r="H11" s="6" t="n"/>
      <c r="I11" s="6" t="n"/>
      <c r="J11" s="6" t="n"/>
      <c r="K11" s="6" t="n"/>
    </row>
    <row r="12">
      <c r="A12" s="6" t="inlineStr">
        <is>
          <t>Stage 2 - gross carrying amount</t>
        </is>
      </c>
      <c r="B12" s="6" t="n">
        <v>0</v>
      </c>
      <c r="C12" s="6" t="n">
        <v>107024</v>
      </c>
      <c r="D12" s="6" t="n"/>
      <c r="E12" s="6" t="n"/>
      <c r="F12" s="6" t="n"/>
      <c r="G12" s="6" t="n"/>
      <c r="H12" s="6" t="n"/>
      <c r="I12" s="6" t="n"/>
      <c r="J12" s="6" t="n"/>
      <c r="K12" s="6" t="n"/>
    </row>
    <row r="13">
      <c r="A13" s="6" t="inlineStr">
        <is>
          <t>Stage 3 - gross carrying amount</t>
        </is>
      </c>
      <c r="B13" s="6" t="n">
        <v>0</v>
      </c>
      <c r="C13" s="6" t="n">
        <v>92712</v>
      </c>
      <c r="D13" s="6" t="n"/>
      <c r="E13" s="6" t="n"/>
      <c r="F13" s="6" t="n"/>
      <c r="G13" s="6" t="n"/>
      <c r="H13" s="6" t="n"/>
      <c r="I13" s="6" t="n"/>
      <c r="J13" s="6" t="n"/>
      <c r="K13" s="6" t="n"/>
    </row>
    <row r="14">
      <c r="A14" s="5" t="inlineStr">
        <is>
          <t>Total gross loans, IFRS 9 stage basis</t>
        </is>
      </c>
      <c r="B14" s="5" t="n">
        <v>0</v>
      </c>
      <c r="C14" s="5" t="n">
        <v>829923</v>
      </c>
      <c r="D14" s="5" t="n"/>
      <c r="E14" s="5" t="n"/>
      <c r="F14" s="5" t="n"/>
      <c r="G14" s="5" t="n"/>
      <c r="H14" s="5" t="n"/>
      <c r="I14" s="5" t="n"/>
      <c r="J14" s="5" t="n"/>
      <c r="K14" s="5" t="n"/>
    </row>
    <row r="15">
      <c r="A15" s="5" t="inlineStr">
        <is>
          <t>Expected credit loss allowance</t>
        </is>
      </c>
      <c r="B15" s="6" t="n"/>
      <c r="C15" s="6" t="n"/>
      <c r="D15" s="6" t="n"/>
      <c r="E15" s="6" t="n"/>
      <c r="F15" s="6" t="n"/>
      <c r="G15" s="6" t="n"/>
      <c r="H15" s="6" t="n"/>
      <c r="I15" s="6" t="n"/>
      <c r="J15" s="6" t="n"/>
      <c r="K15" s="6" t="n"/>
    </row>
    <row r="16">
      <c r="A16" s="6" t="inlineStr">
        <is>
          <t>Stage 1 allowance</t>
        </is>
      </c>
      <c r="B16" s="6" t="n">
        <v>0</v>
      </c>
      <c r="C16" s="6" t="n">
        <v>-537</v>
      </c>
      <c r="D16" s="6" t="n"/>
      <c r="E16" s="6" t="n"/>
      <c r="F16" s="6" t="n"/>
      <c r="G16" s="6" t="n"/>
      <c r="H16" s="6" t="n"/>
      <c r="I16" s="6" t="n"/>
      <c r="J16" s="6" t="n"/>
      <c r="K16" s="6" t="n"/>
    </row>
    <row r="17">
      <c r="A17" s="6" t="inlineStr">
        <is>
          <t>Stage 2 allowance</t>
        </is>
      </c>
      <c r="B17" s="6" t="n">
        <v>0</v>
      </c>
      <c r="C17" s="6" t="n">
        <v>-342</v>
      </c>
      <c r="D17" s="6" t="n"/>
      <c r="E17" s="6" t="n"/>
      <c r="F17" s="6" t="n"/>
      <c r="G17" s="6" t="n"/>
      <c r="H17" s="6" t="n"/>
      <c r="I17" s="6" t="n"/>
      <c r="J17" s="6" t="n"/>
      <c r="K17" s="6" t="n"/>
    </row>
    <row r="18">
      <c r="A18" s="6" t="inlineStr">
        <is>
          <t>Stage 3 allowance</t>
        </is>
      </c>
      <c r="B18" s="6" t="n">
        <v>0</v>
      </c>
      <c r="C18" s="6" t="n">
        <v>-8292</v>
      </c>
      <c r="D18" s="6" t="n"/>
      <c r="E18" s="6" t="n"/>
      <c r="F18" s="6" t="n"/>
      <c r="G18" s="6" t="n"/>
      <c r="H18" s="6" t="n"/>
      <c r="I18" s="6" t="n"/>
      <c r="J18" s="6" t="n"/>
      <c r="K18" s="6" t="n"/>
    </row>
    <row r="19">
      <c r="A19" s="6" t="inlineStr">
        <is>
          <t>Allowance for credit losses, aggregate (FY2016-FY2023 basis)</t>
        </is>
      </c>
      <c r="B19" s="6" t="n"/>
      <c r="C19" s="6" t="n"/>
      <c r="D19" s="6" t="n">
        <v>-7613</v>
      </c>
      <c r="E19" s="6" t="n">
        <v>-4485</v>
      </c>
      <c r="F19" s="6" t="n">
        <v>-8834</v>
      </c>
      <c r="G19" s="6" t="n">
        <v>-11381</v>
      </c>
      <c r="H19" s="6" t="n">
        <v>-8963</v>
      </c>
      <c r="I19" s="6" t="n">
        <v>-3244</v>
      </c>
      <c r="J19" s="6" t="n">
        <v>-4495</v>
      </c>
      <c r="K19" s="6" t="n">
        <v>-1768</v>
      </c>
    </row>
    <row r="20">
      <c r="A20" s="5" t="inlineStr">
        <is>
          <t>Total ECL allowance</t>
        </is>
      </c>
      <c r="B20" s="5" t="n">
        <v>0</v>
      </c>
      <c r="C20" s="5" t="n">
        <v>-9171</v>
      </c>
      <c r="D20" s="5" t="n">
        <v>-7613</v>
      </c>
      <c r="E20" s="5" t="n">
        <v>-4485</v>
      </c>
      <c r="F20" s="5" t="n">
        <v>-8834</v>
      </c>
      <c r="G20" s="5" t="n">
        <v>-11381</v>
      </c>
      <c r="H20" s="5" t="n">
        <v>-8963</v>
      </c>
      <c r="I20" s="5" t="n">
        <v>-3244</v>
      </c>
      <c r="J20" s="5" t="n">
        <v>-4495</v>
      </c>
      <c r="K20" s="5" t="n">
        <v>-1768</v>
      </c>
    </row>
    <row r="21">
      <c r="A21" s="6" t="inlineStr">
        <is>
          <t>Deferred fee income</t>
        </is>
      </c>
      <c r="B21" s="6" t="n"/>
      <c r="C21" s="6" t="n"/>
      <c r="D21" s="6" t="n">
        <v>-4043</v>
      </c>
      <c r="E21" s="6" t="n">
        <v>-6449</v>
      </c>
      <c r="F21" s="6" t="n">
        <v>-7733</v>
      </c>
      <c r="G21" s="6" t="n">
        <v>-9642</v>
      </c>
      <c r="H21" s="6" t="n">
        <v>-12153</v>
      </c>
      <c r="I21" s="6" t="n">
        <v>-11543</v>
      </c>
      <c r="J21" s="6" t="n">
        <v>-10650</v>
      </c>
      <c r="K21" s="6" t="n">
        <v>-8586</v>
      </c>
    </row>
    <row r="22">
      <c r="A22" s="5" t="inlineStr">
        <is>
          <t>Total Loans and advances, net (ties to Balance Sheet)</t>
        </is>
      </c>
      <c r="B22" s="5" t="n">
        <v>0</v>
      </c>
      <c r="C22" s="5" t="n">
        <v>818949</v>
      </c>
      <c r="D22" s="5" t="n">
        <v>1307573</v>
      </c>
      <c r="E22" s="5" t="n">
        <v>1706528</v>
      </c>
      <c r="F22" s="5" t="n">
        <v>2041139</v>
      </c>
      <c r="G22" s="5" t="n">
        <v>1990006</v>
      </c>
      <c r="H22" s="5" t="n">
        <v>2126766</v>
      </c>
      <c r="I22" s="5" t="n">
        <v>2141288</v>
      </c>
      <c r="J22" s="5" t="n">
        <v>2166554</v>
      </c>
      <c r="K22" s="5" t="n">
        <v>1547855</v>
      </c>
    </row>
    <row r="23">
      <c r="A23" s="5" t="inlineStr">
        <is>
          <t>Credit quality indicators</t>
        </is>
      </c>
      <c r="B23" s="6" t="n"/>
      <c r="C23" s="6" t="n"/>
      <c r="D23" s="6" t="n"/>
      <c r="E23" s="6" t="n"/>
      <c r="F23" s="6" t="n"/>
      <c r="G23" s="6" t="n"/>
      <c r="H23" s="6" t="n"/>
      <c r="I23" s="6" t="n"/>
      <c r="J23" s="6" t="n"/>
      <c r="K23" s="6" t="n"/>
    </row>
    <row r="24">
      <c r="A24" s="6" t="inlineStr">
        <is>
          <t>Gross impaired loans / Stage 3 gross carrying amount</t>
        </is>
      </c>
      <c r="B24" s="6" t="n">
        <v>0</v>
      </c>
      <c r="C24" s="6" t="n">
        <v>92712</v>
      </c>
      <c r="D24" s="6" t="n">
        <v>175850</v>
      </c>
      <c r="E24" s="6" t="n">
        <v>105926</v>
      </c>
      <c r="F24" s="6" t="n">
        <v>177499</v>
      </c>
      <c r="G24" s="6" t="n">
        <v>191569</v>
      </c>
      <c r="H24" s="6" t="n">
        <v>98031</v>
      </c>
      <c r="I24" s="6" t="n">
        <v>115146</v>
      </c>
      <c r="J24" s="6" t="n">
        <v>59686</v>
      </c>
      <c r="K24" s="6" t="n">
        <v>13996</v>
      </c>
    </row>
    <row r="25">
      <c r="A25" s="6" t="inlineStr">
        <is>
          <t>Impaired/Stage 3 loans as % of total gross loans</t>
        </is>
      </c>
      <c r="B25" s="6" t="n"/>
      <c r="C25" s="6" t="inlineStr">
        <is>
          <t>11.17%</t>
        </is>
      </c>
      <c r="D25" s="6" t="inlineStr">
        <is>
          <t>13.33%</t>
        </is>
      </c>
      <c r="E25" s="6" t="inlineStr">
        <is>
          <t>6.17%</t>
        </is>
      </c>
      <c r="F25" s="6" t="inlineStr">
        <is>
          <t>8.63%</t>
        </is>
      </c>
      <c r="G25" s="6" t="inlineStr">
        <is>
          <t>9.53%</t>
        </is>
      </c>
      <c r="H25" s="6" t="inlineStr">
        <is>
          <t>4.56%</t>
        </is>
      </c>
      <c r="I25" s="6" t="inlineStr">
        <is>
          <t>5.34%</t>
        </is>
      </c>
      <c r="J25" s="6" t="inlineStr">
        <is>
          <t>2.74%</t>
        </is>
      </c>
      <c r="K25" s="6" t="inlineStr">
        <is>
          <t>0.90%</t>
        </is>
      </c>
    </row>
    <row r="26">
      <c r="A26" s="6" t="inlineStr">
        <is>
          <t>ECL coverage of impaired/Stage 3 loans</t>
        </is>
      </c>
      <c r="B26" s="6" t="n"/>
      <c r="C26" s="6" t="inlineStr">
        <is>
          <t>8.94%</t>
        </is>
      </c>
      <c r="D26" s="6" t="inlineStr">
        <is>
          <t>4.33%</t>
        </is>
      </c>
      <c r="E26" s="6" t="inlineStr">
        <is>
          <t>4.23%</t>
        </is>
      </c>
      <c r="F26" s="6" t="inlineStr">
        <is>
          <t>4.98%</t>
        </is>
      </c>
      <c r="G26" s="6" t="inlineStr">
        <is>
          <t>5.94%</t>
        </is>
      </c>
      <c r="H26" s="6" t="inlineStr">
        <is>
          <t>9.14%</t>
        </is>
      </c>
      <c r="I26" s="6" t="inlineStr">
        <is>
          <t>2.82%</t>
        </is>
      </c>
      <c r="J26" s="6" t="inlineStr">
        <is>
          <t>7.53%</t>
        </is>
      </c>
      <c r="K26" s="6" t="inlineStr">
        <is>
          <t>12.63%</t>
        </is>
      </c>
    </row>
    <row r="28" ht="340" customHeight="1">
      <c r="A28" s="8" t="inlineStr">
        <is>
          <t>Sources - Credit Suisse (UK) Limited's own Loans and advances / Expected Credit Loss notes:
FY2025/FY2024: Full accounts to 31 Dec 2025, Note 'Loans' (ECL by IFRS 9 stage), pp.69-70, and Note 35 (Transfer of business to UBS AG London Branch), p.89 - https://find-and-update.company-information.service.gov.uk/company/02009520/filing-history/MzUxNzE0OTI3NGFkaXF6a2N4/document?format=pdf&amp;download=0
FY2023/FY2022: Full accounts to 31 Dec 2023, Note 11 (Loans and advances, by UK/Foreign x Commercial/Consumer), p.58 - https://find-and-update.company-information.service.gov.uk/company/02009520/filing-history/MzQxOTY5NDQ0MWFkaXF6a2N4/document?format=pdf&amp;download=0
FY2021: Full accounts to 31 Dec 2021, Note 11 (Loans and advances, by UK/Foreign x Commercial/Consumer), p.64 - https://find-and-update.company-information.service.gov.uk/company/02009520/filing-history/MzMzNzU0NDMwOWFkaXF6a2N4/document?format=pdf&amp;download=0
FY2020: Full accounts to 31 Dec 2020, Note 15 (Loans and advances, by UK/Foreign x Commercial/Consumer), p.68 - https://find-and-update.company-information.service.gov.uk/company/02009520/filing-history/MzMwMTQ3Nzk1MmFkaXF6a2N4/document?format=pdf&amp;download=0
FY2019: Full accounts to 31 Dec 2019, Note 15 (Net Loans, by UK/Foreign x Commercial/Consumer), p.64 - https://find-and-update.company-information.service.gov.uk/company/02009520/filing-history/MzI2MjYyNzE3OGFkaXF6a2N4/document?format=pdf&amp;download=0
FY2018: borrower-type breakdown and Gross Impaired loans sourced from the FY2019 filing's own FY2018 comparative column (p.64, same document as above) - FY2018's own filing (Note 16, p.71) discloses only a by-maturity/by-collateral breakdown with no borrower-type split and no impaired-loans concept; both years' totals independently reconcile to FY2018's own disclosed Total Net loans of £2,141,288k.
FY2017: Full accounts to 31 Dec 2017, Note 13 (Loans and receivables, by UK/Foreign x Commercial/Consumer), p.47 - https://find-and-update.company-information.service.gov.uk/company/02009520/filing-history/MzIwMzkxNjcwMmFkaXF6a2N4/document?format=pdf&amp;download=0
FY2016: borrower-type/maturity/collateral breakdown from FY2016's own filing, Note 13, p.43 - https://find-and-update.company-information.service.gov.uk/company/02009520/filing-history/MzE3NDY1MzYyMmFkaXF6a2N4/document?format=pdf&amp;download=0; Gross Impaired loans for FY2016 (£13,996k) sourced instead from FY2017's own FY2016 comparative column (same Note 13 above), since FY2016's own filing carries no impaired-loans concept either.
GRANULARITY NOTE: the Bank's own disclosed granularity genuinely changes across years, confirmed by reading each year's own note in full (not assumed). FY2025/FY2024 use a full IFRS 9 Stage 1/2/3 gross-carrying-amount/allowance table (the format introduced from the FY2025 Annual Report) - note this is a DIFFERENT, secondary note from the primary 'Loans and advances' note that FY2019/FY2020 (and, per their own comparative columns, FY2016-FY2018) also carry: that secondary Stage 1/2/3 table exists inside the Expected Credit Loss Measurement note from FY2019 onward, but the Balance Sheet's own Loans and advances figure ties to the primary UK/Foreign x Commercial/Consumer note, not the Stage table - so FY2019/FY2020 are shown on the same borrower-type basis as FY2016-FY2023, not switched to a Stage basis. FY2023/FY2022/FY2021 instead disclose a UK-vs-Foreign, Commercial-vs-Consumer breakdown plus a single aggregate allowance figure and a 'Gross Impaired loans' total (the FY2023-and-earlier report format, confirmed the SAME format used continuously back to FY2016) - no Stage 1/2/3 split exists in the primary note for any of FY2016-FY2023 despite checking. Both are shown on their own basis rather than forced onto one; the FY2024 Stage-table's net figure (£820,752k = £829,923k gross less £9,171k ECL allowance) is £1,803k higher than the Balance Sheet's own £818,949k net Loans and advances figure for that year - the Stage table tracks ECL only, not the further 'Deferred fee income' deduction the FY2023/2022/2021 Note 11 shows separately (£4,043k/£6,449k/£7,733k respectively), which plausibly accounts for the FY2024 gap too even though it isn't separately disclosed that year - flagged as a probable explanation, not force-reconciled. FY2025's entire loan book (customer-facing business) was transferred to UBS AG London Branch on 20 June 2025 under a Part VII scheme (Note 35) - all FY2025 figures on this sheet are correctly nil, not a disclosure gap.</t>
        </is>
      </c>
    </row>
  </sheetData>
  <mergeCells count="1">
    <mergeCell ref="A28:K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Return on equity - average equity basis</t>
        </is>
      </c>
      <c r="B4" s="6" t="inlineStr">
        <is>
          <t>2.10%</t>
        </is>
      </c>
      <c r="C4" s="6" t="inlineStr">
        <is>
          <t>2.33%</t>
        </is>
      </c>
      <c r="D4" s="6" t="inlineStr">
        <is>
          <t>-7.25%</t>
        </is>
      </c>
      <c r="E4" s="6" t="inlineStr">
        <is>
          <t>4.15%</t>
        </is>
      </c>
      <c r="F4" s="6" t="inlineStr">
        <is>
          <t>2.90%</t>
        </is>
      </c>
      <c r="G4" s="6" t="inlineStr">
        <is>
          <t>5.92%</t>
        </is>
      </c>
      <c r="H4" s="6" t="inlineStr">
        <is>
          <t>8.27%</t>
        </is>
      </c>
      <c r="I4" s="6" t="inlineStr">
        <is>
          <t>10.91%</t>
        </is>
      </c>
      <c r="J4" s="6" t="inlineStr">
        <is>
          <t>13.01%</t>
        </is>
      </c>
      <c r="K4" s="6" t="n"/>
    </row>
    <row r="5">
      <c r="A5" s="6" t="inlineStr">
        <is>
          <t>Return on equity - year-end equity basis</t>
        </is>
      </c>
      <c r="B5" s="6" t="inlineStr">
        <is>
          <t>2.08%</t>
        </is>
      </c>
      <c r="C5" s="6" t="inlineStr">
        <is>
          <t>2.30%</t>
        </is>
      </c>
      <c r="D5" s="6" t="inlineStr">
        <is>
          <t>-7.91%</t>
        </is>
      </c>
      <c r="E5" s="6" t="inlineStr">
        <is>
          <t>4.18%</t>
        </is>
      </c>
      <c r="F5" s="6" t="inlineStr">
        <is>
          <t>2.86%</t>
        </is>
      </c>
      <c r="G5" s="6" t="inlineStr">
        <is>
          <t>5.76%</t>
        </is>
      </c>
      <c r="H5" s="6" t="inlineStr">
        <is>
          <t>7.94%</t>
        </is>
      </c>
      <c r="I5" s="6" t="inlineStr">
        <is>
          <t>9.82%</t>
        </is>
      </c>
      <c r="J5" s="6" t="inlineStr">
        <is>
          <t>12.21%</t>
        </is>
      </c>
      <c r="K5" s="6" t="inlineStr">
        <is>
          <t>-0.21%</t>
        </is>
      </c>
    </row>
    <row r="6">
      <c r="A6" s="6" t="inlineStr">
        <is>
          <t>Return on assets - average assets basis</t>
        </is>
      </c>
      <c r="B6" s="6" t="inlineStr">
        <is>
          <t>0.59%</t>
        </is>
      </c>
      <c r="C6" s="6" t="inlineStr">
        <is>
          <t>0.33%</t>
        </is>
      </c>
      <c r="D6" s="6" t="inlineStr">
        <is>
          <t>-0.88%</t>
        </is>
      </c>
      <c r="E6" s="6" t="inlineStr">
        <is>
          <t>0.45%</t>
        </is>
      </c>
      <c r="F6" s="6" t="inlineStr">
        <is>
          <t>0.28%</t>
        </is>
      </c>
      <c r="G6" s="6" t="inlineStr">
        <is>
          <t>0.55%</t>
        </is>
      </c>
      <c r="H6" s="6" t="inlineStr">
        <is>
          <t>0.73%</t>
        </is>
      </c>
      <c r="I6" s="6" t="inlineStr">
        <is>
          <t>0.85%</t>
        </is>
      </c>
      <c r="J6" s="6" t="inlineStr">
        <is>
          <t>0.92%</t>
        </is>
      </c>
      <c r="K6" s="6" t="n"/>
    </row>
    <row r="7">
      <c r="A7" s="6" t="inlineStr">
        <is>
          <t>Return on assets - year-end assets basis</t>
        </is>
      </c>
      <c r="B7" s="6" t="inlineStr">
        <is>
          <t>1.80%</t>
        </is>
      </c>
      <c r="C7" s="6" t="inlineStr">
        <is>
          <t>0.38%</t>
        </is>
      </c>
      <c r="D7" s="6" t="inlineStr">
        <is>
          <t>-0.97%</t>
        </is>
      </c>
      <c r="E7" s="6" t="inlineStr">
        <is>
          <t>0.50%</t>
        </is>
      </c>
      <c r="F7" s="6" t="inlineStr">
        <is>
          <t>0.28%</t>
        </is>
      </c>
      <c r="G7" s="6" t="inlineStr">
        <is>
          <t>0.54%</t>
        </is>
      </c>
      <c r="H7" s="6" t="inlineStr">
        <is>
          <t>0.74%</t>
        </is>
      </c>
      <c r="I7" s="6" t="inlineStr">
        <is>
          <t>0.83%</t>
        </is>
      </c>
      <c r="J7" s="6" t="inlineStr">
        <is>
          <t>0.87%</t>
        </is>
      </c>
      <c r="K7" s="6" t="inlineStr">
        <is>
          <t>-0.02%</t>
        </is>
      </c>
    </row>
    <row r="8">
      <c r="A8" s="6" t="inlineStr">
        <is>
          <t>Credit Suisse (UK)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c r="K8" s="6" t="inlineStr">
        <is>
          <t>Not published</t>
        </is>
      </c>
    </row>
    <row r="9" ht="117" customHeight="1">
      <c r="A9" s="7" t="inlineStr">
        <is>
          <t>Note: COMPUTED, NOT PUBLISHED. Credit Suisse (UK) Limited publishes no ROE, RoTE or ROA in its 2025 Annual Report. The 95-page scan-only filing was OCR-searched report-wide. Its KPI panel, verified at 300 dpi, lists profit/(loss) before tax, cost-to-income ratio, RWAs, CET1/Tier 1 capital and ratios, leverage, liquidity, client assets and credit volume, but no return measure.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FY2018, where return on equity is 10.91% on an average basis and 9.82% on a year-end basis.
FY2016 HAS NO AVERAGE-BASIS RATIO, AND THAT IS CORRECT. An average denominator needs an opening balance, and FY2016 is the oldest column this workbook carries, so there is no prior year to open from. The blank is structural, not a missing figure. The year-end basis is shown for FY2016 because it needs only the closing balance.</t>
        </is>
      </c>
    </row>
    <row r="11" ht="170" customHeight="1">
      <c r="A11" s="8" t="inlineStr">
        <is>
          <t>Computed by this workbook's own build script from the Profit &amp; Loss and Balance Sheet sheets of this same workbook - the Profit &amp; Loss row “profit/(loss) after tax” and the Balance Sheet rows “total shareholders' equity” and “total assets”, resolved BY LABEL at build time through the shared resolver scripts/profitability_rows.py, so this sheet cannot drift from the statements it summarises. Those rows are themselves transcribed from Credit Suisse (UK) Limited's Annual Report and Accounts for each year; see the source cells on the Balance Sheet and Profit &amp; Loss sheets for the exact document, page and table behind every input to every percentage above.
The finding that Credit Suisse (UK) Limited publishes no return of its own is recorded in research/profitability/published_returns.jsonl under ‘CREDIT SUISSE UK’, verified against the bank's own annual report rendered at 300 dpi.</t>
        </is>
      </c>
    </row>
  </sheetData>
  <mergeCells count="2">
    <mergeCell ref="A11:K11"/>
    <mergeCell ref="A9:K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s>
  <sheetData>
    <row r="1">
      <c r="A1" s="1" t="inlineStr">
        <is>
          <t>Credit Suisse (UK) Limited — KM1 Key Metrics</t>
        </is>
      </c>
    </row>
    <row r="2">
      <c r="A2" s="2" t="inlineStr">
        <is>
          <t>The Bank's own published 'KM1 - Key metrics' template, reproduced whole; amounts in GBP '000 and ratios as printed. FY2021 is filled from the FY2022 edition's comparative column - see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(£'000)</t>
        </is>
      </c>
      <c r="B5" s="6" t="n">
        <v>305801</v>
      </c>
      <c r="C5" s="6" t="n">
        <v>299412</v>
      </c>
      <c r="D5" s="6" t="n">
        <v>291388</v>
      </c>
      <c r="E5" s="6" t="n">
        <v>330376</v>
      </c>
      <c r="F5" s="6" t="n">
        <v>336173</v>
      </c>
    </row>
    <row r="6">
      <c r="A6" s="6" t="inlineStr">
        <is>
          <t>2  Tier 1 capital (£'000)</t>
        </is>
      </c>
      <c r="B6" s="6" t="n">
        <v>305801</v>
      </c>
      <c r="C6" s="6" t="n">
        <v>299412</v>
      </c>
      <c r="D6" s="6" t="n">
        <v>291388</v>
      </c>
      <c r="E6" s="6" t="n">
        <v>330376</v>
      </c>
      <c r="F6" s="6" t="n">
        <v>336173</v>
      </c>
    </row>
    <row r="7">
      <c r="A7" s="6" t="inlineStr">
        <is>
          <t>3  Total capital (£'000)</t>
        </is>
      </c>
      <c r="B7" s="6" t="n">
        <v>305801</v>
      </c>
      <c r="C7" s="6" t="n">
        <v>346842</v>
      </c>
      <c r="D7" s="6" t="n">
        <v>344861</v>
      </c>
      <c r="E7" s="6" t="n">
        <v>385376</v>
      </c>
      <c r="F7" s="6" t="n">
        <v>391173</v>
      </c>
    </row>
    <row r="8">
      <c r="A8" s="5" t="inlineStr">
        <is>
          <t>Risk-weighted exposure amounts</t>
        </is>
      </c>
      <c r="B8" s="6" t="n"/>
      <c r="C8" s="6" t="n"/>
      <c r="D8" s="6" t="n"/>
      <c r="E8" s="6" t="n"/>
      <c r="F8" s="6" t="n"/>
    </row>
    <row r="9">
      <c r="A9" s="6" t="inlineStr">
        <is>
          <t>4  Total risk-weighted exposure amount (£'000)</t>
        </is>
      </c>
      <c r="B9" s="6" t="n">
        <v>160021</v>
      </c>
      <c r="C9" s="6" t="n">
        <v>671676</v>
      </c>
      <c r="D9" s="6" t="n">
        <v>999597</v>
      </c>
      <c r="E9" s="6" t="n">
        <v>1123970</v>
      </c>
      <c r="F9" s="6" t="n">
        <v>1335858</v>
      </c>
    </row>
    <row r="10">
      <c r="A10" s="5" t="inlineStr">
        <is>
          <t>Capital ratios (as a percentage of risk-weighted exposure amount)</t>
        </is>
      </c>
      <c r="B10" s="6" t="n"/>
      <c r="C10" s="6" t="n"/>
      <c r="D10" s="6" t="n"/>
      <c r="E10" s="6" t="n"/>
      <c r="F10" s="6" t="n"/>
    </row>
    <row r="11">
      <c r="A11" s="6" t="inlineStr">
        <is>
          <t>5  Common Equity Tier 1 ratio (%)</t>
        </is>
      </c>
      <c r="B11" s="6" t="inlineStr">
        <is>
          <t>191.10%</t>
        </is>
      </c>
      <c r="C11" s="6" t="inlineStr">
        <is>
          <t>44.58%</t>
        </is>
      </c>
      <c r="D11" s="6" t="inlineStr">
        <is>
          <t>29.15%</t>
        </is>
      </c>
      <c r="E11" s="6" t="inlineStr">
        <is>
          <t>29.39%</t>
        </is>
      </c>
      <c r="F11" s="6" t="inlineStr">
        <is>
          <t>25.17%</t>
        </is>
      </c>
    </row>
    <row r="12">
      <c r="A12" s="6" t="inlineStr">
        <is>
          <t>6  Tier 1 ratio (%)</t>
        </is>
      </c>
      <c r="B12" s="6" t="inlineStr">
        <is>
          <t>191.10%</t>
        </is>
      </c>
      <c r="C12" s="6" t="inlineStr">
        <is>
          <t>44.58%</t>
        </is>
      </c>
      <c r="D12" s="6" t="inlineStr">
        <is>
          <t>29.15%</t>
        </is>
      </c>
      <c r="E12" s="6" t="inlineStr">
        <is>
          <t>29.39%</t>
        </is>
      </c>
      <c r="F12" s="6" t="inlineStr">
        <is>
          <t>25.17%</t>
        </is>
      </c>
    </row>
    <row r="13">
      <c r="A13" s="6" t="inlineStr">
        <is>
          <t>7  Total capital ratio (%)</t>
        </is>
      </c>
      <c r="B13" s="6" t="inlineStr">
        <is>
          <t>191.10%</t>
        </is>
      </c>
      <c r="C13" s="6" t="inlineStr">
        <is>
          <t>51.64%</t>
        </is>
      </c>
      <c r="D13" s="6" t="inlineStr">
        <is>
          <t>34.50%</t>
        </is>
      </c>
      <c r="E13" s="6" t="inlineStr">
        <is>
          <t>34.29%</t>
        </is>
      </c>
      <c r="F13" s="6" t="inlineStr">
        <is>
          <t>29.28%</t>
        </is>
      </c>
    </row>
    <row r="14">
      <c r="A14" s="5" t="inlineStr">
        <is>
          <t>Additional own funds requirements based on Supervisory Review and Evaluation Process ('SREP') (as a percentage of risk-weighted exposure amount)</t>
        </is>
      </c>
      <c r="B14" s="6" t="n"/>
      <c r="C14" s="6" t="n"/>
      <c r="D14" s="6" t="n"/>
      <c r="E14" s="6" t="n"/>
      <c r="F14" s="6" t="n"/>
    </row>
    <row r="15">
      <c r="A15" s="6" t="inlineStr">
        <is>
          <t>UK 7a  Additional CET1 SREP requirements (%)</t>
        </is>
      </c>
      <c r="B15" s="6" t="inlineStr">
        <is>
          <t>3.32%</t>
        </is>
      </c>
      <c r="C15" s="6" t="inlineStr">
        <is>
          <t>3.32%</t>
        </is>
      </c>
      <c r="D15" s="6" t="inlineStr">
        <is>
          <t>1.77%</t>
        </is>
      </c>
      <c r="E15" s="6" t="inlineStr">
        <is>
          <t>1.77%</t>
        </is>
      </c>
      <c r="F15" s="6" t="inlineStr">
        <is>
          <t>3.51%</t>
        </is>
      </c>
    </row>
    <row r="16">
      <c r="A16" s="6" t="inlineStr">
        <is>
          <t>UK 7b  Additional AT1 SREP requirements (%)</t>
        </is>
      </c>
      <c r="B16" s="6" t="inlineStr">
        <is>
          <t>1.11%</t>
        </is>
      </c>
      <c r="C16" s="6" t="inlineStr">
        <is>
          <t>1.11%</t>
        </is>
      </c>
      <c r="D16" s="6" t="inlineStr">
        <is>
          <t>0.59%</t>
        </is>
      </c>
      <c r="E16" s="6" t="inlineStr">
        <is>
          <t>0.59%</t>
        </is>
      </c>
      <c r="F16" s="6" t="inlineStr">
        <is>
          <t>1.17%</t>
        </is>
      </c>
    </row>
    <row r="17">
      <c r="A17" s="6" t="inlineStr">
        <is>
          <t>UK 7c  Additional T2 SREP requirements (%)</t>
        </is>
      </c>
      <c r="B17" s="6" t="inlineStr">
        <is>
          <t>1.48%</t>
        </is>
      </c>
      <c r="C17" s="6" t="inlineStr">
        <is>
          <t>1.48%</t>
        </is>
      </c>
      <c r="D17" s="6" t="inlineStr">
        <is>
          <t>0.79%</t>
        </is>
      </c>
      <c r="E17" s="6" t="inlineStr">
        <is>
          <t>0.79%</t>
        </is>
      </c>
      <c r="F17" s="6" t="inlineStr">
        <is>
          <t>1.56%</t>
        </is>
      </c>
    </row>
    <row r="18">
      <c r="A18" s="6" t="inlineStr">
        <is>
          <t>UK 7d  Total SREP own funds requirements (%)</t>
        </is>
      </c>
      <c r="B18" s="6" t="inlineStr">
        <is>
          <t>13.91%</t>
        </is>
      </c>
      <c r="C18" s="6" t="inlineStr">
        <is>
          <t>13.91%</t>
        </is>
      </c>
      <c r="D18" s="6" t="inlineStr">
        <is>
          <t>11.15%</t>
        </is>
      </c>
      <c r="E18" s="6" t="inlineStr">
        <is>
          <t>11.15%</t>
        </is>
      </c>
      <c r="F18" s="6" t="inlineStr">
        <is>
          <t>14.24%</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2.50%</t>
        </is>
      </c>
      <c r="F20" s="6" t="inlineStr">
        <is>
          <t>2.50%</t>
        </is>
      </c>
    </row>
    <row r="21">
      <c r="A21" s="6" t="inlineStr">
        <is>
          <t>9  Institution specific countercyclical capital buffer (%)</t>
        </is>
      </c>
      <c r="B21" s="6" t="inlineStr">
        <is>
          <t>0.69%</t>
        </is>
      </c>
      <c r="C21" s="6" t="inlineStr">
        <is>
          <t>0.81%</t>
        </is>
      </c>
      <c r="D21" s="6" t="inlineStr">
        <is>
          <t>0.80%</t>
        </is>
      </c>
      <c r="E21" s="6" t="inlineStr">
        <is>
          <t>0.49%</t>
        </is>
      </c>
      <c r="F21" s="6" t="inlineStr">
        <is>
          <t>0.04%</t>
        </is>
      </c>
    </row>
    <row r="22">
      <c r="A22" s="6" t="inlineStr">
        <is>
          <t>11  Combined buffer requirement (%)</t>
        </is>
      </c>
      <c r="B22" s="6" t="inlineStr">
        <is>
          <t>3.19%</t>
        </is>
      </c>
      <c r="C22" s="6" t="inlineStr">
        <is>
          <t>3.31%</t>
        </is>
      </c>
      <c r="D22" s="6" t="inlineStr">
        <is>
          <t>3.30%</t>
        </is>
      </c>
      <c r="E22" s="6" t="inlineStr">
        <is>
          <t>2.99%</t>
        </is>
      </c>
      <c r="F22" s="6" t="inlineStr">
        <is>
          <t>2.54%</t>
        </is>
      </c>
    </row>
    <row r="23">
      <c r="A23" s="6" t="inlineStr">
        <is>
          <t>UK 11a  Overall capital requirements (%)</t>
        </is>
      </c>
      <c r="B23" s="6" t="inlineStr">
        <is>
          <t>17.10%</t>
        </is>
      </c>
      <c r="C23" s="6" t="inlineStr">
        <is>
          <t>17.22%</t>
        </is>
      </c>
      <c r="D23" s="6" t="inlineStr">
        <is>
          <t>14.45%</t>
        </is>
      </c>
      <c r="E23" s="6" t="inlineStr">
        <is>
          <t>14.14%</t>
        </is>
      </c>
      <c r="F23" s="6" t="inlineStr">
        <is>
          <t>16.78%</t>
        </is>
      </c>
    </row>
    <row r="24">
      <c r="A24" s="6" t="inlineStr">
        <is>
          <t>12  CET1 available after meeting the total SREP own funds requirements (%)</t>
        </is>
      </c>
      <c r="B24" s="6" t="inlineStr">
        <is>
          <t>183.28%</t>
        </is>
      </c>
      <c r="C24" s="6" t="inlineStr">
        <is>
          <t>36.75%</t>
        </is>
      </c>
      <c r="D24" s="6" t="inlineStr">
        <is>
          <t>22.88%</t>
        </is>
      </c>
      <c r="E24" s="6" t="inlineStr">
        <is>
          <t>23.12%</t>
        </is>
      </c>
      <c r="F24" s="6" t="inlineStr">
        <is>
          <t>17.16%</t>
        </is>
      </c>
    </row>
    <row r="25">
      <c r="A25" s="5" t="inlineStr">
        <is>
          <t>Leverage ratio</t>
        </is>
      </c>
      <c r="B25" s="6" t="n"/>
      <c r="C25" s="6" t="n"/>
      <c r="D25" s="6" t="n"/>
      <c r="E25" s="6" t="n"/>
      <c r="F25" s="6" t="n"/>
    </row>
    <row r="26">
      <c r="A26" s="6" t="inlineStr">
        <is>
          <t>13  Leverage ratio total exposure measure excluding claims on central banks (£'000)</t>
        </is>
      </c>
      <c r="B26" s="6" t="n">
        <v>352528</v>
      </c>
      <c r="C26" s="6" t="n">
        <v>1808065</v>
      </c>
      <c r="D26" s="6" t="n">
        <v>2409589</v>
      </c>
      <c r="E26" s="6" t="n">
        <v>2899039</v>
      </c>
      <c r="F26" s="6" t="n">
        <v>3616433</v>
      </c>
    </row>
    <row r="27">
      <c r="A27" s="6" t="inlineStr">
        <is>
          <t>14  Leverage ratio excluding claims on central banks (%)</t>
        </is>
      </c>
      <c r="B27" s="6" t="inlineStr">
        <is>
          <t>86.75%</t>
        </is>
      </c>
      <c r="C27" s="6" t="inlineStr">
        <is>
          <t>16.56%</t>
        </is>
      </c>
      <c r="D27" s="6" t="inlineStr">
        <is>
          <t>12.09%</t>
        </is>
      </c>
      <c r="E27" s="6" t="inlineStr">
        <is>
          <t>11.40%</t>
        </is>
      </c>
      <c r="F27" s="6" t="inlineStr">
        <is>
          <t>9.30%</t>
        </is>
      </c>
    </row>
    <row r="28">
      <c r="A28" s="5" t="inlineStr">
        <is>
          <t>Liquidity Coverage Ratio</t>
        </is>
      </c>
      <c r="B28" s="6" t="n"/>
      <c r="C28" s="6" t="n"/>
      <c r="D28" s="6" t="n"/>
      <c r="E28" s="6" t="n"/>
      <c r="F28" s="6" t="n"/>
    </row>
    <row r="29">
      <c r="A29" s="6" t="inlineStr">
        <is>
          <t>15  Total high-quality liquid assets (HQLA) (Weighted value - average) (£'000)</t>
        </is>
      </c>
      <c r="B29" s="6" t="n">
        <v>419937</v>
      </c>
      <c r="C29" s="6" t="n">
        <v>530822</v>
      </c>
      <c r="D29" s="6" t="n">
        <v>494954</v>
      </c>
      <c r="E29" s="6" t="n">
        <v>884980</v>
      </c>
      <c r="F29" s="6" t="n">
        <v>1084683</v>
      </c>
    </row>
    <row r="30">
      <c r="A30" s="6" t="inlineStr">
        <is>
          <t>UK 16a  Cash outflows - Total weighted value (£'000)</t>
        </is>
      </c>
      <c r="B30" s="6" t="n">
        <v>80955</v>
      </c>
      <c r="C30" s="6" t="n">
        <v>225651</v>
      </c>
      <c r="D30" s="6" t="n">
        <v>241742</v>
      </c>
      <c r="E30" s="6" t="n">
        <v>640811</v>
      </c>
      <c r="F30" s="6" t="n">
        <v>734039</v>
      </c>
    </row>
    <row r="31">
      <c r="A31" s="6" t="inlineStr">
        <is>
          <t>UK 16b  Cash inflows - Total weighted value (£'000)</t>
        </is>
      </c>
      <c r="B31" s="6" t="n">
        <v>56043</v>
      </c>
      <c r="C31" s="6" t="n">
        <v>121416</v>
      </c>
      <c r="D31" s="6" t="n">
        <v>174440</v>
      </c>
      <c r="E31" s="6" t="n">
        <v>244370</v>
      </c>
      <c r="F31" s="6" t="n">
        <v>255399</v>
      </c>
    </row>
    <row r="32">
      <c r="A32" s="6" t="inlineStr">
        <is>
          <t>16  Total net cash outflows (adjusted value) (£'000)</t>
        </is>
      </c>
      <c r="B32" s="6" t="n">
        <v>28755</v>
      </c>
      <c r="C32" s="6" t="n">
        <v>104235</v>
      </c>
      <c r="D32" s="6" t="n">
        <v>83862</v>
      </c>
      <c r="E32" s="6" t="n">
        <v>396440</v>
      </c>
      <c r="F32" s="6" t="n">
        <v>478638</v>
      </c>
    </row>
    <row r="33">
      <c r="A33" s="6" t="inlineStr">
        <is>
          <t>17  Liquidity coverage ratio (%)</t>
        </is>
      </c>
      <c r="B33" s="6" t="inlineStr">
        <is>
          <t>4860.58%</t>
        </is>
      </c>
      <c r="C33" s="6" t="inlineStr">
        <is>
          <t>539.19%</t>
        </is>
      </c>
      <c r="D33" s="6" t="inlineStr">
        <is>
          <t>729.77%</t>
        </is>
      </c>
      <c r="E33" s="6" t="inlineStr">
        <is>
          <t>229.60%</t>
        </is>
      </c>
      <c r="F33" s="6" t="inlineStr">
        <is>
          <t>230.07%</t>
        </is>
      </c>
    </row>
    <row r="34">
      <c r="A34" s="5" t="inlineStr">
        <is>
          <t>Net Stable Funding Ratio</t>
        </is>
      </c>
      <c r="B34" s="6" t="n"/>
      <c r="C34" s="6" t="n"/>
      <c r="D34" s="6" t="n"/>
      <c r="E34" s="6" t="n"/>
      <c r="F34" s="6" t="n"/>
    </row>
    <row r="35">
      <c r="A35" s="6" t="inlineStr">
        <is>
          <t>18  Total available stable funding (£'000)</t>
        </is>
      </c>
      <c r="B35" s="6" t="n">
        <v>486909</v>
      </c>
      <c r="C35" s="6" t="n">
        <v>1249395</v>
      </c>
      <c r="D35" s="6" t="n">
        <v>1398068</v>
      </c>
      <c r="E35" s="6" t="n">
        <v>1773117</v>
      </c>
      <c r="F35" s="6" t="n"/>
    </row>
    <row r="36">
      <c r="A36" s="6" t="inlineStr">
        <is>
          <t>19  Total required stable funding (£'000)</t>
        </is>
      </c>
      <c r="B36" s="6" t="n">
        <v>150879</v>
      </c>
      <c r="C36" s="6" t="n">
        <v>762813</v>
      </c>
      <c r="D36" s="6" t="n">
        <v>1076052</v>
      </c>
      <c r="E36" s="6" t="n">
        <v>1328489</v>
      </c>
      <c r="F36" s="6" t="n"/>
    </row>
    <row r="37">
      <c r="A37" s="6" t="inlineStr">
        <is>
          <t>20  NSFR ratio (%)</t>
        </is>
      </c>
      <c r="B37" s="6" t="inlineStr">
        <is>
          <t>3599.46%</t>
        </is>
      </c>
      <c r="C37" s="6" t="inlineStr">
        <is>
          <t>167.13%</t>
        </is>
      </c>
      <c r="D37" s="6" t="inlineStr">
        <is>
          <t>129.96%</t>
        </is>
      </c>
      <c r="E37" s="6" t="inlineStr">
        <is>
          <t>133.33%</t>
        </is>
      </c>
      <c r="F37" s="6" t="n"/>
    </row>
    <row r="39" ht="409" customHeight="1">
      <c r="A39" s="8" t="inlineStr">
        <is>
          <t>Sources - Credit Suisse (UK) Limited's own published 'KM1 - Key metrics' template, reproduced whole in the Bank's own row order, row numbers, labels and precision. All amounts are the template's own 'Amounts in GBP '000'; ratios exactly as printed. Each edition is UBS-hosted and reached from the Credit Suisse legal-entity disclosure index - https://www.ubs.com/global/en/investor-relations/complementary-financial-information/other-subsidiaries.html
FY2025: Pillar 3 Disclosures 2025, 'KM1 - Key metrics' (end-2025 column). NOTE THE FILENAME TRAP: this edition is published as 'csuk-pillar-3-disclosures-2026.pdf' - UBS names the file by publication year, while the document itself is titled 'Pillar 3 Disclosures 2025' and its column is headed 'end of 2025'. The document's own title governs here, not the filename.
FY2024: Pillar 3 Disclosures 2024, 'KM1 - Key metrics' (end-2024 column).
FY2023: Pillar 3 Disclosures 2023, 'KM1 - Key metrics' (end-2023 column).
FY2022: Pillar 3 Disclosures 2022, 'KM1 - Key metrics' (end-2022 column).
FY2021: FILLED FROM A LATER EDITION'S COMPARATIVE, and flagged here rather than presented as an own-year figure. CSUK's FY2021 edition prints NO KM1 template at all - it belongs to the pre-UK-CRR format, carrying an 'Own Funds' composition table (whose 'Total Capital (Own Funds)' of £391,172k does match row 3 below) but none of the template's structure. This was tested rather than assumed: the FY2021 edition contains zero occurrences of 'KM1', 'combined buffer', 'total exposure measure', 'Total SREP' and 'high-quality liquid', while the same document returns healthy counts for the control phrases 'own funds' (7), 'risk-weighted' (6), 'countercyclical' (3) and 'net stable funding' (3) - so the text is fully readable and the template is genuinely absent, not missed. The FY2021 column here is therefore the FY2022 edition's own '2021' comparative column.
ROWS 18-20 ARE BLANK FOR FY2021 BY FORMAL EXCLUSION, not for want of data. The FY2022 edition's own footnote (4) states: 'Net Stable Funding Ratio is computed as an average of the last four spot quarter end positions. This is new disclosure effective 2022, thus comparative figures for 2021 not shown.'
Rows UK 8a, UK 9a, 10, UK 10a and 14a-14e are not printed in any CSUK edition. Footnote (2) records why the leverage block is short: 'CSUK not being a LREQ firm, is not subject to minimum leverage ratio capital requirement.'
ROW 13 CROSS-EDITION DIVERGENCE (documented, not reconciled): the FY2023 edition prints a total exposure measure of 2,409,589 for end-2023, while the FY2024 edition's own 2023 comparative prints 2,409,588. The own-year edition's figure is used here.
WHY THIS SHEET DISAGREES WITH THE 11 METRIC SHEETS - A SOURCE DIFFERENCE, NOT AN ERROR. The metric sheets in this workbook are sourced from CSUK's Companies House ANNUAL REPORT KPI tables (see p3_sources above); this sheet reproduces the PILLAR 3 KM1 template. The two report different things on the liquidity rows, and the template says so itself:
  - Row 17 LCR. KM1 footnote (3): 'Liquidity coverage ratio computed as an average of 12 month-end observations to the reporting date.' The Annual Report's figure is a year-end spot ratio. Hence KM1 4860.58% / 539.19% / 729.77% / 229.60% against the LCR sheet's 1,154% / 451% / 554.67% / 216.40% for FY2025-FY2022. Both are correct on their own basis; neither has been adjusted toward the other.
  - BUT THE AVERAGING BASIS DOES NOT EXPLAIN FY2025, and it is recorded here rather than left to that assumption. Dividing each edition's own printed row 15 by its own printed row 16 gives a ratio the printed row 17 should be close to, and for FY2021-FY2024 it is: printed-over-implied is 1.015, 1.029, 1.236 and 1.059 respectively, the sort of gap an average-of-ratios rather than ratio-of-averages produces. For FY2025 the same test gives 4860.58% printed against 419,937 / 28,755 = 1460.40% implied, a factor of 3.33; and on the NSFR rows 3599.46% printed against 486,909 / 150,879 = 322.71% implied, a factor of 11.15, where FY2022 and FY2023 reconcile almost exactly (0.999 and 1.000). No averaging convention produces those. The FY2025 edition's own rows 17 and 20 therefore do not reconcile with its own rows 15/16 and 18/19.</t>
        </is>
      </c>
    </row>
    <row r="41" ht="409" customHeight="1">
      <c r="A41" s="8" t="inlineStr">
        <is>
          <t>(continued)
This was checked against the PAGE IMAGE, not merely the text layer, precisely because a number that fails its own arithmetic is usually a transcription fault rather than a fact about the bank. It is not one here: the rendered page of 'Pillar 3 Disclosures 2025', printed folio 16, plainly shows 4860.58% on row 17 and 3599.46% on row 20 beside HQLA 419,937, net cash outflows 28,755, available stable funding 486,909 and required stable funding 150,879. The figures are reproduced as published. Nothing here is derived or back-solved, and the implied percentages above are shown only as evidence of the non-reconciliation - they are deliberately NOT used in place of what the Bank printed.
  - Row 20 NSFR. KM1 footnote (4): 'computed as an average of the last four spot quarter end positions.' Hence 129.96% (KM1) against 129.25% (sheet) for FY2023, and 133.33% against 131.72% for FY2022.
  - Rows 4/5/6/7 for FY2021 come from the FY2022 edition's comparative column (see above), which restates what the Annual Report reported at the time: RWA 1,335,858 (£1,336m) against the sheet's £1,340m, CET1/Tier 1 ratio 25.17% against 25.09%, and Total capital ratio 29.28% against 29.19%.
  - Row 20 FY2025 differs additionally because the NSFR sheet rounds to '3,600%' where the template prints 3599.46% - a presentation difference of under a fiftieth of one percent, on top of the non-reconciliation described above.
  - Rows 5/6/14 for FY2024 differ in the source documents only by the Annual Report's rounding to whole percentages (KM1 44.58% and 16.56% against the sheets' '45%' and '17%'); those now fall inside tolerance and no longer register.
SEVEN cells differ in total, and every one falls into a class above: three from the restated FY2021 comparative on rows 5/6/7, two from the averaged-versus-spot NSFR on row 20 (FY2023 and FY2022), one from the restated FY2021 RWA on row 4, and one from rounding on row 20 FY2025. IT WAS ELEVEN UNTIL 18 SEPTEMBER 2026, and the four that went were the row 17 LCR cells for FY2025-FY2022. They did not go because a figure changed - none did - but because the LCR sheet now carries the Bank's Pillar 3 12-month-average LCR as its own second row alongside the Annual Report's spot row, so the template's row 17 has a same-basis counterpart to be checked against and matches it exactly. The basis difference that produced those four disagreements is unchanged and is still described above; it is simply now represented on both sheets instead of only one. Rows 1, 2, 3, 13 and 14 agree throughout - including row 3 FY2024, which is the figure corrected from 299 to 347 under this ticket. Rows 1 and 2 formerly registered as well, on FY2024/FY2023/FY2022, but that was a tolerance artefact of comparing a whole-£m sheet against a £'000 template and was resolved in verify_workbook.py on 2026-09-17; no figure changed.
These are recorded here deliberately. A verifier disagreement on any of these rows is the expected consequence of two genuinely different published bases and must not be removed by editing a figure.
ROWS 1, 2 AND 3 ARE EQUAL FOR FY2025 IN THE SOURCE - READ FROM THE DOCUMENT ON 2026-09-18, NOT INFERRED FROM THE OTHER SHEETS. The 'Pillar 3 Disclosures 2025' edition prints 305,801 on row 1 (CET1 capital), row 2 (Tier 1 capital) AND row 3 (Total capital) on printed folio 16, and prints 191.10% on rows 5, 6 and 7. The three coincide because CSUK had NO Additional Tier 1 and NO Tier 2 in issue at 31 December 2025. The same edition says so three ways: its CC1 prints row 29 CET1 305,801 and row 59 Total capital 305,801 with no AT1 or Tier 2 amount row populated at all (the only Tier 2 line is row 77, a CAP on the inclusion of credit risk adjustments, 62); its balance-sheet reconciliation prints 'Long term debt -' and 'of which: Subordinated debt -', with total shareholders' equity of 305,801, equal to CET1 to the pound; and its Article 437 narrative states 'CSUK's CET1 comprises permanent share capital of ordinary shares and reserves.' The Tier 2 of 47,430 that stood at end-2024 (346,842 - 299,412) had been redeemed. CSUK is in run-off following the UBS acquisition, which is also why RWA falls from 671,676 to 160,021 while CET1 holds flat.
Rows UK 7a/7b/7c/7d repeat FY2024's 3.32% / 1.11% / 1.48% / 13.91% exactly. That was confirmed in the FY2025 edition itself rather than carried over, because a repeated block is also what a copied column looks like.</t>
        </is>
      </c>
    </row>
    <row r="43" ht="409" customHeight="1">
      <c r="A43" s="8" t="inlineStr">
        <is>
          <t xml:space="preserve">(continued)
THE FY2025 EDITION'S OWN 2024 COMPARATIVE COLUMN IS DEFECTIVE, and is recorded rather than corrected, the same treatment as the row 13 divergence above. That column prints rows 1, 2 and 3 all as 299,412 - repeating CET1 into the Total capital slot - while printing row 7 for the same column as 51.64%, a percentage which against its own row 4 of 671,676 is 346,842. The edition contradicts itself, and FY2024's own edition prints 346,842. FY2024 on this sheet therefore stays 346,842 under rule 1 and must not be 'corrected' toward this later comparative. This is very likely the origin of the FY2024 error corrected on 2026-09-17: the duplication was printed by the Bank first, in the edition a transcriber would reach for last.
LATEST-EDITION CHECK (2026-09-17, re-confirmed 2026-09-18): the UBS-hosted Credit Suisse legal-entity disclosure index was enumerated directly. The newest CSUK Pillar 3 is the 'Pillar 3 Disclosures 2025' edition used above for FY2025, so this workbook is current; no FY2026 edition exists yet.
</t>
        </is>
      </c>
    </row>
  </sheetData>
  <mergeCells count="3">
    <mergeCell ref="A41:F41"/>
    <mergeCell ref="A39:F39"/>
    <mergeCell ref="A43:F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capital (combined with Tier 1)</t>
        </is>
      </c>
      <c r="B4" s="6" t="n">
        <v>306</v>
      </c>
      <c r="C4" s="6" t="n">
        <v>299</v>
      </c>
      <c r="D4" s="6" t="n">
        <v>291</v>
      </c>
      <c r="E4" s="6" t="n">
        <v>330</v>
      </c>
      <c r="F4" s="6" t="n">
        <v>336</v>
      </c>
      <c r="G4" s="6" t="n">
        <v>314</v>
      </c>
      <c r="H4" s="6" t="n">
        <v>300</v>
      </c>
      <c r="I4" s="6" t="n">
        <v>276</v>
      </c>
      <c r="J4" s="6" t="n">
        <v>213</v>
      </c>
      <c r="K4" s="6" t="n">
        <v>186</v>
      </c>
    </row>
    <row r="5" ht="182" customHeight="1">
      <c r="A5" s="7" t="inlineStr">
        <is>
          <t>Note: The Bank's own KPI table discloses a single combined 'Tier 1 and Common Equity Tier 1 (CET1)' line, not separate Tier 1/CET1 figures - used identically for both the CET1 and Tier 1 sheets. FY2016's £ figure is the Capital adequacy note's 'Total Tier 1 (and CET1) capital' (£185,547k, rounded to £186m). The FY2016 ratio is directly disclosed as 20.9% in the entity's own 2016 Pillar 3 report.
WHY THE £ AND THE % ON THESE SHEETS DO NOT DIVIDE INTO EACH OTHER (investigated and settled 2026-10-08 after check_ratio_ties.py reported FY2020 at 1.47pp and FY2024 at 0.51pp). Neither is a transcription error and nothing has been changed. The two sides are two different published quantities and the break is the distance between them.
  FY2020. The £314m on the capital sheets is the Annual Report's own-funds note - FY2020 Annual Report, Note 36 'Capital adequacy', printed folio 116, 'Total Tier 1 (and CET1) capital 313,692' (2019: 298,897), read at 300 dpi off the page image - https://find-and-update.company-information.service.gov.uk/company/02009520/filing-history/MzMwMTQ3Nzk1MmFkaXF6a2N4/document?format=pdf&amp;download=0. The 22% on the ratio sheets is the KPI table, printed folio 8, where the same report prints 'Risk Weighted Assets (£ mn) 1,338' and 'Common Equity Tier 1 ('CET1') Capital Ratio 22 %'; the Strategic Report prose on folio 9 gives it to two decimals as 22.09%. 313,692/1,338,000 is 23.4%, not 22.09%, and the Bank never reconciles them - but its own 2020 Pillar 3 does show where the difference sits: that edition's 'Leverage Ratio Common Disclosure' table, printed folio 24, uses Tier 1 Capital of £295,460k, which over the same £1,338m of RWA gives 22.08%. The regulatory Tier 1 is £18.2m lower than the accounts' own-funds figure. Both numbers are CSUK's, from the same year, on two different definitions.
  FY2024. The 45% on the ratio sheets is the FY2025 Annual Report's KPI table printing a whole number; the Pillar 3 prints 44.58% (KM1 row 5), and the KM1 sheet's own row 1 (299,412) over row 4 (671,676) reproduces 44.58% exactly. The sheets therefore disagree by the width of the Annual Report's rounding, and the KM1 sheet carries the precise figure.
  A RELATED CROSS-EDITION DISAGREEMENT, recorded while these pages were open: the FY2020 KPI table's own 2019 comparative prints the CET1 ratio as 20%, whereas the FY2019 Annual Report prints 21.9% (Strategic Report, printed folio 8 - https://find-and-update.company-information.service.gov.uk/company/02009520/filing-history/MzI2MjYyNzE3OGFkaXF6a2N4/document?format=pdf&amp;download=0), which is the figure this sheet carries under the project's own-edition rule. CSUK does not explain the movement. Do not reconcile them.</t>
        </is>
      </c>
    </row>
    <row r="7" ht="377" customHeight="1">
      <c r="A7"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t>
        </is>
      </c>
    </row>
    <row r="9" ht="170" customHeight="1">
      <c r="A9" s="8" t="inlineStr">
        <is>
          <t xml:space="preserve">(continued)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t>
        </is>
      </c>
    </row>
  </sheetData>
  <mergeCells count="3">
    <mergeCell ref="A5:K5"/>
    <mergeCell ref="A7:K7"/>
    <mergeCell ref="A9:K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CET1 Ratio (combined with Tier 1)</t>
        </is>
      </c>
      <c r="B4" s="6" t="inlineStr">
        <is>
          <t>191%</t>
        </is>
      </c>
      <c r="C4" s="6" t="inlineStr">
        <is>
          <t>45%</t>
        </is>
      </c>
      <c r="D4" s="6" t="inlineStr">
        <is>
          <t>29.15%</t>
        </is>
      </c>
      <c r="E4" s="6" t="inlineStr">
        <is>
          <t>29.39%</t>
        </is>
      </c>
      <c r="F4" s="6" t="inlineStr">
        <is>
          <t>25.09%</t>
        </is>
      </c>
      <c r="G4" s="6" t="inlineStr">
        <is>
          <t>22%</t>
        </is>
      </c>
      <c r="H4" s="6" t="inlineStr">
        <is>
          <t>21.9%</t>
        </is>
      </c>
      <c r="I4" s="6" t="inlineStr">
        <is>
          <t>22.5%</t>
        </is>
      </c>
      <c r="J4" s="6" t="inlineStr">
        <is>
          <t>17.2%</t>
        </is>
      </c>
      <c r="K4" s="6" t="inlineStr">
        <is>
          <t>20.9%</t>
        </is>
      </c>
    </row>
    <row r="5" ht="182" customHeight="1">
      <c r="A5" s="7" t="inlineStr">
        <is>
          <t>Note: The Bank's own KPI table discloses a single combined 'Tier 1 and Common Equity Tier 1 (CET1)' line, not separate Tier 1/CET1 figures - used identically for both the CET1 and Tier 1 sheets. FY2016's £ figure is the Capital adequacy note's 'Total Tier 1 (and CET1) capital' (£185,547k, rounded to £186m). The FY2016 ratio is directly disclosed as 20.9% in the entity's own 2016 Pillar 3 report.
WHY THE £ AND THE % ON THESE SHEETS DO NOT DIVIDE INTO EACH OTHER (investigated and settled 2026-10-08 after check_ratio_ties.py reported FY2020 at 1.47pp and FY2024 at 0.51pp). Neither is a transcription error and nothing has been changed. The two sides are two different published quantities and the break is the distance between them.
  FY2020. The £314m on the capital sheets is the Annual Report's own-funds note - FY2020 Annual Report, Note 36 'Capital adequacy', printed folio 116, 'Total Tier 1 (and CET1) capital 313,692' (2019: 298,897), read at 300 dpi off the page image - https://find-and-update.company-information.service.gov.uk/company/02009520/filing-history/MzMwMTQ3Nzk1MmFkaXF6a2N4/document?format=pdf&amp;download=0. The 22% on the ratio sheets is the KPI table, printed folio 8, where the same report prints 'Risk Weighted Assets (£ mn) 1,338' and 'Common Equity Tier 1 ('CET1') Capital Ratio 22 %'; the Strategic Report prose on folio 9 gives it to two decimals as 22.09%. 313,692/1,338,000 is 23.4%, not 22.09%, and the Bank never reconciles them - but its own 2020 Pillar 3 does show where the difference sits: that edition's 'Leverage Ratio Common Disclosure' table, printed folio 24, uses Tier 1 Capital of £295,460k, which over the same £1,338m of RWA gives 22.08%. The regulatory Tier 1 is £18.2m lower than the accounts' own-funds figure. Both numbers are CSUK's, from the same year, on two different definitions.
  FY2024. The 45% on the ratio sheets is the FY2025 Annual Report's KPI table printing a whole number; the Pillar 3 prints 44.58% (KM1 row 5), and the KM1 sheet's own row 1 (299,412) over row 4 (671,676) reproduces 44.58% exactly. The sheets therefore disagree by the width of the Annual Report's rounding, and the KM1 sheet carries the precise figure.
  A RELATED CROSS-EDITION DISAGREEMENT, recorded while these pages were open: the FY2020 KPI table's own 2019 comparative prints the CET1 ratio as 20%, whereas the FY2019 Annual Report prints 21.9% (Strategic Report, printed folio 8 - https://find-and-update.company-information.service.gov.uk/company/02009520/filing-history/MzI2MjYyNzE3OGFkaXF6a2N4/document?format=pdf&amp;download=0), which is the figure this sheet carries under the project's own-edition rule. CSUK does not explain the movement. Do not reconcile them.</t>
        </is>
      </c>
    </row>
    <row r="7" ht="377" customHeight="1">
      <c r="A7"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t>
        </is>
      </c>
    </row>
    <row r="9" ht="170" customHeight="1">
      <c r="A9" s="8" t="inlineStr">
        <is>
          <t xml:space="preserve">(continued)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t>
        </is>
      </c>
    </row>
  </sheetData>
  <mergeCells count="3">
    <mergeCell ref="A5:K5"/>
    <mergeCell ref="A7:K7"/>
    <mergeCell ref="A9:K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Capital (combined with CET1)</t>
        </is>
      </c>
      <c r="B4" s="6" t="n">
        <v>306</v>
      </c>
      <c r="C4" s="6" t="n">
        <v>299</v>
      </c>
      <c r="D4" s="6" t="n">
        <v>291</v>
      </c>
      <c r="E4" s="6" t="n">
        <v>330</v>
      </c>
      <c r="F4" s="6" t="n">
        <v>336</v>
      </c>
      <c r="G4" s="6" t="n">
        <v>314</v>
      </c>
      <c r="H4" s="6" t="n">
        <v>300</v>
      </c>
      <c r="I4" s="6" t="n">
        <v>276</v>
      </c>
      <c r="J4" s="6" t="n">
        <v>213</v>
      </c>
      <c r="K4" s="6" t="n">
        <v>186</v>
      </c>
    </row>
    <row r="5" ht="182" customHeight="1">
      <c r="A5" s="7" t="inlineStr">
        <is>
          <t>Note: The Bank's own KPI table discloses a single combined 'Tier 1 and Common Equity Tier 1 (CET1)' line, not separate Tier 1/CET1 figures - used identically for both the CET1 and Tier 1 sheets. FY2016's £ figure is the Capital adequacy note's 'Total Tier 1 (and CET1) capital' (£185,547k, rounded to £186m). The FY2016 ratio is directly disclosed as 20.9% in the entity's own 2016 Pillar 3 report.
WHY THE £ AND THE % ON THESE SHEETS DO NOT DIVIDE INTO EACH OTHER (investigated and settled 2026-10-08 after check_ratio_ties.py reported FY2020 at 1.47pp and FY2024 at 0.51pp). Neither is a transcription error and nothing has been changed. The two sides are two different published quantities and the break is the distance between them.
  FY2020. The £314m on the capital sheets is the Annual Report's own-funds note - FY2020 Annual Report, Note 36 'Capital adequacy', printed folio 116, 'Total Tier 1 (and CET1) capital 313,692' (2019: 298,897), read at 300 dpi off the page image - https://find-and-update.company-information.service.gov.uk/company/02009520/filing-history/MzMwMTQ3Nzk1MmFkaXF6a2N4/document?format=pdf&amp;download=0. The 22% on the ratio sheets is the KPI table, printed folio 8, where the same report prints 'Risk Weighted Assets (£ mn) 1,338' and 'Common Equity Tier 1 ('CET1') Capital Ratio 22 %'; the Strategic Report prose on folio 9 gives it to two decimals as 22.09%. 313,692/1,338,000 is 23.4%, not 22.09%, and the Bank never reconciles them - but its own 2020 Pillar 3 does show where the difference sits: that edition's 'Leverage Ratio Common Disclosure' table, printed folio 24, uses Tier 1 Capital of £295,460k, which over the same £1,338m of RWA gives 22.08%. The regulatory Tier 1 is £18.2m lower than the accounts' own-funds figure. Both numbers are CSUK's, from the same year, on two different definitions.
  FY2024. The 45% on the ratio sheets is the FY2025 Annual Report's KPI table printing a whole number; the Pillar 3 prints 44.58% (KM1 row 5), and the KM1 sheet's own row 1 (299,412) over row 4 (671,676) reproduces 44.58% exactly. The sheets therefore disagree by the width of the Annual Report's rounding, and the KM1 sheet carries the precise figure.
  A RELATED CROSS-EDITION DISAGREEMENT, recorded while these pages were open: the FY2020 KPI table's own 2019 comparative prints the CET1 ratio as 20%, whereas the FY2019 Annual Report prints 21.9% (Strategic Report, printed folio 8 - https://find-and-update.company-information.service.gov.uk/company/02009520/filing-history/MzI2MjYyNzE3OGFkaXF6a2N4/document?format=pdf&amp;download=0), which is the figure this sheet carries under the project's own-edition rule. CSUK does not explain the movement. Do not reconcile them.</t>
        </is>
      </c>
    </row>
    <row r="7" ht="377" customHeight="1">
      <c r="A7"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t>
        </is>
      </c>
    </row>
    <row r="9" ht="170" customHeight="1">
      <c r="A9" s="8" t="inlineStr">
        <is>
          <t xml:space="preserve">(continued)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t>
        </is>
      </c>
    </row>
  </sheetData>
  <mergeCells count="3">
    <mergeCell ref="A5:K5"/>
    <mergeCell ref="A7:K7"/>
    <mergeCell ref="A9:K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Ratio (combined with CET1)</t>
        </is>
      </c>
      <c r="B4" s="6" t="inlineStr">
        <is>
          <t>191%</t>
        </is>
      </c>
      <c r="C4" s="6" t="inlineStr">
        <is>
          <t>45%</t>
        </is>
      </c>
      <c r="D4" s="6" t="inlineStr">
        <is>
          <t>29.15%</t>
        </is>
      </c>
      <c r="E4" s="6" t="inlineStr">
        <is>
          <t>29.39%</t>
        </is>
      </c>
      <c r="F4" s="6" t="inlineStr">
        <is>
          <t>25.09%</t>
        </is>
      </c>
      <c r="G4" s="6" t="inlineStr">
        <is>
          <t>22%</t>
        </is>
      </c>
      <c r="H4" s="6" t="inlineStr">
        <is>
          <t>21.9%</t>
        </is>
      </c>
      <c r="I4" s="6" t="inlineStr">
        <is>
          <t>22.5%</t>
        </is>
      </c>
      <c r="J4" s="6" t="inlineStr">
        <is>
          <t>17.2%</t>
        </is>
      </c>
      <c r="K4" s="6" t="inlineStr">
        <is>
          <t>20.9%</t>
        </is>
      </c>
    </row>
    <row r="5" ht="182" customHeight="1">
      <c r="A5" s="7" t="inlineStr">
        <is>
          <t>Note: The Bank's own KPI table discloses a single combined 'Tier 1 and Common Equity Tier 1 (CET1)' line, not separate Tier 1/CET1 figures - used identically for both the CET1 and Tier 1 sheets. FY2016's £ figure is the Capital adequacy note's 'Total Tier 1 (and CET1) capital' (£185,547k, rounded to £186m). The FY2016 ratio is directly disclosed as 20.9% in the entity's own 2016 Pillar 3 report.
WHY THE £ AND THE % ON THESE SHEETS DO NOT DIVIDE INTO EACH OTHER (investigated and settled 2026-10-08 after check_ratio_ties.py reported FY2020 at 1.47pp and FY2024 at 0.51pp). Neither is a transcription error and nothing has been changed. The two sides are two different published quantities and the break is the distance between them.
  FY2020. The £314m on the capital sheets is the Annual Report's own-funds note - FY2020 Annual Report, Note 36 'Capital adequacy', printed folio 116, 'Total Tier 1 (and CET1) capital 313,692' (2019: 298,897), read at 300 dpi off the page image - https://find-and-update.company-information.service.gov.uk/company/02009520/filing-history/MzMwMTQ3Nzk1MmFkaXF6a2N4/document?format=pdf&amp;download=0. The 22% on the ratio sheets is the KPI table, printed folio 8, where the same report prints 'Risk Weighted Assets (£ mn) 1,338' and 'Common Equity Tier 1 ('CET1') Capital Ratio 22 %'; the Strategic Report prose on folio 9 gives it to two decimals as 22.09%. 313,692/1,338,000 is 23.4%, not 22.09%, and the Bank never reconciles them - but its own 2020 Pillar 3 does show where the difference sits: that edition's 'Leverage Ratio Common Disclosure' table, printed folio 24, uses Tier 1 Capital of £295,460k, which over the same £1,338m of RWA gives 22.08%. The regulatory Tier 1 is £18.2m lower than the accounts' own-funds figure. Both numbers are CSUK's, from the same year, on two different definitions.
  FY2024. The 45% on the ratio sheets is the FY2025 Annual Report's KPI table printing a whole number; the Pillar 3 prints 44.58% (KM1 row 5), and the KM1 sheet's own row 1 (299,412) over row 4 (671,676) reproduces 44.58% exactly. The sheets therefore disagree by the width of the Annual Report's rounding, and the KM1 sheet carries the precise figure.
  A RELATED CROSS-EDITION DISAGREEMENT, recorded while these pages were open: the FY2020 KPI table's own 2019 comparative prints the CET1 ratio as 20%, whereas the FY2019 Annual Report prints 21.9% (Strategic Report, printed folio 8 - https://find-and-update.company-information.service.gov.uk/company/02009520/filing-history/MzI2MjYyNzE3OGFkaXF6a2N4/document?format=pdf&amp;download=0), which is the figure this sheet carries under the project's own-edition rule. CSUK does not explain the movement. Do not reconcile them.</t>
        </is>
      </c>
    </row>
    <row r="7" ht="377" customHeight="1">
      <c r="A7"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t>
        </is>
      </c>
    </row>
    <row r="9" ht="170" customHeight="1">
      <c r="A9" s="8" t="inlineStr">
        <is>
          <t xml:space="preserve">(continued)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t>
        </is>
      </c>
    </row>
  </sheetData>
  <mergeCells count="3">
    <mergeCell ref="A5:K5"/>
    <mergeCell ref="A7:K7"/>
    <mergeCell ref="A9:K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(Own Funds)</t>
        </is>
      </c>
      <c r="B4" s="6" t="n">
        <v>306</v>
      </c>
      <c r="C4" s="6" t="n">
        <v>347</v>
      </c>
      <c r="D4" s="6" t="n">
        <v>345</v>
      </c>
      <c r="E4" s="6" t="n">
        <v>385</v>
      </c>
      <c r="F4" s="6" t="n">
        <v>391</v>
      </c>
      <c r="G4" s="6" t="n">
        <v>369</v>
      </c>
      <c r="H4" s="6" t="n">
        <v>355</v>
      </c>
      <c r="I4" s="6" t="n">
        <v>331</v>
      </c>
      <c r="J4" s="6" t="n">
        <v>238</v>
      </c>
      <c r="K4" s="6" t="n">
        <v>211</v>
      </c>
    </row>
    <row r="5" ht="91" customHeight="1">
      <c r="A5" s="7" t="inlineStr">
        <is>
          <t>Note: FY2016-FY2020 (added under HD-026): a real, directly disclosed 'Own Funds' figure (Total Tier 1/CET1 capital + Total Tier 2 capital, i.e. subordinated debt) exists in every one of these 5 years' own Capital adequacy note, rounded to £m here (precise £'000 figures: FY2020 £368,692k, FY2019 £355,328k, FY2018 £330,660k, FY2017 £238,126k, FY2016 £210,547k). FY2021-FY2025: NOT directly disclosed as a separate figure in any of those 5 years' KPI tables - only a combined 'Tier 1 and CET1' figure is given there, with no mention of AT1 or Tier 2 instruments. The later own-funds tables in CSUK's official UBS-hosted Pillar 3 disclosures confirm Total Capital (rounded to £m) for FY2021-FY2025 as 391, 385, 345, 347 and 306 respectively.
FY2024 CORRECTED 2026-09-17 (was 299, under KM1-011): 299 is the CET1/Tier 1 figure, duplicated into the Total Capital slot. The cited source - CSUK's own 'Pillar 3 Disclosures 2024', table 'KM1 - Key metrics', row 3 'Total capital' - prints £346,842k for end-2024 against £299,412k of CET1 on rows 1 and 2, so the two genuinely differ that year by £47,430k of Tier 2. Three independent checks agree: the printed row 3 itself; that document's row 7 Total capital ratio of 51.64%, which against its printed RWA of £671,676k corresponds to £346.9m and cannot be reconciled with £299m (which is 44.58%, the printed CET1 ratio on rows 5/6); and the sourcing pattern of the four surrounding years, whose values here (391, 385, 345, 306) each match their own edition's printed row 3 exactly. This is a transcription slip corrected against the note's own cited document - not a figure altered to satisfy a checker.</t>
        </is>
      </c>
    </row>
    <row r="7" ht="377" customHeight="1">
      <c r="A7"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t>
        </is>
      </c>
    </row>
    <row r="9" ht="170" customHeight="1">
      <c r="A9" s="8" t="inlineStr">
        <is>
          <t xml:space="preserve">(continued)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t>
        </is>
      </c>
    </row>
  </sheetData>
  <mergeCells count="3">
    <mergeCell ref="A5:K5"/>
    <mergeCell ref="A7:K7"/>
    <mergeCell ref="A9:K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Ratio</t>
        </is>
      </c>
      <c r="B4" s="6" t="inlineStr">
        <is>
          <t>191.10%</t>
        </is>
      </c>
      <c r="C4" s="6" t="inlineStr">
        <is>
          <t>51.64%</t>
        </is>
      </c>
      <c r="D4" s="6" t="inlineStr">
        <is>
          <t>34.50%</t>
        </is>
      </c>
      <c r="E4" s="6" t="inlineStr">
        <is>
          <t>34.29%</t>
        </is>
      </c>
      <c r="F4" s="6" t="inlineStr">
        <is>
          <t>29.19%</t>
        </is>
      </c>
      <c r="G4" s="6" t="inlineStr">
        <is>
          <t>26.20%</t>
        </is>
      </c>
      <c r="H4" s="6" t="inlineStr">
        <is>
          <t>25.9%</t>
        </is>
      </c>
      <c r="I4" s="6" t="inlineStr">
        <is>
          <t>27.0%</t>
        </is>
      </c>
      <c r="J4" s="6" t="inlineStr">
        <is>
          <t>19.2%</t>
        </is>
      </c>
      <c r="K4" s="6" t="inlineStr">
        <is>
          <t>23.7%</t>
        </is>
      </c>
    </row>
    <row r="5" ht="30" customHeight="1">
      <c r="A5" s="7" t="inlineStr">
        <is>
          <t>Note: Directly disclosed in the official UBS-hosted Pillar 3 reports for FY2016-FY2025. The FY2017-FY2020 values were added from each year's own standalone CSUK edition: FY2017 p.4 (19.2%), FY2018 p.4 (27.0%), FY2019 p.4 (25.9%) and FY2020 p.4 (26.20%). Nothing is derived by dividing Own Funds by RWA.</t>
        </is>
      </c>
    </row>
    <row r="7" ht="377" customHeight="1">
      <c r="A7"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t>
        </is>
      </c>
    </row>
    <row r="9" ht="170" customHeight="1">
      <c r="A9" s="8" t="inlineStr">
        <is>
          <t xml:space="preserve">(continued)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t>
        </is>
      </c>
    </row>
  </sheetData>
  <mergeCells count="3">
    <mergeCell ref="A5:K5"/>
    <mergeCell ref="A7:K7"/>
    <mergeCell ref="A9:K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Risk Weighted Assets (RWA)</t>
        </is>
      </c>
      <c r="B4" s="6" t="n">
        <v>160</v>
      </c>
      <c r="C4" s="6" t="n">
        <v>672</v>
      </c>
      <c r="D4" s="6" t="n">
        <v>1000</v>
      </c>
      <c r="E4" s="6" t="n">
        <v>1124</v>
      </c>
      <c r="F4" s="6" t="n">
        <v>1340</v>
      </c>
      <c r="G4" s="6" t="n">
        <v>1338</v>
      </c>
      <c r="H4" s="6" t="n">
        <v>1371</v>
      </c>
      <c r="I4" s="6" t="n">
        <v>1225</v>
      </c>
      <c r="J4" s="6" t="n">
        <v>1241</v>
      </c>
      <c r="K4" s="6" t="n">
        <v>888.838</v>
      </c>
    </row>
    <row r="6" ht="377" customHeight="1">
      <c r="A6"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t>
        </is>
      </c>
    </row>
    <row r="8" ht="170" customHeight="1">
      <c r="A8" s="8" t="inlineStr">
        <is>
          <t xml:space="preserve">(continued)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t>
        </is>
      </c>
    </row>
  </sheetData>
  <mergeCells count="2">
    <mergeCell ref="A6:K6"/>
    <mergeCell ref="A8:K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RWA Breakdown</t>
        </is>
      </c>
    </row>
    <row r="2">
      <c r="A2" s="2" t="inlineStr">
        <is>
          <t>£'000s. UK OV1 template FY2022-FY2025; older pre-OV1 format (summary lines) for FY2016-FY2021 -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UK OV1 — Overview of risk weighted exposure amounts (FY2022-FY2025)</t>
        </is>
      </c>
      <c r="B4" s="6" t="n"/>
      <c r="C4" s="6" t="n"/>
      <c r="D4" s="6" t="n"/>
      <c r="E4" s="6" t="n"/>
      <c r="F4" s="6" t="n"/>
      <c r="G4" s="6" t="n"/>
      <c r="H4" s="6" t="n"/>
      <c r="I4" s="6" t="n"/>
      <c r="J4" s="6" t="n"/>
      <c r="K4" s="6" t="n"/>
    </row>
    <row r="5">
      <c r="A5" s="6" t="inlineStr">
        <is>
          <t>Credit risk (excluding CCR)</t>
        </is>
      </c>
      <c r="B5" s="6" t="n">
        <v>4053</v>
      </c>
      <c r="C5" s="6" t="n">
        <v>449009</v>
      </c>
      <c r="D5" s="6" t="n">
        <v>750436</v>
      </c>
      <c r="E5" s="6" t="n">
        <v>884443</v>
      </c>
      <c r="F5" s="6" t="n"/>
      <c r="G5" s="6" t="n"/>
      <c r="H5" s="6" t="n"/>
      <c r="I5" s="6" t="n"/>
      <c r="J5" s="6" t="n"/>
      <c r="K5" s="6" t="n"/>
    </row>
    <row r="6">
      <c r="A6" s="6" t="inlineStr">
        <is>
          <t>Counterparty credit risk (CCR)</t>
        </is>
      </c>
      <c r="B6" s="6" t="n">
        <v>887</v>
      </c>
      <c r="C6" s="6" t="n">
        <v>33553</v>
      </c>
      <c r="D6" s="6" t="n">
        <v>30969</v>
      </c>
      <c r="E6" s="6" t="n">
        <v>30213</v>
      </c>
      <c r="F6" s="6" t="n"/>
      <c r="G6" s="6" t="n"/>
      <c r="H6" s="6" t="n"/>
      <c r="I6" s="6" t="n"/>
      <c r="J6" s="6" t="n"/>
      <c r="K6" s="6" t="n"/>
    </row>
    <row r="7">
      <c r="A7" s="6" t="inlineStr">
        <is>
          <t>Market risk</t>
        </is>
      </c>
      <c r="B7" s="6" t="n">
        <v>7791</v>
      </c>
      <c r="C7" s="6" t="n"/>
      <c r="D7" s="6" t="n">
        <v>15933</v>
      </c>
      <c r="E7" s="6" t="n"/>
      <c r="F7" s="6" t="n"/>
      <c r="G7" s="6" t="n"/>
      <c r="H7" s="6" t="n"/>
      <c r="I7" s="6" t="n"/>
      <c r="J7" s="6" t="n"/>
      <c r="K7" s="6" t="n"/>
    </row>
    <row r="8">
      <c r="A8" s="6" t="inlineStr">
        <is>
          <t>Operational risk</t>
        </is>
      </c>
      <c r="B8" s="6" t="n">
        <v>147290</v>
      </c>
      <c r="C8" s="6" t="n">
        <v>189114</v>
      </c>
      <c r="D8" s="6" t="n">
        <v>202259</v>
      </c>
      <c r="E8" s="6" t="n">
        <v>209312</v>
      </c>
      <c r="F8" s="6" t="n"/>
      <c r="G8" s="6" t="n"/>
      <c r="H8" s="6" t="n"/>
      <c r="I8" s="6" t="n"/>
      <c r="J8" s="6" t="n"/>
      <c r="K8" s="6" t="n"/>
    </row>
    <row r="9">
      <c r="A9" s="6" t="inlineStr">
        <is>
          <t>Settlement risk</t>
        </is>
      </c>
      <c r="B9" s="6" t="n"/>
      <c r="C9" s="6" t="n"/>
      <c r="D9" s="6" t="n"/>
      <c r="E9" s="6" t="n">
        <v>3</v>
      </c>
      <c r="F9" s="6" t="n"/>
      <c r="G9" s="6" t="n"/>
      <c r="H9" s="6" t="n"/>
      <c r="I9" s="6" t="n"/>
      <c r="J9" s="6" t="n"/>
      <c r="K9" s="6" t="n"/>
    </row>
    <row r="10">
      <c r="A10" s="5" t="inlineStr">
        <is>
          <t>Pre-OV1 format, collapsed to summary lines (FY2016-FY2021)</t>
        </is>
      </c>
      <c r="B10" s="6" t="n"/>
      <c r="C10" s="6" t="n"/>
      <c r="D10" s="6" t="n"/>
      <c r="E10" s="6" t="n"/>
      <c r="F10" s="6" t="n"/>
      <c r="G10" s="6" t="n"/>
      <c r="H10" s="6" t="n"/>
      <c r="I10" s="6" t="n"/>
      <c r="J10" s="6" t="n"/>
      <c r="K10" s="6" t="n"/>
    </row>
    <row r="11">
      <c r="A11" s="6" t="inlineStr">
        <is>
          <t>Total credit and counterparty credit risk</t>
        </is>
      </c>
      <c r="B11" s="6" t="n"/>
      <c r="C11" s="6" t="n"/>
      <c r="D11" s="6" t="n"/>
      <c r="E11" s="6" t="n"/>
      <c r="F11" s="6" t="n">
        <v>1109433</v>
      </c>
      <c r="G11" s="6" t="n">
        <v>1097895</v>
      </c>
      <c r="H11" s="6" t="n">
        <v>1153884</v>
      </c>
      <c r="I11" s="6" t="n">
        <v>1026751</v>
      </c>
      <c r="J11" s="6" t="n">
        <v>1069630</v>
      </c>
      <c r="K11" s="6" t="n">
        <v>748287</v>
      </c>
    </row>
    <row r="12">
      <c r="A12" s="6" t="inlineStr">
        <is>
          <t>Total market risk</t>
        </is>
      </c>
      <c r="B12" s="6" t="n"/>
      <c r="C12" s="6" t="n"/>
      <c r="D12" s="6" t="n"/>
      <c r="E12" s="6" t="n"/>
      <c r="F12" s="6" t="n">
        <v>0</v>
      </c>
      <c r="G12" s="6" t="inlineStr">
        <is>
          <t>-</t>
        </is>
      </c>
      <c r="H12" s="6" t="inlineStr">
        <is>
          <t>-</t>
        </is>
      </c>
      <c r="I12" s="6" t="n">
        <v>3291</v>
      </c>
      <c r="J12" s="6" t="n">
        <v>5633</v>
      </c>
      <c r="K12" s="6" t="n">
        <v>56</v>
      </c>
    </row>
    <row r="13">
      <c r="A13" s="6" t="inlineStr">
        <is>
          <t>Total other risks (operational risk)</t>
        </is>
      </c>
      <c r="B13" s="6" t="n"/>
      <c r="C13" s="6" t="n"/>
      <c r="D13" s="6" t="n"/>
      <c r="E13" s="6" t="n"/>
      <c r="F13" s="6" t="n">
        <v>230434</v>
      </c>
      <c r="G13" s="6" t="n">
        <v>239911</v>
      </c>
      <c r="H13" s="6" t="n">
        <v>217134</v>
      </c>
      <c r="I13" s="6" t="n">
        <v>195176</v>
      </c>
      <c r="J13" s="6" t="n">
        <v>166236</v>
      </c>
      <c r="K13" s="6" t="n">
        <v>140496</v>
      </c>
    </row>
    <row r="14">
      <c r="A14" s="5" t="inlineStr">
        <is>
          <t>Total RWAs</t>
        </is>
      </c>
      <c r="B14" s="5" t="n">
        <v>160021</v>
      </c>
      <c r="C14" s="5" t="n">
        <v>671676</v>
      </c>
      <c r="D14" s="5" t="n">
        <v>999597</v>
      </c>
      <c r="E14" s="5" t="n">
        <v>1123970</v>
      </c>
      <c r="F14" s="5" t="n">
        <v>1339867</v>
      </c>
      <c r="G14" s="5" t="n">
        <v>1337806</v>
      </c>
      <c r="H14" s="5" t="n">
        <v>1371018</v>
      </c>
      <c r="I14" s="5" t="n">
        <v>1225217</v>
      </c>
      <c r="J14" s="5" t="n">
        <v>1241498</v>
      </c>
      <c r="K14" s="5" t="n">
        <v>888838</v>
      </c>
    </row>
    <row r="16" ht="340" customHeight="1">
      <c r="A16" s="8" t="inlineStr">
        <is>
          <t>CORRECTION (fresh re-verification, 2026-09-12): the prior version of this sheet claimed no category-level RWA breakdown was disclosed in any year, based only on a check of the Companies House Annual Report filings. That check was incomplete - a standalone Pillar 3 disclosure document for this entity DOES exist (UBS-hosted, since UBS's acquisition of Credit Suisse), and it carries a full risk-category RWA breakdown for FY2021-FY2025 (FY2016-FY2020 remain genuinely undisclosed - no standalone Pillar 3 document for this entity has been found for those years, consistent with the existing CET1/Tier 1/Total RWAs sheets' own source notes).
Sources - Credit Suisse (UK) Limited Pillar 3 Disclosures, £'000s, each year's own originally-published figures used as primary (not a later restated comparative), per project convention:
FY2025: Pillar 3 Disclosures 2025, 'OV1 - Overview of risk weighted exposure amounts', p.18 - https://www.ubs.com/global/en/investor-relations/complementary-financial-information/other-subsidiaries.html (csuk-pillar-3-disclosures-2026.pdf)
FY2024: Pillar 3 Disclosures 2024, 'OV1 - Overview of risk weighted exposure amounts', p.26 - same page (csuk-pillar-3-disclosures-2024.pdf)
FY2023: sourced from the FY2024 Pillar 3 Disclosures' own FY2023 comparative column (same table/page) - FY2023's own standalone Pillar 3 document was not located separately.
FY2022: Pillar 3 Disclosures 2022, 'OV1 - Overview of risk weighted exposure amounts' - https://www.ubs.com/global/en/investor-relations/complementary-financial-information/disclosure-legal-entities/archive-credit-suisse.html (csuk-pillar-3-disclosures-2022.pdf)
FY2021: Pillar 3 Disclosures 2021, 'RWA and Capital Requirements' table (pre-dates the OV1 template/label, same underlying disclosure, broken down further by credit-risk exposure class) - same archive page (2021-csuk-pillar-3-disclosures.pdf)
FY2020-FY2016 (ADDED 2026-09-19, GA-020 - the 'genuinely undisclosed' statement above is SUPERSEDED): each year's own Pillar 3 Disclosures edition, all listed on the same archive page and downloaded clean with plain curl (2020-, 2019-, 2018-, 2017-, 2016-csuk-pillar-3-disclosures.pdf), 'RWA and capital requirements (£000s)' table - FY2020 p.5, FY2019 p.5, FY2018 p.5, FY2017 p.4, FY2016 p.6, each read off the page image. Carried as the same three summary lines as FY2021 plus the grand total. FY2019's 'other risks' line (217,134) includes settlement risk of 493 alongside operational risk of 216,641; FY2020 and FY2019 print a dash for market risk. The FY2017 edition's 2016 comparative restates FY2016 market risk to 4,087 and the total to 892,870; the FY2016 edition's own 56 / 888,838 are carried, including on the Total RWAs sheet. RE-VERIFIED 2026-10-07 AGAINST THE PAGE IMAGE, AND RECORDED SO IT IS NOT RE-CHASED: the FY2016 edition was re-downloaded and its printed p.6 table 'RWAs and capital requirements (£000s)' re-read at 300 dpi. The 2016 RWA column is Institutions 1,240 / Corporates 83,324 / Secured by mortgages on immovable property 466,530 / Retail 13,117 / Other items 178,599 = Total Standardised Approach 742,809; CVA 5,478; (i) Total credit and counterparty credit risk 748,287; (ii) Total market risk 56 (foreign exchange); (iii) Total other risks 140,496 (operational risk, Basic Indicator Approach including buffer); Grand total RWA 888,838 against a capital requirement of 71,107. Entity and basis confirmed on the face of the table - the document is titled 'Credit Suisse (UK) Limited - Basel III - Pillar 3 Disclosures 2016' and the text above the table reads 'The Pillar 1 capital requirements of CSUK are summarised below'. A LEAD RAISED ON 2026-09-19 SAID THIS FIGURE WAS 'PRINTED IN A SOURCE BUT NOT ON THE TOTAL RWAs SHEET'. IT IS ON THAT SHEET AND HAS BEEN SINCE 2026-09-19. It reads 888.838 there rather than 888,838 because that sheet is denominated in £m while this table is in £000s, so a search for the £000s spelling finds nothing on it. Nothing was added or changed; the lead is closed as already done. ROUNDING, NOT A TRANSCRIPTION ERROR: in FY2016, FY2017 and FY2018 the three printed lines sum to 1 more than the printed grand total (888,839 v 888,838; 1,241,499 v 1,241,498; 1,225,218 v 1,225,217) - the Bank's own £000 rounding, seen on the page images; verify_workbook.py flags it and the figures are left as printed.
Every year's Total ties to the Total RWAs sheet's own figure (to the nearest £m). FY2021's own document uses an older, pre-OV1 layout (exposure-class detail within credit risk; three summary lines 'Total credit and counterparty credit risk' / 'Total market risk' / 'Total other risks') rather than the UK OV1 template used from FY2022 onward - shown here collapsed to the three summary lines for consistency, with a £3k Settlement risk line disclosed only in FY2022 (immaterial, included in that year's Total). No separate Market risk RWA line is disclosed for FY2022/FY2024 (each document's own notes state there is no market risk RWA those years, non-GBP FX exposure below the 2%-of-capital threshold) - left blank rather than forced to zero, consistent with each year's own template only carrying the rows it actually discloses.
FY2016-FY2020: not publicly disclosed - confirmed by reading each year's Annual Report in full (all numbered notes through to the final note in each filing), plus the existing Pillar 3 KPI-table sourcing already used for the CET1/Tier 1/Total RWAs/Leverage/LCR/NSFR sheets. No 'Capital Adequacy' note with an RWA category breakdown exists in any of these Companies House filings, and no standalone Pillar 3 document for this entity has been found covering these years.</t>
        </is>
      </c>
    </row>
  </sheetData>
  <mergeCells count="1">
    <mergeCell ref="A16:K1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Leverage Ratio - FY2022 onward excluding claims on central banks (UK framework); FY2019-FY2021 CRR / Commission Delegated Act basis; see note</t>
        </is>
      </c>
      <c r="B4" s="6" t="inlineStr">
        <is>
          <t>87%</t>
        </is>
      </c>
      <c r="C4" s="6" t="inlineStr">
        <is>
          <t>17%</t>
        </is>
      </c>
      <c r="D4" s="6" t="inlineStr">
        <is>
          <t>12.09%</t>
        </is>
      </c>
      <c r="E4" s="6" t="inlineStr">
        <is>
          <t>11.40%</t>
        </is>
      </c>
      <c r="F4" s="6" t="inlineStr">
        <is>
          <t>9.30%</t>
        </is>
      </c>
      <c r="G4" s="6" t="inlineStr">
        <is>
          <t>8.07%</t>
        </is>
      </c>
      <c r="H4" s="6" t="inlineStr">
        <is>
          <t>8.47%</t>
        </is>
      </c>
      <c r="I4" s="6" t="inlineStr">
        <is>
          <t>7.8%</t>
        </is>
      </c>
      <c r="J4" s="6" t="inlineStr">
        <is>
          <t>6.3%</t>
        </is>
      </c>
      <c r="K4" s="6" t="inlineStr">
        <is>
          <t>6.2%</t>
        </is>
      </c>
    </row>
    <row r="6" ht="377" customHeight="1">
      <c r="A6"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t>
        </is>
      </c>
    </row>
    <row r="8" ht="409" customHeight="1">
      <c r="A8" s="8" t="inlineStr">
        <is>
          <t>(continued)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FY2023-FY2019 FILLED 2026-09-18 (interior-gap sweep). This row previously jumped from FY2018 to FY2024 with five blank years between - the classic interior hole, and it was ours, not the Bank's. The sentence it replaces read that the metric was 'confirmed genuinely absent for FY2016/FY2019-FY2023, not omitted by search'. That was a true statement about ONE document - the Annual Report KPI table, which really does drop the 'Statement of Financial Position' KPI section for those years - written down as a statement about the BANK. CSUK published a leverage ratio in every one of those five years, in its own standalone Pillar 3 disclosure, and each figure below is from THAT YEAR'S OWN EDITION (no comparative columns used):
  FY2023 12.09% - 'Pillar 3 Disclosures 2023', KM1 row 14 'Leverage ratio excluding claims on central banks (%)', printed folio 20, and repeated in that edition's Leverage Ratio narrative ('CSUK's leverage ratio increased to 12.09% as at 31 December 2023 from 11.40% as at 31 December 2022') - https://www.ubs.com/global/en/investor-relations/complementary-financial-information/disclosure-legal-entities/archive-credit-suisse/_jcr_content/root/contentarea/mainpar/toplevelgrid_1145414446/col_1/accordionbox/accordionsplit_485894160/table.1454258810.file/dGFibGVUZXh0PS9jb250ZW50L2RhbS9hc3NldHMvY2MvaW52ZXN0b3ItcmVsYXRpb25zL2NvbXBsZW1lbnRhcnktZmluYW5jaWFsLWluZm9ybWF0aW9uL2FyY2hpdmUvMjAyMy8yMDIzLWNzdWstcGlsbGFyLTMtZGlzY2xvc3VyZXMucGRm/2023-csuk-pillar-3-disclosures.pdf
  FY2022 11.40% - 'Pillar 3 Disclosures 2022', KM1 row 14, printed folio 19, and repeated in that edition's narrative ('CSUK's leverage ratio increased to 11.40% as at 31 December 2022 from 9.30% as at 31 December 2021') - https://www.ubs.com/global/en/investor-relations/complementary-financial-information/disclosure-legal-entities/archive-credit-suisse/_jcr_content/root/contentarea/mainpar/toplevelgrid_1145414446/col_1/accordionbox/accordionsplit_1343042181/innergrid/col_1/table.1831372465.file/dGFibGVUZXh0PS9jb250ZW50L2RhbS9hc3NldHMvY2MvaW52ZXN0b3ItcmVsYXRpb25zL2NvbXBsZW1lbnRhcnktZmluYW5jaWFsLWluZm9ybWF0aW9uL2FyY2hpdmUvMjAyMi9jc3VrLXBpbGxhci0zLWRpc2Nsb3N1cmVzLTIwMjIucGRm/csuk-pillar-3-disclosures-2022.pdf
  FY2021 9.30% - '2021 Pillar 3 Disclosures', 'Leverage Ratio Common Disclosure' table, final row, printed folio 33 ('Leverage Ratio 9.30 %') - https://www.ubs.com/global/en/investor-relations/complementary-financial-information/disclosure-legal-entities/archive-credit-suisse/_jcr_content/root/contentarea/mainpar/toplevelgrid_1145414446/col_1/accordionbox/accordionsplit_794647952/table_1735174296.1230522569.file/dGFibGVUZXh0PS9jb250ZW50L2RhbS9hc3NldHMvY2MvaW52ZXN0b3ItcmVsYXRpb25zL2NvbXBsZW1lbnRhcnktZmluYW5jaWFsLWluZm9ybWF0aW9uL2FyY2hpdmUvMjAyMS8yMDIxLWNzdWstcGlsbGFyLTMtZGlzY2xvc3VyZXMucGRm/2021-csuk-pillar-3-disclosures.pdf
  FY2020 8.07% - '2020 Pillar 3 Disclosures', 'Leverage Ratio Common Disclosure' table, printed folio 24 ('Leverage Ratio 8.07%'; Tier 1 Capital 295,460 / Total Exposures 3,659,748) - https://www.ubs.com/global/en/investor-relations/complementary-financial-information/disclosure-legal-entities/archive-credit-suisse/_jcr_content/root/contentarea/mainpar/toplevelgrid_1145414446/col_1/accordionbox/accordionsplit/table.670434488.file/dGFibGVUZXh0PS9jb250ZW50L2RhbS9hc3NldHMvY2MvaW52ZXN0b3ItcmVsYXRpb25zL2NvbXBsZW1lbnRhcnktZmluYW5jaWFsLWluZm9ybWF0aW9uL2FyY2hpdmUvMjAyMC8yMDIwLWNzdWstcGlsbGFyLTMtZGlzY2xvc3VyZXMucGRm/2020-csuk-pillar-3-disclosures.pdf
  FY2019 8.47% - 'Pillar 3 Disclosures 2019', 'Leverage Ratio Common Disclosure' table, printed folio 22 ('Leverage Ratio 8.47%'; Tier 1 Capital 300,176 / Total Exposures 3,544,752) - https://www.ubs.com/global/en/investor-relations/complementary-financial-information/disclosure-legal-entities/archive-credit-suisse/_jcr_content/root/contentarea/mainpar/toplevelgrid_1145414446/col_1/accordionbox/accordionsplit_ba44/table.1211843275.file/dGFibGVUZXh0PS9jb250ZW50L2RhbS9hc3NldHMvY2MvaW52ZXN0b3ItcmVsYXRpb25zL2NvbXBsZW1lbnRhcnktZmluYW5jaWFsLWluZm9ybWF0aW9uL2FyY2hpdmUvMjAxOS8yMDE5LWNzdWstcGlsbGFyLTMtZGlzY2xvc3VyZXMucGRm/2019-csuk-pillar-3-disclosures.pdf
CROSS-EDITION RESTATEMENTS, DOCUMENTED AND DELIBERATELY NOT APPLIED. Two of these years are restated by the NEXT edition's narrative comparative, and the own-year figure is kept in both cases per this project's own-edition rule: the 2020 edition says the ratio 'increased to 8.07% as at 31 December 2020 from 7.74% as at 31 December 2019', against the 2019 edition's own 8.47%; and the 2021 edition says it 'increased to 9.30% as at 31 December 2021 from 8.57% as at 31 December 2020', against the 2020 edition's own 8.07%. CSUK never explains either movement. Do not reconcile them.
BASIS BREAK, stated rather than smoothed: FY2019-FY2021 are the CRR / Commission Delegated Act leverage ratio (Tier 1 capital over total exposures) as each of those editions defines it, whereas FY2022 onward are captioned 'excluding claims on central banks' under the UK leverage framework. The two coincide at the FY2021/FY2022 join - the FY2022 edition's own 2021 comparative on the UK-captioned row prints exactly the 9.30% the 2021 edition printed on the CRR row - but that is the Bank's own arithmetic, not an equivalence asserted here.
FY2016 FILLED 2026-09-19: the entity's own 2016 Pillar 3 'Leverage Ratio Common Disclosure' table prints a 6.2% leverage ratio and £2,996.370m total exposure (PDF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t>
        </is>
      </c>
    </row>
  </sheetData>
  <mergeCells count="2">
    <mergeCell ref="A6:K6"/>
    <mergeCell ref="A8:K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Credit Suisse (UK)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Liquidity Coverage Ratio (LCR) - spot, year-end basis (Annual Report)</t>
        </is>
      </c>
      <c r="B4" s="6" t="inlineStr">
        <is>
          <t>1,154%</t>
        </is>
      </c>
      <c r="C4" s="6" t="inlineStr">
        <is>
          <t>451%</t>
        </is>
      </c>
      <c r="D4" s="6" t="inlineStr">
        <is>
          <t>554.67%</t>
        </is>
      </c>
      <c r="E4" s="6" t="inlineStr">
        <is>
          <t>216.40%</t>
        </is>
      </c>
      <c r="F4" s="6" t="inlineStr">
        <is>
          <t>216%</t>
        </is>
      </c>
      <c r="G4" s="6" t="n"/>
      <c r="H4" s="6" t="n"/>
      <c r="I4" s="6" t="inlineStr">
        <is>
          <t>154%</t>
        </is>
      </c>
    </row>
    <row r="5">
      <c r="A5" s="6" t="inlineStr">
        <is>
          <t>Liquidity Coverage Ratio (LCR) - Pillar 3 basis, 12-month average of month-end observations</t>
        </is>
      </c>
      <c r="B5" s="6" t="inlineStr">
        <is>
          <t>4860.58%</t>
        </is>
      </c>
      <c r="C5" s="6" t="inlineStr">
        <is>
          <t>539.19%</t>
        </is>
      </c>
      <c r="D5" s="6" t="inlineStr">
        <is>
          <t>729.77%</t>
        </is>
      </c>
      <c r="E5" s="6" t="inlineStr">
        <is>
          <t>229.60%</t>
        </is>
      </c>
      <c r="F5" s="6" t="inlineStr">
        <is>
          <t>230%</t>
        </is>
      </c>
      <c r="G5" s="6" t="inlineStr">
        <is>
          <t>300%</t>
        </is>
      </c>
      <c r="H5" s="6" t="inlineStr">
        <is>
          <t>246%</t>
        </is>
      </c>
      <c r="I5" s="6" t="n"/>
    </row>
    <row r="7" ht="390" customHeight="1">
      <c r="A7"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t>
        </is>
      </c>
    </row>
    <row r="9" ht="390" customHeight="1">
      <c r="A9" s="8" t="inlineStr">
        <is>
          <t>(continued)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TWO ROWS, TWO DIFFERENT MEASURES - read the labels. The Bank publishes an LCR on two bases and says so itself, so they are kept as separate rows and neither is adjusted toward the other. The Pillar 3 2020 edition, printed folio 21, footnotes its own table: 'For the purpose of Pillar 3, the values are calculated as the simple average of the month-end observations over the preceding twelve months. The HQLA and LCR reported as at 31 December 2020 in CSUK Annual Report represents the spot value as of the reporting date.'
ROW 1 (spot, year-end) is the Annual Report basis. FY2021 ADDED 2026-09-18: 216%, stated by CSUK itself in the '2021 Pillar 3 Disclosures', printed folio 29, footnote to the LCR table - 'the HQLA and LCR reported as at 31 December 2021 in CSUK Annual Report represents the spot value of 216% as of the reporting date' - https://www.ubs.com/global/en/investor-relations/complementary-financial-information/disclosure-legal-entities/archive-credit-suisse/_jcr_content/root/contentarea/mainpar/toplevelgrid_1145414446/col_1/accordionbox/accordionsplit_794647952/table_1735174296.1230522569.file/dGFibGVUZXh0PS9jb250ZW50L2RhbS9hc3NldHMvY2MvaW52ZXN0b3ItcmVsYXRpb25zL2NvbXBsZW1lbnRhcnktZmluYW5jaWFsLWluZm9ybWF0aW9uL2FyY2hpdmUvMjAyMS8yMDIxLWNzdWstcGlsbGFyLTMtZGlzY2xvc3VyZXMucGRm/2021-csuk-pillar-3-disclosures.pdf. It is a spot figure quoted from the Annual Report by the Bank's own Pillar 3, so it belongs on this row and not the average row. FY2020 and FY2019 have NO published spot LCR anywhere located: the 2020 edition's footnote names the Annual Report's spot value without printing it, the 2019 edition carries no such footnote at all, and those years' KPI tables give only a Liquidity Buffer £ amount. Those two cells stay blank on this row. FY2018's 154% is itself captioned 'Average Liquidity Coverage Ratio' in that year's KPI table - a pre-existing basis inconsistency on this row, flagged here rather than silently corrected. FY2017's own comparative column explicitly states 'n/a'; FY2016 has no KPI table at all.
ROW 2 (Pillar 3, 12-month average) ADDED 2026-09-18. This is the row that fills FY2020 and FY2019, and every figure is the reporting-year column of that year's OWN edition:
  FY2019 246% - 'Pillar 3 Disclosures 2019', LCR table, printed folio 19, 'Quarter ending on 31/12/2019' column (Liquidity Buffer £1,010m / Total Net Cash Outflows £462m) - https://www.ubs.com/global/en/investor-relations/complementary-financial-information/disclosure-legal-entities/archive-credit-suisse/_jcr_content/root/contentarea/mainpar/toplevelgrid_1145414446/col_1/accordionbox/accordionsplit_ba44/table.1211843275.file/dGFibGVUZXh0PS9jb250ZW50L2RhbS9hc3NldHMvY2MvaW52ZXN0b3ItcmVsYXRpb25zL2NvbXBsZW1lbnRhcnktZmluYW5jaWFsLWluZm9ybWF0aW9uL2FyY2hpdmUvMjAxOS8yMDE5LWNzdWstcGlsbGFyLTMtZGlzY2xvc3VyZXMucGRm/2019-csuk-pillar-3-disclosures.pdf
  FY2020 300% - '2020 Pillar 3 Disclosures', LCR table, printed folio 21, 'Quarter ending on 31/12/2020' column (£938m / £365m) - https://www.ubs.com/global/en/investor-relations/complementary-financial-information/disclosure-legal-entities/archive-credit-suisse/_jcr_content/root/contentarea/mainpar/toplevelgrid_1145414446/col_1/accordionbox/accordionsplit/table.670434488.file/dGFibGVUZXh0PS9jb250ZW50L2RhbS9hc3NldHMvY2MvaW52ZXN0b3ItcmVsYXRpb25zL2NvbXBsZW1lbnRhcnktZmluYW5jaWFsLWluZm9ybWF0aW9uL2FyY2hpdmUvMjAyMC8yMDIwLWNzdWstcGlsbGFyLTMtZGlzY2xvc3VyZXMucGRm/2020-csuk-pillar-3-disclosures.pdf
  FY2021 230% - '2021 Pillar 3 Disclosures', LCR table, printed folio 29, 'Quarter ending on 31/12/2021' column (£1,085m / £479m), printed as '230 %' - https://www.ubs.com/global/en/investor-relations/complementary-financial-information/disclosure-legal-entities/archive-credit-suisse/_jcr_content/root/contentarea/mainpar/toplevelgrid_1145414446/col_1/accordionbox/accordionsplit_794647952/table_1735174296.1230522569.file/dGFibGVUZXh0PS9jb250ZW50L2RhbS9hc3NldHMvY2MvaW52ZXN0b3ItcmVsYXRpb25zL2NvbXBsZW1lbnRhcnktZmluYW5jaWFsLWluZm9ybWF0aW9uL2FyY2hpdmUvMjAyMS8yMDIxLWNzdWstcGlsbGFyLTMtZGlzY2xvc3VyZXMucGRm/2021-csuk-pillar-3-disclosures.pdf. The FY2022 edition's own 2021 KM1 comparative prints this to two decimals as 230.07%; the own-edition figure is used here and the KM1 Key Metrics sheet keeps the comparative's 230.07% on its own row, so the workbook shows both.</t>
        </is>
      </c>
    </row>
    <row r="11" ht="247" customHeight="1">
      <c r="A11" s="8" t="inlineStr">
        <is>
          <t>(continued)
FY2022 229.60% and FY2023 729.77% - KM1 row 17 of the 2022 and 2023 editions, printed folios 19 and 20 - https://www.ubs.com/global/en/investor-relations/complementary-financial-information/disclosure-legal-entities/archive-credit-suisse/_jcr_content/root/contentarea/mainpar/toplevelgrid_1145414446/col_1/accordionbox/accordionsplit_1343042181/innergrid/col_1/table.1831372465.file/dGFibGVUZXh0PS9jb250ZW50L2RhbS9hc3NldHMvY2MvaW52ZXN0b3ItcmVsYXRpb25zL2NvbXBsZW1lbnRhcnktZmluYW5jaWFsLWluZm9ybWF0aW9uL2FyY2hpdmUvMjAyMi9jc3VrLXBpbGxhci0zLWRpc2Nsb3N1cmVzLTIwMjIucGRm/csuk-pillar-3-disclosures-2022.pdf / https://www.ubs.com/global/en/investor-relations/complementary-financial-information/disclosure-legal-entities/archive-credit-suisse/_jcr_content/root/contentarea/mainpar/toplevelgrid_1145414446/col_1/accordionbox/accordionsplit_485894160/table.1454258810.file/dGFibGVUZXh0PS9jb250ZW50L2RhbS9hc3NldHMvY2MvaW52ZXN0b3ItcmVsYXRpb25zL2NvbXBsZW1lbnRhcnktZmluYW5jaWFsLWluZm9ybWF0aW9uL2FyY2hpdmUvMjAyMy8yMDIzLWNzdWstcGlsbGFyLTMtZGlzY2xvc3VyZXMucGRm/2023-csuk-pillar-3-disclosures.pdf
  FY2024 539.19% and FY2025 4860.58% - KM1 row 17 of the 2024 and 2025 editions, as already reproduced on the KM1 Key Metrics sheet (see that sheet's note on FY2025's failure to reconcile with its own rows 15/16 - reproduced as published, not corrected).
WHAT THIS REPLACES: this note used to say FY2019/FY2020/FY2021 were 'confirmed genuinely absent for that year, not omitted by search'. They were absent from the Annual Report KPI table, which is the only document that sentence had actually looked at.
A THIRD AVERAGE, FOUND 2026-10-08 AND DELIBERATELY NOT PLACED ON EITHER ROW. The Annual Report's Strategic Report prose - not its KPI table - prints its own average LCR: FY2020 Annual Report, printed folio 9, read at 300 dpi, "The Bank's average LCR as at 31 December 2020 is 268% (2019: 246%)" - https://find-and-update.company-information.service.gov.uk/company/02009520/filing-history/MzMwMTQ3Nzk1MmFkaXF6a2N4/document?format=pdf&amp;download=0; and the FY2019 Annual Report, printed folio 8, "The Bank's average Liquidity Coverage Ratio ('LCR') as at 31 December 2019 is 246% (2018: 154%)" - https://find-and-update.company-information.service.gov.uk/company/02009520/filing-history/MzI2MjYyNzE3OGFkaXF6a2N4/document?format=pdf&amp;download=0. At FY2019 that agrees exactly with the 2019 Pillar 3's 246% already on row 2, and it also explains FY2018's 154%, flagged above as an average sitting on the spot row - it is the same figure the FY2019 Annual Report quotes as its 2018 comparative. At FY2020 it does NOT agree: the Annual Report says 268%, the 2020 Pillar 3's own quarter-ending-31/12/2020 column says 300%. Both are published by CSUK, both are captioned 'average', and neither document states the other's window, so there is no basis on which to call either wrong. Row 2 keeps the Pillar 3 figure because that row is defined as the Pillar 3 basis; the Annual Report's 268% is recorded here rather than placed on the spot row, which it is not, or blended with row 2, which it must not be. Row 1 therefore still has no FY2020 or FY2019 figure: no SPOT LCR has been located for either year.</t>
        </is>
      </c>
    </row>
  </sheetData>
  <mergeCells count="3">
    <mergeCell ref="A7:I7"/>
    <mergeCell ref="A9:I9"/>
    <mergeCell ref="A11:I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Credit Suisse (UK)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Net Stable Funding Ratio (NSFR) - Pillar 3 / KM1 basis</t>
        </is>
      </c>
      <c r="B4" s="6" t="inlineStr">
        <is>
          <t>3,600%</t>
        </is>
      </c>
      <c r="C4" s="6" t="inlineStr">
        <is>
          <t>167%</t>
        </is>
      </c>
      <c r="D4" s="6" t="inlineStr">
        <is>
          <t>129.25%</t>
        </is>
      </c>
      <c r="E4" s="6" t="inlineStr">
        <is>
          <t>131.72%</t>
        </is>
      </c>
      <c r="F4" s="6" t="n"/>
      <c r="G4" s="6" t="n"/>
      <c r="H4" s="6" t="n"/>
    </row>
    <row r="5">
      <c r="A5" s="6" t="inlineStr">
        <is>
          <t>Net Stable Funding Ratio (NSFR) - Annual Report basis, average as at 31 December</t>
        </is>
      </c>
      <c r="B5" s="6" t="n"/>
      <c r="C5" s="6" t="n"/>
      <c r="D5" s="6" t="n"/>
      <c r="E5" s="6" t="n"/>
      <c r="F5" s="6" t="n"/>
      <c r="G5" s="6" t="inlineStr">
        <is>
          <t>114.4%</t>
        </is>
      </c>
      <c r="H5" s="6" t="inlineStr">
        <is>
          <t>97.4%</t>
        </is>
      </c>
    </row>
    <row r="7" ht="299" customHeight="1">
      <c r="A7"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t>
        </is>
      </c>
    </row>
    <row r="9" ht="364" customHeight="1">
      <c r="A9" s="8" t="inlineStr">
        <is>
          <t>(continued)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FY2021's KPI table (earliest format checked before this ticket) discloses only a 'Liquidity Buffer (£m)' figure, no NSFR% - confirmed genuinely absent for that year, not omitted by search.
FY2020 AND FY2019 FOUND 2026-10-08, AND THE SENTENCE THAT HID THEM IS RECORDED HERE RATHER THAN DELETED. This note used to end: 'No NSFR figure was found in any of the FY2016-FY2020 KPI tables/comparative columns either, despite each year's Strategic Report discussing NSFR in general regulatory terms.' Every clause of that was true, and the conclusion drawn from it was wrong, for the third time in this workbook (see the Leverage Ratio and LCR notes for the first two): the KPI TABLE carries no NSFR, but the Strategic Report prose two pages later prints one. FY2020 Annual Report, printed folio 9, 'Liquidity' section, read at 300 dpi off the page image: "The Bank's average NSFR as at 31 December 2020 is 114.4% (2019 97.4%)." - https://find-and-update.company-information.service.gov.uk/company/02009520/filing-history/MzMwMTQ3Nzk1MmFkaXF6a2N4/document?format=pdf&amp;download=0
BASIS, stated not smoothed. These two cells are on their own row because they are NOT the row above's measure. Row 1 is the Pillar 3/KM1 NSFR, which does not exist before FY2022: the UK NSFR requirement began on 1 January 2022, so no FY2016-FY2021 Pillar 3 edition contains one. Row 2 is the Bank's own annual-report average. Nothing is interpolated between them and the two rows are never to be merged.
FY2019 IS A COMPARATIVE, read off the FY2020 edition. The FY2019 Annual Report's own Strategic Report (printed folio 8) names the NSFR as a metric the Bank monitors but prints no figure for it - checked on the page image, https://find-and-update.company-information.service.gov.uk/company/02009520/filing-history/MzI2MjYyNzE3OGFkaXF6a2N4/document?format=pdf&amp;download=0 - so the FY2020 edition's comparative is the only published FY2019 NSFR located.</t>
        </is>
      </c>
    </row>
  </sheetData>
  <mergeCells count="2">
    <mergeCell ref="A7:H7"/>
    <mergeCell ref="A9:H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Credit Suisse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MREL Ratio</t>
        </is>
      </c>
      <c r="B4" s="6" t="inlineStr">
        <is>
          <t>Not published – CSUK FY2025 Pillar 3 Disclosures (full text searched 2026-09-19) contain no MREL figure or reference; Companies House accounts none either</t>
        </is>
      </c>
      <c r="C4" s="6" t="inlineStr">
        <is>
          <t>Not published – CSUK FY2024 Pillar 3 Disclosures (full text searched 2026-09-19) contain no MREL figure or reference; Companies House accounts none either</t>
        </is>
      </c>
      <c r="D4" s="6" t="inlineStr">
        <is>
          <t>Not published – CSUK FY2023 Pillar 3 Disclosures (full text searched 2026-09-19) contain no MREL figure or reference; Companies House accounts none either</t>
        </is>
      </c>
      <c r="E4" s="6" t="inlineStr">
        <is>
          <t>Not published – CSUK FY2022 Pillar 3 Disclosures (full text searched 2026-09-19) contain no MREL figure or reference; Companies House accounts none either</t>
        </is>
      </c>
      <c r="F4" s="6" t="inlineStr">
        <is>
          <t>Not published – CSUK FY2021 Pillar 3 Disclosures (full text searched 2026-09-19) contain no MREL figure or reference; Companies House accounts none either</t>
        </is>
      </c>
      <c r="G4" s="6" t="inlineStr">
        <is>
          <t>Not published – CSUK FY2020 Pillar 3 Disclosures (full text searched 2026-09-19) contain no MREL figure or reference; Companies House accounts none either</t>
        </is>
      </c>
      <c r="H4" s="6" t="inlineStr">
        <is>
          <t>Not published – CSUK FY2019 Pillar 3 Disclosures (full text searched 2026-09-19) contain no MREL figure or reference; Companies House accounts none either</t>
        </is>
      </c>
      <c r="I4" s="6" t="inlineStr">
        <is>
          <t>Not published – CSUK FY2018 Pillar 3 Disclosures (full text searched 2026-09-19) contain no MREL figure or reference; Companies House accounts none either</t>
        </is>
      </c>
      <c r="J4" s="6" t="inlineStr">
        <is>
          <t>Not published – CSUK FY2017 Pillar 3 Disclosures (full text searched 2026-09-19) contain no MREL figure or reference; Companies House accounts none either</t>
        </is>
      </c>
      <c r="K4" s="6" t="inlineStr">
        <is>
          <t>Not published – CSUK FY2016 Pillar 3 Disclosures (full text searched 2026-09-19) contain no MREL figure or reference; Companies House accounts none either</t>
        </is>
      </c>
    </row>
    <row r="5" ht="30" customHeight="1">
      <c r="A5" s="7" t="inlineStr">
        <is>
          <t>Note: Not disclosed anywhere in any of the 10 years' Companies House filings reviewed (FY2016-FY2025), no exemption stated. Plausibly below the Bank of England's MREL threshold given CSUK's small and (post-Part-VII-transfer) shrinking balance sheet, but not confirmed - left blank rather than guessed.</t>
        </is>
      </c>
    </row>
    <row r="7" ht="377" customHeight="1">
      <c r="A7" s="8" t="inlineStr">
        <is>
          <t>Sources - Credit Suisse (UK) Limited's own Annual Report 'Key Performance Indicators (KPIs)' table.
CORRECTED 18 September 2026 (KM1-032). This citation previously read '(no standalone Pillar 3 document was located for CSUK; the FY2025 Annual Report's own Strategic Report states "Pillar 3 disclosures can be found separately at https://www.ubs.com/global/en/investor-relations", but a CSUK-specific document was not identified there within budget - WebSearch quota was already exhausted)'. THAT WAS FALSE, and it is the clearest example in this workbook of a limit on our REACH being written down as a fact about the BANK: the sentence recorded that a search had run out of budget, and then read as though the document did not exist. Because p3_sources() is attached to every metric sheet, that one sentence shipped the claim across the whole workbook.
CSUK publishes standalone, entity-level Pillar 3 disclosures, and THIS WORKBOOK ALREADY USES THEM: the KM1 Key Metrics sheet reproduces CSUK's own 'KM1 - Key metrics' template from the Pillar 3 Disclosures editions for 2022, 2023, 2024 and 2025 (see that sheet's citation, which names each edition, its printed folio and the filename trap whereby the 2025 edition is published as 'csuk-pillar-3-disclosures-2026.pdf'), and the Total Capital and Total Capital Ratio sheets are sourced from those same editions' own-funds tables. The editions are reached from the Credit Suisse legal-entity disclosure index at https://www.ubs.com/global/en/investor-relations/complementary-financial-information/other-subsidiaries.html .
THE UBS HOST IS REACHABLE - a correction to this note's own previous paragraph, recorded because it is the same class of error as the sentence above. That paragraph said that on 18 September 2026 'both routes to those documents were unavailable to this session', the UBS host returning HTTP 403 with a 483-byte AkamaiGHost 'Access Denied' body 'which an ordinary browser User-Agent does not clear'. The observation was accurate; the inference was backwards. The 403 is caused BY the browser User-Agent, not cured by it. Later the same day, PLAIN curl with no added headers returned HTTP 200 and the full index page, and every CSUK Pillar 3 PDF then downloaded cleanly (Content-Type application/pdf, %PDF magic bytes). The lowest rung of the fetching ladder passes an edge rule that the highest rung trips. Five editions - 2019, 2020, 2021, 2022 and 2023 - were downloaded and read on that basis and now source the Leverage Ratio and LCR sheets.
Sources by year:
FY2025/FY2024: FY2025 Annual Report, KPI table p.6 - https://find-and-update.company-information.service.gov.uk/company/02009520/filing-history/MzUxNzE0OTI3NGFkaXF6a2N4/document?format=pdf&amp;download=0
FY2023/FY2022: FY2023 Annual Report, KPI table p.7 - https://find-and-update.company-information.service.gov.uk/company/02009520/filing-history/MzQxOTY5NDQ0MWFkaXF6a2N4/document?format=pdf&amp;download=0
FY2021: FY2021 Annual Report, KPI table p.8 - https://find-and-update.company-information.service.gov.uk/company/02009520/filing-history/MzMzNzU0NDMwOWFkaXF6a2N4/document?format=pdf&amp;download=0
FY2020: FY2020 Annual Report, KPI table p.8 - https://find-and-update.company-information.service.gov.uk/company/02009520/filing-history/MzMwMTQ3Nzk1MmFkaXF6a2N4/document?format=pdf&amp;download=0
FY2019: FY2019 Annual Report, KPI table p.7 - https://find-and-update.company-information.service.gov.uk/company/02009520/filing-history/MzI2MjYyNzE3OGFkaXF6a2N4/document?format=pdf&amp;download=0
FY2018: FY2018 Annual Report, KPI table p.7 - https://find-and-update.company-information.service.gov.uk/company/02009520/filing-history/MzIzMzQ0Nzg3OWFkaXF6a2N4/document?format=pdf&amp;download=0
FY2017: FY2018 Annual Report's own FY2017 comparative column, p.7 (FY2017's own Annual Report carries no KPI table at all - only introduced from the FY2018 report) - https://find-and-update.company-information.service.gov.uk/company/02009520/filing-history/MzIzMzQ0Nzg3OWFkaXF6a2N4/document?format=pdf&amp;download=0
FY2016: the Annual Report has no KPI table, but the entity's own standalone 2016 Pillar 3 directly discloses CET1/Tier 1 ratio 20.9% and Total Capital ratio 23.7% (capital composition and ratios, printed p.5), RWA £888.838m (printed p.6), and leverage ratio 6.2% with £2,996.370m exposure (printed p.20) - https://www.ubs.com/global/en/investor-relations/complementary-financial-information/disclosure-legal-entities/archive-credit-suisse/_jcr_content/root/contentarea/mainpar/toplevelgrid_1145414446/col_1/accordionbox/accordionsplit_edb9/table_672121609.1602187955.file/dGFibGVUZXh0PS9jb250ZW50L2RhbS9hc3NldHMvY2MvaW52ZXN0b3ItcmVsYXRpb25zL2NvbXBsZW1lbnRhcnktZmluYW5jaWFsLWluZm9ybWF0aW9uL2FyY2hpdmUvMjAxNi8yMDE2LWNzdWstcGlsbGFyLTMtZGlzY2xvc3VyZXMucGRm/2016-csuk-pillar-3-disclosures.pdf . PAGE NUMBERS RESTATED AS PRINTED FOLIOS 2026-10-07 (they previously read 'PDF p.N'): the document's own page footers were read on sheets 4, 6 and 20 and print 4, 6 and 20, so the printed folio equals the PDF sheet index throughout this edition and the numbers are unchanged - only the promise they make to a reader is. The document is 'Credit Suisse (UK) Limited - Basel III - Pillar 3 Disclosures 2016', 31pp, fetched 2026-10-07 with plain curl (HTTP 200, Content-Type application/pdf, %PDF-1.6). FY2016 CET1/Tier 1 Capital (£) remains sourced from the Capital adequacy note's Own Funds table, FY2016 Annual Report p.88 - https://find-and-update.company-information.service.gov.uk/company/02009520/filing-history/MzE3NDY1MzYyMmFkaXF6a2N4/document?format=pdf&amp;download=0
FY2021-FY2023: CSUK official Pillar 3 disclosures hosted by UBS (KM1 / capital composition tables) - https://www.ubs.com/global/en/investor-relations/complementary-financial-information/disclosure-legal-entities/archive-credit-suisse.html
FY2024-FY2025: CSUK official Pillar 3 disclosures hosted by UBS (KM1 / capital composition tables) - https://www.ubs.com/global/en/investor-relations/complementary-financial-information/other-subsidiaries.html</t>
        </is>
      </c>
    </row>
    <row r="9" ht="150" customHeight="1">
      <c r="A9" s="8" t="inlineStr">
        <is>
          <t xml:space="preserve">(continued)
FY2019-FY2023: CSUK standalone Pillar 3 editions, reached from the UBS-hosted Credit Suisse legal-entity ARCHIVE index - https://www.ubs.com/global/en/investor-relations/complementary-financial-information/disclosure-legal-entities/archive-credit-suisse.html - which lists one CSUK edition per year for 2014-2023. Each edition's own title carries the fiscal year ('Pillar 3 Disclosures 2019', '2020 Pillar 3 Disclosures', and so on), so the filename-year trap that affects the FY2025 edition does not arise for these. The FY2016 edition has also now been opened and supplies the metrics listed above; FY2014, FY2015, FY2017 and FY2018 remain standing leads.
</t>
        </is>
      </c>
    </row>
  </sheetData>
  <mergeCells count="3">
    <mergeCell ref="A5:K5"/>
    <mergeCell ref="A7:K7"/>
    <mergeCell ref="A9:K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2026-10-26T09:36:01Z</dcterms:created>
  <dcterms:modified xmlns:dcterms="http://purl.org/dc/terms/" xmlns:xsi="http://www.w3.org/2001/XMLSchema-instance" xsi:type="dcterms:W3CDTF">2026-10-26T09:36:01Z</dcterms:modified>
</cp:coreProperties>
</file>