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KM1 Key Metrics" sheetId="7" state="visible" r:id="rId7"/>
    <sheet name="CET1 Capital" sheetId="8" state="visible" r:id="rId8"/>
    <sheet name="CET1 Ratio" sheetId="9" state="visible" r:id="rId9"/>
    <sheet name="Tier 1 Capital" sheetId="10" state="visible" r:id="rId10"/>
    <sheet name="Tier 1 Ratio" sheetId="11" state="visible" r:id="rId11"/>
    <sheet name="Total Capital" sheetId="12" state="visible" r:id="rId12"/>
    <sheet name="Total Capital Ratio" sheetId="13" state="visible" r:id="rId13"/>
    <sheet name="Total RWAs" sheetId="14" state="visible" r:id="rId14"/>
    <sheet name="RWA Breakdown" sheetId="15" state="visible" r:id="rId15"/>
    <sheet name="Leverage Ratio" sheetId="16" state="visible" r:id="rId16"/>
    <sheet name="LCR" sheetId="17" state="visible" r:id="rId17"/>
    <sheet name="NSFR" sheetId="18" state="visible" r:id="rId18"/>
    <sheet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a:prstDash val="solid"/>
            </a:ln>
          </spPr>
          <cat>
            <numRef>
              <f>'Overview'!$O$5:$X$5</f>
            </numRef>
          </cat>
          <val>
            <numRef>
              <f>'Overview'!$O$6:$X$6</f>
            </numRef>
          </val>
        </ser>
        <ser>
          <idx val="1"/>
          <order val="1"/>
          <tx>
            <strRef>
              <f>'Overview'!N7</f>
            </strRef>
          </tx>
          <spPr>
            <a:ln>
              <a:prstDash val="solid"/>
            </a:ln>
          </spPr>
          <cat>
            <numRef>
              <f>'Overview'!$O$5:$X$5</f>
            </numRef>
          </cat>
          <val>
            <numRef>
              <f>'Overview'!$O$7:$X$7</f>
            </numRef>
          </val>
        </ser>
        <ser>
          <idx val="2"/>
          <order val="2"/>
          <tx>
            <strRef>
              <f>'Overview'!N8</f>
            </strRef>
          </tx>
          <spPr>
            <a:ln>
              <a:prstDash val="solid"/>
            </a:ln>
          </spPr>
          <cat>
            <numRef>
              <f>'Overview'!$O$5:$X$5</f>
            </numRef>
          </cat>
          <val>
            <numRef>
              <f>'Overview'!$O$8:$X$8</f>
            </numRef>
          </val>
        </ser>
        <ser>
          <idx val="3"/>
          <order val="3"/>
          <tx>
            <strRef>
              <f>'Overview'!N9</f>
            </strRef>
          </tx>
          <spPr>
            <a:l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a:prstDash val="solid"/>
            </a:ln>
          </spPr>
          <cat>
            <numRef>
              <f>'Overview'!$AB$12:$AK$12</f>
            </numRef>
          </cat>
          <val>
            <numRef>
              <f>'Overview'!$AB$13:$AK$13</f>
            </numRef>
          </val>
        </ser>
        <ser>
          <idx val="1"/>
          <order val="1"/>
          <tx>
            <strRef>
              <f>'Overview'!AA14</f>
            </strRef>
          </tx>
          <spPr>
            <a:ln>
              <a:prstDash val="solid"/>
            </a:ln>
          </spPr>
          <cat>
            <numRef>
              <f>'Overview'!$AB$12:$AK$12</f>
            </numRef>
          </cat>
          <val>
            <numRef>
              <f>'Overview'!$AB$14:$AK$14</f>
            </numRef>
          </val>
        </ser>
        <ser>
          <idx val="2"/>
          <order val="2"/>
          <tx>
            <strRef>
              <f>'Overview'!AA15</f>
            </strRef>
          </tx>
          <spPr>
            <a:l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a:prstDash val="solid"/>
            </a:ln>
          </spPr>
          <cat>
            <numRef>
              <f>'Overview'!$AO$18:$AX$18</f>
            </numRef>
          </cat>
          <val>
            <numRef>
              <f>'Overview'!$AO$19:$AX$19</f>
            </numRef>
          </val>
        </ser>
        <ser>
          <idx val="1"/>
          <order val="1"/>
          <tx>
            <strRef>
              <f>'Overview'!AN20</f>
            </strRef>
          </tx>
          <spPr>
            <a:ln>
              <a:prstDash val="solid"/>
            </a:ln>
          </spPr>
          <cat>
            <numRef>
              <f>'Overview'!$AO$18:$AX$18</f>
            </numRef>
          </cat>
          <val>
            <numRef>
              <f>'Overview'!$AO$20:$AX$20</f>
            </numRef>
          </val>
        </ser>
        <ser>
          <idx val="2"/>
          <order val="2"/>
          <tx>
            <strRef>
              <f>'Overview'!AN21</f>
            </strRef>
          </tx>
          <spPr>
            <a:ln>
              <a:prstDash val="solid"/>
            </a:ln>
          </spPr>
          <cat>
            <numRef>
              <f>'Overview'!$AO$18:$AX$18</f>
            </numRef>
          </cat>
          <val>
            <numRef>
              <f>'Overview'!$AO$21:$AX$21</f>
            </numRef>
          </val>
        </ser>
        <ser>
          <idx val="3"/>
          <order val="3"/>
          <tx>
            <strRef>
              <f>'Overview'!AN22</f>
            </strRef>
          </tx>
          <spPr>
            <a:l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a:prstDash val="solid"/>
            </a:ln>
          </spPr>
          <cat>
            <numRef>
              <f>'Overview'!$BB$25:$BK$25</f>
            </numRef>
          </cat>
          <val>
            <numRef>
              <f>'Overview'!$BB$26:$BK$26</f>
            </numRef>
          </val>
        </ser>
        <ser>
          <idx val="1"/>
          <order val="1"/>
          <tx>
            <strRef>
              <f>'Overview'!BA27</f>
            </strRef>
          </tx>
          <spPr>
            <a:ln>
              <a:prstDash val="solid"/>
            </a:ln>
          </spPr>
          <cat>
            <numRef>
              <f>'Overview'!$BB$25:$BK$25</f>
            </numRef>
          </cat>
          <val>
            <numRef>
              <f>'Overview'!$BB$27:$BK$27</f>
            </numRef>
          </val>
        </ser>
        <ser>
          <idx val="2"/>
          <order val="2"/>
          <tx>
            <strRef>
              <f>'Overview'!BA28</f>
            </strRef>
          </tx>
          <spPr>
            <a:ln>
              <a:prstDash val="solid"/>
            </a:ln>
          </spPr>
          <cat>
            <numRef>
              <f>'Overview'!$BB$25:$BK$25</f>
            </numRef>
          </cat>
          <val>
            <numRef>
              <f>'Overview'!$BB$28:$BK$28</f>
            </numRef>
          </val>
        </ser>
        <ser>
          <idx val="3"/>
          <order val="3"/>
          <tx>
            <strRef>
              <f>'Overview'!BA29</f>
            </strRef>
          </tx>
          <spPr>
            <a:l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a:prstDash val="solid"/>
            </a:ln>
          </spPr>
          <marker>
            <symbol val="none"/>
            <spPr>
              <a:ln>
                <a:prstDash val="solid"/>
              </a:ln>
            </spPr>
          </marker>
          <cat>
            <numRef>
              <f>'Overview'!$BO$5:$BX$5</f>
            </numRef>
          </cat>
          <val>
            <numRef>
              <f>'Overview'!$BO$6:$BX$6</f>
            </numRef>
          </val>
          <smooth val="0"/>
        </ser>
        <ser>
          <idx val="1"/>
          <order val="1"/>
          <tx>
            <strRef>
              <f>'Overview'!BN7</f>
            </strRef>
          </tx>
          <spPr>
            <a:ln>
              <a:prstDash val="solid"/>
            </a:ln>
          </spPr>
          <marker>
            <symbol val="none"/>
            <spPr>
              <a:ln>
                <a:prstDash val="solid"/>
              </a:ln>
            </spPr>
          </marker>
          <cat>
            <numRef>
              <f>'Overview'!$BO$5:$BX$5</f>
            </numRef>
          </cat>
          <val>
            <numRef>
              <f>'Overview'!$BO$7:$BX$7</f>
            </numRef>
          </val>
          <smooth val="0"/>
        </ser>
        <ser>
          <idx val="2"/>
          <order val="2"/>
          <tx>
            <strRef>
              <f>'Overview'!BN8</f>
            </strRef>
          </tx>
          <spPr>
            <a:ln>
              <a:prstDash val="solid"/>
            </a:ln>
          </spPr>
          <marker>
            <symbol val="none"/>
            <spPr>
              <a:ln>
                <a:prstDash val="solid"/>
              </a:ln>
            </spPr>
          </marker>
          <cat>
            <numRef>
              <f>'Overview'!$BO$5:$BX$5</f>
            </numRef>
          </cat>
          <val>
            <numRef>
              <f>'Overview'!$BO$8:$BX$8</f>
            </numRef>
          </val>
          <smooth val="0"/>
        </ser>
        <ser>
          <idx val="3"/>
          <order val="3"/>
          <tx>
            <strRef>
              <f>'Overview'!BN9</f>
            </strRef>
          </tx>
          <spPr>
            <a:ln>
              <a:prstDash val="solid"/>
            </a:ln>
          </spPr>
          <marker>
            <symbol val="none"/>
            <spPr>
              <a:l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128</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O6" t="n">
        <v>20.9</v>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O7" t="n">
        <v>6.2</v>
      </c>
      <c r="BP7" t="n">
        <v>6.3</v>
      </c>
      <c r="BQ7" t="n">
        <v>7.8</v>
      </c>
      <c r="BR7" t="n">
        <v>8.470000000000001</v>
      </c>
      <c r="BS7" t="n">
        <v>8.07</v>
      </c>
      <c r="BT7" t="n">
        <v>9.300000000000001</v>
      </c>
      <c r="BU7" t="n">
        <v>11.4</v>
      </c>
      <c r="BV7" t="n">
        <v>12.09</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T8" t="n">
        <v>216</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inlineStr">
        <is>
          <t>20.9%</t>
        </is>
      </c>
    </row>
    <row r="34">
      <c r="A34" s="6" t="inlineStr">
        <is>
          <t>Leverage Ratio</t>
        </is>
      </c>
      <c r="B34" s="6" t="inlineStr">
        <is>
          <t>87%</t>
        </is>
      </c>
      <c r="C34" s="6" t="inlineStr">
        <is>
          <t>17%</t>
        </is>
      </c>
      <c r="D34" s="6" t="inlineStr">
        <is>
          <t>12.09%</t>
        </is>
      </c>
      <c r="E34" s="6" t="inlineStr">
        <is>
          <t>11.40%</t>
        </is>
      </c>
      <c r="F34" s="6" t="inlineStr">
        <is>
          <t>9.30%</t>
        </is>
      </c>
      <c r="G34" s="6" t="inlineStr">
        <is>
          <t>8.07%</t>
        </is>
      </c>
      <c r="H34" s="6" t="inlineStr">
        <is>
          <t>8.47%</t>
        </is>
      </c>
      <c r="I34" s="6" t="inlineStr">
        <is>
          <t>7.8%</t>
        </is>
      </c>
      <c r="J34" s="6" t="inlineStr">
        <is>
          <t>6.3%</t>
        </is>
      </c>
      <c r="K34" s="6" t="inlineStr">
        <is>
          <t>6.2%</t>
        </is>
      </c>
    </row>
    <row r="35">
      <c r="A35" s="6" t="inlineStr">
        <is>
          <t>LCR</t>
        </is>
      </c>
      <c r="B35" s="6" t="inlineStr">
        <is>
          <t>1,154%</t>
        </is>
      </c>
      <c r="C35" s="6" t="inlineStr">
        <is>
          <t>451%</t>
        </is>
      </c>
      <c r="D35" s="6" t="inlineStr">
        <is>
          <t>554.67%</t>
        </is>
      </c>
      <c r="E35" s="6" t="inlineStr">
        <is>
          <t>216.40%</t>
        </is>
      </c>
      <c r="F35" s="6" t="inlineStr">
        <is>
          <t>216%</t>
        </is>
      </c>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70" customHeight="1">
      <c r="A39" s="8" t="inlineStr">
        <is>
          <t xml:space="preserve">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SEVEN cells differ in total, and every one falls into a class above: three from the restated FY2021 comparative on rows 5/6/7, two from the averaged-versus-spot NSFR on row 20 (FY2023 and FY2022), one from the restated FY2021 RWA on row 4, and one from rounding on row 20 FY2025. IT WAS ELEVEN UNTIL 18 SEPTEMBER 2026, and the four that went were the row 17 LCR cells for FY2025-FY2022. They did not go because a figure changed - none did - but because the LCR sheet now carries the Bank's Pillar 3 12-month-average LCR as its own second row alongside the Annual Report's spot row, so the template's row 17 has a same-basis counterpart to be checked against and matches it exactly. The basis difference that produced those four disagreements is unchanged and is still described above; it is simply now represented on both sheets instead of only one.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ROWS 1, 2 AND 3 ARE EQUAL FOR FY2025 IN THE SOURCE - READ FROM THE DOCUMENT ON 2026-09-18, NOT INFERRED FROM THE OTHER SHEETS. The 'Pillar 3 Disclosures 2025' edition prints 305,801 on row 1 (CET1 capital), row 2 (Tier 1 capital) AND row 3 (Total capital) on printed folio 16, and prints 191.10% on rows 5, 6 and 7. The three coincide because CSUK had NO Additional Tier 1 and NO Tier 2 in issue at 31 December 2025. The same edition says so three ways: its CC1 prints row 29 CET1 305,801 and row 59 Total capital 305,801 with no AT1 or Tier 2 amount row populated at all (the only Tier 2 line is row 77, a CAP on the inclusion of credit risk adjustments, 62); its balance-sheet reconciliation prints 'Long term debt -' and 'of which: Subordinated debt -', with total shareholders' equity of 305,801, equal to CET1 to the pound; and its Article 437 narrative states 'CSUK's CET1 comprises permanent share capital of ordinary shares and reserves.' The Tier 2 of 47,430 that stood at end-2024 (346,842 - 299,412) had been redeemed. CSUK is in run-off following the UBS acquisition, which is also why RWA falls from 671,676 to 160,021 while CET1 holds flat.
Rows UK 7a/7b/7c/7d repeat FY2024's 3.32% / 1.11% / 1.48% / 13.91% exactly. That was confirmed in the FY2025 edition itself rather than carried over, because a repeated block is also what a copied column looks like.
THE FY2025 EDITION'S OWN 2024 COMPARATIVE COLUMN IS DEFECTIVE, and is recorded rather than corrected, the same treatment as the row 13 divergence above. That column prints rows 1, 2 and 3 all as 299,412 - repeating CET1 into the Total capital slot - while printing row 7 for the same column as 51.64%, a percentage which against its own row 4 of 671,676 is 346,842. The edition contradicts itself, and FY2024's own edition prints 346,842. FY2024 on this sheet therefore stays 346,842 under rule 1 and must not be 'corrected' toward this later comparative. This is very likely the origin of the FY2024 error corrected on 2026-09-17: the duplication was printed by the Bank first, in the edition a transcriber would reach for last.
LATEST-EDITION CHECK (2026-09-17, re-confirmed 2026-09-18): the UBS-hosted Credit Suisse legal-entity disclosure index was enumerated directly. The newest CSUK Pillar 3 is the 'Pillar 3 Disclosures 2025' edition used above for FY2025, so this workbook is current; no FY2026 edition exists yet.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inlineStr">
        <is>
          <t>26.20%</t>
        </is>
      </c>
      <c r="H4" s="6" t="inlineStr">
        <is>
          <t>25.9%</t>
        </is>
      </c>
      <c r="I4" s="6" t="inlineStr">
        <is>
          <t>27.0%</t>
        </is>
      </c>
      <c r="J4" s="6" t="inlineStr">
        <is>
          <t>19.2%</t>
        </is>
      </c>
      <c r="K4" s="6" t="inlineStr">
        <is>
          <t>23.7%</t>
        </is>
      </c>
    </row>
    <row r="5" ht="60" customHeight="1">
      <c r="A5" s="7" t="inlineStr">
        <is>
          <t>Note: Directly disclosed in the official UBS-hosted Pillar 3 reports for FY2016-FY2025. The FY2017-FY2020 values were added from each year's own standalone CSUK edition: FY2017 p.4 (19.2%), FY2018 p.4 (27.0%), FY2019 p.4 (25.9%) and FY2020 p.4 (26.20%). Nothing is derived by dividing Own Funds by RWA.</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v>888.838</v>
      </c>
    </row>
    <row r="6" ht="170" customHeight="1">
      <c r="A6"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(summary lines) for FY2016-FY2021 -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(FY2016-FY2021)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v>1097895</v>
      </c>
      <c r="H11" s="6" t="n">
        <v>1153884</v>
      </c>
      <c r="I11" s="6" t="n">
        <v>1026751</v>
      </c>
      <c r="J11" s="6" t="n">
        <v>1069630</v>
      </c>
      <c r="K11" s="6" t="n">
        <v>748287</v>
      </c>
    </row>
    <row r="12">
      <c r="A12" s="6" t="inlineStr">
        <is>
          <t>Total market risk</t>
        </is>
      </c>
      <c r="B12" s="6" t="n"/>
      <c r="C12" s="6" t="n"/>
      <c r="D12" s="6" t="n"/>
      <c r="E12" s="6" t="n"/>
      <c r="F12" s="6" t="n">
        <v>0</v>
      </c>
      <c r="G12" s="6" t="inlineStr">
        <is>
          <t>-</t>
        </is>
      </c>
      <c r="H12" s="6" t="inlineStr">
        <is>
          <t>-</t>
        </is>
      </c>
      <c r="I12" s="6" t="n">
        <v>3291</v>
      </c>
      <c r="J12" s="6" t="n">
        <v>5633</v>
      </c>
      <c r="K12" s="6" t="n">
        <v>56</v>
      </c>
    </row>
    <row r="13">
      <c r="A13" s="6" t="inlineStr">
        <is>
          <t>Total other risks (operational risk)</t>
        </is>
      </c>
      <c r="B13" s="6" t="n"/>
      <c r="C13" s="6" t="n"/>
      <c r="D13" s="6" t="n"/>
      <c r="E13" s="6" t="n"/>
      <c r="F13" s="6" t="n">
        <v>230434</v>
      </c>
      <c r="G13" s="6" t="n">
        <v>239911</v>
      </c>
      <c r="H13" s="6" t="n">
        <v>217134</v>
      </c>
      <c r="I13" s="6" t="n">
        <v>195176</v>
      </c>
      <c r="J13" s="6" t="n">
        <v>166236</v>
      </c>
      <c r="K13" s="6" t="n">
        <v>140496</v>
      </c>
    </row>
    <row r="14">
      <c r="A14" s="5" t="inlineStr">
        <is>
          <t>Total RWAs</t>
        </is>
      </c>
      <c r="B14" s="5" t="n">
        <v>160021</v>
      </c>
      <c r="C14" s="5" t="n">
        <v>671676</v>
      </c>
      <c r="D14" s="5" t="n">
        <v>999597</v>
      </c>
      <c r="E14" s="5" t="n">
        <v>1123970</v>
      </c>
      <c r="F14" s="5" t="n">
        <v>1339867</v>
      </c>
      <c r="G14" s="5" t="n">
        <v>1337806</v>
      </c>
      <c r="H14" s="5" t="n">
        <v>1371018</v>
      </c>
      <c r="I14" s="5" t="n">
        <v>1225217</v>
      </c>
      <c r="J14" s="5" t="n">
        <v>1241498</v>
      </c>
      <c r="K14" s="5" t="n">
        <v>888838</v>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FY2020-FY2016 (ADDED 2026-09-19, GA-020 - the 'genuinely undisclosed' statement above is SUPERSEDED): each year's own Pillar 3 Disclosures edition, all listed on the same archive page and downloaded clean with plain curl (2020-, 2019-, 2018-, 2017-, 2016-csuk-pillar-3-disclosures.pdf), 'RWA and capital requirements (£000s)' table - FY2020 p.5, FY2019 p.5, FY2018 p.5, FY2017 p.4, FY2016 p.6, each read off the page image. Carried as the same three summary lines as FY2021 plus the grand total. FY2019's 'other risks' line (217,134) includes settlement risk of 493 alongside operational risk of 216,641; FY2020 and FY2019 print a dash for market risk. The FY2017 edition's 2016 comparative restates FY2016 market risk to 4,087 and the total to 892,870; the FY2016 edition's own 56 / 888,838 are carried, including on the Total RWAs sheet. ROUNDING, NOT A TRANSCRIPTION ERROR: in FY2016, FY2017 and FY2018 the three printed lines sum to 1 more than the printed grand total (888,839 v 888,838; 1,241,499 v 1,241,498; 1,225,218 v 1,225,217) - the Bank's own £000 rounding, seen on the page images; verify_workbook.py flags it and the figures are left as printed.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inlineStr">
        <is>
          <t>12.09%</t>
        </is>
      </c>
      <c r="E4" s="6" t="inlineStr">
        <is>
          <t>11.40%</t>
        </is>
      </c>
      <c r="F4" s="6" t="inlineStr">
        <is>
          <t>9.30%</t>
        </is>
      </c>
      <c r="G4" s="6" t="inlineStr">
        <is>
          <t>8.07%</t>
        </is>
      </c>
      <c r="H4" s="6" t="inlineStr">
        <is>
          <t>8.47%</t>
        </is>
      </c>
      <c r="I4" s="6" t="inlineStr">
        <is>
          <t>7.8%</t>
        </is>
      </c>
      <c r="J4" s="6" t="inlineStr">
        <is>
          <t>6.3%</t>
        </is>
      </c>
      <c r="K4" s="6" t="inlineStr">
        <is>
          <t>6.2%</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FY2023-FY2019 FILLED 2026-09-18 (interior-gap sweep). This row previously jumped from FY2018 to FY2024 with five blank years between - the classic interior hole, and it was ours, not the Bank's. The sentence it replaces read that the metric was 'confirmed genuinely absent for FY2016/FY2019-FY2023, not omitted by search'. That was a true statement about ONE document - the Annual Report KPI table, which really does drop the 'Statement of Financial Position' KPI section for those years - written down as a statement about the BANK. CSUK published a leverage ratio in every one of those five years, in its own standalone Pillar 3 disclosure, and each figure below is from THAT YEAR'S OWN EDITION (no comparative columns used):
  FY2023 12.09% - 'Pillar 3 Disclosures 2023', KM1 row 14 'Leverage ratio excluding claims on central banks (%)', printed folio 20, and repeated in that edition's Leverage Ratio narrative ('CSUK's leverage ratio increased to 12.09% as at 31 December 2023 from 11.40% as at 31 December 2022')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FY2022 11.40% - 'Pillar 3 Disclosures 2022', KM1 row 14, printed folio 19, and repeated in that edition's narrative ('CSUK's leverage ratio increased to 11.40% as at 31 December 2022 from 9.30% as at 31 December 2021')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FY2021 9.30% - '2021 Pillar 3 Disclosures', 'Leverage Ratio Common Disclosure' table, final row, printed folio 33 ('Leverage Ratio 9.30 %')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FY2020 8.07% - '2020 Pillar 3 Disclosures', 'Leverage Ratio Common Disclosure' table, printed folio 24 ('Leverage Ratio 8.07%'; Tier 1 Capital 295,460 / Total Exposures 3,659,748)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FY2019 8.47% - 'Pillar 3 Disclosures 2019', 'Leverage Ratio Common Disclosure' table, printed folio 22 ('Leverage Ratio 8.47%'; Tier 1 Capital 300,176 / Total Exposures 3,544,752)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CROSS-EDITION RESTATEMENTS, DOCUMENTED AND DELIBERATELY NOT APPLIED. Two of these years are restated by the NEXT edition's narrative comparative, and the own-year figure is kept in both cases per this project's own-edition rule: the 2020 edition says the ratio 'increased to 8.07% as at 31 December 2020 from 7.74% as at 31 December 2019', against the 2019 edition's own 8.47%; and the 2021 edition says it 'increased to 9.30% as at 31 December 2021 from 8.57% as at 31 December 2020', against the 2020 edition's own 8.07%. CSUK never explains either movement. Do not reconcile them.
BASIS BREAK, stated rather than smoothed: FY2019-FY2021 are the CRR / Commission Delegated Act leverage ratio (Tier 1 capital over total exposures) as each of those editions defines it, whereas FY2022 onward are captioned 'excluding claims on central banks' under the UK leverage framework. The two coincide at the FY2021/FY2022 join - the FY2022 edition's own 2021 comparative on the UK-captioned row prints exactly the 9.30% the 2021 edition printed on the CRR row - but that is the Bank's own arithmetic, not an equivalence asserted here.
FY2016 FILLED 2026-09-19: the entity's own 2016 Pillar 3 'Leverage Ratio Common Disclosure' table prints a 6.2% leverage ratio and £2,996.370m total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(LCR) - spot, year-end basis (Annual Report)</t>
        </is>
      </c>
      <c r="B4" s="6" t="inlineStr">
        <is>
          <t>1,154%</t>
        </is>
      </c>
      <c r="C4" s="6" t="inlineStr">
        <is>
          <t>451%</t>
        </is>
      </c>
      <c r="D4" s="6" t="inlineStr">
        <is>
          <t>554.67%</t>
        </is>
      </c>
      <c r="E4" s="6" t="inlineStr">
        <is>
          <t>216.40%</t>
        </is>
      </c>
      <c r="F4" s="6" t="inlineStr">
        <is>
          <t>216%</t>
        </is>
      </c>
      <c r="G4" s="6" t="n"/>
      <c r="H4" s="6" t="n"/>
      <c r="I4" s="6" t="inlineStr">
        <is>
          <t>154%</t>
        </is>
      </c>
    </row>
    <row r="5">
      <c r="A5" s="6" t="inlineStr">
        <is>
          <t>Liquidity Coverage Ratio (LCR) - Pillar 3 basis, 12-month average of month-end observations</t>
        </is>
      </c>
      <c r="B5" s="6" t="inlineStr">
        <is>
          <t>4860.58%</t>
        </is>
      </c>
      <c r="C5" s="6" t="inlineStr">
        <is>
          <t>539.19%</t>
        </is>
      </c>
      <c r="D5" s="6" t="inlineStr">
        <is>
          <t>729.77%</t>
        </is>
      </c>
      <c r="E5" s="6" t="inlineStr">
        <is>
          <t>229.60%</t>
        </is>
      </c>
      <c r="F5" s="6" t="inlineStr">
        <is>
          <t>230%</t>
        </is>
      </c>
      <c r="G5" s="6" t="inlineStr">
        <is>
          <t>300%</t>
        </is>
      </c>
      <c r="H5" s="6" t="inlineStr">
        <is>
          <t>246%</t>
        </is>
      </c>
      <c r="I5" s="6" t="n"/>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TWO ROWS, TWO DIFFERENT MEASURES - read the labels. The Bank publishes an LCR on two bases and says so itself, so they are kept as separate rows and neither is adjusted toward the other. The Pillar 3 2020 edition, printed folio 21, footnotes its own table: 'For the purpose of Pillar 3, the values are calculated as the simple average of the month-end observations over the preceding twelve months. The HQLA and LCR reported as at 31 December 2020 in CSUK Annual Report represents the spot value as of the reporting date.'
ROW 1 (spot, year-end) is the Annual Report basis. FY2021 ADDED 2026-09-18: 216%, stated by CSUK itself in the '2021 Pillar 3 Disclosures', printed folio 29, footnote to the LCR table - 'the HQLA and LCR reported as at 31 December 2021 in CSUK Annual Report represents the spot value of 216% as of the reporting date'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It is a spot figure quoted from the Annual Report by the Bank's own Pillar 3, so it belongs on this row and not the average row. FY2020 and FY2019 have NO published spot LCR anywhere located: the 2020 edition's footnote names the Annual Report's spot value without printing it, the 2019 edition carries no such footnote at all, and those years' KPI tables give only a Liquidity Buffer £ amount. Those two cells stay blank on this row. FY2018's 154% is itself captioned 'Average Liquidity Coverage Ratio' in that year's KPI table - a pre-existing basis inconsistency on this row, flagged here rather than silently corrected. FY2017's own comparative column explicitly states 'n/a'; FY2016 has no KPI table at all.
ROW 2 (Pillar 3, 12-month average) ADDED 2026-09-18. This is the row that fills FY2020 and FY2019, and every figure is the reporting-year column of that year's OWN edition:
  FY2019 246% - 'Pillar 3 Disclosures 2019', LCR table, printed folio 19, 'Quarter ending on 31/12/2019' column (Liquidity Buffer £1,010m / Total Net Cash Outflows £462m)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FY2020 300% - '2020 Pillar 3 Disclosures', LCR table, printed folio 21, 'Quarter ending on 31/12/2020' column (£938m / £365m)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FY2021 230% - '2021 Pillar 3 Disclosures', LCR table, printed folio 29, 'Quarter ending on 31/12/2021' column (£1,085m / £479m), printed as '230 %'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The FY2022 edition's own 2021 KM1 comparative prints this to two decimals as 230.07%; the own-edition figure is used here and the KM1 Key Metrics sheet keeps the comparative's 230.07% on its own row, so the workbook shows both.
  FY2022 229.60% and FY2023 729.77% - KM1 row 17 of the 2022 and 2023 editions, printed folios 19 and 20 -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FY2024 539.19% and FY2025 4860.58% - KM1 row 17 of the 2024 and 2025 editions, as already reproduced on the KM1 Key Metrics sheet (see that sheet's note on FY2025's failure to reconcile with its own rows 15/16 - reproduced as published, not corrected).
WHAT THIS REPLACES: this note used to say FY2019/FY2020/FY2021 were 'confirmed genuinely absent for that year, not omitted by search'. They were absent from the Annual Report KPI table, which is the only document that sentence had actually looked at.</t>
        </is>
      </c>
    </row>
  </sheetData>
  <mergeCells count="1">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3,600%</t>
        </is>
      </c>
      <c r="C4" s="6" t="inlineStr">
        <is>
          <t>167%</t>
        </is>
      </c>
      <c r="D4" s="6" t="inlineStr">
        <is>
          <t>129.25%</t>
        </is>
      </c>
      <c r="E4" s="6" t="inlineStr">
        <is>
          <t>131.72%</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CSUK FY2025 Pillar 3 Disclosures (full text searched 2026-09-19) contain no MREL figure or reference; Companies House accounts none either</t>
        </is>
      </c>
      <c r="C4" s="6" t="inlineStr">
        <is>
          <t>Not published – CSUK FY2024 Pillar 3 Disclosures (full text searched 2026-09-19) contain no MREL figure or reference; Companies House accounts none either</t>
        </is>
      </c>
      <c r="D4" s="6" t="inlineStr">
        <is>
          <t>Not published – CSUK FY2023 Pillar 3 Disclosures (full text searched 2026-09-19) contain no MREL figure or reference; Companies House accounts none either</t>
        </is>
      </c>
      <c r="E4" s="6" t="inlineStr">
        <is>
          <t>Not published – CSUK FY2022 Pillar 3 Disclosures (full text searched 2026-09-19) contain no MREL figure or reference; Companies House accounts none either</t>
        </is>
      </c>
      <c r="F4" s="6" t="inlineStr">
        <is>
          <t>Not published – CSUK FY2021 Pillar 3 Disclosures (full text searched 2026-09-19) contain no MREL figure or reference; Companies House accounts none either</t>
        </is>
      </c>
      <c r="G4" s="6" t="inlineStr">
        <is>
          <t>Not published – CSUK FY2020 Pillar 3 Disclosures (full text searched 2026-09-19) contain no MREL figure or reference; Companies House accounts none either</t>
        </is>
      </c>
      <c r="H4" s="6" t="inlineStr">
        <is>
          <t>Not published – CSUK FY2019 Pillar 3 Disclosures (full text searched 2026-09-19) contain no MREL figure or reference; Companies House accounts none either</t>
        </is>
      </c>
      <c r="I4" s="6" t="inlineStr">
        <is>
          <t>Not published – CSUK FY2018 Pillar 3 Disclosures (full text searched 2026-09-19) contain no MREL figure or reference; Companies House accounts none either</t>
        </is>
      </c>
      <c r="J4" s="6" t="inlineStr">
        <is>
          <t>Not published – CSUK FY2017 Pillar 3 Disclosures (full text searched 2026-09-19) contain no MREL figure or reference; Companies House accounts none either</t>
        </is>
      </c>
      <c r="K4" s="6" t="inlineStr">
        <is>
          <t>Not published – CSUK FY2016 Pillar 3 Disclosures (full text searched 2026-09-19) contain no MREL figure or reference; Companies House accounts none either</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PDF p.5), RWA £888.838m (PDF p.6), and leverage ratio 6.2% with £2,996.370m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2026-09-19T22:25:49Z</dcterms:created>
  <dcterms:modified xsi:type="dcterms:W3CDTF">2026-09-19T22:25:49Z</dcterms:modified>
</cp:coreProperties>
</file>