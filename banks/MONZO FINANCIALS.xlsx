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B8322A"/>
        <bgColor rgb="00B8322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Monzo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Monzo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Monzo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'Overview'!AK19</f>
            </strRef>
          </tx>
          <spPr>
            <a:ln xmlns:a="http://schemas.openxmlformats.org/drawingml/2006/main">
              <a:prstDash val="solid"/>
            </a:ln>
          </spPr>
          <cat>
            <numRef>
              <f>'Overview'!$AL$18:$AT$18</f>
            </numRef>
          </cat>
          <val>
            <numRef>
              <f>'Overview'!$AL$19:$AT$19</f>
            </numRef>
          </val>
        </ser>
        <ser>
          <idx val="1"/>
          <order val="1"/>
          <tx>
            <strRef>
              <f>'Overview'!AK20</f>
            </strRef>
          </tx>
          <spPr>
            <a:ln xmlns:a="http://schemas.openxmlformats.org/drawingml/2006/main">
              <a:prstDash val="solid"/>
            </a:ln>
          </spPr>
          <cat>
            <numRef>
              <f>'Overview'!$AL$18:$AT$18</f>
            </numRef>
          </cat>
          <val>
            <numRef>
              <f>'Overview'!$AL$20:$AT$20</f>
            </numRef>
          </val>
        </ser>
        <ser>
          <idx val="2"/>
          <order val="2"/>
          <tx>
            <strRef>
              <f>'Overview'!AK21</f>
            </strRef>
          </tx>
          <spPr>
            <a:ln xmlns:a="http://schemas.openxmlformats.org/drawingml/2006/main">
              <a:prstDash val="solid"/>
            </a:ln>
          </spPr>
          <cat>
            <numRef>
              <f>'Overview'!$AL$18:$AT$18</f>
            </numRef>
          </cat>
          <val>
            <numRef>
              <f>'Overview'!$AL$21:$AT$21</f>
            </numRef>
          </val>
        </ser>
        <ser>
          <idx val="3"/>
          <order val="3"/>
          <tx>
            <strRef>
              <f>'Overview'!AK22</f>
            </strRef>
          </tx>
          <spPr>
            <a:ln xmlns:a="http://schemas.openxmlformats.org/drawingml/2006/main">
              <a:prstDash val="solid"/>
            </a:ln>
          </spPr>
          <cat>
            <numRef>
              <f>'Overview'!$AL$18:$AT$18</f>
            </numRef>
          </cat>
          <val>
            <numRef>
              <f>'Overview'!$AL$22:$AT$22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Monzo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'Overview'!AW26</f>
            </strRef>
          </tx>
          <spPr>
            <a:ln xmlns:a="http://schemas.openxmlformats.org/drawingml/2006/main">
              <a:prstDash val="solid"/>
            </a:ln>
          </spPr>
          <cat>
            <numRef>
              <f>'Overview'!$AX$25:$BF$25</f>
            </numRef>
          </cat>
          <val>
            <numRef>
              <f>'Overview'!$AX$26:$BF$26</f>
            </numRef>
          </val>
        </ser>
        <ser>
          <idx val="1"/>
          <order val="1"/>
          <tx>
            <strRef>
              <f>'Overview'!AW27</f>
            </strRef>
          </tx>
          <spPr>
            <a:ln xmlns:a="http://schemas.openxmlformats.org/drawingml/2006/main">
              <a:prstDash val="solid"/>
            </a:ln>
          </spPr>
          <cat>
            <numRef>
              <f>'Overview'!$AX$25:$BF$25</f>
            </numRef>
          </cat>
          <val>
            <numRef>
              <f>'Overview'!$AX$27:$BF$27</f>
            </numRef>
          </val>
        </ser>
        <ser>
          <idx val="2"/>
          <order val="2"/>
          <tx>
            <strRef>
              <f>'Overview'!AW28</f>
            </strRef>
          </tx>
          <spPr>
            <a:ln xmlns:a="http://schemas.openxmlformats.org/drawingml/2006/main">
              <a:prstDash val="solid"/>
            </a:ln>
          </spPr>
          <cat>
            <numRef>
              <f>'Overview'!$AX$25:$BF$25</f>
            </numRef>
          </cat>
          <val>
            <numRef>
              <f>'Overview'!$AX$28:$BF$28</f>
            </numRef>
          </val>
        </ser>
        <ser>
          <idx val="3"/>
          <order val="3"/>
          <tx>
            <strRef>
              <f>'Overview'!AW29</f>
            </strRef>
          </tx>
          <spPr>
            <a:ln xmlns:a="http://schemas.openxmlformats.org/drawingml/2006/main">
              <a:prstDash val="solid"/>
            </a:ln>
          </spPr>
          <cat>
            <numRef>
              <f>'Overview'!$AX$25:$BF$25</f>
            </numRef>
          </cat>
          <val>
            <numRef>
              <f>'Overview'!$AX$29:$BF$29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Monzo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'Overview'!$BJ$6:$BR$6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'Overview'!$BJ$7:$BR$7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'Overview'!$BJ$8:$BR$8</f>
            </numRef>
          </val>
          <smooth val="0"/>
        </ser>
        <ser>
          <idx val="3"/>
          <order val="3"/>
          <tx>
            <strRef>
              <f>'Overview'!BI9</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'Overview'!$BJ$9:$BR$9</f>
            </numRef>
          </val>
          <smooth val="0"/>
        </ser>
        <ser>
          <idx val="4"/>
          <order val="4"/>
          <tx>
            <strRef>
              <f>'Overview'!BI10</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'Overview'!$BJ$10:$BR$10</f>
            </numRef>
          </val>
          <smooth val="0"/>
        </ser>
        <ser>
          <idx val="5"/>
          <order val="5"/>
          <tx>
            <strRef>
              <f>'Overview'!BI11</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'Overview'!$BJ$11:$BR$11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s>
  <sheetData>
    <row r="1">
      <c r="A1" s="1" t="inlineStr">
        <is>
          <t>Monzo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 (MBHG)</t>
        </is>
      </c>
      <c r="C5" s="4" t="inlineStr">
        <is>
          <t>FY2025 (MBHG)</t>
        </is>
      </c>
      <c r="D5" s="4" t="inlineStr">
        <is>
          <t>FY2024 (MBHG)*</t>
        </is>
      </c>
      <c r="E5" s="4" t="inlineStr">
        <is>
          <t>FY2023 (MBL)</t>
        </is>
      </c>
      <c r="F5" s="4" t="inlineStr">
        <is>
          <t>FY2022 (MBL)</t>
        </is>
      </c>
      <c r="G5" s="4" t="inlineStr">
        <is>
          <t>FY2021 (MBL)</t>
        </is>
      </c>
      <c r="H5" s="4" t="inlineStr">
        <is>
          <t>FY2020 (MBL)</t>
        </is>
      </c>
      <c r="I5" s="4" t="inlineStr">
        <is>
          <t>FY2019 (MBL)</t>
        </is>
      </c>
      <c r="J5" s="4" t="inlineStr">
        <is>
          <t>FY2018 (MBL)</t>
        </is>
      </c>
      <c r="N5" t="inlineStr">
        <is>
          <t>FY2018 (MBL)</t>
        </is>
      </c>
      <c r="O5" t="inlineStr">
        <is>
          <t>FY2019 (MBL)</t>
        </is>
      </c>
      <c r="P5" t="inlineStr">
        <is>
          <t>FY2020 (MBL)</t>
        </is>
      </c>
      <c r="Q5" t="inlineStr">
        <is>
          <t>FY2021 (MBL)</t>
        </is>
      </c>
      <c r="R5" t="inlineStr">
        <is>
          <t>FY2022 (MBL)</t>
        </is>
      </c>
      <c r="S5" t="inlineStr">
        <is>
          <t>FY2023 (MBL)</t>
        </is>
      </c>
      <c r="T5" t="inlineStr">
        <is>
          <t>FY2024 (MBHG)*</t>
        </is>
      </c>
      <c r="U5" t="inlineStr">
        <is>
          <t>FY2025 (MBHG)</t>
        </is>
      </c>
      <c r="V5" t="inlineStr">
        <is>
          <t>FY2026 (MBHG)</t>
        </is>
      </c>
      <c r="BJ5" t="inlineStr">
        <is>
          <t>FY2018 (MBL)</t>
        </is>
      </c>
      <c r="BK5" t="inlineStr">
        <is>
          <t>FY2019 (MBL)</t>
        </is>
      </c>
      <c r="BL5" t="inlineStr">
        <is>
          <t>FY2020 (MBL)</t>
        </is>
      </c>
      <c r="BM5" t="inlineStr">
        <is>
          <t>FY2021 (MBL)</t>
        </is>
      </c>
      <c r="BN5" t="inlineStr">
        <is>
          <t>FY2022 (MBL)</t>
        </is>
      </c>
      <c r="BO5" t="inlineStr">
        <is>
          <t>FY2023 (MBL)</t>
        </is>
      </c>
      <c r="BP5" t="inlineStr">
        <is>
          <t>FY2024 (MBHG)*</t>
        </is>
      </c>
      <c r="BQ5" t="inlineStr">
        <is>
          <t>FY2025 (MBHG)</t>
        </is>
      </c>
      <c r="BR5" t="inlineStr">
        <is>
          <t>FY2026 (MBHG)</t>
        </is>
      </c>
    </row>
    <row r="6">
      <c r="A6" s="5" t="inlineStr">
        <is>
          <t>Total assets</t>
        </is>
      </c>
      <c r="B6" s="5" t="n">
        <v>27605710</v>
      </c>
      <c r="C6" s="5" t="n">
        <v>18263851</v>
      </c>
      <c r="D6" s="5" t="n">
        <v>12965813</v>
      </c>
      <c r="E6" s="5" t="n">
        <v>6687776</v>
      </c>
      <c r="F6" s="5" t="n">
        <v>5218429</v>
      </c>
      <c r="G6" s="5" t="n">
        <v>3629707</v>
      </c>
      <c r="H6" s="5" t="n">
        <v>1721408</v>
      </c>
      <c r="I6" s="5" t="n">
        <v>614390</v>
      </c>
      <c r="J6" s="5" t="n">
        <v>139820</v>
      </c>
      <c r="M6" t="inlineStr">
        <is>
          <t>Total assets</t>
        </is>
      </c>
      <c r="N6" t="n">
        <v>139820</v>
      </c>
      <c r="O6" t="n">
        <v>614390</v>
      </c>
      <c r="P6" t="n">
        <v>1721408</v>
      </c>
      <c r="Q6" t="n">
        <v>3629707</v>
      </c>
      <c r="R6" t="n">
        <v>5218429</v>
      </c>
      <c r="S6" t="n">
        <v>6687776</v>
      </c>
      <c r="T6" t="n">
        <v>12965813</v>
      </c>
      <c r="U6" t="n">
        <v>18263851</v>
      </c>
      <c r="V6" t="n">
        <v>27605710</v>
      </c>
      <c r="BI6" t="inlineStr">
        <is>
          <t>CET1 Ratio</t>
        </is>
      </c>
      <c r="BJ6" t="n">
        <v>196</v>
      </c>
      <c r="BK6" t="n">
        <v>126</v>
      </c>
      <c r="BL6" t="n">
        <v>70</v>
      </c>
      <c r="BM6" t="n">
        <v>99</v>
      </c>
      <c r="BN6" t="n">
        <v>155.1</v>
      </c>
      <c r="BO6" t="n">
        <v>54.4</v>
      </c>
      <c r="BP6" t="n">
        <v>54.94</v>
      </c>
      <c r="BQ6" t="n">
        <v>55.92</v>
      </c>
      <c r="BR6" t="n">
        <v>33.45</v>
      </c>
    </row>
    <row r="7">
      <c r="A7" s="5" t="inlineStr">
        <is>
          <t>Loans and advances to customers</t>
        </is>
      </c>
      <c r="B7" s="5" t="n">
        <v>2311925</v>
      </c>
      <c r="C7" s="5" t="n">
        <v>1602470</v>
      </c>
      <c r="D7" s="5" t="n">
        <v>1190215</v>
      </c>
      <c r="E7" s="5" t="n">
        <v>653733</v>
      </c>
      <c r="F7" s="5" t="n">
        <v>235083</v>
      </c>
      <c r="G7" s="5" t="n">
        <v>87147</v>
      </c>
      <c r="H7" s="5" t="n">
        <v>123913</v>
      </c>
      <c r="I7" s="5" t="n">
        <v>16054</v>
      </c>
      <c r="J7" s="5" t="n">
        <v>160</v>
      </c>
      <c r="M7" t="inlineStr">
        <is>
          <t>Loans and advances to customers</t>
        </is>
      </c>
      <c r="N7" t="n">
        <v>160</v>
      </c>
      <c r="O7" t="n">
        <v>16054</v>
      </c>
      <c r="P7" t="n">
        <v>123913</v>
      </c>
      <c r="Q7" t="n">
        <v>87147</v>
      </c>
      <c r="R7" t="n">
        <v>235083</v>
      </c>
      <c r="S7" t="n">
        <v>653733</v>
      </c>
      <c r="T7" t="n">
        <v>1190215</v>
      </c>
      <c r="U7" t="n">
        <v>1602470</v>
      </c>
      <c r="V7" t="n">
        <v>2311925</v>
      </c>
      <c r="BI7" t="inlineStr">
        <is>
          <t>Tier 1 Ratio</t>
        </is>
      </c>
      <c r="BJ7" t="n">
        <v>196</v>
      </c>
      <c r="BK7" t="n">
        <v>126</v>
      </c>
      <c r="BL7" t="n">
        <v>70</v>
      </c>
      <c r="BM7" t="n">
        <v>99</v>
      </c>
      <c r="BN7" t="n">
        <v>155.1</v>
      </c>
      <c r="BO7" t="n">
        <v>54.4</v>
      </c>
      <c r="BP7" t="n">
        <v>54.94</v>
      </c>
      <c r="BQ7" t="n">
        <v>55.92</v>
      </c>
      <c r="BR7" t="n">
        <v>33.45</v>
      </c>
    </row>
    <row r="8">
      <c r="A8" s="5" t="inlineStr">
        <is>
          <t>Customer deposits</t>
        </is>
      </c>
      <c r="B8" s="5" t="n">
        <v>25715953</v>
      </c>
      <c r="C8" s="5" t="n">
        <v>16599371</v>
      </c>
      <c r="D8" s="5" t="n">
        <v>11197622</v>
      </c>
      <c r="E8" s="5" t="n">
        <v>5945947</v>
      </c>
      <c r="F8" s="5" t="n">
        <v>4440650</v>
      </c>
      <c r="G8" s="5" t="n">
        <v>3124046</v>
      </c>
      <c r="H8" s="5" t="n">
        <v>1392517</v>
      </c>
      <c r="I8" s="5" t="n">
        <v>461821</v>
      </c>
      <c r="J8" s="5" t="n">
        <v>71276</v>
      </c>
      <c r="M8" t="inlineStr">
        <is>
          <t>Customer deposits</t>
        </is>
      </c>
      <c r="N8" t="n">
        <v>71276</v>
      </c>
      <c r="O8" t="n">
        <v>461821</v>
      </c>
      <c r="P8" t="n">
        <v>1392517</v>
      </c>
      <c r="Q8" t="n">
        <v>3124046</v>
      </c>
      <c r="R8" t="n">
        <v>4440650</v>
      </c>
      <c r="S8" t="n">
        <v>5945947</v>
      </c>
      <c r="T8" t="n">
        <v>11197622</v>
      </c>
      <c r="U8" t="n">
        <v>16599371</v>
      </c>
      <c r="V8" t="n">
        <v>25715953</v>
      </c>
      <c r="BI8" t="inlineStr">
        <is>
          <t>Total Capital Ratio</t>
        </is>
      </c>
      <c r="BJ8" t="n">
        <v>196</v>
      </c>
      <c r="BK8" t="n">
        <v>104</v>
      </c>
      <c r="BL8" t="n">
        <v>70</v>
      </c>
      <c r="BM8" t="n">
        <v>99</v>
      </c>
      <c r="BN8" t="n">
        <v>159.1</v>
      </c>
      <c r="BO8" t="n">
        <v>55.91</v>
      </c>
      <c r="BP8" t="n">
        <v>55.87</v>
      </c>
      <c r="BQ8" t="n">
        <v>56.67</v>
      </c>
      <c r="BR8" t="n">
        <v>33.86</v>
      </c>
    </row>
    <row r="9">
      <c r="A9" s="5" t="inlineStr">
        <is>
          <t>Total equity</t>
        </is>
      </c>
      <c r="B9" s="5" t="n">
        <v>1283565</v>
      </c>
      <c r="C9" s="5" t="n">
        <v>1212943</v>
      </c>
      <c r="D9" s="5" t="n">
        <v>862145</v>
      </c>
      <c r="E9" s="5" t="n">
        <v>475650</v>
      </c>
      <c r="F9" s="5" t="n">
        <v>562268</v>
      </c>
      <c r="G9" s="5" t="n">
        <v>221894</v>
      </c>
      <c r="H9" s="5" t="n">
        <v>129004</v>
      </c>
      <c r="I9" s="5" t="n">
        <v>115670</v>
      </c>
      <c r="J9" s="5" t="n">
        <v>56179</v>
      </c>
      <c r="M9" t="inlineStr">
        <is>
          <t>Total equity</t>
        </is>
      </c>
      <c r="N9" t="n">
        <v>56179</v>
      </c>
      <c r="O9" t="n">
        <v>115670</v>
      </c>
      <c r="P9" t="n">
        <v>129004</v>
      </c>
      <c r="Q9" t="n">
        <v>221894</v>
      </c>
      <c r="R9" t="n">
        <v>562268</v>
      </c>
      <c r="S9" t="n">
        <v>475650</v>
      </c>
      <c r="T9" t="n">
        <v>862145</v>
      </c>
      <c r="U9" t="n">
        <v>1212943</v>
      </c>
      <c r="V9" t="n">
        <v>1283565</v>
      </c>
      <c r="BI9" t="inlineStr">
        <is>
          <t>Leverage Ratio</t>
        </is>
      </c>
      <c r="BL9" t="n">
        <v>8.1</v>
      </c>
      <c r="BM9" t="n">
        <v>29.3</v>
      </c>
      <c r="BN9" t="n">
        <v>25.7</v>
      </c>
      <c r="BO9" t="n">
        <v>14.15</v>
      </c>
      <c r="BP9" t="n">
        <v>16</v>
      </c>
      <c r="BQ9" t="n">
        <v>15.53</v>
      </c>
      <c r="BR9" t="n">
        <v>10.33</v>
      </c>
    </row>
    <row r="10">
      <c r="BI10" t="inlineStr">
        <is>
          <t>LCR</t>
        </is>
      </c>
      <c r="BJ10" t="n">
        <v>2402</v>
      </c>
      <c r="BK10" t="n">
        <v>663</v>
      </c>
      <c r="BL10" t="n">
        <v>771</v>
      </c>
      <c r="BM10" t="n">
        <v>904</v>
      </c>
      <c r="BN10" t="n">
        <v>1072.4</v>
      </c>
      <c r="BO10" t="n">
        <v>760.4</v>
      </c>
      <c r="BP10" t="n">
        <v>724.51</v>
      </c>
      <c r="BQ10" t="n">
        <v>1178.76</v>
      </c>
      <c r="BR10" t="n">
        <v>1209.79</v>
      </c>
    </row>
    <row r="11">
      <c r="A11" s="3" t="inlineStr">
        <is>
          <t>Profit &amp; Loss Summary (£'000)</t>
        </is>
      </c>
      <c r="BI11" t="inlineStr">
        <is>
          <t>NSFR</t>
        </is>
      </c>
      <c r="BN11" t="n">
        <v>1057.8</v>
      </c>
      <c r="BO11" t="n">
        <v>724.4</v>
      </c>
      <c r="BP11" t="n">
        <v>680.8099999999999</v>
      </c>
      <c r="BQ11" t="n">
        <v>843.98</v>
      </c>
      <c r="BR11" t="n">
        <v>752.75</v>
      </c>
    </row>
    <row r="12">
      <c r="A12" s="4" t="inlineStr">
        <is>
          <t>Line item</t>
        </is>
      </c>
      <c r="B12" s="4" t="inlineStr">
        <is>
          <t>FY2026 (MBHG)</t>
        </is>
      </c>
      <c r="C12" s="4" t="inlineStr">
        <is>
          <t>FY2025 (MBHG)</t>
        </is>
      </c>
      <c r="D12" s="4" t="inlineStr">
        <is>
          <t>FY2024 (MBHG)*</t>
        </is>
      </c>
      <c r="E12" s="4" t="inlineStr">
        <is>
          <t>FY2023 (MBL)</t>
        </is>
      </c>
      <c r="F12" s="4" t="inlineStr">
        <is>
          <t>FY2022 (MBL)</t>
        </is>
      </c>
      <c r="G12" s="4" t="inlineStr">
        <is>
          <t>FY2021 (MBL)</t>
        </is>
      </c>
      <c r="H12" s="4" t="inlineStr">
        <is>
          <t>FY2020 (MBL)</t>
        </is>
      </c>
      <c r="I12" s="4" t="inlineStr">
        <is>
          <t>FY2019 (MBL)</t>
        </is>
      </c>
      <c r="J12" s="4" t="inlineStr">
        <is>
          <t>FY2018 (MBL)</t>
        </is>
      </c>
      <c r="Z12" t="inlineStr">
        <is>
          <t>FY2018 (MBL)</t>
        </is>
      </c>
      <c r="AA12" t="inlineStr">
        <is>
          <t>FY2019 (MBL)</t>
        </is>
      </c>
      <c r="AB12" t="inlineStr">
        <is>
          <t>FY2020 (MBL)</t>
        </is>
      </c>
      <c r="AC12" t="inlineStr">
        <is>
          <t>FY2021 (MBL)</t>
        </is>
      </c>
      <c r="AD12" t="inlineStr">
        <is>
          <t>FY2022 (MBL)</t>
        </is>
      </c>
      <c r="AE12" t="inlineStr">
        <is>
          <t>FY2023 (MBL)</t>
        </is>
      </c>
      <c r="AF12" t="inlineStr">
        <is>
          <t>FY2024 (MBHG)*</t>
        </is>
      </c>
      <c r="AG12" t="inlineStr">
        <is>
          <t>FY2025 (MBHG)</t>
        </is>
      </c>
      <c r="AH12" t="inlineStr">
        <is>
          <t>FY2026 (MBHG)</t>
        </is>
      </c>
    </row>
    <row r="13">
      <c r="A13" s="5" t="inlineStr">
        <is>
          <t>Revenue / Net operating income</t>
        </is>
      </c>
      <c r="B13" s="5" t="n">
        <v>1012813</v>
      </c>
      <c r="C13" s="5" t="n">
        <v>747927</v>
      </c>
      <c r="D13" s="5" t="n">
        <v>514391</v>
      </c>
      <c r="E13" s="5" t="n">
        <v>214509</v>
      </c>
      <c r="F13" s="5" t="n">
        <v>114019</v>
      </c>
      <c r="G13" s="5" t="n">
        <v>62841</v>
      </c>
      <c r="H13" s="5" t="n">
        <v>35658</v>
      </c>
      <c r="I13" s="5" t="n">
        <v>9158</v>
      </c>
      <c r="J13" s="5" t="n">
        <v>1814</v>
      </c>
      <c r="Y13" t="inlineStr">
        <is>
          <t>Revenue / Net operating income</t>
        </is>
      </c>
      <c r="Z13" t="n">
        <v>1814</v>
      </c>
      <c r="AA13" t="n">
        <v>9158</v>
      </c>
      <c r="AB13" t="n">
        <v>35658</v>
      </c>
      <c r="AC13" t="n">
        <v>62841</v>
      </c>
      <c r="AD13" t="n">
        <v>114019</v>
      </c>
      <c r="AE13" t="n">
        <v>214509</v>
      </c>
      <c r="AF13" t="n">
        <v>514391</v>
      </c>
      <c r="AG13" t="n">
        <v>747927</v>
      </c>
      <c r="AH13" t="n">
        <v>1012813</v>
      </c>
    </row>
    <row r="14">
      <c r="A14" s="5" t="inlineStr">
        <is>
          <t>Total operating expense</t>
        </is>
      </c>
      <c r="B14" s="5" t="n">
        <v>-925525</v>
      </c>
      <c r="C14" s="5" t="n">
        <v>-687449</v>
      </c>
      <c r="D14" s="5" t="n">
        <v>-498993</v>
      </c>
      <c r="E14" s="5" t="n">
        <v>-330268</v>
      </c>
      <c r="F14" s="5" t="n">
        <v>-232867</v>
      </c>
      <c r="G14" s="5" t="n">
        <v>-194256</v>
      </c>
      <c r="H14" s="5" t="n">
        <v>-151068</v>
      </c>
      <c r="I14" s="5" t="n">
        <v>-59874</v>
      </c>
      <c r="J14" s="5" t="n">
        <v>-34890</v>
      </c>
      <c r="Y14" t="inlineStr">
        <is>
          <t>Total operating expense</t>
        </is>
      </c>
      <c r="Z14" t="n">
        <v>-34890</v>
      </c>
      <c r="AA14" t="n">
        <v>-59874</v>
      </c>
      <c r="AB14" t="n">
        <v>-151068</v>
      </c>
      <c r="AC14" t="n">
        <v>-194256</v>
      </c>
      <c r="AD14" t="n">
        <v>-232867</v>
      </c>
      <c r="AE14" t="n">
        <v>-330268</v>
      </c>
      <c r="AF14" t="n">
        <v>-498993</v>
      </c>
      <c r="AG14" t="n">
        <v>-687449</v>
      </c>
      <c r="AH14" t="n">
        <v>-925525</v>
      </c>
    </row>
    <row r="15">
      <c r="A15" s="5" t="inlineStr">
        <is>
          <t>Profit/(Loss) for the year</t>
        </is>
      </c>
      <c r="B15" s="5" t="n">
        <v>86330</v>
      </c>
      <c r="C15" s="5" t="n">
        <v>94568</v>
      </c>
      <c r="D15" s="5" t="n">
        <v>8709</v>
      </c>
      <c r="E15" s="5" t="n">
        <v>-116341</v>
      </c>
      <c r="F15" s="5" t="n">
        <v>-119020</v>
      </c>
      <c r="G15" s="5" t="n">
        <v>-131077</v>
      </c>
      <c r="H15" s="5" t="n">
        <v>-113816</v>
      </c>
      <c r="I15" s="5" t="n">
        <v>-47164</v>
      </c>
      <c r="J15" s="5" t="n">
        <v>-30546</v>
      </c>
      <c r="Y15" t="inlineStr">
        <is>
          <t>Profit/(Loss) for the year</t>
        </is>
      </c>
      <c r="Z15" t="n">
        <v>-30546</v>
      </c>
      <c r="AA15" t="n">
        <v>-47164</v>
      </c>
      <c r="AB15" t="n">
        <v>-113816</v>
      </c>
      <c r="AC15" t="n">
        <v>-131077</v>
      </c>
      <c r="AD15" t="n">
        <v>-119020</v>
      </c>
      <c r="AE15" t="n">
        <v>-116341</v>
      </c>
      <c r="AF15" t="n">
        <v>8709</v>
      </c>
      <c r="AG15" t="n">
        <v>94568</v>
      </c>
      <c r="AH15" t="n">
        <v>86330</v>
      </c>
    </row>
    <row r="17">
      <c r="A17" s="3" t="inlineStr">
        <is>
          <t>Statement of Changes in Equity Summary (£'000)</t>
        </is>
      </c>
    </row>
    <row r="18">
      <c r="A18" s="4" t="inlineStr">
        <is>
          <t>Line item</t>
        </is>
      </c>
      <c r="B18" s="4" t="inlineStr">
        <is>
          <t>FY2026 (MBHG)</t>
        </is>
      </c>
      <c r="C18" s="4" t="inlineStr">
        <is>
          <t>FY2025 (MBHG)</t>
        </is>
      </c>
      <c r="D18" s="4" t="inlineStr">
        <is>
          <t>FY2024 (MBHG)*</t>
        </is>
      </c>
      <c r="E18" s="4" t="inlineStr">
        <is>
          <t>FY2023 (MBL)</t>
        </is>
      </c>
      <c r="F18" s="4" t="inlineStr">
        <is>
          <t>FY2022 (MBL)</t>
        </is>
      </c>
      <c r="G18" s="4" t="inlineStr">
        <is>
          <t>FY2021 (MBL)</t>
        </is>
      </c>
      <c r="H18" s="4" t="inlineStr">
        <is>
          <t>FY2020 (MBL)</t>
        </is>
      </c>
      <c r="I18" s="4" t="inlineStr">
        <is>
          <t>FY2019 (MBL)</t>
        </is>
      </c>
      <c r="J18" s="4" t="inlineStr">
        <is>
          <t>FY2018 (MBL)</t>
        </is>
      </c>
      <c r="AL18" t="inlineStr">
        <is>
          <t>FY2018 (MBL)</t>
        </is>
      </c>
      <c r="AM18" t="inlineStr">
        <is>
          <t>FY2019 (MBL)</t>
        </is>
      </c>
      <c r="AN18" t="inlineStr">
        <is>
          <t>FY2020 (MBL)</t>
        </is>
      </c>
      <c r="AO18" t="inlineStr">
        <is>
          <t>FY2021 (MBL)</t>
        </is>
      </c>
      <c r="AP18" t="inlineStr">
        <is>
          <t>FY2022 (MBL)</t>
        </is>
      </c>
      <c r="AQ18" t="inlineStr">
        <is>
          <t>FY2023 (MBL)</t>
        </is>
      </c>
      <c r="AR18" t="inlineStr">
        <is>
          <t>FY2024 (MBHG)*</t>
        </is>
      </c>
      <c r="AS18" t="inlineStr">
        <is>
          <t>FY2025 (MBHG)</t>
        </is>
      </c>
      <c r="AT18" t="inlineStr">
        <is>
          <t>FY2026 (MBHG)</t>
        </is>
      </c>
    </row>
    <row r="19">
      <c r="A19" s="5" t="inlineStr">
        <is>
          <t>Opening equity</t>
        </is>
      </c>
      <c r="B19" s="5" t="n">
        <v>1212943</v>
      </c>
      <c r="C19" s="5" t="n">
        <v>862145</v>
      </c>
      <c r="D19" s="5" t="n">
        <v>475650</v>
      </c>
      <c r="E19" s="5" t="n">
        <v>562268</v>
      </c>
      <c r="F19" s="5" t="n">
        <v>221894</v>
      </c>
      <c r="G19" s="5" t="n">
        <v>129004</v>
      </c>
      <c r="H19" s="5" t="n">
        <v>115670</v>
      </c>
      <c r="I19" s="5" t="n">
        <v>56179</v>
      </c>
      <c r="J19" s="5" t="n"/>
      <c r="AK19" t="inlineStr">
        <is>
          <t>Opening equity</t>
        </is>
      </c>
      <c r="AM19" t="n">
        <v>56179</v>
      </c>
      <c r="AN19" t="n">
        <v>115670</v>
      </c>
      <c r="AO19" t="n">
        <v>129004</v>
      </c>
      <c r="AP19" t="n">
        <v>221894</v>
      </c>
      <c r="AQ19" t="n">
        <v>562268</v>
      </c>
      <c r="AR19" t="n">
        <v>475650</v>
      </c>
      <c r="AS19" t="n">
        <v>862145</v>
      </c>
      <c r="AT19" t="n">
        <v>1212943</v>
      </c>
    </row>
    <row r="20">
      <c r="A20" s="5" t="inlineStr">
        <is>
          <t>Total comprehensive income/(loss) for the year</t>
        </is>
      </c>
      <c r="B20" s="5" t="n">
        <v>8891</v>
      </c>
      <c r="C20" s="5" t="n">
        <v>98907</v>
      </c>
      <c r="D20" s="5" t="n">
        <v>9394</v>
      </c>
      <c r="E20" s="5" t="n">
        <v>-116015</v>
      </c>
      <c r="F20" s="5" t="n">
        <v>-119021</v>
      </c>
      <c r="G20" s="5" t="n">
        <v>-131208</v>
      </c>
      <c r="H20" s="5" t="n">
        <v>-113816</v>
      </c>
      <c r="I20" s="5" t="n">
        <v>-47164</v>
      </c>
      <c r="J20" s="5" t="n">
        <v>-30546</v>
      </c>
      <c r="AK20" t="inlineStr">
        <is>
          <t>Total comprehensive income/(loss) for the year</t>
        </is>
      </c>
      <c r="AL20" t="n">
        <v>-30546</v>
      </c>
      <c r="AM20" t="n">
        <v>-47164</v>
      </c>
      <c r="AN20" t="n">
        <v>-113816</v>
      </c>
      <c r="AO20" t="n">
        <v>-131208</v>
      </c>
      <c r="AP20" t="n">
        <v>-119021</v>
      </c>
      <c r="AQ20" t="n">
        <v>-116015</v>
      </c>
      <c r="AR20" t="n">
        <v>9394</v>
      </c>
      <c r="AS20" t="n">
        <v>98907</v>
      </c>
      <c r="AT20" t="n">
        <v>8891</v>
      </c>
    </row>
    <row r="21">
      <c r="A21" s="5" t="inlineStr">
        <is>
          <t>Other equity movements, net</t>
        </is>
      </c>
      <c r="B21" s="5" t="n">
        <v>61731</v>
      </c>
      <c r="C21" s="5" t="n">
        <v>251891</v>
      </c>
      <c r="D21" s="5" t="n">
        <v>377101</v>
      </c>
      <c r="E21" s="5" t="n">
        <v>29397</v>
      </c>
      <c r="F21" s="5" t="n">
        <v>459395</v>
      </c>
      <c r="G21" s="5" t="n">
        <v>224098</v>
      </c>
      <c r="H21" s="5" t="n">
        <v>127150</v>
      </c>
      <c r="I21" s="5" t="n">
        <v>106655</v>
      </c>
      <c r="J21" s="5" t="n">
        <v>68327</v>
      </c>
      <c r="AK21" t="inlineStr">
        <is>
          <t>Other equity movements, net</t>
        </is>
      </c>
      <c r="AL21" t="n">
        <v>68327</v>
      </c>
      <c r="AM21" t="n">
        <v>106655</v>
      </c>
      <c r="AN21" t="n">
        <v>127150</v>
      </c>
      <c r="AO21" t="n">
        <v>224098</v>
      </c>
      <c r="AP21" t="n">
        <v>459395</v>
      </c>
      <c r="AQ21" t="n">
        <v>29397</v>
      </c>
      <c r="AR21" t="n">
        <v>377101</v>
      </c>
      <c r="AS21" t="n">
        <v>251891</v>
      </c>
      <c r="AT21" t="n">
        <v>61731</v>
      </c>
    </row>
    <row r="22">
      <c r="A22" s="5" t="inlineStr">
        <is>
          <t>Closing equity</t>
        </is>
      </c>
      <c r="B22" s="5" t="n">
        <v>1283565</v>
      </c>
      <c r="C22" s="5" t="n">
        <v>1212943</v>
      </c>
      <c r="D22" s="5" t="n">
        <v>862145</v>
      </c>
      <c r="E22" s="5" t="n">
        <v>475650</v>
      </c>
      <c r="F22" s="5" t="n">
        <v>562268</v>
      </c>
      <c r="G22" s="5" t="n">
        <v>221894</v>
      </c>
      <c r="H22" s="5" t="n">
        <v>129004</v>
      </c>
      <c r="I22" s="5" t="n">
        <v>115670</v>
      </c>
      <c r="J22" s="5" t="n">
        <v>56179</v>
      </c>
      <c r="AK22" t="inlineStr">
        <is>
          <t>Closing equity</t>
        </is>
      </c>
      <c r="AL22" t="n">
        <v>56179</v>
      </c>
      <c r="AM22" t="n">
        <v>115670</v>
      </c>
      <c r="AN22" t="n">
        <v>129004</v>
      </c>
      <c r="AO22" t="n">
        <v>221894</v>
      </c>
      <c r="AP22" t="n">
        <v>562268</v>
      </c>
      <c r="AQ22" t="n">
        <v>475650</v>
      </c>
      <c r="AR22" t="n">
        <v>862145</v>
      </c>
      <c r="AS22" t="n">
        <v>1212943</v>
      </c>
      <c r="AT22" t="n">
        <v>1283565</v>
      </c>
    </row>
    <row r="24">
      <c r="A24" s="3" t="inlineStr">
        <is>
          <t>Cash Flow Summary (£'000)</t>
        </is>
      </c>
    </row>
    <row r="25">
      <c r="A25" s="4" t="inlineStr">
        <is>
          <t>Line item</t>
        </is>
      </c>
      <c r="B25" s="4" t="inlineStr">
        <is>
          <t>FY2026 (MBHG)</t>
        </is>
      </c>
      <c r="C25" s="4" t="inlineStr">
        <is>
          <t>FY2025 (MBHG)</t>
        </is>
      </c>
      <c r="D25" s="4" t="inlineStr">
        <is>
          <t>FY2024 (MBHG)*</t>
        </is>
      </c>
      <c r="E25" s="4" t="inlineStr">
        <is>
          <t>FY2023 (MBL)</t>
        </is>
      </c>
      <c r="F25" s="4" t="inlineStr">
        <is>
          <t>FY2022 (MBL)</t>
        </is>
      </c>
      <c r="G25" s="4" t="inlineStr">
        <is>
          <t>FY2021 (MBL)</t>
        </is>
      </c>
      <c r="H25" s="4" t="inlineStr">
        <is>
          <t>FY2020 (MBL)</t>
        </is>
      </c>
      <c r="I25" s="4" t="inlineStr">
        <is>
          <t>FY2019 (MBL)</t>
        </is>
      </c>
      <c r="J25" s="4" t="inlineStr">
        <is>
          <t>FY2018 (MBL)</t>
        </is>
      </c>
      <c r="AX25" t="inlineStr">
        <is>
          <t>FY2018 (MBL)</t>
        </is>
      </c>
      <c r="AY25" t="inlineStr">
        <is>
          <t>FY2019 (MBL)</t>
        </is>
      </c>
      <c r="AZ25" t="inlineStr">
        <is>
          <t>FY2020 (MBL)</t>
        </is>
      </c>
      <c r="BA25" t="inlineStr">
        <is>
          <t>FY2021 (MBL)</t>
        </is>
      </c>
      <c r="BB25" t="inlineStr">
        <is>
          <t>FY2022 (MBL)</t>
        </is>
      </c>
      <c r="BC25" t="inlineStr">
        <is>
          <t>FY2023 (MBL)</t>
        </is>
      </c>
      <c r="BD25" t="inlineStr">
        <is>
          <t>FY2024 (MBHG)*</t>
        </is>
      </c>
      <c r="BE25" t="inlineStr">
        <is>
          <t>FY2025 (MBHG)</t>
        </is>
      </c>
      <c r="BF25" t="inlineStr">
        <is>
          <t>FY2026 (MBHG)</t>
        </is>
      </c>
    </row>
    <row r="26">
      <c r="A26" s="5" t="inlineStr">
        <is>
          <t>Net cash from operating activities</t>
        </is>
      </c>
      <c r="B26" s="5" t="n">
        <v>8456851</v>
      </c>
      <c r="C26" s="5" t="n">
        <v>4916764</v>
      </c>
      <c r="D26" s="5" t="n">
        <v>5020296</v>
      </c>
      <c r="E26" s="5" t="n">
        <v>998813</v>
      </c>
      <c r="F26" s="5" t="n">
        <v>1016526</v>
      </c>
      <c r="G26" s="5" t="n">
        <v>1695049</v>
      </c>
      <c r="H26" s="5" t="n">
        <v>814690</v>
      </c>
      <c r="I26" s="5" t="n">
        <v>351161</v>
      </c>
      <c r="J26" s="5" t="n">
        <v>15557</v>
      </c>
      <c r="AW26" t="inlineStr">
        <is>
          <t>Net cash from operating activities</t>
        </is>
      </c>
      <c r="AX26" t="n">
        <v>15557</v>
      </c>
      <c r="AY26" t="n">
        <v>351161</v>
      </c>
      <c r="AZ26" t="n">
        <v>814690</v>
      </c>
      <c r="BA26" t="n">
        <v>1695049</v>
      </c>
      <c r="BB26" t="n">
        <v>1016526</v>
      </c>
      <c r="BC26" t="n">
        <v>998813</v>
      </c>
      <c r="BD26" t="n">
        <v>5020296</v>
      </c>
      <c r="BE26" t="n">
        <v>4916764</v>
      </c>
      <c r="BF26" t="n">
        <v>8456851</v>
      </c>
    </row>
    <row r="27">
      <c r="A27" s="5" t="inlineStr">
        <is>
          <t>Net cash from/(used in) investing activities</t>
        </is>
      </c>
      <c r="B27" s="5" t="n">
        <v>-4027936</v>
      </c>
      <c r="C27" s="5" t="n">
        <v>-1676663</v>
      </c>
      <c r="D27" s="5" t="n">
        <v>-829521</v>
      </c>
      <c r="E27" s="5" t="n">
        <v>-1026103</v>
      </c>
      <c r="F27" s="5" t="n">
        <v>-1300895</v>
      </c>
      <c r="G27" s="5" t="n">
        <v>-285759</v>
      </c>
      <c r="H27" s="5" t="n">
        <v>-101879</v>
      </c>
      <c r="I27" s="5" t="n">
        <v>-2407</v>
      </c>
      <c r="J27" s="5" t="n">
        <v>-886</v>
      </c>
      <c r="AW27" t="inlineStr">
        <is>
          <t>Net cash from/(used in) investing activities</t>
        </is>
      </c>
      <c r="AX27" t="n">
        <v>-886</v>
      </c>
      <c r="AY27" t="n">
        <v>-2407</v>
      </c>
      <c r="AZ27" t="n">
        <v>-101879</v>
      </c>
      <c r="BA27" t="n">
        <v>-285759</v>
      </c>
      <c r="BB27" t="n">
        <v>-1300895</v>
      </c>
      <c r="BC27" t="n">
        <v>-1026103</v>
      </c>
      <c r="BD27" t="n">
        <v>-829521</v>
      </c>
      <c r="BE27" t="n">
        <v>-1676663</v>
      </c>
      <c r="BF27" t="n">
        <v>-4027936</v>
      </c>
    </row>
    <row r="28">
      <c r="A28" s="5" t="inlineStr">
        <is>
          <t>Net cash from/(used in) financing activities</t>
        </is>
      </c>
      <c r="B28" s="5" t="n">
        <v>1126</v>
      </c>
      <c r="C28" s="5" t="n">
        <v>157407</v>
      </c>
      <c r="D28" s="5" t="n">
        <v>332432</v>
      </c>
      <c r="E28" s="5" t="n">
        <v>-6564</v>
      </c>
      <c r="F28" s="5" t="n">
        <v>441534</v>
      </c>
      <c r="G28" s="5" t="n">
        <v>194506</v>
      </c>
      <c r="H28" s="5" t="n">
        <v>111064</v>
      </c>
      <c r="I28" s="5" t="n">
        <v>104150</v>
      </c>
      <c r="J28" s="5" t="n">
        <v>67398</v>
      </c>
      <c r="AW28" t="inlineStr">
        <is>
          <t>Net cash from/(used in) financing activities</t>
        </is>
      </c>
      <c r="AX28" t="n">
        <v>67398</v>
      </c>
      <c r="AY28" t="n">
        <v>104150</v>
      </c>
      <c r="AZ28" t="n">
        <v>111064</v>
      </c>
      <c r="BA28" t="n">
        <v>194506</v>
      </c>
      <c r="BB28" t="n">
        <v>441534</v>
      </c>
      <c r="BC28" t="n">
        <v>-6564</v>
      </c>
      <c r="BD28" t="n">
        <v>332432</v>
      </c>
      <c r="BE28" t="n">
        <v>157407</v>
      </c>
      <c r="BF28" t="n">
        <v>1126</v>
      </c>
    </row>
    <row r="29">
      <c r="A29" s="5" t="inlineStr">
        <is>
          <t>Cash and cash equivalents at end of year</t>
        </is>
      </c>
      <c r="B29" s="5" t="n">
        <v>15450659</v>
      </c>
      <c r="C29" s="5" t="n">
        <v>11021763</v>
      </c>
      <c r="D29" s="5" t="n">
        <v>7624300</v>
      </c>
      <c r="E29" s="5" t="n">
        <v>3101242</v>
      </c>
      <c r="F29" s="5" t="n">
        <v>3134540</v>
      </c>
      <c r="G29" s="5" t="n">
        <v>2977368</v>
      </c>
      <c r="H29" s="5" t="n">
        <v>1373722</v>
      </c>
      <c r="I29" s="5" t="n">
        <v>549847</v>
      </c>
      <c r="J29" s="5" t="n">
        <v>96943</v>
      </c>
      <c r="AW29" t="inlineStr">
        <is>
          <t>Cash and cash equivalents at end of year</t>
        </is>
      </c>
      <c r="AX29" t="n">
        <v>96943</v>
      </c>
      <c r="AY29" t="n">
        <v>549847</v>
      </c>
      <c r="AZ29" t="n">
        <v>1373722</v>
      </c>
      <c r="BA29" t="n">
        <v>2977368</v>
      </c>
      <c r="BB29" t="n">
        <v>3134540</v>
      </c>
      <c r="BC29" t="n">
        <v>3101242</v>
      </c>
      <c r="BD29" t="n">
        <v>7624300</v>
      </c>
      <c r="BE29" t="n">
        <v>11021763</v>
      </c>
      <c r="BF29" t="n">
        <v>15450659</v>
      </c>
    </row>
    <row r="31">
      <c r="A31" s="3" t="inlineStr">
        <is>
          <t>Pillar 3 Key Metrics</t>
        </is>
      </c>
    </row>
    <row r="32">
      <c r="A32" s="4" t="inlineStr">
        <is>
          <t>Line item</t>
        </is>
      </c>
      <c r="B32" s="4" t="inlineStr">
        <is>
          <t>FY2026 (MBHG)</t>
        </is>
      </c>
      <c r="C32" s="4" t="inlineStr">
        <is>
          <t>FY2025 (MBHG)</t>
        </is>
      </c>
      <c r="D32" s="4" t="inlineStr">
        <is>
          <t>FY2024 (MBHG)*</t>
        </is>
      </c>
      <c r="E32" s="4" t="inlineStr">
        <is>
          <t>FY2023 (MBL)</t>
        </is>
      </c>
      <c r="F32" s="4" t="inlineStr">
        <is>
          <t>FY2022 (MBL)</t>
        </is>
      </c>
      <c r="G32" s="4" t="inlineStr">
        <is>
          <t>FY2021 (MBL)</t>
        </is>
      </c>
      <c r="H32" s="4" t="inlineStr">
        <is>
          <t>FY2020 (MBL)</t>
        </is>
      </c>
      <c r="I32" s="4" t="inlineStr">
        <is>
          <t>FY2019 (MBL)</t>
        </is>
      </c>
      <c r="J32" s="4" t="inlineStr">
        <is>
          <t>FY2018 (MBL)</t>
        </is>
      </c>
    </row>
    <row r="33">
      <c r="A33" s="6" t="inlineStr">
        <is>
          <t>CET1 Ratio</t>
        </is>
      </c>
      <c r="B33" s="6" t="inlineStr">
        <is>
          <t>33.45%</t>
        </is>
      </c>
      <c r="C33" s="6" t="inlineStr">
        <is>
          <t>55.92%</t>
        </is>
      </c>
      <c r="D33" s="6" t="inlineStr">
        <is>
          <t>54.94%</t>
        </is>
      </c>
      <c r="E33" s="6" t="inlineStr">
        <is>
          <t>54.40%</t>
        </is>
      </c>
      <c r="F33" s="6" t="inlineStr">
        <is>
          <t>155.1%</t>
        </is>
      </c>
      <c r="G33" s="6" t="inlineStr">
        <is>
          <t>99%</t>
        </is>
      </c>
      <c r="H33" s="6" t="inlineStr">
        <is>
          <t>70% (unaudited)</t>
        </is>
      </c>
      <c r="I33" s="6" t="inlineStr">
        <is>
          <t>126% (unaudited)</t>
        </is>
      </c>
      <c r="J33" s="6" t="inlineStr">
        <is>
          <t>196%</t>
        </is>
      </c>
    </row>
    <row r="34">
      <c r="A34" s="6" t="inlineStr">
        <is>
          <t>Tier 1 Ratio</t>
        </is>
      </c>
      <c r="B34" s="6" t="inlineStr">
        <is>
          <t>33.45%</t>
        </is>
      </c>
      <c r="C34" s="6" t="inlineStr">
        <is>
          <t>55.92%</t>
        </is>
      </c>
      <c r="D34" s="6" t="inlineStr">
        <is>
          <t>54.94%</t>
        </is>
      </c>
      <c r="E34" s="6" t="inlineStr">
        <is>
          <t>54.40%</t>
        </is>
      </c>
      <c r="F34" s="6" t="inlineStr">
        <is>
          <t>155.1%</t>
        </is>
      </c>
      <c r="G34" s="6" t="inlineStr">
        <is>
          <t>99%</t>
        </is>
      </c>
      <c r="H34" s="6" t="inlineStr">
        <is>
          <t>70% (unaudited)</t>
        </is>
      </c>
      <c r="I34" s="6" t="inlineStr">
        <is>
          <t>126% (unaudited)</t>
        </is>
      </c>
      <c r="J34" s="6" t="inlineStr">
        <is>
          <t>196%</t>
        </is>
      </c>
    </row>
    <row r="35">
      <c r="A35" s="6" t="inlineStr">
        <is>
          <t>Total Capital Ratio</t>
        </is>
      </c>
      <c r="B35" s="6" t="inlineStr">
        <is>
          <t>33.86%</t>
        </is>
      </c>
      <c r="C35" s="6" t="inlineStr">
        <is>
          <t>56.67%</t>
        </is>
      </c>
      <c r="D35" s="6" t="inlineStr">
        <is>
          <t>55.87%</t>
        </is>
      </c>
      <c r="E35" s="6" t="inlineStr">
        <is>
          <t>55.91%</t>
        </is>
      </c>
      <c r="F35" s="6" t="inlineStr">
        <is>
          <t>159.1%</t>
        </is>
      </c>
      <c r="G35" s="6" t="inlineStr">
        <is>
          <t>99%</t>
        </is>
      </c>
      <c r="H35" s="6" t="inlineStr">
        <is>
          <t>70%</t>
        </is>
      </c>
      <c r="I35" s="6" t="inlineStr">
        <is>
          <t>104%</t>
        </is>
      </c>
      <c r="J35" s="6" t="inlineStr">
        <is>
          <t>196%</t>
        </is>
      </c>
    </row>
    <row r="36">
      <c r="A36" s="6" t="inlineStr">
        <is>
          <t>Leverage Ratio</t>
        </is>
      </c>
      <c r="B36" s="6" t="inlineStr">
        <is>
          <t>10.33%</t>
        </is>
      </c>
      <c r="C36" s="6" t="inlineStr">
        <is>
          <t>15.53%</t>
        </is>
      </c>
      <c r="D36" s="6" t="inlineStr">
        <is>
          <t>16.00%</t>
        </is>
      </c>
      <c r="E36" s="6" t="inlineStr">
        <is>
          <t>14.15%</t>
        </is>
      </c>
      <c r="F36" s="6" t="inlineStr">
        <is>
          <t>25.7%</t>
        </is>
      </c>
      <c r="G36" s="6" t="inlineStr">
        <is>
          <t>29.3%</t>
        </is>
      </c>
      <c r="H36" s="6" t="inlineStr">
        <is>
          <t>8.1%</t>
        </is>
      </c>
      <c r="I36" s="6" t="inlineStr">
        <is>
          <t>Not published – FY2019 Pillar 3 Table c, p.17 gives only an all-assets leverage ratio (15.5%), carried on the 'including claims on central banks' row; the UK exclusion began 1 Jan 2022</t>
        </is>
      </c>
      <c r="J36" s="6" t="inlineStr">
        <is>
          <t>Not published – FY2018 Pillar 3 Table c, p.15 gives only an all-assets leverage ratio (40%), carried on the 'including claims on central banks' row; the UK exclusion began 1 Jan 2022</t>
        </is>
      </c>
    </row>
    <row r="37">
      <c r="A37" s="6" t="inlineStr">
        <is>
          <t>LCR</t>
        </is>
      </c>
      <c r="B37" s="6" t="inlineStr">
        <is>
          <t>1209.79%</t>
        </is>
      </c>
      <c r="C37" s="6" t="inlineStr">
        <is>
          <t>1,178.76%</t>
        </is>
      </c>
      <c r="D37" s="6" t="inlineStr">
        <is>
          <t>724.51%</t>
        </is>
      </c>
      <c r="E37" s="6" t="inlineStr">
        <is>
          <t>760.4%</t>
        </is>
      </c>
      <c r="F37" s="6" t="inlineStr">
        <is>
          <t>1,072.4%</t>
        </is>
      </c>
      <c r="G37" s="6" t="inlineStr">
        <is>
          <t>904%</t>
        </is>
      </c>
      <c r="H37" s="6" t="inlineStr">
        <is>
          <t>771%</t>
        </is>
      </c>
      <c r="I37" s="6" t="inlineStr">
        <is>
          <t>663%</t>
        </is>
      </c>
      <c r="J37" s="6" t="inlineStr">
        <is>
          <t>2,402%</t>
        </is>
      </c>
    </row>
    <row r="38">
      <c r="A38" s="6" t="inlineStr">
        <is>
          <t>NSFR</t>
        </is>
      </c>
      <c r="B38" s="6" t="inlineStr">
        <is>
          <t>752.75%</t>
        </is>
      </c>
      <c r="C38" s="6" t="inlineStr">
        <is>
          <t>843.98%</t>
        </is>
      </c>
      <c r="D38" s="6" t="inlineStr">
        <is>
          <t>680.81%</t>
        </is>
      </c>
      <c r="E38" s="6" t="inlineStr">
        <is>
          <t>724.4%</t>
        </is>
      </c>
      <c r="F38" s="6" t="inlineStr">
        <is>
          <t>1,057.8%</t>
        </is>
      </c>
      <c r="G38" s="6" t="inlineStr">
        <is>
          <t>Not disclosed</t>
        </is>
      </c>
      <c r="H38" s="6" t="inlineStr">
        <is>
          <t>Not publicly disclosed</t>
        </is>
      </c>
      <c r="I38" s="6" t="inlineStr">
        <is>
          <t>Not publicly disclosed</t>
        </is>
      </c>
      <c r="J38" s="6" t="inlineStr">
        <is>
          <t>Not publicly disclosed</t>
        </is>
      </c>
    </row>
    <row r="40" ht="117" customHeight="1">
      <c r="A40" s="7" t="inlineStr">
        <is>
          <t>Note: Figures are duplicated from the detail sheets for at-a-glance trend viewing; see each sheet's own source citation for the underlying document/page. Entity basis switches from Monzo Bank Limited (FY2018-23) to Monzo Bank Holding Group Limited (FY2024-25); FY2024 is a 13-month transition period from a fiscal-year-end change. Leverage ratio for FY2022 uses the single unlabelled 'Leverage ratio' KM1 row whose basis is not stated in the source (see Leverage Ratio sheet). FY2019's Pillar 3 column was added 2026-09-16 from the FY2020 edition's own 2019 comparative column (see the CET1 Capital sheet's note): the FY2019 CET1/Tier 1 ratio cell shows BOTH figures because the FY2019 Annual Report and the FY2020 Pillar 3 disclose different values (126% unaudited and 104%) for the same date - they are kept side by side, never averaged or reconciled, and the CET1 Ratio sheet carries them on separate rows with the evidence. FY2019 leverage is on the including-central-banks basis. The FY2020 LCR cell here previously read 'Not publicly disclosed' while the LCR sheet already held 771%; that Overview-only inconsistency is corrected in the same pass. 'Revenue / Net operating income' uses FY2025's 'Gross Profit' row and FY2018-24's 'Net operating income' row from the Profit &amp; Loss sheet - both are the same underlying concept (income after netting interest/fee expense and credit losses, before operating expenses), just grouped under different labels across Monzo's presentation-format change. 'Other equity movements, net' combines shares issued, cost of issuance, share-based payments, exercise of options, and reserve reclassifications/merger reserve creation from the Statement of Changes in Equity sheet into one line; see that sheet for the full year-by-year breakdown. FY2018-20 are Monzo's real, verified historical floor (not FY2016 as originally guessed by HD-024's GLEIF-based ticket description) - see the FLOOR NOTE on the Cash Flow Statement sheet.</t>
        </is>
      </c>
    </row>
  </sheetData>
  <mergeCells count="1">
    <mergeCell ref="A40:J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Consolidated Statement of Financial Position</t>
        </is>
      </c>
    </row>
    <row r="2">
      <c r="A2" s="2" t="inlineStr">
        <is>
          <t>Monzo Group (consolidated basis), £'000. See entity note on the Cash Flow Statement sheet.</t>
        </is>
      </c>
    </row>
    <row r="3">
      <c r="A3" s="4" t="inlineStr">
        <is>
          <t>Line item</t>
        </is>
      </c>
      <c r="B3" s="4" t="inlineStr">
        <is>
          <t>FY2026 (MBHG) (£'000)</t>
        </is>
      </c>
      <c r="C3" s="4" t="inlineStr">
        <is>
          <t>FY2025 (MBHG) (£'000)</t>
        </is>
      </c>
      <c r="D3" s="4" t="inlineStr">
        <is>
          <t>FY2024 (MBHG)* (£'000)</t>
        </is>
      </c>
      <c r="E3" s="4" t="inlineStr">
        <is>
          <t>FY2023 (MBL) (£'000)</t>
        </is>
      </c>
      <c r="F3" s="4" t="inlineStr">
        <is>
          <t>FY2022 (MBL) (£'000)</t>
        </is>
      </c>
      <c r="G3" s="4" t="inlineStr">
        <is>
          <t>FY2021 (MBL) (£'000)</t>
        </is>
      </c>
      <c r="H3" s="4" t="inlineStr">
        <is>
          <t>FY2020 (MBL) (£'000)</t>
        </is>
      </c>
      <c r="I3" s="4" t="inlineStr">
        <is>
          <t>FY2019 (MBL) (£'000)</t>
        </is>
      </c>
      <c r="J3" s="4" t="inlineStr">
        <is>
          <t>FY2018 (MBL) (£'000)</t>
        </is>
      </c>
    </row>
    <row r="4">
      <c r="A4" s="5" t="inlineStr">
        <is>
          <t>Assets</t>
        </is>
      </c>
      <c r="B4" s="6" t="n"/>
      <c r="C4" s="6" t="n"/>
      <c r="D4" s="6" t="n"/>
      <c r="E4" s="6" t="n"/>
      <c r="F4" s="6" t="n"/>
      <c r="G4" s="6" t="n"/>
      <c r="H4" s="6" t="n"/>
      <c r="I4" s="6" t="n"/>
      <c r="J4" s="6" t="n"/>
    </row>
    <row r="5">
      <c r="A5" s="6" t="inlineStr">
        <is>
          <t>Cash and cash equivalents</t>
        </is>
      </c>
      <c r="B5" s="6" t="n">
        <v>15450659</v>
      </c>
      <c r="C5" s="6" t="n">
        <v>11021763</v>
      </c>
      <c r="D5" s="6" t="n">
        <v>7624300</v>
      </c>
      <c r="E5" s="6" t="n">
        <v>3101242</v>
      </c>
      <c r="F5" s="6" t="n">
        <v>3134540</v>
      </c>
      <c r="G5" s="6" t="n">
        <v>2977368</v>
      </c>
      <c r="H5" s="6" t="n">
        <v>1373722</v>
      </c>
      <c r="I5" s="6" t="n">
        <v>549847</v>
      </c>
      <c r="J5" s="6" t="n">
        <v>96943</v>
      </c>
    </row>
    <row r="6">
      <c r="A6" s="6" t="inlineStr">
        <is>
          <t>Total treasury investments</t>
        </is>
      </c>
      <c r="B6" s="6" t="n">
        <v>9482722</v>
      </c>
      <c r="C6" s="6" t="n">
        <v>5381870</v>
      </c>
      <c r="D6" s="6" t="n">
        <v>3634401</v>
      </c>
      <c r="E6" s="6" t="n">
        <v>2727520</v>
      </c>
      <c r="F6" s="6" t="n">
        <v>1675478</v>
      </c>
      <c r="G6" s="6" t="n">
        <v>376641</v>
      </c>
      <c r="H6" s="6" t="n">
        <v>98953</v>
      </c>
      <c r="I6" s="6" t="n"/>
      <c r="J6" s="6" t="n"/>
    </row>
    <row r="7">
      <c r="A7" s="6" t="inlineStr">
        <is>
          <t>Treasury investments at amortised cost</t>
        </is>
      </c>
      <c r="B7" s="6" t="n">
        <v>1109923</v>
      </c>
      <c r="C7" s="6" t="n">
        <v>2188961</v>
      </c>
      <c r="D7" s="6" t="n">
        <v>3634401</v>
      </c>
      <c r="E7" s="6" t="n">
        <v>2727520</v>
      </c>
      <c r="F7" s="6" t="n">
        <v>1675478</v>
      </c>
      <c r="G7" s="6" t="n">
        <v>376641</v>
      </c>
      <c r="H7" s="6" t="n">
        <v>98953</v>
      </c>
      <c r="I7" s="6" t="n"/>
      <c r="J7" s="6" t="n"/>
    </row>
    <row r="8">
      <c r="A8" s="6" t="inlineStr">
        <is>
          <t>Treasury investments at FVOCI (fair value through other comprehensive income)</t>
        </is>
      </c>
      <c r="B8" s="6" t="n">
        <v>1650472</v>
      </c>
      <c r="C8" s="6" t="n">
        <v>596586</v>
      </c>
      <c r="D8" s="6" t="n">
        <v>0</v>
      </c>
      <c r="E8" s="6" t="n">
        <v>0</v>
      </c>
      <c r="F8" s="6" t="n">
        <v>0</v>
      </c>
      <c r="G8" s="6" t="n">
        <v>0</v>
      </c>
      <c r="H8" s="6" t="n">
        <v>0</v>
      </c>
      <c r="I8" s="6" t="n"/>
      <c r="J8" s="6" t="n"/>
    </row>
    <row r="9">
      <c r="A9" s="6" t="inlineStr">
        <is>
          <t>Treasury investments at FVTPL (fair value through profit or loss)</t>
        </is>
      </c>
      <c r="B9" s="6" t="n">
        <v>6722327</v>
      </c>
      <c r="C9" s="6" t="n">
        <v>2596323</v>
      </c>
      <c r="D9" s="6" t="n">
        <v>0</v>
      </c>
      <c r="E9" s="6" t="n">
        <v>0</v>
      </c>
      <c r="F9" s="6" t="n">
        <v>0</v>
      </c>
      <c r="G9" s="6" t="n">
        <v>0</v>
      </c>
      <c r="H9" s="6" t="n">
        <v>0</v>
      </c>
      <c r="I9" s="6" t="n"/>
      <c r="J9" s="6" t="n"/>
    </row>
    <row r="10">
      <c r="A10" s="6" t="inlineStr">
        <is>
          <t>Treasury investments - UK government bonds (Gilts)</t>
        </is>
      </c>
      <c r="B10" s="6" t="n">
        <v>4257507</v>
      </c>
      <c r="C10" s="6" t="n">
        <v>2142409</v>
      </c>
      <c r="D10" s="6" t="n">
        <v>1068284</v>
      </c>
      <c r="E10" s="6" t="n">
        <v>931051</v>
      </c>
      <c r="F10" s="6" t="n">
        <v>857717</v>
      </c>
      <c r="G10" s="6" t="n">
        <v>0</v>
      </c>
      <c r="H10" s="6" t="n">
        <v>98953</v>
      </c>
      <c r="I10" s="6" t="n"/>
      <c r="J10" s="6" t="n"/>
    </row>
    <row r="11">
      <c r="A11" s="6" t="inlineStr">
        <is>
          <t>Treasury investments - other securities (supranational debt, covered bonds, ABS, certificates of deposit, commercial paper, fixed term deposits)</t>
        </is>
      </c>
      <c r="B11" s="6" t="n">
        <v>5225215</v>
      </c>
      <c r="C11" s="6" t="n">
        <v>3239461</v>
      </c>
      <c r="D11" s="6" t="n">
        <v>2566117</v>
      </c>
      <c r="E11" s="6" t="n">
        <v>1796469</v>
      </c>
      <c r="F11" s="6" t="n">
        <v>817761</v>
      </c>
      <c r="G11" s="6" t="n">
        <v>376641</v>
      </c>
      <c r="H11" s="6" t="n">
        <v>0</v>
      </c>
      <c r="I11" s="6" t="n"/>
      <c r="J11" s="6" t="n"/>
    </row>
    <row r="12">
      <c r="A12" s="6" t="inlineStr">
        <is>
          <t>Loans and advances to customers</t>
        </is>
      </c>
      <c r="B12" s="6" t="n">
        <v>2311925</v>
      </c>
      <c r="C12" s="6" t="n">
        <v>1602470</v>
      </c>
      <c r="D12" s="6" t="n">
        <v>1190215</v>
      </c>
      <c r="E12" s="6" t="n">
        <v>653733</v>
      </c>
      <c r="F12" s="6" t="n">
        <v>235083</v>
      </c>
      <c r="G12" s="6" t="n">
        <v>87147</v>
      </c>
      <c r="H12" s="6" t="n">
        <v>123913</v>
      </c>
      <c r="I12" s="6" t="n">
        <v>16054</v>
      </c>
      <c r="J12" s="6" t="n">
        <v>160</v>
      </c>
    </row>
    <row r="13">
      <c r="A13" s="6" t="inlineStr">
        <is>
          <t>Other assets</t>
        </is>
      </c>
      <c r="B13" s="6" t="n">
        <v>243859</v>
      </c>
      <c r="C13" s="6" t="n">
        <v>186290</v>
      </c>
      <c r="D13" s="6" t="n">
        <v>411228</v>
      </c>
      <c r="E13" s="6" t="n">
        <v>113495</v>
      </c>
      <c r="F13" s="6" t="n">
        <v>75200</v>
      </c>
      <c r="G13" s="6" t="n">
        <v>105642</v>
      </c>
      <c r="H13" s="6" t="n">
        <v>87925</v>
      </c>
      <c r="I13" s="6" t="n">
        <v>29434</v>
      </c>
      <c r="J13" s="6" t="n">
        <v>41880</v>
      </c>
    </row>
    <row r="14">
      <c r="A14" s="6" t="inlineStr">
        <is>
          <t>Collateral held with third parties</t>
        </is>
      </c>
      <c r="B14" s="6" t="n"/>
      <c r="C14" s="6" t="n"/>
      <c r="D14" s="6" t="n">
        <v>78506</v>
      </c>
      <c r="E14" s="6" t="n">
        <v>76461</v>
      </c>
      <c r="F14" s="6" t="n">
        <v>76292</v>
      </c>
      <c r="G14" s="6" t="n">
        <v>56314</v>
      </c>
      <c r="H14" s="6" t="n">
        <v>15642</v>
      </c>
      <c r="I14" s="6" t="n">
        <v>16777</v>
      </c>
      <c r="J14" s="6" t="n"/>
    </row>
    <row r="15">
      <c r="A15" s="6" t="inlineStr">
        <is>
          <t>Current tax asset</t>
        </is>
      </c>
      <c r="B15" s="6" t="n">
        <v>5048</v>
      </c>
      <c r="C15" s="6" t="n">
        <v>10279</v>
      </c>
      <c r="D15" s="6" t="n">
        <v>7089</v>
      </c>
      <c r="E15" s="6" t="n"/>
      <c r="F15" s="6" t="n"/>
      <c r="G15" s="6" t="n"/>
      <c r="H15" s="6" t="n"/>
      <c r="I15" s="6" t="n"/>
      <c r="J15" s="6" t="n"/>
    </row>
    <row r="16">
      <c r="A16" s="6" t="inlineStr">
        <is>
          <t>Deferred tax asset</t>
        </is>
      </c>
      <c r="B16" s="6" t="n">
        <v>99486</v>
      </c>
      <c r="C16" s="6" t="n">
        <v>45788</v>
      </c>
      <c r="D16" s="6" t="n"/>
      <c r="E16" s="6" t="n"/>
      <c r="F16" s="6" t="n"/>
      <c r="G16" s="6" t="n"/>
      <c r="H16" s="6" t="n"/>
      <c r="I16" s="6" t="n"/>
      <c r="J16" s="6" t="n"/>
    </row>
    <row r="17">
      <c r="A17" s="6" t="inlineStr">
        <is>
          <t>Intangible assets</t>
        </is>
      </c>
      <c r="B17" s="6" t="n"/>
      <c r="C17" s="6" t="n"/>
      <c r="D17" s="6" t="n"/>
      <c r="E17" s="6" t="n"/>
      <c r="F17" s="6" t="n"/>
      <c r="G17" s="6" t="n"/>
      <c r="H17" s="6" t="n"/>
      <c r="I17" s="6" t="n"/>
      <c r="J17" s="6" t="n">
        <v>14</v>
      </c>
    </row>
    <row r="18">
      <c r="A18" s="6" t="inlineStr">
        <is>
          <t>Property, plant and equipment</t>
        </is>
      </c>
      <c r="B18" s="6" t="n">
        <v>12011</v>
      </c>
      <c r="C18" s="6" t="n">
        <v>15391</v>
      </c>
      <c r="D18" s="6" t="n">
        <v>20074</v>
      </c>
      <c r="E18" s="6" t="n">
        <v>15325</v>
      </c>
      <c r="F18" s="6" t="n">
        <v>21836</v>
      </c>
      <c r="G18" s="6" t="n">
        <v>26595</v>
      </c>
      <c r="H18" s="6" t="n">
        <v>21253</v>
      </c>
      <c r="I18" s="6" t="n">
        <v>2278</v>
      </c>
      <c r="J18" s="6" t="n">
        <v>823</v>
      </c>
    </row>
    <row r="19">
      <c r="A19" s="5" t="inlineStr">
        <is>
          <t>Total assets</t>
        </is>
      </c>
      <c r="B19" s="5" t="n">
        <v>27605710</v>
      </c>
      <c r="C19" s="5" t="n">
        <v>18263851</v>
      </c>
      <c r="D19" s="5" t="n">
        <v>12965813</v>
      </c>
      <c r="E19" s="5" t="n">
        <v>6687776</v>
      </c>
      <c r="F19" s="5" t="n">
        <v>5218429</v>
      </c>
      <c r="G19" s="5" t="n">
        <v>3629707</v>
      </c>
      <c r="H19" s="5" t="n">
        <v>1721408</v>
      </c>
      <c r="I19" s="5" t="n">
        <v>614390</v>
      </c>
      <c r="J19" s="5" t="n">
        <v>139820</v>
      </c>
    </row>
    <row r="20">
      <c r="A20" s="5" t="inlineStr">
        <is>
          <t>Liabilities</t>
        </is>
      </c>
      <c r="B20" s="6" t="n"/>
      <c r="C20" s="6" t="n"/>
      <c r="D20" s="6" t="n"/>
      <c r="E20" s="6" t="n"/>
      <c r="F20" s="6" t="n"/>
      <c r="G20" s="6" t="n"/>
      <c r="H20" s="6" t="n"/>
      <c r="I20" s="6" t="n"/>
      <c r="J20" s="6" t="n"/>
    </row>
    <row r="21">
      <c r="A21" s="6" t="inlineStr">
        <is>
          <t>Customer deposits</t>
        </is>
      </c>
      <c r="B21" s="6" t="n">
        <v>25715953</v>
      </c>
      <c r="C21" s="6" t="n">
        <v>16599371</v>
      </c>
      <c r="D21" s="6" t="n">
        <v>11197622</v>
      </c>
      <c r="E21" s="6" t="n">
        <v>5945947</v>
      </c>
      <c r="F21" s="6" t="n">
        <v>4440650</v>
      </c>
      <c r="G21" s="6" t="n">
        <v>3124046</v>
      </c>
      <c r="H21" s="6" t="n">
        <v>1392517</v>
      </c>
      <c r="I21" s="6" t="n">
        <v>461821</v>
      </c>
      <c r="J21" s="6" t="n">
        <v>71276</v>
      </c>
    </row>
    <row r="22">
      <c r="A22" s="6" t="inlineStr">
        <is>
          <t>Subordinated debt liability</t>
        </is>
      </c>
      <c r="B22" s="6" t="n">
        <v>15770</v>
      </c>
      <c r="C22" s="6" t="n">
        <v>15421</v>
      </c>
      <c r="D22" s="6" t="n">
        <v>15113</v>
      </c>
      <c r="E22" s="6" t="n">
        <v>14823</v>
      </c>
      <c r="F22" s="6" t="n">
        <v>14593</v>
      </c>
      <c r="G22" s="6" t="n"/>
      <c r="H22" s="6" t="n"/>
      <c r="I22" s="6" t="n"/>
      <c r="J22" s="6" t="n"/>
    </row>
    <row r="23">
      <c r="A23" s="6" t="inlineStr">
        <is>
          <t>Other liabilities</t>
        </is>
      </c>
      <c r="B23" s="6" t="n">
        <v>590422</v>
      </c>
      <c r="C23" s="6" t="n">
        <v>436116</v>
      </c>
      <c r="D23" s="6" t="n">
        <v>890933</v>
      </c>
      <c r="E23" s="6" t="n">
        <v>251356</v>
      </c>
      <c r="F23" s="6" t="n">
        <v>200918</v>
      </c>
      <c r="G23" s="6" t="n">
        <v>283767</v>
      </c>
      <c r="H23" s="6" t="n">
        <v>199887</v>
      </c>
      <c r="I23" s="6" t="n">
        <v>36899</v>
      </c>
      <c r="J23" s="6" t="n">
        <v>12365</v>
      </c>
    </row>
    <row r="24">
      <c r="A24" s="5" t="inlineStr">
        <is>
          <t>Total liabilities</t>
        </is>
      </c>
      <c r="B24" s="5" t="n">
        <v>26322145</v>
      </c>
      <c r="C24" s="5" t="n">
        <v>17050908</v>
      </c>
      <c r="D24" s="5" t="n">
        <v>12103668</v>
      </c>
      <c r="E24" s="5" t="n">
        <v>6212126</v>
      </c>
      <c r="F24" s="5" t="n">
        <v>4656161</v>
      </c>
      <c r="G24" s="5" t="n">
        <v>3407813</v>
      </c>
      <c r="H24" s="5" t="n">
        <v>1592404</v>
      </c>
      <c r="I24" s="5" t="n">
        <v>498720</v>
      </c>
      <c r="J24" s="5" t="n">
        <v>83641</v>
      </c>
    </row>
    <row r="25">
      <c r="A25" s="5" t="inlineStr">
        <is>
          <t>Equity</t>
        </is>
      </c>
      <c r="B25" s="6" t="n"/>
      <c r="C25" s="6" t="n"/>
      <c r="D25" s="6" t="n"/>
      <c r="E25" s="6" t="n"/>
      <c r="F25" s="6" t="n"/>
      <c r="G25" s="6" t="n"/>
      <c r="H25" s="6" t="n"/>
      <c r="I25" s="6" t="n"/>
      <c r="J25" s="6" t="n"/>
    </row>
    <row r="26">
      <c r="A26" s="6" t="inlineStr">
        <is>
          <t>Called up share capital</t>
        </is>
      </c>
      <c r="B26" s="6" t="n">
        <v>240</v>
      </c>
      <c r="C26" s="6" t="n">
        <v>238</v>
      </c>
      <c r="D26" s="6" t="n">
        <v>217</v>
      </c>
      <c r="E26" s="6" t="n">
        <v>0</v>
      </c>
      <c r="F26" s="6" t="n">
        <v>0</v>
      </c>
      <c r="G26" s="6" t="n">
        <v>0</v>
      </c>
      <c r="H26" s="6" t="n">
        <v>0</v>
      </c>
      <c r="I26" s="6" t="n">
        <v>0</v>
      </c>
      <c r="J26" s="6" t="n">
        <v>0</v>
      </c>
    </row>
    <row r="27">
      <c r="A27" s="6" t="inlineStr">
        <is>
          <t>Share premium account</t>
        </is>
      </c>
      <c r="B27" s="6" t="n">
        <v>503779</v>
      </c>
      <c r="C27" s="6" t="n">
        <v>501730</v>
      </c>
      <c r="D27" s="6" t="n">
        <v>339388</v>
      </c>
      <c r="E27" s="6" t="n">
        <v>944786</v>
      </c>
      <c r="F27" s="6" t="n">
        <v>944486</v>
      </c>
      <c r="G27" s="6" t="n">
        <v>508478</v>
      </c>
      <c r="H27" s="6" t="n">
        <v>311139</v>
      </c>
      <c r="I27" s="6" t="n">
        <v>198146</v>
      </c>
      <c r="J27" s="6" t="n">
        <v>93989</v>
      </c>
    </row>
    <row r="28">
      <c r="A28" s="6" t="inlineStr">
        <is>
          <t>Other reserves</t>
        </is>
      </c>
      <c r="B28" s="6" t="n">
        <v>992939</v>
      </c>
      <c r="C28" s="6" t="n">
        <v>1013604</v>
      </c>
      <c r="D28" s="6" t="n">
        <v>966947</v>
      </c>
      <c r="E28" s="6" t="n">
        <v>108117</v>
      </c>
      <c r="F28" s="6" t="n">
        <v>79186</v>
      </c>
      <c r="G28" s="6" t="n">
        <v>56459</v>
      </c>
      <c r="H28" s="6" t="n">
        <v>17301</v>
      </c>
      <c r="I28" s="6" t="n">
        <v>3164</v>
      </c>
      <c r="J28" s="6" t="n">
        <v>871</v>
      </c>
    </row>
    <row r="29">
      <c r="A29" s="6" t="inlineStr">
        <is>
          <t>Accumulated losses</t>
        </is>
      </c>
      <c r="B29" s="6" t="n">
        <v>-213393</v>
      </c>
      <c r="C29" s="6" t="n">
        <v>-302629</v>
      </c>
      <c r="D29" s="6" t="n">
        <v>-444407</v>
      </c>
      <c r="E29" s="6" t="n">
        <v>-577253</v>
      </c>
      <c r="F29" s="6" t="n">
        <v>-461404</v>
      </c>
      <c r="G29" s="6" t="n">
        <v>-343043</v>
      </c>
      <c r="H29" s="6" t="n">
        <v>-199436</v>
      </c>
      <c r="I29" s="6" t="n">
        <v>-85640</v>
      </c>
      <c r="J29" s="6" t="n">
        <v>-38681</v>
      </c>
    </row>
    <row r="30">
      <c r="A30" s="5" t="inlineStr">
        <is>
          <t>Total equity</t>
        </is>
      </c>
      <c r="B30" s="5" t="n">
        <v>1283565</v>
      </c>
      <c r="C30" s="5" t="n">
        <v>1212943</v>
      </c>
      <c r="D30" s="5" t="n">
        <v>862145</v>
      </c>
      <c r="E30" s="5" t="n">
        <v>475650</v>
      </c>
      <c r="F30" s="5" t="n">
        <v>562268</v>
      </c>
      <c r="G30" s="5" t="n">
        <v>221894</v>
      </c>
      <c r="H30" s="5" t="n">
        <v>129004</v>
      </c>
      <c r="I30" s="5" t="n">
        <v>115670</v>
      </c>
      <c r="J30" s="5" t="n">
        <v>56179</v>
      </c>
    </row>
    <row r="31">
      <c r="A31" s="5" t="inlineStr">
        <is>
          <t>Total liabilities and equity</t>
        </is>
      </c>
      <c r="B31" s="5" t="n">
        <v>27605710</v>
      </c>
      <c r="C31" s="5" t="n">
        <v>18263851</v>
      </c>
      <c r="D31" s="5" t="n">
        <v>12965813</v>
      </c>
      <c r="E31" s="5" t="n">
        <v>6687776</v>
      </c>
      <c r="F31" s="5" t="n">
        <v>5218429</v>
      </c>
      <c r="G31" s="5" t="n">
        <v>3629707</v>
      </c>
      <c r="H31" s="5" t="n">
        <v>1721408</v>
      </c>
      <c r="I31" s="5" t="n">
        <v>614390</v>
      </c>
      <c r="J31" s="5" t="n">
        <v>139820</v>
      </c>
    </row>
    <row r="33" ht="325" customHeight="1">
      <c r="A33" s="8" t="inlineStr">
        <is>
          <t>Sources - all figures are Monzo Group (consolidated) statement of financial position, £'000. See entity note on the Cash Flow Statement sheet for MBL vs MBHG scope by year.
FY2025: Monzo Annual Report and Accounts 2025, p.117 (Consolidated statement of financial position) - https://monzo.com/annual-report/2025/Monzo%20Bank%20Group%20FY2025%20Annual%20Report.pdf
FY2024: Monzo Bank Holding Group Limited Annual Report and Group Financial Statements 2024, p.96 (Consolidated statement of financial position, as at 31 March 2024) - https://monzo.com/docs/monzo-annual-report-2024.pdf
FY2023: Monzo Bank Limited Annual Report and Accounts 2023, p.97 (Statement of financial position, Group, as at 28 February 2023) - https://monzo.com/docs/monzo-annual-report-2023.pdf
FY2022: Monzo Bank Limited Group Annual Report 2022, p.106 (Statement of financial position, Group, restated, as at 28 February 2022) - https://monzo.com/static/docs/monzo-annual-report-2022.pdf
FY2021: Monzo Bank Limited Group Annual Report 2022, p.106 (Statement of financial position, Group, restated comparative, as at 28 February 2021) - https://monzo.com/static/docs/monzo-annual-report-2022.pdf
FY2020: Monzo Bank Limited Group Annual Report 2020, p.94 (Statement of financial position, Group, as at 29 February 2020) - https://monzo.com/docs/monzo-annual-report-2020.pdf
Treasury investments breakdown rows (measurement basis and UK government vs other securities) sourced from Note 12 'Treasury investments' (Note 11 for FY2020), Group column, £'000:
FY2025: Monzo Annual Report and Accounts 2025, p.136 (Note 12: Treasury investments) - https://monzo.com/annual-report/2025/Monzo%20Bank%20Group%20FY2025%20Annual%20Report.pdf
FY2024: Monzo Bank Holding Group Limited Annual Report and Group Financial Statements 2024, p.114 (Note 12: Treasury investments) - https://monzo.com/docs/monzo-annual-report-2024.pdf
FY2023: Monzo Bank Limited Annual Report and Accounts 2023, p.118 (Note 12: Treasury investments) - https://monzo.com/docs/monzo-annual-report-2023.pdf
FY2022: Monzo Bank Limited Group Annual Report 2022, p.129 (Note 12: Treasury investments) - https://monzo.com/static/docs/monzo-annual-report-2022.pdf
FY2021: Monzo Bank Limited Group Annual Report 2022, p.129 (Note 12: Treasury investments, comparative column) - https://monzo.com/static/docs/monzo-annual-report-2022.pdf
FY2020: Monzo Bank Limited Group Annual Report 2020, p.115 (Note 11: Treasury investments) - https://monzo.com/docs/monzo-annual-report-2020.pdf
FY2019: Monzo Bank Limited Annual Report and Financial Statements 2019, p.50 (Statement of financial position, Group, as at 28 February 2019) - https://find-and-update.company-information.service.gov.uk/company/09446231/filing-history/MzIzOTY5Nzg5MGFkaXF6a2N4/document?format=pdf&amp;download=0
FY2018: Monzo Bank Limited Annual Report and Financial Statements 2018, p.24 (Statement of financial position, as at 28 February 2018) - https://find-and-update.company-information.service.gov.uk/company/09446231/filing-history/MzE4MzMzNTM5OWFkaXF6a2N4/document?format=pdf&amp;download=0
ENTITY NOTE: FY2025 and FY2024 (marked MBHG) are Monzo Bank Holding Group Limited, the new parent company formed April 2023 - a broader consolidation scope than Monzo Bank Limited (MBL), which includes MBL plus (from FY2025) additional EU/US subsidiaries. FY2018-FY2023 (marked MBL) are Monzo Bank Limited, the entity on the PRA register (company no. 09446231). Monzo Bank Limited continued filing its own standalone accounts through FY2025, but that filing was only available as a scanned, non-text Companies House filing and could not be extracted; MBHG's figures were used for FY2024/25 instead as the only cleanly-extractable source, per user direction. FY2018-FY2020's MBL statutory accounts (also scanned Companies House filings, plus FY2020 was additionally cross-checked against Monzo's own website-hosted copy) were read page-by-page as images rather than machine-extracted. Also note: Monzo changed its financial year end from 28 February to 31 March starting FY2024, making FY2024 a 13-month period (1 March 2023 - 31 March 2024) rather than 12 months - it is not directly run-rate comparable to the other four years.</t>
        </is>
      </c>
    </row>
    <row r="35" ht="247" customHeight="1">
      <c r="A35" s="8" t="inlineStr">
        <is>
          <t>(continued)
HISTORICAL FLOOR NOTE (HD-024, 2026-09-06): the same company (09446231) was incorporated 18 Feb 2015 but traded as a pre-launch shell ('Focus FS Limited', then other names) with no banking licence and no deposits or loans on its balance sheet through the period ended 29 Feb 2016 and the year ended 28 Feb 2017 (that FY2016 accounts show total assets of only GBP568k, no interest income, no customer deposits, no loans - not a real operating bank year; FY2017's accounts likewise show GBP0 customer deposits and GBP0 loans, confirmed by the FY2018 Annual Report's own comparative column). Monzo received its restricted UK banking licence in August 2016 and its full/unrestricted licence in April 2017 (per the FY2018 Annual Report's audit opinion). FY2018 (year ended 28 Feb 2018) is therefore the first year with a genuine bank balance sheet (Customer deposits GBP71,276k, Loans and advances to customers GBP160k) and is used here as the real, verified floor - not FY2016 as originally guessed from GLEIF entity-creation-year grouping (which conflated the shell company's 2015 incorporation with Monzo's later start as an operating bank). No further extension before FY2018 is possible: it is the first year the company operated as a bank at all.
PRESENTATION NOTE: FY2021-23 (MBL) labelled the first asset line 'Cash and balances at bank' - shown here on the same 'Cash and cash equivalents' row as FY2024-25 (MBHG)'s renamed line, same underlying balance. 'Deferred tax asset' is only disclosed as its own line in FY2025. 'Collateral held with third parties' is its own line FY2021-24; FY2025's Annual Report states this was merged into 'Other assets' that year (see its own footnote), so that cell is blank for FY2025 rather than a genuine zero. Called up share capital is reported as nil ('-') for FY2021-23 and FY2018-20; shown as 0 here. 'Treasury investments' first appears as its own line in FY2020 (blank for FY2018-19, genuinely not yet a product Monzo held). 'Collateral held with third parties' first appears in FY2019 (blank for FY2018, before the product existed on balance sheet). 'Intangible assets' is only its own line in FY2018 (GBP14k) - folded into 'Other assets' in every later year. Total assets / Total liabilities / Total equity / Total liabilities and equity are consistent and comparable across all 8 years regardless of the above.
TREASURY INVESTMENTS BREAKDOWN NOTE: 'Total treasury investments' (renamed from 'Treasury investments' so it reads unambiguously as an aggregate) is broken down by both measurement basis and issuer type using Note 12 'Treasury investments' (Note 11 in the FY2020 Annual Report) in each year's Annual Report - both splits are sourced from that note's table, not estimated. Measurement basis: FY2020-24 were disclosed entirely 'at amortised cost' (0 FVOCI/FVTPL each year - a genuine zero, not a missing figure); FY2025 is the first year Monzo also holds treasury investments at FVOCI and at FVTPL, per the FY2025 Annual Report's three-way split. Issuer type: 'UK government bonds (Gilts)' sums each year's UK Government debt line (across whichever measurement-basis sub-tables it appears in); 'other securities' sums every remaining line in the note (supranational debt, covered bonds, asset-backed securities, certificates of deposit, commercial paper, fixed term deposits) - see the per-year note breakdown in each row for the underlying components. Both breakdowns reconcile exactly to 'Total treasury investments' for all 6 years.</t>
        </is>
      </c>
    </row>
  </sheetData>
  <mergeCells count="2">
    <mergeCell ref="A35:J35"/>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Consolidated Statement of Comprehensive Income</t>
        </is>
      </c>
    </row>
    <row r="2">
      <c r="A2" s="2" t="inlineStr">
        <is>
          <t>Monzo Group (consolidated basis), £'000. See entity note on the Cash Flow Statement sheet.</t>
        </is>
      </c>
    </row>
    <row r="3">
      <c r="A3" s="4" t="inlineStr">
        <is>
          <t>Line item</t>
        </is>
      </c>
      <c r="B3" s="4" t="inlineStr">
        <is>
          <t>FY2026 (MBHG) (£'000)</t>
        </is>
      </c>
      <c r="C3" s="4" t="inlineStr">
        <is>
          <t>FY2025 (MBHG) (£'000)</t>
        </is>
      </c>
      <c r="D3" s="4" t="inlineStr">
        <is>
          <t>FY2024 (MBHG)* (£'000)</t>
        </is>
      </c>
      <c r="E3" s="4" t="inlineStr">
        <is>
          <t>FY2023 (MBL) (£'000)</t>
        </is>
      </c>
      <c r="F3" s="4" t="inlineStr">
        <is>
          <t>FY2022 (MBL) (£'000)</t>
        </is>
      </c>
      <c r="G3" s="4" t="inlineStr">
        <is>
          <t>FY2021 (MBL) (£'000)</t>
        </is>
      </c>
      <c r="H3" s="4" t="inlineStr">
        <is>
          <t>FY2020 (MBL) (£'000)</t>
        </is>
      </c>
      <c r="I3" s="4" t="inlineStr">
        <is>
          <t>FY2019 (MBL) (£'000)</t>
        </is>
      </c>
      <c r="J3" s="4" t="inlineStr">
        <is>
          <t>FY2018 (MBL) (£'000)</t>
        </is>
      </c>
    </row>
    <row r="4">
      <c r="A4" s="5" t="inlineStr">
        <is>
          <t>Income</t>
        </is>
      </c>
      <c r="B4" s="6" t="n"/>
      <c r="C4" s="6" t="n"/>
      <c r="D4" s="6" t="n"/>
      <c r="E4" s="6" t="n"/>
      <c r="F4" s="6" t="n"/>
      <c r="G4" s="6" t="n"/>
      <c r="H4" s="6" t="n"/>
      <c r="I4" s="6" t="n"/>
      <c r="J4" s="6" t="n"/>
    </row>
    <row r="5">
      <c r="A5" s="6" t="inlineStr">
        <is>
          <t>Interest income</t>
        </is>
      </c>
      <c r="B5" s="6" t="n">
        <v>1199655</v>
      </c>
      <c r="C5" s="6" t="n">
        <v>861673</v>
      </c>
      <c r="D5" s="6" t="n">
        <v>575974</v>
      </c>
      <c r="E5" s="6" t="n">
        <v>167956</v>
      </c>
      <c r="F5" s="6" t="n">
        <v>37809</v>
      </c>
      <c r="G5" s="6" t="n">
        <v>23950</v>
      </c>
      <c r="H5" s="6" t="n">
        <v>25018</v>
      </c>
      <c r="I5" s="6" t="n">
        <v>4918</v>
      </c>
      <c r="J5" s="6" t="n">
        <v>150</v>
      </c>
    </row>
    <row r="6">
      <c r="A6" s="6" t="inlineStr">
        <is>
          <t>Interest expense</t>
        </is>
      </c>
      <c r="B6" s="6" t="n">
        <v>-376949</v>
      </c>
      <c r="C6" s="6" t="n">
        <v>-262833</v>
      </c>
      <c r="D6" s="6" t="n">
        <v>-138002</v>
      </c>
      <c r="E6" s="6" t="n">
        <v>-3709</v>
      </c>
      <c r="F6" s="6" t="n">
        <v>-3727</v>
      </c>
      <c r="G6" s="6" t="n">
        <v>-1564</v>
      </c>
      <c r="H6" s="6" t="n">
        <v>-589</v>
      </c>
      <c r="I6" s="6" t="n"/>
      <c r="J6" s="6" t="n"/>
    </row>
    <row r="7">
      <c r="A7" s="5" t="inlineStr">
        <is>
          <t>Net interest income</t>
        </is>
      </c>
      <c r="B7" s="5" t="n"/>
      <c r="C7" s="5" t="n"/>
      <c r="D7" s="5" t="n">
        <v>437972</v>
      </c>
      <c r="E7" s="5" t="n">
        <v>164247</v>
      </c>
      <c r="F7" s="5" t="n">
        <v>34082</v>
      </c>
      <c r="G7" s="5" t="n">
        <v>22386</v>
      </c>
      <c r="H7" s="5" t="n">
        <v>24429</v>
      </c>
      <c r="I7" s="5" t="n">
        <v>4918</v>
      </c>
      <c r="J7" s="5" t="n"/>
    </row>
    <row r="8">
      <c r="A8" s="6" t="inlineStr">
        <is>
          <t>Fee and commission income</t>
        </is>
      </c>
      <c r="B8" s="6" t="n">
        <v>458972</v>
      </c>
      <c r="C8" s="6" t="n">
        <v>329165</v>
      </c>
      <c r="D8" s="6" t="n">
        <v>255531</v>
      </c>
      <c r="E8" s="6" t="n">
        <v>169095</v>
      </c>
      <c r="F8" s="6" t="n">
        <v>103270</v>
      </c>
      <c r="G8" s="6" t="n">
        <v>54051</v>
      </c>
      <c r="H8" s="6" t="n">
        <v>40085</v>
      </c>
      <c r="I8" s="6" t="n">
        <v>13231</v>
      </c>
      <c r="J8" s="6" t="n">
        <v>2201</v>
      </c>
    </row>
    <row r="9">
      <c r="A9" s="6" t="inlineStr">
        <is>
          <t>Fee and commission expense</t>
        </is>
      </c>
      <c r="B9" s="6" t="n">
        <v>-118854</v>
      </c>
      <c r="C9" s="6" t="n">
        <v>-72000</v>
      </c>
      <c r="D9" s="6" t="n">
        <v>-50696</v>
      </c>
      <c r="E9" s="6" t="n">
        <v>-36212</v>
      </c>
      <c r="F9" s="6" t="n">
        <v>-22481</v>
      </c>
      <c r="G9" s="6" t="n">
        <v>-12265</v>
      </c>
      <c r="H9" s="6" t="n">
        <v>-10681</v>
      </c>
      <c r="I9" s="6" t="n">
        <v>-6664</v>
      </c>
      <c r="J9" s="6" t="n">
        <v>-834</v>
      </c>
    </row>
    <row r="10">
      <c r="A10" s="5" t="inlineStr">
        <is>
          <t>Net fee and commission income</t>
        </is>
      </c>
      <c r="B10" s="5" t="n"/>
      <c r="C10" s="5" t="n"/>
      <c r="D10" s="5" t="n">
        <v>204835</v>
      </c>
      <c r="E10" s="5" t="n">
        <v>132883</v>
      </c>
      <c r="F10" s="5" t="n">
        <v>80789</v>
      </c>
      <c r="G10" s="5" t="n">
        <v>41786</v>
      </c>
      <c r="H10" s="5" t="n">
        <v>29404</v>
      </c>
      <c r="I10" s="5" t="n">
        <v>6567</v>
      </c>
      <c r="J10" s="5" t="n">
        <v>1367</v>
      </c>
    </row>
    <row r="11">
      <c r="A11" s="6" t="inlineStr">
        <is>
          <t>Other operating income</t>
        </is>
      </c>
      <c r="B11" s="6" t="n">
        <v>53669</v>
      </c>
      <c r="C11" s="6" t="n">
        <v>44517</v>
      </c>
      <c r="D11" s="6" t="n">
        <v>48452</v>
      </c>
      <c r="E11" s="6" t="n">
        <v>18582</v>
      </c>
      <c r="F11" s="6" t="n">
        <v>13161</v>
      </c>
      <c r="G11" s="6" t="n">
        <v>2490</v>
      </c>
      <c r="H11" s="6" t="n">
        <v>2079</v>
      </c>
      <c r="I11" s="6" t="n">
        <v>1553</v>
      </c>
      <c r="J11" s="6" t="n">
        <v>309</v>
      </c>
    </row>
    <row r="12">
      <c r="A12" s="6" t="inlineStr">
        <is>
          <t>Total Revenue</t>
        </is>
      </c>
      <c r="B12" s="6" t="n">
        <v>1712296</v>
      </c>
      <c r="C12" s="6" t="n">
        <v>1235355</v>
      </c>
      <c r="D12" s="6" t="n"/>
      <c r="E12" s="6" t="n"/>
      <c r="F12" s="6" t="n"/>
      <c r="G12" s="6" t="n"/>
      <c r="H12" s="6" t="n"/>
      <c r="I12" s="6" t="n"/>
      <c r="J12" s="6" t="n"/>
    </row>
    <row r="13">
      <c r="A13" s="6" t="inlineStr">
        <is>
          <t>Credit loss expense on financial assets</t>
        </is>
      </c>
      <c r="B13" s="6" t="n">
        <v>-203680</v>
      </c>
      <c r="C13" s="6" t="n">
        <v>-152595</v>
      </c>
      <c r="D13" s="6" t="n">
        <v>-176868</v>
      </c>
      <c r="E13" s="6" t="n">
        <v>-101203</v>
      </c>
      <c r="F13" s="6" t="n">
        <v>-14013</v>
      </c>
      <c r="G13" s="6" t="n">
        <v>-3821</v>
      </c>
      <c r="H13" s="6" t="n">
        <v>-20254</v>
      </c>
      <c r="I13" s="6" t="n">
        <v>-3880</v>
      </c>
      <c r="J13" s="6" t="n">
        <v>-12</v>
      </c>
    </row>
    <row r="14">
      <c r="A14" s="6" t="inlineStr">
        <is>
          <t>Cost of Revenue</t>
        </is>
      </c>
      <c r="B14" s="6" t="n">
        <v>-699483</v>
      </c>
      <c r="C14" s="6" t="n">
        <v>-487428</v>
      </c>
      <c r="D14" s="6" t="n"/>
      <c r="E14" s="6" t="n"/>
      <c r="F14" s="6" t="n"/>
      <c r="G14" s="6" t="n"/>
      <c r="H14" s="6" t="n"/>
      <c r="I14" s="6" t="n"/>
      <c r="J14" s="6" t="n"/>
    </row>
    <row r="15">
      <c r="A15" s="6" t="inlineStr">
        <is>
          <t>Gross Profit</t>
        </is>
      </c>
      <c r="B15" s="6" t="n">
        <v>1012813</v>
      </c>
      <c r="C15" s="6" t="n">
        <v>747927</v>
      </c>
      <c r="D15" s="6" t="n"/>
      <c r="E15" s="6" t="n"/>
      <c r="F15" s="6" t="n"/>
      <c r="G15" s="6" t="n"/>
      <c r="H15" s="6" t="n"/>
      <c r="I15" s="6" t="n"/>
      <c r="J15" s="6" t="n"/>
    </row>
    <row r="16">
      <c r="A16" s="5" t="inlineStr">
        <is>
          <t>Net operating income</t>
        </is>
      </c>
      <c r="B16" s="5" t="n"/>
      <c r="C16" s="5" t="n"/>
      <c r="D16" s="5" t="n">
        <v>514391</v>
      </c>
      <c r="E16" s="5" t="n">
        <v>214509</v>
      </c>
      <c r="F16" s="5" t="n">
        <v>114019</v>
      </c>
      <c r="G16" s="5" t="n">
        <v>62841</v>
      </c>
      <c r="H16" s="5" t="n">
        <v>35658</v>
      </c>
      <c r="I16" s="5" t="n">
        <v>9158</v>
      </c>
      <c r="J16" s="5" t="n">
        <v>1814</v>
      </c>
    </row>
    <row r="17">
      <c r="A17" s="5" t="inlineStr">
        <is>
          <t>Operating expenses</t>
        </is>
      </c>
      <c r="B17" s="6" t="n"/>
      <c r="C17" s="6" t="n"/>
      <c r="D17" s="6" t="n"/>
      <c r="E17" s="6" t="n"/>
      <c r="F17" s="6" t="n"/>
      <c r="G17" s="6" t="n"/>
      <c r="H17" s="6" t="n"/>
      <c r="I17" s="6" t="n"/>
      <c r="J17" s="6" t="n"/>
    </row>
    <row r="18">
      <c r="A18" s="6" t="inlineStr">
        <is>
          <t>Personnel expense</t>
        </is>
      </c>
      <c r="B18" s="6" t="n">
        <v>-421583</v>
      </c>
      <c r="C18" s="6" t="n">
        <v>-352929</v>
      </c>
      <c r="D18" s="6" t="n">
        <v>-256913</v>
      </c>
      <c r="E18" s="6" t="n">
        <v>-175325</v>
      </c>
      <c r="F18" s="6" t="n">
        <v>-130151</v>
      </c>
      <c r="G18" s="6" t="n">
        <v>-105269</v>
      </c>
      <c r="H18" s="6" t="n">
        <v>-77486</v>
      </c>
      <c r="I18" s="6" t="n">
        <v>-25654</v>
      </c>
      <c r="J18" s="6" t="n">
        <v>-9214</v>
      </c>
    </row>
    <row r="19">
      <c r="A19" s="6" t="inlineStr">
        <is>
          <t>Depreciation &amp; impairment expense</t>
        </is>
      </c>
      <c r="B19" s="6" t="n"/>
      <c r="C19" s="6" t="n"/>
      <c r="D19" s="6" t="n"/>
      <c r="E19" s="6" t="n">
        <v>-7601</v>
      </c>
      <c r="F19" s="6" t="n">
        <v>-8311</v>
      </c>
      <c r="G19" s="6" t="n">
        <v>-9010</v>
      </c>
      <c r="H19" s="6" t="n">
        <v>-3210</v>
      </c>
      <c r="I19" s="6" t="n">
        <v>-799</v>
      </c>
      <c r="J19" s="6" t="n">
        <v>-250</v>
      </c>
    </row>
    <row r="20">
      <c r="A20" s="6" t="inlineStr">
        <is>
          <t>Other operating expense</t>
        </is>
      </c>
      <c r="B20" s="6" t="n">
        <v>-503942</v>
      </c>
      <c r="C20" s="6" t="n">
        <v>-334520</v>
      </c>
      <c r="D20" s="6" t="n">
        <v>-242080</v>
      </c>
      <c r="E20" s="6" t="n">
        <v>-147342</v>
      </c>
      <c r="F20" s="6" t="n">
        <v>-94405</v>
      </c>
      <c r="G20" s="6" t="n">
        <v>-79977</v>
      </c>
      <c r="H20" s="6" t="n">
        <v>-70372</v>
      </c>
      <c r="I20" s="6" t="n">
        <v>-33421</v>
      </c>
      <c r="J20" s="6" t="n">
        <v>-25426</v>
      </c>
    </row>
    <row r="21">
      <c r="A21" s="5" t="inlineStr">
        <is>
          <t>Total operating expense</t>
        </is>
      </c>
      <c r="B21" s="5" t="n">
        <v>-925525</v>
      </c>
      <c r="C21" s="5" t="n">
        <v>-687449</v>
      </c>
      <c r="D21" s="5" t="n">
        <v>-498993</v>
      </c>
      <c r="E21" s="5" t="n">
        <v>-330268</v>
      </c>
      <c r="F21" s="5" t="n">
        <v>-232867</v>
      </c>
      <c r="G21" s="5" t="n">
        <v>-194256</v>
      </c>
      <c r="H21" s="5" t="n">
        <v>-151068</v>
      </c>
      <c r="I21" s="5" t="n">
        <v>-59874</v>
      </c>
      <c r="J21" s="5" t="n">
        <v>-34890</v>
      </c>
    </row>
    <row r="22">
      <c r="A22" s="6" t="inlineStr">
        <is>
          <t>Exchange differences through profit or loss</t>
        </is>
      </c>
      <c r="B22" s="6" t="n"/>
      <c r="C22" s="6" t="n"/>
      <c r="D22" s="6" t="n">
        <v>50</v>
      </c>
      <c r="E22" s="6" t="n">
        <v>-582</v>
      </c>
      <c r="F22" s="6" t="n">
        <v>-172</v>
      </c>
      <c r="G22" s="6" t="n">
        <v>35</v>
      </c>
      <c r="H22" s="6" t="n">
        <v>-61</v>
      </c>
      <c r="I22" s="6" t="n"/>
      <c r="J22" s="6" t="n"/>
    </row>
    <row r="23">
      <c r="A23" s="5" t="inlineStr">
        <is>
          <t>Profit/(Loss) before tax</t>
        </is>
      </c>
      <c r="B23" s="5" t="n">
        <v>87288</v>
      </c>
      <c r="C23" s="5" t="n">
        <v>60478</v>
      </c>
      <c r="D23" s="5" t="n">
        <v>15448</v>
      </c>
      <c r="E23" s="5" t="n"/>
      <c r="F23" s="5" t="n">
        <v>-119020</v>
      </c>
      <c r="G23" s="5" t="n">
        <v>-131380</v>
      </c>
      <c r="H23" s="5" t="n">
        <v>-115471</v>
      </c>
      <c r="I23" s="5" t="n">
        <v>-50716</v>
      </c>
      <c r="J23" s="5" t="n">
        <v>-33076</v>
      </c>
    </row>
    <row r="24">
      <c r="A24" s="6" t="inlineStr">
        <is>
          <t>Taxation credit/(expense)</t>
        </is>
      </c>
      <c r="B24" s="6" t="n">
        <v>-958</v>
      </c>
      <c r="C24" s="6" t="n">
        <v>34090</v>
      </c>
      <c r="D24" s="6" t="n">
        <v>-6739</v>
      </c>
      <c r="E24" s="6" t="n"/>
      <c r="F24" s="6" t="n">
        <v>0</v>
      </c>
      <c r="G24" s="6" t="n">
        <v>303</v>
      </c>
      <c r="H24" s="6" t="n">
        <v>1655</v>
      </c>
      <c r="I24" s="6" t="n">
        <v>3552</v>
      </c>
      <c r="J24" s="6" t="n">
        <v>2530</v>
      </c>
    </row>
    <row r="25">
      <c r="A25" s="5" t="inlineStr">
        <is>
          <t>Profit/(Loss) for the year</t>
        </is>
      </c>
      <c r="B25" s="5" t="n">
        <v>86330</v>
      </c>
      <c r="C25" s="5" t="n">
        <v>94568</v>
      </c>
      <c r="D25" s="5" t="n">
        <v>8709</v>
      </c>
      <c r="E25" s="5" t="n">
        <v>-116341</v>
      </c>
      <c r="F25" s="5" t="n">
        <v>-119020</v>
      </c>
      <c r="G25" s="5" t="n">
        <v>-131077</v>
      </c>
      <c r="H25" s="5" t="n">
        <v>-113816</v>
      </c>
      <c r="I25" s="5" t="n">
        <v>-47164</v>
      </c>
      <c r="J25" s="5" t="n">
        <v>-30546</v>
      </c>
    </row>
    <row r="26">
      <c r="A26" s="5" t="inlineStr">
        <is>
          <t>Other comprehensive income that may be recycled to profit or loss</t>
        </is>
      </c>
      <c r="B26" s="6" t="n"/>
      <c r="C26" s="6" t="n"/>
      <c r="D26" s="6" t="n"/>
      <c r="E26" s="6" t="n"/>
      <c r="F26" s="6" t="n"/>
      <c r="G26" s="6" t="n"/>
      <c r="H26" s="6" t="n"/>
      <c r="I26" s="6" t="n"/>
      <c r="J26" s="6" t="n"/>
    </row>
    <row r="27">
      <c r="A27" s="6" t="inlineStr">
        <is>
          <t>Currency translation differences</t>
        </is>
      </c>
      <c r="B27" s="6" t="n">
        <v>-969</v>
      </c>
      <c r="C27" s="6" t="n">
        <v>-159</v>
      </c>
      <c r="D27" s="6" t="n">
        <v>-305</v>
      </c>
      <c r="E27" s="6" t="n"/>
      <c r="F27" s="6" t="n"/>
      <c r="G27" s="6" t="n"/>
      <c r="H27" s="6" t="n"/>
      <c r="I27" s="6" t="n"/>
      <c r="J27" s="6" t="n"/>
    </row>
    <row r="28">
      <c r="A28" s="6" t="inlineStr">
        <is>
          <t>Cash flow hedging reserve: net gains from changes in fair value</t>
        </is>
      </c>
      <c r="B28" s="6" t="n">
        <v>-107977</v>
      </c>
      <c r="C28" s="6" t="n">
        <v>5524</v>
      </c>
      <c r="D28" s="6" t="n">
        <v>1391</v>
      </c>
      <c r="E28" s="6" t="n"/>
      <c r="F28" s="6" t="n"/>
      <c r="G28" s="6" t="n"/>
      <c r="H28" s="6" t="n"/>
      <c r="I28" s="6" t="n"/>
      <c r="J28" s="6" t="n"/>
    </row>
    <row r="29">
      <c r="A29" s="6" t="inlineStr">
        <is>
          <t>Cash flow hedging reserve: net losses/(gains) transferred to net profit</t>
        </is>
      </c>
      <c r="B29" s="6" t="n">
        <v>1825</v>
      </c>
      <c r="C29" s="6" t="n">
        <v>180</v>
      </c>
      <c r="D29" s="6" t="n">
        <v>-71</v>
      </c>
      <c r="E29" s="6" t="n"/>
      <c r="F29" s="6" t="n"/>
      <c r="G29" s="6" t="n"/>
      <c r="H29" s="6" t="n"/>
      <c r="I29" s="6" t="n"/>
      <c r="J29" s="6" t="n"/>
    </row>
    <row r="30">
      <c r="A30" s="6" t="inlineStr">
        <is>
          <t>Cash flow hedging reserve: tax</t>
        </is>
      </c>
      <c r="B30" s="6" t="n">
        <v>29278</v>
      </c>
      <c r="C30" s="6" t="n">
        <v>-1637</v>
      </c>
      <c r="D30" s="6" t="n">
        <v>-330</v>
      </c>
      <c r="E30" s="6" t="n"/>
      <c r="F30" s="6" t="n"/>
      <c r="G30" s="6" t="n"/>
      <c r="H30" s="6" t="n"/>
      <c r="I30" s="6" t="n"/>
      <c r="J30" s="6" t="n"/>
    </row>
    <row r="31">
      <c r="A31" s="6" t="inlineStr">
        <is>
          <t>Financial assets reserve: net changes in FVOCI financial assets</t>
        </is>
      </c>
      <c r="B31" s="6" t="n">
        <v>560</v>
      </c>
      <c r="C31" s="6" t="n">
        <v>598</v>
      </c>
      <c r="D31" s="6" t="n"/>
      <c r="E31" s="6" t="n"/>
      <c r="F31" s="6" t="n"/>
      <c r="G31" s="6" t="n"/>
      <c r="H31" s="6" t="n"/>
      <c r="I31" s="6" t="n"/>
      <c r="J31" s="6" t="n"/>
    </row>
    <row r="32">
      <c r="A32" s="6" t="inlineStr">
        <is>
          <t>Financial assets reserve: tax</t>
        </is>
      </c>
      <c r="B32" s="6" t="n">
        <v>-156</v>
      </c>
      <c r="C32" s="6" t="n">
        <v>-167</v>
      </c>
      <c r="D32" s="6" t="n"/>
      <c r="E32" s="6" t="n"/>
      <c r="F32" s="6" t="n"/>
      <c r="G32" s="6" t="n"/>
      <c r="H32" s="6" t="n"/>
      <c r="I32" s="6" t="n"/>
      <c r="J32" s="6" t="n"/>
    </row>
    <row r="33">
      <c r="A33" s="5" t="inlineStr">
        <is>
          <t>Other comprehensive income that may be recycled to profit or loss</t>
        </is>
      </c>
      <c r="B33" s="5" t="n"/>
      <c r="C33" s="5" t="n">
        <v>4339</v>
      </c>
      <c r="D33" s="5" t="n">
        <v>685</v>
      </c>
      <c r="E33" s="5" t="n"/>
      <c r="F33" s="5" t="n"/>
      <c r="G33" s="5" t="n"/>
      <c r="H33" s="5" t="n"/>
      <c r="I33" s="5" t="n"/>
      <c r="J33" s="5" t="n"/>
    </row>
    <row r="34">
      <c r="A34" s="5" t="inlineStr">
        <is>
          <t>Total comprehensive income/(loss) for the year, net of tax</t>
        </is>
      </c>
      <c r="B34" s="5" t="n">
        <v>8891</v>
      </c>
      <c r="C34" s="5" t="n">
        <v>98907</v>
      </c>
      <c r="D34" s="5" t="n">
        <v>9394</v>
      </c>
      <c r="E34" s="5" t="n">
        <v>-116341</v>
      </c>
      <c r="F34" s="5" t="n">
        <v>-119020</v>
      </c>
      <c r="G34" s="5" t="n">
        <v>-131077</v>
      </c>
      <c r="H34" s="5" t="n">
        <v>-113816</v>
      </c>
      <c r="I34" s="5" t="n">
        <v>-47164</v>
      </c>
      <c r="J34" s="5" t="n">
        <v>-30546</v>
      </c>
    </row>
    <row r="36" ht="390" customHeight="1">
      <c r="A36" s="8" t="inlineStr">
        <is>
          <t>Sources - all figures are Monzo Group (consolidated) statement of comprehensive income, £'000. See entity note on the Cash Flow Statement sheet for MBL vs MBHG scope by year.
FY2025: Monzo Annual Report and Accounts 2025, p.116 (Consolidated statement of comprehensive income) - https://monzo.com/annual-report/2025/Monzo%20Bank%20Group%20FY2025%20Annual%20Report.pdf
FY2024: Monzo Bank Holding Group Limited Annual Report and Group Financial Statements 2024, p.95 (Consolidated statement of comprehensive income, 13-month period ended 31 March 2024) - https://monzo.com/docs/monzo-annual-report-2024.pdf
FY2023: Monzo Bank Limited Annual Report and Accounts 2023, p.96 (Statement of comprehensive income, Group, year ended 28 February 2023) - https://monzo.com/docs/monzo-annual-report-2023.pdf
FY2022: Monzo Bank Limited Group Annual Report 2022, p.104 (Statement of comprehensive income, Group, restated, year ended 28 February 2022) - https://monzo.com/static/docs/monzo-annual-report-2022.pdf
FY2021: Monzo Bank Limited Group Annual Report 2022, p.104 (Statement of comprehensive income, Group, restated comparative, year ended 28 February 2021) - https://monzo.com/static/docs/monzo-annual-report-2022.pdf
FY2020: Monzo Bank Limited Group Annual Report 2020, p.92 (Statement of comprehensive income, Group, year ended 29 February 2020) - https://monzo.com/docs/monzo-annual-report-2020.pdf
FY2019: Monzo Bank Limited Annual Report and Financial Statements 2019, p.48 (Statement of comprehensive income, Group, year ended 28 February 2019) - https://find-and-update.company-information.service.gov.uk/company/09446231/filing-history/MzIzOTY5Nzg5MGFkaXF6a2N4/document?format=pdf&amp;download=0
FY2018: Monzo Bank Limited Annual Report and Financial Statements 2018, p.23 (Statement of comprehensive income, year ended 28 February 2018) - https://find-and-update.company-information.service.gov.uk/company/09446231/filing-history/MzE4MzMzNTM5OWFkaXF6a2N4/document?format=pdf&amp;download=0
ENTITY NOTE: FY2025 and FY2024 (marked MBHG) are Monzo Bank Holding Group Limited, the new parent company formed April 2023 - a broader consolidation scope than Monzo Bank Limited (MBL), which includes MBL plus (from FY2025) additional EU/US subsidiaries. FY2018-FY2023 (marked MBL) are Monzo Bank Limited, the entity on the PRA register (company no. 09446231). Monzo Bank Limited continued filing its own standalone accounts through FY2025, but that filing was only available as a scanned, non-text Companies House filing and could not be extracted; MBHG's figures were used for FY2024/25 instead as the only cleanly-extractable source, per user direction. FY2018-FY2020's MBL statutory accounts (also scanned Companies House filings, plus FY2020 was additionally cross-checked against Monzo's own website-hosted copy) were read page-by-page as images rather than machine-extracted. Also note: Monzo changed its financial year end from 28 February to 31 March starting FY2024, making FY2024 a 13-month period (1 March 2023 - 31 March 2024) rather than 12 months - it is not directly run-rate comparable to the other four years.
HISTORICAL FLOOR NOTE (HD-024, 2026-09-06): the same company (09446231) was incorporated 18 Feb 2015 but traded as a pre-launch shell ('Focus FS Limited', then other names) with no banking licence and no deposits or loans on its balance sheet through the period ended 29 Feb 2016 and the year ended 28 Feb 2017 (that FY2016 accounts show total assets of only GBP568k, no interest income, no customer deposits, no loans - not a real operating bank year; FY2017's accounts likewise show GBP0 customer deposits and GBP0 loans, confirmed by the FY2018 Annual Report's own comparative column). Monzo received its restricted UK banking licence in August 2016 and its full/unrestricted licence in April 2017 (per the FY2018 Annual Report's audit opinion). FY2018 (year ended 28 Feb 2018) is therefore the first year with a genuine bank balance sheet (Customer deposits GBP71,276k, Loans and advances to customers GBP160k) and is used here as the real, verified floor - not FY2016 as originally guessed from GLEIF entity-creation-year grouping (which conflated the shell company's 2015 incorporation with Monzo's later start as an operating bank). No further extension before FY2018 is possible: it is the first year the company operated as a bank at all.
PRESENTATION NOTE: Monzo's income statement structure changed materially between the MBL years (FY2021-23), which build to 'Net interest income' / 'Net fee and commission income' / 'Net operating income' subtotals, and the MBHG years (FY2024-25), which instead build to 'Revenue' / 'Cost of Revenue' / 'Gross Profit'. Blank cells indicate that year's report did not disclose that specific line at that granularity. FY2023 disclosed no separate 'Profit before tax' / 'Taxation' split (tax was nil that year) and no in-table other-comprehensive-income breakout (only a footnote); FY2022 and FY2021 likewise disclosed no in-table OCI breakout. FY2018-20 (MBL's earliest standalone accounts) never disclosed an in-table OCI breakout either (no OCI existed - 'Total comprehensive loss' equals 'Loss for the year' exactly in all three). FY2018's own statement has no 'Net interest income' subtotal row at all (interest income was immaterial pre-overdraft-launch); FY2018's impairment line was labelled 'Credit impairment charges' (IAS 39 basis) rather than 'Credit loss expense on financial assets' (IFRS 9 basis, adopted from FY2019) - both are shown on the same row here as the same underlying concept. 'Profit/(Loss) for the year' and 'Total comprehensive income/(loss) for the year, net of tax' are consistent and comparable across all 8 years regardless of the above.</t>
        </is>
      </c>
    </row>
  </sheetData>
  <mergeCells count="1">
    <mergeCell ref="A36:J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0"/>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Monzo — Consolidated Statement of Changes in Equity</t>
        </is>
      </c>
    </row>
    <row r="2">
      <c r="A2" s="2" t="inlineStr">
        <is>
          <t>Monzo Group (consolidated basis), £'000, chronological FY2018-FY2026. See entity note on the Cash Flow Statement sheet.</t>
        </is>
      </c>
    </row>
    <row r="3">
      <c r="A3" s="4" t="inlineStr">
        <is>
          <t>Movement</t>
        </is>
      </c>
      <c r="B3" s="4" t="inlineStr">
        <is>
          <t>Share capital</t>
        </is>
      </c>
      <c r="C3" s="4" t="inlineStr">
        <is>
          <t>Share premium</t>
        </is>
      </c>
      <c r="D3" s="4" t="inlineStr">
        <is>
          <t>Other reserves</t>
        </is>
      </c>
      <c r="E3" s="4" t="inlineStr">
        <is>
          <t>Merger reserve</t>
        </is>
      </c>
      <c r="F3" s="4" t="inlineStr">
        <is>
          <t>Retained losses</t>
        </is>
      </c>
      <c r="G3" s="4" t="inlineStr">
        <is>
          <t>Total equity</t>
        </is>
      </c>
    </row>
    <row r="4">
      <c r="A4" s="5" t="inlineStr">
        <is>
          <t>Balance as at 28 February 2018</t>
        </is>
      </c>
      <c r="B4" s="5" t="n">
        <v>0</v>
      </c>
      <c r="C4" s="5" t="n">
        <v>93989</v>
      </c>
      <c r="D4" s="5" t="n">
        <v>871</v>
      </c>
      <c r="E4" s="5" t="n"/>
      <c r="F4" s="5" t="n">
        <v>-38681</v>
      </c>
      <c r="G4" s="5" t="n">
        <v>56179</v>
      </c>
    </row>
    <row r="5">
      <c r="A5" s="6" t="inlineStr">
        <is>
          <t>Shares issued</t>
        </is>
      </c>
      <c r="B5" s="6" t="n">
        <v>0</v>
      </c>
      <c r="C5" s="6" t="n">
        <v>105294</v>
      </c>
      <c r="D5" s="6" t="n"/>
      <c r="E5" s="6" t="n"/>
      <c r="F5" s="6" t="n"/>
      <c r="G5" s="6" t="n">
        <v>105294</v>
      </c>
    </row>
    <row r="6">
      <c r="A6" s="6" t="inlineStr">
        <is>
          <t>Cost of issuance</t>
        </is>
      </c>
      <c r="B6" s="6" t="n"/>
      <c r="C6" s="6" t="n">
        <v>-1207</v>
      </c>
      <c r="D6" s="6" t="n"/>
      <c r="E6" s="6" t="n"/>
      <c r="F6" s="6" t="n"/>
      <c r="G6" s="6" t="n">
        <v>-1207</v>
      </c>
    </row>
    <row r="7">
      <c r="A7" s="6" t="inlineStr">
        <is>
          <t>Share-based payments reserve</t>
        </is>
      </c>
      <c r="B7" s="6" t="n"/>
      <c r="C7" s="6" t="n"/>
      <c r="D7" s="6" t="n">
        <v>2511</v>
      </c>
      <c r="E7" s="6" t="n"/>
      <c r="F7" s="6" t="n"/>
      <c r="G7" s="6" t="n">
        <v>2511</v>
      </c>
    </row>
    <row r="8">
      <c r="A8" s="6" t="inlineStr">
        <is>
          <t>Exercise of options</t>
        </is>
      </c>
      <c r="B8" s="6" t="n">
        <v>0</v>
      </c>
      <c r="C8" s="6" t="n">
        <v>70</v>
      </c>
      <c r="D8" s="6" t="n">
        <v>-218</v>
      </c>
      <c r="E8" s="6" t="n"/>
      <c r="F8" s="6" t="n">
        <v>205</v>
      </c>
      <c r="G8" s="6" t="n">
        <v>57</v>
      </c>
    </row>
    <row r="9">
      <c r="A9" s="6" t="inlineStr">
        <is>
          <t>Loss for the year (FY2019)</t>
        </is>
      </c>
      <c r="B9" s="6" t="n"/>
      <c r="C9" s="6" t="n"/>
      <c r="D9" s="6" t="n"/>
      <c r="E9" s="6" t="n"/>
      <c r="F9" s="6" t="n">
        <v>-47164</v>
      </c>
      <c r="G9" s="6" t="n">
        <v>-47164</v>
      </c>
    </row>
    <row r="10">
      <c r="A10" s="5" t="inlineStr">
        <is>
          <t>Balance as at 28 February 2019</t>
        </is>
      </c>
      <c r="B10" s="5" t="n">
        <v>0</v>
      </c>
      <c r="C10" s="5" t="n">
        <v>198146</v>
      </c>
      <c r="D10" s="5" t="n">
        <v>3164</v>
      </c>
      <c r="E10" s="5" t="n"/>
      <c r="F10" s="5" t="n">
        <v>-85640</v>
      </c>
      <c r="G10" s="5" t="n">
        <v>115670</v>
      </c>
    </row>
    <row r="11">
      <c r="A11" s="6" t="inlineStr">
        <is>
          <t>Shares issued</t>
        </is>
      </c>
      <c r="B11" s="6" t="n">
        <v>0</v>
      </c>
      <c r="C11" s="6" t="n">
        <v>113629</v>
      </c>
      <c r="D11" s="6" t="n"/>
      <c r="E11" s="6" t="n"/>
      <c r="F11" s="6" t="n"/>
      <c r="G11" s="6" t="n">
        <v>113629</v>
      </c>
    </row>
    <row r="12">
      <c r="A12" s="6" t="inlineStr">
        <is>
          <t>Cost of issuance</t>
        </is>
      </c>
      <c r="B12" s="6" t="n"/>
      <c r="C12" s="6" t="n">
        <v>-658</v>
      </c>
      <c r="D12" s="6" t="n"/>
      <c r="E12" s="6" t="n"/>
      <c r="F12" s="6" t="n"/>
      <c r="G12" s="6" t="n">
        <v>-658</v>
      </c>
    </row>
    <row r="13">
      <c r="A13" s="6" t="inlineStr">
        <is>
          <t>Share-based payments reserve</t>
        </is>
      </c>
      <c r="B13" s="6" t="n"/>
      <c r="C13" s="6" t="n"/>
      <c r="D13" s="6" t="n">
        <v>14371</v>
      </c>
      <c r="E13" s="6" t="n"/>
      <c r="F13" s="6" t="n"/>
      <c r="G13" s="6" t="n">
        <v>14371</v>
      </c>
    </row>
    <row r="14">
      <c r="A14" s="6" t="inlineStr">
        <is>
          <t>Cumulative translation adjustment</t>
        </is>
      </c>
      <c r="B14" s="6" t="n"/>
      <c r="C14" s="6" t="n"/>
      <c r="D14" s="6" t="n">
        <v>-5</v>
      </c>
      <c r="E14" s="6" t="n"/>
      <c r="F14" s="6" t="n"/>
      <c r="G14" s="6" t="n">
        <v>-5</v>
      </c>
    </row>
    <row r="15">
      <c r="A15" s="6" t="inlineStr">
        <is>
          <t>Share buyback</t>
        </is>
      </c>
      <c r="B15" s="6" t="n"/>
      <c r="C15" s="6" t="n"/>
      <c r="D15" s="6" t="n">
        <v>-209</v>
      </c>
      <c r="E15" s="6" t="n"/>
      <c r="F15" s="6" t="n"/>
      <c r="G15" s="6" t="n">
        <v>-209</v>
      </c>
    </row>
    <row r="16">
      <c r="A16" s="6" t="inlineStr">
        <is>
          <t>Exercise of options</t>
        </is>
      </c>
      <c r="B16" s="6" t="n">
        <v>0</v>
      </c>
      <c r="C16" s="6" t="n">
        <v>22</v>
      </c>
      <c r="D16" s="6" t="n">
        <v>-20</v>
      </c>
      <c r="E16" s="6" t="n"/>
      <c r="F16" s="6" t="n">
        <v>20</v>
      </c>
      <c r="G16" s="6" t="n">
        <v>22</v>
      </c>
    </row>
    <row r="17">
      <c r="A17" s="6" t="inlineStr">
        <is>
          <t>Loss for the year (FY2020)</t>
        </is>
      </c>
      <c r="B17" s="6" t="n"/>
      <c r="C17" s="6" t="n"/>
      <c r="D17" s="6" t="n"/>
      <c r="E17" s="6" t="n"/>
      <c r="F17" s="6" t="n">
        <v>-113816</v>
      </c>
      <c r="G17" s="6" t="n">
        <v>-113816</v>
      </c>
    </row>
    <row r="18">
      <c r="A18" s="5" t="inlineStr">
        <is>
          <t>Balance as at 1 March 2020 (as previously reported)</t>
        </is>
      </c>
      <c r="B18" s="5" t="n">
        <v>0</v>
      </c>
      <c r="C18" s="5" t="n">
        <v>311139</v>
      </c>
      <c r="D18" s="5" t="n">
        <v>17301</v>
      </c>
      <c r="E18" s="5" t="n"/>
      <c r="F18" s="5" t="n">
        <v>-199436</v>
      </c>
      <c r="G18" s="5" t="n">
        <v>129004</v>
      </c>
    </row>
    <row r="19">
      <c r="A19" s="6" t="inlineStr">
        <is>
          <t>Prior year adjustments</t>
        </is>
      </c>
      <c r="B19" s="6" t="n">
        <v>0</v>
      </c>
      <c r="C19" s="6" t="n">
        <v>0</v>
      </c>
      <c r="D19" s="6" t="n">
        <v>12536</v>
      </c>
      <c r="E19" s="6" t="n"/>
      <c r="F19" s="6" t="n">
        <v>-12536</v>
      </c>
      <c r="G19" s="6" t="n">
        <v>0</v>
      </c>
    </row>
    <row r="20">
      <c r="A20" s="5" t="inlineStr">
        <is>
          <t>Restated balance as at 1 March 2020</t>
        </is>
      </c>
      <c r="B20" s="5" t="n">
        <v>0</v>
      </c>
      <c r="C20" s="5" t="n">
        <v>311139</v>
      </c>
      <c r="D20" s="5" t="n">
        <v>29837</v>
      </c>
      <c r="E20" s="5" t="n"/>
      <c r="F20" s="5" t="n">
        <v>-211972</v>
      </c>
      <c r="G20" s="5" t="n">
        <v>129004</v>
      </c>
    </row>
    <row r="21">
      <c r="A21" s="6" t="inlineStr">
        <is>
          <t>Loss for the year (FY2021, restated)</t>
        </is>
      </c>
      <c r="B21" s="6" t="n"/>
      <c r="C21" s="6" t="n"/>
      <c r="D21" s="6" t="n"/>
      <c r="E21" s="6" t="n"/>
      <c r="F21" s="6" t="n">
        <v>-131077</v>
      </c>
      <c r="G21" s="6" t="n">
        <v>-131077</v>
      </c>
    </row>
    <row r="22">
      <c r="A22" s="6" t="inlineStr">
        <is>
          <t>Cumulative translation adjustment</t>
        </is>
      </c>
      <c r="B22" s="6" t="n"/>
      <c r="C22" s="6" t="n"/>
      <c r="D22" s="6" t="n">
        <v>-131</v>
      </c>
      <c r="E22" s="6" t="n"/>
      <c r="F22" s="6" t="n"/>
      <c r="G22" s="6" t="n">
        <v>-131</v>
      </c>
    </row>
    <row r="23">
      <c r="A23" s="5" t="inlineStr">
        <is>
          <t>Total comprehensive loss for the year (FY2021, restated)</t>
        </is>
      </c>
      <c r="B23" s="5" t="n"/>
      <c r="C23" s="5" t="n"/>
      <c r="D23" s="5" t="n">
        <v>-131</v>
      </c>
      <c r="E23" s="5" t="n"/>
      <c r="F23" s="5" t="n">
        <v>-131077</v>
      </c>
      <c r="G23" s="5" t="n">
        <v>-131208</v>
      </c>
    </row>
    <row r="24">
      <c r="A24" s="6" t="inlineStr">
        <is>
          <t>Shares issued</t>
        </is>
      </c>
      <c r="B24" s="6" t="n"/>
      <c r="C24" s="6" t="n">
        <v>198019</v>
      </c>
      <c r="D24" s="6" t="n"/>
      <c r="E24" s="6" t="n"/>
      <c r="F24" s="6" t="n"/>
      <c r="G24" s="6" t="n">
        <v>198019</v>
      </c>
    </row>
    <row r="25">
      <c r="A25" s="6" t="inlineStr">
        <is>
          <t>Cost of issuance</t>
        </is>
      </c>
      <c r="B25" s="6" t="n"/>
      <c r="C25" s="6" t="n">
        <v>-476</v>
      </c>
      <c r="D25" s="6" t="n"/>
      <c r="E25" s="6" t="n"/>
      <c r="F25" s="6" t="n"/>
      <c r="G25" s="6" t="n">
        <v>-476</v>
      </c>
    </row>
    <row r="26">
      <c r="A26" s="6" t="inlineStr">
        <is>
          <t>Share-based payments reserve (restated)</t>
        </is>
      </c>
      <c r="B26" s="6" t="n"/>
      <c r="C26" s="6" t="n"/>
      <c r="D26" s="6" t="n">
        <v>26550</v>
      </c>
      <c r="E26" s="6" t="n"/>
      <c r="F26" s="6" t="n"/>
      <c r="G26" s="6" t="n">
        <v>26550</v>
      </c>
    </row>
    <row r="27">
      <c r="A27" s="6" t="inlineStr">
        <is>
          <t>Share reclassification</t>
        </is>
      </c>
      <c r="B27" s="6" t="n"/>
      <c r="C27" s="6" t="n">
        <v>-209</v>
      </c>
      <c r="D27" s="6" t="n">
        <v>209</v>
      </c>
      <c r="E27" s="6" t="n"/>
      <c r="F27" s="6" t="n"/>
      <c r="G27" s="6" t="n">
        <v>0</v>
      </c>
    </row>
    <row r="28">
      <c r="A28" s="6" t="inlineStr">
        <is>
          <t>Exercise of options</t>
        </is>
      </c>
      <c r="B28" s="6" t="n"/>
      <c r="C28" s="6" t="n">
        <v>5</v>
      </c>
      <c r="D28" s="6" t="n">
        <v>-6</v>
      </c>
      <c r="E28" s="6" t="n"/>
      <c r="F28" s="6" t="n">
        <v>6</v>
      </c>
      <c r="G28" s="6" t="n">
        <v>5</v>
      </c>
    </row>
    <row r="29">
      <c r="A29" s="5" t="inlineStr">
        <is>
          <t>Restated balance as at 28 February 2021</t>
        </is>
      </c>
      <c r="B29" s="5" t="n">
        <v>0</v>
      </c>
      <c r="C29" s="5" t="n">
        <v>508478</v>
      </c>
      <c r="D29" s="5" t="n">
        <v>56459</v>
      </c>
      <c r="E29" s="5" t="n"/>
      <c r="F29" s="5" t="n">
        <v>-343043</v>
      </c>
      <c r="G29" s="5" t="n">
        <v>221894</v>
      </c>
    </row>
    <row r="30">
      <c r="A30" s="6" t="inlineStr">
        <is>
          <t>Loss for the year (FY2022)</t>
        </is>
      </c>
      <c r="B30" s="6" t="n"/>
      <c r="C30" s="6" t="n"/>
      <c r="D30" s="6" t="n"/>
      <c r="E30" s="6" t="n"/>
      <c r="F30" s="6" t="n">
        <v>-119020</v>
      </c>
      <c r="G30" s="6" t="n">
        <v>-119020</v>
      </c>
    </row>
    <row r="31">
      <c r="A31" s="6" t="inlineStr">
        <is>
          <t>Cumulative translation adjustment</t>
        </is>
      </c>
      <c r="B31" s="6" t="n"/>
      <c r="C31" s="6" t="n"/>
      <c r="D31" s="6" t="n">
        <v>-1</v>
      </c>
      <c r="E31" s="6" t="n"/>
      <c r="F31" s="6" t="n"/>
      <c r="G31" s="6" t="n">
        <v>-1</v>
      </c>
    </row>
    <row r="32">
      <c r="A32" s="5" t="inlineStr">
        <is>
          <t>Total comprehensive loss for the year (FY2022)</t>
        </is>
      </c>
      <c r="B32" s="5" t="n"/>
      <c r="C32" s="5" t="n"/>
      <c r="D32" s="5" t="n">
        <v>-1</v>
      </c>
      <c r="E32" s="5" t="n"/>
      <c r="F32" s="5" t="n">
        <v>-119020</v>
      </c>
      <c r="G32" s="5" t="n">
        <v>-119021</v>
      </c>
    </row>
    <row r="33">
      <c r="A33" s="6" t="inlineStr">
        <is>
          <t>Shares issued</t>
        </is>
      </c>
      <c r="B33" s="6" t="n"/>
      <c r="C33" s="6" t="n">
        <v>454585</v>
      </c>
      <c r="D33" s="6" t="n"/>
      <c r="E33" s="6" t="n"/>
      <c r="F33" s="6" t="n"/>
      <c r="G33" s="6" t="n">
        <v>454585</v>
      </c>
    </row>
    <row r="34">
      <c r="A34" s="6" t="inlineStr">
        <is>
          <t>Cost of issuance</t>
        </is>
      </c>
      <c r="B34" s="6" t="n"/>
      <c r="C34" s="6" t="n">
        <v>-18629</v>
      </c>
      <c r="D34" s="6" t="n"/>
      <c r="E34" s="6" t="n"/>
      <c r="F34" s="6" t="n"/>
      <c r="G34" s="6" t="n">
        <v>-18629</v>
      </c>
    </row>
    <row r="35">
      <c r="A35" s="6" t="inlineStr">
        <is>
          <t>Share-based payments reserve</t>
        </is>
      </c>
      <c r="B35" s="6" t="n"/>
      <c r="C35" s="6" t="n"/>
      <c r="D35" s="6" t="n">
        <v>23387</v>
      </c>
      <c r="E35" s="6" t="n"/>
      <c r="F35" s="6" t="n"/>
      <c r="G35" s="6" t="n">
        <v>23387</v>
      </c>
    </row>
    <row r="36">
      <c r="A36" s="6" t="inlineStr">
        <is>
          <t>Exercise of options</t>
        </is>
      </c>
      <c r="B36" s="6" t="n"/>
      <c r="C36" s="6" t="n">
        <v>52</v>
      </c>
      <c r="D36" s="6" t="n">
        <v>-659</v>
      </c>
      <c r="E36" s="6" t="n"/>
      <c r="F36" s="6" t="n">
        <v>659</v>
      </c>
      <c r="G36" s="6" t="n">
        <v>52</v>
      </c>
    </row>
    <row r="37">
      <c r="A37" s="5" t="inlineStr">
        <is>
          <t>Balance as at 28 February 2022</t>
        </is>
      </c>
      <c r="B37" s="5" t="n">
        <v>0</v>
      </c>
      <c r="C37" s="5" t="n">
        <v>944486</v>
      </c>
      <c r="D37" s="5" t="n">
        <v>79186</v>
      </c>
      <c r="E37" s="5" t="n"/>
      <c r="F37" s="5" t="n">
        <v>-461404</v>
      </c>
      <c r="G37" s="5" t="n">
        <v>562268</v>
      </c>
    </row>
    <row r="38">
      <c r="A38" s="6" t="inlineStr">
        <is>
          <t>Loss for the year (FY2023)</t>
        </is>
      </c>
      <c r="B38" s="6" t="n"/>
      <c r="C38" s="6" t="n"/>
      <c r="D38" s="6" t="n"/>
      <c r="E38" s="6" t="n"/>
      <c r="F38" s="6" t="n">
        <v>-116341</v>
      </c>
      <c r="G38" s="6" t="n">
        <v>-116341</v>
      </c>
    </row>
    <row r="39">
      <c r="A39" s="6" t="inlineStr">
        <is>
          <t>Cumulative translation adjustment</t>
        </is>
      </c>
      <c r="B39" s="6" t="n"/>
      <c r="C39" s="6" t="n"/>
      <c r="D39" s="6" t="n">
        <v>326</v>
      </c>
      <c r="E39" s="6" t="n"/>
      <c r="F39" s="6" t="n"/>
      <c r="G39" s="6" t="n">
        <v>326</v>
      </c>
    </row>
    <row r="40">
      <c r="A40" s="5" t="inlineStr">
        <is>
          <t>Total comprehensive income/(loss) for the year (FY2023)</t>
        </is>
      </c>
      <c r="B40" s="5" t="n"/>
      <c r="C40" s="5" t="n"/>
      <c r="D40" s="5" t="n">
        <v>326</v>
      </c>
      <c r="E40" s="5" t="n"/>
      <c r="F40" s="5" t="n">
        <v>-116341</v>
      </c>
      <c r="G40" s="5" t="n">
        <v>-116015</v>
      </c>
    </row>
    <row r="41">
      <c r="A41" s="6" t="inlineStr">
        <is>
          <t>Shares issued</t>
        </is>
      </c>
      <c r="B41" s="6" t="n"/>
      <c r="C41" s="6" t="n">
        <v>210</v>
      </c>
      <c r="D41" s="6" t="n"/>
      <c r="E41" s="6" t="n"/>
      <c r="F41" s="6" t="n"/>
      <c r="G41" s="6" t="n">
        <v>210</v>
      </c>
    </row>
    <row r="42">
      <c r="A42" s="6" t="inlineStr">
        <is>
          <t>Cost of issuance</t>
        </is>
      </c>
      <c r="B42" s="6" t="n"/>
      <c r="C42" s="6" t="n">
        <v>-79</v>
      </c>
      <c r="D42" s="6" t="n"/>
      <c r="E42" s="6" t="n"/>
      <c r="F42" s="6" t="n"/>
      <c r="G42" s="6" t="n">
        <v>-79</v>
      </c>
    </row>
    <row r="43">
      <c r="A43" s="6" t="inlineStr">
        <is>
          <t>Share-based payments reserve</t>
        </is>
      </c>
      <c r="B43" s="6" t="n"/>
      <c r="C43" s="6" t="n"/>
      <c r="D43" s="6" t="n">
        <v>29097</v>
      </c>
      <c r="E43" s="6" t="n"/>
      <c r="F43" s="6" t="n"/>
      <c r="G43" s="6" t="n">
        <v>29097</v>
      </c>
    </row>
    <row r="44">
      <c r="A44" s="6" t="inlineStr">
        <is>
          <t>Exercise of options</t>
        </is>
      </c>
      <c r="B44" s="6" t="n"/>
      <c r="C44" s="6" t="n">
        <v>169</v>
      </c>
      <c r="D44" s="6" t="n">
        <v>-492</v>
      </c>
      <c r="E44" s="6" t="n"/>
      <c r="F44" s="6" t="n">
        <v>492</v>
      </c>
      <c r="G44" s="6" t="n">
        <v>169</v>
      </c>
    </row>
    <row r="45">
      <c r="A45" s="5" t="inlineStr">
        <is>
          <t>Balance as at 28 February 2023</t>
        </is>
      </c>
      <c r="B45" s="5" t="n">
        <v>0</v>
      </c>
      <c r="C45" s="5" t="n">
        <v>944786</v>
      </c>
      <c r="D45" s="5" t="n">
        <v>108117</v>
      </c>
      <c r="E45" s="5" t="n"/>
      <c r="F45" s="5" t="n">
        <v>-577253</v>
      </c>
      <c r="G45" s="5" t="n">
        <v>475650</v>
      </c>
    </row>
    <row r="46">
      <c r="A46" s="6" t="inlineStr">
        <is>
          <t>Profit for the year (FY2024)</t>
        </is>
      </c>
      <c r="B46" s="6" t="n"/>
      <c r="C46" s="6" t="n"/>
      <c r="D46" s="6" t="n"/>
      <c r="E46" s="6" t="n"/>
      <c r="F46" s="6" t="n">
        <v>8709</v>
      </c>
      <c r="G46" s="6" t="n">
        <v>8709</v>
      </c>
    </row>
    <row r="47">
      <c r="A47" s="6" t="inlineStr">
        <is>
          <t>Cumulative translation adjustment</t>
        </is>
      </c>
      <c r="B47" s="6" t="n"/>
      <c r="C47" s="6" t="n"/>
      <c r="D47" s="6" t="n">
        <v>-305</v>
      </c>
      <c r="E47" s="6" t="n"/>
      <c r="F47" s="6" t="n"/>
      <c r="G47" s="6" t="n">
        <v>-305</v>
      </c>
    </row>
    <row r="48">
      <c r="A48" s="6" t="inlineStr">
        <is>
          <t>Cash flow hedge reserve</t>
        </is>
      </c>
      <c r="B48" s="6" t="n"/>
      <c r="C48" s="6" t="n"/>
      <c r="D48" s="6" t="n">
        <v>990</v>
      </c>
      <c r="E48" s="6" t="n"/>
      <c r="F48" s="6" t="n"/>
      <c r="G48" s="6" t="n">
        <v>990</v>
      </c>
    </row>
    <row r="49">
      <c r="A49" s="5" t="inlineStr">
        <is>
          <t>Total comprehensive income for the year (FY2024)</t>
        </is>
      </c>
      <c r="B49" s="5" t="n"/>
      <c r="C49" s="5" t="n"/>
      <c r="D49" s="5" t="n">
        <v>685</v>
      </c>
      <c r="E49" s="5" t="n"/>
      <c r="F49" s="5" t="n">
        <v>8709</v>
      </c>
      <c r="G49" s="5" t="n">
        <v>9394</v>
      </c>
    </row>
    <row r="50">
      <c r="A50" s="6" t="inlineStr">
        <is>
          <t>Shares issued</t>
        </is>
      </c>
      <c r="B50" s="6" t="n">
        <v>217</v>
      </c>
      <c r="C50" s="6" t="n">
        <v>340496</v>
      </c>
      <c r="D50" s="6" t="n"/>
      <c r="E50" s="6" t="n"/>
      <c r="F50" s="6" t="n"/>
      <c r="G50" s="6" t="n">
        <v>340713</v>
      </c>
    </row>
    <row r="51">
      <c r="A51" s="6" t="inlineStr">
        <is>
          <t>Cost of issuance</t>
        </is>
      </c>
      <c r="B51" s="6" t="n"/>
      <c r="C51" s="6" t="n">
        <v>-1356</v>
      </c>
      <c r="D51" s="6" t="n"/>
      <c r="E51" s="6" t="n"/>
      <c r="F51" s="6" t="n"/>
      <c r="G51" s="6" t="n">
        <v>-1356</v>
      </c>
    </row>
    <row r="52">
      <c r="A52" s="6" t="inlineStr">
        <is>
          <t>Share-based payments reserve</t>
        </is>
      </c>
      <c r="B52" s="6" t="n"/>
      <c r="C52" s="6" t="n"/>
      <c r="D52" s="6" t="n">
        <v>37469</v>
      </c>
      <c r="E52" s="6" t="n"/>
      <c r="F52" s="6" t="n"/>
      <c r="G52" s="6" t="n">
        <v>37469</v>
      </c>
    </row>
    <row r="53">
      <c r="A53" s="6" t="inlineStr">
        <is>
          <t>Exercise of options</t>
        </is>
      </c>
      <c r="B53" s="6" t="n"/>
      <c r="C53" s="6" t="n">
        <v>275</v>
      </c>
      <c r="D53" s="6" t="n">
        <v>-3761</v>
      </c>
      <c r="E53" s="6" t="n"/>
      <c r="F53" s="6" t="n">
        <v>3761</v>
      </c>
      <c r="G53" s="6" t="n">
        <v>275</v>
      </c>
    </row>
    <row r="54">
      <c r="A54" s="6" t="inlineStr">
        <is>
          <t>Reserve reclassification</t>
        </is>
      </c>
      <c r="B54" s="6" t="n"/>
      <c r="C54" s="6" t="n"/>
      <c r="D54" s="6" t="n">
        <v>-120376</v>
      </c>
      <c r="E54" s="6" t="n"/>
      <c r="F54" s="6" t="n">
        <v>120376</v>
      </c>
      <c r="G54" s="6" t="n">
        <v>0</v>
      </c>
    </row>
    <row r="55">
      <c r="A55" s="6" t="inlineStr">
        <is>
          <t>Creation of merger reserve on group reorganisation</t>
        </is>
      </c>
      <c r="B55" s="6" t="n"/>
      <c r="C55" s="6" t="n">
        <v>-944813</v>
      </c>
      <c r="D55" s="6" t="n"/>
      <c r="E55" s="6" t="n">
        <v>944813</v>
      </c>
      <c r="F55" s="6" t="n"/>
      <c r="G55" s="6" t="n">
        <v>0</v>
      </c>
    </row>
    <row r="56">
      <c r="A56" s="5" t="inlineStr">
        <is>
          <t>Balance as at 31 March 2024</t>
        </is>
      </c>
      <c r="B56" s="5" t="n">
        <v>217</v>
      </c>
      <c r="C56" s="5" t="n">
        <v>339388</v>
      </c>
      <c r="D56" s="5" t="n">
        <v>22134</v>
      </c>
      <c r="E56" s="5" t="n">
        <v>944813</v>
      </c>
      <c r="F56" s="5" t="n">
        <v>-444407</v>
      </c>
      <c r="G56" s="5" t="n">
        <v>862145</v>
      </c>
    </row>
    <row r="57">
      <c r="A57" s="6" t="inlineStr">
        <is>
          <t>Profit for the year (FY2025)</t>
        </is>
      </c>
      <c r="B57" s="6" t="n"/>
      <c r="C57" s="6" t="n"/>
      <c r="D57" s="6" t="n"/>
      <c r="E57" s="6" t="n"/>
      <c r="F57" s="6" t="n">
        <v>94568</v>
      </c>
      <c r="G57" s="6" t="n">
        <v>94568</v>
      </c>
    </row>
    <row r="58">
      <c r="A58" s="6" t="inlineStr">
        <is>
          <t>Cumulative translation adjustment</t>
        </is>
      </c>
      <c r="B58" s="6" t="n"/>
      <c r="C58" s="6" t="n"/>
      <c r="D58" s="6" t="n">
        <v>-159</v>
      </c>
      <c r="E58" s="6" t="n"/>
      <c r="F58" s="6" t="n"/>
      <c r="G58" s="6" t="n">
        <v>-159</v>
      </c>
    </row>
    <row r="59">
      <c r="A59" s="6" t="inlineStr">
        <is>
          <t>Cash flow hedge reserve</t>
        </is>
      </c>
      <c r="B59" s="6" t="n"/>
      <c r="C59" s="6" t="n"/>
      <c r="D59" s="6" t="n">
        <v>4067</v>
      </c>
      <c r="E59" s="6" t="n"/>
      <c r="F59" s="6" t="n"/>
      <c r="G59" s="6" t="n">
        <v>4067</v>
      </c>
    </row>
    <row r="60">
      <c r="A60" s="6" t="inlineStr">
        <is>
          <t>Treasury investment fair value movements</t>
        </is>
      </c>
      <c r="B60" s="6" t="n"/>
      <c r="C60" s="6" t="n"/>
      <c r="D60" s="6" t="n">
        <v>431</v>
      </c>
      <c r="E60" s="6" t="n"/>
      <c r="F60" s="6" t="n"/>
      <c r="G60" s="6" t="n">
        <v>431</v>
      </c>
    </row>
    <row r="61">
      <c r="A61" s="5" t="inlineStr">
        <is>
          <t>Total comprehensive income for the year (FY2025)</t>
        </is>
      </c>
      <c r="B61" s="5" t="n"/>
      <c r="C61" s="5" t="n"/>
      <c r="D61" s="5" t="n">
        <v>4339</v>
      </c>
      <c r="E61" s="5" t="n"/>
      <c r="F61" s="5" t="n">
        <v>94568</v>
      </c>
      <c r="G61" s="5" t="n">
        <v>98907</v>
      </c>
    </row>
    <row r="62">
      <c r="A62" s="6" t="inlineStr">
        <is>
          <t>Shares issued</t>
        </is>
      </c>
      <c r="B62" s="6" t="n">
        <v>21</v>
      </c>
      <c r="C62" s="6" t="n">
        <v>150627</v>
      </c>
      <c r="D62" s="6" t="n"/>
      <c r="E62" s="6" t="n"/>
      <c r="F62" s="6" t="n"/>
      <c r="G62" s="6" t="n">
        <v>150648</v>
      </c>
    </row>
    <row r="63">
      <c r="A63" s="6" t="inlineStr">
        <is>
          <t>Cost of issuance</t>
        </is>
      </c>
      <c r="B63" s="6" t="n"/>
      <c r="C63" s="6" t="n">
        <v>-20</v>
      </c>
      <c r="D63" s="6" t="n"/>
      <c r="E63" s="6" t="n"/>
      <c r="F63" s="6" t="n"/>
      <c r="G63" s="6" t="n">
        <v>-20</v>
      </c>
    </row>
    <row r="64">
      <c r="A64" s="6" t="inlineStr">
        <is>
          <t>Share-based payments reserve</t>
        </is>
      </c>
      <c r="B64" s="6" t="n"/>
      <c r="C64" s="6" t="n"/>
      <c r="D64" s="6" t="n">
        <v>89528</v>
      </c>
      <c r="E64" s="6" t="n"/>
      <c r="F64" s="6" t="n"/>
      <c r="G64" s="6" t="n">
        <v>89528</v>
      </c>
    </row>
    <row r="65">
      <c r="A65" s="6" t="inlineStr">
        <is>
          <t>Exercise of options</t>
        </is>
      </c>
      <c r="B65" s="6" t="n"/>
      <c r="C65" s="6" t="n">
        <v>11735</v>
      </c>
      <c r="D65" s="6" t="n">
        <v>-47210</v>
      </c>
      <c r="E65" s="6" t="n"/>
      <c r="F65" s="6" t="n">
        <v>47210</v>
      </c>
      <c r="G65" s="6" t="n">
        <v>11735</v>
      </c>
    </row>
    <row r="66">
      <c r="A66" s="5" t="inlineStr">
        <is>
          <t>Balance as at 31 March 2025</t>
        </is>
      </c>
      <c r="B66" s="5" t="n">
        <v>238</v>
      </c>
      <c r="C66" s="5" t="n">
        <v>501730</v>
      </c>
      <c r="D66" s="5" t="n">
        <v>68791</v>
      </c>
      <c r="E66" s="5" t="n">
        <v>944813</v>
      </c>
      <c r="F66" s="5" t="n">
        <v>-302629</v>
      </c>
      <c r="G66" s="5" t="n">
        <v>1212943</v>
      </c>
    </row>
    <row r="67">
      <c r="A67" s="6" t="inlineStr">
        <is>
          <t>Profit for the year (FY2026)</t>
        </is>
      </c>
      <c r="B67" s="6" t="n"/>
      <c r="C67" s="6" t="n"/>
      <c r="D67" s="6" t="n"/>
      <c r="E67" s="6" t="n"/>
      <c r="F67" s="6" t="n">
        <v>86330</v>
      </c>
      <c r="G67" s="6" t="n">
        <v>86330</v>
      </c>
    </row>
    <row r="68">
      <c r="A68" s="6" t="inlineStr">
        <is>
          <t>Cumulative translation adjustment</t>
        </is>
      </c>
      <c r="B68" s="6" t="n"/>
      <c r="C68" s="6" t="n"/>
      <c r="D68" s="6" t="n">
        <v>-969</v>
      </c>
      <c r="E68" s="6" t="n"/>
      <c r="F68" s="6" t="n"/>
      <c r="G68" s="6" t="n">
        <v>-969</v>
      </c>
    </row>
    <row r="69">
      <c r="A69" s="6" t="inlineStr">
        <is>
          <t>Cash flow hedge reserve</t>
        </is>
      </c>
      <c r="B69" s="6" t="n"/>
      <c r="C69" s="6" t="n"/>
      <c r="D69" s="6" t="n">
        <v>-76874</v>
      </c>
      <c r="E69" s="6" t="n"/>
      <c r="F69" s="6" t="n"/>
      <c r="G69" s="6" t="n">
        <v>-76874</v>
      </c>
    </row>
    <row r="70">
      <c r="A70" s="6" t="inlineStr">
        <is>
          <t>Treasury investment fair value movements</t>
        </is>
      </c>
      <c r="B70" s="6" t="n"/>
      <c r="C70" s="6" t="n"/>
      <c r="D70" s="6" t="n">
        <v>404</v>
      </c>
      <c r="E70" s="6" t="n"/>
      <c r="F70" s="6" t="n"/>
      <c r="G70" s="6" t="n">
        <v>404</v>
      </c>
    </row>
    <row r="71">
      <c r="A71" s="5" t="inlineStr">
        <is>
          <t>Total comprehensive income for the year (FY2026)</t>
        </is>
      </c>
      <c r="B71" s="5" t="n"/>
      <c r="C71" s="5" t="n"/>
      <c r="D71" s="5" t="n">
        <v>-77439</v>
      </c>
      <c r="E71" s="5" t="n"/>
      <c r="F71" s="5" t="n">
        <v>86330</v>
      </c>
      <c r="G71" s="5" t="n">
        <v>8891</v>
      </c>
    </row>
    <row r="72">
      <c r="A72" s="6" t="inlineStr">
        <is>
          <t>Shares issued</t>
        </is>
      </c>
      <c r="B72" s="6" t="n">
        <v>2</v>
      </c>
      <c r="C72" s="6" t="n">
        <v>2004</v>
      </c>
      <c r="D72" s="6" t="n"/>
      <c r="E72" s="6" t="n"/>
      <c r="F72" s="6" t="n"/>
      <c r="G72" s="6" t="n">
        <v>2006</v>
      </c>
    </row>
    <row r="73">
      <c r="A73" s="6" t="inlineStr">
        <is>
          <t>Cost of issuance</t>
        </is>
      </c>
      <c r="B73" s="6" t="n"/>
      <c r="C73" s="6" t="n"/>
      <c r="D73" s="6" t="n"/>
      <c r="E73" s="6" t="n"/>
      <c r="F73" s="6" t="n"/>
      <c r="G73" s="6" t="n">
        <v>0</v>
      </c>
    </row>
    <row r="74">
      <c r="A74" s="6" t="inlineStr">
        <is>
          <t>Share-based payments reserve</t>
        </is>
      </c>
      <c r="B74" s="6" t="n"/>
      <c r="C74" s="6" t="n"/>
      <c r="D74" s="6" t="n">
        <v>59680</v>
      </c>
      <c r="E74" s="6" t="n"/>
      <c r="F74" s="6" t="n"/>
      <c r="G74" s="6" t="n">
        <v>59680</v>
      </c>
    </row>
    <row r="75">
      <c r="A75" s="6" t="inlineStr">
        <is>
          <t>Exercise of options</t>
        </is>
      </c>
      <c r="B75" s="6" t="n"/>
      <c r="C75" s="6" t="n">
        <v>45</v>
      </c>
      <c r="D75" s="6" t="n">
        <v>-2906</v>
      </c>
      <c r="E75" s="6" t="n"/>
      <c r="F75" s="6" t="n">
        <v>2906</v>
      </c>
      <c r="G75" s="6" t="n">
        <v>45</v>
      </c>
    </row>
    <row r="76">
      <c r="A76" s="5" t="inlineStr">
        <is>
          <t>Balance as at 31 March 2026</t>
        </is>
      </c>
      <c r="B76" s="5" t="n">
        <v>240</v>
      </c>
      <c r="C76" s="5" t="n">
        <v>503779</v>
      </c>
      <c r="D76" s="5" t="n">
        <v>48126</v>
      </c>
      <c r="E76" s="5" t="n">
        <v>944813</v>
      </c>
      <c r="F76" s="5" t="n">
        <v>-213393</v>
      </c>
      <c r="G76" s="5" t="n">
        <v>1283565</v>
      </c>
    </row>
    <row r="78" ht="390" customHeight="1">
      <c r="A78" s="8" t="inlineStr">
        <is>
          <t>Sources - all figures are Monzo Group (consolidated) statement of changes in equity, £'000. See entity note on the Cash Flow Statement sheet for MBL vs MBHG scope by year.
FY2025 (movements + balances at 31 March 2025 and 1 April 2024): Monzo Annual Report and Accounts 2026, p.122 (Consolidated statement of changes in equity) - https://monzo.com/annual-report/2026/Monzo-Annual-Report-2026.pdf
FY2024 (movements + balances at 31 March 2024 and 1 March 2022): Monzo Bank Holding Group Limited Annual Report and Group Financial Statements 2024, p.97 (Consolidated statement of changes in equity, 13-month period ended 31 March 2024) - https://monzo.com/docs/monzo-annual-report-2024.pdf
FY2023 (movements + balance at 28 February 2023, cross-checked against AR2024 above): Monzo Bank Limited Annual Report and Accounts 2023, p.98 (Statement of changes in equity, Group, year ended 28 February 2023) - https://monzo.com/docs/monzo-annual-report-2023.pdf
FY2022 and FY2021 (movements + balances at 28 February 2022, 28 February 2021 restated, and 1 March 2020 restated): Monzo Bank Limited Group Annual Report 2022, p.107-108 (Statement of changes in equity, Group, restated) - https://monzo.com/static/docs/monzo-annual-report-2022.pdf
FY2020 (movements + balances at 29 February 2020 and 28 February 2018): Monzo Bank Limited Group Annual Report 2020, p.96 (Statement of changes in equity) - https://monzo.com/docs/monzo-annual-report-2020.pdf
FY2019 (movements + balances at 28 February 2019 and 28 February 2018, cross-checked against AR2020 above): Monzo Bank Limited Annual Report and Financial Statements 2019, p.52 (Statement of changes in equity, Group) - https://find-and-update.company-information.service.gov.uk/company/09446231/filing-history/MzIzOTY5Nzg5MGFkaXF6a2N4/document?format=pdf&amp;download=0
FY2018 (movements + balance at 28 February 2018): Monzo Bank Limited Annual Report and Financial Statements 2018, p.25 (Statement of changes in equity) - https://find-and-update.company-information.service.gov.uk/company/09446231/filing-history/MzE4MzMzNTM5OWFkaXF6a2N4/document?format=pdf&amp;download=0
ENTITY NOTE: FY2025 and FY2024 (marked MBHG) are Monzo Bank Holding Group Limited, the new parent company formed April 2023 - a broader consolidation scope than Monzo Bank Limited (MBL), which includes MBL plus (from FY2025) additional EU/US subsidiaries. FY2018-FY2023 (marked MBL) are Monzo Bank Limited, the entity on the PRA register (company no. 09446231). Monzo Bank Limited continued filing its own standalone accounts through FY2025, but that filing was only available as a scanned, non-text Companies House filing and could not be extracted; MBHG's figures were used for FY2024/25 instead as the only cleanly-extractable source, per user direction. FY2018-FY2020's MBL statutory accounts (also scanned Companies House filings, plus FY2020 was additionally cross-checked against Monzo's own website-hosted copy) were read page-by-page as images rather than machine-extracted. Also note: Monzo changed its financial year end from 28 February to 31 March starting FY2024, making FY2024 a 13-month period (1 March 2023 - 31 March 2024) rather than 12 months - it is not directly run-rate comparable to the other four years.
HISTORICAL FLOOR NOTE (HD-024, 2026-09-06): the same company (09446231) was incorporated 18 Feb 2015 but traded as a pre-launch shell ('Focus FS Limited', then other names) with no banking licence and no deposits or loans on its balance sheet through the period ended 29 Feb 2016 and the year ended 28 Feb 2017 (that FY2016 accounts show total assets of only GBP568k, no interest income, no customer deposits, no loans - not a real operating bank year; FY2017's accounts likewise show GBP0 customer deposits and GBP0 loans, confirmed by the FY2018 Annual Report's own comparative column). Monzo received its restricted UK banking licence in August 2016 and its full/unrestricted licence in April 2017 (per the FY2018 Annual Report's audit opinion). FY2018 (year ended 28 Feb 2018) is therefore the first year with a genuine bank balance sheet (Customer deposits GBP71,276k, Loans and advances to customers GBP160k) and is used here as the real, verified floor - not FY2016 as originally guessed from GLEIF entity-creation-year grouping (which conflated the shell company's 2015 incorporation with Monzo's later start as an operating bank). No further extension before FY2018 is possible: it is the first year the company operated as a bank at all.</t>
        </is>
      </c>
    </row>
    <row r="80" ht="190" customHeight="1">
      <c r="A80" s="8" t="inlineStr">
        <is>
          <t>(continued)
PRESENTATION NOTE: Read chronologically top-to-bottom (oldest to newest), not year-columned like every other sheet - each 'Balance as at ...' row (bold) opens/closes one year's block of movements. 'Merger reserve' only exists from the FY2024 group reorganisation onward (blank for FY2021-23). This sheet's 'Other reserves' + 'Merger reserve' columns sum exactly to the Balance Sheet sheet's combined 'Other reserves' line for FY2024/FY2025 (e.g. FY2025: 68,791 + 944,813 = 1,013,604) - confirms both sheets tie together. DISCREPANCY IN MONZO'S OWN REPORTING: the Profit &amp; Loss sheet's FY2023 'Total comprehensive income/(loss) for the year, net of tax' is -116,341 (per the Statement of Comprehensive Income face table, which shows no separate OCI line for FY2023 despite a footnote mentioning £0.3m of currency translation differences). This sheet's FY2023 'Total comprehensive income/(loss) for the year' is -116,015 (per the Statement of Changes in Equity, which does show a +326 Other reserves movement for that £0.3m). Both figures are transcribed exactly as each of Monzo's own statements presents them - the -326 difference is Monzo's own inter-statement inconsistency, not a transcription error here.</t>
        </is>
      </c>
    </row>
  </sheetData>
  <mergeCells count="2">
    <mergeCell ref="A78:G78"/>
    <mergeCell ref="A80:G8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Consolidated (Group) Cash Flow Statement</t>
        </is>
      </c>
    </row>
    <row r="2">
      <c r="A2" s="2" t="inlineStr">
        <is>
          <t>£'000 unless stated. FY2025/24 = Monzo Bank Holding Group Limited; FY2023-18 = Monzo Bank Limited. See source note at bottom.</t>
        </is>
      </c>
    </row>
    <row r="3">
      <c r="A3" s="4" t="inlineStr">
        <is>
          <t>Line item</t>
        </is>
      </c>
      <c r="B3" s="4" t="inlineStr">
        <is>
          <t>FY2026 (MBHG) (£'000)</t>
        </is>
      </c>
      <c r="C3" s="4" t="inlineStr">
        <is>
          <t>FY2025 (MBHG) (£'000)</t>
        </is>
      </c>
      <c r="D3" s="4" t="inlineStr">
        <is>
          <t>FY2024 (MBHG)* (£'000)</t>
        </is>
      </c>
      <c r="E3" s="4" t="inlineStr">
        <is>
          <t>FY2023 (MBL) (£'000)</t>
        </is>
      </c>
      <c r="F3" s="4" t="inlineStr">
        <is>
          <t>FY2022 (MBL) (£'000)</t>
        </is>
      </c>
      <c r="G3" s="4" t="inlineStr">
        <is>
          <t>FY2021 (MBL) (£'000)</t>
        </is>
      </c>
      <c r="H3" s="4" t="inlineStr">
        <is>
          <t>FY2020 (MBL) (£'000)</t>
        </is>
      </c>
      <c r="I3" s="4" t="inlineStr">
        <is>
          <t>FY2019 (MBL) (£'000)</t>
        </is>
      </c>
      <c r="J3" s="4" t="inlineStr">
        <is>
          <t>FY2018 (MBL) (£'000)</t>
        </is>
      </c>
    </row>
    <row r="4">
      <c r="A4" s="5" t="inlineStr">
        <is>
          <t>Cash flows from operating activities</t>
        </is>
      </c>
      <c r="B4" s="6" t="n"/>
      <c r="C4" s="6" t="n"/>
      <c r="D4" s="6" t="n"/>
      <c r="E4" s="6" t="n"/>
      <c r="F4" s="6" t="n"/>
      <c r="G4" s="6" t="n"/>
      <c r="H4" s="6" t="n"/>
      <c r="I4" s="6" t="n"/>
      <c r="J4" s="6" t="n"/>
    </row>
    <row r="5">
      <c r="A5" s="6" t="inlineStr">
        <is>
          <t>Profit/(Loss) for the year</t>
        </is>
      </c>
      <c r="B5" s="6" t="n">
        <v>86330</v>
      </c>
      <c r="C5" s="6" t="n">
        <v>94568</v>
      </c>
      <c r="D5" s="6" t="n">
        <v>8709</v>
      </c>
      <c r="E5" s="6" t="n">
        <v>-116341</v>
      </c>
      <c r="F5" s="6" t="n">
        <v>-119020</v>
      </c>
      <c r="G5" s="6" t="n">
        <v>-131077</v>
      </c>
      <c r="H5" s="6" t="n">
        <v>-113816</v>
      </c>
      <c r="I5" s="6" t="n">
        <v>-47164</v>
      </c>
      <c r="J5" s="6" t="n">
        <v>-30546</v>
      </c>
    </row>
    <row r="6">
      <c r="A6" s="6" t="inlineStr">
        <is>
          <t>Impairment and charge-offs</t>
        </is>
      </c>
      <c r="B6" s="6" t="n">
        <v>203680</v>
      </c>
      <c r="C6" s="6" t="n">
        <v>152595</v>
      </c>
      <c r="D6" s="6" t="n">
        <v>176868</v>
      </c>
      <c r="E6" s="6" t="n"/>
      <c r="F6" s="6" t="n"/>
      <c r="G6" s="6" t="n"/>
      <c r="H6" s="6" t="n"/>
      <c r="I6" s="6" t="n"/>
      <c r="J6" s="6" t="n"/>
    </row>
    <row r="7">
      <c r="A7" s="6" t="inlineStr">
        <is>
          <t>Depreciation &amp; impairment expense</t>
        </is>
      </c>
      <c r="B7" s="6" t="n">
        <v>3353</v>
      </c>
      <c r="C7" s="6" t="n">
        <v>4623</v>
      </c>
      <c r="D7" s="6" t="n">
        <v>7288</v>
      </c>
      <c r="E7" s="6" t="n">
        <v>7601</v>
      </c>
      <c r="F7" s="6" t="n">
        <v>8311</v>
      </c>
      <c r="G7" s="6" t="n">
        <v>9010</v>
      </c>
      <c r="H7" s="6" t="n">
        <v>3210</v>
      </c>
      <c r="I7" s="6" t="n">
        <v>799</v>
      </c>
      <c r="J7" s="6" t="n">
        <v>241</v>
      </c>
    </row>
    <row r="8">
      <c r="A8" s="6" t="inlineStr">
        <is>
          <t>Amortisation of intangible assets</t>
        </is>
      </c>
      <c r="B8" s="6" t="n"/>
      <c r="C8" s="6" t="n"/>
      <c r="D8" s="6" t="n"/>
      <c r="E8" s="6" t="n"/>
      <c r="F8" s="6" t="n"/>
      <c r="G8" s="6" t="n"/>
      <c r="H8" s="6" t="n"/>
      <c r="I8" s="6" t="n"/>
      <c r="J8" s="6" t="n">
        <v>10</v>
      </c>
    </row>
    <row r="9">
      <c r="A9" s="6" t="inlineStr">
        <is>
          <t>Share-based payments</t>
        </is>
      </c>
      <c r="B9" s="6" t="n">
        <v>59007</v>
      </c>
      <c r="C9" s="6" t="n">
        <v>83468</v>
      </c>
      <c r="D9" s="6" t="n">
        <v>37469</v>
      </c>
      <c r="E9" s="6" t="n">
        <v>29100</v>
      </c>
      <c r="F9" s="6" t="n">
        <v>23254</v>
      </c>
      <c r="G9" s="6" t="n">
        <v>26547</v>
      </c>
      <c r="H9" s="6" t="n">
        <v>14365</v>
      </c>
      <c r="I9" s="6" t="n">
        <v>2511</v>
      </c>
      <c r="J9" s="6" t="n">
        <v>916</v>
      </c>
    </row>
    <row r="10">
      <c r="A10" s="6" t="inlineStr">
        <is>
          <t>Loss on disposals and write-offs</t>
        </is>
      </c>
      <c r="B10" s="6" t="n"/>
      <c r="C10" s="6" t="n"/>
      <c r="D10" s="6" t="n"/>
      <c r="E10" s="6" t="n">
        <v>510</v>
      </c>
      <c r="F10" s="6" t="n">
        <v>495</v>
      </c>
      <c r="G10" s="6" t="n">
        <v>274</v>
      </c>
      <c r="H10" s="6" t="n">
        <v>47</v>
      </c>
      <c r="I10" s="6" t="n">
        <v>161</v>
      </c>
      <c r="J10" s="6" t="n"/>
    </row>
    <row r="11">
      <c r="A11" s="6" t="inlineStr">
        <is>
          <t>(Decrease)/increase in provisions</t>
        </is>
      </c>
      <c r="B11" s="6" t="n">
        <v>-1050</v>
      </c>
      <c r="C11" s="6" t="n">
        <v>3281</v>
      </c>
      <c r="D11" s="6" t="n">
        <v>-9830</v>
      </c>
      <c r="E11" s="6" t="n">
        <v>8787</v>
      </c>
      <c r="F11" s="6" t="n">
        <v>-290</v>
      </c>
      <c r="G11" s="6" t="n">
        <v>8098</v>
      </c>
      <c r="H11" s="6" t="n"/>
      <c r="I11" s="6" t="n"/>
      <c r="J11" s="6" t="n">
        <v>12</v>
      </c>
    </row>
    <row r="12">
      <c r="A12" s="6" t="inlineStr">
        <is>
          <t>Loss on warrants</t>
        </is>
      </c>
      <c r="B12" s="6" t="n"/>
      <c r="C12" s="6" t="n"/>
      <c r="D12" s="6" t="n"/>
      <c r="E12" s="6" t="n">
        <v>23</v>
      </c>
      <c r="F12" s="6" t="n">
        <v>502</v>
      </c>
      <c r="G12" s="6" t="n"/>
      <c r="H12" s="6" t="n"/>
      <c r="I12" s="6" t="n"/>
      <c r="J12" s="6" t="n"/>
    </row>
    <row r="13">
      <c r="A13" s="6" t="inlineStr">
        <is>
          <t>Net interest expense on leases</t>
        </is>
      </c>
      <c r="B13" s="6" t="n"/>
      <c r="C13" s="6" t="n"/>
      <c r="D13" s="6" t="n"/>
      <c r="E13" s="6" t="n">
        <v>1191</v>
      </c>
      <c r="F13" s="6" t="n">
        <v>1690</v>
      </c>
      <c r="G13" s="6" t="n">
        <v>1450</v>
      </c>
      <c r="H13" s="6" t="n">
        <v>491</v>
      </c>
      <c r="I13" s="6" t="n"/>
      <c r="J13" s="6" t="n"/>
    </row>
    <row r="14">
      <c r="A14" s="6" t="inlineStr">
        <is>
          <t>Interest expense on subordinated debt</t>
        </is>
      </c>
      <c r="B14" s="6" t="n"/>
      <c r="C14" s="6" t="n"/>
      <c r="D14" s="6" t="n"/>
      <c r="E14" s="6" t="n">
        <v>2031</v>
      </c>
      <c r="F14" s="6" t="n">
        <v>1958</v>
      </c>
      <c r="G14" s="6" t="n"/>
      <c r="H14" s="6" t="n"/>
      <c r="I14" s="6" t="n"/>
      <c r="J14" s="6" t="n"/>
    </row>
    <row r="15">
      <c r="A15" s="6" t="inlineStr">
        <is>
          <t>Interest on collateral</t>
        </is>
      </c>
      <c r="B15" s="6" t="n"/>
      <c r="C15" s="6" t="n"/>
      <c r="D15" s="6" t="n"/>
      <c r="E15" s="6" t="n">
        <v>403</v>
      </c>
      <c r="F15" s="6" t="n"/>
      <c r="G15" s="6" t="n"/>
      <c r="H15" s="6" t="n"/>
      <c r="I15" s="6" t="n"/>
      <c r="J15" s="6" t="n"/>
    </row>
    <row r="16">
      <c r="A16" s="6" t="inlineStr">
        <is>
          <t>Interest on treasury investments</t>
        </is>
      </c>
      <c r="B16" s="6" t="n"/>
      <c r="C16" s="6" t="n"/>
      <c r="D16" s="6" t="n"/>
      <c r="E16" s="6" t="n">
        <v>-29392</v>
      </c>
      <c r="F16" s="6" t="n">
        <v>-2381</v>
      </c>
      <c r="G16" s="6" t="n">
        <v>-183</v>
      </c>
      <c r="H16" s="6" t="n">
        <v>-358</v>
      </c>
      <c r="I16" s="6" t="n"/>
      <c r="J16" s="6" t="n"/>
    </row>
    <row r="17">
      <c r="A17" s="6" t="inlineStr">
        <is>
          <t>Net interest (combined, MBHG presentation)</t>
        </is>
      </c>
      <c r="B17" s="6" t="n">
        <v>-50350</v>
      </c>
      <c r="C17" s="6" t="n">
        <v>-68155</v>
      </c>
      <c r="D17" s="6" t="n">
        <v>-75798</v>
      </c>
      <c r="E17" s="6" t="n"/>
      <c r="F17" s="6" t="n"/>
      <c r="G17" s="6" t="n"/>
      <c r="H17" s="6" t="n"/>
      <c r="I17" s="6" t="n"/>
      <c r="J17" s="6" t="n"/>
    </row>
    <row r="18">
      <c r="A18" s="6" t="inlineStr">
        <is>
          <t>Taxation</t>
        </is>
      </c>
      <c r="B18" s="6" t="n">
        <v>958</v>
      </c>
      <c r="C18" s="6" t="n">
        <v>-34090</v>
      </c>
      <c r="D18" s="6" t="n"/>
      <c r="E18" s="6" t="n"/>
      <c r="F18" s="6" t="n"/>
      <c r="G18" s="6" t="n"/>
      <c r="H18" s="6" t="n"/>
      <c r="I18" s="6" t="n"/>
      <c r="J18" s="6" t="n"/>
    </row>
    <row r="19">
      <c r="A19" s="6" t="inlineStr">
        <is>
          <t>Other non-cash items</t>
        </is>
      </c>
      <c r="B19" s="6" t="n">
        <v>-14821</v>
      </c>
      <c r="C19" s="6" t="n">
        <v>-7494</v>
      </c>
      <c r="D19" s="6" t="n">
        <v>-1049</v>
      </c>
      <c r="E19" s="6" t="n"/>
      <c r="F19" s="6" t="n"/>
      <c r="G19" s="6" t="n"/>
      <c r="H19" s="6" t="n"/>
      <c r="I19" s="6" t="n"/>
      <c r="J19" s="6" t="n"/>
    </row>
    <row r="20">
      <c r="A20" s="6" t="inlineStr">
        <is>
          <t>Movement in loans and advances to customers</t>
        </is>
      </c>
      <c r="B20" s="6" t="n">
        <v>-913137</v>
      </c>
      <c r="C20" s="6" t="n">
        <v>-564849</v>
      </c>
      <c r="D20" s="6" t="n">
        <v>-713349</v>
      </c>
      <c r="E20" s="6" t="n">
        <v>-418650</v>
      </c>
      <c r="F20" s="6" t="n">
        <v>-147936</v>
      </c>
      <c r="G20" s="6" t="n">
        <v>36766</v>
      </c>
      <c r="H20" s="6" t="n">
        <v>-107859</v>
      </c>
      <c r="I20" s="6" t="n">
        <v>-15893</v>
      </c>
      <c r="J20" s="6" t="n">
        <v>-160</v>
      </c>
    </row>
    <row r="21">
      <c r="A21" s="6" t="inlineStr">
        <is>
          <t>Movement in customer deposits</t>
        </is>
      </c>
      <c r="B21" s="6" t="n">
        <v>9116586</v>
      </c>
      <c r="C21" s="6" t="n">
        <v>5401749</v>
      </c>
      <c r="D21" s="6" t="n">
        <v>5251674</v>
      </c>
      <c r="E21" s="6" t="n">
        <v>1505297</v>
      </c>
      <c r="F21" s="6" t="n">
        <v>1316604</v>
      </c>
      <c r="G21" s="6" t="n">
        <v>1731529</v>
      </c>
      <c r="H21" s="6" t="n">
        <v>930696</v>
      </c>
      <c r="I21" s="6" t="n">
        <v>390545</v>
      </c>
      <c r="J21" s="6" t="n">
        <v>71276</v>
      </c>
    </row>
    <row r="22">
      <c r="A22" s="6" t="inlineStr">
        <is>
          <t>Movement in other assets (excluding RDEC claim)</t>
        </is>
      </c>
      <c r="B22" s="6" t="n"/>
      <c r="C22" s="6" t="n"/>
      <c r="D22" s="6" t="n"/>
      <c r="E22" s="6" t="n">
        <v>-36597</v>
      </c>
      <c r="F22" s="6" t="n">
        <v>30628</v>
      </c>
      <c r="G22" s="6" t="n">
        <v>-20379</v>
      </c>
      <c r="H22" s="6" t="n">
        <v>-61060</v>
      </c>
      <c r="I22" s="6" t="n">
        <v>-2329</v>
      </c>
      <c r="J22" s="6" t="n">
        <v>-37477</v>
      </c>
    </row>
    <row r="23">
      <c r="A23" s="6" t="inlineStr">
        <is>
          <t>Movement in RDEC claim receivable</t>
        </is>
      </c>
      <c r="B23" s="6" t="n"/>
      <c r="C23" s="6" t="n"/>
      <c r="D23" s="6" t="n"/>
      <c r="E23" s="6" t="n">
        <v>-1698</v>
      </c>
      <c r="F23" s="6" t="n">
        <v>-186</v>
      </c>
      <c r="G23" s="6" t="n">
        <v>2662</v>
      </c>
      <c r="H23" s="6" t="n">
        <v>2569</v>
      </c>
      <c r="I23" s="6" t="n">
        <v>1242</v>
      </c>
      <c r="J23" s="6" t="n"/>
    </row>
    <row r="24">
      <c r="A24" s="6" t="inlineStr">
        <is>
          <t>Movement in other assets (combined, MBHG presentation)</t>
        </is>
      </c>
      <c r="B24" s="6" t="n">
        <v>-74803</v>
      </c>
      <c r="C24" s="6" t="n">
        <v>312246</v>
      </c>
      <c r="D24" s="6" t="n">
        <v>-299495</v>
      </c>
      <c r="E24" s="6" t="n"/>
      <c r="F24" s="6" t="n"/>
      <c r="G24" s="6" t="n"/>
      <c r="H24" s="6" t="n"/>
      <c r="I24" s="6" t="n"/>
      <c r="J24" s="6" t="n"/>
    </row>
    <row r="25">
      <c r="A25" s="6" t="inlineStr">
        <is>
          <t>Movement in current tax asset/liability</t>
        </is>
      </c>
      <c r="B25" s="6" t="n"/>
      <c r="C25" s="6" t="n"/>
      <c r="D25" s="6" t="n">
        <v>-7090</v>
      </c>
      <c r="E25" s="6" t="n"/>
      <c r="F25" s="6" t="n"/>
      <c r="G25" s="6" t="n"/>
      <c r="H25" s="6" t="n"/>
      <c r="I25" s="6" t="n"/>
      <c r="J25" s="6" t="n"/>
    </row>
    <row r="26">
      <c r="A26" s="6" t="inlineStr">
        <is>
          <t>Net tax paid</t>
        </is>
      </c>
      <c r="B26" s="6" t="n">
        <v>-13165</v>
      </c>
      <c r="C26" s="6" t="n">
        <v>-6019</v>
      </c>
      <c r="D26" s="6" t="n"/>
      <c r="E26" s="6" t="n"/>
      <c r="F26" s="6" t="n"/>
      <c r="G26" s="6" t="n"/>
      <c r="H26" s="6" t="n"/>
      <c r="I26" s="6" t="n"/>
      <c r="J26" s="6" t="n"/>
    </row>
    <row r="27">
      <c r="A27" s="6" t="inlineStr">
        <is>
          <t>Movement in collateral held with third parties</t>
        </is>
      </c>
      <c r="B27" s="6" t="n">
        <v>-130</v>
      </c>
      <c r="C27" s="6" t="n">
        <v>-1075</v>
      </c>
      <c r="D27" s="6" t="n">
        <v>-63</v>
      </c>
      <c r="E27" s="6" t="n">
        <v>-169</v>
      </c>
      <c r="F27" s="6" t="n">
        <v>-19978</v>
      </c>
      <c r="G27" s="6" t="n">
        <v>-40672</v>
      </c>
      <c r="H27" s="6" t="n">
        <v>1135</v>
      </c>
      <c r="I27" s="6" t="n">
        <v>-3245</v>
      </c>
      <c r="J27" s="6" t="n"/>
    </row>
    <row r="28">
      <c r="A28" s="6" t="inlineStr">
        <is>
          <t>Movement in other liabilities (excl. leases/provisions, MBL) / other liabilities (MBHG)</t>
        </is>
      </c>
      <c r="B28" s="6" t="n">
        <v>54393</v>
      </c>
      <c r="C28" s="6" t="n">
        <v>-454084</v>
      </c>
      <c r="D28" s="6" t="n">
        <v>644962</v>
      </c>
      <c r="E28" s="6" t="n">
        <v>46717</v>
      </c>
      <c r="F28" s="6" t="n">
        <v>-77125</v>
      </c>
      <c r="G28" s="6" t="n">
        <v>71024</v>
      </c>
      <c r="H28" s="6" t="n">
        <v>145270</v>
      </c>
      <c r="I28" s="6" t="n">
        <v>24534</v>
      </c>
      <c r="J28" s="6" t="n">
        <v>11285</v>
      </c>
    </row>
    <row r="29">
      <c r="A29" s="5" t="inlineStr">
        <is>
          <t>Net cash from operating activities</t>
        </is>
      </c>
      <c r="B29" s="5" t="n">
        <v>8456851</v>
      </c>
      <c r="C29" s="5" t="n">
        <v>4916764</v>
      </c>
      <c r="D29" s="5" t="n">
        <v>5020296</v>
      </c>
      <c r="E29" s="5" t="n">
        <v>998813</v>
      </c>
      <c r="F29" s="5" t="n">
        <v>1016526</v>
      </c>
      <c r="G29" s="5" t="n">
        <v>1695049</v>
      </c>
      <c r="H29" s="5" t="n">
        <v>814690</v>
      </c>
      <c r="I29" s="5" t="n">
        <v>351161</v>
      </c>
      <c r="J29" s="5" t="n">
        <v>15557</v>
      </c>
    </row>
    <row r="30">
      <c r="A30" s="5" t="inlineStr">
        <is>
          <t>Cash flows from investing activities</t>
        </is>
      </c>
      <c r="B30" s="6" t="n"/>
      <c r="C30" s="6" t="n"/>
      <c r="D30" s="6" t="n"/>
      <c r="E30" s="6" t="n"/>
      <c r="F30" s="6" t="n"/>
      <c r="G30" s="6" t="n"/>
      <c r="H30" s="6" t="n"/>
      <c r="I30" s="6" t="n"/>
      <c r="J30" s="6" t="n"/>
    </row>
    <row r="31">
      <c r="A31" s="6" t="inlineStr">
        <is>
          <t>Purchase of treasury investments</t>
        </is>
      </c>
      <c r="B31" s="6" t="n"/>
      <c r="C31" s="6" t="n"/>
      <c r="D31" s="6" t="n"/>
      <c r="E31" s="6" t="n">
        <v>-1495059</v>
      </c>
      <c r="F31" s="6" t="n">
        <v>-1310560</v>
      </c>
      <c r="G31" s="6" t="n">
        <v>-420977</v>
      </c>
      <c r="H31" s="6" t="n">
        <v>-121611</v>
      </c>
      <c r="I31" s="6" t="n"/>
      <c r="J31" s="6" t="n"/>
    </row>
    <row r="32">
      <c r="A32" s="6" t="inlineStr">
        <is>
          <t>Interest received on treasury investments</t>
        </is>
      </c>
      <c r="B32" s="6" t="n"/>
      <c r="C32" s="6" t="n"/>
      <c r="D32" s="6" t="n"/>
      <c r="E32" s="6" t="n">
        <v>14892</v>
      </c>
      <c r="F32" s="6" t="n">
        <v>5048</v>
      </c>
      <c r="G32" s="6" t="n">
        <v>1359</v>
      </c>
      <c r="H32" s="6" t="n">
        <v>41</v>
      </c>
      <c r="I32" s="6" t="n"/>
      <c r="J32" s="6" t="n"/>
    </row>
    <row r="33">
      <c r="A33" s="6" t="inlineStr">
        <is>
          <t>Proceeds from sale and maturity of treasury investments</t>
        </is>
      </c>
      <c r="B33" s="6" t="n"/>
      <c r="C33" s="6" t="n"/>
      <c r="D33" s="6" t="n"/>
      <c r="E33" s="6" t="n">
        <v>457517</v>
      </c>
      <c r="F33" s="6" t="n">
        <v>9000</v>
      </c>
      <c r="G33" s="6" t="n">
        <v>142112</v>
      </c>
      <c r="H33" s="6" t="n">
        <v>22975</v>
      </c>
      <c r="I33" s="6" t="n"/>
      <c r="J33" s="6" t="n"/>
    </row>
    <row r="34">
      <c r="A34" s="6" t="inlineStr">
        <is>
          <t>Net movement in treasury investments (combined, MBHG presentation)</t>
        </is>
      </c>
      <c r="B34" s="6" t="n">
        <v>-4028241</v>
      </c>
      <c r="C34" s="6" t="n">
        <v>-1676621</v>
      </c>
      <c r="D34" s="6" t="n">
        <v>-829471</v>
      </c>
      <c r="E34" s="6" t="n"/>
      <c r="F34" s="6" t="n"/>
      <c r="G34" s="6" t="n"/>
      <c r="H34" s="6" t="n"/>
      <c r="I34" s="6" t="n"/>
      <c r="J34" s="6" t="n"/>
    </row>
    <row r="35">
      <c r="A35" s="6" t="inlineStr">
        <is>
          <t>Purchase of property, plant and equipment</t>
        </is>
      </c>
      <c r="B35" s="6" t="n"/>
      <c r="C35" s="6" t="n">
        <v>-213</v>
      </c>
      <c r="D35" s="6" t="n">
        <v>-1060</v>
      </c>
      <c r="E35" s="6" t="n">
        <v>-3453</v>
      </c>
      <c r="F35" s="6" t="n">
        <v>-4383</v>
      </c>
      <c r="G35" s="6" t="n">
        <v>-8290</v>
      </c>
      <c r="H35" s="6" t="n">
        <v>-3279</v>
      </c>
      <c r="I35" s="6" t="n">
        <v>-2415</v>
      </c>
      <c r="J35" s="6" t="n">
        <v>-886</v>
      </c>
    </row>
    <row r="36">
      <c r="A36" s="6" t="inlineStr">
        <is>
          <t>Proceeds on disposal of property, plant and equipment</t>
        </is>
      </c>
      <c r="B36" s="6" t="n"/>
      <c r="C36" s="6" t="n"/>
      <c r="D36" s="6" t="n"/>
      <c r="E36" s="6" t="n"/>
      <c r="F36" s="6" t="n"/>
      <c r="G36" s="6" t="n">
        <v>75</v>
      </c>
      <c r="H36" s="6" t="n"/>
      <c r="I36" s="6" t="n">
        <v>8</v>
      </c>
      <c r="J36" s="6" t="n"/>
    </row>
    <row r="37">
      <c r="A37" s="6" t="inlineStr">
        <is>
          <t>Movement in sublease receivables</t>
        </is>
      </c>
      <c r="B37" s="6" t="n">
        <v>305</v>
      </c>
      <c r="C37" s="6" t="n">
        <v>171</v>
      </c>
      <c r="D37" s="6" t="n">
        <v>1010</v>
      </c>
      <c r="E37" s="6" t="n"/>
      <c r="F37" s="6" t="n"/>
      <c r="G37" s="6" t="n"/>
      <c r="H37" s="6" t="n"/>
      <c r="I37" s="6" t="n"/>
      <c r="J37" s="6" t="n"/>
    </row>
    <row r="38">
      <c r="A38" s="6" t="inlineStr">
        <is>
          <t>Cumulative translation adjustment (investing)</t>
        </is>
      </c>
      <c r="B38" s="6" t="n"/>
      <c r="C38" s="6" t="n"/>
      <c r="D38" s="6" t="n"/>
      <c r="E38" s="6" t="n"/>
      <c r="F38" s="6" t="n"/>
      <c r="G38" s="6" t="n"/>
      <c r="H38" s="6" t="n">
        <v>-5</v>
      </c>
      <c r="I38" s="6" t="n"/>
      <c r="J38" s="6" t="n"/>
    </row>
    <row r="39">
      <c r="A39" s="6" t="inlineStr">
        <is>
          <t>Other cash flows from investing activities</t>
        </is>
      </c>
      <c r="B39" s="6" t="n"/>
      <c r="C39" s="6" t="n"/>
      <c r="D39" s="6" t="n"/>
      <c r="E39" s="6" t="n"/>
      <c r="F39" s="6" t="n"/>
      <c r="G39" s="6" t="n">
        <v>-38</v>
      </c>
      <c r="H39" s="6" t="n"/>
      <c r="I39" s="6" t="n"/>
      <c r="J39" s="6" t="n"/>
    </row>
    <row r="40">
      <c r="A40" s="5" t="inlineStr">
        <is>
          <t>Net cash from/(used in) investing activities</t>
        </is>
      </c>
      <c r="B40" s="5" t="n">
        <v>-4027936</v>
      </c>
      <c r="C40" s="5" t="n">
        <v>-1676663</v>
      </c>
      <c r="D40" s="5" t="n">
        <v>-829521</v>
      </c>
      <c r="E40" s="5" t="n">
        <v>-1026103</v>
      </c>
      <c r="F40" s="5" t="n">
        <v>-1300895</v>
      </c>
      <c r="G40" s="5" t="n">
        <v>-285759</v>
      </c>
      <c r="H40" s="5" t="n">
        <v>-101879</v>
      </c>
      <c r="I40" s="5" t="n">
        <v>-2407</v>
      </c>
      <c r="J40" s="5" t="n">
        <v>-886</v>
      </c>
    </row>
    <row r="41">
      <c r="A41" s="5" t="inlineStr">
        <is>
          <t>Cash flows from financing activities</t>
        </is>
      </c>
      <c r="B41" s="6" t="n"/>
      <c r="C41" s="6" t="n"/>
      <c r="D41" s="6" t="n"/>
      <c r="E41" s="6" t="n"/>
      <c r="F41" s="6" t="n"/>
      <c r="G41" s="6" t="n"/>
      <c r="H41" s="6" t="n"/>
      <c r="I41" s="6" t="n"/>
      <c r="J41" s="6" t="n"/>
    </row>
    <row r="42">
      <c r="A42" s="6" t="inlineStr">
        <is>
          <t>Net proceeds from issuance of ordinary shares</t>
        </is>
      </c>
      <c r="B42" s="6" t="n">
        <v>2052</v>
      </c>
      <c r="C42" s="6" t="n">
        <v>162362</v>
      </c>
      <c r="D42" s="6" t="n">
        <v>339440</v>
      </c>
      <c r="E42" s="6" t="n">
        <v>300</v>
      </c>
      <c r="F42" s="6" t="n">
        <v>436008</v>
      </c>
      <c r="G42" s="6" t="n">
        <v>197548</v>
      </c>
      <c r="H42" s="6" t="n">
        <v>112993</v>
      </c>
      <c r="I42" s="6" t="n">
        <v>104150</v>
      </c>
      <c r="J42" s="6" t="n">
        <v>67398</v>
      </c>
    </row>
    <row r="43">
      <c r="A43" s="6" t="inlineStr">
        <is>
          <t>Payment of interest portion of lease liabilities</t>
        </is>
      </c>
      <c r="B43" s="6" t="n"/>
      <c r="C43" s="6" t="n"/>
      <c r="D43" s="6" t="n"/>
      <c r="E43" s="6" t="n">
        <v>-1988</v>
      </c>
      <c r="F43" s="6" t="n">
        <v>-385</v>
      </c>
      <c r="G43" s="6" t="n">
        <v>-388</v>
      </c>
      <c r="H43" s="6" t="n">
        <v>-165</v>
      </c>
      <c r="I43" s="6" t="n"/>
      <c r="J43" s="6" t="n"/>
    </row>
    <row r="44">
      <c r="A44" s="6" t="inlineStr">
        <is>
          <t>Payment of principal portion of lease liabilities</t>
        </is>
      </c>
      <c r="B44" s="6" t="n"/>
      <c r="C44" s="6" t="n"/>
      <c r="D44" s="6" t="n"/>
      <c r="E44" s="6" t="n">
        <v>-3075</v>
      </c>
      <c r="F44" s="6" t="n">
        <v>-7136</v>
      </c>
      <c r="G44" s="6" t="n">
        <v>-2654</v>
      </c>
      <c r="H44" s="6" t="n">
        <v>-1555</v>
      </c>
      <c r="I44" s="6" t="n"/>
      <c r="J44" s="6" t="n"/>
    </row>
    <row r="45">
      <c r="A45" s="6" t="inlineStr">
        <is>
          <t>Payment of lease liabilities (combined, MBHG presentation)</t>
        </is>
      </c>
      <c r="B45" s="6" t="n">
        <v>-926</v>
      </c>
      <c r="C45" s="6" t="n">
        <v>-4955</v>
      </c>
      <c r="D45" s="6" t="n">
        <v>-7008</v>
      </c>
      <c r="E45" s="6" t="n"/>
      <c r="F45" s="6" t="n"/>
      <c r="G45" s="6" t="n"/>
      <c r="H45" s="6" t="n"/>
      <c r="I45" s="6" t="n"/>
      <c r="J45" s="6" t="n"/>
    </row>
    <row r="46">
      <c r="A46" s="6" t="inlineStr">
        <is>
          <t>Purchase of treasury shares</t>
        </is>
      </c>
      <c r="B46" s="6" t="n"/>
      <c r="C46" s="6" t="n"/>
      <c r="D46" s="6" t="n"/>
      <c r="E46" s="6" t="n"/>
      <c r="F46" s="6" t="n"/>
      <c r="G46" s="6" t="n"/>
      <c r="H46" s="6" t="n">
        <v>-209</v>
      </c>
      <c r="I46" s="6" t="n"/>
      <c r="J46" s="6" t="n"/>
    </row>
    <row r="47">
      <c r="A47" s="6" t="inlineStr">
        <is>
          <t>Issuance of subordinated debt and warrant liability</t>
        </is>
      </c>
      <c r="B47" s="6" t="n"/>
      <c r="C47" s="6" t="n"/>
      <c r="D47" s="6" t="n"/>
      <c r="E47" s="6" t="n"/>
      <c r="F47" s="6" t="n">
        <v>14812</v>
      </c>
      <c r="G47" s="6" t="n"/>
      <c r="H47" s="6" t="n"/>
      <c r="I47" s="6" t="n"/>
      <c r="J47" s="6" t="n"/>
    </row>
    <row r="48">
      <c r="A48" s="6" t="inlineStr">
        <is>
          <t>Interest paid on subordinated debt liability</t>
        </is>
      </c>
      <c r="B48" s="6" t="n"/>
      <c r="C48" s="6" t="n"/>
      <c r="D48" s="6" t="n"/>
      <c r="E48" s="6" t="n">
        <v>-1801</v>
      </c>
      <c r="F48" s="6" t="n">
        <v>-1765</v>
      </c>
      <c r="G48" s="6" t="n"/>
      <c r="H48" s="6" t="n"/>
      <c r="I48" s="6" t="n"/>
      <c r="J48" s="6" t="n"/>
    </row>
    <row r="49">
      <c r="A49" s="5" t="inlineStr">
        <is>
          <t>Net cash from/(used in) financing activities</t>
        </is>
      </c>
      <c r="B49" s="5" t="n">
        <v>1126</v>
      </c>
      <c r="C49" s="5" t="n">
        <v>157407</v>
      </c>
      <c r="D49" s="5" t="n">
        <v>332432</v>
      </c>
      <c r="E49" s="5" t="n">
        <v>-6564</v>
      </c>
      <c r="F49" s="5" t="n">
        <v>441534</v>
      </c>
      <c r="G49" s="5" t="n">
        <v>194506</v>
      </c>
      <c r="H49" s="5" t="n">
        <v>111064</v>
      </c>
      <c r="I49" s="5" t="n">
        <v>104150</v>
      </c>
      <c r="J49" s="5" t="n">
        <v>67398</v>
      </c>
    </row>
    <row r="50">
      <c r="A50" s="6" t="inlineStr">
        <is>
          <t>Effect of exchange rates on cash and cash equivalents</t>
        </is>
      </c>
      <c r="B50" s="6" t="n">
        <v>-1145</v>
      </c>
      <c r="C50" s="6" t="n">
        <v>-45</v>
      </c>
      <c r="D50" s="6" t="n">
        <v>-149</v>
      </c>
      <c r="E50" s="6" t="n">
        <v>556</v>
      </c>
      <c r="F50" s="6" t="n">
        <v>-150</v>
      </c>
      <c r="G50" s="6" t="n"/>
      <c r="H50" s="6" t="n"/>
      <c r="I50" s="6" t="n"/>
      <c r="J50" s="6" t="n"/>
    </row>
    <row r="51">
      <c r="A51" s="5" t="inlineStr">
        <is>
          <t>Net increase/(decrease) in cash and cash equivalents</t>
        </is>
      </c>
      <c r="B51" s="5" t="n">
        <v>4428896</v>
      </c>
      <c r="C51" s="5" t="n">
        <v>3397463</v>
      </c>
      <c r="D51" s="5" t="n">
        <v>4523058</v>
      </c>
      <c r="E51" s="5" t="n">
        <v>-33298</v>
      </c>
      <c r="F51" s="5" t="n">
        <v>157172</v>
      </c>
      <c r="G51" s="5" t="n">
        <v>1603646</v>
      </c>
      <c r="H51" s="5" t="n">
        <v>823875</v>
      </c>
      <c r="I51" s="5" t="n">
        <v>452904</v>
      </c>
      <c r="J51" s="5" t="n">
        <v>82069</v>
      </c>
    </row>
    <row r="52">
      <c r="A52" s="6" t="inlineStr">
        <is>
          <t>Cash and cash equivalents at beginning of year</t>
        </is>
      </c>
      <c r="B52" s="6" t="n">
        <v>11021763</v>
      </c>
      <c r="C52" s="6" t="n">
        <v>7624300</v>
      </c>
      <c r="D52" s="6" t="n">
        <v>3101242</v>
      </c>
      <c r="E52" s="6" t="n">
        <v>3134540</v>
      </c>
      <c r="F52" s="6" t="n">
        <v>2977368</v>
      </c>
      <c r="G52" s="6" t="n">
        <v>1373722</v>
      </c>
      <c r="H52" s="6" t="n">
        <v>549847</v>
      </c>
      <c r="I52" s="6" t="n">
        <v>96943</v>
      </c>
      <c r="J52" s="6" t="n">
        <v>14874</v>
      </c>
    </row>
    <row r="53">
      <c r="A53" s="5" t="inlineStr">
        <is>
          <t>Cash and cash equivalents at end of year</t>
        </is>
      </c>
      <c r="B53" s="5" t="n">
        <v>15450659</v>
      </c>
      <c r="C53" s="5" t="n">
        <v>11021763</v>
      </c>
      <c r="D53" s="5" t="n">
        <v>7624300</v>
      </c>
      <c r="E53" s="5" t="n">
        <v>3101242</v>
      </c>
      <c r="F53" s="5" t="n">
        <v>3134540</v>
      </c>
      <c r="G53" s="5" t="n">
        <v>2977368</v>
      </c>
      <c r="H53" s="5" t="n">
        <v>1373722</v>
      </c>
      <c r="I53" s="5" t="n">
        <v>549847</v>
      </c>
      <c r="J53" s="5" t="n">
        <v>96943</v>
      </c>
    </row>
    <row r="55" ht="351" customHeight="1">
      <c r="A55" s="8" t="inlineStr">
        <is>
          <t>Sources - all figures are Monzo Group (consolidated) cash flow statement, £'000. See entity note above for MBL vs MBHG scope by year.
FY2025: Monzo Annual Report and Accounts 2025, p.119 (Consolidated statement of cash flows) - https://monzo.com/annual-report/2025/Monzo%20Bank%20Group%20FY2025%20Annual%20Report.pdf
FY2024: Monzo Bank Holding Group Limited Annual Report and Group Financial Statements 2024, p.98 (Consolidated statement of cash flows, 13-month period ended 31 March 2024) - https://monzo.com/docs/monzo-annual-report-2024.pdf
FY2023: Monzo Bank Limited Annual Report and Accounts 2023, p.100-101 (Statement of cash flows, year ended 28 February 2023) - https://monzo.com/docs/monzo-annual-report-2023.pdf
FY2022: Monzo Bank Limited Group Annual Report 2022, p.111-112 (Statement of cash flows, year ended 28 February 2022) - https://monzo.com/static/docs/monzo-annual-report-2022.pdf
FY2021: Monzo Bank Limited Group Annual Report 2022, p.110-111 (Statement of cash flows, FY2021 restated comparative, year ended 28 February 2021) - https://monzo.com/static/docs/monzo-annual-report-2022.pdf
FY2020: Monzo Bank Limited Group Annual Report 2020, p.98 (Statement of cash flows, Group, year ended 29 February 2020) - https://monzo.com/docs/monzo-annual-report-2020.pdf
FY2019: Monzo Bank Limited Annual Report and Financial Statements 2019, p.54 (Statement of cash flows, Group, year ended 28 February 2019) - https://find-and-update.company-information.service.gov.uk/company/09446231/filing-history/MzIzOTY5Nzg5MGFkaXF6a2N4/document?format=pdf&amp;download=0
FY2018: Monzo Bank Limited Annual Report and Financial Statements 2018, p.26 (Statement of cash flows, year ended 28 February 2018) - https://find-and-update.company-information.service.gov.uk/company/09446231/filing-history/MzE4MzMzNTM5OWFkaXF6a2N4/document?format=pdf&amp;download=0
ENTITY NOTE: FY2025 and FY2024 (marked MBHG) are Monzo Bank Holding Group Limited, the new parent company formed April 2023 - a broader consolidation scope than Monzo Bank Limited (MBL), which includes MBL plus (from FY2025) additional EU/US subsidiaries. FY2018-FY2023 (marked MBL) are Monzo Bank Limited, the entity on the PRA register (company no. 09446231). Monzo Bank Limited continued filing its own standalone accounts through FY2025, but that filing was only available as a scanned, non-text Companies House filing and could not be extracted; MBHG's figures were used for FY2024/25 instead as the only cleanly-extractable source, per user direction. FY2018-FY2020's MBL statutory accounts (also scanned Companies House filings, plus FY2020 was additionally cross-checked against Monzo's own website-hosted copy) were read page-by-page as images rather than machine-extracted. Also note: Monzo changed its financial year end from 28 February to 31 March starting FY2024, making FY2024 a 13-month period (1 March 2023 - 31 March 2024) rather than 12 months - it is not directly run-rate comparable to the other four years.
HISTORICAL FLOOR NOTE (HD-024, 2026-09-06): the same company (09446231) was incorporated 18 Feb 2015 but traded as a pre-launch shell ('Focus FS Limited', then other names) with no banking licence and no deposits or loans on its balance sheet through the period ended 29 Feb 2016 and the year ended 28 Feb 2017 (that FY2016 accounts show total assets of only GBP568k, no interest income, no customer deposits, no loans - not a real operating bank year; FY2017's accounts likewise show GBP0 customer deposits and GBP0 loans, confirmed by the FY2018 Annual Report's own comparative column). Monzo received its restricted UK banking licence in August 2016 and its full/unrestricted licence in April 2017 (per the FY2018 Annual Report's audit opinion). FY2018 (year ended 28 Feb 2018) is therefore the first year with a genuine bank balance sheet (Customer deposits GBP71,276k, Loans and advances to customers GBP160k) and is used here as the real, verified floor - not FY2016 as originally guessed from GLEIF entity-creation-year grouping (which conflated the shell company's 2015 incorporation with Monzo's later start as an operating bank). No further extension before FY2018 is possible: it is the first year the company operated as a bank at all.
PRESENTATION NOTE: Monzo's cash flow statement format changed materially between the MBL years (FY2021-23) and the MBHG years (FY2024-25) - e.g. separate lease/subordinated-debt/treasury interest lines were combined into a single 'Net interest' line, and 'Impairment and charge-offs' became its own line. Blank cells indicate that year's report did not disclose that specific split. Section totals (net cash from operating/investing/financing, cash and cash equivalents) are consistent and comparable across all years regardless of this - hand-traced year-over-year: FY2018 close 96,943 = FY2019 open 96,943; FY2019 close 549,847 = FY2020 open 549,847; FY2020 close 1,373,722 = FY2021 open 1,373,722 (already in the FY2021 column below).</t>
        </is>
      </c>
    </row>
  </sheetData>
  <mergeCells count="1">
    <mergeCell ref="A55:J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Monzo — Asset Quality / Credit Risk Disclosures</t>
        </is>
      </c>
    </row>
    <row r="2">
      <c r="A2" s="2" t="inlineStr">
        <is>
          <t>Monzo Group (consolidated basis), £'000. See entity note on the Cash Flow Statement sheet.</t>
        </is>
      </c>
    </row>
    <row r="3">
      <c r="A3" s="4" t="inlineStr">
        <is>
          <t>Line item</t>
        </is>
      </c>
      <c r="B3" s="4" t="inlineStr">
        <is>
          <t>FY2026 (MBHG) (£'000)</t>
        </is>
      </c>
      <c r="C3" s="4" t="inlineStr">
        <is>
          <t>FY2025 (MBHG) (£'000)</t>
        </is>
      </c>
      <c r="D3" s="4" t="inlineStr">
        <is>
          <t>FY2024 (MBHG)* (£'000)</t>
        </is>
      </c>
      <c r="E3" s="4" t="inlineStr">
        <is>
          <t>FY2023 (MBL) (£'000)</t>
        </is>
      </c>
      <c r="F3" s="4" t="inlineStr">
        <is>
          <t>FY2022 (MBL) (£'000)</t>
        </is>
      </c>
      <c r="G3" s="4" t="inlineStr">
        <is>
          <t>FY2021 (MBL) (£'000)</t>
        </is>
      </c>
      <c r="H3" s="4" t="inlineStr">
        <is>
          <t>FY2020 (MBL) (£'000)</t>
        </is>
      </c>
      <c r="I3" s="4" t="inlineStr">
        <is>
          <t>FY2019 (MBL) (£'000)</t>
        </is>
      </c>
    </row>
    <row r="4">
      <c r="A4" s="5" t="inlineStr">
        <is>
          <t>Gross loans and advances to customers, by product</t>
        </is>
      </c>
      <c r="B4" s="6" t="n"/>
      <c r="C4" s="6" t="n"/>
      <c r="D4" s="6" t="n"/>
      <c r="E4" s="6" t="n"/>
      <c r="F4" s="6" t="n"/>
      <c r="G4" s="6" t="n"/>
      <c r="H4" s="6" t="n"/>
      <c r="I4" s="6" t="n"/>
    </row>
    <row r="5">
      <c r="A5" s="6" t="inlineStr">
        <is>
          <t>Overdrafts and overdrawn balances</t>
        </is>
      </c>
      <c r="B5" s="6" t="n">
        <v>545434</v>
      </c>
      <c r="C5" s="6" t="n">
        <v>402876</v>
      </c>
      <c r="D5" s="6" t="n">
        <v>318960</v>
      </c>
      <c r="E5" s="6" t="n">
        <v>197104</v>
      </c>
      <c r="F5" s="6" t="n">
        <v>100911</v>
      </c>
      <c r="G5" s="6" t="n">
        <v>56818</v>
      </c>
      <c r="H5" s="6" t="n"/>
      <c r="I5" s="6" t="n"/>
    </row>
    <row r="6">
      <c r="A6" s="6" t="inlineStr">
        <is>
          <t>Loans</t>
        </is>
      </c>
      <c r="B6" s="6" t="n">
        <v>1253146</v>
      </c>
      <c r="C6" s="6" t="n">
        <v>897426</v>
      </c>
      <c r="D6" s="6" t="n">
        <v>683976</v>
      </c>
      <c r="E6" s="6" t="n">
        <v>393349</v>
      </c>
      <c r="F6" s="6" t="n">
        <v>157896</v>
      </c>
      <c r="G6" s="6" t="n">
        <v>47772</v>
      </c>
      <c r="H6" s="6" t="n"/>
      <c r="I6" s="6" t="n"/>
    </row>
    <row r="7">
      <c r="A7" s="6" t="inlineStr">
        <is>
          <t>Flex Loans</t>
        </is>
      </c>
      <c r="B7" s="6" t="n">
        <v>842780</v>
      </c>
      <c r="C7" s="6" t="n">
        <v>553394</v>
      </c>
      <c r="D7" s="6" t="n">
        <v>391286</v>
      </c>
      <c r="E7" s="6" t="n">
        <v>169281</v>
      </c>
      <c r="F7" s="6" t="n"/>
      <c r="G7" s="6" t="n"/>
      <c r="H7" s="6" t="n"/>
      <c r="I7" s="6" t="n"/>
    </row>
    <row r="8">
      <c r="A8" s="5" t="inlineStr">
        <is>
          <t>Total gross loans and advances to customers</t>
        </is>
      </c>
      <c r="B8" s="5" t="n">
        <v>2641360</v>
      </c>
      <c r="C8" s="5" t="n">
        <v>1853696</v>
      </c>
      <c r="D8" s="5" t="n">
        <v>1394222</v>
      </c>
      <c r="E8" s="5" t="n">
        <v>759734</v>
      </c>
      <c r="F8" s="5" t="n">
        <v>258807</v>
      </c>
      <c r="G8" s="5" t="n">
        <v>104590</v>
      </c>
      <c r="H8" s="5" t="n"/>
      <c r="I8" s="5" t="n"/>
    </row>
    <row r="9">
      <c r="A9" s="5" t="inlineStr">
        <is>
          <t>Impairment loss allowance (ECL), by product</t>
        </is>
      </c>
      <c r="B9" s="6" t="n"/>
      <c r="C9" s="6" t="n"/>
      <c r="D9" s="6" t="n"/>
      <c r="E9" s="6" t="n"/>
      <c r="F9" s="6" t="n"/>
      <c r="G9" s="6" t="n"/>
      <c r="H9" s="6" t="n"/>
      <c r="I9" s="6" t="n"/>
    </row>
    <row r="10">
      <c r="A10" s="6" t="inlineStr">
        <is>
          <t>Overdrafts and overdrawn balances</t>
        </is>
      </c>
      <c r="B10" s="6" t="n">
        <v>-111998</v>
      </c>
      <c r="C10" s="6" t="n">
        <v>-83013</v>
      </c>
      <c r="D10" s="6" t="n">
        <v>-61938</v>
      </c>
      <c r="E10" s="6" t="n">
        <v>-36266</v>
      </c>
      <c r="F10" s="6" t="n">
        <v>-15179</v>
      </c>
      <c r="G10" s="6" t="n">
        <v>-12600</v>
      </c>
      <c r="H10" s="6" t="n"/>
      <c r="I10" s="6" t="n"/>
    </row>
    <row r="11">
      <c r="A11" s="6" t="inlineStr">
        <is>
          <t>Loans</t>
        </is>
      </c>
      <c r="B11" s="6" t="n">
        <v>-97528</v>
      </c>
      <c r="C11" s="6" t="n">
        <v>-81429</v>
      </c>
      <c r="D11" s="6" t="n">
        <v>-75892</v>
      </c>
      <c r="E11" s="6" t="n">
        <v>-33247</v>
      </c>
      <c r="F11" s="6" t="n">
        <v>-8545</v>
      </c>
      <c r="G11" s="6" t="n">
        <v>-4843</v>
      </c>
      <c r="H11" s="6" t="n"/>
      <c r="I11" s="6" t="n"/>
    </row>
    <row r="12">
      <c r="A12" s="6" t="inlineStr">
        <is>
          <t>Flex Loans</t>
        </is>
      </c>
      <c r="B12" s="6" t="n">
        <v>-119909</v>
      </c>
      <c r="C12" s="6" t="n">
        <v>-86784</v>
      </c>
      <c r="D12" s="6" t="n">
        <v>-66177</v>
      </c>
      <c r="E12" s="6" t="n">
        <v>-36488</v>
      </c>
      <c r="F12" s="6" t="n"/>
      <c r="G12" s="6" t="n"/>
      <c r="H12" s="6" t="n"/>
      <c r="I12" s="6" t="n"/>
    </row>
    <row r="13">
      <c r="A13" s="5" t="inlineStr">
        <is>
          <t>Total impairment loss allowance</t>
        </is>
      </c>
      <c r="B13" s="5" t="n">
        <v>-329435</v>
      </c>
      <c r="C13" s="5" t="n">
        <v>-251226</v>
      </c>
      <c r="D13" s="5" t="n">
        <v>-204007</v>
      </c>
      <c r="E13" s="5" t="n">
        <v>-106001</v>
      </c>
      <c r="F13" s="5" t="n">
        <v>-23724</v>
      </c>
      <c r="G13" s="5" t="n">
        <v>-17443</v>
      </c>
      <c r="H13" s="5" t="n"/>
      <c r="I13" s="5" t="n"/>
    </row>
    <row r="14">
      <c r="A14" s="5" t="inlineStr">
        <is>
          <t>Net loans and advances to customers, by product</t>
        </is>
      </c>
      <c r="B14" s="6" t="n"/>
      <c r="C14" s="6" t="n"/>
      <c r="D14" s="6" t="n"/>
      <c r="E14" s="6" t="n"/>
      <c r="F14" s="6" t="n"/>
      <c r="G14" s="6" t="n"/>
      <c r="H14" s="6" t="n"/>
      <c r="I14" s="6" t="n"/>
    </row>
    <row r="15">
      <c r="A15" s="6" t="inlineStr">
        <is>
          <t>Overdrafts and overdrawn balances</t>
        </is>
      </c>
      <c r="B15" s="6" t="n">
        <v>433436</v>
      </c>
      <c r="C15" s="6" t="n">
        <v>319863</v>
      </c>
      <c r="D15" s="6" t="n">
        <v>257022</v>
      </c>
      <c r="E15" s="6" t="n">
        <v>160838</v>
      </c>
      <c r="F15" s="6" t="n">
        <v>85732</v>
      </c>
      <c r="G15" s="6" t="n">
        <v>44218</v>
      </c>
      <c r="H15" s="6" t="n"/>
      <c r="I15" s="6" t="n"/>
    </row>
    <row r="16">
      <c r="A16" s="6" t="inlineStr">
        <is>
          <t>Loans</t>
        </is>
      </c>
      <c r="B16" s="6" t="n">
        <v>1155618</v>
      </c>
      <c r="C16" s="6" t="n">
        <v>815997</v>
      </c>
      <c r="D16" s="6" t="n">
        <v>608084</v>
      </c>
      <c r="E16" s="6" t="n">
        <v>360102</v>
      </c>
      <c r="F16" s="6" t="n">
        <v>149351</v>
      </c>
      <c r="G16" s="6" t="n">
        <v>42929</v>
      </c>
      <c r="H16" s="6" t="n"/>
      <c r="I16" s="6" t="n"/>
    </row>
    <row r="17">
      <c r="A17" s="6" t="inlineStr">
        <is>
          <t>Flex Loans</t>
        </is>
      </c>
      <c r="B17" s="6" t="n">
        <v>722871</v>
      </c>
      <c r="C17" s="6" t="n">
        <v>466610</v>
      </c>
      <c r="D17" s="6" t="n">
        <v>325109</v>
      </c>
      <c r="E17" s="6" t="n">
        <v>132793</v>
      </c>
      <c r="F17" s="6" t="n"/>
      <c r="G17" s="6" t="n"/>
      <c r="H17" s="6" t="n"/>
      <c r="I17" s="6" t="n"/>
    </row>
    <row r="18">
      <c r="A18" s="5" t="inlineStr">
        <is>
          <t>Total net loans and advances to customers</t>
        </is>
      </c>
      <c r="B18" s="5" t="n">
        <v>2311925</v>
      </c>
      <c r="C18" s="5" t="n">
        <v>1602470</v>
      </c>
      <c r="D18" s="5" t="n">
        <v>1190215</v>
      </c>
      <c r="E18" s="5" t="n">
        <v>653733</v>
      </c>
      <c r="F18" s="5" t="n">
        <v>235083</v>
      </c>
      <c r="G18" s="5" t="n">
        <v>87147</v>
      </c>
      <c r="H18" s="5" t="n"/>
      <c r="I18" s="5" t="n"/>
    </row>
    <row r="19">
      <c r="A19" s="5" t="inlineStr">
        <is>
          <t>Gross loans and advances to customers, by IFRS 9 stage</t>
        </is>
      </c>
      <c r="B19" s="6" t="n"/>
      <c r="C19" s="6" t="n"/>
      <c r="D19" s="6" t="n"/>
      <c r="E19" s="6" t="n"/>
      <c r="F19" s="6" t="n"/>
      <c r="G19" s="6" t="n"/>
      <c r="H19" s="6" t="n"/>
      <c r="I19" s="6" t="n"/>
    </row>
    <row r="20">
      <c r="A20" s="6" t="inlineStr">
        <is>
          <t>Stage 1 (performing)</t>
        </is>
      </c>
      <c r="B20" s="6" t="n">
        <v>1983688</v>
      </c>
      <c r="C20" s="6" t="n">
        <v>1347607</v>
      </c>
      <c r="D20" s="6" t="n">
        <v>1103258</v>
      </c>
      <c r="E20" s="6" t="n">
        <v>598627</v>
      </c>
      <c r="F20" s="6" t="n">
        <v>189761</v>
      </c>
      <c r="G20" s="6" t="n">
        <v>60059</v>
      </c>
      <c r="H20" s="6" t="n">
        <v>107480</v>
      </c>
      <c r="I20" s="6" t="n">
        <v>14804</v>
      </c>
    </row>
    <row r="21">
      <c r="A21" s="6" t="inlineStr">
        <is>
          <t>Stage 2 (underperforming)</t>
        </is>
      </c>
      <c r="B21" s="6" t="n">
        <v>503666</v>
      </c>
      <c r="C21" s="6" t="n">
        <v>397399</v>
      </c>
      <c r="D21" s="6" t="n">
        <v>206174</v>
      </c>
      <c r="E21" s="6" t="n">
        <v>128104</v>
      </c>
      <c r="F21" s="6" t="n">
        <v>59765</v>
      </c>
      <c r="G21" s="6" t="n">
        <v>36901</v>
      </c>
      <c r="H21" s="6" t="n">
        <v>33150</v>
      </c>
      <c r="I21" s="6" t="n">
        <v>3293</v>
      </c>
    </row>
    <row r="22">
      <c r="A22" s="6" t="inlineStr">
        <is>
          <t>Stage 3 (credit-impaired)</t>
        </is>
      </c>
      <c r="B22" s="6" t="n">
        <v>154006</v>
      </c>
      <c r="C22" s="6" t="n">
        <v>108690</v>
      </c>
      <c r="D22" s="6" t="n">
        <v>84573</v>
      </c>
      <c r="E22" s="6" t="n">
        <v>33003</v>
      </c>
      <c r="F22" s="6" t="n">
        <v>9281</v>
      </c>
      <c r="G22" s="6" t="n">
        <v>7630</v>
      </c>
      <c r="H22" s="6" t="n">
        <v>3279</v>
      </c>
      <c r="I22" s="6" t="n">
        <v>1076</v>
      </c>
    </row>
    <row r="23">
      <c r="A23" s="5" t="inlineStr">
        <is>
          <t>Total gross loans and advances to customers (by stage)</t>
        </is>
      </c>
      <c r="B23" s="5" t="n">
        <v>2641360</v>
      </c>
      <c r="C23" s="5" t="n">
        <v>1853696</v>
      </c>
      <c r="D23" s="5" t="n">
        <v>1394005</v>
      </c>
      <c r="E23" s="5" t="n">
        <v>759734</v>
      </c>
      <c r="F23" s="5" t="n">
        <v>258807</v>
      </c>
      <c r="G23" s="5" t="n">
        <v>104590</v>
      </c>
      <c r="H23" s="5" t="n">
        <v>143909</v>
      </c>
      <c r="I23" s="5" t="n">
        <v>19173</v>
      </c>
    </row>
    <row r="24">
      <c r="A24" s="5" t="inlineStr">
        <is>
          <t>Impairment loss allowance, by IFRS 9 stage</t>
        </is>
      </c>
      <c r="B24" s="6" t="n"/>
      <c r="C24" s="6" t="n"/>
      <c r="D24" s="6" t="n"/>
      <c r="E24" s="6" t="n"/>
      <c r="F24" s="6" t="n"/>
      <c r="G24" s="6" t="n"/>
      <c r="H24" s="6" t="n"/>
      <c r="I24" s="6" t="n"/>
    </row>
    <row r="25">
      <c r="A25" s="6" t="inlineStr">
        <is>
          <t>Stage 1 (performing)</t>
        </is>
      </c>
      <c r="B25" s="6" t="n">
        <v>-85526</v>
      </c>
      <c r="C25" s="6" t="n">
        <v>-54783</v>
      </c>
      <c r="D25" s="6" t="n">
        <v>-69167</v>
      </c>
      <c r="E25" s="6" t="n">
        <v>-43742</v>
      </c>
      <c r="F25" s="6" t="n">
        <v>-7855</v>
      </c>
      <c r="G25" s="6" t="n">
        <v>-2833</v>
      </c>
      <c r="H25" s="6" t="n">
        <v>-7399</v>
      </c>
      <c r="I25" s="6" t="n">
        <v>-1198</v>
      </c>
    </row>
    <row r="26">
      <c r="A26" s="6" t="inlineStr">
        <is>
          <t>Stage 2 (underperforming)</t>
        </is>
      </c>
      <c r="B26" s="6" t="n">
        <v>-154382</v>
      </c>
      <c r="C26" s="6" t="n">
        <v>-130326</v>
      </c>
      <c r="D26" s="6" t="n">
        <v>-80852</v>
      </c>
      <c r="E26" s="6" t="n">
        <v>-38022</v>
      </c>
      <c r="F26" s="6" t="n">
        <v>-9765</v>
      </c>
      <c r="G26" s="6" t="n">
        <v>-9341</v>
      </c>
      <c r="H26" s="6" t="n">
        <v>-9645</v>
      </c>
      <c r="I26" s="6" t="n">
        <v>-961</v>
      </c>
    </row>
    <row r="27">
      <c r="A27" s="6" t="inlineStr">
        <is>
          <t>Stage 3 (credit-impaired)</t>
        </is>
      </c>
      <c r="B27" s="6" t="n">
        <v>-89527</v>
      </c>
      <c r="C27" s="6" t="n">
        <v>-66117</v>
      </c>
      <c r="D27" s="6" t="n">
        <v>-53988</v>
      </c>
      <c r="E27" s="6" t="n">
        <v>-24237</v>
      </c>
      <c r="F27" s="6" t="n">
        <v>-6104</v>
      </c>
      <c r="G27" s="6" t="n">
        <v>-5269</v>
      </c>
      <c r="H27" s="6" t="n">
        <v>-2952</v>
      </c>
      <c r="I27" s="6" t="n">
        <v>-960</v>
      </c>
    </row>
    <row r="28">
      <c r="A28" s="5" t="inlineStr">
        <is>
          <t>Total impairment loss allowance (by stage)</t>
        </is>
      </c>
      <c r="B28" s="5" t="n">
        <v>-329435</v>
      </c>
      <c r="C28" s="5" t="n">
        <v>-251226</v>
      </c>
      <c r="D28" s="5" t="n">
        <v>-204007</v>
      </c>
      <c r="E28" s="5" t="n">
        <v>-106001</v>
      </c>
      <c r="F28" s="5" t="n">
        <v>-23724</v>
      </c>
      <c r="G28" s="5" t="n">
        <v>-17443</v>
      </c>
      <c r="H28" s="5" t="n">
        <v>-19996</v>
      </c>
      <c r="I28" s="5" t="n">
        <v>-3119</v>
      </c>
    </row>
    <row r="29">
      <c r="A29" s="5" t="inlineStr">
        <is>
          <t>Asset quality ratios</t>
        </is>
      </c>
      <c r="B29" s="6" t="n"/>
      <c r="C29" s="6" t="n"/>
      <c r="D29" s="6" t="n"/>
      <c r="E29" s="6" t="n"/>
      <c r="F29" s="6" t="n"/>
      <c r="G29" s="6" t="n"/>
      <c r="H29" s="6" t="n"/>
      <c r="I29" s="6" t="n"/>
    </row>
    <row r="30">
      <c r="A30" s="6" t="inlineStr">
        <is>
          <t>ECL coverage ratio (Total impairment allowance / Total gross loans)</t>
        </is>
      </c>
      <c r="B30" s="6" t="inlineStr">
        <is>
          <t>12.47%</t>
        </is>
      </c>
      <c r="C30" s="6" t="inlineStr">
        <is>
          <t>13.55%</t>
        </is>
      </c>
      <c r="D30" s="6" t="inlineStr">
        <is>
          <t>14.63%</t>
        </is>
      </c>
      <c r="E30" s="6" t="inlineStr">
        <is>
          <t>13.95%</t>
        </is>
      </c>
      <c r="F30" s="6" t="inlineStr">
        <is>
          <t>9.17%</t>
        </is>
      </c>
      <c r="G30" s="6" t="inlineStr">
        <is>
          <t>16.68%</t>
        </is>
      </c>
      <c r="H30" s="6" t="inlineStr">
        <is>
          <t>13.89%</t>
        </is>
      </c>
      <c r="I30" s="6" t="inlineStr">
        <is>
          <t>16.27%</t>
        </is>
      </c>
    </row>
    <row r="31">
      <c r="A31" s="6" t="inlineStr">
        <is>
          <t>Stage 3 (NPL) ratio (Stage 3 gross loans / Total gross loans)</t>
        </is>
      </c>
      <c r="B31" s="6" t="inlineStr">
        <is>
          <t>5.83%</t>
        </is>
      </c>
      <c r="C31" s="6" t="inlineStr">
        <is>
          <t>5.86%</t>
        </is>
      </c>
      <c r="D31" s="6" t="inlineStr">
        <is>
          <t>6.07%</t>
        </is>
      </c>
      <c r="E31" s="6" t="inlineStr">
        <is>
          <t>4.34%</t>
        </is>
      </c>
      <c r="F31" s="6" t="inlineStr">
        <is>
          <t>3.59%</t>
        </is>
      </c>
      <c r="G31" s="6" t="inlineStr">
        <is>
          <t>7.30%</t>
        </is>
      </c>
      <c r="H31" s="6" t="inlineStr">
        <is>
          <t>2.28%</t>
        </is>
      </c>
      <c r="I31" s="6" t="inlineStr">
        <is>
          <t>5.61%</t>
        </is>
      </c>
    </row>
    <row r="32">
      <c r="A32" s="6" t="inlineStr">
        <is>
          <t>Stage 3 coverage ratio (Stage 3 impairment allowance / Stage 3 gross loans)</t>
        </is>
      </c>
      <c r="B32" s="6" t="inlineStr">
        <is>
          <t>58.13%</t>
        </is>
      </c>
      <c r="C32" s="6" t="inlineStr">
        <is>
          <t>60.83%</t>
        </is>
      </c>
      <c r="D32" s="6" t="inlineStr">
        <is>
          <t>63.83%</t>
        </is>
      </c>
      <c r="E32" s="6" t="inlineStr">
        <is>
          <t>73.44%</t>
        </is>
      </c>
      <c r="F32" s="6" t="inlineStr">
        <is>
          <t>65.77%</t>
        </is>
      </c>
      <c r="G32" s="6" t="inlineStr">
        <is>
          <t>69.06%</t>
        </is>
      </c>
      <c r="H32" s="6" t="inlineStr">
        <is>
          <t>90.03%</t>
        </is>
      </c>
      <c r="I32" s="6" t="inlineStr">
        <is>
          <t>89.22%</t>
        </is>
      </c>
    </row>
    <row r="34" ht="286" customHeight="1">
      <c r="A34" s="8" t="inlineStr">
        <is>
          <t>Sources - all figures are Monzo Group (consolidated) Note 13 'Loans and advances to customers' and the 'Impairment loss allowance movement table', £'000. See entity note on the Cash Flow Statement sheet for MBL vs MBHG scope by year.
FY2025 and FY2024 (by product and by stage): Monzo Annual Report and Accounts 2025, p.137 (Note 13) and p.167-168 (Impairment loss allowance movement table) - https://monzo.com/annual-report/2025/Monzo%20Bank%20Group%20FY2025%20Annual%20Report.pdf
FY2023 (by product): Monzo Bank Limited Annual Report and Accounts 2023, p.119 (Note 13) - https://monzo.com/docs/monzo-annual-report-2023.pdf
FY2023 and FY2022 and FY2021 (by stage): Monzo Bank Limited Annual Report and Accounts 2023, p.147-149 (Impairment loss allowance movement table, 'As at 1 March 2021' / 'As at 28 February 2022' / 'As at 28 February 2023' snapshots) - https://monzo.com/docs/monzo-annual-report-2023.pdf
FY2022 (by product): Monzo Bank Limited Group Annual Report 2022, p.131 (Note 13) - https://monzo.com/static/docs/monzo-annual-report-2022.pdf
FY2021 (by product): Monzo Bank Limited Group Annual Report 2022, p.131 (Note 13, restated comparative) - https://monzo.com/static/docs/monzo-annual-report-2022.pdf
FY2020 (by stage, 'Analysis of overdrafts and loans by stage'): Monzo Bank Limited Group Annual Report 2020, p.132 - https://monzo.com/docs/monzo-annual-report-2020.pdf
FY2019 (by stage): Monzo Bank Limited Annual Report and Financial Statements 2019, p.88 (Note 31 Credit risk) - https://find-and-update.company-information.service.gov.uk/company/09446231/filing-history/MzIzOTY5Nzg5MGFkaXF6a2N4/document?format=pdf&amp;download=0
ENTITY NOTE: FY2025 and FY2024 (marked MBHG) are Monzo Bank Holding Group Limited, the new parent company formed April 2023 - a broader consolidation scope than Monzo Bank Limited (MBL), which includes MBL plus (from FY2025) additional EU/US subsidiaries. FY2018-FY2023 (marked MBL) are Monzo Bank Limited, the entity on the PRA register (company no. 09446231). Monzo Bank Limited continued filing its own standalone accounts through FY2025, but that filing was only available as a scanned, non-text Companies House filing and could not be extracted; MBHG's figures were used for FY2024/25 instead as the only cleanly-extractable source, per user direction. FY2018-FY2020's MBL statutory accounts (also scanned Companies House filings, plus FY2020 was additionally cross-checked against Monzo's own website-hosted copy) were read page-by-page as images rather than machine-extracted. Also note: Monzo changed its financial year end from 28 February to 31 March starting FY2024, making FY2024 a 13-month period (1 March 2023 - 31 March 2024) rather than 12 months - it is not directly run-rate comparable to the other four years.
HISTORICAL FLOOR NOTE (HD-024, 2026-09-06): the same company (09446231) was incorporated 18 Feb 2015 but traded as a pre-launch shell ('Focus FS Limited', then other names) with no banking licence and no deposits or loans on its balance sheet through the period ended 29 Feb 2016 and the year ended 28 Feb 2017 (that FY2016 accounts show total assets of only GBP568k, no interest income, no customer deposits, no loans - not a real operating bank year; FY2017's accounts likewise show GBP0 customer deposits and GBP0 loans, confirmed by the FY2018 Annual Report's own comparative column). Monzo received its restricted UK banking licence in August 2016 and its full/unrestricted licence in April 2017 (per the FY2018 Annual Report's audit opinion). FY2018 (year ended 28 Feb 2018) is therefore the first year with a genuine bank balance sheet (Customer deposits GBP71,276k, Loans and advances to customers GBP160k) and is used here as the real, verified floor - not FY2016 as originally guessed from GLEIF entity-creation-year grouping (which conflated the shell company's 2015 incorporation with Monzo's later start as an operating bank). No further extension before FY2018 is possible: it is the first year the company operated as a bank at all.</t>
        </is>
      </c>
    </row>
    <row r="36" ht="170" customHeight="1">
      <c r="A36" s="8" t="inlineStr">
        <is>
          <t>(continued)
PRESENTATION NOTE: 'Flex Loans' was only reported as its own product line from FY2023 onward - FY2021 and FY2022's own reports combined it into 'Loans' (blank Flex Loans cells for those years; AR2023 later restated FY2022 with the split - 130,892 Loans + 27,004 Flex Loans - matching FY2022's own combined 157,896 exactly, but this sheet keeps each year's own primary-source figures for consistency with the rest of the workbook). The 'by IFRS 9 stage' Total gross loans for FY2024 (1,394,005) differs from the 'by product' Total gross loans for FY2024 (1,394,222) by £217k - a small scope difference in Monzo's own two disclosures (Note 13 vs the impairment loss allowance movement table); both are transcribed exactly as disclosed. All other years' by-product and by-stage gross/impairment totals match exactly. Stage 1 = performing, Stage 2 = underperforming/significant increase in credit risk since origination, Stage 3 = credit-impaired (Monzo's proxy for non-performing). ECL coverage ratio = Total impairment allowance / Total gross loans (by-product total); Stage 3 (NPL) ratio and Stage 3 coverage ratio use the by-stage totals. FY2019 and FY2020 (MBL's earliest years with a material loan book) disclosed only the by-IFRS-9-stage table, not a by-product (Overdrafts/Loans/Flex Loans) split - those rows are blank for FY2019-20. FY2020's by-stage impairment-allowance total (per its own note) nets both on-balance-sheet loan impairment and off-balance-sheet undrawn-overdraft-commitment provision together (both ultimately reduce the same revolving overdraft facility), which is why FY2020's Total gross minus Total impairment allowance ties exactly to the Balance Sheet's Loans and advances to customers figure even though the 'impairment allowance' total is not a pure funded-balance ECL figure. FY2018 is not populated at all: its loan book was GBP160k (all overdrafts, first year of the product), and Monzo's own FY2019 Annual Report states FY2018 comparatives for this table 'are not presented as they are not material'; FY2018 also used IAS 39 (not IFRS 9, adopted from FY2019) for impairment, so no stage-based table exists for that year at all.</t>
        </is>
      </c>
    </row>
  </sheetData>
  <mergeCells count="2">
    <mergeCell ref="A34:I34"/>
    <mergeCell ref="A36:I3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Monzo - KM1 Key Metrics</t>
        </is>
      </c>
    </row>
    <row r="2">
      <c r="A2" s="2" t="inlineStr">
        <is>
          <t>The bank's own published UK KM1 template, reproduced in Monzo's row order with its own template row numbers. Amounts in £'000, ratios as printed. FY2025/FY2024 are Monzo Bank Holding Group Limited; FY2023/FY2022 are Monzo Bank Ltd. FY2021 and earlier are blank because Monzo has never published a KM1 column for those dates, on any basis, in any edition - re-confirmed 2026-09-17, see the source note.</t>
        </is>
      </c>
    </row>
    <row r="3">
      <c r="A3" s="4" t="inlineStr">
        <is>
          <t>Line item</t>
        </is>
      </c>
      <c r="B3" s="4" t="inlineStr">
        <is>
          <t>FY2026 (MBHG)</t>
        </is>
      </c>
      <c r="C3" s="4" t="inlineStr">
        <is>
          <t>FY2025 (MBHG)</t>
        </is>
      </c>
      <c r="D3" s="4" t="inlineStr">
        <is>
          <t>FY2024 (MBHG)*</t>
        </is>
      </c>
      <c r="E3" s="4" t="inlineStr">
        <is>
          <t>FY2023 (MBL)</t>
        </is>
      </c>
      <c r="F3" s="4" t="inlineStr">
        <is>
          <t>FY2022 (MBL)</t>
        </is>
      </c>
    </row>
    <row r="4">
      <c r="A4" s="5" t="inlineStr">
        <is>
          <t>Available own funds (amounts, £'000)</t>
        </is>
      </c>
      <c r="B4" s="6" t="n"/>
      <c r="C4" s="6" t="n"/>
      <c r="D4" s="6" t="n"/>
      <c r="E4" s="6" t="n"/>
      <c r="F4" s="6" t="n"/>
    </row>
    <row r="5">
      <c r="A5" s="6" t="inlineStr">
        <is>
          <t>1    Common Equity Tier 1 (CET1) capital</t>
        </is>
      </c>
      <c r="B5" s="6" t="n">
        <v>1276002</v>
      </c>
      <c r="C5" s="6" t="n">
        <v>1158302</v>
      </c>
      <c r="D5" s="6" t="n">
        <v>888274</v>
      </c>
      <c r="E5" s="6" t="n">
        <v>532582</v>
      </c>
      <c r="F5" s="6" t="n">
        <v>575287</v>
      </c>
    </row>
    <row r="6">
      <c r="A6" s="6" t="inlineStr">
        <is>
          <t>2    Tier 1 capital</t>
        </is>
      </c>
      <c r="B6" s="6" t="n">
        <v>1276002</v>
      </c>
      <c r="C6" s="6" t="n">
        <v>1158302</v>
      </c>
      <c r="D6" s="6" t="n">
        <v>888274</v>
      </c>
      <c r="E6" s="6" t="n">
        <v>532582</v>
      </c>
      <c r="F6" s="6" t="n">
        <v>575287</v>
      </c>
    </row>
    <row r="7">
      <c r="A7" s="6" t="inlineStr">
        <is>
          <t>3    Total capital</t>
        </is>
      </c>
      <c r="B7" s="6" t="n">
        <v>1291772</v>
      </c>
      <c r="C7" s="6" t="n">
        <v>1173723</v>
      </c>
      <c r="D7" s="6" t="n">
        <v>903387</v>
      </c>
      <c r="E7" s="6" t="n">
        <v>547407</v>
      </c>
      <c r="F7" s="6" t="n">
        <v>589880</v>
      </c>
    </row>
    <row r="8">
      <c r="A8" s="5" t="inlineStr">
        <is>
          <t>Risk-weighted exposure amounts (£'000)</t>
        </is>
      </c>
      <c r="B8" s="6" t="n"/>
      <c r="C8" s="6" t="n"/>
      <c r="D8" s="6" t="n"/>
      <c r="E8" s="6" t="n"/>
      <c r="F8" s="6" t="n"/>
    </row>
    <row r="9">
      <c r="A9" s="6" t="inlineStr">
        <is>
          <t>4    Total risk-weighted exposure amount</t>
        </is>
      </c>
      <c r="B9" s="6" t="n">
        <v>3814585</v>
      </c>
      <c r="C9" s="6" t="n">
        <v>2071182</v>
      </c>
      <c r="D9" s="6" t="n">
        <v>1616928</v>
      </c>
      <c r="E9" s="6" t="n">
        <v>979042</v>
      </c>
      <c r="F9" s="6" t="n">
        <v>370849</v>
      </c>
    </row>
    <row r="10">
      <c r="A10" s="5" t="inlineStr">
        <is>
          <t>Capital ratios (as a percentage of risk-weighted exposure amount)</t>
        </is>
      </c>
      <c r="B10" s="6" t="n"/>
      <c r="C10" s="6" t="n"/>
      <c r="D10" s="6" t="n"/>
      <c r="E10" s="6" t="n"/>
      <c r="F10" s="6" t="n"/>
    </row>
    <row r="11">
      <c r="A11" s="6" t="inlineStr">
        <is>
          <t>5    Common Equity Tier 1 ratio (%)</t>
        </is>
      </c>
      <c r="B11" s="6" t="inlineStr">
        <is>
          <t>33.45%</t>
        </is>
      </c>
      <c r="C11" s="6" t="inlineStr">
        <is>
          <t>55.92%</t>
        </is>
      </c>
      <c r="D11" s="6" t="inlineStr">
        <is>
          <t>54.94%</t>
        </is>
      </c>
      <c r="E11" s="6" t="inlineStr">
        <is>
          <t>54.4%</t>
        </is>
      </c>
      <c r="F11" s="6" t="inlineStr">
        <is>
          <t>155.1%</t>
        </is>
      </c>
    </row>
    <row r="12">
      <c r="A12" s="6" t="inlineStr">
        <is>
          <t>6    Tier 1 ratio (%)</t>
        </is>
      </c>
      <c r="B12" s="6" t="inlineStr">
        <is>
          <t>33.45%</t>
        </is>
      </c>
      <c r="C12" s="6" t="inlineStr">
        <is>
          <t>55.92%</t>
        </is>
      </c>
      <c r="D12" s="6" t="inlineStr">
        <is>
          <t>54.94%</t>
        </is>
      </c>
      <c r="E12" s="6" t="inlineStr">
        <is>
          <t>54.4%</t>
        </is>
      </c>
      <c r="F12" s="6" t="inlineStr">
        <is>
          <t>155.1%</t>
        </is>
      </c>
    </row>
    <row r="13">
      <c r="A13" s="6" t="inlineStr">
        <is>
          <t>7    Total capital ratio (%)</t>
        </is>
      </c>
      <c r="B13" s="6" t="inlineStr">
        <is>
          <t>33.86%</t>
        </is>
      </c>
      <c r="C13" s="6" t="inlineStr">
        <is>
          <t>56.67%</t>
        </is>
      </c>
      <c r="D13" s="6" t="inlineStr">
        <is>
          <t>55.87%</t>
        </is>
      </c>
      <c r="E13" s="6" t="inlineStr">
        <is>
          <t>55.9%</t>
        </is>
      </c>
      <c r="F13" s="6" t="inlineStr">
        <is>
          <t>159.1%</t>
        </is>
      </c>
    </row>
    <row r="14">
      <c r="A14" s="5" t="inlineStr">
        <is>
          <t>Additional own funds requirements based on SREP (as a % of risk-weighted exposure amount)</t>
        </is>
      </c>
      <c r="B14" s="6" t="n"/>
      <c r="C14" s="6" t="n"/>
      <c r="D14" s="6" t="n"/>
      <c r="E14" s="6" t="n"/>
      <c r="F14" s="6" t="n"/>
    </row>
    <row r="15">
      <c r="A15" s="6" t="inlineStr">
        <is>
          <t>UK 7a    Additional CET1 SREP requirements (%)</t>
        </is>
      </c>
      <c r="B15" s="6" t="inlineStr">
        <is>
          <t>4.10%</t>
        </is>
      </c>
      <c r="C15" s="6" t="inlineStr">
        <is>
          <t>5.89%</t>
        </is>
      </c>
      <c r="D15" s="6" t="inlineStr">
        <is>
          <t>6.67%</t>
        </is>
      </c>
      <c r="E15" s="6" t="inlineStr">
        <is>
          <t>10.8%</t>
        </is>
      </c>
      <c r="F15" s="6" t="inlineStr">
        <is>
          <t>12.0%</t>
        </is>
      </c>
    </row>
    <row r="16">
      <c r="A16" s="6" t="inlineStr">
        <is>
          <t>UK 7b    Additional AT1 SREP requirements (%)</t>
        </is>
      </c>
      <c r="B16" s="6" t="inlineStr">
        <is>
          <t>1.37%</t>
        </is>
      </c>
      <c r="C16" s="6" t="inlineStr">
        <is>
          <t>1.96%</t>
        </is>
      </c>
      <c r="D16" s="6" t="inlineStr">
        <is>
          <t>2.22%</t>
        </is>
      </c>
      <c r="E16" s="6" t="inlineStr">
        <is>
          <t>3.6%</t>
        </is>
      </c>
      <c r="F16" s="6" t="inlineStr">
        <is>
          <t>4.0%</t>
        </is>
      </c>
    </row>
    <row r="17">
      <c r="A17" s="6" t="inlineStr">
        <is>
          <t>UK 7c    Additional T2 SREP requirements (%)</t>
        </is>
      </c>
      <c r="B17" s="6" t="inlineStr">
        <is>
          <t>1.82%</t>
        </is>
      </c>
      <c r="C17" s="6" t="inlineStr">
        <is>
          <t>2.62%</t>
        </is>
      </c>
      <c r="D17" s="6" t="inlineStr">
        <is>
          <t>2.96%</t>
        </is>
      </c>
      <c r="E17" s="6" t="inlineStr">
        <is>
          <t>4.8%</t>
        </is>
      </c>
      <c r="F17" s="6" t="inlineStr">
        <is>
          <t>5.3%</t>
        </is>
      </c>
    </row>
    <row r="18">
      <c r="A18" s="6" t="inlineStr">
        <is>
          <t>UK 7d    Total SREP own funds requirements (%)</t>
        </is>
      </c>
      <c r="B18" s="6" t="inlineStr">
        <is>
          <t>15.28%</t>
        </is>
      </c>
      <c r="C18" s="6" t="inlineStr">
        <is>
          <t>18.46%</t>
        </is>
      </c>
      <c r="D18" s="6" t="inlineStr">
        <is>
          <t>19.86%</t>
        </is>
      </c>
      <c r="E18" s="6" t="inlineStr">
        <is>
          <t>19.1%</t>
        </is>
      </c>
      <c r="F18" s="6" t="inlineStr">
        <is>
          <t>21.3%</t>
        </is>
      </c>
    </row>
    <row r="19">
      <c r="A19" s="5" t="inlineStr">
        <is>
          <t>Combined buffer requirement (as a %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t>
        </is>
      </c>
      <c r="F20" s="6" t="inlineStr">
        <is>
          <t>2.5%</t>
        </is>
      </c>
    </row>
    <row r="21">
      <c r="A21" s="6" t="inlineStr">
        <is>
          <t>UK 8a    Conservation buffer due to macro-prudential or systemic risk identified at the level of a Member State (%)</t>
        </is>
      </c>
      <c r="B21" s="6" t="inlineStr">
        <is>
          <t>-</t>
        </is>
      </c>
      <c r="C21" s="6" t="inlineStr">
        <is>
          <t>0.00%</t>
        </is>
      </c>
      <c r="D21" s="6" t="inlineStr">
        <is>
          <t>0.00%</t>
        </is>
      </c>
      <c r="E21" s="6" t="inlineStr">
        <is>
          <t>0%</t>
        </is>
      </c>
      <c r="F21" s="6" t="inlineStr">
        <is>
          <t>0%</t>
        </is>
      </c>
    </row>
    <row r="22">
      <c r="A22" s="6" t="inlineStr">
        <is>
          <t>9    Institution specific countercyclical capital buffer (%)</t>
        </is>
      </c>
      <c r="B22" s="6" t="inlineStr">
        <is>
          <t>1.99%</t>
        </is>
      </c>
      <c r="C22" s="6" t="inlineStr">
        <is>
          <t>1.99%</t>
        </is>
      </c>
      <c r="D22" s="6" t="inlineStr">
        <is>
          <t>1.95%</t>
        </is>
      </c>
      <c r="E22" s="6" t="inlineStr">
        <is>
          <t>1.0%</t>
        </is>
      </c>
      <c r="F22" s="6" t="inlineStr">
        <is>
          <t>0%</t>
        </is>
      </c>
    </row>
    <row r="23">
      <c r="A23" s="6" t="inlineStr">
        <is>
          <t>UK 9a    Systemic risk buffer (%)</t>
        </is>
      </c>
      <c r="B23" s="6" t="inlineStr">
        <is>
          <t>-</t>
        </is>
      </c>
      <c r="C23" s="6" t="inlineStr">
        <is>
          <t>0.00%</t>
        </is>
      </c>
      <c r="D23" s="6" t="inlineStr">
        <is>
          <t>0.00%</t>
        </is>
      </c>
      <c r="E23" s="6" t="inlineStr">
        <is>
          <t>0%</t>
        </is>
      </c>
      <c r="F23" s="6" t="inlineStr">
        <is>
          <t>0%</t>
        </is>
      </c>
    </row>
    <row r="24">
      <c r="A24" s="6" t="inlineStr">
        <is>
          <t>10    Global Systemically Important Institution buffer (%)</t>
        </is>
      </c>
      <c r="B24" s="6" t="inlineStr">
        <is>
          <t>-</t>
        </is>
      </c>
      <c r="C24" s="6" t="inlineStr">
        <is>
          <t>0.00%</t>
        </is>
      </c>
      <c r="D24" s="6" t="inlineStr">
        <is>
          <t>0.00%</t>
        </is>
      </c>
      <c r="E24" s="6" t="inlineStr">
        <is>
          <t>0%</t>
        </is>
      </c>
      <c r="F24" s="6" t="inlineStr">
        <is>
          <t>0%</t>
        </is>
      </c>
    </row>
    <row r="25">
      <c r="A25" s="6" t="inlineStr">
        <is>
          <t>UK 10a    Other Systemically Important Institution buffer</t>
        </is>
      </c>
      <c r="B25" s="6" t="inlineStr">
        <is>
          <t>-</t>
        </is>
      </c>
      <c r="C25" s="6" t="inlineStr">
        <is>
          <t>0.00%</t>
        </is>
      </c>
      <c r="D25" s="6" t="inlineStr">
        <is>
          <t>0.00%</t>
        </is>
      </c>
      <c r="E25" s="6" t="inlineStr">
        <is>
          <t>0%</t>
        </is>
      </c>
      <c r="F25" s="6" t="inlineStr">
        <is>
          <t>0%</t>
        </is>
      </c>
    </row>
    <row r="26">
      <c r="A26" s="6" t="inlineStr">
        <is>
          <t>11    Combined buffer requirement (%)</t>
        </is>
      </c>
      <c r="B26" s="6" t="inlineStr">
        <is>
          <t>4.49%</t>
        </is>
      </c>
      <c r="C26" s="6" t="inlineStr">
        <is>
          <t>4.49%</t>
        </is>
      </c>
      <c r="D26" s="6" t="inlineStr">
        <is>
          <t>4.45%</t>
        </is>
      </c>
      <c r="E26" s="6" t="inlineStr">
        <is>
          <t>3.5%</t>
        </is>
      </c>
      <c r="F26" s="6" t="inlineStr">
        <is>
          <t>2.5%</t>
        </is>
      </c>
    </row>
    <row r="27">
      <c r="A27" s="6" t="inlineStr">
        <is>
          <t>UK 11a    Overall capital requirements (%)</t>
        </is>
      </c>
      <c r="B27" s="6" t="inlineStr">
        <is>
          <t>19.77%</t>
        </is>
      </c>
      <c r="C27" s="6" t="inlineStr">
        <is>
          <t>22.95%</t>
        </is>
      </c>
      <c r="D27" s="6" t="inlineStr">
        <is>
          <t>24.31%</t>
        </is>
      </c>
      <c r="E27" s="6" t="inlineStr">
        <is>
          <t>22.6%</t>
        </is>
      </c>
      <c r="F27" s="6" t="inlineStr">
        <is>
          <t>23.8%</t>
        </is>
      </c>
    </row>
    <row r="28">
      <c r="A28" s="6" t="inlineStr">
        <is>
          <t>12    CET1 available after meeting the total SREP own funds requirements (%) [FY2022/FY2023 printed as £'000 amounts - see note]</t>
        </is>
      </c>
      <c r="B28" s="6" t="inlineStr">
        <is>
          <t>18.58%</t>
        </is>
      </c>
      <c r="C28" s="6" t="inlineStr">
        <is>
          <t>38.21%</t>
        </is>
      </c>
      <c r="D28" s="6" t="inlineStr">
        <is>
          <t>36.01%</t>
        </is>
      </c>
      <c r="E28" s="6" t="n">
        <v>311042</v>
      </c>
      <c r="F28" s="6" t="n">
        <v>487196</v>
      </c>
    </row>
    <row r="29">
      <c r="A29" s="5" t="inlineStr">
        <is>
          <t>Leverage ratio</t>
        </is>
      </c>
      <c r="B29" s="6" t="n"/>
      <c r="C29" s="6" t="n"/>
      <c r="D29" s="6" t="n"/>
      <c r="E29" s="6" t="n"/>
      <c r="F29" s="6" t="n"/>
    </row>
    <row r="30">
      <c r="A30" s="6" t="inlineStr">
        <is>
          <t>13    Total exposure measure excluding claims on central banks (£'000) [FY2022 edition caption: 'Leverage ratio total exposure measure']</t>
        </is>
      </c>
      <c r="B30" s="6" t="n">
        <v>12352667</v>
      </c>
      <c r="C30" s="6" t="n">
        <v>7459493</v>
      </c>
      <c r="D30" s="6" t="n">
        <v>5550297</v>
      </c>
      <c r="E30" s="6" t="n">
        <v>3763096</v>
      </c>
      <c r="F30" s="6" t="n">
        <v>2238857</v>
      </c>
    </row>
    <row r="31">
      <c r="A31" s="6" t="inlineStr">
        <is>
          <t>14    Leverage ratio excluding claims on central banks (%) [FY2022 edition caption: 'Leverage ratio']</t>
        </is>
      </c>
      <c r="B31" s="6" t="inlineStr">
        <is>
          <t>10.33%</t>
        </is>
      </c>
      <c r="C31" s="6" t="inlineStr">
        <is>
          <t>15.53%</t>
        </is>
      </c>
      <c r="D31" s="6" t="inlineStr">
        <is>
          <t>16.00%</t>
        </is>
      </c>
      <c r="E31" s="6" t="inlineStr">
        <is>
          <t>14.2%</t>
        </is>
      </c>
      <c r="F31" s="6" t="inlineStr">
        <is>
          <t>25.7%</t>
        </is>
      </c>
    </row>
    <row r="32">
      <c r="A32" s="5" t="inlineStr">
        <is>
          <t>Additional own funds requirements to address risks of excessive leverage (printed in the FY2022 edition only)</t>
        </is>
      </c>
      <c r="B32" s="6" t="n"/>
      <c r="C32" s="6" t="n"/>
      <c r="D32" s="6" t="n"/>
      <c r="E32" s="6" t="n"/>
      <c r="F32" s="6" t="n"/>
    </row>
    <row r="33">
      <c r="A33" s="6" t="inlineStr">
        <is>
          <t>UK 14a    Additional CET1 leverage ratio requirements (%)</t>
        </is>
      </c>
      <c r="B33" s="6" t="n"/>
      <c r="C33" s="6" t="n"/>
      <c r="D33" s="6" t="n"/>
      <c r="E33" s="6" t="n"/>
      <c r="F33" s="6" t="inlineStr">
        <is>
          <t>-</t>
        </is>
      </c>
    </row>
    <row r="34">
      <c r="A34" s="6" t="inlineStr">
        <is>
          <t>UK 14b    Additional AT1 leverage ratio requirements (%)</t>
        </is>
      </c>
      <c r="B34" s="6" t="n"/>
      <c r="C34" s="6" t="n"/>
      <c r="D34" s="6" t="n"/>
      <c r="E34" s="6" t="n"/>
      <c r="F34" s="6" t="inlineStr">
        <is>
          <t>-</t>
        </is>
      </c>
    </row>
    <row r="35">
      <c r="A35" s="6" t="inlineStr">
        <is>
          <t>UK 14c    Additional T2 leverage ratio requirements (%)</t>
        </is>
      </c>
      <c r="B35" s="6" t="n"/>
      <c r="C35" s="6" t="n"/>
      <c r="D35" s="6" t="n"/>
      <c r="E35" s="6" t="n"/>
      <c r="F35" s="6" t="inlineStr">
        <is>
          <t>-</t>
        </is>
      </c>
    </row>
    <row r="36">
      <c r="A36" s="6" t="inlineStr">
        <is>
          <t>UK 14d    Total SREP leverage ratio requirements (%)</t>
        </is>
      </c>
      <c r="B36" s="6" t="n"/>
      <c r="C36" s="6" t="n"/>
      <c r="D36" s="6" t="n"/>
      <c r="E36" s="6" t="n"/>
      <c r="F36" s="6" t="inlineStr">
        <is>
          <t>-</t>
        </is>
      </c>
    </row>
    <row r="37">
      <c r="A37" s="6" t="inlineStr">
        <is>
          <t>UK 14e    Applicable leverage buffer</t>
        </is>
      </c>
      <c r="B37" s="6" t="n"/>
      <c r="C37" s="6" t="n"/>
      <c r="D37" s="6" t="n"/>
      <c r="E37" s="6" t="n"/>
      <c r="F37" s="6" t="inlineStr">
        <is>
          <t>-</t>
        </is>
      </c>
    </row>
    <row r="38">
      <c r="A38" s="6" t="inlineStr">
        <is>
          <t>UK 14f    Overall leverage ratio requirements (%)</t>
        </is>
      </c>
      <c r="B38" s="6" t="n"/>
      <c r="C38" s="6" t="n"/>
      <c r="D38" s="6" t="n"/>
      <c r="E38" s="6" t="n"/>
      <c r="F38" s="6" t="inlineStr">
        <is>
          <t>0.0%</t>
        </is>
      </c>
    </row>
    <row r="39">
      <c r="A39" s="5" t="inlineStr">
        <is>
          <t>Liquidity Coverage Ratio</t>
        </is>
      </c>
      <c r="B39" s="6" t="n"/>
      <c r="C39" s="6" t="n"/>
      <c r="D39" s="6" t="n"/>
      <c r="E39" s="6" t="n"/>
      <c r="F39" s="6" t="n"/>
    </row>
    <row r="40">
      <c r="A40" s="6" t="inlineStr">
        <is>
          <t>15    Total high-quality liquid assets (HQLA) (Weighted value - average) (£'000)</t>
        </is>
      </c>
      <c r="B40" s="6" t="n">
        <v>20082983</v>
      </c>
      <c r="C40" s="6" t="n">
        <v>13124870</v>
      </c>
      <c r="D40" s="6" t="n">
        <v>7651328</v>
      </c>
      <c r="E40" s="6" t="n">
        <v>5103316</v>
      </c>
      <c r="F40" s="6" t="n">
        <v>4600376</v>
      </c>
    </row>
    <row r="41">
      <c r="A41" s="6" t="inlineStr">
        <is>
          <t>UK 16a    Cash outflows - Total weighted value (£'000)</t>
        </is>
      </c>
      <c r="B41" s="6" t="n">
        <v>2032987</v>
      </c>
      <c r="C41" s="6" t="n">
        <v>1432128</v>
      </c>
      <c r="D41" s="6" t="n">
        <v>1320778</v>
      </c>
      <c r="E41" s="6" t="n">
        <v>804664</v>
      </c>
      <c r="F41" s="6" t="n">
        <v>582180</v>
      </c>
    </row>
    <row r="42">
      <c r="A42" s="6" t="inlineStr">
        <is>
          <t>UK 16b    Cash inflows - Total weighted value (£'000)</t>
        </is>
      </c>
      <c r="B42" s="6" t="n">
        <v>364207</v>
      </c>
      <c r="C42" s="6" t="n">
        <v>299010</v>
      </c>
      <c r="D42" s="6" t="n">
        <v>250343</v>
      </c>
      <c r="E42" s="6" t="n">
        <v>133505</v>
      </c>
      <c r="F42" s="6" t="n">
        <v>153200</v>
      </c>
    </row>
    <row r="43">
      <c r="A43" s="6" t="inlineStr">
        <is>
          <t>16    Total net cash outflows (adjusted value) (£'000)</t>
        </is>
      </c>
      <c r="B43" s="6" t="n">
        <v>1668780</v>
      </c>
      <c r="C43" s="6" t="n">
        <v>1133118</v>
      </c>
      <c r="D43" s="6" t="n">
        <v>1070436</v>
      </c>
      <c r="E43" s="6" t="n">
        <v>671159</v>
      </c>
      <c r="F43" s="6" t="n">
        <v>428980</v>
      </c>
    </row>
    <row r="44">
      <c r="A44" s="6" t="inlineStr">
        <is>
          <t>17    Liquidity coverage ratio (%)</t>
        </is>
      </c>
      <c r="B44" s="6" t="inlineStr">
        <is>
          <t>1209.79%</t>
        </is>
      </c>
      <c r="C44" s="6" t="inlineStr">
        <is>
          <t>1,178.76%</t>
        </is>
      </c>
      <c r="D44" s="6" t="inlineStr">
        <is>
          <t>724.51%</t>
        </is>
      </c>
      <c r="E44" s="6" t="inlineStr">
        <is>
          <t>760.4%</t>
        </is>
      </c>
      <c r="F44" s="6" t="inlineStr">
        <is>
          <t>1,072.4%</t>
        </is>
      </c>
    </row>
    <row r="45">
      <c r="A45" s="5" t="inlineStr">
        <is>
          <t>Net Stable Funding Ratio</t>
        </is>
      </c>
      <c r="B45" s="6" t="n"/>
      <c r="C45" s="6" t="n"/>
      <c r="D45" s="6" t="n"/>
      <c r="E45" s="6" t="n"/>
      <c r="F45" s="6" t="n"/>
    </row>
    <row r="46">
      <c r="A46" s="6" t="inlineStr">
        <is>
          <t>18    Total available stable funding (£'000)</t>
        </is>
      </c>
      <c r="B46" s="6" t="n">
        <v>22342143</v>
      </c>
      <c r="C46" s="6" t="n">
        <v>14543697</v>
      </c>
      <c r="D46" s="6" t="n">
        <v>9139028</v>
      </c>
      <c r="E46" s="6" t="n">
        <v>6055616</v>
      </c>
      <c r="F46" s="6" t="n">
        <v>4703076</v>
      </c>
    </row>
    <row r="47">
      <c r="A47" s="6" t="inlineStr">
        <is>
          <t>19    Total required stable funding (£'000)</t>
        </is>
      </c>
      <c r="B47" s="6" t="n">
        <v>2966966</v>
      </c>
      <c r="C47" s="6" t="n">
        <v>1807551</v>
      </c>
      <c r="D47" s="6" t="n">
        <v>1345619</v>
      </c>
      <c r="E47" s="6" t="n">
        <v>835938</v>
      </c>
      <c r="F47" s="6" t="n">
        <v>444598</v>
      </c>
    </row>
    <row r="48">
      <c r="A48" s="6" t="inlineStr">
        <is>
          <t>20    NSFR ratio (%)</t>
        </is>
      </c>
      <c r="B48" s="6" t="inlineStr">
        <is>
          <t>752.75%</t>
        </is>
      </c>
      <c r="C48" s="6" t="inlineStr">
        <is>
          <t>843.98%</t>
        </is>
      </c>
      <c r="D48" s="6" t="inlineStr">
        <is>
          <t>680.81%</t>
        </is>
      </c>
      <c r="E48" s="6" t="inlineStr">
        <is>
          <t>724.4%</t>
        </is>
      </c>
      <c r="F48" s="6" t="inlineStr">
        <is>
          <t>1,057.8%</t>
        </is>
      </c>
    </row>
    <row r="50" ht="338" customHeight="1">
      <c r="A50" s="8" t="inlineStr">
        <is>
          <t>Sources - Monzo's own 'Appendix 1 - Key metrics - KM1' template, taken from EACH YEAR'S OWN Pillar 3 report rather than from any later edition's comparative column:
FY2026 (MBHG): Pillar 3 MBHG Disclosures 2026, 'UK KM1 - Key Metrics', p.9-10 - https://monzo.com/annual-report/2026/Monzo-MBHG-Pillar-3-2026.pdf
FY2025 (MBHG): Pillar 3 Disclosures 2025, Appendix 1, p.21 - https://monzo.com/annual-report/2025/monzo-pillar-3-2025.pdf
FY2024 (MBHG): Pillar 3 Disclosures 2024, Appendix 1, p.29-30 (the Monzo Bank Holding Group Limited column, NOT the Monzo Bank Ltd column printed beside it) - https://monzo.com/docs/monzo-pillar-3-2024.pdf
FY2023 (MBL): Pillar 3 Disclosures 2023, Appendix 1 - https://monzo.com/docs/monzo-pillar-3-2023.pdf
FY2022 (MBL): Pillar 3 Disclosures 2022, Appendix 1, printed pp.32-33 (page corrected from 'p.31-33' on 2026-09-17 - p.31 is the appendices divider page; the table's own first page carries the footer 32, map rule 26) - https://monzo.com/static/docs/monzo-pillar-3-2022.pdf
NO KM1 EXISTS FOR FY2021 AND EARLIER IN ANY EDITION, WHICH IS WHY THOSE COLUMNS ARE BLANK. This is the strongest form of the finding and it was re-established from the documents on 17 September 2026, because a blank on this sheet is meant to carry exactly one meaning: Monzo has never published that figure, in any edition, on any basis. Two separate checks stand behind it.
(1) THE YEAR'S OWN EDITION PUBLISHES NO TEMPLATE. Template KM1 arrived with the Disclosure (CRR) Part of the PRA Rulebook; Monzo's FY2021 and FY2020 Pillar 3 reports (https://monzo.com/static/docs/monzo-pillar-3-2021.pdf and https://monzo.com/documents/pillar_3_2020.pdf) predate it. The FY2021 report's own contents page lists eight appendices - main features of capital instruments (CCA), own funds (CC1), CRR Leverage Ratio, IFRS 9 transitional impact, countercyclical capital buffer, asset encumbrance, non-performing and forborne exposures, and UK CRR disclosure requirements - and NO key-metrics appendix. Extraction from it is rich (161 hits for 'capital', 150 for 'ratio', 54 for 'leverage', 41 for 'buffer', 26 for 'CET1'), which is what makes its ZERO hits for 'KM1' and for 'UK 7a' evidence about the document rather than about the search; its single 'key metric' hit is a narrative sentence about the LCR.
(2) AND NO LATER EDITION CARRIES A COMPARATIVE FOR THOSE YEARS EITHER - the point that settles it. The FY2022 edition was Monzo's first to print the template, and IT PRINTS A SINGLE COLUMN: one column lettered 'a', headed £'000 and 2022, with no prior-year column anywhere in the table. Confirmed twice, by text extraction at full width and by reading a rendering of printed p.32 by eye; and the check is a sound one because the very next appendix in the same document, template CCA, renders its three columns 'a b c' correctly, so a multi-column header would have been visible had one existed. Two-column printing begins only with the FY2023 edition, whose columns are 2023 and 2022. So there is no FY2021 KM1 column in existence to fill this one from, and no amount of searching later editions would produce one.
The individual metric sheets in this workbook do carry FY2021 and FY2020 figures, sourced from those reports' own narrative capital tables - a different presentation on a different basis, not this template, so it is not reproduced here.
ROW 12 IS PRINTED AS AN AMOUNT IN TWO EDITIONS - RECORDED AS PUBLISHED, NOT CORRECTED. The row is captioned 'CET1 available after meeting the total SREP own funds requirements (%)' in every edition, but the FY2022 and FY2023 reports print £'000 amounts (487,196 and 311,042) where FY2024 and FY2025 print percentages (36.01% and 38.21%). Both are reproduced exactly as the bank published them; the conflict is the source document's, and is recorded rather than reconciled.</t>
        </is>
      </c>
    </row>
    <row r="52" ht="364" customHeight="1">
      <c r="A52" s="8" t="inlineStr">
        <is>
          <t>(continued)
LEVERAGE BASIS BREAK AT 1 JANUARY 2022. Rows 13 and 14 are captioned 'Leverage ratio total exposure measure' and 'Leverage ratio' in the FY2022 edition, and 'Total exposure measure excluding claims on central banks' / 'Leverage ratio excluding claims on central banks' from FY2023 onward, following the UK framework change that removed central-bank claims from the exposure measure. The FY2022 figures are therefore on the older, wider basis and are NOT comparable with FY2023 onward; both captions are shown above. See the Leverage Ratio sheet, which carries the two bases on separate rows for the full year range.
MONZO PRINTS THREE DIFFERENT THINGS IN THIS TABLE, AND THIS SHEET SHOWS ALL THREE AS PRINTED. A cell reading '-' is a dash Monzo printed; a blank cell is a figure Monzo has never published for that date in any edition; a figure is a figure.
WHERE THE DASHES ARE. The FY2026 (MBHG) edition prints an em dash ('—%') on printed p.9 for UK 8a (conservation buffer for macro-prudential/systemic risk), UK 9a (systemic risk buffer), 10 (G-SII buffer) and UK 10a (O-SII buffer). The FY2022 (MBL) edition prints an em dash for UK 14a-14e, in the excessive-leverage block of its own table (printed pp.32-33). Those nine cells carry '-' above. The glyph the documents use is an em dash; the cell carries a plain ASCII hyphen, which is what a spreadsheet cell can hold.
THE SAME FOUR BUFFER ROWS CARRY FIGURES IN EVERY EARLIER EDITION, and that is Monzo's own change of house style rather than an inconsistency introduced here: the FY2022 and FY2023 editions print '0%' and the FY2024 and FY2025 editions print '0.00%' on all four. A printed zero is a measured zero and is kept as a number, so those cells are figures and not dashes. The FY2026 edition's own 2025 comparative column DOES print an em dash on all four rows - but the FY2025 column here comes from the FY2025 edition, which printed '0.00%', and a later edition's comparative does not displace a year's own edition.
UK 14f is the exception inside its own block: the FY2022 edition prints it as '0.0%' where 14a-14e are dashed, and that printed zero is kept as a zero.
TWO SEPARATE FY2026 REPORTS EXIST AND ONLY ONE BELONGS HERE. Monzo published both an MBHG (Holding Group) and an MBL (Bank) Pillar 3 report for 2026. This workbook is on the MBHG basis from FY2024 onward, so the MBHG edition is used; the MBL edition (https://monzo.com/annual-report/2026/Monzo-MBL-Pillar-3-2026.pdf) is a different legal entity and its KM1 differs materially (FY2026 CET1 1,022,260 and RWA 3,747,648 against MBHG's 1,276,002 and 3,814,585). The MBHG edition's own FY2025 comparative column reproduces the FY2025 report exactly (CET1 1,158,302; RWA 2,071,182; CET1 ratio 55.92%; LCR 1,178.76%), which is the independent confirmation that the right column was taken.
KM1 REACHES FY2026 WHILE THE REST OF THIS WORKBOOK STOPS AT FY2025. That is a deliberate per-sheet year override, not an oversight: Monzo's FY2026 Pillar 3 report and FY2026 Annual Report are both published, but only this template has been transcribed from them so far. Every other sheet still ends at FY2025 and extending them is outstanding work.
ONE FY2025 FIGURE DIFFERS BETWEEN EDITIONS AND IS NOT RECONCILED: row 18 (total available stable funding) is 14,543,697 in the FY2025 report and 14,543,664 in the FY2026 report's comparative. The FY2025 report's own figure is used, per this workbook's convention.
PRECISION IS THE BANK'S OWN. FY2022 and FY2023 are printed to one decimal place, FY2024 and FY2025 to two. Figures are not re-rounded to a common precision.</t>
        </is>
      </c>
    </row>
    <row r="54" ht="150" customHeight="1">
      <c r="A54" s="8" t="inlineStr">
        <is>
          <t>(continued)
RESTATEMENTS NOT USED. The FY2024 edition marks rows UK 7a-7c, 12, 15, UK 16a-16b and 16-20 with an asterisk and states 'The comparative figures for these items have been restated for 2023'. Those restated FY2023 values (e.g. UK 7a 6.27% against the 6.27%-vintage original 10.8%; HQLA 4,945,261 against 5,103,316) are NOT used here, consistent with this workbook's convention of preferring each year's own originally-published report. The restated figures remain visible in the FY2024 source document itself.
ENTITY NOTE: FY2025 and FY2024 (marked MBHG) are Monzo Bank Holding Group Limited, the new parent company formed April 2023 - a broader consolidation scope than Monzo Bank Limited (MBL), which includes MBL plus (from FY2025) additional EU/US subsidiaries. FY2018-FY2023 (marked MBL) are Monzo Bank Limited, the entity on the PRA register (company no. 09446231). Monzo Bank Limited continued filing its own standalone accounts through FY2025, but that filing was only available as a scanned, non-text Companies House filing and could not be extracted; MBHG's figures were used for FY2024/25 instead as the only cleanly-extractable source, per user direction. FY2018-FY2020's MBL statutory accounts (also scanned Companies House filings, plus FY2020 was additionally cross-checked against Monzo's own website-hosted copy) were read page-by-page as images rather than machine-extracted. Also note: Monzo changed its financial year end from 28 February to 31 March starting FY2024, making FY2024 a 13-month period (1 March 2023 - 31 March 2024) rather than 12 months - it is not directly run-rate comparable to the other four years.</t>
        </is>
      </c>
    </row>
  </sheetData>
  <mergeCells count="3">
    <mergeCell ref="A54:F54"/>
    <mergeCell ref="A52:F52"/>
    <mergeCell ref="A50:F5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CET1 Capital</t>
        </is>
      </c>
    </row>
    <row r="2">
      <c r="A2" s="2" t="inlineStr">
        <is>
          <t>£'000, Group/consolidated basis (solo basis for MBL years - Monzo's subsidiaries are excluded from prudential consolidation as below UK CRR Article 19 thresholds)</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Common Equity Tier 1 (CET1) capital</t>
        </is>
      </c>
      <c r="B4" s="6" t="n">
        <v>1276002</v>
      </c>
      <c r="C4" s="6" t="n">
        <v>1158302</v>
      </c>
      <c r="D4" s="6" t="n">
        <v>888274</v>
      </c>
      <c r="E4" s="6" t="n">
        <v>532582</v>
      </c>
      <c r="F4" s="6" t="n">
        <v>575287</v>
      </c>
      <c r="G4" s="6" t="n">
        <v>233604</v>
      </c>
      <c r="H4" s="6" t="n">
        <v>142642</v>
      </c>
      <c r="I4" s="6" t="n">
        <v>97632</v>
      </c>
      <c r="J4" s="6" t="n">
        <v>56165</v>
      </c>
    </row>
    <row r="5" ht="286" customHeight="1">
      <c r="A5" s="7" t="inlineStr">
        <is>
          <t>Note: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7" ht="150" customHeight="1">
      <c r="A7"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5:J5"/>
    <mergeCell ref="A7:J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CET1 Ratio</t>
        </is>
      </c>
    </row>
    <row r="2">
      <c r="A2" s="2" t="inlineStr">
        <is>
          <t>% of RWA</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Common Equity Tier 1 (CET1) ratio - as originally reported by each year's own document</t>
        </is>
      </c>
      <c r="B4" s="6" t="inlineStr">
        <is>
          <t>33.45%</t>
        </is>
      </c>
      <c r="C4" s="6" t="inlineStr">
        <is>
          <t>55.92%</t>
        </is>
      </c>
      <c r="D4" s="6" t="inlineStr">
        <is>
          <t>54.94%</t>
        </is>
      </c>
      <c r="E4" s="6" t="inlineStr">
        <is>
          <t>54.40%</t>
        </is>
      </c>
      <c r="F4" s="6" t="inlineStr">
        <is>
          <t>155.1%</t>
        </is>
      </c>
      <c r="G4" s="6" t="inlineStr">
        <is>
          <t>99%</t>
        </is>
      </c>
      <c r="H4" s="6" t="inlineStr">
        <is>
          <t>70% (unaudited)</t>
        </is>
      </c>
      <c r="I4" s="6" t="inlineStr">
        <is>
          <t>126% (unaudited)</t>
        </is>
      </c>
      <c r="J4" s="6" t="inlineStr">
        <is>
          <t>196%</t>
        </is>
      </c>
    </row>
    <row r="5">
      <c r="A5" s="6" t="inlineStr">
        <is>
          <t>CET1 ratio for FY2019 as restated in the FY2020 Pillar 3's own 2019 comparative column</t>
        </is>
      </c>
      <c r="B5" s="6" t="n"/>
      <c r="C5" s="6" t="n"/>
      <c r="D5" s="6" t="n"/>
      <c r="E5" s="6" t="n"/>
      <c r="F5" s="6" t="n"/>
      <c r="G5" s="6" t="n"/>
      <c r="H5" s="6" t="n"/>
      <c r="I5" s="6" t="inlineStr">
        <is>
          <t>104%</t>
        </is>
      </c>
      <c r="J5" s="6" t="n"/>
    </row>
    <row r="6" ht="325" customHeight="1">
      <c r="A6" s="7" t="inlineStr">
        <is>
          <t>Note: FY2020 and FY2019 top-row values are each year's own unaudited CET1 ratio disclosed in its Annual Report's 'Capital management' note (not from a Pillar 3 report - see the CET1 Capital sheet's note). SECOND ROW, added 2026-09-16: the FY2020 Pillar 3 disclosures print a 2019 comparative CET1 ratio of 104% (Table b 'Capital and leverage ratios', p.11, and the Own funds disclosure template row 61, p.23) for the SAME date as the 126% above. Both are printed figures in Monzo's own documents and they are NOT reconciled or merged: 104% reproduces exactly from the same document's printed FY2019 CET1 capital of £97,632k over RWAs of £93,972k (103.9%), whereas 126% implies an RWA denominator of roughly £77.5m that no document states. The RWA figure on the Total RWAs sheet for FY2019 is the £93,972k that goes with the 104% row.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8" ht="150" customHeight="1">
      <c r="A8"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6:J6"/>
    <mergeCell ref="A8:J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Tier 1 Capital</t>
        </is>
      </c>
    </row>
    <row r="2">
      <c r="A2" s="2" t="inlineStr">
        <is>
          <t>£'000</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Tier 1 capital</t>
        </is>
      </c>
      <c r="B4" s="6" t="n">
        <v>1276002</v>
      </c>
      <c r="C4" s="6" t="n">
        <v>1158302</v>
      </c>
      <c r="D4" s="6" t="n">
        <v>888274</v>
      </c>
      <c r="E4" s="6" t="n">
        <v>532582</v>
      </c>
      <c r="F4" s="6" t="n">
        <v>575287</v>
      </c>
      <c r="G4" s="6" t="n">
        <v>233604</v>
      </c>
      <c r="H4" s="6" t="n">
        <v>142642</v>
      </c>
      <c r="I4" s="6" t="n">
        <v>97632</v>
      </c>
      <c r="J4" s="6" t="inlineStr">
        <is>
          <t>Not published – FY2018 Pillar 3 prints no Tier 1 capital amount (Table b p.15; Appendix 1 p.25 omits row 45) but states Monzo has no AT1, and prints a Tier 1 ratio of 196%</t>
        </is>
      </c>
    </row>
    <row r="5" ht="299" customHeight="1">
      <c r="A5" s="7" t="inlineStr">
        <is>
          <t>Note: Equal to CET1 capital in every year shown - Monzo has not issued any Additional Tier 1 (AT1) instruments.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7" ht="150" customHeight="1">
      <c r="A7"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5:J5"/>
    <mergeCell ref="A7:J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Tier 1 Ratio</t>
        </is>
      </c>
    </row>
    <row r="2">
      <c r="A2" s="2" t="inlineStr">
        <is>
          <t>% of RWA</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Tier 1 ratio - as originally reported by each year's own document</t>
        </is>
      </c>
      <c r="B4" s="6" t="inlineStr">
        <is>
          <t>33.45%</t>
        </is>
      </c>
      <c r="C4" s="6" t="inlineStr">
        <is>
          <t>55.92%</t>
        </is>
      </c>
      <c r="D4" s="6" t="inlineStr">
        <is>
          <t>54.94%</t>
        </is>
      </c>
      <c r="E4" s="6" t="inlineStr">
        <is>
          <t>54.40%</t>
        </is>
      </c>
      <c r="F4" s="6" t="inlineStr">
        <is>
          <t>155.1%</t>
        </is>
      </c>
      <c r="G4" s="6" t="inlineStr">
        <is>
          <t>99%</t>
        </is>
      </c>
      <c r="H4" s="6" t="inlineStr">
        <is>
          <t>70% (unaudited)</t>
        </is>
      </c>
      <c r="I4" s="6" t="inlineStr">
        <is>
          <t>126% (unaudited)</t>
        </is>
      </c>
      <c r="J4" s="6" t="inlineStr">
        <is>
          <t>196%</t>
        </is>
      </c>
    </row>
    <row r="5">
      <c r="A5" s="6" t="inlineStr">
        <is>
          <t>Tier 1 ratio for FY2019 as restated in the FY2020 Pillar 3's own 2019 comparative column</t>
        </is>
      </c>
      <c r="B5" s="6" t="n"/>
      <c r="C5" s="6" t="n"/>
      <c r="D5" s="6" t="n"/>
      <c r="E5" s="6" t="n"/>
      <c r="F5" s="6" t="n"/>
      <c r="G5" s="6" t="n"/>
      <c r="H5" s="6" t="n"/>
      <c r="I5" s="6" t="inlineStr">
        <is>
          <t>104%</t>
        </is>
      </c>
      <c r="J5" s="6" t="n"/>
    </row>
    <row r="6" ht="312" customHeight="1">
      <c r="A6" s="7" t="inlineStr">
        <is>
          <t>Note: FY2020/FY2019 shown equal to CET1 ratio (Tier 1 capital = CET1 capital in every disclosed year - see Tier 1 Capital sheet); the source itself only ever uses the term 'CET1 ratio' for these two years, never 'Tier 1 ratio' explicitly. The second row mirrors the CET1 Ratio sheet's FY2019 restatement row on the same no-AT1 basis; see that sheet's note for why the two FY2019 figures are kept apart.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8" ht="150" customHeight="1">
      <c r="A8"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6:J6"/>
    <mergeCell ref="A8:J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Total Capital</t>
        </is>
      </c>
    </row>
    <row r="2">
      <c r="A2" s="2" t="inlineStr">
        <is>
          <t>£'000</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Total capital</t>
        </is>
      </c>
      <c r="B4" s="6" t="n">
        <v>1291772</v>
      </c>
      <c r="C4" s="6" t="n">
        <v>1173723</v>
      </c>
      <c r="D4" s="6" t="n">
        <v>903387</v>
      </c>
      <c r="E4" s="6" t="n">
        <v>547407</v>
      </c>
      <c r="F4" s="6" t="n">
        <v>589880</v>
      </c>
      <c r="G4" s="6" t="n">
        <v>233604</v>
      </c>
      <c r="H4" s="6" t="n">
        <v>142642</v>
      </c>
      <c r="I4" s="6" t="n">
        <v>97632</v>
      </c>
      <c r="J4" s="6" t="n">
        <v>56165</v>
      </c>
    </row>
    <row r="5" ht="286" customHeight="1">
      <c r="A5" s="7" t="inlineStr">
        <is>
          <t>Note: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7" ht="150" customHeight="1">
      <c r="A7"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5:J5"/>
    <mergeCell ref="A7:J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Total Capital Ratio</t>
        </is>
      </c>
    </row>
    <row r="2">
      <c r="A2" s="2" t="inlineStr">
        <is>
          <t>% of RWA</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Total capital ratio</t>
        </is>
      </c>
      <c r="B4" s="6" t="inlineStr">
        <is>
          <t>33.86%</t>
        </is>
      </c>
      <c r="C4" s="6" t="inlineStr">
        <is>
          <t>56.67%</t>
        </is>
      </c>
      <c r="D4" s="6" t="inlineStr">
        <is>
          <t>55.87%</t>
        </is>
      </c>
      <c r="E4" s="6" t="inlineStr">
        <is>
          <t>55.91%</t>
        </is>
      </c>
      <c r="F4" s="6" t="inlineStr">
        <is>
          <t>159.1%</t>
        </is>
      </c>
      <c r="G4" s="6" t="inlineStr">
        <is>
          <t>99%</t>
        </is>
      </c>
      <c r="H4" s="6" t="inlineStr">
        <is>
          <t>70%</t>
        </is>
      </c>
      <c r="I4" s="6" t="inlineStr">
        <is>
          <t>104%</t>
        </is>
      </c>
      <c r="J4" s="6" t="inlineStr">
        <is>
          <t>196%</t>
        </is>
      </c>
    </row>
    <row r="5" ht="286" customHeight="1">
      <c r="A5" s="7" t="inlineStr">
        <is>
          <t>Note: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7" ht="150" customHeight="1">
      <c r="A7"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5:J5"/>
    <mergeCell ref="A7:J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Total RWAs</t>
        </is>
      </c>
    </row>
    <row r="2">
      <c r="A2" s="2" t="inlineStr">
        <is>
          <t>£'000</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Total risk-weighted exposure amount</t>
        </is>
      </c>
      <c r="B4" s="6" t="n">
        <v>3814585</v>
      </c>
      <c r="C4" s="6" t="n">
        <v>2071182</v>
      </c>
      <c r="D4" s="6" t="n">
        <v>1616928</v>
      </c>
      <c r="E4" s="6" t="n">
        <v>979042</v>
      </c>
      <c r="F4" s="6" t="n">
        <v>370849</v>
      </c>
      <c r="G4" s="6" t="n">
        <v>236653</v>
      </c>
      <c r="H4" s="6" t="n">
        <v>202708</v>
      </c>
      <c r="I4" s="6" t="n">
        <v>93972</v>
      </c>
      <c r="J4" s="6" t="n">
        <v>28672</v>
      </c>
    </row>
    <row r="5" ht="286" customHeight="1">
      <c r="A5" s="7" t="inlineStr">
        <is>
          <t>Note: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7" ht="150" customHeight="1">
      <c r="A7"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5:J5"/>
    <mergeCell ref="A7:J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Monzo — RWA Breakdown (UK OV1: Overview of Risk Weighted Exposure Amounts)</t>
        </is>
      </c>
    </row>
    <row r="2">
      <c r="A2" s="2" t="inlineStr">
        <is>
          <t>Consolidated/Bank basis by year (see entity note on Cash Flow Statement sheet), £'000</t>
        </is>
      </c>
    </row>
    <row r="3">
      <c r="A3" s="4" t="inlineStr">
        <is>
          <t>Line item</t>
        </is>
      </c>
      <c r="B3" s="4" t="inlineStr">
        <is>
          <t>FY2026 (MBHG) (£'000)</t>
        </is>
      </c>
      <c r="C3" s="4" t="inlineStr">
        <is>
          <t>FY2025 (MBHG) (£'000)</t>
        </is>
      </c>
      <c r="D3" s="4" t="inlineStr">
        <is>
          <t>FY2024 (MBHG)* (£'000)</t>
        </is>
      </c>
      <c r="E3" s="4" t="inlineStr">
        <is>
          <t>FY2023 (MBL) (£'000)</t>
        </is>
      </c>
      <c r="F3" s="4" t="inlineStr">
        <is>
          <t>FY2022 (MBL) (£'000)</t>
        </is>
      </c>
      <c r="G3" s="4" t="inlineStr">
        <is>
          <t>FY2021 (MBL) (£'000)</t>
        </is>
      </c>
      <c r="H3" s="4" t="inlineStr">
        <is>
          <t>FY2020 (MBL) (£'000)</t>
        </is>
      </c>
    </row>
    <row r="4">
      <c r="A4" s="6" t="inlineStr">
        <is>
          <t>Credit risk (excluding CCR)</t>
        </is>
      </c>
      <c r="B4" s="6" t="n">
        <v>1914363</v>
      </c>
      <c r="C4" s="6" t="n">
        <v>1336768</v>
      </c>
      <c r="D4" s="6" t="n">
        <v>1290471</v>
      </c>
      <c r="E4" s="6" t="n">
        <v>821178</v>
      </c>
      <c r="F4" s="6" t="n">
        <v>285793</v>
      </c>
      <c r="G4" s="6" t="n">
        <v>151226</v>
      </c>
      <c r="H4" s="6" t="n">
        <v>157594</v>
      </c>
    </row>
    <row r="5">
      <c r="A5" s="6" t="inlineStr">
        <is>
          <t>Counterparty credit risk (CCR)</t>
        </is>
      </c>
      <c r="B5" s="6" t="n">
        <v>623</v>
      </c>
      <c r="C5" s="6" t="n">
        <v>1031</v>
      </c>
      <c r="D5" s="6" t="n">
        <v>7052</v>
      </c>
      <c r="E5" s="6" t="n">
        <v>0</v>
      </c>
      <c r="F5" s="6" t="n">
        <v>0</v>
      </c>
      <c r="G5" s="6" t="n">
        <v>0</v>
      </c>
      <c r="H5" s="6" t="n"/>
    </row>
    <row r="6">
      <c r="A6" s="6" t="inlineStr">
        <is>
          <t xml:space="preserve">  of which exposures to a CCP</t>
        </is>
      </c>
      <c r="B6" s="6" t="n">
        <v>623</v>
      </c>
      <c r="C6" s="6" t="n">
        <v>1031</v>
      </c>
      <c r="D6" s="6" t="n"/>
      <c r="E6" s="6" t="n"/>
      <c r="F6" s="6" t="n"/>
      <c r="G6" s="6" t="n"/>
      <c r="H6" s="6" t="n"/>
    </row>
    <row r="7">
      <c r="A7" s="6" t="inlineStr">
        <is>
          <t xml:space="preserve">  of which credit valuation adjustment (CVA)</t>
        </is>
      </c>
      <c r="B7" s="6" t="n"/>
      <c r="C7" s="6" t="n"/>
      <c r="D7" s="6" t="n">
        <v>4371</v>
      </c>
      <c r="E7" s="6" t="n"/>
      <c r="F7" s="6" t="n"/>
      <c r="G7" s="6" t="n"/>
      <c r="H7" s="6" t="n"/>
    </row>
    <row r="8">
      <c r="A8" s="6" t="inlineStr">
        <is>
          <t xml:space="preserve">  of which other CCR</t>
        </is>
      </c>
      <c r="B8" s="6" t="n"/>
      <c r="C8" s="6" t="n"/>
      <c r="D8" s="6" t="n">
        <v>2681</v>
      </c>
      <c r="E8" s="6" t="n"/>
      <c r="F8" s="6" t="n"/>
      <c r="G8" s="6" t="n"/>
      <c r="H8" s="6" t="n"/>
    </row>
    <row r="9">
      <c r="A9" s="6" t="inlineStr">
        <is>
          <t>Securitisation exposures (non-trading book, after the cap)</t>
        </is>
      </c>
      <c r="B9" s="6" t="n">
        <v>114458</v>
      </c>
      <c r="C9" s="6" t="n">
        <v>48405</v>
      </c>
      <c r="D9" s="6" t="n">
        <v>0</v>
      </c>
      <c r="E9" s="6" t="n">
        <v>0</v>
      </c>
      <c r="F9" s="6" t="n">
        <v>0</v>
      </c>
      <c r="G9" s="6" t="n">
        <v>0</v>
      </c>
      <c r="H9" s="6" t="n"/>
    </row>
    <row r="10">
      <c r="A10" s="6" t="inlineStr">
        <is>
          <t xml:space="preserve">  of which SEC-ERBA (including IAA)</t>
        </is>
      </c>
      <c r="B10" s="6" t="n">
        <v>114458</v>
      </c>
      <c r="C10" s="6" t="n">
        <v>28426</v>
      </c>
      <c r="D10" s="6" t="n"/>
      <c r="E10" s="6" t="n"/>
      <c r="F10" s="6" t="n"/>
      <c r="G10" s="6" t="n"/>
      <c r="H10" s="6" t="n"/>
    </row>
    <row r="11">
      <c r="A11" s="6" t="inlineStr">
        <is>
          <t xml:space="preserve">  of which SEC-SA approach</t>
        </is>
      </c>
      <c r="B11" s="6" t="n"/>
      <c r="C11" s="6" t="n">
        <v>19979</v>
      </c>
      <c r="D11" s="6" t="n"/>
      <c r="E11" s="6" t="n"/>
      <c r="F11" s="6" t="n"/>
      <c r="G11" s="6" t="n"/>
      <c r="H11" s="6" t="n"/>
    </row>
    <row r="12">
      <c r="A12" s="6" t="inlineStr">
        <is>
          <t>Market risk (position, FX and commodities risks)</t>
        </is>
      </c>
      <c r="B12" s="6" t="n">
        <v>54485</v>
      </c>
      <c r="C12" s="6" t="n">
        <v>0</v>
      </c>
      <c r="D12" s="6" t="n">
        <v>0</v>
      </c>
      <c r="E12" s="6" t="n">
        <v>0</v>
      </c>
      <c r="F12" s="6" t="n">
        <v>0</v>
      </c>
      <c r="G12" s="6" t="n">
        <v>0</v>
      </c>
      <c r="H12" s="6" t="n"/>
    </row>
    <row r="13">
      <c r="A13" s="6" t="inlineStr">
        <is>
          <t>Operational risk</t>
        </is>
      </c>
      <c r="B13" s="6" t="n">
        <v>1730655</v>
      </c>
      <c r="C13" s="6" t="n">
        <v>684978</v>
      </c>
      <c r="D13" s="6" t="n">
        <v>319405</v>
      </c>
      <c r="E13" s="6" t="n">
        <v>157864</v>
      </c>
      <c r="F13" s="6" t="n">
        <v>85056</v>
      </c>
      <c r="G13" s="6" t="n">
        <v>85427</v>
      </c>
      <c r="H13" s="6" t="n">
        <v>45114</v>
      </c>
    </row>
    <row r="14">
      <c r="A14" s="6" t="inlineStr">
        <is>
          <t>Amounts below thresholds for deduction (subject to 250% risk weight, for information)</t>
        </is>
      </c>
      <c r="B14" s="6" t="n"/>
      <c r="C14" s="6" t="n">
        <v>0</v>
      </c>
      <c r="D14" s="6" t="n">
        <v>8688</v>
      </c>
      <c r="E14" s="6" t="n">
        <v>5797</v>
      </c>
      <c r="F14" s="6" t="n">
        <v>0</v>
      </c>
      <c r="G14" s="6" t="n">
        <v>0</v>
      </c>
      <c r="H14" s="6" t="n"/>
    </row>
    <row r="15">
      <c r="A15" s="5" t="inlineStr">
        <is>
          <t>Total risk-weighted exposure amount (RWEAs)</t>
        </is>
      </c>
      <c r="B15" s="5" t="n">
        <v>3814585</v>
      </c>
      <c r="C15" s="5" t="n">
        <v>2071182</v>
      </c>
      <c r="D15" s="5" t="n">
        <v>1616928</v>
      </c>
      <c r="E15" s="5" t="n">
        <v>979042</v>
      </c>
      <c r="F15" s="5" t="n">
        <v>370849</v>
      </c>
      <c r="G15" s="5" t="n">
        <v>236653</v>
      </c>
      <c r="H15" s="5" t="n">
        <v>202708</v>
      </c>
    </row>
    <row r="17" ht="182" customHeight="1">
      <c r="A17" s="8" t="inlineStr">
        <is>
          <t>Sources (see entity note on Cash Flow Statement sheet: FY2025/24 = Monzo Bank Holding Group Limited consolidated (Group); FY2023-21 = Monzo Bank Limited (Bank)):
FY2025: Monzo Bank Holding Group Limited Pillar 3 Disclosures 2025, p.24 (Appendix 4 - Overview of risk weighted exposure amounts - OV1) - https://monzo.com/annual-report/2025/monzo-pillar-3-2025.pdf
FY2024: Monzo Bank Holding Group Limited Pillar 3 Disclosures 2024, p.43 (Appendix 7 - Overview of risk weighted exposure amounts - OV1) - https://monzo.com/docs/monzo-pillar-3-2024.pdf
FY2023: Monzo Bank Limited Pillar 3 Disclosures 2023, p.40 (Appendix 7 - Overview of risk weighted exposure amounts - OV1) - https://monzo.com/docs/monzo-pillar-3-2023.pdf
FY2022: Monzo Bank Limited Pillar 3 Disclosures 2022, p.47-48 (Appendix 7 - Overview of risk weighted exposure amounts - OV1) - https://monzo.com/static/docs/monzo-pillar-3-2022.pdf
FY2021: Monzo Bank Limited Pillar 3 Disclosures 2022, p.47-48 (Appendix 7 - Overview of risk weighted exposure amounts - OV1, FY2021 comparative column) - https://monzo.com/static/docs/monzo-pillar-3-2022.pdf
FY2020: Monzo Bank Limited Group Pillar 3 Disclosures 2020, p.11 (Table d: RWAs) - https://monzo.com/documents/pillar_3_2020.pdf
PRESENTATION NOTE: Transcribed from each year's own UK OV1 'Overview of risk weighted exposure amounts' template. FY2021 has no OV1 template of its own (too early in Monzo's disclosure history) - its figures are the FY2022 report's own comparative column instead, same per-year-primary-source convention used throughout this workbook. '-' in the source table means a genuinely disclosed nil exposure (written as 0 here), not 'not disclosed' - contrast with the Statement of Changes in Equity/Balance Sheet/P&amp;L sheets' convention where a blank cell means the source didn't disclose that line at all. 'Of which' sub-rows are only shown where they differ from their parent row (e.g. Monzo only ever uses the standardised approach for credit risk and the basic indicator approach for operational risk, so those redundant 'of which' lines are omitted). This sheet's Total row ties out exactly to the Total RWAs sheet for all years with data. FY2018-19 are blank throughout - no Pillar 3/OV1 disclosure exists for those years (see the CET1 Capital sheet's note); this is a genuine 'not disclosed', not the sheet's own 'disclosed nil' convention.</t>
        </is>
      </c>
    </row>
  </sheetData>
  <mergeCells count="1">
    <mergeCell ref="A17:H1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Leverage Ratio</t>
        </is>
      </c>
    </row>
    <row r="2">
      <c r="A2" s="2" t="inlineStr">
        <is>
          <t>£'000 / %</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Total exposure measure excluding claims on central banks</t>
        </is>
      </c>
      <c r="B4" s="6" t="n">
        <v>12352667</v>
      </c>
      <c r="C4" s="6" t="n">
        <v>7459493</v>
      </c>
      <c r="D4" s="6" t="n">
        <v>5550297</v>
      </c>
      <c r="E4" s="6" t="n">
        <v>3763096</v>
      </c>
      <c r="F4" s="6" t="n"/>
      <c r="G4" s="6" t="n">
        <v>796590</v>
      </c>
      <c r="H4" s="6" t="n">
        <v>1764243</v>
      </c>
      <c r="I4" s="6" t="n"/>
      <c r="J4" s="6" t="n"/>
    </row>
    <row r="5">
      <c r="A5" s="6" t="inlineStr">
        <is>
          <t>Leverage ratio excluding claims on central banks (%)</t>
        </is>
      </c>
      <c r="B5" s="6" t="inlineStr">
        <is>
          <t>10.33%</t>
        </is>
      </c>
      <c r="C5" s="6" t="inlineStr">
        <is>
          <t>15.53%</t>
        </is>
      </c>
      <c r="D5" s="6" t="inlineStr">
        <is>
          <t>16.00%</t>
        </is>
      </c>
      <c r="E5" s="6" t="inlineStr">
        <is>
          <t>14.15%</t>
        </is>
      </c>
      <c r="F5" s="6" t="n"/>
      <c r="G5" s="6" t="inlineStr">
        <is>
          <t>29.3%</t>
        </is>
      </c>
      <c r="H5" s="6" t="inlineStr">
        <is>
          <t>8.1%</t>
        </is>
      </c>
      <c r="I5" s="6" t="inlineStr">
        <is>
          <t>Not published – FY2019 Pillar 3 Table c, p.17 gives only an all-assets leverage ratio (15.5%), carried on the 'including claims on central banks' row; the UK exclusion began 1 Jan 2022</t>
        </is>
      </c>
      <c r="J5" s="6" t="inlineStr">
        <is>
          <t>Not published – FY2018 Pillar 3 Table c, p.15 gives only an all-assets leverage ratio (40%), carried on the 'including claims on central banks' row; the UK exclusion began 1 Jan 2022</t>
        </is>
      </c>
    </row>
    <row r="6">
      <c r="A6" s="6" t="inlineStr">
        <is>
          <t>Leverage ratio total exposure measure - 2022 KM1 format, basis not specified in source</t>
        </is>
      </c>
      <c r="B6" s="6" t="n"/>
      <c r="C6" s="6" t="n"/>
      <c r="D6" s="6" t="n"/>
      <c r="E6" s="6" t="n"/>
      <c r="F6" s="6" t="n">
        <v>2238857</v>
      </c>
      <c r="G6" s="6" t="n"/>
      <c r="H6" s="6" t="n"/>
      <c r="I6" s="6" t="n"/>
      <c r="J6" s="6" t="n"/>
    </row>
    <row r="7">
      <c r="A7" s="6" t="inlineStr">
        <is>
          <t>Leverage ratio (%) - 2022 KM1 format, basis not specified in source</t>
        </is>
      </c>
      <c r="B7" s="6" t="n"/>
      <c r="C7" s="6" t="n"/>
      <c r="D7" s="6" t="n"/>
      <c r="E7" s="6" t="n"/>
      <c r="F7" s="6" t="inlineStr">
        <is>
          <t>25.7%</t>
        </is>
      </c>
      <c r="G7" s="6" t="n"/>
      <c r="H7" s="6" t="n"/>
      <c r="I7" s="6" t="n"/>
      <c r="J7" s="6" t="n"/>
    </row>
    <row r="8">
      <c r="A8" s="6" t="inlineStr">
        <is>
          <t>Total exposure measure including claims on central banks (CRR basis, retired from FY2022)</t>
        </is>
      </c>
      <c r="B8" s="6" t="n"/>
      <c r="C8" s="6" t="n"/>
      <c r="D8" s="6" t="n"/>
      <c r="E8" s="6" t="n"/>
      <c r="F8" s="6" t="n"/>
      <c r="G8" s="6" t="n">
        <v>3667694</v>
      </c>
      <c r="H8" s="6" t="n"/>
      <c r="I8" s="6" t="n">
        <v>631369</v>
      </c>
      <c r="J8" s="6" t="n">
        <v>139879</v>
      </c>
    </row>
    <row r="9">
      <c r="A9" s="6" t="inlineStr">
        <is>
          <t>Leverage ratio including claims on central banks (%) (CRR basis, retired from FY2022)</t>
        </is>
      </c>
      <c r="B9" s="6" t="n"/>
      <c r="C9" s="6" t="n"/>
      <c r="D9" s="6" t="n"/>
      <c r="E9" s="6" t="n"/>
      <c r="F9" s="6" t="n"/>
      <c r="G9" s="6" t="inlineStr">
        <is>
          <t>6.4%</t>
        </is>
      </c>
      <c r="H9" s="6" t="n"/>
      <c r="I9" s="6" t="inlineStr">
        <is>
          <t>15.5%</t>
        </is>
      </c>
      <c r="J9" s="6" t="inlineStr">
        <is>
          <t>40%</t>
        </is>
      </c>
    </row>
    <row r="10" ht="390" customHeight="1">
      <c r="A10" s="7" t="inlineStr">
        <is>
          <t>Note: Leverage ratio terminology changed across these reports. FY2021 disclosed both a UK ratio (excluding central bank claims) and a CRR ratio (including them); the CRR ratio was retired PRA-wide from FY2022 onward ('The CRR leverage ratio will no longer apply for UK banks' - FY2022 Pillar 3 report). FY2022's KM1 table shows a single unlabelled 'Leverage ratio' whose exact basis is not stated in the source document, so it is kept on its own row rather than assumed to match the 'excluding central banks' series. FY2023 onward explicitly reintroduced 'excluding claims on central banks' labelling, matching the convention used for Barclays. Monzo is not currently subject to a binding leverage ratio requirement (below the size threshold). FY2019 added 2026-09-16 from the PRIOR-YEAR COMPARATIVE COLUMN of the FOLLOWING year's edition - Monzo Bank Limited Group Pillar 3 Disclosures 2020, Table c 'Leverage ratio', p.12 - which prints, for 2019, balance sheet assets 614,426 + off balance sheet assets 14,074 + other adjustments 2,870 = total 631,369, Tier 1 capital resources 97,632, leverage ratio 15.5% (97,632 / 631,369 = 15.46%, reproducing the printed figure). BASIS, established from the document rather than assumed: that table builds the exposure measure from TOTAL balance sheet assets with no central-bank exclusion of any kind, and the UK exclusion of qualifying central bank claims did not exist until 1 January 2022 - so FY2019 is placed on the INCLUDING claims on central banks row, not the excluding row. NOTE FOR A FUTURE PASS, flagged and deliberately not actioned here: the FY2020 figures (1,764,243 / 8.1%) come from the 2020 column of that SAME Table c, built the same way (1,720,536 + 27,815 + 15,892), so they too look like an including-central-banks measure despite currently sitting on the 'excluding' row. That relabelling belongs to the leverage-basis sweep (research/RESUME_leverage_basis_sweep.md), which lists Monzo as already split across labelled basis rows; it is recorded here rather than changed.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12" ht="150" customHeight="1">
      <c r="A12"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10:J10"/>
    <mergeCell ref="A12:J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LCR</t>
        </is>
      </c>
    </row>
    <row r="2">
      <c r="A2" s="2" t="inlineStr">
        <is>
          <t>£'000 / %</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Total high-quality liquid assets / liquidity buffer (weighted value)</t>
        </is>
      </c>
      <c r="B4" s="6" t="n">
        <v>20082983</v>
      </c>
      <c r="C4" s="6" t="n">
        <v>13124870</v>
      </c>
      <c r="D4" s="6" t="n">
        <v>7651328</v>
      </c>
      <c r="E4" s="6" t="n">
        <v>5103316</v>
      </c>
      <c r="F4" s="6" t="n">
        <v>4600376</v>
      </c>
      <c r="G4" s="6" t="n">
        <v>3212266</v>
      </c>
      <c r="H4" s="6" t="n">
        <v>1415419</v>
      </c>
      <c r="I4" s="6" t="n">
        <v>510314</v>
      </c>
      <c r="J4" s="6" t="n"/>
    </row>
    <row r="5">
      <c r="A5" s="6" t="inlineStr">
        <is>
          <t>Total net cash outflows (adjusted value)</t>
        </is>
      </c>
      <c r="B5" s="6" t="n">
        <v>1668780</v>
      </c>
      <c r="C5" s="6" t="n">
        <v>1133118</v>
      </c>
      <c r="D5" s="6" t="n">
        <v>1070436</v>
      </c>
      <c r="E5" s="6" t="n">
        <v>671159</v>
      </c>
      <c r="F5" s="6" t="n">
        <v>428980</v>
      </c>
      <c r="G5" s="6" t="n">
        <v>355375</v>
      </c>
      <c r="H5" s="6" t="n">
        <v>183675</v>
      </c>
      <c r="I5" s="6" t="n">
        <v>76994</v>
      </c>
      <c r="J5" s="6" t="n"/>
    </row>
    <row r="6">
      <c r="A6" s="6" t="inlineStr">
        <is>
          <t>Liquidity Coverage Ratio (%)</t>
        </is>
      </c>
      <c r="B6" s="6" t="inlineStr">
        <is>
          <t>1209.79%</t>
        </is>
      </c>
      <c r="C6" s="6" t="inlineStr">
        <is>
          <t>1,178.76%</t>
        </is>
      </c>
      <c r="D6" s="6" t="inlineStr">
        <is>
          <t>724.51%</t>
        </is>
      </c>
      <c r="E6" s="6" t="inlineStr">
        <is>
          <t>760.4%</t>
        </is>
      </c>
      <c r="F6" s="6" t="inlineStr">
        <is>
          <t>1,072.4%</t>
        </is>
      </c>
      <c r="G6" s="6" t="inlineStr">
        <is>
          <t>904%</t>
        </is>
      </c>
      <c r="H6" s="6" t="inlineStr">
        <is>
          <t>771%</t>
        </is>
      </c>
      <c r="I6" s="6" t="inlineStr">
        <is>
          <t>663%</t>
        </is>
      </c>
      <c r="J6" s="6" t="inlineStr">
        <is>
          <t>2,402%</t>
        </is>
      </c>
    </row>
    <row r="7" ht="351" customHeight="1">
      <c r="A7" s="7" t="inlineStr">
        <is>
          <t>Note: FY2020 uses Monzo's own Pillar 3 Table i (liquidity buffer / net outflows); FY2021 used a simpler 'Table K: LCR' disclosure (liquidity buffer / net cash outflows) rather than the full KM1 template used from FY2022 onward; the two are conceptually equivalent to the HQLA/net cash outflow rows used in later years. FY2019 added 2026-09-16 from the PRIOR-YEAR COMPARATIVE COLUMN (headed '2019') of the FOLLOWING year's edition - Monzo Bank Limited Group Pillar 3 Disclosures 2020, Table i 'LCR as at 29 February 2020', p.17 - which prints liquidity buffer £510,314k, net outflow £76,994k and LCR 663% for 28 February 2019; 510,314 / 76,994 = 662.8%, which reproduces the printed 663%. This corrects the previous note on this sheet, which said FY2018-19's Annual Reports 'only say liquidity was significantly in excess of all liquidity targets, with no numeric LCR disclosed' - true of the FY2019 Annual Report, but not true of the year, since the FY2020 Pillar 3 states it. Basis: this is the same point-in-time year-end liquidity-buffer/net-outflow construction used for FY2020 and FY2021 on this sheet, NOT a 12-month average, so it sits on the same rows. FY2018 remains genuinely blank - no document reaches it.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9" ht="150" customHeight="1">
      <c r="A9"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7:J7"/>
    <mergeCell ref="A9:J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NSFR</t>
        </is>
      </c>
    </row>
    <row r="2">
      <c r="A2" s="2" t="inlineStr">
        <is>
          <t>£'000 / %</t>
        </is>
      </c>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Total available stable funding</t>
        </is>
      </c>
      <c r="B4" s="6" t="n">
        <v>22342143</v>
      </c>
      <c r="C4" s="6" t="n">
        <v>14543697</v>
      </c>
      <c r="D4" s="6" t="n">
        <v>9139028</v>
      </c>
      <c r="E4" s="6" t="n">
        <v>6055616</v>
      </c>
      <c r="F4" s="6" t="n">
        <v>4703076</v>
      </c>
      <c r="G4" s="6" t="n"/>
      <c r="H4" s="6" t="n"/>
      <c r="I4" s="6" t="n"/>
      <c r="J4" s="6" t="n"/>
    </row>
    <row r="5">
      <c r="A5" s="6" t="inlineStr">
        <is>
          <t>Total required stable funding</t>
        </is>
      </c>
      <c r="B5" s="6" t="n">
        <v>2966966</v>
      </c>
      <c r="C5" s="6" t="n">
        <v>1807551</v>
      </c>
      <c r="D5" s="6" t="n">
        <v>1345619</v>
      </c>
      <c r="E5" s="6" t="n">
        <v>835938</v>
      </c>
      <c r="F5" s="6" t="n">
        <v>444598</v>
      </c>
      <c r="G5" s="6" t="n"/>
      <c r="H5" s="6" t="n"/>
      <c r="I5" s="6" t="n"/>
      <c r="J5" s="6" t="n"/>
    </row>
    <row r="6">
      <c r="A6" s="6" t="inlineStr">
        <is>
          <t>Net Stable Funding Ratio (%)</t>
        </is>
      </c>
      <c r="B6" s="6" t="inlineStr">
        <is>
          <t>752.75%</t>
        </is>
      </c>
      <c r="C6" s="6" t="inlineStr">
        <is>
          <t>843.98%</t>
        </is>
      </c>
      <c r="D6" s="6" t="inlineStr">
        <is>
          <t>680.81%</t>
        </is>
      </c>
      <c r="E6" s="6" t="inlineStr">
        <is>
          <t>724.4%</t>
        </is>
      </c>
      <c r="F6" s="6" t="inlineStr">
        <is>
          <t>1,057.8%</t>
        </is>
      </c>
      <c r="G6" s="6" t="inlineStr">
        <is>
          <t>Not published – FY2021 Pillar 3 says Monzo monitors its NSFR but prints no figure (text-searched 2026-09-19); first published in FY2022</t>
        </is>
      </c>
      <c r="H6" s="6" t="inlineStr">
        <is>
          <t>Not published – no NSFR in the FY2020 Pillar 3 (text-searched 2026-09-19)</t>
        </is>
      </c>
      <c r="I6" s="6" t="inlineStr">
        <is>
          <t>Not published – no NSFR in the FY2019 Pillar 3 (text-searched 2026-09-19)</t>
        </is>
      </c>
      <c r="J6" s="6" t="inlineStr">
        <is>
          <t>Not published – no NSFR in the FY2018 Pillar 3 (text-searched 2026-09-19)</t>
        </is>
      </c>
    </row>
    <row r="7" ht="299" customHeight="1">
      <c r="A7" s="7" t="inlineStr">
        <is>
          <t>Note: NSFR was not disclosed in Monzo's FY2021 Pillar 3 report (no NSFR table or mention present); it first appears from the FY2022 report onward.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9" ht="150" customHeight="1">
      <c r="A9"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7:J7"/>
    <mergeCell ref="A9:J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Monzo — MREL Ratio</t>
        </is>
      </c>
    </row>
    <row r="2">
      <c r="A2" s="2" t="inlineStr"/>
    </row>
    <row r="3">
      <c r="A3" s="4" t="inlineStr">
        <is>
          <t>Metric</t>
        </is>
      </c>
      <c r="B3" s="4" t="inlineStr">
        <is>
          <t>FY2026 (MBHG)</t>
        </is>
      </c>
      <c r="C3" s="4" t="inlineStr">
        <is>
          <t>FY2025 (MBHG)</t>
        </is>
      </c>
      <c r="D3" s="4" t="inlineStr">
        <is>
          <t>FY2024 (MBHG)*</t>
        </is>
      </c>
      <c r="E3" s="4" t="inlineStr">
        <is>
          <t>FY2023 (MBL)</t>
        </is>
      </c>
      <c r="F3" s="4" t="inlineStr">
        <is>
          <t>FY2022 (MBL)</t>
        </is>
      </c>
      <c r="G3" s="4" t="inlineStr">
        <is>
          <t>FY2021 (MBL)</t>
        </is>
      </c>
      <c r="H3" s="4" t="inlineStr">
        <is>
          <t>FY2020 (MBL)</t>
        </is>
      </c>
      <c r="I3" s="4" t="inlineStr">
        <is>
          <t>FY2019 (MBL)</t>
        </is>
      </c>
      <c r="J3" s="4" t="inlineStr">
        <is>
          <t>FY2018 (MBL)</t>
        </is>
      </c>
    </row>
    <row r="4">
      <c r="A4" s="6" t="inlineStr">
        <is>
          <t>MREL ratio</t>
        </is>
      </c>
      <c r="B4" s="6" t="inlineStr">
        <is>
          <t>Not disclosed (ratio)</t>
        </is>
      </c>
      <c r="C4" s="6" t="inlineStr">
        <is>
          <t>Not disclosed (ratio)</t>
        </is>
      </c>
      <c r="D4" s="6" t="inlineStr">
        <is>
          <t>Not disclosed (ratio)</t>
        </is>
      </c>
      <c r="E4" s="6" t="inlineStr">
        <is>
          <t>Not disclosed (ratio)</t>
        </is>
      </c>
      <c r="F4" s="6" t="inlineStr">
        <is>
          <t>Not disclosed (ratio)</t>
        </is>
      </c>
      <c r="G4" s="6" t="inlineStr">
        <is>
          <t>Not disclosed (ratio)</t>
        </is>
      </c>
      <c r="H4" s="6" t="inlineStr">
        <is>
          <t>Not applicable – FY2020 Pillar 3 p.8: 'Monzo's current MREL requirement is equal to its regulatory total capital requirement'</t>
        </is>
      </c>
      <c r="I4" s="6" t="inlineStr">
        <is>
          <t>Not applicable – FY2019 Pillar 3 p.15: 'Monzo has no additional MREL above its minimum capital requirements'</t>
        </is>
      </c>
      <c r="J4" s="6" t="inlineStr">
        <is>
          <t>Not applicable – FY2018 Pillar 3 p.13: 'Monzo's MREL requirement is equal to its CRD IV requirement under Pillar 1 and Pillar 2A'</t>
        </is>
      </c>
    </row>
    <row r="5" ht="325" customHeight="1">
      <c r="A5" s="7" t="inlineStr">
        <is>
          <t>Note: Unlike Barclays Bank UK PLC, Monzo IS subject to its own MREL requirement (preferred resolution strategy: partial transfer) - but no Pillar 3 report in this series discloses a numeric MREL ratio or MREL resources figure, only the qualitative target. As disclosed: an indicative interim MREL requirement was set from April 2021 (updated April 2022, then April 2023), with an end-state requirement effective from April 2024/25 of 1.3x Total Capital Requirement (TCR) - reduced from earlier guidance of 2.0x TCR (per the FY2023 report). FY2018-20 predate any MREL requirement being set for Monzo at all. FY2018-19 (MBL's earliest years) predate this workbook's Pillar 3 report series. The FY2020 report is available at the Monzo-hosted URL cited below and supplies FY2020's full capital, RWA, leverage and LCR detail; it is included here. The only capital-adequacy figure FY2018-19 statutory accounts disclose at all is an unaudited CET1 ratio (FY2018: no capital management note exists at all - Monzo's FY2018 accounts predate any such disclosure; FY2019: 126%; FY2020: 70% - both per each year's own 'Capital management' note). No CET1 capital £ amount, Total Capital, RWA total, leverage ratio, LCR, NSFR or MREL figure is disclosed for FY2018-19 BY THOSE YEARS' OWN DOCUMENTS.
CORRECTION 2026-09-16 (comparative-column sweep). The sentence above was true of the FY2019 statutory accounts but FALSE of the year FY2019. The FY2020 Pillar 3 disclosures carry a full PRIOR-YEAR COMPARATIVE COLUMN headed '28 February 2019' / '2019', and it supplies almost the whole FY2019 Pillar 3 column: CET1 capital, Total capital and Tier 1 capital resources £97,632k; total risk weighted assets £93,972k; CET1 and total capital ratio 104%; leverage ratio 15.5% on a total exposure measure of £631,369k; LCR 663% on a liquidity buffer of £510,314k and net outflow of £76,994k. Every one of those is a PRINTED figure in the FY2020 edition, not a derivation, and each is now on its sheet labelled as coming from the FOLLOWING year's edition. Sources within that document: Table b 'Capital and leverage ratios' (p.11), Table c 'Leverage ratio' (p.12), Table i 'LCR as at 29 February 2020' (p.17) and the 'Own funds disclosure template' (CC1, p.23, rows 29/59/60/61/63). Table b and the CC1 template agree digit-for-digit on the 2019 column, so the figures are corroborated twice inside the same document. Cross-check performed: 97,632 / 93,972 = 103.9%, which reproduces the printed 104%, so the printed RWA is a genuine total and not a credit-risk subtotal; and 97,632 / 631,369 = 15.46%, which reproduces the printed 15.5%. Document verified before reading (HTTP 200, Content-Type application/pdf, %PDF magic bytes, 176,058 bytes, 34 pages, clean text layer) and dated from its own cover ('Monzo Bank Ltd / Pillar 3 Disclosures / 2020 / 29 February 2020'), not from its filename.
RESTATEMENT FOUND AND NOT RECONCILED. The FY2020 edition's 2019 comparative CET1 ratio of 104% DISAGREES with the 126% that the FY2019 Annual Report's own 'Capital management' note disclosed for the same date. Both are printed figures from Monzo's own documents; they imply different RWA denominators (104% implies the £93,972k printed here, 126% implies roughly £77.5m). Neither is overwritten - both are carried on separate labelled rows on the CET1 Ratio and Tier 1 Ratio sheets. FY2018 remains genuinely blank: the FY2019 accounts have no capital-management note at all, and no Pillar 3 edition reaches back that far.
STILL BLANK FOR FY2019 AFTER THIS SWEEP, deliberately: NSFR and MREL (the FY2020 edition contains neither template in any column) and the RWA Breakdown sheet (the FY2020 edition's Table d 'RWAs as at 29 February 2020' is single-column - RWAs against Pillar 1 capital, no prior-year column - so there is nothing to read).
GA-020 CORRECTION, 2026-09-19: this note said 'no Pillar 3 edition reaches back' to FY2018. That was wrong. A Wayback CDX sweep of monzo.com returns Pillar 3 editions for 28 February 2017, 2018 and 2019 as well as 2020 onward, and the FY2018 one is still live at https://monzo.com/documents/pillar_3_2018.pdf (HTTP 200, %PDF, 242,527 bytes, 26pp, cover 'Pillar 3 Disclosures 28 February 2018'; the Wayback copy is byte-identical). FY2018 figures now added from it, each read off the page image: Table b 'Capital and leverage ratios' p.15 - CET1 capital 56,165, total capital 56,165, RWAs 28,672, CET1 ratio 196%, leverage ratio 40%; Table c p.15 - leverage exposure (all balance-sheet assets less intangibles plus undrawn overdrafts) 139,879, placed on the INCLUDING-central-bank-claims rows for the same reason as FY2019; Appendix 1 EBA own funds p.25 - Tier 1 ratio (row 62) and total capital ratio (row 63) both 196%; LCR p.19 - 'The ratio as at February 2018 sat at 2,402%' (point in time). RECORDED, NOT RECONCILED: the same document's Appendix 1 prints CET1 capital 56,167 (row 29) and Total Capital 56,179 (row 59) against Table b's 56,165 for both; Table b's headline figures are the ones carried. No Tier 1 capital AMOUNT is printed anywhere in it, so that cell says so rather than copying CET1. The FY2019 edition exists in TWO versions - the original (Wayback 2019-09-15) printing a 126% CET1/total capital ratio and an 'Updated as of November 2019' version (monzo.com/docs/pillar_3_2019.pdf) printing 104%* - which bears on the FY2019 restatement discussed above; the FY2019 column is left as it stood, since re-sourcing it is outside this pass. Also added: FY2020 total capital ratio 70%, printed in the FY2020 Pillar 3's Table b, p.10.</t>
        </is>
      </c>
    </row>
    <row r="7" ht="150" customHeight="1">
      <c r="A7" s="8" t="inlineStr">
        <is>
          <t>Sources (see entity note on Cash Flow Statement sheet: FY2025/24 = Monzo Bank Holding Group Limited consolidated (Group); FY2023-21 = Monzo Bank Limited, solo/Group basis as disclosed):
FY2025: Monzo Bank Holding Group Limited Pillar 3 Disclosures 2025, p.20 (Appendix 1: Key metrics - KM1 (Group)) - https://monzo.com/annual-report/2025/monzo-pillar-3-2025.pdf
FY2024: Monzo Bank Holding Group Limited Pillar 3 Disclosures 2024, p.29 (Appendix 1: Key metrics - KM1 (Group)) - https://monzo.com/docs/monzo-pillar-3-2024.pdf
FY2023: Monzo Bank Limited Pillar 3 Disclosures 2023, p.30 (Appendix 1: Key metrics - KM1) - https://monzo.com/docs/monzo-pillar-3-2023.pdf
FY2022: Monzo Bank Limited Pillar 3 Disclosures 2022, p.32-33 (Appendix 1: Key metrics - KM1) - https://monzo.com/static/docs/monzo-pillar-3-2022.pdf
FY2021: Monzo Bank Limited Pillar 3 Disclosures 2021, p.12-13,20,32-33 (Table E/F/K and Appendix 4 IFRS9 transitional impact) - https://monzo.com/static/docs/monzo-pillar-3-2021.pdf
FY2020: Monzo Bank Limited Group Pillar 3 Disclosures 2020, pp.9-15, 21-28 (capital, leverage, RWA and LCR tables) - https://monzo.com/documents/pillar_3_2020.pdf</t>
        </is>
      </c>
    </row>
  </sheetData>
  <mergeCells count="2">
    <mergeCell ref="A5:J5"/>
    <mergeCell ref="A7:J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2026-10-10T15:08:35Z</dcterms:created>
  <dcterms:modified xmlns:dcterms="http://purl.org/dc/terms/" xmlns:xsi="http://www.w3.org/2001/XMLSchema-instance" xsi:type="dcterms:W3CDTF">2026-10-10T15:08:35Z</dcterms:modified>
</cp:coreProperties>
</file>