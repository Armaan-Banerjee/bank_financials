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Monzo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 (MBHG)</t>
        </is>
      </c>
      <c r="C5" s="4" t="inlineStr">
        <is>
          <t>FY2024 (MBHG)*</t>
        </is>
      </c>
      <c r="D5" s="4" t="inlineStr">
        <is>
          <t>FY2023 (MBL)</t>
        </is>
      </c>
      <c r="E5" s="4" t="inlineStr">
        <is>
          <t>FY2022 (MBL)</t>
        </is>
      </c>
      <c r="F5" s="4" t="inlineStr">
        <is>
          <t>FY2021 (MBL)</t>
        </is>
      </c>
      <c r="J5" t="inlineStr">
        <is>
          <t>FY2021 (MBL)</t>
        </is>
      </c>
      <c r="K5" t="inlineStr">
        <is>
          <t>FY2022 (MBL)</t>
        </is>
      </c>
      <c r="L5" t="inlineStr">
        <is>
          <t>FY2023 (MBL)</t>
        </is>
      </c>
      <c r="M5" t="inlineStr">
        <is>
          <t>FY2024 (MBHG)*</t>
        </is>
      </c>
      <c r="N5" t="inlineStr">
        <is>
          <t>FY2025 (MBHG)</t>
        </is>
      </c>
      <c r="R5" t="inlineStr">
        <is>
          <t>FY2021 (MBL)</t>
        </is>
      </c>
      <c r="S5" t="inlineStr">
        <is>
          <t>FY2022 (MBL)</t>
        </is>
      </c>
      <c r="T5" t="inlineStr">
        <is>
          <t>FY2023 (MBL)</t>
        </is>
      </c>
      <c r="U5" t="inlineStr">
        <is>
          <t>FY2024 (MBHG)*</t>
        </is>
      </c>
      <c r="V5" t="inlineStr">
        <is>
          <t>FY2025 (MBHG)</t>
        </is>
      </c>
    </row>
    <row r="6">
      <c r="A6" s="5" t="inlineStr">
        <is>
          <t>Net cash from operating activities</t>
        </is>
      </c>
      <c r="B6" s="5" t="n">
        <v>4916764</v>
      </c>
      <c r="C6" s="5" t="n">
        <v>5020296</v>
      </c>
      <c r="D6" s="5" t="n">
        <v>998813</v>
      </c>
      <c r="E6" s="5" t="n">
        <v>1016526</v>
      </c>
      <c r="F6" s="5" t="n">
        <v>1695049</v>
      </c>
      <c r="I6" t="inlineStr">
        <is>
          <t>Net cash from operating activities</t>
        </is>
      </c>
      <c r="J6" t="n">
        <v>1695049</v>
      </c>
      <c r="K6" t="n">
        <v>1016526</v>
      </c>
      <c r="L6" t="n">
        <v>998813</v>
      </c>
      <c r="M6" t="n">
        <v>5020296</v>
      </c>
      <c r="N6" t="n">
        <v>4916764</v>
      </c>
      <c r="Q6" t="inlineStr">
        <is>
          <t>CET1 Ratio</t>
        </is>
      </c>
      <c r="R6" t="n">
        <v>99</v>
      </c>
      <c r="S6" t="n">
        <v>155.1</v>
      </c>
      <c r="T6" t="n">
        <v>54.4</v>
      </c>
      <c r="U6" t="n">
        <v>54.94</v>
      </c>
      <c r="V6" t="n">
        <v>55.92</v>
      </c>
    </row>
    <row r="7">
      <c r="A7" s="5" t="inlineStr">
        <is>
          <t>Net cash from/(used in) investing activities</t>
        </is>
      </c>
      <c r="B7" s="5" t="n">
        <v>-1676663</v>
      </c>
      <c r="C7" s="5" t="n">
        <v>-829521</v>
      </c>
      <c r="D7" s="5" t="n">
        <v>-1026103</v>
      </c>
      <c r="E7" s="5" t="n">
        <v>-1300895</v>
      </c>
      <c r="F7" s="5" t="n">
        <v>-285759</v>
      </c>
      <c r="I7" t="inlineStr">
        <is>
          <t>Net cash from/(used in) investing activities</t>
        </is>
      </c>
      <c r="J7" t="n">
        <v>-285759</v>
      </c>
      <c r="K7" t="n">
        <v>-1300895</v>
      </c>
      <c r="L7" t="n">
        <v>-1026103</v>
      </c>
      <c r="M7" t="n">
        <v>-829521</v>
      </c>
      <c r="N7" t="n">
        <v>-1676663</v>
      </c>
      <c r="Q7" t="inlineStr">
        <is>
          <t>Tier 1 Ratio</t>
        </is>
      </c>
      <c r="R7" t="n">
        <v>99</v>
      </c>
      <c r="S7" t="n">
        <v>155.1</v>
      </c>
      <c r="T7" t="n">
        <v>54.4</v>
      </c>
      <c r="U7" t="n">
        <v>54.94</v>
      </c>
      <c r="V7" t="n">
        <v>55.92</v>
      </c>
    </row>
    <row r="8">
      <c r="A8" s="5" t="inlineStr">
        <is>
          <t>Net cash from/(used in) financing activities</t>
        </is>
      </c>
      <c r="B8" s="5" t="n">
        <v>157407</v>
      </c>
      <c r="C8" s="5" t="n">
        <v>332432</v>
      </c>
      <c r="D8" s="5" t="n">
        <v>-6564</v>
      </c>
      <c r="E8" s="5" t="n">
        <v>441534</v>
      </c>
      <c r="F8" s="5" t="n">
        <v>194506</v>
      </c>
      <c r="I8" t="inlineStr">
        <is>
          <t>Net cash from/(used in) financing activities</t>
        </is>
      </c>
      <c r="J8" t="n">
        <v>194506</v>
      </c>
      <c r="K8" t="n">
        <v>441534</v>
      </c>
      <c r="L8" t="n">
        <v>-6564</v>
      </c>
      <c r="M8" t="n">
        <v>332432</v>
      </c>
      <c r="N8" t="n">
        <v>157407</v>
      </c>
      <c r="Q8" t="inlineStr">
        <is>
          <t>Total Capital Ratio</t>
        </is>
      </c>
      <c r="R8" t="n">
        <v>99</v>
      </c>
      <c r="S8" t="n">
        <v>159.1</v>
      </c>
      <c r="T8" t="n">
        <v>55.91</v>
      </c>
      <c r="U8" t="n">
        <v>55.87</v>
      </c>
      <c r="V8" t="n">
        <v>56.67</v>
      </c>
    </row>
    <row r="9">
      <c r="A9" s="5" t="inlineStr">
        <is>
          <t>Cash and cash equivalents at end of year</t>
        </is>
      </c>
      <c r="B9" s="5" t="n">
        <v>11021763</v>
      </c>
      <c r="C9" s="5" t="n">
        <v>7624300</v>
      </c>
      <c r="D9" s="5" t="n">
        <v>3101242</v>
      </c>
      <c r="E9" s="5" t="n">
        <v>3134540</v>
      </c>
      <c r="F9" s="5" t="n">
        <v>2977368</v>
      </c>
      <c r="I9" t="inlineStr">
        <is>
          <t>Cash and cash equivalents at end of year</t>
        </is>
      </c>
      <c r="J9" t="n">
        <v>2977368</v>
      </c>
      <c r="K9" t="n">
        <v>3134540</v>
      </c>
      <c r="L9" t="n">
        <v>3101242</v>
      </c>
      <c r="M9" t="n">
        <v>7624300</v>
      </c>
      <c r="N9" t="n">
        <v>11021763</v>
      </c>
      <c r="Q9" t="inlineStr">
        <is>
          <t>Leverage Ratio</t>
        </is>
      </c>
      <c r="R9" t="n">
        <v>29.3</v>
      </c>
      <c r="S9" t="n">
        <v>25.7</v>
      </c>
      <c r="T9" t="n">
        <v>14.15</v>
      </c>
      <c r="U9" t="n">
        <v>16</v>
      </c>
      <c r="V9" t="n">
        <v>15.53</v>
      </c>
    </row>
    <row r="10">
      <c r="Q10" t="inlineStr">
        <is>
          <t>LCR</t>
        </is>
      </c>
      <c r="R10" t="n">
        <v>904</v>
      </c>
      <c r="S10" t="n">
        <v>1072.4</v>
      </c>
      <c r="T10" t="n">
        <v>760.4</v>
      </c>
      <c r="U10" t="n">
        <v>724.51</v>
      </c>
      <c r="V10" t="n">
        <v>1178.76</v>
      </c>
    </row>
    <row r="11">
      <c r="A11" s="3" t="inlineStr">
        <is>
          <t>Pillar 3 Key Metrics</t>
        </is>
      </c>
      <c r="Q11" t="inlineStr">
        <is>
          <t>NSFR</t>
        </is>
      </c>
      <c r="S11" t="n">
        <v>1057.8</v>
      </c>
      <c r="T11" t="n">
        <v>724.4</v>
      </c>
      <c r="U11" t="n">
        <v>680.8099999999999</v>
      </c>
      <c r="V11" t="n">
        <v>843.98</v>
      </c>
    </row>
    <row r="12">
      <c r="A12" s="4" t="inlineStr">
        <is>
          <t>Line item</t>
        </is>
      </c>
      <c r="B12" s="4" t="inlineStr">
        <is>
          <t>FY2025 (MBHG)</t>
        </is>
      </c>
      <c r="C12" s="4" t="inlineStr">
        <is>
          <t>FY2024 (MBHG)*</t>
        </is>
      </c>
      <c r="D12" s="4" t="inlineStr">
        <is>
          <t>FY2023 (MBL)</t>
        </is>
      </c>
      <c r="E12" s="4" t="inlineStr">
        <is>
          <t>FY2022 (MBL)</t>
        </is>
      </c>
      <c r="F12" s="4" t="inlineStr">
        <is>
          <t>FY2021 (MBL)</t>
        </is>
      </c>
    </row>
    <row r="13">
      <c r="A13" s="6" t="inlineStr">
        <is>
          <t>CET1 Ratio</t>
        </is>
      </c>
      <c r="B13" s="6" t="inlineStr">
        <is>
          <t>55.92%</t>
        </is>
      </c>
      <c r="C13" s="6" t="inlineStr">
        <is>
          <t>54.94%</t>
        </is>
      </c>
      <c r="D13" s="6" t="inlineStr">
        <is>
          <t>54.40%</t>
        </is>
      </c>
      <c r="E13" s="6" t="inlineStr">
        <is>
          <t>155.1%</t>
        </is>
      </c>
      <c r="F13" s="6" t="inlineStr">
        <is>
          <t>99%</t>
        </is>
      </c>
    </row>
    <row r="14">
      <c r="A14" s="6" t="inlineStr">
        <is>
          <t>Tier 1 Ratio</t>
        </is>
      </c>
      <c r="B14" s="6" t="inlineStr">
        <is>
          <t>55.92%</t>
        </is>
      </c>
      <c r="C14" s="6" t="inlineStr">
        <is>
          <t>54.94%</t>
        </is>
      </c>
      <c r="D14" s="6" t="inlineStr">
        <is>
          <t>54.40%</t>
        </is>
      </c>
      <c r="E14" s="6" t="inlineStr">
        <is>
          <t>155.1%</t>
        </is>
      </c>
      <c r="F14" s="6" t="inlineStr">
        <is>
          <t>99%</t>
        </is>
      </c>
    </row>
    <row r="15">
      <c r="A15" s="6" t="inlineStr">
        <is>
          <t>Total Capital Ratio</t>
        </is>
      </c>
      <c r="B15" s="6" t="inlineStr">
        <is>
          <t>56.67%</t>
        </is>
      </c>
      <c r="C15" s="6" t="inlineStr">
        <is>
          <t>55.87%</t>
        </is>
      </c>
      <c r="D15" s="6" t="inlineStr">
        <is>
          <t>55.91%</t>
        </is>
      </c>
      <c r="E15" s="6" t="inlineStr">
        <is>
          <t>159.1%</t>
        </is>
      </c>
      <c r="F15" s="6" t="inlineStr">
        <is>
          <t>99%</t>
        </is>
      </c>
    </row>
    <row r="16">
      <c r="A16" s="6" t="inlineStr">
        <is>
          <t>Leverage Ratio</t>
        </is>
      </c>
      <c r="B16" s="6" t="inlineStr">
        <is>
          <t>15.53%</t>
        </is>
      </c>
      <c r="C16" s="6" t="inlineStr">
        <is>
          <t>16.00%</t>
        </is>
      </c>
      <c r="D16" s="6" t="inlineStr">
        <is>
          <t>14.15%</t>
        </is>
      </c>
      <c r="E16" s="6" t="inlineStr">
        <is>
          <t>25.7%</t>
        </is>
      </c>
      <c r="F16" s="6" t="inlineStr">
        <is>
          <t>29.3%</t>
        </is>
      </c>
    </row>
    <row r="17">
      <c r="A17" s="6" t="inlineStr">
        <is>
          <t>LCR</t>
        </is>
      </c>
      <c r="B17" s="6" t="inlineStr">
        <is>
          <t>1,178.76%</t>
        </is>
      </c>
      <c r="C17" s="6" t="inlineStr">
        <is>
          <t>724.51%</t>
        </is>
      </c>
      <c r="D17" s="6" t="inlineStr">
        <is>
          <t>760.4%</t>
        </is>
      </c>
      <c r="E17" s="6" t="inlineStr">
        <is>
          <t>1,072.4%</t>
        </is>
      </c>
      <c r="F17" s="6" t="inlineStr">
        <is>
          <t>904%</t>
        </is>
      </c>
    </row>
    <row r="18">
      <c r="A18" s="6" t="inlineStr">
        <is>
          <t>NSFR</t>
        </is>
      </c>
      <c r="B18" s="6" t="inlineStr">
        <is>
          <t>843.98%</t>
        </is>
      </c>
      <c r="C18" s="6" t="inlineStr">
        <is>
          <t>680.81%</t>
        </is>
      </c>
      <c r="D18" s="6" t="inlineStr">
        <is>
          <t>724.4%</t>
        </is>
      </c>
      <c r="E18" s="6" t="inlineStr">
        <is>
          <t>1,057.8%</t>
        </is>
      </c>
      <c r="F18" s="6" t="inlineStr">
        <is>
          <t>Not disclosed</t>
        </is>
      </c>
    </row>
    <row r="20" ht="45" customHeight="1">
      <c r="A20" s="7" t="inlineStr">
        <is>
          <t>Note: Figures are duplicated from the detail sheets for at-a-glance trend viewing; see each sheet's own source citation for the underlying document/page. Entity basis switches from Monzo Bank Limited (FY2021-23) to Monzo Bank Holding Group Limited (FY2024-25); FY2024 is a 13-month transition period from a fiscal-year-end change. Leverage ratio for FY2022 uses the single unlabelled 'Leverage ratio' KM1 row whose basis is not stated in the source (see Leverage Ratio sheet).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Monzo — Consolidated (Group) Cash Flow Statement</t>
        </is>
      </c>
    </row>
    <row r="2">
      <c r="A2" s="2" t="inlineStr">
        <is>
          <t>£'000 unless stated. FY2025/24 = Monzo Bank Holding Group Limited; FY2023-21 = Monzo Bank Limited. See source note at bottom.</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5" t="inlineStr">
        <is>
          <t>Cash flows from operating activities</t>
        </is>
      </c>
      <c r="B4" s="6" t="n"/>
      <c r="C4" s="6" t="n"/>
      <c r="D4" s="6" t="n"/>
      <c r="E4" s="6" t="n"/>
      <c r="F4" s="6" t="n"/>
    </row>
    <row r="5">
      <c r="A5" s="6" t="inlineStr">
        <is>
          <t>Profit/(Loss) for the year</t>
        </is>
      </c>
      <c r="B5" s="6" t="n">
        <v>94568</v>
      </c>
      <c r="C5" s="6" t="n">
        <v>8709</v>
      </c>
      <c r="D5" s="6" t="n">
        <v>-116341</v>
      </c>
      <c r="E5" s="6" t="n">
        <v>-119020</v>
      </c>
      <c r="F5" s="6" t="n">
        <v>-131077</v>
      </c>
    </row>
    <row r="6">
      <c r="A6" s="6" t="inlineStr">
        <is>
          <t>Impairment and charge-offs</t>
        </is>
      </c>
      <c r="B6" s="6" t="n">
        <v>152595</v>
      </c>
      <c r="C6" s="6" t="n">
        <v>176868</v>
      </c>
      <c r="D6" s="6" t="n"/>
      <c r="E6" s="6" t="n"/>
      <c r="F6" s="6" t="n"/>
    </row>
    <row r="7">
      <c r="A7" s="6" t="inlineStr">
        <is>
          <t>Depreciation &amp; impairment expense</t>
        </is>
      </c>
      <c r="B7" s="6" t="n">
        <v>4623</v>
      </c>
      <c r="C7" s="6" t="n">
        <v>7288</v>
      </c>
      <c r="D7" s="6" t="n">
        <v>7601</v>
      </c>
      <c r="E7" s="6" t="n">
        <v>8311</v>
      </c>
      <c r="F7" s="6" t="n">
        <v>9010</v>
      </c>
    </row>
    <row r="8">
      <c r="A8" s="6" t="inlineStr">
        <is>
          <t>Share-based payments</t>
        </is>
      </c>
      <c r="B8" s="6" t="n">
        <v>83468</v>
      </c>
      <c r="C8" s="6" t="n">
        <v>37469</v>
      </c>
      <c r="D8" s="6" t="n">
        <v>29100</v>
      </c>
      <c r="E8" s="6" t="n">
        <v>23254</v>
      </c>
      <c r="F8" s="6" t="n">
        <v>26547</v>
      </c>
    </row>
    <row r="9">
      <c r="A9" s="6" t="inlineStr">
        <is>
          <t>Loss on disposals and write-offs</t>
        </is>
      </c>
      <c r="B9" s="6" t="n"/>
      <c r="C9" s="6" t="n"/>
      <c r="D9" s="6" t="n">
        <v>510</v>
      </c>
      <c r="E9" s="6" t="n">
        <v>495</v>
      </c>
      <c r="F9" s="6" t="n">
        <v>274</v>
      </c>
    </row>
    <row r="10">
      <c r="A10" s="6" t="inlineStr">
        <is>
          <t>(Decrease)/increase in provisions</t>
        </is>
      </c>
      <c r="B10" s="6" t="n">
        <v>3281</v>
      </c>
      <c r="C10" s="6" t="n">
        <v>-9830</v>
      </c>
      <c r="D10" s="6" t="n">
        <v>8787</v>
      </c>
      <c r="E10" s="6" t="n">
        <v>-290</v>
      </c>
      <c r="F10" s="6" t="n">
        <v>8098</v>
      </c>
    </row>
    <row r="11">
      <c r="A11" s="6" t="inlineStr">
        <is>
          <t>Loss on warrants</t>
        </is>
      </c>
      <c r="B11" s="6" t="n"/>
      <c r="C11" s="6" t="n"/>
      <c r="D11" s="6" t="n">
        <v>23</v>
      </c>
      <c r="E11" s="6" t="n">
        <v>502</v>
      </c>
      <c r="F11" s="6" t="n"/>
    </row>
    <row r="12">
      <c r="A12" s="6" t="inlineStr">
        <is>
          <t>Net interest expense on leases</t>
        </is>
      </c>
      <c r="B12" s="6" t="n"/>
      <c r="C12" s="6" t="n"/>
      <c r="D12" s="6" t="n">
        <v>1191</v>
      </c>
      <c r="E12" s="6" t="n">
        <v>1690</v>
      </c>
      <c r="F12" s="6" t="n">
        <v>1450</v>
      </c>
    </row>
    <row r="13">
      <c r="A13" s="6" t="inlineStr">
        <is>
          <t>Interest expense on subordinated debt</t>
        </is>
      </c>
      <c r="B13" s="6" t="n"/>
      <c r="C13" s="6" t="n"/>
      <c r="D13" s="6" t="n">
        <v>2031</v>
      </c>
      <c r="E13" s="6" t="n">
        <v>1958</v>
      </c>
      <c r="F13" s="6" t="n"/>
    </row>
    <row r="14">
      <c r="A14" s="6" t="inlineStr">
        <is>
          <t>Interest on collateral</t>
        </is>
      </c>
      <c r="B14" s="6" t="n"/>
      <c r="C14" s="6" t="n"/>
      <c r="D14" s="6" t="n">
        <v>403</v>
      </c>
      <c r="E14" s="6" t="n"/>
      <c r="F14" s="6" t="n"/>
    </row>
    <row r="15">
      <c r="A15" s="6" t="inlineStr">
        <is>
          <t>Interest on treasury investments</t>
        </is>
      </c>
      <c r="B15" s="6" t="n"/>
      <c r="C15" s="6" t="n"/>
      <c r="D15" s="6" t="n">
        <v>-29392</v>
      </c>
      <c r="E15" s="6" t="n">
        <v>-2381</v>
      </c>
      <c r="F15" s="6" t="n">
        <v>-183</v>
      </c>
    </row>
    <row r="16">
      <c r="A16" s="6" t="inlineStr">
        <is>
          <t>Net interest (combined, MBHG presentation)</t>
        </is>
      </c>
      <c r="B16" s="6" t="n">
        <v>-68155</v>
      </c>
      <c r="C16" s="6" t="n">
        <v>-75798</v>
      </c>
      <c r="D16" s="6" t="n"/>
      <c r="E16" s="6" t="n"/>
      <c r="F16" s="6" t="n"/>
    </row>
    <row r="17">
      <c r="A17" s="6" t="inlineStr">
        <is>
          <t>Taxation</t>
        </is>
      </c>
      <c r="B17" s="6" t="n">
        <v>-34090</v>
      </c>
      <c r="C17" s="6" t="n"/>
      <c r="D17" s="6" t="n"/>
      <c r="E17" s="6" t="n"/>
      <c r="F17" s="6" t="n"/>
    </row>
    <row r="18">
      <c r="A18" s="6" t="inlineStr">
        <is>
          <t>Other non-cash items</t>
        </is>
      </c>
      <c r="B18" s="6" t="n">
        <v>-7494</v>
      </c>
      <c r="C18" s="6" t="n">
        <v>-1049</v>
      </c>
      <c r="D18" s="6" t="n"/>
      <c r="E18" s="6" t="n"/>
      <c r="F18" s="6" t="n"/>
    </row>
    <row r="19">
      <c r="A19" s="6" t="inlineStr">
        <is>
          <t>Movement in loans and advances to customers</t>
        </is>
      </c>
      <c r="B19" s="6" t="n">
        <v>-564849</v>
      </c>
      <c r="C19" s="6" t="n">
        <v>-713349</v>
      </c>
      <c r="D19" s="6" t="n">
        <v>-418650</v>
      </c>
      <c r="E19" s="6" t="n">
        <v>-147936</v>
      </c>
      <c r="F19" s="6" t="n">
        <v>36766</v>
      </c>
    </row>
    <row r="20">
      <c r="A20" s="6" t="inlineStr">
        <is>
          <t>Movement in customer deposits</t>
        </is>
      </c>
      <c r="B20" s="6" t="n">
        <v>5401749</v>
      </c>
      <c r="C20" s="6" t="n">
        <v>5251674</v>
      </c>
      <c r="D20" s="6" t="n">
        <v>1505297</v>
      </c>
      <c r="E20" s="6" t="n">
        <v>1316604</v>
      </c>
      <c r="F20" s="6" t="n">
        <v>1731529</v>
      </c>
    </row>
    <row r="21">
      <c r="A21" s="6" t="inlineStr">
        <is>
          <t>Movement in other assets (excluding RDEC claim)</t>
        </is>
      </c>
      <c r="B21" s="6" t="n"/>
      <c r="C21" s="6" t="n"/>
      <c r="D21" s="6" t="n">
        <v>-36597</v>
      </c>
      <c r="E21" s="6" t="n">
        <v>30628</v>
      </c>
      <c r="F21" s="6" t="n">
        <v>-20379</v>
      </c>
    </row>
    <row r="22">
      <c r="A22" s="6" t="inlineStr">
        <is>
          <t>Movement in RDEC claim receivable</t>
        </is>
      </c>
      <c r="B22" s="6" t="n"/>
      <c r="C22" s="6" t="n"/>
      <c r="D22" s="6" t="n">
        <v>-1698</v>
      </c>
      <c r="E22" s="6" t="n">
        <v>-186</v>
      </c>
      <c r="F22" s="6" t="n">
        <v>2662</v>
      </c>
    </row>
    <row r="23">
      <c r="A23" s="6" t="inlineStr">
        <is>
          <t>Movement in other assets (combined, MBHG presentation)</t>
        </is>
      </c>
      <c r="B23" s="6" t="n">
        <v>312246</v>
      </c>
      <c r="C23" s="6" t="n">
        <v>-299495</v>
      </c>
      <c r="D23" s="6" t="n"/>
      <c r="E23" s="6" t="n"/>
      <c r="F23" s="6" t="n"/>
    </row>
    <row r="24">
      <c r="A24" s="6" t="inlineStr">
        <is>
          <t>Movement in current tax asset/liability</t>
        </is>
      </c>
      <c r="B24" s="6" t="n"/>
      <c r="C24" s="6" t="n">
        <v>-7090</v>
      </c>
      <c r="D24" s="6" t="n"/>
      <c r="E24" s="6" t="n"/>
      <c r="F24" s="6" t="n"/>
    </row>
    <row r="25">
      <c r="A25" s="6" t="inlineStr">
        <is>
          <t>Net tax paid</t>
        </is>
      </c>
      <c r="B25" s="6" t="n">
        <v>-6019</v>
      </c>
      <c r="C25" s="6" t="n"/>
      <c r="D25" s="6" t="n"/>
      <c r="E25" s="6" t="n"/>
      <c r="F25" s="6" t="n"/>
    </row>
    <row r="26">
      <c r="A26" s="6" t="inlineStr">
        <is>
          <t>Movement in collateral held with third parties</t>
        </is>
      </c>
      <c r="B26" s="6" t="n">
        <v>-1075</v>
      </c>
      <c r="C26" s="6" t="n">
        <v>-63</v>
      </c>
      <c r="D26" s="6" t="n">
        <v>-169</v>
      </c>
      <c r="E26" s="6" t="n">
        <v>-19978</v>
      </c>
      <c r="F26" s="6" t="n">
        <v>-40672</v>
      </c>
    </row>
    <row r="27">
      <c r="A27" s="6" t="inlineStr">
        <is>
          <t>Movement in other liabilities (excl. leases/provisions, MBL) / other liabilities (MBHG)</t>
        </is>
      </c>
      <c r="B27" s="6" t="n">
        <v>-454084</v>
      </c>
      <c r="C27" s="6" t="n">
        <v>644962</v>
      </c>
      <c r="D27" s="6" t="n">
        <v>46717</v>
      </c>
      <c r="E27" s="6" t="n">
        <v>-77125</v>
      </c>
      <c r="F27" s="6" t="n">
        <v>71024</v>
      </c>
    </row>
    <row r="28">
      <c r="A28" s="5" t="inlineStr">
        <is>
          <t>Net cash from operating activities</t>
        </is>
      </c>
      <c r="B28" s="5" t="n">
        <v>4916764</v>
      </c>
      <c r="C28" s="5" t="n">
        <v>5020296</v>
      </c>
      <c r="D28" s="5" t="n">
        <v>998813</v>
      </c>
      <c r="E28" s="5" t="n">
        <v>1016526</v>
      </c>
      <c r="F28" s="5" t="n">
        <v>1695049</v>
      </c>
    </row>
    <row r="29">
      <c r="A29" s="5" t="inlineStr">
        <is>
          <t>Cash flows from investing activities</t>
        </is>
      </c>
      <c r="B29" s="6" t="n"/>
      <c r="C29" s="6" t="n"/>
      <c r="D29" s="6" t="n"/>
      <c r="E29" s="6" t="n"/>
      <c r="F29" s="6" t="n"/>
    </row>
    <row r="30">
      <c r="A30" s="6" t="inlineStr">
        <is>
          <t>Purchase of treasury investments</t>
        </is>
      </c>
      <c r="B30" s="6" t="n"/>
      <c r="C30" s="6" t="n"/>
      <c r="D30" s="6" t="n">
        <v>-1495059</v>
      </c>
      <c r="E30" s="6" t="n">
        <v>-1310560</v>
      </c>
      <c r="F30" s="6" t="n">
        <v>-420977</v>
      </c>
    </row>
    <row r="31">
      <c r="A31" s="6" t="inlineStr">
        <is>
          <t>Interest received on treasury investments</t>
        </is>
      </c>
      <c r="B31" s="6" t="n"/>
      <c r="C31" s="6" t="n"/>
      <c r="D31" s="6" t="n">
        <v>14892</v>
      </c>
      <c r="E31" s="6" t="n">
        <v>5048</v>
      </c>
      <c r="F31" s="6" t="n">
        <v>1359</v>
      </c>
    </row>
    <row r="32">
      <c r="A32" s="6" t="inlineStr">
        <is>
          <t>Proceeds from sale and maturity of treasury investments</t>
        </is>
      </c>
      <c r="B32" s="6" t="n"/>
      <c r="C32" s="6" t="n"/>
      <c r="D32" s="6" t="n">
        <v>457517</v>
      </c>
      <c r="E32" s="6" t="n">
        <v>9000</v>
      </c>
      <c r="F32" s="6" t="n">
        <v>142112</v>
      </c>
    </row>
    <row r="33">
      <c r="A33" s="6" t="inlineStr">
        <is>
          <t>Net movement in treasury investments (combined, MBHG presentation)</t>
        </is>
      </c>
      <c r="B33" s="6" t="n">
        <v>-1676621</v>
      </c>
      <c r="C33" s="6" t="n">
        <v>-829471</v>
      </c>
      <c r="D33" s="6" t="n"/>
      <c r="E33" s="6" t="n"/>
      <c r="F33" s="6" t="n"/>
    </row>
    <row r="34">
      <c r="A34" s="6" t="inlineStr">
        <is>
          <t>Purchase of property, plant and equipment</t>
        </is>
      </c>
      <c r="B34" s="6" t="n">
        <v>-213</v>
      </c>
      <c r="C34" s="6" t="n">
        <v>-1060</v>
      </c>
      <c r="D34" s="6" t="n">
        <v>-3453</v>
      </c>
      <c r="E34" s="6" t="n">
        <v>-4383</v>
      </c>
      <c r="F34" s="6" t="n">
        <v>-8290</v>
      </c>
    </row>
    <row r="35">
      <c r="A35" s="6" t="inlineStr">
        <is>
          <t>Proceeds on disposal of property, plant and equipment</t>
        </is>
      </c>
      <c r="B35" s="6" t="n"/>
      <c r="C35" s="6" t="n"/>
      <c r="D35" s="6" t="n"/>
      <c r="E35" s="6" t="n"/>
      <c r="F35" s="6" t="n">
        <v>75</v>
      </c>
    </row>
    <row r="36">
      <c r="A36" s="6" t="inlineStr">
        <is>
          <t>Movement in sublease receivables</t>
        </is>
      </c>
      <c r="B36" s="6" t="n">
        <v>171</v>
      </c>
      <c r="C36" s="6" t="n">
        <v>1010</v>
      </c>
      <c r="D36" s="6" t="n"/>
      <c r="E36" s="6" t="n"/>
      <c r="F36" s="6" t="n"/>
    </row>
    <row r="37">
      <c r="A37" s="6" t="inlineStr">
        <is>
          <t>Other cash flows from investing activities</t>
        </is>
      </c>
      <c r="B37" s="6" t="n"/>
      <c r="C37" s="6" t="n"/>
      <c r="D37" s="6" t="n"/>
      <c r="E37" s="6" t="n"/>
      <c r="F37" s="6" t="n">
        <v>-38</v>
      </c>
    </row>
    <row r="38">
      <c r="A38" s="5" t="inlineStr">
        <is>
          <t>Net cash from/(used in) investing activities</t>
        </is>
      </c>
      <c r="B38" s="5" t="n">
        <v>-1676663</v>
      </c>
      <c r="C38" s="5" t="n">
        <v>-829521</v>
      </c>
      <c r="D38" s="5" t="n">
        <v>-1026103</v>
      </c>
      <c r="E38" s="5" t="n">
        <v>-1300895</v>
      </c>
      <c r="F38" s="5" t="n">
        <v>-285759</v>
      </c>
    </row>
    <row r="39">
      <c r="A39" s="5" t="inlineStr">
        <is>
          <t>Cash flows from financing activities</t>
        </is>
      </c>
      <c r="B39" s="6" t="n"/>
      <c r="C39" s="6" t="n"/>
      <c r="D39" s="6" t="n"/>
      <c r="E39" s="6" t="n"/>
      <c r="F39" s="6" t="n"/>
    </row>
    <row r="40">
      <c r="A40" s="6" t="inlineStr">
        <is>
          <t>Net proceeds from issuance of ordinary shares</t>
        </is>
      </c>
      <c r="B40" s="6" t="n">
        <v>162362</v>
      </c>
      <c r="C40" s="6" t="n">
        <v>339440</v>
      </c>
      <c r="D40" s="6" t="n">
        <v>300</v>
      </c>
      <c r="E40" s="6" t="n">
        <v>436008</v>
      </c>
      <c r="F40" s="6" t="n">
        <v>197548</v>
      </c>
    </row>
    <row r="41">
      <c r="A41" s="6" t="inlineStr">
        <is>
          <t>Payment of interest portion of lease liabilities</t>
        </is>
      </c>
      <c r="B41" s="6" t="n"/>
      <c r="C41" s="6" t="n"/>
      <c r="D41" s="6" t="n">
        <v>-1988</v>
      </c>
      <c r="E41" s="6" t="n">
        <v>-385</v>
      </c>
      <c r="F41" s="6" t="n">
        <v>-388</v>
      </c>
    </row>
    <row r="42">
      <c r="A42" s="6" t="inlineStr">
        <is>
          <t>Payment of principal portion of lease liabilities</t>
        </is>
      </c>
      <c r="B42" s="6" t="n"/>
      <c r="C42" s="6" t="n"/>
      <c r="D42" s="6" t="n">
        <v>-3075</v>
      </c>
      <c r="E42" s="6" t="n">
        <v>-7136</v>
      </c>
      <c r="F42" s="6" t="n">
        <v>-2654</v>
      </c>
    </row>
    <row r="43">
      <c r="A43" s="6" t="inlineStr">
        <is>
          <t>Payment of lease liabilities (combined, MBHG presentation)</t>
        </is>
      </c>
      <c r="B43" s="6" t="n">
        <v>-4955</v>
      </c>
      <c r="C43" s="6" t="n">
        <v>-7008</v>
      </c>
      <c r="D43" s="6" t="n"/>
      <c r="E43" s="6" t="n"/>
      <c r="F43" s="6" t="n"/>
    </row>
    <row r="44">
      <c r="A44" s="6" t="inlineStr">
        <is>
          <t>Issuance of subordinated debt and warrant liability</t>
        </is>
      </c>
      <c r="B44" s="6" t="n"/>
      <c r="C44" s="6" t="n"/>
      <c r="D44" s="6" t="n"/>
      <c r="E44" s="6" t="n">
        <v>14812</v>
      </c>
      <c r="F44" s="6" t="n"/>
    </row>
    <row r="45">
      <c r="A45" s="6" t="inlineStr">
        <is>
          <t>Interest paid on subordinated debt liability</t>
        </is>
      </c>
      <c r="B45" s="6" t="n"/>
      <c r="C45" s="6" t="n"/>
      <c r="D45" s="6" t="n">
        <v>-1801</v>
      </c>
      <c r="E45" s="6" t="n">
        <v>-1765</v>
      </c>
      <c r="F45" s="6" t="n"/>
    </row>
    <row r="46">
      <c r="A46" s="5" t="inlineStr">
        <is>
          <t>Net cash from/(used in) financing activities</t>
        </is>
      </c>
      <c r="B46" s="5" t="n">
        <v>157407</v>
      </c>
      <c r="C46" s="5" t="n">
        <v>332432</v>
      </c>
      <c r="D46" s="5" t="n">
        <v>-6564</v>
      </c>
      <c r="E46" s="5" t="n">
        <v>441534</v>
      </c>
      <c r="F46" s="5" t="n">
        <v>194506</v>
      </c>
    </row>
    <row r="47">
      <c r="A47" s="6" t="inlineStr">
        <is>
          <t>Effect of exchange rates on cash and cash equivalents</t>
        </is>
      </c>
      <c r="B47" s="6" t="n">
        <v>-45</v>
      </c>
      <c r="C47" s="6" t="n">
        <v>-149</v>
      </c>
      <c r="D47" s="6" t="n">
        <v>556</v>
      </c>
      <c r="E47" s="6" t="n">
        <v>-150</v>
      </c>
      <c r="F47" s="6" t="n"/>
    </row>
    <row r="48">
      <c r="A48" s="5" t="inlineStr">
        <is>
          <t>Net increase/(decrease) in cash and cash equivalents</t>
        </is>
      </c>
      <c r="B48" s="5" t="n">
        <v>3397463</v>
      </c>
      <c r="C48" s="5" t="n">
        <v>4523058</v>
      </c>
      <c r="D48" s="5" t="n">
        <v>-33298</v>
      </c>
      <c r="E48" s="5" t="n">
        <v>157172</v>
      </c>
      <c r="F48" s="5" t="n">
        <v>1603646</v>
      </c>
    </row>
    <row r="49">
      <c r="A49" s="6" t="inlineStr">
        <is>
          <t>Cash and cash equivalents at beginning of year</t>
        </is>
      </c>
      <c r="B49" s="6" t="n">
        <v>7624300</v>
      </c>
      <c r="C49" s="6" t="n">
        <v>3101242</v>
      </c>
      <c r="D49" s="6" t="n">
        <v>3134540</v>
      </c>
      <c r="E49" s="6" t="n">
        <v>2977368</v>
      </c>
      <c r="F49" s="6" t="n">
        <v>1373722</v>
      </c>
    </row>
    <row r="50">
      <c r="A50" s="5" t="inlineStr">
        <is>
          <t>Cash and cash equivalents at end of year</t>
        </is>
      </c>
      <c r="B50" s="5" t="n">
        <v>11021763</v>
      </c>
      <c r="C50" s="5" t="n">
        <v>7624300</v>
      </c>
      <c r="D50" s="5" t="n">
        <v>3101242</v>
      </c>
      <c r="E50" s="5" t="n">
        <v>3134540</v>
      </c>
      <c r="F50" s="5" t="n">
        <v>2977368</v>
      </c>
    </row>
    <row r="52" ht="150" customHeight="1">
      <c r="A52"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5 years regardless of this.</t>
        </is>
      </c>
    </row>
  </sheetData>
  <mergeCells count="1">
    <mergeCell ref="A52:F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Common Equity Tier 1 (CET1) capital</t>
        </is>
      </c>
      <c r="B4" s="6" t="n">
        <v>1158302</v>
      </c>
      <c r="C4" s="6" t="n">
        <v>888274</v>
      </c>
      <c r="D4" s="6" t="n">
        <v>532582</v>
      </c>
      <c r="E4" s="6" t="n">
        <v>575287</v>
      </c>
      <c r="F4" s="6" t="n">
        <v>233604</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CET1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Common Equity Tier 1 (CET1) ratio</t>
        </is>
      </c>
      <c r="B4" s="6" t="inlineStr">
        <is>
          <t>55.92%</t>
        </is>
      </c>
      <c r="C4" s="6" t="inlineStr">
        <is>
          <t>54.94%</t>
        </is>
      </c>
      <c r="D4" s="6" t="inlineStr">
        <is>
          <t>54.40%</t>
        </is>
      </c>
      <c r="E4" s="6" t="inlineStr">
        <is>
          <t>155.1%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Tier 1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Tier 1 capital</t>
        </is>
      </c>
      <c r="B4" s="6" t="n">
        <v>1158302</v>
      </c>
      <c r="C4" s="6" t="n">
        <v>888274</v>
      </c>
      <c r="D4" s="6" t="n">
        <v>532582</v>
      </c>
      <c r="E4" s="6" t="n">
        <v>575287</v>
      </c>
      <c r="F4" s="6" t="n">
        <v>233604</v>
      </c>
    </row>
    <row r="5" ht="60" customHeight="1">
      <c r="A5" s="7" t="inlineStr">
        <is>
          <t>Note: Equal to CET1 capital in every year shown - Monzo has not issued any Additional Tier 1 (AT1) instruments.</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Tier 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Tier 1 ratio</t>
        </is>
      </c>
      <c r="B4" s="6" t="inlineStr">
        <is>
          <t>55.92%</t>
        </is>
      </c>
      <c r="C4" s="6" t="inlineStr">
        <is>
          <t>54.94%</t>
        </is>
      </c>
      <c r="D4" s="6" t="inlineStr">
        <is>
          <t>54.40%</t>
        </is>
      </c>
      <c r="E4" s="6" t="inlineStr">
        <is>
          <t>155.1%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capital</t>
        </is>
      </c>
      <c r="B4" s="6" t="n">
        <v>1173723</v>
      </c>
      <c r="C4" s="6" t="n">
        <v>903387</v>
      </c>
      <c r="D4" s="6" t="n">
        <v>547407</v>
      </c>
      <c r="E4" s="6" t="n">
        <v>589880</v>
      </c>
      <c r="F4" s="6" t="n">
        <v>233604</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Capital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capital ratio</t>
        </is>
      </c>
      <c r="B4" s="6" t="inlineStr">
        <is>
          <t>56.67%</t>
        </is>
      </c>
      <c r="C4" s="6" t="inlineStr">
        <is>
          <t>55.87%</t>
        </is>
      </c>
      <c r="D4" s="6" t="inlineStr">
        <is>
          <t>55.91%</t>
        </is>
      </c>
      <c r="E4" s="6" t="inlineStr">
        <is>
          <t>159.1%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RWAs</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risk-weighted exposure amount</t>
        </is>
      </c>
      <c r="B4" s="6" t="n">
        <v>2071182</v>
      </c>
      <c r="C4" s="6" t="n">
        <v>1616928</v>
      </c>
      <c r="D4" s="6" t="n">
        <v>979042</v>
      </c>
      <c r="E4" s="6" t="n">
        <v>370849</v>
      </c>
      <c r="F4" s="6" t="n">
        <v>236653</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Leverage Ratio</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exposure measure excluding claims on central banks</t>
        </is>
      </c>
      <c r="B4" s="6" t="n">
        <v>7459493</v>
      </c>
      <c r="C4" s="6" t="n">
        <v>5550297</v>
      </c>
      <c r="D4" s="6" t="n">
        <v>3763096</v>
      </c>
      <c r="E4" s="6" t="n"/>
      <c r="F4" s="6" t="n">
        <v>796590</v>
      </c>
    </row>
    <row r="5">
      <c r="A5" s="6" t="inlineStr">
        <is>
          <t>Leverage ratio excluding claims on central banks (%)</t>
        </is>
      </c>
      <c r="B5" s="6" t="inlineStr">
        <is>
          <t>15.53%</t>
        </is>
      </c>
      <c r="C5" s="6" t="inlineStr">
        <is>
          <t>16.00%</t>
        </is>
      </c>
      <c r="D5" s="6" t="inlineStr">
        <is>
          <t>14.15%</t>
        </is>
      </c>
      <c r="E5" s="6" t="n"/>
      <c r="F5" s="6" t="inlineStr">
        <is>
          <t>29.3%</t>
        </is>
      </c>
    </row>
    <row r="6">
      <c r="A6" s="6" t="inlineStr">
        <is>
          <t>Leverage ratio total exposure measure - 2022 KM1 format, basis not specified in source</t>
        </is>
      </c>
      <c r="B6" s="6" t="n"/>
      <c r="C6" s="6" t="n"/>
      <c r="D6" s="6" t="n"/>
      <c r="E6" s="6" t="n">
        <v>2238857</v>
      </c>
      <c r="F6" s="6" t="n"/>
    </row>
    <row r="7">
      <c r="A7" s="6" t="inlineStr">
        <is>
          <t>Leverage ratio (%) - 2022 KM1 format, basis not specified in source</t>
        </is>
      </c>
      <c r="B7" s="6" t="n"/>
      <c r="C7" s="6" t="n"/>
      <c r="D7" s="6" t="n"/>
      <c r="E7" s="6" t="inlineStr">
        <is>
          <t>25.7%</t>
        </is>
      </c>
      <c r="F7" s="6" t="n"/>
    </row>
    <row r="8">
      <c r="A8" s="6" t="inlineStr">
        <is>
          <t>Total exposure measure including claims on central banks (CRR basis, retired from FY2022)</t>
        </is>
      </c>
      <c r="B8" s="6" t="n"/>
      <c r="C8" s="6" t="n"/>
      <c r="D8" s="6" t="n"/>
      <c r="E8" s="6" t="n"/>
      <c r="F8" s="6" t="n">
        <v>3667694</v>
      </c>
    </row>
    <row r="9">
      <c r="A9" s="6" t="inlineStr">
        <is>
          <t>Leverage ratio including claims on central banks (%) (CRR basis, retired from FY2022)</t>
        </is>
      </c>
      <c r="B9" s="6" t="n"/>
      <c r="C9" s="6" t="n"/>
      <c r="D9" s="6" t="n"/>
      <c r="E9" s="6" t="n"/>
      <c r="F9" s="6" t="inlineStr">
        <is>
          <t>6.4%</t>
        </is>
      </c>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10:F10"/>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LCR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high-quality liquid assets / liquidity buffer (weighted value)</t>
        </is>
      </c>
      <c r="B4" s="6" t="n">
        <v>13124870</v>
      </c>
      <c r="C4" s="6" t="n">
        <v>7651328</v>
      </c>
      <c r="D4" s="6" t="n">
        <v>5103316</v>
      </c>
      <c r="E4" s="6" t="n">
        <v>4600376</v>
      </c>
      <c r="F4" s="6" t="n">
        <v>3212266</v>
      </c>
    </row>
    <row r="5">
      <c r="A5" s="6" t="inlineStr">
        <is>
          <t>Total net cash outflows (adjusted value)</t>
        </is>
      </c>
      <c r="B5" s="6" t="n">
        <v>1133118</v>
      </c>
      <c r="C5" s="6" t="n">
        <v>1070436</v>
      </c>
      <c r="D5" s="6" t="n">
        <v>671159</v>
      </c>
      <c r="E5" s="6" t="n">
        <v>428980</v>
      </c>
      <c r="F5" s="6" t="n">
        <v>355375</v>
      </c>
    </row>
    <row r="6">
      <c r="A6" s="6" t="inlineStr">
        <is>
          <t>Liquidity Coverage Ratio (%)</t>
        </is>
      </c>
      <c r="B6" s="6" t="inlineStr">
        <is>
          <t>1,178.76%</t>
        </is>
      </c>
      <c r="C6" s="6" t="inlineStr">
        <is>
          <t>724.51%</t>
        </is>
      </c>
      <c r="D6" s="6" t="inlineStr">
        <is>
          <t>760.4%</t>
        </is>
      </c>
      <c r="E6" s="6" t="inlineStr">
        <is>
          <t>1,072.4%</t>
        </is>
      </c>
      <c r="F6" s="6" t="inlineStr">
        <is>
          <t>904%</t>
        </is>
      </c>
    </row>
    <row r="7" ht="60" customHeight="1">
      <c r="A7" s="7" t="inlineStr">
        <is>
          <t>Note: FY2021 used a simpler 'Table K: LCR' disclosure (liquidity buffer / net cash outflows) rather than the full KM1 template used from FY2022 onward; the two are conceptually equivalent to the HQLA/net cash outflow rows used in later years.</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NSFR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available stable funding</t>
        </is>
      </c>
      <c r="B4" s="6" t="n">
        <v>14543697</v>
      </c>
      <c r="C4" s="6" t="n">
        <v>9139028</v>
      </c>
      <c r="D4" s="6" t="n">
        <v>6055616</v>
      </c>
      <c r="E4" s="6" t="n">
        <v>4703076</v>
      </c>
      <c r="F4" s="6" t="n"/>
    </row>
    <row r="5">
      <c r="A5" s="6" t="inlineStr">
        <is>
          <t>Total required stable funding</t>
        </is>
      </c>
      <c r="B5" s="6" t="n">
        <v>1807551</v>
      </c>
      <c r="C5" s="6" t="n">
        <v>1345619</v>
      </c>
      <c r="D5" s="6" t="n">
        <v>835938</v>
      </c>
      <c r="E5" s="6" t="n">
        <v>444598</v>
      </c>
      <c r="F5" s="6" t="n"/>
    </row>
    <row r="6">
      <c r="A6" s="6" t="inlineStr">
        <is>
          <t>Net Stable Funding Ratio (%)</t>
        </is>
      </c>
      <c r="B6" s="6" t="inlineStr">
        <is>
          <t>843.98%</t>
        </is>
      </c>
      <c r="C6" s="6" t="inlineStr">
        <is>
          <t>680.81%</t>
        </is>
      </c>
      <c r="D6" s="6" t="inlineStr">
        <is>
          <t>724.4%</t>
        </is>
      </c>
      <c r="E6" s="6" t="inlineStr">
        <is>
          <t>1,057.8%</t>
        </is>
      </c>
      <c r="F6" s="6" t="inlineStr">
        <is>
          <t>Not disclosed</t>
        </is>
      </c>
    </row>
    <row r="7" ht="60" customHeight="1">
      <c r="A7" s="7" t="inlineStr">
        <is>
          <t>Note: NSFR was not disclosed in Monzo's FY2021 Pillar 3 report (no NSFR table or mention present); it first appears from the FY2022 report onward.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MREL Ratio</t>
        </is>
      </c>
    </row>
    <row r="2">
      <c r="A2" s="2" t="inlineStr"/>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2026-08-26T09:32:05Z</dcterms:created>
  <dcterms:modified xsi:type="dcterms:W3CDTF">2026-08-26T09:32:05Z</dcterms:modified>
</cp:coreProperties>
</file>